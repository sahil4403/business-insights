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Trips/"/>
    </mc:Choice>
  </mc:AlternateContent>
  <xr:revisionPtr revIDLastSave="0" documentId="13_ncr:1_{AD8B1C2E-DBDB-4D41-A912-1D1E3A0B97F1}" xr6:coauthVersionLast="47" xr6:coauthVersionMax="47" xr10:uidLastSave="{00000000-0000-0000-0000-000000000000}"/>
  <bookViews>
    <workbookView xWindow="0" yWindow="780" windowWidth="36000" windowHeight="22600" xr2:uid="{D010B664-2D3E-4146-BFBD-79CEAA86D72F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Sheet1!$C$1:$C$185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1" l="1"/>
  <c r="O43" i="1"/>
  <c r="F43" i="1"/>
  <c r="I43" i="1" s="1"/>
  <c r="C43" i="1"/>
  <c r="T42" i="1"/>
  <c r="O42" i="1"/>
  <c r="V42" i="1" s="1"/>
  <c r="F42" i="1"/>
  <c r="I42" i="1" s="1"/>
  <c r="C42" i="1"/>
  <c r="T41" i="1"/>
  <c r="O41" i="1"/>
  <c r="V41" i="1" s="1"/>
  <c r="F41" i="1"/>
  <c r="I41" i="1" s="1"/>
  <c r="C41" i="1"/>
  <c r="T40" i="1"/>
  <c r="O40" i="1"/>
  <c r="V40" i="1" s="1"/>
  <c r="F40" i="1"/>
  <c r="I40" i="1" s="1"/>
  <c r="C40" i="1"/>
  <c r="T39" i="1"/>
  <c r="U39" i="1" s="1"/>
  <c r="O39" i="1"/>
  <c r="V39" i="1" s="1"/>
  <c r="F39" i="1"/>
  <c r="I39" i="1" s="1"/>
  <c r="C39" i="1"/>
  <c r="T38" i="1"/>
  <c r="O38" i="1"/>
  <c r="Q38" i="1" s="1"/>
  <c r="R38" i="1" s="1"/>
  <c r="F38" i="1"/>
  <c r="I38" i="1" s="1"/>
  <c r="C38" i="1"/>
  <c r="T37" i="1"/>
  <c r="O37" i="1"/>
  <c r="V37" i="1" s="1"/>
  <c r="F37" i="1"/>
  <c r="I37" i="1" s="1"/>
  <c r="C37" i="1"/>
  <c r="T36" i="1"/>
  <c r="O36" i="1"/>
  <c r="Q36" i="1" s="1"/>
  <c r="R36" i="1" s="1"/>
  <c r="F36" i="1"/>
  <c r="I36" i="1" s="1"/>
  <c r="C36" i="1"/>
  <c r="T35" i="1"/>
  <c r="O35" i="1"/>
  <c r="Q35" i="1" s="1"/>
  <c r="R35" i="1" s="1"/>
  <c r="F35" i="1"/>
  <c r="I35" i="1" s="1"/>
  <c r="C35" i="1"/>
  <c r="T34" i="1"/>
  <c r="O34" i="1"/>
  <c r="V34" i="1" s="1"/>
  <c r="F34" i="1"/>
  <c r="I34" i="1" s="1"/>
  <c r="C34" i="1"/>
  <c r="T33" i="1"/>
  <c r="O33" i="1"/>
  <c r="Q33" i="1" s="1"/>
  <c r="R33" i="1" s="1"/>
  <c r="F33" i="1"/>
  <c r="I33" i="1" s="1"/>
  <c r="C33" i="1"/>
  <c r="T32" i="1"/>
  <c r="O32" i="1"/>
  <c r="V32" i="1" s="1"/>
  <c r="F32" i="1"/>
  <c r="I32" i="1" s="1"/>
  <c r="C32" i="1"/>
  <c r="T31" i="1"/>
  <c r="O31" i="1"/>
  <c r="V31" i="1" s="1"/>
  <c r="F31" i="1"/>
  <c r="I31" i="1" s="1"/>
  <c r="C31" i="1"/>
  <c r="T30" i="1"/>
  <c r="O30" i="1"/>
  <c r="V30" i="1" s="1"/>
  <c r="F30" i="1"/>
  <c r="I30" i="1" s="1"/>
  <c r="C30" i="1"/>
  <c r="T29" i="1"/>
  <c r="O29" i="1"/>
  <c r="V29" i="1" s="1"/>
  <c r="F29" i="1"/>
  <c r="I29" i="1" s="1"/>
  <c r="C29" i="1"/>
  <c r="T28" i="1"/>
  <c r="O28" i="1"/>
  <c r="Q28" i="1" s="1"/>
  <c r="R28" i="1" s="1"/>
  <c r="F28" i="1"/>
  <c r="I28" i="1" s="1"/>
  <c r="C28" i="1"/>
  <c r="V27" i="1"/>
  <c r="T27" i="1"/>
  <c r="U27" i="1" s="1"/>
  <c r="Q27" i="1"/>
  <c r="R27" i="1" s="1"/>
  <c r="O27" i="1"/>
  <c r="F27" i="1"/>
  <c r="I27" i="1" s="1"/>
  <c r="C27" i="1"/>
  <c r="T26" i="1"/>
  <c r="U26" i="1" s="1"/>
  <c r="O26" i="1"/>
  <c r="Q26" i="1" s="1"/>
  <c r="R26" i="1" s="1"/>
  <c r="F26" i="1"/>
  <c r="I26" i="1" s="1"/>
  <c r="C26" i="1"/>
  <c r="T25" i="1"/>
  <c r="O25" i="1"/>
  <c r="Q25" i="1" s="1"/>
  <c r="R25" i="1" s="1"/>
  <c r="F25" i="1"/>
  <c r="I25" i="1" s="1"/>
  <c r="C25" i="1"/>
  <c r="T24" i="1"/>
  <c r="O24" i="1"/>
  <c r="F24" i="1"/>
  <c r="I24" i="1" s="1"/>
  <c r="C24" i="1"/>
  <c r="T23" i="1"/>
  <c r="O23" i="1"/>
  <c r="V23" i="1" s="1"/>
  <c r="F23" i="1"/>
  <c r="I23" i="1" s="1"/>
  <c r="C23" i="1"/>
  <c r="T22" i="1"/>
  <c r="O22" i="1"/>
  <c r="V22" i="1" s="1"/>
  <c r="F22" i="1"/>
  <c r="I22" i="1" s="1"/>
  <c r="C22" i="1"/>
  <c r="T21" i="1"/>
  <c r="O21" i="1"/>
  <c r="V21" i="1" s="1"/>
  <c r="F21" i="1"/>
  <c r="I21" i="1" s="1"/>
  <c r="C21" i="1"/>
  <c r="T20" i="1"/>
  <c r="O20" i="1"/>
  <c r="V20" i="1" s="1"/>
  <c r="F20" i="1"/>
  <c r="I20" i="1" s="1"/>
  <c r="C20" i="1"/>
  <c r="T19" i="1"/>
  <c r="O19" i="1"/>
  <c r="V19" i="1" s="1"/>
  <c r="F19" i="1"/>
  <c r="I19" i="1" s="1"/>
  <c r="C19" i="1"/>
  <c r="T18" i="1"/>
  <c r="O18" i="1"/>
  <c r="Q18" i="1" s="1"/>
  <c r="R18" i="1" s="1"/>
  <c r="F18" i="1"/>
  <c r="I18" i="1" s="1"/>
  <c r="C18" i="1"/>
  <c r="T17" i="1"/>
  <c r="O17" i="1"/>
  <c r="Q17" i="1" s="1"/>
  <c r="R17" i="1" s="1"/>
  <c r="F17" i="1"/>
  <c r="I17" i="1" s="1"/>
  <c r="C17" i="1"/>
  <c r="V16" i="1"/>
  <c r="W16" i="1" s="1"/>
  <c r="U16" i="1"/>
  <c r="T16" i="1"/>
  <c r="O16" i="1"/>
  <c r="Q16" i="1" s="1"/>
  <c r="R16" i="1" s="1"/>
  <c r="F16" i="1"/>
  <c r="I16" i="1" s="1"/>
  <c r="C16" i="1"/>
  <c r="T15" i="1"/>
  <c r="O15" i="1"/>
  <c r="Q15" i="1" s="1"/>
  <c r="R15" i="1" s="1"/>
  <c r="F15" i="1"/>
  <c r="I15" i="1" s="1"/>
  <c r="C15" i="1"/>
  <c r="T14" i="1"/>
  <c r="O14" i="1"/>
  <c r="F14" i="1"/>
  <c r="I14" i="1" s="1"/>
  <c r="C14" i="1"/>
  <c r="T13" i="1"/>
  <c r="O13" i="1"/>
  <c r="V13" i="1" s="1"/>
  <c r="F13" i="1"/>
  <c r="I13" i="1" s="1"/>
  <c r="C13" i="1"/>
  <c r="T12" i="1"/>
  <c r="O12" i="1"/>
  <c r="V12" i="1" s="1"/>
  <c r="F12" i="1"/>
  <c r="I12" i="1" s="1"/>
  <c r="C12" i="1"/>
  <c r="T11" i="1"/>
  <c r="O11" i="1"/>
  <c r="V11" i="1" s="1"/>
  <c r="F11" i="1"/>
  <c r="I11" i="1" s="1"/>
  <c r="C11" i="1"/>
  <c r="T10" i="1"/>
  <c r="O10" i="1"/>
  <c r="V10" i="1" s="1"/>
  <c r="F10" i="1"/>
  <c r="I10" i="1" s="1"/>
  <c r="C10" i="1"/>
  <c r="T9" i="1"/>
  <c r="O9" i="1"/>
  <c r="V9" i="1" s="1"/>
  <c r="F9" i="1"/>
  <c r="I9" i="1" s="1"/>
  <c r="C9" i="1"/>
  <c r="T8" i="1"/>
  <c r="O8" i="1"/>
  <c r="V8" i="1" s="1"/>
  <c r="F8" i="1"/>
  <c r="I8" i="1" s="1"/>
  <c r="C8" i="1"/>
  <c r="T7" i="1"/>
  <c r="O7" i="1"/>
  <c r="V7" i="1" s="1"/>
  <c r="F7" i="1"/>
  <c r="I7" i="1" s="1"/>
  <c r="C7" i="1"/>
  <c r="T6" i="1"/>
  <c r="O6" i="1"/>
  <c r="Q6" i="1" s="1"/>
  <c r="R6" i="1" s="1"/>
  <c r="F6" i="1"/>
  <c r="I6" i="1" s="1"/>
  <c r="C6" i="1"/>
  <c r="T5" i="1"/>
  <c r="O5" i="1"/>
  <c r="Q5" i="1" s="1"/>
  <c r="R5" i="1" s="1"/>
  <c r="F5" i="1"/>
  <c r="I5" i="1" s="1"/>
  <c r="C5" i="1"/>
  <c r="T4" i="1"/>
  <c r="O4" i="1"/>
  <c r="Q4" i="1" s="1"/>
  <c r="R4" i="1" s="1"/>
  <c r="F4" i="1"/>
  <c r="I4" i="1" s="1"/>
  <c r="C4" i="1"/>
  <c r="T3" i="1"/>
  <c r="O3" i="1"/>
  <c r="Q3" i="1" s="1"/>
  <c r="R3" i="1" s="1"/>
  <c r="F3" i="1"/>
  <c r="I3" i="1" s="1"/>
  <c r="C3" i="1"/>
  <c r="T2" i="1"/>
  <c r="O2" i="1"/>
  <c r="V2" i="1" s="1"/>
  <c r="F2" i="1"/>
  <c r="I2" i="1" s="1"/>
  <c r="C2" i="1"/>
  <c r="U2" i="1" l="1"/>
  <c r="U17" i="1"/>
  <c r="U19" i="1"/>
  <c r="V26" i="1"/>
  <c r="W26" i="1" s="1"/>
  <c r="U28" i="1"/>
  <c r="Q39" i="1"/>
  <c r="R39" i="1" s="1"/>
  <c r="Q7" i="1"/>
  <c r="R7" i="1" s="1"/>
  <c r="U14" i="1"/>
  <c r="U33" i="1"/>
  <c r="V17" i="1"/>
  <c r="W17" i="1" s="1"/>
  <c r="U38" i="1"/>
  <c r="Q29" i="1"/>
  <c r="R29" i="1" s="1"/>
  <c r="U34" i="1"/>
  <c r="U36" i="1"/>
  <c r="U29" i="1"/>
  <c r="V36" i="1"/>
  <c r="W36" i="1" s="1"/>
  <c r="W29" i="1"/>
  <c r="U35" i="1"/>
  <c r="U22" i="1"/>
  <c r="Q2" i="1"/>
  <c r="R2" i="1" s="1"/>
  <c r="U20" i="1"/>
  <c r="V35" i="1"/>
  <c r="W35" i="1" s="1"/>
  <c r="U7" i="1"/>
  <c r="Q19" i="1"/>
  <c r="R19" i="1" s="1"/>
  <c r="W27" i="1"/>
  <c r="V33" i="1"/>
  <c r="W33" i="1" s="1"/>
  <c r="V4" i="1"/>
  <c r="W4" i="1" s="1"/>
  <c r="V25" i="1"/>
  <c r="W25" i="1" s="1"/>
  <c r="U15" i="1"/>
  <c r="V3" i="1"/>
  <c r="W3" i="1" s="1"/>
  <c r="U8" i="1"/>
  <c r="Q37" i="1"/>
  <c r="R37" i="1" s="1"/>
  <c r="V38" i="1"/>
  <c r="W38" i="1" s="1"/>
  <c r="U6" i="1"/>
  <c r="Q21" i="1"/>
  <c r="R21" i="1" s="1"/>
  <c r="U3" i="1"/>
  <c r="V6" i="1"/>
  <c r="W6" i="1" s="1"/>
  <c r="U18" i="1"/>
  <c r="U21" i="1"/>
  <c r="U25" i="1"/>
  <c r="V15" i="1"/>
  <c r="W15" i="1" s="1"/>
  <c r="U5" i="1"/>
  <c r="V5" i="1"/>
  <c r="W5" i="1" s="1"/>
  <c r="U10" i="1"/>
  <c r="V28" i="1"/>
  <c r="W28" i="1" s="1"/>
  <c r="U37" i="1"/>
  <c r="U9" i="1"/>
  <c r="U24" i="1"/>
  <c r="Q20" i="1"/>
  <c r="R20" i="1" s="1"/>
  <c r="Q12" i="1"/>
  <c r="R12" i="1" s="1"/>
  <c r="U42" i="1"/>
  <c r="W31" i="1"/>
  <c r="Q42" i="1"/>
  <c r="R42" i="1" s="1"/>
  <c r="Q41" i="1"/>
  <c r="R41" i="1" s="1"/>
  <c r="Q8" i="1"/>
  <c r="R8" i="1" s="1"/>
  <c r="W10" i="1"/>
  <c r="Q11" i="1"/>
  <c r="R11" i="1" s="1"/>
  <c r="Q31" i="1"/>
  <c r="R31" i="1" s="1"/>
  <c r="Q9" i="1"/>
  <c r="R9" i="1" s="1"/>
  <c r="Q10" i="1"/>
  <c r="R10" i="1" s="1"/>
  <c r="V18" i="1"/>
  <c r="W18" i="1" s="1"/>
  <c r="Q30" i="1"/>
  <c r="R30" i="1" s="1"/>
  <c r="U31" i="1"/>
  <c r="U32" i="1"/>
  <c r="Q40" i="1"/>
  <c r="R40" i="1" s="1"/>
  <c r="U41" i="1"/>
  <c r="U12" i="1"/>
  <c r="V24" i="1"/>
  <c r="Q24" i="1"/>
  <c r="R24" i="1" s="1"/>
  <c r="U11" i="1"/>
  <c r="Q13" i="1"/>
  <c r="R13" i="1" s="1"/>
  <c r="U13" i="1"/>
  <c r="Q32" i="1"/>
  <c r="R32" i="1" s="1"/>
  <c r="Q23" i="1"/>
  <c r="R23" i="1" s="1"/>
  <c r="V14" i="1"/>
  <c r="Q14" i="1"/>
  <c r="R14" i="1" s="1"/>
  <c r="Q22" i="1"/>
  <c r="U23" i="1"/>
  <c r="U30" i="1"/>
  <c r="U4" i="1"/>
  <c r="U40" i="1"/>
  <c r="V43" i="1"/>
  <c r="Q43" i="1"/>
  <c r="R43" i="1" s="1"/>
  <c r="U43" i="1"/>
  <c r="Q34" i="1"/>
  <c r="R34" i="1" s="1"/>
  <c r="W7" i="1" l="1"/>
  <c r="W19" i="1"/>
  <c r="W21" i="1"/>
  <c r="W39" i="1"/>
  <c r="W2" i="1"/>
  <c r="W40" i="1"/>
  <c r="W23" i="1"/>
  <c r="W43" i="1"/>
  <c r="W24" i="1"/>
  <c r="W37" i="1"/>
  <c r="W30" i="1"/>
  <c r="W42" i="1"/>
  <c r="W34" i="1"/>
  <c r="W9" i="1"/>
  <c r="W8" i="1"/>
  <c r="R22" i="1"/>
  <c r="W22" i="1"/>
  <c r="W20" i="1"/>
  <c r="W14" i="1"/>
  <c r="W41" i="1"/>
  <c r="W32" i="1"/>
  <c r="W12" i="1"/>
  <c r="W11" i="1"/>
  <c r="W13" i="1"/>
  <c r="T185" i="1" l="1"/>
  <c r="O185" i="1"/>
  <c r="V185" i="1" s="1"/>
  <c r="H185" i="1"/>
  <c r="K185" i="1" s="1"/>
  <c r="G185" i="1"/>
  <c r="J185" i="1" s="1"/>
  <c r="F185" i="1"/>
  <c r="I185" i="1" s="1"/>
  <c r="C185" i="1"/>
  <c r="T184" i="1"/>
  <c r="O184" i="1"/>
  <c r="V184" i="1" s="1"/>
  <c r="H184" i="1"/>
  <c r="K184" i="1" s="1"/>
  <c r="G184" i="1"/>
  <c r="J184" i="1" s="1"/>
  <c r="F184" i="1"/>
  <c r="I184" i="1" s="1"/>
  <c r="C184" i="1"/>
  <c r="T183" i="1"/>
  <c r="O183" i="1"/>
  <c r="H183" i="1"/>
  <c r="K183" i="1" s="1"/>
  <c r="G183" i="1"/>
  <c r="J183" i="1" s="1"/>
  <c r="F183" i="1"/>
  <c r="I183" i="1" s="1"/>
  <c r="C183" i="1"/>
  <c r="T182" i="1"/>
  <c r="O182" i="1"/>
  <c r="Q182" i="1" s="1"/>
  <c r="R182" i="1" s="1"/>
  <c r="H182" i="1"/>
  <c r="K182" i="1" s="1"/>
  <c r="G182" i="1"/>
  <c r="J182" i="1" s="1"/>
  <c r="F182" i="1"/>
  <c r="I182" i="1" s="1"/>
  <c r="C182" i="1"/>
  <c r="T181" i="1"/>
  <c r="O181" i="1"/>
  <c r="H181" i="1"/>
  <c r="K181" i="1" s="1"/>
  <c r="G181" i="1"/>
  <c r="J181" i="1" s="1"/>
  <c r="F181" i="1"/>
  <c r="I181" i="1" s="1"/>
  <c r="C181" i="1"/>
  <c r="T180" i="1"/>
  <c r="O180" i="1"/>
  <c r="Q180" i="1" s="1"/>
  <c r="R180" i="1" s="1"/>
  <c r="H180" i="1"/>
  <c r="K180" i="1" s="1"/>
  <c r="G180" i="1"/>
  <c r="J180" i="1" s="1"/>
  <c r="F180" i="1"/>
  <c r="I180" i="1" s="1"/>
  <c r="C180" i="1"/>
  <c r="T179" i="1"/>
  <c r="O179" i="1"/>
  <c r="H179" i="1"/>
  <c r="K179" i="1" s="1"/>
  <c r="G179" i="1"/>
  <c r="J179" i="1" s="1"/>
  <c r="F179" i="1"/>
  <c r="I179" i="1" s="1"/>
  <c r="C179" i="1"/>
  <c r="T178" i="1"/>
  <c r="O178" i="1"/>
  <c r="V178" i="1" s="1"/>
  <c r="H178" i="1"/>
  <c r="K178" i="1" s="1"/>
  <c r="G178" i="1"/>
  <c r="J178" i="1" s="1"/>
  <c r="F178" i="1"/>
  <c r="I178" i="1" s="1"/>
  <c r="C178" i="1"/>
  <c r="T177" i="1"/>
  <c r="O177" i="1"/>
  <c r="H177" i="1"/>
  <c r="K177" i="1" s="1"/>
  <c r="G177" i="1"/>
  <c r="J177" i="1" s="1"/>
  <c r="F177" i="1"/>
  <c r="I177" i="1" s="1"/>
  <c r="C177" i="1"/>
  <c r="T176" i="1"/>
  <c r="O176" i="1"/>
  <c r="Q176" i="1" s="1"/>
  <c r="R176" i="1" s="1"/>
  <c r="H176" i="1"/>
  <c r="K176" i="1" s="1"/>
  <c r="G176" i="1"/>
  <c r="J176" i="1" s="1"/>
  <c r="F176" i="1"/>
  <c r="I176" i="1" s="1"/>
  <c r="C176" i="1"/>
  <c r="T175" i="1"/>
  <c r="O175" i="1"/>
  <c r="H175" i="1"/>
  <c r="K175" i="1" s="1"/>
  <c r="G175" i="1"/>
  <c r="J175" i="1" s="1"/>
  <c r="F175" i="1"/>
  <c r="I175" i="1" s="1"/>
  <c r="C175" i="1"/>
  <c r="T174" i="1"/>
  <c r="O174" i="1"/>
  <c r="Q174" i="1" s="1"/>
  <c r="R174" i="1" s="1"/>
  <c r="H174" i="1"/>
  <c r="K174" i="1" s="1"/>
  <c r="G174" i="1"/>
  <c r="J174" i="1" s="1"/>
  <c r="F174" i="1"/>
  <c r="I174" i="1" s="1"/>
  <c r="C174" i="1"/>
  <c r="T173" i="1"/>
  <c r="O173" i="1"/>
  <c r="H173" i="1"/>
  <c r="K173" i="1" s="1"/>
  <c r="G173" i="1"/>
  <c r="J173" i="1" s="1"/>
  <c r="F173" i="1"/>
  <c r="I173" i="1" s="1"/>
  <c r="C173" i="1"/>
  <c r="T172" i="1"/>
  <c r="O172" i="1"/>
  <c r="Q172" i="1" s="1"/>
  <c r="R172" i="1" s="1"/>
  <c r="H172" i="1"/>
  <c r="K172" i="1" s="1"/>
  <c r="G172" i="1"/>
  <c r="J172" i="1" s="1"/>
  <c r="F172" i="1"/>
  <c r="I172" i="1" s="1"/>
  <c r="C172" i="1"/>
  <c r="T171" i="1"/>
  <c r="O171" i="1"/>
  <c r="H171" i="1"/>
  <c r="K171" i="1" s="1"/>
  <c r="G171" i="1"/>
  <c r="J171" i="1" s="1"/>
  <c r="F171" i="1"/>
  <c r="I171" i="1" s="1"/>
  <c r="C171" i="1"/>
  <c r="T170" i="1"/>
  <c r="O170" i="1"/>
  <c r="Q170" i="1" s="1"/>
  <c r="R170" i="1" s="1"/>
  <c r="H170" i="1"/>
  <c r="K170" i="1" s="1"/>
  <c r="G170" i="1"/>
  <c r="J170" i="1" s="1"/>
  <c r="F170" i="1"/>
  <c r="I170" i="1" s="1"/>
  <c r="C170" i="1"/>
  <c r="T169" i="1"/>
  <c r="O169" i="1"/>
  <c r="H169" i="1"/>
  <c r="K169" i="1" s="1"/>
  <c r="G169" i="1"/>
  <c r="J169" i="1" s="1"/>
  <c r="F169" i="1"/>
  <c r="I169" i="1" s="1"/>
  <c r="C169" i="1"/>
  <c r="T168" i="1"/>
  <c r="O168" i="1"/>
  <c r="Q168" i="1" s="1"/>
  <c r="R168" i="1" s="1"/>
  <c r="H168" i="1"/>
  <c r="K168" i="1" s="1"/>
  <c r="G168" i="1"/>
  <c r="J168" i="1" s="1"/>
  <c r="F168" i="1"/>
  <c r="I168" i="1" s="1"/>
  <c r="C168" i="1"/>
  <c r="T167" i="1"/>
  <c r="O167" i="1"/>
  <c r="H167" i="1"/>
  <c r="K167" i="1" s="1"/>
  <c r="G167" i="1"/>
  <c r="J167" i="1" s="1"/>
  <c r="F167" i="1"/>
  <c r="I167" i="1" s="1"/>
  <c r="C167" i="1"/>
  <c r="T166" i="1"/>
  <c r="O166" i="1"/>
  <c r="H166" i="1"/>
  <c r="K166" i="1" s="1"/>
  <c r="G166" i="1"/>
  <c r="J166" i="1" s="1"/>
  <c r="F166" i="1"/>
  <c r="I166" i="1" s="1"/>
  <c r="C166" i="1"/>
  <c r="T165" i="1"/>
  <c r="O165" i="1"/>
  <c r="H165" i="1"/>
  <c r="K165" i="1" s="1"/>
  <c r="G165" i="1"/>
  <c r="J165" i="1" s="1"/>
  <c r="F165" i="1"/>
  <c r="I165" i="1" s="1"/>
  <c r="C165" i="1"/>
  <c r="T164" i="1"/>
  <c r="O164" i="1"/>
  <c r="V164" i="1" s="1"/>
  <c r="H164" i="1"/>
  <c r="K164" i="1" s="1"/>
  <c r="G164" i="1"/>
  <c r="J164" i="1" s="1"/>
  <c r="F164" i="1"/>
  <c r="I164" i="1" s="1"/>
  <c r="C164" i="1"/>
  <c r="T163" i="1"/>
  <c r="O163" i="1"/>
  <c r="H163" i="1"/>
  <c r="K163" i="1" s="1"/>
  <c r="G163" i="1"/>
  <c r="J163" i="1" s="1"/>
  <c r="F163" i="1"/>
  <c r="I163" i="1" s="1"/>
  <c r="C163" i="1"/>
  <c r="T162" i="1"/>
  <c r="O162" i="1"/>
  <c r="Q162" i="1" s="1"/>
  <c r="R162" i="1" s="1"/>
  <c r="H162" i="1"/>
  <c r="K162" i="1" s="1"/>
  <c r="G162" i="1"/>
  <c r="J162" i="1" s="1"/>
  <c r="F162" i="1"/>
  <c r="I162" i="1" s="1"/>
  <c r="C162" i="1"/>
  <c r="T161" i="1"/>
  <c r="O161" i="1"/>
  <c r="H161" i="1"/>
  <c r="K161" i="1" s="1"/>
  <c r="G161" i="1"/>
  <c r="J161" i="1" s="1"/>
  <c r="F161" i="1"/>
  <c r="I161" i="1" s="1"/>
  <c r="C161" i="1"/>
  <c r="T160" i="1"/>
  <c r="O160" i="1"/>
  <c r="V160" i="1" s="1"/>
  <c r="H160" i="1"/>
  <c r="K160" i="1" s="1"/>
  <c r="G160" i="1"/>
  <c r="J160" i="1" s="1"/>
  <c r="F160" i="1"/>
  <c r="I160" i="1" s="1"/>
  <c r="C160" i="1"/>
  <c r="T159" i="1"/>
  <c r="O159" i="1"/>
  <c r="H159" i="1"/>
  <c r="K159" i="1" s="1"/>
  <c r="G159" i="1"/>
  <c r="J159" i="1" s="1"/>
  <c r="F159" i="1"/>
  <c r="I159" i="1" s="1"/>
  <c r="C159" i="1"/>
  <c r="T158" i="1"/>
  <c r="O158" i="1"/>
  <c r="V158" i="1" s="1"/>
  <c r="H158" i="1"/>
  <c r="K158" i="1" s="1"/>
  <c r="G158" i="1"/>
  <c r="J158" i="1" s="1"/>
  <c r="F158" i="1"/>
  <c r="I158" i="1" s="1"/>
  <c r="C158" i="1"/>
  <c r="T157" i="1"/>
  <c r="O157" i="1"/>
  <c r="H157" i="1"/>
  <c r="K157" i="1" s="1"/>
  <c r="G157" i="1"/>
  <c r="J157" i="1" s="1"/>
  <c r="F157" i="1"/>
  <c r="I157" i="1" s="1"/>
  <c r="C157" i="1"/>
  <c r="T156" i="1"/>
  <c r="O156" i="1"/>
  <c r="V156" i="1" s="1"/>
  <c r="H156" i="1"/>
  <c r="K156" i="1" s="1"/>
  <c r="G156" i="1"/>
  <c r="J156" i="1" s="1"/>
  <c r="F156" i="1"/>
  <c r="I156" i="1" s="1"/>
  <c r="C156" i="1"/>
  <c r="T155" i="1"/>
  <c r="O155" i="1"/>
  <c r="H155" i="1"/>
  <c r="K155" i="1" s="1"/>
  <c r="G155" i="1"/>
  <c r="J155" i="1" s="1"/>
  <c r="F155" i="1"/>
  <c r="I155" i="1" s="1"/>
  <c r="C155" i="1"/>
  <c r="T154" i="1"/>
  <c r="O154" i="1"/>
  <c r="Q154" i="1" s="1"/>
  <c r="R154" i="1" s="1"/>
  <c r="H154" i="1"/>
  <c r="K154" i="1" s="1"/>
  <c r="G154" i="1"/>
  <c r="J154" i="1" s="1"/>
  <c r="F154" i="1"/>
  <c r="I154" i="1" s="1"/>
  <c r="C154" i="1"/>
  <c r="T153" i="1"/>
  <c r="O153" i="1"/>
  <c r="H153" i="1"/>
  <c r="K153" i="1" s="1"/>
  <c r="G153" i="1"/>
  <c r="J153" i="1" s="1"/>
  <c r="F153" i="1"/>
  <c r="I153" i="1" s="1"/>
  <c r="C153" i="1"/>
  <c r="T152" i="1"/>
  <c r="O152" i="1"/>
  <c r="V152" i="1" s="1"/>
  <c r="H152" i="1"/>
  <c r="K152" i="1" s="1"/>
  <c r="G152" i="1"/>
  <c r="J152" i="1" s="1"/>
  <c r="F152" i="1"/>
  <c r="I152" i="1" s="1"/>
  <c r="C152" i="1"/>
  <c r="T151" i="1"/>
  <c r="O151" i="1"/>
  <c r="H151" i="1"/>
  <c r="K151" i="1" s="1"/>
  <c r="G151" i="1"/>
  <c r="J151" i="1" s="1"/>
  <c r="F151" i="1"/>
  <c r="I151" i="1" s="1"/>
  <c r="C151" i="1"/>
  <c r="T150" i="1"/>
  <c r="O150" i="1"/>
  <c r="V150" i="1" s="1"/>
  <c r="H150" i="1"/>
  <c r="K150" i="1" s="1"/>
  <c r="G150" i="1"/>
  <c r="J150" i="1" s="1"/>
  <c r="F150" i="1"/>
  <c r="I150" i="1" s="1"/>
  <c r="C150" i="1"/>
  <c r="T149" i="1"/>
  <c r="O149" i="1"/>
  <c r="H149" i="1"/>
  <c r="K149" i="1" s="1"/>
  <c r="G149" i="1"/>
  <c r="J149" i="1" s="1"/>
  <c r="F149" i="1"/>
  <c r="I149" i="1" s="1"/>
  <c r="C149" i="1"/>
  <c r="T148" i="1"/>
  <c r="O148" i="1"/>
  <c r="V148" i="1" s="1"/>
  <c r="H148" i="1"/>
  <c r="K148" i="1" s="1"/>
  <c r="G148" i="1"/>
  <c r="J148" i="1" s="1"/>
  <c r="F148" i="1"/>
  <c r="I148" i="1" s="1"/>
  <c r="C148" i="1"/>
  <c r="T147" i="1"/>
  <c r="O147" i="1"/>
  <c r="H147" i="1"/>
  <c r="K147" i="1" s="1"/>
  <c r="G147" i="1"/>
  <c r="J147" i="1" s="1"/>
  <c r="F147" i="1"/>
  <c r="I147" i="1" s="1"/>
  <c r="C147" i="1"/>
  <c r="T146" i="1"/>
  <c r="O146" i="1"/>
  <c r="V146" i="1" s="1"/>
  <c r="H146" i="1"/>
  <c r="K146" i="1" s="1"/>
  <c r="G146" i="1"/>
  <c r="J146" i="1" s="1"/>
  <c r="F146" i="1"/>
  <c r="I146" i="1" s="1"/>
  <c r="C146" i="1"/>
  <c r="T145" i="1"/>
  <c r="O145" i="1"/>
  <c r="H145" i="1"/>
  <c r="K145" i="1" s="1"/>
  <c r="G145" i="1"/>
  <c r="J145" i="1" s="1"/>
  <c r="F145" i="1"/>
  <c r="I145" i="1" s="1"/>
  <c r="C145" i="1"/>
  <c r="T144" i="1"/>
  <c r="O144" i="1"/>
  <c r="Q144" i="1" s="1"/>
  <c r="R144" i="1" s="1"/>
  <c r="H144" i="1"/>
  <c r="K144" i="1" s="1"/>
  <c r="G144" i="1"/>
  <c r="J144" i="1" s="1"/>
  <c r="F144" i="1"/>
  <c r="I144" i="1" s="1"/>
  <c r="C144" i="1"/>
  <c r="T143" i="1"/>
  <c r="O143" i="1"/>
  <c r="H143" i="1"/>
  <c r="K143" i="1" s="1"/>
  <c r="G143" i="1"/>
  <c r="J143" i="1" s="1"/>
  <c r="F143" i="1"/>
  <c r="I143" i="1" s="1"/>
  <c r="C143" i="1"/>
  <c r="T142" i="1"/>
  <c r="O142" i="1"/>
  <c r="H142" i="1"/>
  <c r="K142" i="1" s="1"/>
  <c r="G142" i="1"/>
  <c r="J142" i="1" s="1"/>
  <c r="F142" i="1"/>
  <c r="I142" i="1" s="1"/>
  <c r="C142" i="1"/>
  <c r="T141" i="1"/>
  <c r="O141" i="1"/>
  <c r="H141" i="1"/>
  <c r="K141" i="1" s="1"/>
  <c r="G141" i="1"/>
  <c r="J141" i="1" s="1"/>
  <c r="F141" i="1"/>
  <c r="I141" i="1" s="1"/>
  <c r="C141" i="1"/>
  <c r="T140" i="1"/>
  <c r="O140" i="1"/>
  <c r="V140" i="1" s="1"/>
  <c r="H140" i="1"/>
  <c r="K140" i="1" s="1"/>
  <c r="G140" i="1"/>
  <c r="J140" i="1" s="1"/>
  <c r="F140" i="1"/>
  <c r="I140" i="1" s="1"/>
  <c r="C140" i="1"/>
  <c r="T139" i="1"/>
  <c r="O139" i="1"/>
  <c r="H139" i="1"/>
  <c r="K139" i="1" s="1"/>
  <c r="G139" i="1"/>
  <c r="J139" i="1" s="1"/>
  <c r="F139" i="1"/>
  <c r="I139" i="1" s="1"/>
  <c r="C139" i="1"/>
  <c r="T138" i="1"/>
  <c r="O138" i="1"/>
  <c r="Q138" i="1" s="1"/>
  <c r="R138" i="1" s="1"/>
  <c r="H138" i="1"/>
  <c r="K138" i="1" s="1"/>
  <c r="G138" i="1"/>
  <c r="J138" i="1" s="1"/>
  <c r="F138" i="1"/>
  <c r="I138" i="1" s="1"/>
  <c r="C138" i="1"/>
  <c r="T137" i="1"/>
  <c r="O137" i="1"/>
  <c r="H137" i="1"/>
  <c r="K137" i="1" s="1"/>
  <c r="G137" i="1"/>
  <c r="J137" i="1" s="1"/>
  <c r="F137" i="1"/>
  <c r="I137" i="1" s="1"/>
  <c r="C137" i="1"/>
  <c r="T136" i="1"/>
  <c r="O136" i="1"/>
  <c r="V136" i="1" s="1"/>
  <c r="H136" i="1"/>
  <c r="K136" i="1" s="1"/>
  <c r="G136" i="1"/>
  <c r="J136" i="1" s="1"/>
  <c r="F136" i="1"/>
  <c r="I136" i="1" s="1"/>
  <c r="C136" i="1"/>
  <c r="T135" i="1"/>
  <c r="O135" i="1"/>
  <c r="H135" i="1"/>
  <c r="K135" i="1" s="1"/>
  <c r="G135" i="1"/>
  <c r="J135" i="1" s="1"/>
  <c r="F135" i="1"/>
  <c r="I135" i="1" s="1"/>
  <c r="C135" i="1"/>
  <c r="T134" i="1"/>
  <c r="O134" i="1"/>
  <c r="Q134" i="1" s="1"/>
  <c r="R134" i="1" s="1"/>
  <c r="H134" i="1"/>
  <c r="K134" i="1" s="1"/>
  <c r="G134" i="1"/>
  <c r="J134" i="1" s="1"/>
  <c r="F134" i="1"/>
  <c r="I134" i="1" s="1"/>
  <c r="C134" i="1"/>
  <c r="T133" i="1"/>
  <c r="O133" i="1"/>
  <c r="H133" i="1"/>
  <c r="K133" i="1" s="1"/>
  <c r="G133" i="1"/>
  <c r="J133" i="1" s="1"/>
  <c r="F133" i="1"/>
  <c r="I133" i="1" s="1"/>
  <c r="C133" i="1"/>
  <c r="T132" i="1"/>
  <c r="O132" i="1"/>
  <c r="Q132" i="1" s="1"/>
  <c r="R132" i="1" s="1"/>
  <c r="H132" i="1"/>
  <c r="K132" i="1" s="1"/>
  <c r="G132" i="1"/>
  <c r="J132" i="1" s="1"/>
  <c r="F132" i="1"/>
  <c r="I132" i="1" s="1"/>
  <c r="C132" i="1"/>
  <c r="T131" i="1"/>
  <c r="O131" i="1"/>
  <c r="H131" i="1"/>
  <c r="K131" i="1" s="1"/>
  <c r="G131" i="1"/>
  <c r="J131" i="1" s="1"/>
  <c r="F131" i="1"/>
  <c r="I131" i="1" s="1"/>
  <c r="C131" i="1"/>
  <c r="T130" i="1"/>
  <c r="O130" i="1"/>
  <c r="Q130" i="1" s="1"/>
  <c r="R130" i="1" s="1"/>
  <c r="H130" i="1"/>
  <c r="K130" i="1" s="1"/>
  <c r="G130" i="1"/>
  <c r="J130" i="1" s="1"/>
  <c r="F130" i="1"/>
  <c r="I130" i="1" s="1"/>
  <c r="C130" i="1"/>
  <c r="T129" i="1"/>
  <c r="O129" i="1"/>
  <c r="H129" i="1"/>
  <c r="K129" i="1" s="1"/>
  <c r="G129" i="1"/>
  <c r="J129" i="1" s="1"/>
  <c r="F129" i="1"/>
  <c r="I129" i="1" s="1"/>
  <c r="C129" i="1"/>
  <c r="T128" i="1"/>
  <c r="O128" i="1"/>
  <c r="Q128" i="1" s="1"/>
  <c r="R128" i="1" s="1"/>
  <c r="H128" i="1"/>
  <c r="K128" i="1" s="1"/>
  <c r="G128" i="1"/>
  <c r="J128" i="1" s="1"/>
  <c r="F128" i="1"/>
  <c r="I128" i="1" s="1"/>
  <c r="C128" i="1"/>
  <c r="T127" i="1"/>
  <c r="O127" i="1"/>
  <c r="H127" i="1"/>
  <c r="K127" i="1" s="1"/>
  <c r="G127" i="1"/>
  <c r="J127" i="1" s="1"/>
  <c r="F127" i="1"/>
  <c r="I127" i="1" s="1"/>
  <c r="C127" i="1"/>
  <c r="T126" i="1"/>
  <c r="O126" i="1"/>
  <c r="V126" i="1" s="1"/>
  <c r="H126" i="1"/>
  <c r="K126" i="1" s="1"/>
  <c r="G126" i="1"/>
  <c r="J126" i="1" s="1"/>
  <c r="F126" i="1"/>
  <c r="I126" i="1" s="1"/>
  <c r="C126" i="1"/>
  <c r="T125" i="1"/>
  <c r="O125" i="1"/>
  <c r="H125" i="1"/>
  <c r="K125" i="1" s="1"/>
  <c r="G125" i="1"/>
  <c r="J125" i="1" s="1"/>
  <c r="F125" i="1"/>
  <c r="I125" i="1" s="1"/>
  <c r="C125" i="1"/>
  <c r="T124" i="1"/>
  <c r="O124" i="1"/>
  <c r="H124" i="1"/>
  <c r="K124" i="1" s="1"/>
  <c r="G124" i="1"/>
  <c r="J124" i="1" s="1"/>
  <c r="F124" i="1"/>
  <c r="I124" i="1" s="1"/>
  <c r="C124" i="1"/>
  <c r="T123" i="1"/>
  <c r="O123" i="1"/>
  <c r="H123" i="1"/>
  <c r="K123" i="1" s="1"/>
  <c r="G123" i="1"/>
  <c r="J123" i="1" s="1"/>
  <c r="F123" i="1"/>
  <c r="I123" i="1" s="1"/>
  <c r="C123" i="1"/>
  <c r="T122" i="1"/>
  <c r="O122" i="1"/>
  <c r="H122" i="1"/>
  <c r="K122" i="1" s="1"/>
  <c r="G122" i="1"/>
  <c r="J122" i="1" s="1"/>
  <c r="F122" i="1"/>
  <c r="I122" i="1" s="1"/>
  <c r="C122" i="1"/>
  <c r="T121" i="1"/>
  <c r="O121" i="1"/>
  <c r="H121" i="1"/>
  <c r="K121" i="1" s="1"/>
  <c r="G121" i="1"/>
  <c r="J121" i="1" s="1"/>
  <c r="F121" i="1"/>
  <c r="I121" i="1" s="1"/>
  <c r="C121" i="1"/>
  <c r="T120" i="1"/>
  <c r="O120" i="1"/>
  <c r="V120" i="1" s="1"/>
  <c r="H120" i="1"/>
  <c r="K120" i="1" s="1"/>
  <c r="G120" i="1"/>
  <c r="J120" i="1" s="1"/>
  <c r="F120" i="1"/>
  <c r="I120" i="1" s="1"/>
  <c r="C120" i="1"/>
  <c r="T119" i="1"/>
  <c r="O119" i="1"/>
  <c r="H119" i="1"/>
  <c r="K119" i="1" s="1"/>
  <c r="G119" i="1"/>
  <c r="J119" i="1" s="1"/>
  <c r="F119" i="1"/>
  <c r="I119" i="1" s="1"/>
  <c r="C119" i="1"/>
  <c r="T118" i="1"/>
  <c r="O118" i="1"/>
  <c r="Q118" i="1" s="1"/>
  <c r="R118" i="1" s="1"/>
  <c r="H118" i="1"/>
  <c r="K118" i="1" s="1"/>
  <c r="G118" i="1"/>
  <c r="J118" i="1" s="1"/>
  <c r="F118" i="1"/>
  <c r="I118" i="1" s="1"/>
  <c r="C118" i="1"/>
  <c r="T117" i="1"/>
  <c r="O117" i="1"/>
  <c r="H117" i="1"/>
  <c r="K117" i="1" s="1"/>
  <c r="G117" i="1"/>
  <c r="J117" i="1" s="1"/>
  <c r="F117" i="1"/>
  <c r="I117" i="1" s="1"/>
  <c r="C117" i="1"/>
  <c r="T116" i="1"/>
  <c r="O116" i="1"/>
  <c r="V116" i="1" s="1"/>
  <c r="H116" i="1"/>
  <c r="K116" i="1" s="1"/>
  <c r="G116" i="1"/>
  <c r="J116" i="1" s="1"/>
  <c r="F116" i="1"/>
  <c r="I116" i="1" s="1"/>
  <c r="C116" i="1"/>
  <c r="T115" i="1"/>
  <c r="O115" i="1"/>
  <c r="H115" i="1"/>
  <c r="K115" i="1" s="1"/>
  <c r="G115" i="1"/>
  <c r="J115" i="1" s="1"/>
  <c r="F115" i="1"/>
  <c r="I115" i="1" s="1"/>
  <c r="C115" i="1"/>
  <c r="T114" i="1"/>
  <c r="O114" i="1"/>
  <c r="Q114" i="1" s="1"/>
  <c r="R114" i="1" s="1"/>
  <c r="H114" i="1"/>
  <c r="K114" i="1" s="1"/>
  <c r="G114" i="1"/>
  <c r="J114" i="1" s="1"/>
  <c r="F114" i="1"/>
  <c r="I114" i="1" s="1"/>
  <c r="C114" i="1"/>
  <c r="T113" i="1"/>
  <c r="O113" i="1"/>
  <c r="H113" i="1"/>
  <c r="K113" i="1" s="1"/>
  <c r="G113" i="1"/>
  <c r="J113" i="1" s="1"/>
  <c r="F113" i="1"/>
  <c r="I113" i="1" s="1"/>
  <c r="C113" i="1"/>
  <c r="T112" i="1"/>
  <c r="O112" i="1"/>
  <c r="H112" i="1"/>
  <c r="K112" i="1" s="1"/>
  <c r="G112" i="1"/>
  <c r="J112" i="1" s="1"/>
  <c r="F112" i="1"/>
  <c r="I112" i="1" s="1"/>
  <c r="C112" i="1"/>
  <c r="T111" i="1"/>
  <c r="O111" i="1"/>
  <c r="H111" i="1"/>
  <c r="K111" i="1" s="1"/>
  <c r="G111" i="1"/>
  <c r="J111" i="1" s="1"/>
  <c r="F111" i="1"/>
  <c r="I111" i="1" s="1"/>
  <c r="C111" i="1"/>
  <c r="T110" i="1"/>
  <c r="O110" i="1"/>
  <c r="V110" i="1" s="1"/>
  <c r="H110" i="1"/>
  <c r="K110" i="1" s="1"/>
  <c r="G110" i="1"/>
  <c r="J110" i="1" s="1"/>
  <c r="F110" i="1"/>
  <c r="I110" i="1" s="1"/>
  <c r="C110" i="1"/>
  <c r="T109" i="1"/>
  <c r="O109" i="1"/>
  <c r="H109" i="1"/>
  <c r="K109" i="1" s="1"/>
  <c r="G109" i="1"/>
  <c r="J109" i="1" s="1"/>
  <c r="F109" i="1"/>
  <c r="I109" i="1" s="1"/>
  <c r="C109" i="1"/>
  <c r="T108" i="1"/>
  <c r="O108" i="1"/>
  <c r="V108" i="1" s="1"/>
  <c r="H108" i="1"/>
  <c r="K108" i="1" s="1"/>
  <c r="G108" i="1"/>
  <c r="J108" i="1" s="1"/>
  <c r="F108" i="1"/>
  <c r="I108" i="1" s="1"/>
  <c r="C108" i="1"/>
  <c r="T107" i="1"/>
  <c r="O107" i="1"/>
  <c r="H107" i="1"/>
  <c r="K107" i="1" s="1"/>
  <c r="G107" i="1"/>
  <c r="J107" i="1" s="1"/>
  <c r="F107" i="1"/>
  <c r="I107" i="1" s="1"/>
  <c r="C107" i="1"/>
  <c r="T106" i="1"/>
  <c r="O106" i="1"/>
  <c r="Q106" i="1" s="1"/>
  <c r="R106" i="1" s="1"/>
  <c r="H106" i="1"/>
  <c r="K106" i="1" s="1"/>
  <c r="G106" i="1"/>
  <c r="J106" i="1" s="1"/>
  <c r="F106" i="1"/>
  <c r="I106" i="1" s="1"/>
  <c r="C106" i="1"/>
  <c r="T105" i="1"/>
  <c r="O105" i="1"/>
  <c r="H105" i="1"/>
  <c r="K105" i="1" s="1"/>
  <c r="G105" i="1"/>
  <c r="J105" i="1" s="1"/>
  <c r="F105" i="1"/>
  <c r="I105" i="1" s="1"/>
  <c r="C105" i="1"/>
  <c r="T104" i="1"/>
  <c r="O104" i="1"/>
  <c r="H104" i="1"/>
  <c r="K104" i="1" s="1"/>
  <c r="G104" i="1"/>
  <c r="J104" i="1" s="1"/>
  <c r="F104" i="1"/>
  <c r="I104" i="1" s="1"/>
  <c r="C104" i="1"/>
  <c r="T103" i="1"/>
  <c r="O103" i="1"/>
  <c r="H103" i="1"/>
  <c r="K103" i="1" s="1"/>
  <c r="G103" i="1"/>
  <c r="J103" i="1" s="1"/>
  <c r="F103" i="1"/>
  <c r="I103" i="1" s="1"/>
  <c r="C103" i="1"/>
  <c r="T102" i="1"/>
  <c r="O102" i="1"/>
  <c r="V102" i="1" s="1"/>
  <c r="H102" i="1"/>
  <c r="K102" i="1" s="1"/>
  <c r="G102" i="1"/>
  <c r="J102" i="1" s="1"/>
  <c r="F102" i="1"/>
  <c r="I102" i="1" s="1"/>
  <c r="C102" i="1"/>
  <c r="T101" i="1"/>
  <c r="O101" i="1"/>
  <c r="H101" i="1"/>
  <c r="K101" i="1" s="1"/>
  <c r="G101" i="1"/>
  <c r="J101" i="1" s="1"/>
  <c r="F101" i="1"/>
  <c r="I101" i="1" s="1"/>
  <c r="C101" i="1"/>
  <c r="T100" i="1"/>
  <c r="O100" i="1"/>
  <c r="Q100" i="1" s="1"/>
  <c r="R100" i="1" s="1"/>
  <c r="H100" i="1"/>
  <c r="K100" i="1" s="1"/>
  <c r="G100" i="1"/>
  <c r="J100" i="1" s="1"/>
  <c r="F100" i="1"/>
  <c r="I100" i="1" s="1"/>
  <c r="C100" i="1"/>
  <c r="T99" i="1"/>
  <c r="O99" i="1"/>
  <c r="H99" i="1"/>
  <c r="K99" i="1" s="1"/>
  <c r="G99" i="1"/>
  <c r="J99" i="1" s="1"/>
  <c r="F99" i="1"/>
  <c r="I99" i="1" s="1"/>
  <c r="C99" i="1"/>
  <c r="T98" i="1"/>
  <c r="O98" i="1"/>
  <c r="Q98" i="1" s="1"/>
  <c r="R98" i="1" s="1"/>
  <c r="H98" i="1"/>
  <c r="K98" i="1" s="1"/>
  <c r="G98" i="1"/>
  <c r="J98" i="1" s="1"/>
  <c r="F98" i="1"/>
  <c r="I98" i="1" s="1"/>
  <c r="C98" i="1"/>
  <c r="T97" i="1"/>
  <c r="O97" i="1"/>
  <c r="H97" i="1"/>
  <c r="K97" i="1" s="1"/>
  <c r="G97" i="1"/>
  <c r="J97" i="1" s="1"/>
  <c r="F97" i="1"/>
  <c r="I97" i="1" s="1"/>
  <c r="C97" i="1"/>
  <c r="T96" i="1"/>
  <c r="O96" i="1"/>
  <c r="Q96" i="1" s="1"/>
  <c r="R96" i="1" s="1"/>
  <c r="H96" i="1"/>
  <c r="K96" i="1" s="1"/>
  <c r="G96" i="1"/>
  <c r="J96" i="1" s="1"/>
  <c r="F96" i="1"/>
  <c r="I96" i="1" s="1"/>
  <c r="C96" i="1"/>
  <c r="T95" i="1"/>
  <c r="O95" i="1"/>
  <c r="H95" i="1"/>
  <c r="K95" i="1" s="1"/>
  <c r="G95" i="1"/>
  <c r="J95" i="1" s="1"/>
  <c r="F95" i="1"/>
  <c r="I95" i="1" s="1"/>
  <c r="C95" i="1"/>
  <c r="T94" i="1"/>
  <c r="O94" i="1"/>
  <c r="Q94" i="1" s="1"/>
  <c r="R94" i="1" s="1"/>
  <c r="H94" i="1"/>
  <c r="K94" i="1" s="1"/>
  <c r="G94" i="1"/>
  <c r="J94" i="1" s="1"/>
  <c r="F94" i="1"/>
  <c r="I94" i="1" s="1"/>
  <c r="C94" i="1"/>
  <c r="T93" i="1"/>
  <c r="O93" i="1"/>
  <c r="H93" i="1"/>
  <c r="K93" i="1" s="1"/>
  <c r="G93" i="1"/>
  <c r="J93" i="1" s="1"/>
  <c r="F93" i="1"/>
  <c r="I93" i="1" s="1"/>
  <c r="C93" i="1"/>
  <c r="T92" i="1"/>
  <c r="O92" i="1"/>
  <c r="Q92" i="1" s="1"/>
  <c r="R92" i="1" s="1"/>
  <c r="H92" i="1"/>
  <c r="K92" i="1" s="1"/>
  <c r="G92" i="1"/>
  <c r="J92" i="1" s="1"/>
  <c r="F92" i="1"/>
  <c r="I92" i="1" s="1"/>
  <c r="C92" i="1"/>
  <c r="T91" i="1"/>
  <c r="O91" i="1"/>
  <c r="H91" i="1"/>
  <c r="K91" i="1" s="1"/>
  <c r="G91" i="1"/>
  <c r="J91" i="1" s="1"/>
  <c r="F91" i="1"/>
  <c r="I91" i="1" s="1"/>
  <c r="C91" i="1"/>
  <c r="T90" i="1"/>
  <c r="O90" i="1"/>
  <c r="Q90" i="1" s="1"/>
  <c r="R90" i="1" s="1"/>
  <c r="H90" i="1"/>
  <c r="K90" i="1" s="1"/>
  <c r="G90" i="1"/>
  <c r="J90" i="1" s="1"/>
  <c r="F90" i="1"/>
  <c r="I90" i="1" s="1"/>
  <c r="C90" i="1"/>
  <c r="T89" i="1"/>
  <c r="O89" i="1"/>
  <c r="H89" i="1"/>
  <c r="K89" i="1" s="1"/>
  <c r="G89" i="1"/>
  <c r="J89" i="1" s="1"/>
  <c r="F89" i="1"/>
  <c r="I89" i="1" s="1"/>
  <c r="C89" i="1"/>
  <c r="T88" i="1"/>
  <c r="O88" i="1"/>
  <c r="Q88" i="1" s="1"/>
  <c r="R88" i="1" s="1"/>
  <c r="H88" i="1"/>
  <c r="K88" i="1" s="1"/>
  <c r="G88" i="1"/>
  <c r="J88" i="1" s="1"/>
  <c r="F88" i="1"/>
  <c r="I88" i="1" s="1"/>
  <c r="C88" i="1"/>
  <c r="T87" i="1"/>
  <c r="O87" i="1"/>
  <c r="H87" i="1"/>
  <c r="K87" i="1" s="1"/>
  <c r="G87" i="1"/>
  <c r="J87" i="1" s="1"/>
  <c r="F87" i="1"/>
  <c r="I87" i="1" s="1"/>
  <c r="C87" i="1"/>
  <c r="T86" i="1"/>
  <c r="O86" i="1"/>
  <c r="Q86" i="1" s="1"/>
  <c r="R86" i="1" s="1"/>
  <c r="H86" i="1"/>
  <c r="K86" i="1" s="1"/>
  <c r="G86" i="1"/>
  <c r="J86" i="1" s="1"/>
  <c r="F86" i="1"/>
  <c r="I86" i="1" s="1"/>
  <c r="C86" i="1"/>
  <c r="T85" i="1"/>
  <c r="O85" i="1"/>
  <c r="H85" i="1"/>
  <c r="K85" i="1" s="1"/>
  <c r="G85" i="1"/>
  <c r="J85" i="1" s="1"/>
  <c r="F85" i="1"/>
  <c r="I85" i="1" s="1"/>
  <c r="C85" i="1"/>
  <c r="T84" i="1"/>
  <c r="O84" i="1"/>
  <c r="H84" i="1"/>
  <c r="K84" i="1" s="1"/>
  <c r="G84" i="1"/>
  <c r="J84" i="1" s="1"/>
  <c r="F84" i="1"/>
  <c r="I84" i="1" s="1"/>
  <c r="C84" i="1"/>
  <c r="T83" i="1"/>
  <c r="O83" i="1"/>
  <c r="H83" i="1"/>
  <c r="K83" i="1" s="1"/>
  <c r="G83" i="1"/>
  <c r="J83" i="1" s="1"/>
  <c r="F83" i="1"/>
  <c r="I83" i="1" s="1"/>
  <c r="C83" i="1"/>
  <c r="T82" i="1"/>
  <c r="O82" i="1"/>
  <c r="Q82" i="1" s="1"/>
  <c r="R82" i="1" s="1"/>
  <c r="H82" i="1"/>
  <c r="K82" i="1" s="1"/>
  <c r="G82" i="1"/>
  <c r="J82" i="1" s="1"/>
  <c r="F82" i="1"/>
  <c r="I82" i="1" s="1"/>
  <c r="C82" i="1"/>
  <c r="T81" i="1"/>
  <c r="O81" i="1"/>
  <c r="H81" i="1"/>
  <c r="K81" i="1" s="1"/>
  <c r="G81" i="1"/>
  <c r="J81" i="1" s="1"/>
  <c r="F81" i="1"/>
  <c r="I81" i="1" s="1"/>
  <c r="C81" i="1"/>
  <c r="T80" i="1"/>
  <c r="O80" i="1"/>
  <c r="V80" i="1" s="1"/>
  <c r="H80" i="1"/>
  <c r="K80" i="1" s="1"/>
  <c r="G80" i="1"/>
  <c r="J80" i="1" s="1"/>
  <c r="F80" i="1"/>
  <c r="I80" i="1" s="1"/>
  <c r="C80" i="1"/>
  <c r="T79" i="1"/>
  <c r="O79" i="1"/>
  <c r="H79" i="1"/>
  <c r="K79" i="1" s="1"/>
  <c r="G79" i="1"/>
  <c r="J79" i="1" s="1"/>
  <c r="F79" i="1"/>
  <c r="I79" i="1" s="1"/>
  <c r="C79" i="1"/>
  <c r="T78" i="1"/>
  <c r="O78" i="1"/>
  <c r="V78" i="1" s="1"/>
  <c r="H78" i="1"/>
  <c r="K78" i="1" s="1"/>
  <c r="G78" i="1"/>
  <c r="J78" i="1" s="1"/>
  <c r="F78" i="1"/>
  <c r="I78" i="1" s="1"/>
  <c r="C78" i="1"/>
  <c r="T77" i="1"/>
  <c r="O77" i="1"/>
  <c r="H77" i="1"/>
  <c r="K77" i="1" s="1"/>
  <c r="G77" i="1"/>
  <c r="J77" i="1" s="1"/>
  <c r="F77" i="1"/>
  <c r="I77" i="1" s="1"/>
  <c r="C77" i="1"/>
  <c r="T76" i="1"/>
  <c r="O76" i="1"/>
  <c r="V76" i="1" s="1"/>
  <c r="H76" i="1"/>
  <c r="K76" i="1" s="1"/>
  <c r="G76" i="1"/>
  <c r="J76" i="1" s="1"/>
  <c r="F76" i="1"/>
  <c r="I76" i="1" s="1"/>
  <c r="C76" i="1"/>
  <c r="T75" i="1"/>
  <c r="O75" i="1"/>
  <c r="H75" i="1"/>
  <c r="K75" i="1" s="1"/>
  <c r="G75" i="1"/>
  <c r="J75" i="1" s="1"/>
  <c r="F75" i="1"/>
  <c r="I75" i="1" s="1"/>
  <c r="C75" i="1"/>
  <c r="T74" i="1"/>
  <c r="O74" i="1"/>
  <c r="V74" i="1" s="1"/>
  <c r="H74" i="1"/>
  <c r="K74" i="1" s="1"/>
  <c r="G74" i="1"/>
  <c r="J74" i="1" s="1"/>
  <c r="F74" i="1"/>
  <c r="I74" i="1" s="1"/>
  <c r="C74" i="1"/>
  <c r="T73" i="1"/>
  <c r="O73" i="1"/>
  <c r="H73" i="1"/>
  <c r="K73" i="1" s="1"/>
  <c r="G73" i="1"/>
  <c r="J73" i="1" s="1"/>
  <c r="F73" i="1"/>
  <c r="I73" i="1" s="1"/>
  <c r="C73" i="1"/>
  <c r="T72" i="1"/>
  <c r="O72" i="1"/>
  <c r="H72" i="1"/>
  <c r="K72" i="1" s="1"/>
  <c r="G72" i="1"/>
  <c r="J72" i="1" s="1"/>
  <c r="F72" i="1"/>
  <c r="I72" i="1" s="1"/>
  <c r="C72" i="1"/>
  <c r="T71" i="1"/>
  <c r="O71" i="1"/>
  <c r="V71" i="1" s="1"/>
  <c r="H71" i="1"/>
  <c r="K71" i="1" s="1"/>
  <c r="G71" i="1"/>
  <c r="J71" i="1" s="1"/>
  <c r="F71" i="1"/>
  <c r="I71" i="1" s="1"/>
  <c r="C71" i="1"/>
  <c r="T70" i="1"/>
  <c r="O70" i="1"/>
  <c r="H70" i="1"/>
  <c r="K70" i="1" s="1"/>
  <c r="G70" i="1"/>
  <c r="J70" i="1" s="1"/>
  <c r="F70" i="1"/>
  <c r="I70" i="1" s="1"/>
  <c r="C70" i="1"/>
  <c r="T69" i="1"/>
  <c r="O69" i="1"/>
  <c r="V69" i="1" s="1"/>
  <c r="H69" i="1"/>
  <c r="K69" i="1" s="1"/>
  <c r="G69" i="1"/>
  <c r="J69" i="1" s="1"/>
  <c r="F69" i="1"/>
  <c r="I69" i="1" s="1"/>
  <c r="C69" i="1"/>
  <c r="T68" i="1"/>
  <c r="O68" i="1"/>
  <c r="Q68" i="1" s="1"/>
  <c r="R68" i="1" s="1"/>
  <c r="H68" i="1"/>
  <c r="K68" i="1" s="1"/>
  <c r="G68" i="1"/>
  <c r="J68" i="1" s="1"/>
  <c r="F68" i="1"/>
  <c r="I68" i="1" s="1"/>
  <c r="C68" i="1"/>
  <c r="T67" i="1"/>
  <c r="O67" i="1"/>
  <c r="V67" i="1" s="1"/>
  <c r="H67" i="1"/>
  <c r="K67" i="1" s="1"/>
  <c r="G67" i="1"/>
  <c r="J67" i="1" s="1"/>
  <c r="F67" i="1"/>
  <c r="I67" i="1" s="1"/>
  <c r="C67" i="1"/>
  <c r="T66" i="1"/>
  <c r="O66" i="1"/>
  <c r="Q66" i="1" s="1"/>
  <c r="R66" i="1" s="1"/>
  <c r="H66" i="1"/>
  <c r="K66" i="1" s="1"/>
  <c r="G66" i="1"/>
  <c r="J66" i="1" s="1"/>
  <c r="F66" i="1"/>
  <c r="I66" i="1" s="1"/>
  <c r="C66" i="1"/>
  <c r="T65" i="1"/>
  <c r="O65" i="1"/>
  <c r="V65" i="1" s="1"/>
  <c r="H65" i="1"/>
  <c r="K65" i="1" s="1"/>
  <c r="G65" i="1"/>
  <c r="J65" i="1" s="1"/>
  <c r="F65" i="1"/>
  <c r="I65" i="1" s="1"/>
  <c r="C65" i="1"/>
  <c r="T64" i="1"/>
  <c r="O64" i="1"/>
  <c r="Q64" i="1" s="1"/>
  <c r="R64" i="1" s="1"/>
  <c r="H64" i="1"/>
  <c r="K64" i="1" s="1"/>
  <c r="G64" i="1"/>
  <c r="J64" i="1" s="1"/>
  <c r="F64" i="1"/>
  <c r="I64" i="1" s="1"/>
  <c r="C64" i="1"/>
  <c r="T63" i="1"/>
  <c r="O63" i="1"/>
  <c r="V63" i="1" s="1"/>
  <c r="H63" i="1"/>
  <c r="K63" i="1" s="1"/>
  <c r="G63" i="1"/>
  <c r="J63" i="1" s="1"/>
  <c r="F63" i="1"/>
  <c r="I63" i="1" s="1"/>
  <c r="C63" i="1"/>
  <c r="T62" i="1"/>
  <c r="O62" i="1"/>
  <c r="V62" i="1" s="1"/>
  <c r="H62" i="1"/>
  <c r="K62" i="1" s="1"/>
  <c r="G62" i="1"/>
  <c r="J62" i="1" s="1"/>
  <c r="F62" i="1"/>
  <c r="I62" i="1" s="1"/>
  <c r="C62" i="1"/>
  <c r="T61" i="1"/>
  <c r="O61" i="1"/>
  <c r="V61" i="1" s="1"/>
  <c r="H61" i="1"/>
  <c r="K61" i="1" s="1"/>
  <c r="G61" i="1"/>
  <c r="J61" i="1" s="1"/>
  <c r="F61" i="1"/>
  <c r="I61" i="1" s="1"/>
  <c r="C61" i="1"/>
  <c r="T60" i="1"/>
  <c r="O60" i="1"/>
  <c r="Q60" i="1" s="1"/>
  <c r="R60" i="1" s="1"/>
  <c r="H60" i="1"/>
  <c r="K60" i="1" s="1"/>
  <c r="G60" i="1"/>
  <c r="J60" i="1" s="1"/>
  <c r="F60" i="1"/>
  <c r="I60" i="1" s="1"/>
  <c r="C60" i="1"/>
  <c r="T59" i="1"/>
  <c r="O59" i="1"/>
  <c r="V59" i="1" s="1"/>
  <c r="H59" i="1"/>
  <c r="K59" i="1" s="1"/>
  <c r="G59" i="1"/>
  <c r="J59" i="1" s="1"/>
  <c r="F59" i="1"/>
  <c r="I59" i="1" s="1"/>
  <c r="C59" i="1"/>
  <c r="T58" i="1"/>
  <c r="O58" i="1"/>
  <c r="V58" i="1" s="1"/>
  <c r="H58" i="1"/>
  <c r="K58" i="1" s="1"/>
  <c r="G58" i="1"/>
  <c r="J58" i="1" s="1"/>
  <c r="F58" i="1"/>
  <c r="I58" i="1" s="1"/>
  <c r="C58" i="1"/>
  <c r="T57" i="1"/>
  <c r="O57" i="1"/>
  <c r="V57" i="1" s="1"/>
  <c r="H57" i="1"/>
  <c r="K57" i="1" s="1"/>
  <c r="G57" i="1"/>
  <c r="J57" i="1" s="1"/>
  <c r="F57" i="1"/>
  <c r="I57" i="1" s="1"/>
  <c r="C57" i="1"/>
  <c r="T56" i="1"/>
  <c r="O56" i="1"/>
  <c r="Q56" i="1" s="1"/>
  <c r="R56" i="1" s="1"/>
  <c r="H56" i="1"/>
  <c r="K56" i="1" s="1"/>
  <c r="G56" i="1"/>
  <c r="J56" i="1" s="1"/>
  <c r="F56" i="1"/>
  <c r="I56" i="1" s="1"/>
  <c r="C56" i="1"/>
  <c r="T55" i="1"/>
  <c r="O55" i="1"/>
  <c r="V55" i="1" s="1"/>
  <c r="H55" i="1"/>
  <c r="K55" i="1" s="1"/>
  <c r="G55" i="1"/>
  <c r="J55" i="1" s="1"/>
  <c r="F55" i="1"/>
  <c r="I55" i="1" s="1"/>
  <c r="C55" i="1"/>
  <c r="T54" i="1"/>
  <c r="O54" i="1"/>
  <c r="H54" i="1"/>
  <c r="K54" i="1" s="1"/>
  <c r="G54" i="1"/>
  <c r="J54" i="1" s="1"/>
  <c r="F54" i="1"/>
  <c r="I54" i="1" s="1"/>
  <c r="C54" i="1"/>
  <c r="T53" i="1"/>
  <c r="O53" i="1"/>
  <c r="V53" i="1" s="1"/>
  <c r="H53" i="1"/>
  <c r="K53" i="1" s="1"/>
  <c r="G53" i="1"/>
  <c r="J53" i="1" s="1"/>
  <c r="F53" i="1"/>
  <c r="I53" i="1" s="1"/>
  <c r="C53" i="1"/>
  <c r="T52" i="1"/>
  <c r="O52" i="1"/>
  <c r="Q52" i="1" s="1"/>
  <c r="R52" i="1" s="1"/>
  <c r="H52" i="1"/>
  <c r="K52" i="1" s="1"/>
  <c r="G52" i="1"/>
  <c r="J52" i="1" s="1"/>
  <c r="F52" i="1"/>
  <c r="I52" i="1" s="1"/>
  <c r="C52" i="1"/>
  <c r="T51" i="1"/>
  <c r="O51" i="1"/>
  <c r="V51" i="1" s="1"/>
  <c r="H51" i="1"/>
  <c r="K51" i="1" s="1"/>
  <c r="G51" i="1"/>
  <c r="J51" i="1" s="1"/>
  <c r="F51" i="1"/>
  <c r="I51" i="1" s="1"/>
  <c r="C51" i="1"/>
  <c r="T50" i="1"/>
  <c r="O50" i="1"/>
  <c r="Q50" i="1" s="1"/>
  <c r="R50" i="1" s="1"/>
  <c r="H50" i="1"/>
  <c r="K50" i="1" s="1"/>
  <c r="G50" i="1"/>
  <c r="J50" i="1" s="1"/>
  <c r="F50" i="1"/>
  <c r="I50" i="1" s="1"/>
  <c r="C50" i="1"/>
  <c r="T49" i="1"/>
  <c r="O49" i="1"/>
  <c r="V49" i="1" s="1"/>
  <c r="H49" i="1"/>
  <c r="K49" i="1" s="1"/>
  <c r="G49" i="1"/>
  <c r="J49" i="1" s="1"/>
  <c r="F49" i="1"/>
  <c r="I49" i="1" s="1"/>
  <c r="C49" i="1"/>
  <c r="T48" i="1"/>
  <c r="O48" i="1"/>
  <c r="Q48" i="1" s="1"/>
  <c r="R48" i="1" s="1"/>
  <c r="H48" i="1"/>
  <c r="K48" i="1" s="1"/>
  <c r="G48" i="1"/>
  <c r="J48" i="1" s="1"/>
  <c r="F48" i="1"/>
  <c r="I48" i="1" s="1"/>
  <c r="C48" i="1"/>
  <c r="T47" i="1"/>
  <c r="O47" i="1"/>
  <c r="V47" i="1" s="1"/>
  <c r="H47" i="1"/>
  <c r="K47" i="1" s="1"/>
  <c r="G47" i="1"/>
  <c r="J47" i="1" s="1"/>
  <c r="F47" i="1"/>
  <c r="I47" i="1" s="1"/>
  <c r="C47" i="1"/>
  <c r="T46" i="1"/>
  <c r="O46" i="1"/>
  <c r="H46" i="1"/>
  <c r="K46" i="1" s="1"/>
  <c r="G46" i="1"/>
  <c r="J46" i="1" s="1"/>
  <c r="F46" i="1"/>
  <c r="I46" i="1" s="1"/>
  <c r="C46" i="1"/>
  <c r="T45" i="1"/>
  <c r="O45" i="1"/>
  <c r="V45" i="1" s="1"/>
  <c r="H45" i="1"/>
  <c r="K45" i="1" s="1"/>
  <c r="G45" i="1"/>
  <c r="J45" i="1" s="1"/>
  <c r="F45" i="1"/>
  <c r="I45" i="1" s="1"/>
  <c r="C45" i="1"/>
  <c r="T44" i="1"/>
  <c r="O44" i="1"/>
  <c r="V44" i="1" s="1"/>
  <c r="H44" i="1"/>
  <c r="K44" i="1" s="1"/>
  <c r="G44" i="1"/>
  <c r="J44" i="1" s="1"/>
  <c r="F44" i="1"/>
  <c r="I44" i="1" s="1"/>
  <c r="C44" i="1"/>
  <c r="V174" i="1" l="1"/>
  <c r="U185" i="1"/>
  <c r="U184" i="1"/>
  <c r="U144" i="1"/>
  <c r="Q148" i="1"/>
  <c r="R148" i="1" s="1"/>
  <c r="V144" i="1"/>
  <c r="W144" i="1" s="1"/>
  <c r="U148" i="1"/>
  <c r="U122" i="1"/>
  <c r="U150" i="1"/>
  <c r="V130" i="1"/>
  <c r="W130" i="1" s="1"/>
  <c r="U72" i="1"/>
  <c r="V56" i="1"/>
  <c r="W56" i="1" s="1"/>
  <c r="V134" i="1"/>
  <c r="W134" i="1" s="1"/>
  <c r="Q58" i="1"/>
  <c r="R58" i="1" s="1"/>
  <c r="U58" i="1"/>
  <c r="Q150" i="1"/>
  <c r="R150" i="1" s="1"/>
  <c r="U83" i="1"/>
  <c r="U120" i="1"/>
  <c r="U130" i="1"/>
  <c r="V162" i="1"/>
  <c r="W162" i="1" s="1"/>
  <c r="V170" i="1"/>
  <c r="W170" i="1" s="1"/>
  <c r="U157" i="1"/>
  <c r="U134" i="1"/>
  <c r="U178" i="1"/>
  <c r="U181" i="1"/>
  <c r="U76" i="1"/>
  <c r="U98" i="1"/>
  <c r="V106" i="1"/>
  <c r="W106" i="1" s="1"/>
  <c r="U110" i="1"/>
  <c r="U86" i="1"/>
  <c r="U97" i="1"/>
  <c r="Q126" i="1"/>
  <c r="R126" i="1" s="1"/>
  <c r="U126" i="1"/>
  <c r="U132" i="1"/>
  <c r="U47" i="1"/>
  <c r="U96" i="1"/>
  <c r="V132" i="1"/>
  <c r="U65" i="1"/>
  <c r="U168" i="1"/>
  <c r="U174" i="1"/>
  <c r="V168" i="1"/>
  <c r="W168" i="1" s="1"/>
  <c r="Q156" i="1"/>
  <c r="R156" i="1" s="1"/>
  <c r="Q136" i="1"/>
  <c r="R136" i="1" s="1"/>
  <c r="Q76" i="1"/>
  <c r="R76" i="1" s="1"/>
  <c r="U84" i="1"/>
  <c r="U106" i="1"/>
  <c r="Q110" i="1"/>
  <c r="R110" i="1" s="1"/>
  <c r="V172" i="1"/>
  <c r="W172" i="1" s="1"/>
  <c r="U129" i="1"/>
  <c r="V68" i="1"/>
  <c r="W68" i="1" s="1"/>
  <c r="U146" i="1"/>
  <c r="V98" i="1"/>
  <c r="W98" i="1" s="1"/>
  <c r="U128" i="1"/>
  <c r="V64" i="1"/>
  <c r="W64" i="1" s="1"/>
  <c r="V114" i="1"/>
  <c r="W114" i="1" s="1"/>
  <c r="Q140" i="1"/>
  <c r="R140" i="1" s="1"/>
  <c r="U142" i="1"/>
  <c r="U154" i="1"/>
  <c r="U156" i="1"/>
  <c r="U164" i="1"/>
  <c r="V180" i="1"/>
  <c r="W180" i="1" s="1"/>
  <c r="U50" i="1"/>
  <c r="Q78" i="1"/>
  <c r="R78" i="1" s="1"/>
  <c r="V100" i="1"/>
  <c r="W100" i="1" s="1"/>
  <c r="V154" i="1"/>
  <c r="W154" i="1" s="1"/>
  <c r="V86" i="1"/>
  <c r="W86" i="1" s="1"/>
  <c r="V94" i="1"/>
  <c r="W94" i="1" s="1"/>
  <c r="V50" i="1"/>
  <c r="W50" i="1" s="1"/>
  <c r="U68" i="1"/>
  <c r="U78" i="1"/>
  <c r="U112" i="1"/>
  <c r="Q120" i="1"/>
  <c r="R120" i="1" s="1"/>
  <c r="U140" i="1"/>
  <c r="Q152" i="1"/>
  <c r="R152" i="1" s="1"/>
  <c r="Q146" i="1"/>
  <c r="R146" i="1" s="1"/>
  <c r="U152" i="1"/>
  <c r="U162" i="1"/>
  <c r="U170" i="1"/>
  <c r="U172" i="1"/>
  <c r="U74" i="1"/>
  <c r="U182" i="1"/>
  <c r="Q108" i="1"/>
  <c r="R108" i="1" s="1"/>
  <c r="Q116" i="1"/>
  <c r="R116" i="1" s="1"/>
  <c r="U118" i="1"/>
  <c r="V128" i="1"/>
  <c r="W128" i="1" s="1"/>
  <c r="U137" i="1"/>
  <c r="U60" i="1"/>
  <c r="U62" i="1"/>
  <c r="Q63" i="1"/>
  <c r="R63" i="1" s="1"/>
  <c r="V66" i="1"/>
  <c r="W66" i="1" s="1"/>
  <c r="V72" i="1"/>
  <c r="U82" i="1"/>
  <c r="U87" i="1"/>
  <c r="U109" i="1"/>
  <c r="U117" i="1"/>
  <c r="V118" i="1"/>
  <c r="W118" i="1" s="1"/>
  <c r="U158" i="1"/>
  <c r="U102" i="1"/>
  <c r="V60" i="1"/>
  <c r="W60" i="1" s="1"/>
  <c r="U63" i="1"/>
  <c r="V82" i="1"/>
  <c r="W82" i="1" s="1"/>
  <c r="V96" i="1"/>
  <c r="W96" i="1" s="1"/>
  <c r="Q178" i="1"/>
  <c r="R178" i="1" s="1"/>
  <c r="U49" i="1"/>
  <c r="Q72" i="1"/>
  <c r="R72" i="1" s="1"/>
  <c r="Q74" i="1"/>
  <c r="R74" i="1" s="1"/>
  <c r="U48" i="1"/>
  <c r="V48" i="1"/>
  <c r="W48" i="1" s="1"/>
  <c r="Q62" i="1"/>
  <c r="R62" i="1" s="1"/>
  <c r="U66" i="1"/>
  <c r="U70" i="1"/>
  <c r="U101" i="1"/>
  <c r="U114" i="1"/>
  <c r="U124" i="1"/>
  <c r="U180" i="1"/>
  <c r="U51" i="1"/>
  <c r="V52" i="1"/>
  <c r="W52" i="1" s="1"/>
  <c r="U88" i="1"/>
  <c r="U90" i="1"/>
  <c r="U92" i="1"/>
  <c r="U104" i="1"/>
  <c r="Q65" i="1"/>
  <c r="R65" i="1" s="1"/>
  <c r="Q84" i="1"/>
  <c r="R84" i="1" s="1"/>
  <c r="V84" i="1"/>
  <c r="V88" i="1"/>
  <c r="W88" i="1" s="1"/>
  <c r="V90" i="1"/>
  <c r="W90" i="1" s="1"/>
  <c r="U91" i="1"/>
  <c r="V92" i="1"/>
  <c r="W92" i="1" s="1"/>
  <c r="U93" i="1"/>
  <c r="U94" i="1"/>
  <c r="V124" i="1"/>
  <c r="Q124" i="1"/>
  <c r="R124" i="1" s="1"/>
  <c r="Q46" i="1"/>
  <c r="R46" i="1" s="1"/>
  <c r="V46" i="1"/>
  <c r="Q54" i="1"/>
  <c r="R54" i="1" s="1"/>
  <c r="V54" i="1"/>
  <c r="Q59" i="1"/>
  <c r="R59" i="1" s="1"/>
  <c r="Q80" i="1"/>
  <c r="R80" i="1" s="1"/>
  <c r="Q44" i="1"/>
  <c r="R44" i="1" s="1"/>
  <c r="U46" i="1"/>
  <c r="Q51" i="1"/>
  <c r="R51" i="1" s="1"/>
  <c r="U54" i="1"/>
  <c r="U59" i="1"/>
  <c r="Q69" i="1"/>
  <c r="R69" i="1" s="1"/>
  <c r="U73" i="1"/>
  <c r="U80" i="1"/>
  <c r="U81" i="1"/>
  <c r="U44" i="1"/>
  <c r="U52" i="1"/>
  <c r="U53" i="1"/>
  <c r="Q122" i="1"/>
  <c r="R122" i="1" s="1"/>
  <c r="V122" i="1"/>
  <c r="Q70" i="1"/>
  <c r="R70" i="1" s="1"/>
  <c r="V70" i="1"/>
  <c r="W76" i="1"/>
  <c r="W78" i="1"/>
  <c r="W132" i="1"/>
  <c r="U133" i="1"/>
  <c r="V166" i="1"/>
  <c r="U166" i="1"/>
  <c r="Q166" i="1"/>
  <c r="R166" i="1" s="1"/>
  <c r="Q142" i="1"/>
  <c r="R142" i="1" s="1"/>
  <c r="V142" i="1"/>
  <c r="U138" i="1"/>
  <c r="V104" i="1"/>
  <c r="Q104" i="1"/>
  <c r="R104" i="1" s="1"/>
  <c r="V138" i="1"/>
  <c r="W138" i="1" s="1"/>
  <c r="Q102" i="1"/>
  <c r="R102" i="1" s="1"/>
  <c r="V112" i="1"/>
  <c r="Q112" i="1"/>
  <c r="R112" i="1" s="1"/>
  <c r="V176" i="1"/>
  <c r="W176" i="1" s="1"/>
  <c r="U149" i="1"/>
  <c r="U56" i="1"/>
  <c r="U57" i="1"/>
  <c r="U64" i="1"/>
  <c r="U69" i="1"/>
  <c r="U100" i="1"/>
  <c r="U108" i="1"/>
  <c r="U116" i="1"/>
  <c r="U136" i="1"/>
  <c r="Q158" i="1"/>
  <c r="R158" i="1" s="1"/>
  <c r="Q164" i="1"/>
  <c r="R164" i="1" s="1"/>
  <c r="W174" i="1"/>
  <c r="U175" i="1"/>
  <c r="V182" i="1"/>
  <c r="W182" i="1" s="1"/>
  <c r="Q184" i="1"/>
  <c r="R184" i="1" s="1"/>
  <c r="U176" i="1"/>
  <c r="U125" i="1"/>
  <c r="U145" i="1"/>
  <c r="Q160" i="1"/>
  <c r="R160" i="1" s="1"/>
  <c r="Q185" i="1"/>
  <c r="R185" i="1" s="1"/>
  <c r="U153" i="1"/>
  <c r="U160" i="1"/>
  <c r="U105" i="1"/>
  <c r="U113" i="1"/>
  <c r="U77" i="1"/>
  <c r="U121" i="1"/>
  <c r="U141" i="1"/>
  <c r="V85" i="1"/>
  <c r="Q85" i="1"/>
  <c r="R85" i="1" s="1"/>
  <c r="U89" i="1"/>
  <c r="U177" i="1"/>
  <c r="Q61" i="1"/>
  <c r="R61" i="1" s="1"/>
  <c r="U67" i="1"/>
  <c r="Q71" i="1"/>
  <c r="R71" i="1" s="1"/>
  <c r="V119" i="1"/>
  <c r="Q119" i="1"/>
  <c r="R119" i="1" s="1"/>
  <c r="V131" i="1"/>
  <c r="Q131" i="1"/>
  <c r="R131" i="1" s="1"/>
  <c r="V139" i="1"/>
  <c r="Q139" i="1"/>
  <c r="R139" i="1" s="1"/>
  <c r="V143" i="1"/>
  <c r="Q143" i="1"/>
  <c r="R143" i="1" s="1"/>
  <c r="V147" i="1"/>
  <c r="Q147" i="1"/>
  <c r="R147" i="1" s="1"/>
  <c r="V151" i="1"/>
  <c r="Q151" i="1"/>
  <c r="R151" i="1" s="1"/>
  <c r="V155" i="1"/>
  <c r="Q155" i="1"/>
  <c r="R155" i="1" s="1"/>
  <c r="V163" i="1"/>
  <c r="Q163" i="1"/>
  <c r="R163" i="1" s="1"/>
  <c r="V167" i="1"/>
  <c r="Q167" i="1"/>
  <c r="R167" i="1" s="1"/>
  <c r="V171" i="1"/>
  <c r="Q171" i="1"/>
  <c r="R171" i="1" s="1"/>
  <c r="U123" i="1"/>
  <c r="U139" i="1"/>
  <c r="V177" i="1"/>
  <c r="Q177" i="1"/>
  <c r="R177" i="1" s="1"/>
  <c r="Q45" i="1"/>
  <c r="R45" i="1" s="1"/>
  <c r="Q55" i="1"/>
  <c r="R55" i="1" s="1"/>
  <c r="U99" i="1"/>
  <c r="Q53" i="1"/>
  <c r="R53" i="1" s="1"/>
  <c r="U75" i="1"/>
  <c r="V81" i="1"/>
  <c r="Q81" i="1"/>
  <c r="R81" i="1" s="1"/>
  <c r="U85" i="1"/>
  <c r="V91" i="1"/>
  <c r="Q91" i="1"/>
  <c r="R91" i="1" s="1"/>
  <c r="U95" i="1"/>
  <c r="V101" i="1"/>
  <c r="Q101" i="1"/>
  <c r="R101" i="1" s="1"/>
  <c r="V105" i="1"/>
  <c r="Q105" i="1"/>
  <c r="R105" i="1" s="1"/>
  <c r="V109" i="1"/>
  <c r="Q109" i="1"/>
  <c r="R109" i="1" s="1"/>
  <c r="V113" i="1"/>
  <c r="Q113" i="1"/>
  <c r="R113" i="1" s="1"/>
  <c r="V117" i="1"/>
  <c r="Q117" i="1"/>
  <c r="R117" i="1" s="1"/>
  <c r="V121" i="1"/>
  <c r="Q121" i="1"/>
  <c r="R121" i="1" s="1"/>
  <c r="V125" i="1"/>
  <c r="Q125" i="1"/>
  <c r="R125" i="1" s="1"/>
  <c r="V129" i="1"/>
  <c r="Q129" i="1"/>
  <c r="R129" i="1" s="1"/>
  <c r="V133" i="1"/>
  <c r="Q133" i="1"/>
  <c r="R133" i="1" s="1"/>
  <c r="V137" i="1"/>
  <c r="Q137" i="1"/>
  <c r="R137" i="1" s="1"/>
  <c r="V141" i="1"/>
  <c r="Q141" i="1"/>
  <c r="R141" i="1" s="1"/>
  <c r="V145" i="1"/>
  <c r="Q145" i="1"/>
  <c r="R145" i="1" s="1"/>
  <c r="V149" i="1"/>
  <c r="Q149" i="1"/>
  <c r="R149" i="1" s="1"/>
  <c r="V153" i="1"/>
  <c r="Q153" i="1"/>
  <c r="R153" i="1" s="1"/>
  <c r="V157" i="1"/>
  <c r="Q157" i="1"/>
  <c r="R157" i="1" s="1"/>
  <c r="V161" i="1"/>
  <c r="Q161" i="1"/>
  <c r="R161" i="1" s="1"/>
  <c r="V165" i="1"/>
  <c r="Q165" i="1"/>
  <c r="R165" i="1" s="1"/>
  <c r="V169" i="1"/>
  <c r="Q169" i="1"/>
  <c r="R169" i="1" s="1"/>
  <c r="V173" i="1"/>
  <c r="Q173" i="1"/>
  <c r="R173" i="1" s="1"/>
  <c r="V179" i="1"/>
  <c r="Q179" i="1"/>
  <c r="R179" i="1" s="1"/>
  <c r="V103" i="1"/>
  <c r="Q103" i="1"/>
  <c r="R103" i="1" s="1"/>
  <c r="V107" i="1"/>
  <c r="Q107" i="1"/>
  <c r="R107" i="1" s="1"/>
  <c r="V99" i="1"/>
  <c r="Q99" i="1"/>
  <c r="R99" i="1" s="1"/>
  <c r="U103" i="1"/>
  <c r="U107" i="1"/>
  <c r="U135" i="1"/>
  <c r="U143" i="1"/>
  <c r="U151" i="1"/>
  <c r="U163" i="1"/>
  <c r="U183" i="1"/>
  <c r="V75" i="1"/>
  <c r="Q75" i="1"/>
  <c r="R75" i="1" s="1"/>
  <c r="U79" i="1"/>
  <c r="V95" i="1"/>
  <c r="Q95" i="1"/>
  <c r="R95" i="1" s="1"/>
  <c r="U45" i="1"/>
  <c r="U55" i="1"/>
  <c r="U61" i="1"/>
  <c r="U71" i="1"/>
  <c r="U173" i="1"/>
  <c r="U179" i="1"/>
  <c r="V111" i="1"/>
  <c r="Q111" i="1"/>
  <c r="R111" i="1" s="1"/>
  <c r="V115" i="1"/>
  <c r="Q115" i="1"/>
  <c r="R115" i="1" s="1"/>
  <c r="V79" i="1"/>
  <c r="Q79" i="1"/>
  <c r="R79" i="1" s="1"/>
  <c r="V183" i="1"/>
  <c r="Q183" i="1"/>
  <c r="R183" i="1" s="1"/>
  <c r="Q67" i="1"/>
  <c r="R67" i="1" s="1"/>
  <c r="U119" i="1"/>
  <c r="U147" i="1"/>
  <c r="U155" i="1"/>
  <c r="U159" i="1"/>
  <c r="U167" i="1"/>
  <c r="U171" i="1"/>
  <c r="V77" i="1"/>
  <c r="Q77" i="1"/>
  <c r="R77" i="1" s="1"/>
  <c r="V87" i="1"/>
  <c r="Q87" i="1"/>
  <c r="R87" i="1" s="1"/>
  <c r="V97" i="1"/>
  <c r="Q97" i="1"/>
  <c r="R97" i="1" s="1"/>
  <c r="U161" i="1"/>
  <c r="U165" i="1"/>
  <c r="U169" i="1"/>
  <c r="V123" i="1"/>
  <c r="Q123" i="1"/>
  <c r="R123" i="1" s="1"/>
  <c r="V127" i="1"/>
  <c r="Q127" i="1"/>
  <c r="R127" i="1" s="1"/>
  <c r="V135" i="1"/>
  <c r="Q135" i="1"/>
  <c r="R135" i="1" s="1"/>
  <c r="V159" i="1"/>
  <c r="Q159" i="1"/>
  <c r="R159" i="1" s="1"/>
  <c r="Q47" i="1"/>
  <c r="R47" i="1" s="1"/>
  <c r="U111" i="1"/>
  <c r="U115" i="1"/>
  <c r="U127" i="1"/>
  <c r="V181" i="1"/>
  <c r="Q181" i="1"/>
  <c r="R181" i="1" s="1"/>
  <c r="Q57" i="1"/>
  <c r="R57" i="1" s="1"/>
  <c r="V89" i="1"/>
  <c r="Q89" i="1"/>
  <c r="R89" i="1" s="1"/>
  <c r="U131" i="1"/>
  <c r="Q49" i="1"/>
  <c r="R49" i="1" s="1"/>
  <c r="V73" i="1"/>
  <c r="Q73" i="1"/>
  <c r="R73" i="1" s="1"/>
  <c r="V83" i="1"/>
  <c r="Q83" i="1"/>
  <c r="R83" i="1" s="1"/>
  <c r="V93" i="1"/>
  <c r="Q93" i="1"/>
  <c r="R93" i="1" s="1"/>
  <c r="V175" i="1"/>
  <c r="Q175" i="1"/>
  <c r="R175" i="1" s="1"/>
  <c r="W54" i="1" l="1"/>
  <c r="W142" i="1"/>
  <c r="W148" i="1"/>
  <c r="W58" i="1"/>
  <c r="W65" i="1"/>
  <c r="W156" i="1"/>
  <c r="W110" i="1"/>
  <c r="W70" i="1"/>
  <c r="W160" i="1"/>
  <c r="W102" i="1"/>
  <c r="W120" i="1"/>
  <c r="W126" i="1"/>
  <c r="W74" i="1"/>
  <c r="W69" i="1"/>
  <c r="W84" i="1"/>
  <c r="W166" i="1"/>
  <c r="W59" i="1"/>
  <c r="W104" i="1"/>
  <c r="W146" i="1"/>
  <c r="W80" i="1"/>
  <c r="W150" i="1"/>
  <c r="W46" i="1"/>
  <c r="W136" i="1"/>
  <c r="W63" i="1"/>
  <c r="W158" i="1"/>
  <c r="W151" i="1"/>
  <c r="W77" i="1"/>
  <c r="W152" i="1"/>
  <c r="W67" i="1"/>
  <c r="W119" i="1"/>
  <c r="W123" i="1"/>
  <c r="W62" i="1"/>
  <c r="W51" i="1"/>
  <c r="W72" i="1"/>
  <c r="W116" i="1"/>
  <c r="W140" i="1"/>
  <c r="W178" i="1"/>
  <c r="W108" i="1"/>
  <c r="W122" i="1"/>
  <c r="W49" i="1"/>
  <c r="W175" i="1"/>
  <c r="W85" i="1"/>
  <c r="W185" i="1"/>
  <c r="W124" i="1"/>
  <c r="W155" i="1"/>
  <c r="W131" i="1"/>
  <c r="W164" i="1"/>
  <c r="W61" i="1"/>
  <c r="W112" i="1"/>
  <c r="W184" i="1"/>
  <c r="W44" i="1"/>
  <c r="W79" i="1"/>
  <c r="W103" i="1"/>
  <c r="W161" i="1"/>
  <c r="W147" i="1"/>
  <c r="W57" i="1"/>
  <c r="W167" i="1"/>
  <c r="W47" i="1"/>
  <c r="W135" i="1"/>
  <c r="W111" i="1"/>
  <c r="W55" i="1"/>
  <c r="W173" i="1"/>
  <c r="W153" i="1"/>
  <c r="W133" i="1"/>
  <c r="W113" i="1"/>
  <c r="W115" i="1"/>
  <c r="W179" i="1"/>
  <c r="W157" i="1"/>
  <c r="W137" i="1"/>
  <c r="W117" i="1"/>
  <c r="W143" i="1"/>
  <c r="W73" i="1"/>
  <c r="W87" i="1"/>
  <c r="W177" i="1"/>
  <c r="W163" i="1"/>
  <c r="W139" i="1"/>
  <c r="W101" i="1"/>
  <c r="W93" i="1"/>
  <c r="W89" i="1"/>
  <c r="W159" i="1"/>
  <c r="W97" i="1"/>
  <c r="W95" i="1"/>
  <c r="W91" i="1"/>
  <c r="W53" i="1"/>
  <c r="W181" i="1"/>
  <c r="W127" i="1"/>
  <c r="W75" i="1"/>
  <c r="W99" i="1"/>
  <c r="W169" i="1"/>
  <c r="W149" i="1"/>
  <c r="W129" i="1"/>
  <c r="W109" i="1"/>
  <c r="W81" i="1"/>
  <c r="W121" i="1"/>
  <c r="W171" i="1"/>
  <c r="W83" i="1"/>
  <c r="W141" i="1"/>
  <c r="W183" i="1"/>
  <c r="W107" i="1"/>
  <c r="W165" i="1"/>
  <c r="W145" i="1"/>
  <c r="W125" i="1"/>
  <c r="W105" i="1"/>
  <c r="W45" i="1"/>
  <c r="W71" i="1"/>
</calcChain>
</file>

<file path=xl/sharedStrings.xml><?xml version="1.0" encoding="utf-8"?>
<sst xmlns="http://schemas.openxmlformats.org/spreadsheetml/2006/main" count="1684" uniqueCount="337">
  <si>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</si>
  <si>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</si>
  <si>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</si>
  <si>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</si>
  <si>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</si>
  <si>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</si>
  <si>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</si>
  <si>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</si>
  <si>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</si>
  <si>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</si>
  <si>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</si>
  <si>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</si>
  <si>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</si>
  <si>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</si>
  <si>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</si>
  <si>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</si>
  <si>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</si>
  <si>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</si>
  <si>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</si>
  <si>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</si>
  <si>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</si>
  <si>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</si>
  <si>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</si>
  <si>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Patel</t>
  </si>
  <si>
    <t>Gaju Bhau</t>
  </si>
  <si>
    <t>MIDC</t>
  </si>
  <si>
    <t>Ravi</t>
  </si>
  <si>
    <t>Khutada / Bharran</t>
  </si>
  <si>
    <t>Vansh Nikose</t>
  </si>
  <si>
    <t>Rundawan / Bharran</t>
  </si>
  <si>
    <t>Anshu</t>
  </si>
  <si>
    <t>T-Point</t>
  </si>
  <si>
    <t>Atul Ukade</t>
  </si>
  <si>
    <t>Futada</t>
  </si>
  <si>
    <t>Kosara</t>
  </si>
  <si>
    <t>T-point</t>
  </si>
  <si>
    <t>Vineet Ramteke</t>
  </si>
  <si>
    <t>Rundawan</t>
  </si>
  <si>
    <t>Raj Order</t>
  </si>
  <si>
    <t>Tulsi Nagar</t>
  </si>
  <si>
    <t>Bazar Padoli</t>
  </si>
  <si>
    <t>Nitin Prasad</t>
  </si>
  <si>
    <t>Wadgaon</t>
  </si>
  <si>
    <t>Bharat Rone</t>
  </si>
  <si>
    <t>Datada</t>
  </si>
  <si>
    <t>Tukum</t>
  </si>
  <si>
    <t>Raj Sir</t>
  </si>
  <si>
    <t>New Vidarbha</t>
  </si>
  <si>
    <t>Anshu / Ravi</t>
  </si>
  <si>
    <t>Rajesh Kade</t>
  </si>
  <si>
    <t>Padoli</t>
  </si>
  <si>
    <t>Preet Bhaiya</t>
  </si>
  <si>
    <t>Ravi / Anshu</t>
  </si>
  <si>
    <t>Pradip Chitade</t>
  </si>
  <si>
    <t>Chips Wala</t>
  </si>
  <si>
    <t>Morwa</t>
  </si>
  <si>
    <t>Mehul Bhaiya</t>
  </si>
  <si>
    <t>Thakkar Tiles</t>
  </si>
  <si>
    <t xml:space="preserve">Narayana School </t>
  </si>
  <si>
    <t>Lalit Nimkar</t>
  </si>
  <si>
    <t>Near High Tech College</t>
  </si>
  <si>
    <t>Karan</t>
  </si>
  <si>
    <t>Ankush P</t>
  </si>
  <si>
    <t>Shena Nagar</t>
  </si>
  <si>
    <t>Mahendra Order</t>
  </si>
  <si>
    <t>Car Washing ( Sadium)</t>
  </si>
  <si>
    <t>Bhaaran 1</t>
  </si>
  <si>
    <t>Yogesh Bhandare</t>
  </si>
  <si>
    <t>Vichoda</t>
  </si>
  <si>
    <t>Hari Bhau</t>
  </si>
  <si>
    <t>Ravi / Gaju Bhau</t>
  </si>
  <si>
    <t>Backside Narayana</t>
  </si>
  <si>
    <t>Naresh kaka</t>
  </si>
  <si>
    <t>Gaju Bhau / Ravi</t>
  </si>
  <si>
    <t>Chichpalli</t>
  </si>
  <si>
    <t>Near Ram Setu</t>
  </si>
  <si>
    <t>Nagada</t>
  </si>
  <si>
    <t>Bappya Mama</t>
  </si>
  <si>
    <t>Rahim Bhaiya</t>
  </si>
  <si>
    <t>Sakarwahi Fhata</t>
  </si>
  <si>
    <t>Tadali</t>
  </si>
  <si>
    <t>Sachin K</t>
  </si>
  <si>
    <t>Raj Shifting To Rundawan</t>
  </si>
  <si>
    <t>vasanda</t>
  </si>
  <si>
    <t>Naresh Kaka</t>
  </si>
  <si>
    <t>Gaju Bhau / Vithal Bhau</t>
  </si>
  <si>
    <t>Ajaypur</t>
  </si>
  <si>
    <t>Devada</t>
  </si>
  <si>
    <t>Santosh</t>
  </si>
  <si>
    <t xml:space="preserve">Lakhmapur </t>
  </si>
  <si>
    <t>Rishab Driver</t>
  </si>
  <si>
    <t>Unkown</t>
  </si>
  <si>
    <t>Ravi / Rishab Driver</t>
  </si>
  <si>
    <t xml:space="preserve">Raj Farms Dumb </t>
  </si>
  <si>
    <t>National</t>
  </si>
  <si>
    <t>Near Hotel Al-Zam-Zam</t>
  </si>
  <si>
    <t>Sagar Ghorade</t>
  </si>
  <si>
    <t>Human Nagar</t>
  </si>
  <si>
    <t>Near Ambedkar Sabhagraugh</t>
  </si>
  <si>
    <t>Babupeth</t>
  </si>
  <si>
    <t>Dhanraj</t>
  </si>
  <si>
    <t>Saurabh Vidhate</t>
  </si>
  <si>
    <t>Rashtrawadi</t>
  </si>
  <si>
    <t xml:space="preserve">Akash </t>
  </si>
  <si>
    <t>Yashwant Nagar ( Halfton )</t>
  </si>
  <si>
    <t xml:space="preserve">Kosara </t>
  </si>
  <si>
    <t>Madarsha</t>
  </si>
  <si>
    <t>Narayana Kakaji</t>
  </si>
  <si>
    <t>Backside Narayana School</t>
  </si>
  <si>
    <t>Khutada</t>
  </si>
  <si>
    <t>Ravi / Dhanraj</t>
  </si>
  <si>
    <t xml:space="preserve">Ravi / Dhanraj </t>
  </si>
  <si>
    <t>Balaji Kaka</t>
  </si>
  <si>
    <t>Ravi  / Dhanraj</t>
  </si>
  <si>
    <t>Lauji Nagar</t>
  </si>
  <si>
    <t xml:space="preserve">Dhanraj  / Ravi </t>
  </si>
  <si>
    <t xml:space="preserve">Ravi  / Dhanraj </t>
  </si>
  <si>
    <t>Chauhan</t>
  </si>
  <si>
    <t>Rahul Dada</t>
  </si>
  <si>
    <t xml:space="preserve">Payment Method </t>
  </si>
  <si>
    <t>Payment Date</t>
  </si>
  <si>
    <t>Vechile Number</t>
  </si>
  <si>
    <t>N/A</t>
  </si>
  <si>
    <t>Pravin Singh</t>
  </si>
  <si>
    <t>Ravi Wandare</t>
  </si>
  <si>
    <t>Sammer Ingole</t>
  </si>
  <si>
    <t>Kale</t>
  </si>
  <si>
    <t>Raj Owned</t>
  </si>
  <si>
    <t>Amol Thekedar</t>
  </si>
  <si>
    <t>Krishna United</t>
  </si>
  <si>
    <t>Material Type</t>
  </si>
  <si>
    <t>Fly Ash</t>
  </si>
  <si>
    <t>Vehicle Type</t>
  </si>
  <si>
    <t>Hyva</t>
  </si>
  <si>
    <t>Pathanpura</t>
  </si>
  <si>
    <t>Aashay</t>
  </si>
  <si>
    <t>Chetan</t>
  </si>
  <si>
    <t>Mada Colony</t>
  </si>
  <si>
    <t>Shubham Dada</t>
  </si>
  <si>
    <t>Ambedkar Sabhagurah</t>
  </si>
  <si>
    <t>Golu</t>
  </si>
  <si>
    <t>Rishab Dupare</t>
  </si>
  <si>
    <t>ITI College</t>
  </si>
  <si>
    <t>ITI Collge</t>
  </si>
  <si>
    <t>Tadali T-Pointt</t>
  </si>
  <si>
    <t>Datta Nagar</t>
  </si>
  <si>
    <t>Sharik</t>
  </si>
  <si>
    <t>Anna</t>
  </si>
  <si>
    <t>Vithal Bhau</t>
  </si>
  <si>
    <t>Thackery Wadi</t>
  </si>
  <si>
    <t>Tharkey Wadi</t>
  </si>
  <si>
    <t>Akshu</t>
  </si>
  <si>
    <t>Nikhil Aaglave</t>
  </si>
  <si>
    <t>TRIP-HR-597</t>
  </si>
  <si>
    <t>TRIP-HR-598</t>
  </si>
  <si>
    <t>TRIP-HR-599</t>
  </si>
  <si>
    <t>TRIP-HR-600</t>
  </si>
  <si>
    <t>TRIP-HR-601</t>
  </si>
  <si>
    <t>TRIP-HR-602</t>
  </si>
  <si>
    <t>TRIP-HR-603</t>
  </si>
  <si>
    <t>TRIP-HR-604</t>
  </si>
  <si>
    <t>TRIP-HR-605</t>
  </si>
  <si>
    <t>TRIP-HR-606</t>
  </si>
  <si>
    <t>TRIP-HR-607</t>
  </si>
  <si>
    <t>TRIP-HR-608</t>
  </si>
  <si>
    <t>TRIP-HR-609</t>
  </si>
  <si>
    <t>TRIP-HR-610</t>
  </si>
  <si>
    <t>TRIP-HR-611</t>
  </si>
  <si>
    <t>TRIP-HR-612</t>
  </si>
  <si>
    <t>TRIP-HR-613</t>
  </si>
  <si>
    <t>TRIP-HR-614</t>
  </si>
  <si>
    <t>TRIP-HR-615</t>
  </si>
  <si>
    <t>TRIP-HR-616</t>
  </si>
  <si>
    <t>TRIP-HR-617</t>
  </si>
  <si>
    <t>TRIP-HR-618</t>
  </si>
  <si>
    <t>TRIP-HR-619</t>
  </si>
  <si>
    <t>TRIP-HR-620</t>
  </si>
  <si>
    <t>TRIP-HR-621</t>
  </si>
  <si>
    <t>TRIP-HR-622</t>
  </si>
  <si>
    <t>TRIP-HR-623</t>
  </si>
  <si>
    <t>TRIP-HR-624</t>
  </si>
  <si>
    <t>TRIP-HR-625</t>
  </si>
  <si>
    <t>TRIP-HR-626</t>
  </si>
  <si>
    <t>TRIP-HR-627</t>
  </si>
  <si>
    <t>TRIP-HR-628</t>
  </si>
  <si>
    <t>TRIP-HR-629</t>
  </si>
  <si>
    <t>TRIP-HR-630</t>
  </si>
  <si>
    <t>TRIP-HR-631</t>
  </si>
  <si>
    <t>TRIP-HR-632</t>
  </si>
  <si>
    <t>TRIP-HR-633</t>
  </si>
  <si>
    <t>TRIP-HR-634</t>
  </si>
  <si>
    <t>TRIP-HR-635</t>
  </si>
  <si>
    <t>TRIP-HR-636</t>
  </si>
  <si>
    <t>TRIP-HR-637</t>
  </si>
  <si>
    <t>TRIP-HR-638</t>
  </si>
  <si>
    <t>TRIP-HR-639</t>
  </si>
  <si>
    <t>TRIP-HR-640</t>
  </si>
  <si>
    <t>TRIP-HR-641</t>
  </si>
  <si>
    <t>TRIP-HR-642</t>
  </si>
  <si>
    <t>TRIP-HR-643</t>
  </si>
  <si>
    <t>TRIP-HR-644</t>
  </si>
  <si>
    <t>TRIP-HR-645</t>
  </si>
  <si>
    <t>TRIP-HR-646</t>
  </si>
  <si>
    <t>TRIP-HR-647</t>
  </si>
  <si>
    <t>TRIP-HR-648</t>
  </si>
  <si>
    <t>TRIP-HR-649</t>
  </si>
  <si>
    <t>TRIP-HR-650</t>
  </si>
  <si>
    <t>TRIP-HR-651</t>
  </si>
  <si>
    <t>TRIP-HR-652</t>
  </si>
  <si>
    <t>TRIP-HR-653</t>
  </si>
  <si>
    <t>TRIP-HR-654</t>
  </si>
  <si>
    <t>TRIP-HR-655</t>
  </si>
  <si>
    <t>TRIP-HR-656</t>
  </si>
  <si>
    <t>TRIP-HR-657</t>
  </si>
  <si>
    <t>TRIP-HR-658</t>
  </si>
  <si>
    <t>TRIP-HR-659</t>
  </si>
  <si>
    <t>TRIP-HR-660</t>
  </si>
  <si>
    <t>TRIP-HR-661</t>
  </si>
  <si>
    <t>TRIP-HR-662</t>
  </si>
  <si>
    <t>TRIP-HR-663</t>
  </si>
  <si>
    <t>TRIP-HR-664</t>
  </si>
  <si>
    <t>TRIP-HR-665</t>
  </si>
  <si>
    <t>TRIP-HR-666</t>
  </si>
  <si>
    <t>TRIP-HR-667</t>
  </si>
  <si>
    <t>TRIP-HR-668</t>
  </si>
  <si>
    <t>TRIP-HR-669</t>
  </si>
  <si>
    <t>TRIP-HR-670</t>
  </si>
  <si>
    <t>TRIP-HR-671</t>
  </si>
  <si>
    <t>TRIP-HR-672</t>
  </si>
  <si>
    <t>TRIP-HR-673</t>
  </si>
  <si>
    <t>TRIP-HR-674</t>
  </si>
  <si>
    <t>TRIP-HR-675</t>
  </si>
  <si>
    <t>TRIP-HR-676</t>
  </si>
  <si>
    <t>TRIP-HR-677</t>
  </si>
  <si>
    <t>TRIP-HR-678</t>
  </si>
  <si>
    <t>TRIP-HR-679</t>
  </si>
  <si>
    <t>TRIP-HR-680</t>
  </si>
  <si>
    <t>TRIP-HR-681</t>
  </si>
  <si>
    <t>TRIP-HR-682</t>
  </si>
  <si>
    <t>TRIP-HR-683</t>
  </si>
  <si>
    <t>TRIP-HR-684</t>
  </si>
  <si>
    <t>TRIP-HR-685</t>
  </si>
  <si>
    <t>TRIP-HR-686</t>
  </si>
  <si>
    <t>TRIP-HR-687</t>
  </si>
  <si>
    <t>TRIP-HR-688</t>
  </si>
  <si>
    <t>TRIP-HR-689</t>
  </si>
  <si>
    <t>TRIP-HR-690</t>
  </si>
  <si>
    <t>TRIP-HR-691</t>
  </si>
  <si>
    <t>TRIP-HR-692</t>
  </si>
  <si>
    <t>TRIP-HR-693</t>
  </si>
  <si>
    <t>TRIP-HR-694</t>
  </si>
  <si>
    <t>TRIP-HR-695</t>
  </si>
  <si>
    <t>TRIP-HR-696</t>
  </si>
  <si>
    <t>TRIP-HR-697</t>
  </si>
  <si>
    <t>TRIP-HR-698</t>
  </si>
  <si>
    <t>TRIP-HR-699</t>
  </si>
  <si>
    <t>TRIP-HR-700</t>
  </si>
  <si>
    <t>TRIP-HR-701</t>
  </si>
  <si>
    <t>TRIP-HR-702</t>
  </si>
  <si>
    <t>TRIP-HR-703</t>
  </si>
  <si>
    <t>TRIP-HR-704</t>
  </si>
  <si>
    <t>TRIP-HR-705</t>
  </si>
  <si>
    <t>TRIP-HR-706</t>
  </si>
  <si>
    <t>TRIP-HR-707</t>
  </si>
  <si>
    <t>TRIP-HR-708</t>
  </si>
  <si>
    <t>TRIP-HR-709</t>
  </si>
  <si>
    <t>TRIP-HR-710</t>
  </si>
  <si>
    <t>TRIP-HR-711</t>
  </si>
  <si>
    <t>TRIP-HR-712</t>
  </si>
  <si>
    <t>TRIP-HR-713</t>
  </si>
  <si>
    <t>TRIP-HR-714</t>
  </si>
  <si>
    <t>TRIP-HR-715</t>
  </si>
  <si>
    <t>TRIP-HR-716</t>
  </si>
  <si>
    <t>TRIP-HR-717</t>
  </si>
  <si>
    <t>TRIP-HR-718</t>
  </si>
  <si>
    <t>TRIP-HR-719</t>
  </si>
  <si>
    <t>TRIP-HR-720</t>
  </si>
  <si>
    <t>TRIP-HR-721</t>
  </si>
  <si>
    <t>TRIP-HR-722</t>
  </si>
  <si>
    <t>TRIP-HR-723</t>
  </si>
  <si>
    <t>TRIP-HR-724</t>
  </si>
  <si>
    <t>TRIP-HR-725</t>
  </si>
  <si>
    <t>TRIP-HR-726</t>
  </si>
  <si>
    <t>TRIP-HR-727</t>
  </si>
  <si>
    <t>TRIP-HR-728</t>
  </si>
  <si>
    <t>TRIP-HR-729</t>
  </si>
  <si>
    <t>TRIP-HR-730</t>
  </si>
  <si>
    <t>TRIP-HR-731</t>
  </si>
  <si>
    <t>TRIP-HR-732</t>
  </si>
  <si>
    <t>TRIP-HR-733</t>
  </si>
  <si>
    <t>TRIP-HR-734</t>
  </si>
  <si>
    <t>TRIP-HR-735</t>
  </si>
  <si>
    <t>TRIP-HR-736</t>
  </si>
  <si>
    <t>TRIP-HR-737</t>
  </si>
  <si>
    <t>TRIP-HR-738</t>
  </si>
  <si>
    <t>TRIP-HR-739</t>
  </si>
  <si>
    <t>TRIP-HR-740</t>
  </si>
  <si>
    <t>TRIP-HR-741</t>
  </si>
  <si>
    <t>TRIP-HR-742</t>
  </si>
  <si>
    <t>TRIP-HR-743</t>
  </si>
  <si>
    <t>TRIP-HR-744</t>
  </si>
  <si>
    <t>TRIP-HR-745</t>
  </si>
  <si>
    <t>TRIP-HR-746</t>
  </si>
  <si>
    <t>TRIP-HR-747</t>
  </si>
  <si>
    <t>TRIP-HR-748</t>
  </si>
  <si>
    <t>TRIP-HR-749</t>
  </si>
  <si>
    <t>TRIP-HR-750</t>
  </si>
  <si>
    <t>TRIP-HR-751</t>
  </si>
  <si>
    <t>TRIP-HR-752</t>
  </si>
  <si>
    <t>TRIP-HR-753</t>
  </si>
  <si>
    <t>TRIP-HR-754</t>
  </si>
  <si>
    <t>TRIP-HR-755</t>
  </si>
  <si>
    <t>TRIP-HR-756</t>
  </si>
  <si>
    <t>TRIP-HR-757</t>
  </si>
  <si>
    <t>TRIP-HR-758</t>
  </si>
  <si>
    <t>TRIP-HR-759</t>
  </si>
  <si>
    <t>TRIP-HR-760</t>
  </si>
  <si>
    <t>TRIP-HR-761</t>
  </si>
  <si>
    <t>TRIP-HR-762</t>
  </si>
  <si>
    <t>TRIP-HR-763</t>
  </si>
  <si>
    <t>TRIP-HR-764</t>
  </si>
  <si>
    <t>TRIP-HR-765</t>
  </si>
  <si>
    <t>TRIP-HR-766</t>
  </si>
  <si>
    <t>TRIP-HR-767</t>
  </si>
  <si>
    <t>TRIP-HR-768</t>
  </si>
  <si>
    <t>TRIP-HR-769</t>
  </si>
  <si>
    <t>TRIP-HR-770</t>
  </si>
  <si>
    <t>TRIP-HR-771</t>
  </si>
  <si>
    <t>TRIP-HR-772</t>
  </si>
  <si>
    <t>TRIP-HR-773</t>
  </si>
  <si>
    <t>TRIP-HR-774</t>
  </si>
  <si>
    <t>TRIP-HR-775</t>
  </si>
  <si>
    <t>TRIP-HR-776</t>
  </si>
  <si>
    <t>TRIP-HR-777</t>
  </si>
  <si>
    <t>TRIP-HR-778</t>
  </si>
  <si>
    <t>TRIP-HR-779</t>
  </si>
  <si>
    <t>TRIP-HR-780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</si>
</sst>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.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sz val="14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165" fontId="3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Data%20Cleaned.xlsx" TargetMode="External"/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/Users/sahilwaghmare/Desktop/Data%20Transfer%202024%20Raj%20Construction/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 ( Raj Dad )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 ( Raj Dad )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Dayarkar ( Raj Dad )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 ( Roshan )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 xml:space="preserve">Saija Bai 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</sheetData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Sheet1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E815-16C5-AE4E-A1C1-5789E9D88009}">
  <dimension ref="A1:AB185"/>
  <sheetViews>
    <sheetView tabSelected="1" zoomScale="110" workbookViewId="0">
      <selection activeCell="C141" sqref="C141"/>
    </sheetView>
  </sheetViews>
  <sheetFormatPr baseColWidth="10" defaultRowHeight="16" x14ac:dyDescent="0.2"/>
  <cols>
    <col min="1" max="1" width="11.5" bestFit="1" customWidth="1"/>
    <col min="2" max="2" width="32" bestFit="1" customWidth="1"/>
    <col min="3" max="3" width="14.1640625" bestFit="1" customWidth="1"/>
    <col min="4" max="4" width="18.5" bestFit="1" customWidth="1"/>
    <col min="5" max="5" width="23.33203125" bestFit="1" customWidth="1"/>
    <col min="6" max="7" width="12" bestFit="1" customWidth="1"/>
    <col min="8" max="8" width="7.5" bestFit="1" customWidth="1"/>
    <col min="9" max="11" width="12.1640625" bestFit="1" customWidth="1"/>
    <col min="12" max="12" width="28.5" bestFit="1" customWidth="1"/>
    <col min="13" max="13" width="8.1640625" bestFit="1" customWidth="1"/>
    <col min="14" max="14" width="11.1640625" bestFit="1" customWidth="1"/>
    <col min="15" max="16" width="12.33203125" bestFit="1" customWidth="1"/>
    <col min="17" max="17" width="11.1640625" bestFit="1" customWidth="1"/>
    <col min="18" max="18" width="14.1640625" bestFit="1" customWidth="1"/>
    <col min="19" max="19" width="6.1640625" bestFit="1" customWidth="1"/>
    <col min="20" max="20" width="14.5" bestFit="1" customWidth="1"/>
    <col min="21" max="21" width="13.33203125" bestFit="1" customWidth="1"/>
    <col min="22" max="22" width="17.33203125" bestFit="1" customWidth="1"/>
    <col min="23" max="23" width="13.5" bestFit="1" customWidth="1"/>
    <col min="24" max="24" width="13.5" customWidth="1"/>
    <col min="25" max="25" width="12.33203125" bestFit="1" customWidth="1"/>
    <col min="26" max="26" width="12.332031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132</v>
      </c>
      <c r="Y1" s="1" t="s">
        <v>130</v>
      </c>
      <c r="Z1" s="1" t="s">
        <v>121</v>
      </c>
      <c r="AA1" s="1" t="s">
        <v>119</v>
      </c>
      <c r="AB1" s="1" t="s">
        <v>120</v>
      </c>
    </row>
    <row r="2" spans="1:28" ht="19" x14ac:dyDescent="0.25">
      <c r="A2" t="s">
        <v>153</v>
      </c>
      <c r="B2" s="2">
        <v>45660</v>
      </c>
      <c r="C2" s="3" t="str">
        <f>_xlfn.XLOOKUP(D2,'[1]Jan Customer Duplicate Hyva'!$B:$B,'[1]Jan Customer Duplicate Hyva'!$A:$A,"NOT FOUND")</f>
        <v>CUST-207</v>
      </c>
      <c r="D2" s="4" t="s">
        <v>41</v>
      </c>
      <c r="E2" s="4" t="s">
        <v>26</v>
      </c>
      <c r="F2" s="5" t="str">
        <f>TRIM(_xlfn.TEXTBEFORE(E2&amp;" / "," / "))</f>
        <v>Ravi</v>
      </c>
      <c r="G2" s="3"/>
      <c r="H2" s="3"/>
      <c r="I2" s="5" t="str">
        <f>_xlfn.XLOOKUP(F2,'[1]Jan Labour Nd Drivers Hyva'!$B:$B,'[2]Jan Labour Nd Drivers Hyva'!$A:$A,"NOT FOUND")</f>
        <v>LAB-003</v>
      </c>
      <c r="J2" s="3"/>
      <c r="K2" s="3"/>
      <c r="L2" s="4" t="s">
        <v>134</v>
      </c>
      <c r="M2" s="6">
        <v>1</v>
      </c>
      <c r="N2" s="7">
        <v>4000</v>
      </c>
      <c r="O2" s="7">
        <f>N2*M2</f>
        <v>4000</v>
      </c>
      <c r="P2" s="7">
        <v>4000</v>
      </c>
      <c r="Q2" s="7">
        <f>O2-P2</f>
        <v>0</v>
      </c>
      <c r="R2" s="3" t="str">
        <f>IF(Q2=0,"PAID",IF(P2=0,"UNPAID","PARTIAL"))</f>
        <v>PAID</v>
      </c>
      <c r="S2" s="3"/>
      <c r="T2" s="3">
        <f>M2*N2</f>
        <v>4000</v>
      </c>
      <c r="U2" s="3" t="str">
        <f>IF(ROUND(T2,2)=ROUND(O2,2),"OK","CHECK")</f>
        <v>OK</v>
      </c>
      <c r="V2" s="8">
        <f>O2-P2</f>
        <v>0</v>
      </c>
      <c r="W2" s="3" t="str">
        <f>IF(ROUND(V2,2)=ROUND(Q2,2),"OK","CHECK")</f>
        <v>OK</v>
      </c>
      <c r="X2" s="3" t="s">
        <v>133</v>
      </c>
      <c r="Y2" s="3" t="s">
        <v>131</v>
      </c>
      <c r="Z2" s="3" t="s">
        <v>122</v>
      </c>
      <c r="AA2" s="3" t="s">
        <v>122</v>
      </c>
      <c r="AB2" s="3" t="s">
        <v>122</v>
      </c>
    </row>
    <row r="3" spans="1:28" ht="19" x14ac:dyDescent="0.25">
      <c r="A3" t="s">
        <v>154</v>
      </c>
      <c r="B3" s="2">
        <v>45666</v>
      </c>
      <c r="C3" s="3" t="str">
        <f>_xlfn.XLOOKUP(D3,'[1]Jan Customer Duplicate Hyva'!$B:$B,'[1]Jan Customer Duplicate Hyva'!$A:$A,"NOT FOUND")</f>
        <v>CUST-005</v>
      </c>
      <c r="D3" s="4" t="s">
        <v>135</v>
      </c>
      <c r="E3" s="4" t="s">
        <v>24</v>
      </c>
      <c r="F3" s="5" t="str">
        <f t="shared" ref="F3:F43" si="0">TRIM(_xlfn.TEXTBEFORE(E3&amp;" / "," / "))</f>
        <v>Gaju Bhau</v>
      </c>
      <c r="G3" s="3"/>
      <c r="H3" s="3"/>
      <c r="I3" s="5" t="str">
        <f>_xlfn.XLOOKUP(F3,'[1]Jan Labour Nd Drivers Hyva'!$B:$B,'[2]Jan Labour Nd Drivers Hyva'!$A:$A,"NOT FOUND")</f>
        <v>LAB-001</v>
      </c>
      <c r="J3" s="3"/>
      <c r="K3" s="3"/>
      <c r="L3" s="4" t="s">
        <v>44</v>
      </c>
      <c r="M3" s="6">
        <v>6</v>
      </c>
      <c r="N3" s="7">
        <v>2800</v>
      </c>
      <c r="O3" s="7">
        <f t="shared" ref="O3:O43" si="1">N3*M3</f>
        <v>16800</v>
      </c>
      <c r="P3" s="7">
        <v>16800</v>
      </c>
      <c r="Q3" s="7">
        <f t="shared" ref="Q3:Q43" si="2">O3-P3</f>
        <v>0</v>
      </c>
      <c r="R3" s="3" t="str">
        <f t="shared" ref="R3:R43" si="3">IF(Q3=0,"PAID",IF(P3=0,"UNPAID","PARTIAL"))</f>
        <v>PAID</v>
      </c>
      <c r="S3" s="3"/>
      <c r="T3" s="3">
        <f t="shared" ref="T3:T43" si="4">M3*N3</f>
        <v>16800</v>
      </c>
      <c r="U3" s="3" t="str">
        <f t="shared" ref="U3:U43" si="5">IF(ROUND(T3,2)=ROUND(O3,2),"OK","CHECK")</f>
        <v>OK</v>
      </c>
      <c r="V3" s="8">
        <f t="shared" ref="V3:V43" si="6">O3-P3</f>
        <v>0</v>
      </c>
      <c r="W3" s="3" t="str">
        <f t="shared" ref="W3:W43" si="7">IF(ROUND(V3,2)=ROUND(Q3,2),"OK","CHECK")</f>
        <v>OK</v>
      </c>
      <c r="X3" s="3" t="s">
        <v>133</v>
      </c>
      <c r="Y3" s="3" t="s">
        <v>131</v>
      </c>
      <c r="Z3" s="3" t="s">
        <v>122</v>
      </c>
      <c r="AA3" s="3" t="s">
        <v>122</v>
      </c>
      <c r="AB3" s="3" t="s">
        <v>122</v>
      </c>
    </row>
    <row r="4" spans="1:28" ht="19" x14ac:dyDescent="0.25">
      <c r="A4" t="s">
        <v>155</v>
      </c>
      <c r="B4" s="2">
        <v>45666</v>
      </c>
      <c r="C4" s="3" t="str">
        <f>_xlfn.XLOOKUP(D4,'[1]Jan Customer Duplicate Hyva'!$B:$B,'[1]Jan Customer Duplicate Hyva'!$A:$A,"NOT FOUND")</f>
        <v>CUST-005</v>
      </c>
      <c r="D4" s="4" t="s">
        <v>135</v>
      </c>
      <c r="E4" s="4" t="s">
        <v>30</v>
      </c>
      <c r="F4" s="5" t="str">
        <f t="shared" si="0"/>
        <v>Anshu</v>
      </c>
      <c r="G4" s="3"/>
      <c r="H4" s="3"/>
      <c r="I4" s="5" t="str">
        <f>_xlfn.XLOOKUP(F4,'[1]Jan Labour Nd Drivers Hyva'!$B:$B,'[2]Jan Labour Nd Drivers Hyva'!$A:$A,"NOT FOUND")</f>
        <v>LAB-002</v>
      </c>
      <c r="J4" s="3"/>
      <c r="K4" s="3"/>
      <c r="L4" s="4" t="s">
        <v>44</v>
      </c>
      <c r="M4" s="6">
        <v>6</v>
      </c>
      <c r="N4" s="7">
        <v>2800</v>
      </c>
      <c r="O4" s="7">
        <f t="shared" si="1"/>
        <v>16800</v>
      </c>
      <c r="P4" s="7">
        <v>16800</v>
      </c>
      <c r="Q4" s="7">
        <f t="shared" si="2"/>
        <v>0</v>
      </c>
      <c r="R4" s="3" t="str">
        <f t="shared" si="3"/>
        <v>PAID</v>
      </c>
      <c r="S4" s="3"/>
      <c r="T4" s="3">
        <f t="shared" si="4"/>
        <v>16800</v>
      </c>
      <c r="U4" s="3" t="str">
        <f t="shared" si="5"/>
        <v>OK</v>
      </c>
      <c r="V4" s="8">
        <f t="shared" si="6"/>
        <v>0</v>
      </c>
      <c r="W4" s="3" t="str">
        <f t="shared" si="7"/>
        <v>OK</v>
      </c>
      <c r="X4" s="3" t="s">
        <v>133</v>
      </c>
      <c r="Y4" s="3" t="s">
        <v>131</v>
      </c>
      <c r="Z4" s="3" t="s">
        <v>122</v>
      </c>
      <c r="AA4" s="3" t="s">
        <v>122</v>
      </c>
      <c r="AB4" s="3" t="s">
        <v>122</v>
      </c>
    </row>
    <row r="5" spans="1:28" ht="19" x14ac:dyDescent="0.25">
      <c r="A5" t="s">
        <v>156</v>
      </c>
      <c r="B5" s="2">
        <v>45666</v>
      </c>
      <c r="C5" s="3" t="str">
        <f>_xlfn.XLOOKUP(D5,'[1]Jan Customer Duplicate Hyva'!$B:$B,'[1]Jan Customer Duplicate Hyva'!$A:$A,"NOT FOUND")</f>
        <v>CUST-075</v>
      </c>
      <c r="D5" s="4" t="s">
        <v>136</v>
      </c>
      <c r="E5" s="4" t="s">
        <v>30</v>
      </c>
      <c r="F5" s="5" t="str">
        <f t="shared" si="0"/>
        <v>Anshu</v>
      </c>
      <c r="G5" s="3"/>
      <c r="H5" s="3"/>
      <c r="I5" s="5" t="str">
        <f>_xlfn.XLOOKUP(F5,'[1]Jan Labour Nd Drivers Hyva'!$B:$B,'[2]Jan Labour Nd Drivers Hyva'!$A:$A,"NOT FOUND")</f>
        <v>LAB-002</v>
      </c>
      <c r="J5" s="3"/>
      <c r="K5" s="3"/>
      <c r="L5" s="4" t="s">
        <v>137</v>
      </c>
      <c r="M5" s="6">
        <v>2</v>
      </c>
      <c r="N5" s="7">
        <v>2700</v>
      </c>
      <c r="O5" s="7">
        <f t="shared" si="1"/>
        <v>5400</v>
      </c>
      <c r="P5" s="7">
        <v>5400</v>
      </c>
      <c r="Q5" s="7">
        <f t="shared" si="2"/>
        <v>0</v>
      </c>
      <c r="R5" s="3" t="str">
        <f t="shared" si="3"/>
        <v>PAID</v>
      </c>
      <c r="S5" s="3"/>
      <c r="T5" s="3">
        <f t="shared" si="4"/>
        <v>5400</v>
      </c>
      <c r="U5" s="3" t="str">
        <f t="shared" si="5"/>
        <v>OK</v>
      </c>
      <c r="V5" s="8">
        <f t="shared" si="6"/>
        <v>0</v>
      </c>
      <c r="W5" s="3" t="str">
        <f t="shared" si="7"/>
        <v>OK</v>
      </c>
      <c r="X5" s="3" t="s">
        <v>133</v>
      </c>
      <c r="Y5" s="3" t="s">
        <v>131</v>
      </c>
      <c r="Z5" s="3" t="s">
        <v>122</v>
      </c>
      <c r="AA5" s="3" t="s">
        <v>122</v>
      </c>
      <c r="AB5" s="3" t="s">
        <v>122</v>
      </c>
    </row>
    <row r="6" spans="1:28" ht="19" x14ac:dyDescent="0.25">
      <c r="A6" t="s">
        <v>157</v>
      </c>
      <c r="B6" s="2">
        <v>45667</v>
      </c>
      <c r="C6" s="3" t="str">
        <f>_xlfn.XLOOKUP(D6,'[1]Jan Customer Duplicate Hyva'!$B:$B,'[1]Jan Customer Duplicate Hyva'!$A:$A,"NOT FOUND")</f>
        <v>CUST-005</v>
      </c>
      <c r="D6" s="4" t="s">
        <v>135</v>
      </c>
      <c r="E6" s="4" t="s">
        <v>30</v>
      </c>
      <c r="F6" s="5" t="str">
        <f t="shared" si="0"/>
        <v>Anshu</v>
      </c>
      <c r="G6" s="3"/>
      <c r="H6" s="3"/>
      <c r="I6" s="5" t="str">
        <f>_xlfn.XLOOKUP(F6,'[1]Jan Labour Nd Drivers Hyva'!$B:$B,'[2]Jan Labour Nd Drivers Hyva'!$A:$A,"NOT FOUND")</f>
        <v>LAB-002</v>
      </c>
      <c r="J6" s="3"/>
      <c r="K6" s="3"/>
      <c r="L6" s="4" t="s">
        <v>44</v>
      </c>
      <c r="M6" s="6">
        <v>4</v>
      </c>
      <c r="N6" s="7">
        <v>2800</v>
      </c>
      <c r="O6" s="7">
        <f t="shared" si="1"/>
        <v>11200</v>
      </c>
      <c r="P6" s="7">
        <v>11200</v>
      </c>
      <c r="Q6" s="7">
        <f t="shared" si="2"/>
        <v>0</v>
      </c>
      <c r="R6" s="3" t="str">
        <f t="shared" si="3"/>
        <v>PAID</v>
      </c>
      <c r="S6" s="3"/>
      <c r="T6" s="3">
        <f t="shared" si="4"/>
        <v>11200</v>
      </c>
      <c r="U6" s="3" t="str">
        <f t="shared" si="5"/>
        <v>OK</v>
      </c>
      <c r="V6" s="8">
        <f t="shared" si="6"/>
        <v>0</v>
      </c>
      <c r="W6" s="3" t="str">
        <f t="shared" si="7"/>
        <v>OK</v>
      </c>
      <c r="X6" s="3" t="s">
        <v>133</v>
      </c>
      <c r="Y6" s="3" t="s">
        <v>131</v>
      </c>
      <c r="Z6" s="3" t="s">
        <v>122</v>
      </c>
      <c r="AA6" s="3" t="s">
        <v>122</v>
      </c>
      <c r="AB6" s="3" t="s">
        <v>122</v>
      </c>
    </row>
    <row r="7" spans="1:28" ht="19" x14ac:dyDescent="0.25">
      <c r="A7" t="s">
        <v>158</v>
      </c>
      <c r="B7" s="2">
        <v>45667</v>
      </c>
      <c r="C7" s="3" t="str">
        <f>_xlfn.XLOOKUP(D7,'[1]Jan Customer Duplicate Hyva'!$B:$B,'[1]Jan Customer Duplicate Hyva'!$A:$A,"NOT FOUND")</f>
        <v>CUST-005</v>
      </c>
      <c r="D7" s="4" t="s">
        <v>135</v>
      </c>
      <c r="E7" s="4" t="s">
        <v>24</v>
      </c>
      <c r="F7" s="5" t="str">
        <f t="shared" si="0"/>
        <v>Gaju Bhau</v>
      </c>
      <c r="G7" s="3"/>
      <c r="H7" s="3"/>
      <c r="I7" s="5" t="str">
        <f>_xlfn.XLOOKUP(F7,'[1]Jan Labour Nd Drivers Hyva'!$B:$B,'[2]Jan Labour Nd Drivers Hyva'!$A:$A,"NOT FOUND")</f>
        <v>LAB-001</v>
      </c>
      <c r="J7" s="3"/>
      <c r="K7" s="3"/>
      <c r="L7" s="4" t="s">
        <v>44</v>
      </c>
      <c r="M7" s="6">
        <v>4</v>
      </c>
      <c r="N7" s="7">
        <v>2800</v>
      </c>
      <c r="O7" s="7">
        <f t="shared" si="1"/>
        <v>11200</v>
      </c>
      <c r="P7" s="7">
        <v>11200</v>
      </c>
      <c r="Q7" s="7">
        <f t="shared" si="2"/>
        <v>0</v>
      </c>
      <c r="R7" s="3" t="str">
        <f t="shared" si="3"/>
        <v>PAID</v>
      </c>
      <c r="S7" s="3"/>
      <c r="T7" s="3">
        <f t="shared" si="4"/>
        <v>11200</v>
      </c>
      <c r="U7" s="3" t="str">
        <f t="shared" si="5"/>
        <v>OK</v>
      </c>
      <c r="V7" s="8">
        <f t="shared" si="6"/>
        <v>0</v>
      </c>
      <c r="W7" s="3" t="str">
        <f t="shared" si="7"/>
        <v>OK</v>
      </c>
      <c r="X7" s="3" t="s">
        <v>133</v>
      </c>
      <c r="Y7" s="3" t="s">
        <v>131</v>
      </c>
      <c r="Z7" s="3" t="s">
        <v>122</v>
      </c>
      <c r="AA7" s="3" t="s">
        <v>122</v>
      </c>
      <c r="AB7" s="3" t="s">
        <v>122</v>
      </c>
    </row>
    <row r="8" spans="1:28" ht="19" x14ac:dyDescent="0.25">
      <c r="A8" t="s">
        <v>159</v>
      </c>
      <c r="B8" s="2">
        <v>45667</v>
      </c>
      <c r="C8" s="3" t="str">
        <f>_xlfn.XLOOKUP(D8,'[1]Jan Customer Duplicate Hyva'!$B:$B,'[1]Jan Customer Duplicate Hyva'!$A:$A,"NOT FOUND")</f>
        <v>CUST-340</v>
      </c>
      <c r="D8" s="4" t="s">
        <v>138</v>
      </c>
      <c r="E8" s="4" t="s">
        <v>24</v>
      </c>
      <c r="F8" s="5" t="str">
        <f t="shared" si="0"/>
        <v>Gaju Bhau</v>
      </c>
      <c r="G8" s="3"/>
      <c r="H8" s="3"/>
      <c r="I8" s="5" t="str">
        <f>_xlfn.XLOOKUP(F8,'[1]Jan Labour Nd Drivers Hyva'!$B:$B,'[2]Jan Labour Nd Drivers Hyva'!$A:$A,"NOT FOUND")</f>
        <v>LAB-001</v>
      </c>
      <c r="J8" s="3"/>
      <c r="K8" s="3"/>
      <c r="L8" s="4" t="s">
        <v>55</v>
      </c>
      <c r="M8" s="6">
        <v>3</v>
      </c>
      <c r="N8" s="7">
        <v>2700</v>
      </c>
      <c r="O8" s="7">
        <f t="shared" si="1"/>
        <v>8100</v>
      </c>
      <c r="P8" s="7">
        <v>8100</v>
      </c>
      <c r="Q8" s="7">
        <f t="shared" si="2"/>
        <v>0</v>
      </c>
      <c r="R8" s="3" t="str">
        <f t="shared" si="3"/>
        <v>PAID</v>
      </c>
      <c r="S8" s="3"/>
      <c r="T8" s="3">
        <f t="shared" si="4"/>
        <v>8100</v>
      </c>
      <c r="U8" s="3" t="str">
        <f t="shared" si="5"/>
        <v>OK</v>
      </c>
      <c r="V8" s="8">
        <f t="shared" si="6"/>
        <v>0</v>
      </c>
      <c r="W8" s="3" t="str">
        <f t="shared" si="7"/>
        <v>OK</v>
      </c>
      <c r="X8" s="3" t="s">
        <v>133</v>
      </c>
      <c r="Y8" s="3" t="s">
        <v>131</v>
      </c>
      <c r="Z8" s="3" t="s">
        <v>122</v>
      </c>
      <c r="AA8" s="3" t="s">
        <v>122</v>
      </c>
      <c r="AB8" s="3" t="s">
        <v>122</v>
      </c>
    </row>
    <row r="9" spans="1:28" ht="19" x14ac:dyDescent="0.25">
      <c r="A9" t="s">
        <v>160</v>
      </c>
      <c r="B9" s="2">
        <v>45667</v>
      </c>
      <c r="C9" s="3" t="str">
        <f>_xlfn.XLOOKUP(D9,'[1]Jan Customer Duplicate Hyva'!$B:$B,'[1]Jan Customer Duplicate Hyva'!$A:$A,"NOT FOUND")</f>
        <v>CUST-340</v>
      </c>
      <c r="D9" s="4" t="s">
        <v>138</v>
      </c>
      <c r="E9" s="4" t="s">
        <v>30</v>
      </c>
      <c r="F9" s="5" t="str">
        <f t="shared" si="0"/>
        <v>Anshu</v>
      </c>
      <c r="G9" s="3"/>
      <c r="H9" s="3"/>
      <c r="I9" s="5" t="str">
        <f>_xlfn.XLOOKUP(F9,'[1]Jan Labour Nd Drivers Hyva'!$B:$B,'[2]Jan Labour Nd Drivers Hyva'!$A:$A,"NOT FOUND")</f>
        <v>LAB-002</v>
      </c>
      <c r="J9" s="3"/>
      <c r="K9" s="3"/>
      <c r="L9" s="4" t="s">
        <v>55</v>
      </c>
      <c r="M9" s="6">
        <v>1</v>
      </c>
      <c r="N9" s="7">
        <v>2700</v>
      </c>
      <c r="O9" s="7">
        <f t="shared" si="1"/>
        <v>2700</v>
      </c>
      <c r="P9" s="7"/>
      <c r="Q9" s="7">
        <f t="shared" si="2"/>
        <v>2700</v>
      </c>
      <c r="R9" s="3" t="str">
        <f t="shared" si="3"/>
        <v>UNPAID</v>
      </c>
      <c r="S9" s="3"/>
      <c r="T9" s="3">
        <f t="shared" si="4"/>
        <v>2700</v>
      </c>
      <c r="U9" s="3" t="str">
        <f t="shared" si="5"/>
        <v>OK</v>
      </c>
      <c r="V9" s="8">
        <f t="shared" si="6"/>
        <v>2700</v>
      </c>
      <c r="W9" s="3" t="str">
        <f t="shared" si="7"/>
        <v>OK</v>
      </c>
      <c r="X9" s="3" t="s">
        <v>133</v>
      </c>
      <c r="Y9" s="3" t="s">
        <v>131</v>
      </c>
      <c r="Z9" s="3" t="s">
        <v>122</v>
      </c>
      <c r="AA9" s="3" t="s">
        <v>122</v>
      </c>
      <c r="AB9" s="3" t="s">
        <v>122</v>
      </c>
    </row>
    <row r="10" spans="1:28" ht="19" x14ac:dyDescent="0.25">
      <c r="A10" t="s">
        <v>161</v>
      </c>
      <c r="B10" s="2">
        <v>45669</v>
      </c>
      <c r="C10" s="3" t="str">
        <f>_xlfn.XLOOKUP(D10,'[1]Jan Customer Duplicate Hyva'!$B:$B,'[1]Jan Customer Duplicate Hyva'!$A:$A,"NOT FOUND")</f>
        <v>CUST-340</v>
      </c>
      <c r="D10" s="4" t="s">
        <v>138</v>
      </c>
      <c r="E10" s="4" t="s">
        <v>30</v>
      </c>
      <c r="F10" s="5" t="str">
        <f t="shared" si="0"/>
        <v>Anshu</v>
      </c>
      <c r="G10" s="3"/>
      <c r="H10" s="3"/>
      <c r="I10" s="5" t="str">
        <f>_xlfn.XLOOKUP(F10,'[1]Jan Labour Nd Drivers Hyva'!$B:$B,'[2]Jan Labour Nd Drivers Hyva'!$A:$A,"NOT FOUND")</f>
        <v>LAB-002</v>
      </c>
      <c r="J10" s="3"/>
      <c r="K10" s="3"/>
      <c r="L10" s="4" t="s">
        <v>44</v>
      </c>
      <c r="M10" s="6">
        <v>2</v>
      </c>
      <c r="N10" s="7">
        <v>2500</v>
      </c>
      <c r="O10" s="7">
        <f t="shared" si="1"/>
        <v>5000</v>
      </c>
      <c r="P10" s="7"/>
      <c r="Q10" s="7">
        <f t="shared" si="2"/>
        <v>5000</v>
      </c>
      <c r="R10" s="3" t="str">
        <f t="shared" si="3"/>
        <v>UNPAID</v>
      </c>
      <c r="S10" s="3"/>
      <c r="T10" s="3">
        <f t="shared" si="4"/>
        <v>5000</v>
      </c>
      <c r="U10" s="3" t="str">
        <f t="shared" si="5"/>
        <v>OK</v>
      </c>
      <c r="V10" s="8">
        <f t="shared" si="6"/>
        <v>5000</v>
      </c>
      <c r="W10" s="3" t="str">
        <f t="shared" si="7"/>
        <v>OK</v>
      </c>
      <c r="X10" s="3" t="s">
        <v>133</v>
      </c>
      <c r="Y10" s="3" t="s">
        <v>131</v>
      </c>
      <c r="Z10" s="3" t="s">
        <v>122</v>
      </c>
      <c r="AA10" s="3" t="s">
        <v>122</v>
      </c>
      <c r="AB10" s="3" t="s">
        <v>122</v>
      </c>
    </row>
    <row r="11" spans="1:28" ht="19" x14ac:dyDescent="0.25">
      <c r="A11" t="s">
        <v>162</v>
      </c>
      <c r="B11" s="2">
        <v>45672</v>
      </c>
      <c r="C11" s="3" t="str">
        <f>_xlfn.XLOOKUP(D11,'[1]Jan Customer Duplicate Hyva'!$B:$B,'[1]Jan Customer Duplicate Hyva'!$A:$A,"NOT FOUND")</f>
        <v>CUST-340</v>
      </c>
      <c r="D11" s="4" t="s">
        <v>138</v>
      </c>
      <c r="E11" s="4" t="s">
        <v>30</v>
      </c>
      <c r="F11" s="5" t="str">
        <f t="shared" si="0"/>
        <v>Anshu</v>
      </c>
      <c r="G11" s="3"/>
      <c r="H11" s="3"/>
      <c r="I11" s="5" t="str">
        <f>_xlfn.XLOOKUP(F11,'[1]Jan Labour Nd Drivers Hyva'!$B:$B,'[2]Jan Labour Nd Drivers Hyva'!$A:$A,"NOT FOUND")</f>
        <v>LAB-002</v>
      </c>
      <c r="J11" s="3"/>
      <c r="K11" s="3"/>
      <c r="L11" s="4" t="s">
        <v>139</v>
      </c>
      <c r="M11" s="6">
        <v>1</v>
      </c>
      <c r="N11" s="7">
        <v>2500</v>
      </c>
      <c r="O11" s="7">
        <f t="shared" si="1"/>
        <v>2500</v>
      </c>
      <c r="P11" s="7">
        <v>2500</v>
      </c>
      <c r="Q11" s="7">
        <f t="shared" si="2"/>
        <v>0</v>
      </c>
      <c r="R11" s="3" t="str">
        <f t="shared" si="3"/>
        <v>PAID</v>
      </c>
      <c r="S11" s="3"/>
      <c r="T11" s="3">
        <f t="shared" si="4"/>
        <v>2500</v>
      </c>
      <c r="U11" s="3" t="str">
        <f t="shared" si="5"/>
        <v>OK</v>
      </c>
      <c r="V11" s="8">
        <f t="shared" si="6"/>
        <v>0</v>
      </c>
      <c r="W11" s="3" t="str">
        <f t="shared" si="7"/>
        <v>OK</v>
      </c>
      <c r="X11" s="3" t="s">
        <v>133</v>
      </c>
      <c r="Y11" s="3" t="s">
        <v>131</v>
      </c>
      <c r="Z11" s="3" t="s">
        <v>122</v>
      </c>
      <c r="AA11" s="3" t="s">
        <v>122</v>
      </c>
      <c r="AB11" s="3" t="s">
        <v>122</v>
      </c>
    </row>
    <row r="12" spans="1:28" ht="19" x14ac:dyDescent="0.25">
      <c r="A12" t="s">
        <v>163</v>
      </c>
      <c r="B12" s="2">
        <v>45672</v>
      </c>
      <c r="C12" s="3" t="str">
        <f>_xlfn.XLOOKUP(D12,'[1]Jan Customer Duplicate Hyva'!$B:$B,'[1]Jan Customer Duplicate Hyva'!$A:$A,"NOT FOUND")</f>
        <v>CUST-054</v>
      </c>
      <c r="D12" s="4" t="s">
        <v>112</v>
      </c>
      <c r="E12" s="4" t="s">
        <v>24</v>
      </c>
      <c r="F12" s="5" t="str">
        <f t="shared" si="0"/>
        <v>Gaju Bhau</v>
      </c>
      <c r="G12" s="3"/>
      <c r="H12" s="3"/>
      <c r="I12" s="5" t="str">
        <f>_xlfn.XLOOKUP(F12,'[1]Jan Labour Nd Drivers Hyva'!$B:$B,'[2]Jan Labour Nd Drivers Hyva'!$A:$A,"NOT FOUND")</f>
        <v>LAB-001</v>
      </c>
      <c r="J12" s="3"/>
      <c r="K12" s="3"/>
      <c r="L12" s="4" t="s">
        <v>34</v>
      </c>
      <c r="M12" s="6">
        <v>1</v>
      </c>
      <c r="N12" s="7">
        <v>2500</v>
      </c>
      <c r="O12" s="7">
        <f t="shared" si="1"/>
        <v>2500</v>
      </c>
      <c r="P12" s="7"/>
      <c r="Q12" s="7">
        <f t="shared" si="2"/>
        <v>2500</v>
      </c>
      <c r="R12" s="3" t="str">
        <f t="shared" si="3"/>
        <v>UNPAID</v>
      </c>
      <c r="S12" s="3"/>
      <c r="T12" s="3">
        <f t="shared" si="4"/>
        <v>2500</v>
      </c>
      <c r="U12" s="3" t="str">
        <f t="shared" si="5"/>
        <v>OK</v>
      </c>
      <c r="V12" s="8">
        <f t="shared" si="6"/>
        <v>2500</v>
      </c>
      <c r="W12" s="3" t="str">
        <f t="shared" si="7"/>
        <v>OK</v>
      </c>
      <c r="X12" s="3" t="s">
        <v>133</v>
      </c>
      <c r="Y12" s="3" t="s">
        <v>131</v>
      </c>
      <c r="Z12" s="3" t="s">
        <v>122</v>
      </c>
      <c r="AA12" s="3" t="s">
        <v>122</v>
      </c>
      <c r="AB12" s="3" t="s">
        <v>122</v>
      </c>
    </row>
    <row r="13" spans="1:28" ht="19" x14ac:dyDescent="0.25">
      <c r="A13" t="s">
        <v>164</v>
      </c>
      <c r="B13" s="2">
        <v>45672</v>
      </c>
      <c r="C13" s="3" t="str">
        <f>_xlfn.XLOOKUP(D13,'[1]Jan Customer Duplicate Hyva'!$B:$B,'[1]Jan Customer Duplicate Hyva'!$A:$A,"NOT FOUND")</f>
        <v>CUST-218</v>
      </c>
      <c r="D13" s="4" t="s">
        <v>23</v>
      </c>
      <c r="E13" s="4" t="s">
        <v>30</v>
      </c>
      <c r="F13" s="5" t="str">
        <f t="shared" si="0"/>
        <v>Anshu</v>
      </c>
      <c r="G13" s="3"/>
      <c r="H13" s="3"/>
      <c r="I13" s="5" t="str">
        <f>_xlfn.XLOOKUP(F13,'[1]Jan Labour Nd Drivers Hyva'!$B:$B,'[2]Jan Labour Nd Drivers Hyva'!$A:$A,"NOT FOUND")</f>
        <v>LAB-002</v>
      </c>
      <c r="J13" s="3"/>
      <c r="K13" s="3"/>
      <c r="L13" s="4" t="s">
        <v>25</v>
      </c>
      <c r="M13" s="6">
        <v>3</v>
      </c>
      <c r="N13" s="7">
        <v>3000</v>
      </c>
      <c r="O13" s="7">
        <f t="shared" si="1"/>
        <v>9000</v>
      </c>
      <c r="P13" s="7">
        <v>9000</v>
      </c>
      <c r="Q13" s="7">
        <f t="shared" si="2"/>
        <v>0</v>
      </c>
      <c r="R13" s="3" t="str">
        <f t="shared" si="3"/>
        <v>PAID</v>
      </c>
      <c r="S13" s="3"/>
      <c r="T13" s="3">
        <f t="shared" si="4"/>
        <v>9000</v>
      </c>
      <c r="U13" s="3" t="str">
        <f t="shared" si="5"/>
        <v>OK</v>
      </c>
      <c r="V13" s="8">
        <f t="shared" si="6"/>
        <v>0</v>
      </c>
      <c r="W13" s="3" t="str">
        <f t="shared" si="7"/>
        <v>OK</v>
      </c>
      <c r="X13" s="3" t="s">
        <v>133</v>
      </c>
      <c r="Y13" s="3" t="s">
        <v>131</v>
      </c>
      <c r="Z13" s="3" t="s">
        <v>122</v>
      </c>
      <c r="AA13" s="3" t="s">
        <v>122</v>
      </c>
      <c r="AB13" s="3" t="s">
        <v>122</v>
      </c>
    </row>
    <row r="14" spans="1:28" ht="19" x14ac:dyDescent="0.25">
      <c r="A14" t="s">
        <v>165</v>
      </c>
      <c r="B14" s="2">
        <v>45672</v>
      </c>
      <c r="C14" s="3" t="str">
        <f>_xlfn.XLOOKUP(D14,'[1]Jan Customer Duplicate Hyva'!$B:$B,'[1]Jan Customer Duplicate Hyva'!$A:$A,"NOT FOUND")</f>
        <v>CUST-218</v>
      </c>
      <c r="D14" s="4" t="s">
        <v>23</v>
      </c>
      <c r="E14" s="4" t="s">
        <v>24</v>
      </c>
      <c r="F14" s="5" t="str">
        <f t="shared" si="0"/>
        <v>Gaju Bhau</v>
      </c>
      <c r="G14" s="3"/>
      <c r="H14" s="3"/>
      <c r="I14" s="5" t="str">
        <f>_xlfn.XLOOKUP(F14,'[1]Jan Labour Nd Drivers Hyva'!$B:$B,'[2]Jan Labour Nd Drivers Hyva'!$A:$A,"NOT FOUND")</f>
        <v>LAB-001</v>
      </c>
      <c r="J14" s="3"/>
      <c r="K14" s="3"/>
      <c r="L14" s="4" t="s">
        <v>25</v>
      </c>
      <c r="M14" s="6">
        <v>3</v>
      </c>
      <c r="N14" s="7">
        <v>3000</v>
      </c>
      <c r="O14" s="7">
        <f t="shared" si="1"/>
        <v>9000</v>
      </c>
      <c r="P14" s="7">
        <v>9000</v>
      </c>
      <c r="Q14" s="7">
        <f t="shared" si="2"/>
        <v>0</v>
      </c>
      <c r="R14" s="3" t="str">
        <f t="shared" si="3"/>
        <v>PAID</v>
      </c>
      <c r="S14" s="3"/>
      <c r="T14" s="3">
        <f t="shared" si="4"/>
        <v>9000</v>
      </c>
      <c r="U14" s="3" t="str">
        <f t="shared" si="5"/>
        <v>OK</v>
      </c>
      <c r="V14" s="8">
        <f t="shared" si="6"/>
        <v>0</v>
      </c>
      <c r="W14" s="3" t="str">
        <f t="shared" si="7"/>
        <v>OK</v>
      </c>
      <c r="X14" s="3" t="s">
        <v>133</v>
      </c>
      <c r="Y14" s="3" t="s">
        <v>131</v>
      </c>
      <c r="Z14" s="3" t="s">
        <v>122</v>
      </c>
      <c r="AA14" s="3" t="s">
        <v>122</v>
      </c>
      <c r="AB14" s="3" t="s">
        <v>122</v>
      </c>
    </row>
    <row r="15" spans="1:28" ht="19" x14ac:dyDescent="0.25">
      <c r="A15" t="s">
        <v>166</v>
      </c>
      <c r="B15" s="2">
        <v>45673</v>
      </c>
      <c r="C15" s="3" t="str">
        <f>_xlfn.XLOOKUP(D15,'[1]Jan Customer Duplicate Hyva'!$B:$B,'[1]Jan Customer Duplicate Hyva'!$A:$A,"NOT FOUND")</f>
        <v>CUST-114</v>
      </c>
      <c r="D15" s="4" t="s">
        <v>140</v>
      </c>
      <c r="E15" s="4" t="s">
        <v>24</v>
      </c>
      <c r="F15" s="5" t="str">
        <f t="shared" si="0"/>
        <v>Gaju Bhau</v>
      </c>
      <c r="G15" s="3"/>
      <c r="H15" s="3"/>
      <c r="I15" s="5" t="str">
        <f>_xlfn.XLOOKUP(F15,'[1]Jan Labour Nd Drivers Hyva'!$B:$B,'[2]Jan Labour Nd Drivers Hyva'!$A:$A,"NOT FOUND")</f>
        <v>LAB-001</v>
      </c>
      <c r="J15" s="3"/>
      <c r="K15" s="3"/>
      <c r="L15" s="4" t="s">
        <v>34</v>
      </c>
      <c r="M15" s="6">
        <v>1</v>
      </c>
      <c r="N15" s="7">
        <v>2500</v>
      </c>
      <c r="O15" s="7">
        <f t="shared" si="1"/>
        <v>2500</v>
      </c>
      <c r="P15" s="7"/>
      <c r="Q15" s="7">
        <f t="shared" si="2"/>
        <v>2500</v>
      </c>
      <c r="R15" s="3" t="str">
        <f t="shared" si="3"/>
        <v>UNPAID</v>
      </c>
      <c r="S15" s="3"/>
      <c r="T15" s="3">
        <f t="shared" si="4"/>
        <v>2500</v>
      </c>
      <c r="U15" s="3" t="str">
        <f t="shared" si="5"/>
        <v>OK</v>
      </c>
      <c r="V15" s="8">
        <f t="shared" si="6"/>
        <v>2500</v>
      </c>
      <c r="W15" s="3" t="str">
        <f t="shared" si="7"/>
        <v>OK</v>
      </c>
      <c r="X15" s="3" t="s">
        <v>133</v>
      </c>
      <c r="Y15" s="3" t="s">
        <v>131</v>
      </c>
      <c r="Z15" s="3" t="s">
        <v>122</v>
      </c>
      <c r="AA15" s="3" t="s">
        <v>122</v>
      </c>
      <c r="AB15" s="3" t="s">
        <v>122</v>
      </c>
    </row>
    <row r="16" spans="1:28" ht="19" x14ac:dyDescent="0.25">
      <c r="A16" t="s">
        <v>167</v>
      </c>
      <c r="B16" s="2">
        <v>45673</v>
      </c>
      <c r="C16" s="3" t="str">
        <f>_xlfn.XLOOKUP(D16,'[1]Jan Customer Duplicate Hyva'!$B:$B,'[1]Jan Customer Duplicate Hyva'!$A:$A,"NOT FOUND")</f>
        <v>CUST-218</v>
      </c>
      <c r="D16" s="4" t="s">
        <v>23</v>
      </c>
      <c r="E16" s="4" t="s">
        <v>24</v>
      </c>
      <c r="F16" s="5" t="str">
        <f t="shared" si="0"/>
        <v>Gaju Bhau</v>
      </c>
      <c r="G16" s="3"/>
      <c r="H16" s="3"/>
      <c r="I16" s="5" t="str">
        <f>_xlfn.XLOOKUP(F16,'[1]Jan Labour Nd Drivers Hyva'!$B:$B,'[2]Jan Labour Nd Drivers Hyva'!$A:$A,"NOT FOUND")</f>
        <v>LAB-001</v>
      </c>
      <c r="J16" s="3"/>
      <c r="K16" s="3"/>
      <c r="L16" s="4" t="s">
        <v>31</v>
      </c>
      <c r="M16" s="6">
        <v>1</v>
      </c>
      <c r="N16" s="7">
        <v>3000</v>
      </c>
      <c r="O16" s="7">
        <f t="shared" si="1"/>
        <v>3000</v>
      </c>
      <c r="P16" s="7">
        <v>3000</v>
      </c>
      <c r="Q16" s="7">
        <f t="shared" si="2"/>
        <v>0</v>
      </c>
      <c r="R16" s="3" t="str">
        <f t="shared" si="3"/>
        <v>PAID</v>
      </c>
      <c r="S16" s="3"/>
      <c r="T16" s="3">
        <f t="shared" si="4"/>
        <v>3000</v>
      </c>
      <c r="U16" s="3" t="str">
        <f t="shared" si="5"/>
        <v>OK</v>
      </c>
      <c r="V16" s="8">
        <f t="shared" si="6"/>
        <v>0</v>
      </c>
      <c r="W16" s="3" t="str">
        <f t="shared" si="7"/>
        <v>OK</v>
      </c>
      <c r="X16" s="3" t="s">
        <v>133</v>
      </c>
      <c r="Y16" s="3" t="s">
        <v>131</v>
      </c>
      <c r="Z16" s="3" t="s">
        <v>122</v>
      </c>
      <c r="AA16" s="3" t="s">
        <v>122</v>
      </c>
      <c r="AB16" s="3" t="s">
        <v>122</v>
      </c>
    </row>
    <row r="17" spans="1:28" ht="19" x14ac:dyDescent="0.25">
      <c r="A17" t="s">
        <v>168</v>
      </c>
      <c r="B17" s="2">
        <v>45673</v>
      </c>
      <c r="C17" s="3" t="str">
        <f>_xlfn.XLOOKUP(D17,'[1]Jan Customer Duplicate Hyva'!$B:$B,'[1]Jan Customer Duplicate Hyva'!$A:$A,"NOT FOUND")</f>
        <v>CUST-218</v>
      </c>
      <c r="D17" s="4" t="s">
        <v>23</v>
      </c>
      <c r="E17" s="4" t="s">
        <v>30</v>
      </c>
      <c r="F17" s="5" t="str">
        <f t="shared" si="0"/>
        <v>Anshu</v>
      </c>
      <c r="G17" s="3"/>
      <c r="H17" s="3"/>
      <c r="I17" s="5" t="str">
        <f>_xlfn.XLOOKUP(F17,'[1]Jan Labour Nd Drivers Hyva'!$B:$B,'[2]Jan Labour Nd Drivers Hyva'!$A:$A,"NOT FOUND")</f>
        <v>LAB-002</v>
      </c>
      <c r="J17" s="3"/>
      <c r="K17" s="3"/>
      <c r="L17" s="4" t="s">
        <v>31</v>
      </c>
      <c r="M17" s="6">
        <v>1</v>
      </c>
      <c r="N17" s="7">
        <v>3000</v>
      </c>
      <c r="O17" s="7">
        <f t="shared" si="1"/>
        <v>3000</v>
      </c>
      <c r="P17" s="7">
        <v>3000</v>
      </c>
      <c r="Q17" s="7">
        <f t="shared" si="2"/>
        <v>0</v>
      </c>
      <c r="R17" s="3" t="str">
        <f t="shared" si="3"/>
        <v>PAID</v>
      </c>
      <c r="S17" s="3"/>
      <c r="T17" s="3">
        <f t="shared" si="4"/>
        <v>3000</v>
      </c>
      <c r="U17" s="3" t="str">
        <f t="shared" si="5"/>
        <v>OK</v>
      </c>
      <c r="V17" s="8">
        <f t="shared" si="6"/>
        <v>0</v>
      </c>
      <c r="W17" s="3" t="str">
        <f t="shared" si="7"/>
        <v>OK</v>
      </c>
      <c r="X17" s="3" t="s">
        <v>133</v>
      </c>
      <c r="Y17" s="3" t="s">
        <v>131</v>
      </c>
      <c r="Z17" s="3" t="s">
        <v>122</v>
      </c>
      <c r="AA17" s="3" t="s">
        <v>122</v>
      </c>
      <c r="AB17" s="3" t="s">
        <v>122</v>
      </c>
    </row>
    <row r="18" spans="1:28" ht="19" x14ac:dyDescent="0.25">
      <c r="A18" t="s">
        <v>169</v>
      </c>
      <c r="B18" s="2">
        <v>45675</v>
      </c>
      <c r="C18" s="3" t="str">
        <f>_xlfn.XLOOKUP(D18,'[1]Jan Customer Duplicate Hyva'!$B:$B,'[1]Jan Customer Duplicate Hyva'!$A:$A,"NOT FOUND")</f>
        <v>CUST-218</v>
      </c>
      <c r="D18" s="4" t="s">
        <v>23</v>
      </c>
      <c r="E18" s="4" t="s">
        <v>30</v>
      </c>
      <c r="F18" s="5" t="str">
        <f t="shared" si="0"/>
        <v>Anshu</v>
      </c>
      <c r="G18" s="3"/>
      <c r="H18" s="3"/>
      <c r="I18" s="5" t="str">
        <f>_xlfn.XLOOKUP(F18,'[1]Jan Labour Nd Drivers Hyva'!$B:$B,'[2]Jan Labour Nd Drivers Hyva'!$A:$A,"NOT FOUND")</f>
        <v>LAB-002</v>
      </c>
      <c r="J18" s="3"/>
      <c r="K18" s="3"/>
      <c r="L18" s="4" t="s">
        <v>80</v>
      </c>
      <c r="M18" s="6">
        <v>2</v>
      </c>
      <c r="N18" s="7">
        <v>3000</v>
      </c>
      <c r="O18" s="7">
        <f t="shared" si="1"/>
        <v>6000</v>
      </c>
      <c r="P18" s="7">
        <v>6000</v>
      </c>
      <c r="Q18" s="7">
        <f t="shared" si="2"/>
        <v>0</v>
      </c>
      <c r="R18" s="3" t="str">
        <f t="shared" si="3"/>
        <v>PAID</v>
      </c>
      <c r="S18" s="3"/>
      <c r="T18" s="3">
        <f t="shared" si="4"/>
        <v>6000</v>
      </c>
      <c r="U18" s="3" t="str">
        <f t="shared" si="5"/>
        <v>OK</v>
      </c>
      <c r="V18" s="8">
        <f t="shared" si="6"/>
        <v>0</v>
      </c>
      <c r="W18" s="3" t="str">
        <f t="shared" si="7"/>
        <v>OK</v>
      </c>
      <c r="X18" s="3" t="s">
        <v>133</v>
      </c>
      <c r="Y18" s="3" t="s">
        <v>131</v>
      </c>
      <c r="Z18" s="3" t="s">
        <v>122</v>
      </c>
      <c r="AA18" s="3" t="s">
        <v>122</v>
      </c>
      <c r="AB18" s="3" t="s">
        <v>122</v>
      </c>
    </row>
    <row r="19" spans="1:28" ht="19" x14ac:dyDescent="0.25">
      <c r="A19" t="s">
        <v>170</v>
      </c>
      <c r="B19" s="2">
        <v>45677</v>
      </c>
      <c r="C19" s="3" t="str">
        <f>_xlfn.XLOOKUP(D19,'[1]Jan Customer Duplicate Hyva'!$B:$B,'[1]Jan Customer Duplicate Hyva'!$A:$A,"NOT FOUND")</f>
        <v>CUST-280</v>
      </c>
      <c r="D19" s="4" t="s">
        <v>141</v>
      </c>
      <c r="E19" s="4" t="s">
        <v>30</v>
      </c>
      <c r="F19" s="5" t="str">
        <f t="shared" si="0"/>
        <v>Anshu</v>
      </c>
      <c r="G19" s="3"/>
      <c r="H19" s="3"/>
      <c r="I19" s="5" t="str">
        <f>_xlfn.XLOOKUP(F19,'[1]Jan Labour Nd Drivers Hyva'!$B:$B,'[2]Jan Labour Nd Drivers Hyva'!$A:$A,"NOT FOUND")</f>
        <v>LAB-002</v>
      </c>
      <c r="J19" s="3"/>
      <c r="K19" s="3"/>
      <c r="L19" s="4" t="s">
        <v>142</v>
      </c>
      <c r="M19" s="6">
        <v>2</v>
      </c>
      <c r="N19" s="7">
        <v>3000</v>
      </c>
      <c r="O19" s="7">
        <f t="shared" si="1"/>
        <v>6000</v>
      </c>
      <c r="P19" s="7">
        <v>6000</v>
      </c>
      <c r="Q19" s="7">
        <f t="shared" si="2"/>
        <v>0</v>
      </c>
      <c r="R19" s="3" t="str">
        <f t="shared" si="3"/>
        <v>PAID</v>
      </c>
      <c r="S19" s="3"/>
      <c r="T19" s="3">
        <f t="shared" si="4"/>
        <v>6000</v>
      </c>
      <c r="U19" s="3" t="str">
        <f t="shared" si="5"/>
        <v>OK</v>
      </c>
      <c r="V19" s="8">
        <f t="shared" si="6"/>
        <v>0</v>
      </c>
      <c r="W19" s="3" t="str">
        <f t="shared" si="7"/>
        <v>OK</v>
      </c>
      <c r="X19" s="3" t="s">
        <v>133</v>
      </c>
      <c r="Y19" s="3" t="s">
        <v>131</v>
      </c>
      <c r="Z19" s="3" t="s">
        <v>122</v>
      </c>
      <c r="AA19" s="3" t="s">
        <v>122</v>
      </c>
      <c r="AB19" s="3" t="s">
        <v>122</v>
      </c>
    </row>
    <row r="20" spans="1:28" ht="19" x14ac:dyDescent="0.25">
      <c r="A20" t="s">
        <v>171</v>
      </c>
      <c r="B20" s="2">
        <v>45677</v>
      </c>
      <c r="C20" s="3" t="str">
        <f>_xlfn.XLOOKUP(D20,'[1]Jan Customer Duplicate Hyva'!$B:$B,'[1]Jan Customer Duplicate Hyva'!$A:$A,"NOT FOUND")</f>
        <v>CUST-280</v>
      </c>
      <c r="D20" s="4" t="s">
        <v>141</v>
      </c>
      <c r="E20" s="4" t="s">
        <v>24</v>
      </c>
      <c r="F20" s="5" t="str">
        <f t="shared" si="0"/>
        <v>Gaju Bhau</v>
      </c>
      <c r="G20" s="3"/>
      <c r="H20" s="3"/>
      <c r="I20" s="5" t="str">
        <f>_xlfn.XLOOKUP(F20,'[1]Jan Labour Nd Drivers Hyva'!$B:$B,'[2]Jan Labour Nd Drivers Hyva'!$A:$A,"NOT FOUND")</f>
        <v>LAB-001</v>
      </c>
      <c r="J20" s="3"/>
      <c r="K20" s="3"/>
      <c r="L20" s="4" t="s">
        <v>143</v>
      </c>
      <c r="M20" s="6">
        <v>2</v>
      </c>
      <c r="N20" s="7">
        <v>3000</v>
      </c>
      <c r="O20" s="7">
        <f t="shared" si="1"/>
        <v>6000</v>
      </c>
      <c r="P20" s="7">
        <v>6000</v>
      </c>
      <c r="Q20" s="7">
        <f t="shared" si="2"/>
        <v>0</v>
      </c>
      <c r="R20" s="3" t="str">
        <f t="shared" si="3"/>
        <v>PAID</v>
      </c>
      <c r="S20" s="3"/>
      <c r="T20" s="3">
        <f t="shared" si="4"/>
        <v>6000</v>
      </c>
      <c r="U20" s="3" t="str">
        <f t="shared" si="5"/>
        <v>OK</v>
      </c>
      <c r="V20" s="8">
        <f t="shared" si="6"/>
        <v>0</v>
      </c>
      <c r="W20" s="3" t="str">
        <f t="shared" si="7"/>
        <v>OK</v>
      </c>
      <c r="X20" s="3" t="s">
        <v>133</v>
      </c>
      <c r="Y20" s="3" t="s">
        <v>131</v>
      </c>
      <c r="Z20" s="3" t="s">
        <v>122</v>
      </c>
      <c r="AA20" s="3" t="s">
        <v>122</v>
      </c>
      <c r="AB20" s="3" t="s">
        <v>122</v>
      </c>
    </row>
    <row r="21" spans="1:28" ht="19" x14ac:dyDescent="0.25">
      <c r="A21" t="s">
        <v>172</v>
      </c>
      <c r="B21" s="2">
        <v>45677</v>
      </c>
      <c r="C21" s="3" t="str">
        <f>_xlfn.XLOOKUP(D21,'[1]Jan Customer Duplicate Hyva'!$B:$B,'[1]Jan Customer Duplicate Hyva'!$A:$A,"NOT FOUND")</f>
        <v>CUST-218</v>
      </c>
      <c r="D21" s="4" t="s">
        <v>23</v>
      </c>
      <c r="E21" s="4" t="s">
        <v>30</v>
      </c>
      <c r="F21" s="5" t="str">
        <f t="shared" si="0"/>
        <v>Anshu</v>
      </c>
      <c r="G21" s="3"/>
      <c r="H21" s="3"/>
      <c r="I21" s="5" t="str">
        <f>_xlfn.XLOOKUP(F21,'[1]Jan Labour Nd Drivers Hyva'!$B:$B,'[2]Jan Labour Nd Drivers Hyva'!$A:$A,"NOT FOUND")</f>
        <v>LAB-002</v>
      </c>
      <c r="J21" s="3"/>
      <c r="K21" s="3"/>
      <c r="L21" s="4" t="s">
        <v>80</v>
      </c>
      <c r="M21" s="6">
        <v>3</v>
      </c>
      <c r="N21" s="7">
        <v>3000</v>
      </c>
      <c r="O21" s="7">
        <f t="shared" si="1"/>
        <v>9000</v>
      </c>
      <c r="P21" s="7">
        <v>9000</v>
      </c>
      <c r="Q21" s="7">
        <f t="shared" si="2"/>
        <v>0</v>
      </c>
      <c r="R21" s="3" t="str">
        <f t="shared" si="3"/>
        <v>PAID</v>
      </c>
      <c r="S21" s="3"/>
      <c r="T21" s="3">
        <f t="shared" si="4"/>
        <v>9000</v>
      </c>
      <c r="U21" s="3" t="str">
        <f t="shared" si="5"/>
        <v>OK</v>
      </c>
      <c r="V21" s="8">
        <f t="shared" si="6"/>
        <v>0</v>
      </c>
      <c r="W21" s="3" t="str">
        <f t="shared" si="7"/>
        <v>OK</v>
      </c>
      <c r="X21" s="3" t="s">
        <v>133</v>
      </c>
      <c r="Y21" s="3" t="s">
        <v>131</v>
      </c>
      <c r="Z21" s="3" t="s">
        <v>122</v>
      </c>
      <c r="AA21" s="3" t="s">
        <v>122</v>
      </c>
      <c r="AB21" s="3" t="s">
        <v>122</v>
      </c>
    </row>
    <row r="22" spans="1:28" ht="19" x14ac:dyDescent="0.25">
      <c r="A22" t="s">
        <v>173</v>
      </c>
      <c r="B22" s="2">
        <v>45677</v>
      </c>
      <c r="C22" s="3" t="str">
        <f>_xlfn.XLOOKUP(D22,'[1]Jan Customer Duplicate Hyva'!$B:$B,'[1]Jan Customer Duplicate Hyva'!$A:$A,"NOT FOUND")</f>
        <v>CUST-218</v>
      </c>
      <c r="D22" s="4" t="s">
        <v>23</v>
      </c>
      <c r="E22" s="4" t="s">
        <v>24</v>
      </c>
      <c r="F22" s="5" t="str">
        <f t="shared" si="0"/>
        <v>Gaju Bhau</v>
      </c>
      <c r="G22" s="3"/>
      <c r="H22" s="3"/>
      <c r="I22" s="5" t="str">
        <f>_xlfn.XLOOKUP(F22,'[1]Jan Labour Nd Drivers Hyva'!$B:$B,'[2]Jan Labour Nd Drivers Hyva'!$A:$A,"NOT FOUND")</f>
        <v>LAB-001</v>
      </c>
      <c r="J22" s="3"/>
      <c r="K22" s="3"/>
      <c r="L22" s="4" t="s">
        <v>144</v>
      </c>
      <c r="M22" s="6">
        <v>1</v>
      </c>
      <c r="N22" s="7">
        <v>3000</v>
      </c>
      <c r="O22" s="7">
        <f t="shared" si="1"/>
        <v>3000</v>
      </c>
      <c r="P22" s="7">
        <v>3000</v>
      </c>
      <c r="Q22" s="7">
        <f t="shared" si="2"/>
        <v>0</v>
      </c>
      <c r="R22" s="3" t="str">
        <f t="shared" si="3"/>
        <v>PAID</v>
      </c>
      <c r="S22" s="3"/>
      <c r="T22" s="3">
        <f t="shared" si="4"/>
        <v>3000</v>
      </c>
      <c r="U22" s="3" t="str">
        <f t="shared" si="5"/>
        <v>OK</v>
      </c>
      <c r="V22" s="8">
        <f t="shared" si="6"/>
        <v>0</v>
      </c>
      <c r="W22" s="3" t="str">
        <f t="shared" si="7"/>
        <v>OK</v>
      </c>
      <c r="X22" s="3" t="s">
        <v>133</v>
      </c>
      <c r="Y22" s="3" t="s">
        <v>131</v>
      </c>
      <c r="Z22" s="3" t="s">
        <v>122</v>
      </c>
      <c r="AA22" s="3" t="s">
        <v>122</v>
      </c>
      <c r="AB22" s="3" t="s">
        <v>122</v>
      </c>
    </row>
    <row r="23" spans="1:28" ht="19" x14ac:dyDescent="0.25">
      <c r="A23" t="s">
        <v>174</v>
      </c>
      <c r="B23" s="2">
        <v>45678</v>
      </c>
      <c r="C23" s="3" t="str">
        <f>_xlfn.XLOOKUP(D23,'[1]Jan Customer Duplicate Hyva'!$B:$B,'[1]Jan Customer Duplicate Hyva'!$A:$A,"NOT FOUND")</f>
        <v>CUST-021</v>
      </c>
      <c r="D23" s="4" t="s">
        <v>151</v>
      </c>
      <c r="E23" s="4" t="s">
        <v>24</v>
      </c>
      <c r="F23" s="5" t="str">
        <f t="shared" si="0"/>
        <v>Gaju Bhau</v>
      </c>
      <c r="G23" s="3"/>
      <c r="H23" s="3"/>
      <c r="I23" s="5" t="str">
        <f>_xlfn.XLOOKUP(F23,'[1]Jan Labour Nd Drivers Hyva'!$B:$B,'[2]Jan Labour Nd Drivers Hyva'!$A:$A,"NOT FOUND")</f>
        <v>LAB-001</v>
      </c>
      <c r="J23" s="3"/>
      <c r="K23" s="3"/>
      <c r="L23" s="4" t="s">
        <v>145</v>
      </c>
      <c r="M23" s="6">
        <v>3</v>
      </c>
      <c r="N23" s="7">
        <v>0</v>
      </c>
      <c r="O23" s="7">
        <f t="shared" si="1"/>
        <v>0</v>
      </c>
      <c r="P23" s="7"/>
      <c r="Q23" s="7">
        <f t="shared" si="2"/>
        <v>0</v>
      </c>
      <c r="R23" s="3" t="str">
        <f t="shared" si="3"/>
        <v>PAID</v>
      </c>
      <c r="S23" s="3"/>
      <c r="T23" s="3">
        <f t="shared" si="4"/>
        <v>0</v>
      </c>
      <c r="U23" s="3" t="str">
        <f t="shared" si="5"/>
        <v>OK</v>
      </c>
      <c r="V23" s="8">
        <f t="shared" si="6"/>
        <v>0</v>
      </c>
      <c r="W23" s="3" t="str">
        <f t="shared" si="7"/>
        <v>OK</v>
      </c>
      <c r="X23" s="3" t="s">
        <v>133</v>
      </c>
      <c r="Y23" s="3" t="s">
        <v>131</v>
      </c>
      <c r="Z23" s="3" t="s">
        <v>122</v>
      </c>
      <c r="AA23" s="3" t="s">
        <v>122</v>
      </c>
      <c r="AB23" s="3" t="s">
        <v>122</v>
      </c>
    </row>
    <row r="24" spans="1:28" ht="19" x14ac:dyDescent="0.25">
      <c r="A24" t="s">
        <v>175</v>
      </c>
      <c r="B24" s="2">
        <v>45678</v>
      </c>
      <c r="C24" s="3" t="str">
        <f>_xlfn.XLOOKUP(D24,'[1]Jan Customer Duplicate Hyva'!$B:$B,'[1]Jan Customer Duplicate Hyva'!$A:$A,"NOT FOUND")</f>
        <v>CUST-280</v>
      </c>
      <c r="D24" s="4" t="s">
        <v>141</v>
      </c>
      <c r="E24" s="4" t="s">
        <v>24</v>
      </c>
      <c r="F24" s="5" t="str">
        <f t="shared" si="0"/>
        <v>Gaju Bhau</v>
      </c>
      <c r="G24" s="3"/>
      <c r="H24" s="3"/>
      <c r="I24" s="5" t="str">
        <f>_xlfn.XLOOKUP(F24,'[1]Jan Labour Nd Drivers Hyva'!$B:$B,'[2]Jan Labour Nd Drivers Hyva'!$A:$A,"NOT FOUND")</f>
        <v>LAB-001</v>
      </c>
      <c r="J24" s="3"/>
      <c r="K24" s="3"/>
      <c r="L24" s="4" t="s">
        <v>142</v>
      </c>
      <c r="M24" s="6">
        <v>1</v>
      </c>
      <c r="N24" s="7">
        <v>3000</v>
      </c>
      <c r="O24" s="7">
        <f t="shared" si="1"/>
        <v>3000</v>
      </c>
      <c r="P24" s="7">
        <v>3000</v>
      </c>
      <c r="Q24" s="7">
        <f t="shared" si="2"/>
        <v>0</v>
      </c>
      <c r="R24" s="3" t="str">
        <f t="shared" si="3"/>
        <v>PAID</v>
      </c>
      <c r="S24" s="3"/>
      <c r="T24" s="3">
        <f t="shared" si="4"/>
        <v>3000</v>
      </c>
      <c r="U24" s="3" t="str">
        <f t="shared" si="5"/>
        <v>OK</v>
      </c>
      <c r="V24" s="8">
        <f t="shared" si="6"/>
        <v>0</v>
      </c>
      <c r="W24" s="3" t="str">
        <f t="shared" si="7"/>
        <v>OK</v>
      </c>
      <c r="X24" s="3" t="s">
        <v>133</v>
      </c>
      <c r="Y24" s="3" t="s">
        <v>131</v>
      </c>
      <c r="Z24" s="3" t="s">
        <v>122</v>
      </c>
      <c r="AA24" s="3" t="s">
        <v>122</v>
      </c>
      <c r="AB24" s="3" t="s">
        <v>122</v>
      </c>
    </row>
    <row r="25" spans="1:28" ht="19" x14ac:dyDescent="0.25">
      <c r="A25" t="s">
        <v>176</v>
      </c>
      <c r="B25" s="2">
        <v>45678</v>
      </c>
      <c r="C25" s="3" t="str">
        <f>_xlfn.XLOOKUP(D25,'[1]Jan Customer Duplicate Hyva'!$B:$B,'[1]Jan Customer Duplicate Hyva'!$A:$A,"NOT FOUND")</f>
        <v>CUST-280</v>
      </c>
      <c r="D25" s="4" t="s">
        <v>141</v>
      </c>
      <c r="E25" s="4" t="s">
        <v>30</v>
      </c>
      <c r="F25" s="5" t="str">
        <f t="shared" si="0"/>
        <v>Anshu</v>
      </c>
      <c r="G25" s="3"/>
      <c r="H25" s="3"/>
      <c r="I25" s="5" t="str">
        <f>_xlfn.XLOOKUP(F25,'[1]Jan Labour Nd Drivers Hyva'!$B:$B,'[2]Jan Labour Nd Drivers Hyva'!$A:$A,"NOT FOUND")</f>
        <v>LAB-002</v>
      </c>
      <c r="J25" s="3"/>
      <c r="K25" s="3"/>
      <c r="L25" s="4" t="s">
        <v>143</v>
      </c>
      <c r="M25" s="6">
        <v>1</v>
      </c>
      <c r="N25" s="7">
        <v>3000</v>
      </c>
      <c r="O25" s="7">
        <f t="shared" si="1"/>
        <v>3000</v>
      </c>
      <c r="P25" s="7">
        <v>3000</v>
      </c>
      <c r="Q25" s="7">
        <f t="shared" si="2"/>
        <v>0</v>
      </c>
      <c r="R25" s="3" t="str">
        <f t="shared" si="3"/>
        <v>PAID</v>
      </c>
      <c r="S25" s="3"/>
      <c r="T25" s="3">
        <f t="shared" si="4"/>
        <v>3000</v>
      </c>
      <c r="U25" s="3" t="str">
        <f t="shared" si="5"/>
        <v>OK</v>
      </c>
      <c r="V25" s="8">
        <f t="shared" si="6"/>
        <v>0</v>
      </c>
      <c r="W25" s="3" t="str">
        <f t="shared" si="7"/>
        <v>OK</v>
      </c>
      <c r="X25" s="3" t="s">
        <v>133</v>
      </c>
      <c r="Y25" s="3" t="s">
        <v>131</v>
      </c>
      <c r="Z25" s="3" t="s">
        <v>122</v>
      </c>
      <c r="AA25" s="3" t="s">
        <v>122</v>
      </c>
      <c r="AB25" s="3" t="s">
        <v>122</v>
      </c>
    </row>
    <row r="26" spans="1:28" ht="19" x14ac:dyDescent="0.25">
      <c r="A26" t="s">
        <v>177</v>
      </c>
      <c r="B26" s="2">
        <v>45678</v>
      </c>
      <c r="C26" s="3" t="str">
        <f>_xlfn.XLOOKUP(D26,'[1]Jan Customer Duplicate Hyva'!$B:$B,'[1]Jan Customer Duplicate Hyva'!$A:$A,"NOT FOUND")</f>
        <v>CUST-218</v>
      </c>
      <c r="D26" s="4" t="s">
        <v>23</v>
      </c>
      <c r="E26" s="4" t="s">
        <v>30</v>
      </c>
      <c r="F26" s="5" t="str">
        <f t="shared" si="0"/>
        <v>Anshu</v>
      </c>
      <c r="G26" s="3"/>
      <c r="H26" s="3"/>
      <c r="I26" s="5" t="str">
        <f>_xlfn.XLOOKUP(F26,'[1]Jan Labour Nd Drivers Hyva'!$B:$B,'[2]Jan Labour Nd Drivers Hyva'!$A:$A,"NOT FOUND")</f>
        <v>LAB-002</v>
      </c>
      <c r="J26" s="3"/>
      <c r="K26" s="3"/>
      <c r="L26" s="4" t="s">
        <v>31</v>
      </c>
      <c r="M26" s="6">
        <v>3</v>
      </c>
      <c r="N26" s="7">
        <v>3000</v>
      </c>
      <c r="O26" s="7">
        <f t="shared" si="1"/>
        <v>9000</v>
      </c>
      <c r="P26" s="7">
        <v>9000</v>
      </c>
      <c r="Q26" s="7">
        <f t="shared" si="2"/>
        <v>0</v>
      </c>
      <c r="R26" s="3" t="str">
        <f t="shared" si="3"/>
        <v>PAID</v>
      </c>
      <c r="S26" s="3"/>
      <c r="T26" s="3">
        <f t="shared" si="4"/>
        <v>9000</v>
      </c>
      <c r="U26" s="3" t="str">
        <f t="shared" si="5"/>
        <v>OK</v>
      </c>
      <c r="V26" s="8">
        <f t="shared" si="6"/>
        <v>0</v>
      </c>
      <c r="W26" s="3" t="str">
        <f t="shared" si="7"/>
        <v>OK</v>
      </c>
      <c r="X26" s="3" t="s">
        <v>133</v>
      </c>
      <c r="Y26" s="3" t="s">
        <v>131</v>
      </c>
      <c r="Z26" s="3" t="s">
        <v>122</v>
      </c>
      <c r="AA26" s="3" t="s">
        <v>122</v>
      </c>
      <c r="AB26" s="3" t="s">
        <v>122</v>
      </c>
    </row>
    <row r="27" spans="1:28" ht="19" x14ac:dyDescent="0.25">
      <c r="A27" t="s">
        <v>178</v>
      </c>
      <c r="B27" s="2">
        <v>45678</v>
      </c>
      <c r="C27" s="3" t="str">
        <f>_xlfn.XLOOKUP(D27,'[1]Jan Customer Duplicate Hyva'!$B:$B,'[1]Jan Customer Duplicate Hyva'!$A:$A,"NOT FOUND")</f>
        <v>CUST-218</v>
      </c>
      <c r="D27" s="4" t="s">
        <v>23</v>
      </c>
      <c r="E27" s="4" t="s">
        <v>24</v>
      </c>
      <c r="F27" s="5" t="str">
        <f t="shared" si="0"/>
        <v>Gaju Bhau</v>
      </c>
      <c r="G27" s="3"/>
      <c r="H27" s="3"/>
      <c r="I27" s="5" t="str">
        <f>_xlfn.XLOOKUP(F27,'[1]Jan Labour Nd Drivers Hyva'!$B:$B,'[2]Jan Labour Nd Drivers Hyva'!$A:$A,"NOT FOUND")</f>
        <v>LAB-001</v>
      </c>
      <c r="J27" s="3"/>
      <c r="K27" s="3"/>
      <c r="L27" s="4" t="s">
        <v>31</v>
      </c>
      <c r="M27" s="6">
        <v>2</v>
      </c>
      <c r="N27" s="7">
        <v>3000</v>
      </c>
      <c r="O27" s="7">
        <f t="shared" si="1"/>
        <v>6000</v>
      </c>
      <c r="P27" s="7">
        <v>6000</v>
      </c>
      <c r="Q27" s="7">
        <f t="shared" si="2"/>
        <v>0</v>
      </c>
      <c r="R27" s="3" t="str">
        <f t="shared" si="3"/>
        <v>PAID</v>
      </c>
      <c r="S27" s="3"/>
      <c r="T27" s="3">
        <f t="shared" si="4"/>
        <v>6000</v>
      </c>
      <c r="U27" s="3" t="str">
        <f t="shared" si="5"/>
        <v>OK</v>
      </c>
      <c r="V27" s="8">
        <f t="shared" si="6"/>
        <v>0</v>
      </c>
      <c r="W27" s="3" t="str">
        <f t="shared" si="7"/>
        <v>OK</v>
      </c>
      <c r="X27" s="3" t="s">
        <v>133</v>
      </c>
      <c r="Y27" s="3" t="s">
        <v>131</v>
      </c>
      <c r="Z27" s="3" t="s">
        <v>122</v>
      </c>
      <c r="AA27" s="3" t="s">
        <v>122</v>
      </c>
      <c r="AB27" s="3" t="s">
        <v>122</v>
      </c>
    </row>
    <row r="28" spans="1:28" ht="19" x14ac:dyDescent="0.25">
      <c r="A28" t="s">
        <v>179</v>
      </c>
      <c r="B28" s="2">
        <v>45679</v>
      </c>
      <c r="C28" s="3" t="str">
        <f>_xlfn.XLOOKUP(D28,'[1]Jan Customer Duplicate Hyva'!$B:$B,'[1]Jan Customer Duplicate Hyva'!$A:$A,"NOT FOUND")</f>
        <v>CUST-280</v>
      </c>
      <c r="D28" s="4" t="s">
        <v>141</v>
      </c>
      <c r="E28" s="4" t="s">
        <v>24</v>
      </c>
      <c r="F28" s="5" t="str">
        <f t="shared" si="0"/>
        <v>Gaju Bhau</v>
      </c>
      <c r="G28" s="3"/>
      <c r="H28" s="3"/>
      <c r="I28" s="5" t="str">
        <f>_xlfn.XLOOKUP(F28,'[1]Jan Labour Nd Drivers Hyva'!$B:$B,'[2]Jan Labour Nd Drivers Hyva'!$A:$A,"NOT FOUND")</f>
        <v>LAB-001</v>
      </c>
      <c r="J28" s="3"/>
      <c r="K28" s="3"/>
      <c r="L28" s="4" t="s">
        <v>142</v>
      </c>
      <c r="M28" s="6">
        <v>2</v>
      </c>
      <c r="N28" s="7">
        <v>3000</v>
      </c>
      <c r="O28" s="7">
        <f t="shared" si="1"/>
        <v>6000</v>
      </c>
      <c r="P28" s="7">
        <v>6000</v>
      </c>
      <c r="Q28" s="7">
        <f t="shared" si="2"/>
        <v>0</v>
      </c>
      <c r="R28" s="3" t="str">
        <f t="shared" si="3"/>
        <v>PAID</v>
      </c>
      <c r="S28" s="3"/>
      <c r="T28" s="3">
        <f t="shared" si="4"/>
        <v>6000</v>
      </c>
      <c r="U28" s="3" t="str">
        <f t="shared" si="5"/>
        <v>OK</v>
      </c>
      <c r="V28" s="8">
        <f t="shared" si="6"/>
        <v>0</v>
      </c>
      <c r="W28" s="3" t="str">
        <f t="shared" si="7"/>
        <v>OK</v>
      </c>
      <c r="X28" s="3" t="s">
        <v>133</v>
      </c>
      <c r="Y28" s="3" t="s">
        <v>131</v>
      </c>
      <c r="Z28" s="3" t="s">
        <v>122</v>
      </c>
      <c r="AA28" s="3" t="s">
        <v>122</v>
      </c>
      <c r="AB28" s="3" t="s">
        <v>122</v>
      </c>
    </row>
    <row r="29" spans="1:28" ht="19" x14ac:dyDescent="0.25">
      <c r="A29" t="s">
        <v>180</v>
      </c>
      <c r="B29" s="2">
        <v>45681</v>
      </c>
      <c r="C29" s="3" t="str">
        <f>_xlfn.XLOOKUP(D29,'[1]Jan Customer Duplicate Hyva'!$B:$B,'[1]Jan Customer Duplicate Hyva'!$A:$A,"NOT FOUND")</f>
        <v>CUST-280</v>
      </c>
      <c r="D29" s="4" t="s">
        <v>141</v>
      </c>
      <c r="E29" s="4" t="s">
        <v>30</v>
      </c>
      <c r="F29" s="5" t="str">
        <f t="shared" si="0"/>
        <v>Anshu</v>
      </c>
      <c r="G29" s="3"/>
      <c r="H29" s="3"/>
      <c r="I29" s="5" t="str">
        <f>_xlfn.XLOOKUP(F29,'[1]Jan Labour Nd Drivers Hyva'!$B:$B,'[2]Jan Labour Nd Drivers Hyva'!$A:$A,"NOT FOUND")</f>
        <v>LAB-002</v>
      </c>
      <c r="J29" s="3"/>
      <c r="K29" s="3"/>
      <c r="L29" s="4" t="s">
        <v>142</v>
      </c>
      <c r="M29" s="6">
        <v>5</v>
      </c>
      <c r="N29" s="7">
        <v>3000</v>
      </c>
      <c r="O29" s="7">
        <f t="shared" si="1"/>
        <v>15000</v>
      </c>
      <c r="P29" s="7">
        <v>15000</v>
      </c>
      <c r="Q29" s="7">
        <f t="shared" si="2"/>
        <v>0</v>
      </c>
      <c r="R29" s="3" t="str">
        <f t="shared" si="3"/>
        <v>PAID</v>
      </c>
      <c r="S29" s="3"/>
      <c r="T29" s="3">
        <f t="shared" si="4"/>
        <v>15000</v>
      </c>
      <c r="U29" s="3" t="str">
        <f t="shared" si="5"/>
        <v>OK</v>
      </c>
      <c r="V29" s="8">
        <f t="shared" si="6"/>
        <v>0</v>
      </c>
      <c r="W29" s="3" t="str">
        <f t="shared" si="7"/>
        <v>OK</v>
      </c>
      <c r="X29" s="3" t="s">
        <v>133</v>
      </c>
      <c r="Y29" s="3" t="s">
        <v>131</v>
      </c>
      <c r="Z29" s="3" t="s">
        <v>122</v>
      </c>
      <c r="AA29" s="3" t="s">
        <v>122</v>
      </c>
      <c r="AB29" s="3" t="s">
        <v>122</v>
      </c>
    </row>
    <row r="30" spans="1:28" ht="19" x14ac:dyDescent="0.25">
      <c r="A30" t="s">
        <v>181</v>
      </c>
      <c r="B30" s="2">
        <v>45681</v>
      </c>
      <c r="C30" s="3" t="str">
        <f>_xlfn.XLOOKUP(D30,'[1]Jan Customer Duplicate Hyva'!$B:$B,'[1]Jan Customer Duplicate Hyva'!$A:$A,"NOT FOUND")</f>
        <v>CUST-280</v>
      </c>
      <c r="D30" s="4" t="s">
        <v>141</v>
      </c>
      <c r="E30" s="4" t="s">
        <v>24</v>
      </c>
      <c r="F30" s="5" t="str">
        <f t="shared" si="0"/>
        <v>Gaju Bhau</v>
      </c>
      <c r="G30" s="3"/>
      <c r="H30" s="3"/>
      <c r="I30" s="5" t="str">
        <f>_xlfn.XLOOKUP(F30,'[1]Jan Labour Nd Drivers Hyva'!$B:$B,'[2]Jan Labour Nd Drivers Hyva'!$A:$A,"NOT FOUND")</f>
        <v>LAB-001</v>
      </c>
      <c r="J30" s="3"/>
      <c r="K30" s="3"/>
      <c r="L30" s="4" t="s">
        <v>142</v>
      </c>
      <c r="M30" s="6">
        <v>1</v>
      </c>
      <c r="N30" s="7">
        <v>3000</v>
      </c>
      <c r="O30" s="7">
        <f t="shared" si="1"/>
        <v>3000</v>
      </c>
      <c r="P30" s="7">
        <v>3000</v>
      </c>
      <c r="Q30" s="7">
        <f t="shared" si="2"/>
        <v>0</v>
      </c>
      <c r="R30" s="3" t="str">
        <f t="shared" si="3"/>
        <v>PAID</v>
      </c>
      <c r="S30" s="3"/>
      <c r="T30" s="3">
        <f t="shared" si="4"/>
        <v>3000</v>
      </c>
      <c r="U30" s="3" t="str">
        <f t="shared" si="5"/>
        <v>OK</v>
      </c>
      <c r="V30" s="8">
        <f t="shared" si="6"/>
        <v>0</v>
      </c>
      <c r="W30" s="3" t="str">
        <f t="shared" si="7"/>
        <v>OK</v>
      </c>
      <c r="X30" s="3" t="s">
        <v>133</v>
      </c>
      <c r="Y30" s="3" t="s">
        <v>131</v>
      </c>
      <c r="Z30" s="3" t="s">
        <v>122</v>
      </c>
      <c r="AA30" s="3" t="s">
        <v>122</v>
      </c>
      <c r="AB30" s="3" t="s">
        <v>122</v>
      </c>
    </row>
    <row r="31" spans="1:28" ht="19" x14ac:dyDescent="0.25">
      <c r="A31" t="s">
        <v>182</v>
      </c>
      <c r="B31" s="2">
        <v>45681</v>
      </c>
      <c r="C31" s="3" t="str">
        <f>_xlfn.XLOOKUP(D31,'[1]Jan Customer Duplicate Hyva'!$B:$B,'[1]Jan Customer Duplicate Hyva'!$A:$A,"NOT FOUND")</f>
        <v>CUST-218</v>
      </c>
      <c r="D31" s="4" t="s">
        <v>23</v>
      </c>
      <c r="E31" s="4" t="s">
        <v>24</v>
      </c>
      <c r="F31" s="5" t="str">
        <f t="shared" si="0"/>
        <v>Gaju Bhau</v>
      </c>
      <c r="G31" s="3"/>
      <c r="H31" s="3"/>
      <c r="I31" s="5" t="str">
        <f>_xlfn.XLOOKUP(F31,'[1]Jan Labour Nd Drivers Hyva'!$B:$B,'[2]Jan Labour Nd Drivers Hyva'!$A:$A,"NOT FOUND")</f>
        <v>LAB-001</v>
      </c>
      <c r="J31" s="3"/>
      <c r="K31" s="3"/>
      <c r="L31" s="4" t="s">
        <v>25</v>
      </c>
      <c r="M31" s="6">
        <v>2</v>
      </c>
      <c r="N31" s="7">
        <v>3000</v>
      </c>
      <c r="O31" s="7">
        <f t="shared" si="1"/>
        <v>6000</v>
      </c>
      <c r="P31" s="7">
        <v>6000</v>
      </c>
      <c r="Q31" s="7">
        <f t="shared" si="2"/>
        <v>0</v>
      </c>
      <c r="R31" s="3" t="str">
        <f t="shared" si="3"/>
        <v>PAID</v>
      </c>
      <c r="S31" s="3"/>
      <c r="T31" s="3">
        <f t="shared" si="4"/>
        <v>6000</v>
      </c>
      <c r="U31" s="3" t="str">
        <f t="shared" si="5"/>
        <v>OK</v>
      </c>
      <c r="V31" s="8">
        <f t="shared" si="6"/>
        <v>0</v>
      </c>
      <c r="W31" s="3" t="str">
        <f t="shared" si="7"/>
        <v>OK</v>
      </c>
      <c r="X31" s="3" t="s">
        <v>133</v>
      </c>
      <c r="Y31" s="3" t="s">
        <v>131</v>
      </c>
      <c r="Z31" s="3" t="s">
        <v>122</v>
      </c>
      <c r="AA31" s="3" t="s">
        <v>122</v>
      </c>
      <c r="AB31" s="3" t="s">
        <v>122</v>
      </c>
    </row>
    <row r="32" spans="1:28" ht="19" x14ac:dyDescent="0.25">
      <c r="A32" t="s">
        <v>183</v>
      </c>
      <c r="B32" s="2">
        <v>45685</v>
      </c>
      <c r="C32" s="3" t="str">
        <f>_xlfn.XLOOKUP(D32,'[1]Jan Customer Duplicate Hyva'!$B:$B,'[1]Jan Customer Duplicate Hyva'!$A:$A,"NOT FOUND")</f>
        <v>CUST-218</v>
      </c>
      <c r="D32" s="4" t="s">
        <v>23</v>
      </c>
      <c r="E32" s="4" t="s">
        <v>24</v>
      </c>
      <c r="F32" s="5" t="str">
        <f t="shared" si="0"/>
        <v>Gaju Bhau</v>
      </c>
      <c r="G32" s="3"/>
      <c r="H32" s="3"/>
      <c r="I32" s="5" t="str">
        <f>_xlfn.XLOOKUP(F32,'[1]Jan Labour Nd Drivers Hyva'!$B:$B,'[2]Jan Labour Nd Drivers Hyva'!$A:$A,"NOT FOUND")</f>
        <v>LAB-001</v>
      </c>
      <c r="J32" s="3"/>
      <c r="K32" s="3"/>
      <c r="L32" s="4" t="s">
        <v>25</v>
      </c>
      <c r="M32" s="6">
        <v>6</v>
      </c>
      <c r="N32" s="7">
        <v>3000</v>
      </c>
      <c r="O32" s="7">
        <f t="shared" si="1"/>
        <v>18000</v>
      </c>
      <c r="P32" s="7">
        <v>18000</v>
      </c>
      <c r="Q32" s="7">
        <f t="shared" si="2"/>
        <v>0</v>
      </c>
      <c r="R32" s="3" t="str">
        <f t="shared" si="3"/>
        <v>PAID</v>
      </c>
      <c r="S32" s="3"/>
      <c r="T32" s="3">
        <f t="shared" si="4"/>
        <v>18000</v>
      </c>
      <c r="U32" s="3" t="str">
        <f t="shared" si="5"/>
        <v>OK</v>
      </c>
      <c r="V32" s="8">
        <f t="shared" si="6"/>
        <v>0</v>
      </c>
      <c r="W32" s="3" t="str">
        <f t="shared" si="7"/>
        <v>OK</v>
      </c>
      <c r="X32" s="3" t="s">
        <v>133</v>
      </c>
      <c r="Y32" s="3" t="s">
        <v>131</v>
      </c>
      <c r="Z32" s="3" t="s">
        <v>122</v>
      </c>
      <c r="AA32" s="3" t="s">
        <v>122</v>
      </c>
      <c r="AB32" s="3" t="s">
        <v>122</v>
      </c>
    </row>
    <row r="33" spans="1:28" ht="19" x14ac:dyDescent="0.25">
      <c r="A33" t="s">
        <v>184</v>
      </c>
      <c r="B33" s="2">
        <v>45685</v>
      </c>
      <c r="C33" s="3" t="str">
        <f>_xlfn.XLOOKUP(D33,'[1]Jan Customer Duplicate Hyva'!$B:$B,'[1]Jan Customer Duplicate Hyva'!$A:$A,"NOT FOUND")</f>
        <v>CUST-218</v>
      </c>
      <c r="D33" s="4" t="s">
        <v>23</v>
      </c>
      <c r="E33" s="4" t="s">
        <v>30</v>
      </c>
      <c r="F33" s="5" t="str">
        <f t="shared" si="0"/>
        <v>Anshu</v>
      </c>
      <c r="G33" s="3"/>
      <c r="H33" s="3"/>
      <c r="I33" s="5" t="str">
        <f>_xlfn.XLOOKUP(F33,'[1]Jan Labour Nd Drivers Hyva'!$B:$B,'[2]Jan Labour Nd Drivers Hyva'!$A:$A,"NOT FOUND")</f>
        <v>LAB-002</v>
      </c>
      <c r="J33" s="3"/>
      <c r="K33" s="3"/>
      <c r="L33" s="4" t="s">
        <v>25</v>
      </c>
      <c r="M33" s="6">
        <v>1</v>
      </c>
      <c r="N33" s="7">
        <v>3000</v>
      </c>
      <c r="O33" s="7">
        <f t="shared" si="1"/>
        <v>3000</v>
      </c>
      <c r="P33" s="7">
        <v>3000</v>
      </c>
      <c r="Q33" s="7">
        <f t="shared" si="2"/>
        <v>0</v>
      </c>
      <c r="R33" s="3" t="str">
        <f t="shared" si="3"/>
        <v>PAID</v>
      </c>
      <c r="S33" s="3"/>
      <c r="T33" s="3">
        <f t="shared" si="4"/>
        <v>3000</v>
      </c>
      <c r="U33" s="3" t="str">
        <f t="shared" si="5"/>
        <v>OK</v>
      </c>
      <c r="V33" s="8">
        <f t="shared" si="6"/>
        <v>0</v>
      </c>
      <c r="W33" s="3" t="str">
        <f t="shared" si="7"/>
        <v>OK</v>
      </c>
      <c r="X33" s="3" t="s">
        <v>133</v>
      </c>
      <c r="Y33" s="3" t="s">
        <v>131</v>
      </c>
      <c r="Z33" s="3" t="s">
        <v>122</v>
      </c>
      <c r="AA33" s="3" t="s">
        <v>122</v>
      </c>
      <c r="AB33" s="3" t="s">
        <v>122</v>
      </c>
    </row>
    <row r="34" spans="1:28" ht="19" x14ac:dyDescent="0.25">
      <c r="A34" t="s">
        <v>185</v>
      </c>
      <c r="B34" s="2">
        <v>45686</v>
      </c>
      <c r="C34" s="3" t="str">
        <f>_xlfn.XLOOKUP(D34,'[1]Jan Customer Duplicate Hyva'!$B:$B,'[1]Jan Customer Duplicate Hyva'!$A:$A,"NOT FOUND")</f>
        <v>CUST-329</v>
      </c>
      <c r="D34" s="4" t="s">
        <v>146</v>
      </c>
      <c r="E34" s="4" t="s">
        <v>30</v>
      </c>
      <c r="F34" s="5" t="str">
        <f t="shared" si="0"/>
        <v>Anshu</v>
      </c>
      <c r="G34" s="3"/>
      <c r="H34" s="3"/>
      <c r="I34" s="5" t="str">
        <f>_xlfn.XLOOKUP(F34,'[1]Jan Labour Nd Drivers Hyva'!$B:$B,'[2]Jan Labour Nd Drivers Hyva'!$A:$A,"NOT FOUND")</f>
        <v>LAB-002</v>
      </c>
      <c r="J34" s="3"/>
      <c r="K34" s="3"/>
      <c r="L34" s="4" t="s">
        <v>87</v>
      </c>
      <c r="M34" s="6">
        <v>2</v>
      </c>
      <c r="N34" s="7">
        <v>3200</v>
      </c>
      <c r="O34" s="7">
        <f t="shared" si="1"/>
        <v>6400</v>
      </c>
      <c r="P34" s="7">
        <v>6400</v>
      </c>
      <c r="Q34" s="7">
        <f t="shared" si="2"/>
        <v>0</v>
      </c>
      <c r="R34" s="3" t="str">
        <f t="shared" si="3"/>
        <v>PAID</v>
      </c>
      <c r="S34" s="3"/>
      <c r="T34" s="3">
        <f t="shared" si="4"/>
        <v>6400</v>
      </c>
      <c r="U34" s="3" t="str">
        <f t="shared" si="5"/>
        <v>OK</v>
      </c>
      <c r="V34" s="8">
        <f t="shared" si="6"/>
        <v>0</v>
      </c>
      <c r="W34" s="3" t="str">
        <f t="shared" si="7"/>
        <v>OK</v>
      </c>
      <c r="X34" s="3" t="s">
        <v>133</v>
      </c>
      <c r="Y34" s="3" t="s">
        <v>131</v>
      </c>
      <c r="Z34" s="3" t="s">
        <v>122</v>
      </c>
      <c r="AA34" s="3" t="s">
        <v>122</v>
      </c>
      <c r="AB34" s="3" t="s">
        <v>122</v>
      </c>
    </row>
    <row r="35" spans="1:28" ht="19" x14ac:dyDescent="0.25">
      <c r="A35" t="s">
        <v>186</v>
      </c>
      <c r="B35" s="2">
        <v>45686</v>
      </c>
      <c r="C35" s="3" t="str">
        <f>_xlfn.XLOOKUP(D35,'[1]Jan Customer Duplicate Hyva'!$B:$B,'[1]Jan Customer Duplicate Hyva'!$A:$A,"NOT FOUND")</f>
        <v>CUST-329</v>
      </c>
      <c r="D35" s="4" t="s">
        <v>146</v>
      </c>
      <c r="E35" s="4" t="s">
        <v>147</v>
      </c>
      <c r="F35" s="5" t="str">
        <f t="shared" si="0"/>
        <v>Anna</v>
      </c>
      <c r="G35" s="3"/>
      <c r="H35" s="3"/>
      <c r="I35" s="5" t="str">
        <f>_xlfn.XLOOKUP(F35,'[1]Jan Labour Nd Drivers Hyva'!$B:$B,'[1]Jan Labour Nd Drivers Hyva'!$A:$A,"NOT FOUND")</f>
        <v>LAB-004</v>
      </c>
      <c r="J35" s="3"/>
      <c r="K35" s="3"/>
      <c r="L35" s="4" t="s">
        <v>87</v>
      </c>
      <c r="M35" s="6">
        <v>7</v>
      </c>
      <c r="N35" s="7">
        <v>3200</v>
      </c>
      <c r="O35" s="7">
        <f t="shared" si="1"/>
        <v>22400</v>
      </c>
      <c r="P35" s="7">
        <v>22400</v>
      </c>
      <c r="Q35" s="7">
        <f t="shared" si="2"/>
        <v>0</v>
      </c>
      <c r="R35" s="3" t="str">
        <f t="shared" si="3"/>
        <v>PAID</v>
      </c>
      <c r="S35" s="3"/>
      <c r="T35" s="3">
        <f t="shared" si="4"/>
        <v>22400</v>
      </c>
      <c r="U35" s="3" t="str">
        <f t="shared" si="5"/>
        <v>OK</v>
      </c>
      <c r="V35" s="8">
        <f t="shared" si="6"/>
        <v>0</v>
      </c>
      <c r="W35" s="3" t="str">
        <f t="shared" si="7"/>
        <v>OK</v>
      </c>
      <c r="X35" s="3" t="s">
        <v>133</v>
      </c>
      <c r="Y35" s="3" t="s">
        <v>131</v>
      </c>
      <c r="Z35" s="3" t="s">
        <v>122</v>
      </c>
      <c r="AA35" s="3" t="s">
        <v>122</v>
      </c>
      <c r="AB35" s="3" t="s">
        <v>122</v>
      </c>
    </row>
    <row r="36" spans="1:28" ht="19" x14ac:dyDescent="0.25">
      <c r="A36" t="s">
        <v>187</v>
      </c>
      <c r="B36" s="2">
        <v>45686</v>
      </c>
      <c r="C36" s="3" t="str">
        <f>_xlfn.XLOOKUP(D36,'[1]Jan Customer Duplicate Hyva'!$B:$B,'[1]Jan Customer Duplicate Hyva'!$A:$A,"NOT FOUND")</f>
        <v>CUST-218</v>
      </c>
      <c r="D36" s="4" t="s">
        <v>23</v>
      </c>
      <c r="E36" s="4" t="s">
        <v>24</v>
      </c>
      <c r="F36" s="5" t="str">
        <f t="shared" si="0"/>
        <v>Gaju Bhau</v>
      </c>
      <c r="G36" s="3"/>
      <c r="H36" s="3"/>
      <c r="I36" s="5" t="str">
        <f>_xlfn.XLOOKUP(F36,'[1]Jan Labour Nd Drivers Hyva'!$B:$B,'[1]Jan Labour Nd Drivers Hyva'!$A:$A,"NOT FOUND")</f>
        <v>LAB-001</v>
      </c>
      <c r="J36" s="3"/>
      <c r="K36" s="3"/>
      <c r="L36" s="4" t="s">
        <v>25</v>
      </c>
      <c r="M36" s="6">
        <v>2</v>
      </c>
      <c r="N36" s="7">
        <v>3000</v>
      </c>
      <c r="O36" s="7">
        <f t="shared" si="1"/>
        <v>6000</v>
      </c>
      <c r="P36" s="7">
        <v>6000</v>
      </c>
      <c r="Q36" s="7">
        <f t="shared" si="2"/>
        <v>0</v>
      </c>
      <c r="R36" s="3" t="str">
        <f t="shared" si="3"/>
        <v>PAID</v>
      </c>
      <c r="S36" s="3"/>
      <c r="T36" s="3">
        <f t="shared" si="4"/>
        <v>6000</v>
      </c>
      <c r="U36" s="3" t="str">
        <f t="shared" si="5"/>
        <v>OK</v>
      </c>
      <c r="V36" s="8">
        <f t="shared" si="6"/>
        <v>0</v>
      </c>
      <c r="W36" s="3" t="str">
        <f t="shared" si="7"/>
        <v>OK</v>
      </c>
      <c r="X36" s="3" t="s">
        <v>133</v>
      </c>
      <c r="Y36" s="3" t="s">
        <v>131</v>
      </c>
      <c r="Z36" s="3" t="s">
        <v>122</v>
      </c>
      <c r="AA36" s="3" t="s">
        <v>122</v>
      </c>
      <c r="AB36" s="3" t="s">
        <v>122</v>
      </c>
    </row>
    <row r="37" spans="1:28" ht="19" x14ac:dyDescent="0.25">
      <c r="A37" t="s">
        <v>188</v>
      </c>
      <c r="B37" s="2">
        <v>45686</v>
      </c>
      <c r="C37" s="3" t="str">
        <f>_xlfn.XLOOKUP(D37,'[1]Jan Customer Duplicate Hyva'!$B:$B,'[1]Jan Customer Duplicate Hyva'!$A:$A,"NOT FOUND")</f>
        <v>CUST-075</v>
      </c>
      <c r="D37" s="4" t="s">
        <v>136</v>
      </c>
      <c r="E37" s="4" t="s">
        <v>148</v>
      </c>
      <c r="F37" s="5" t="str">
        <f t="shared" si="0"/>
        <v>Vithal Bhau</v>
      </c>
      <c r="G37" s="3"/>
      <c r="H37" s="3"/>
      <c r="I37" s="5" t="str">
        <f>_xlfn.XLOOKUP(F37,'[1]Jan Labour Nd Drivers Hyva'!$B:$B,'[1]Jan Labour Nd Drivers Hyva'!$A:$A,"NOT FOUND")</f>
        <v>LAB-005</v>
      </c>
      <c r="J37" s="3"/>
      <c r="K37" s="3"/>
      <c r="L37" s="4" t="s">
        <v>149</v>
      </c>
      <c r="M37" s="6">
        <v>2</v>
      </c>
      <c r="N37" s="7">
        <v>2800</v>
      </c>
      <c r="O37" s="7">
        <f t="shared" si="1"/>
        <v>5600</v>
      </c>
      <c r="P37" s="7">
        <v>5600</v>
      </c>
      <c r="Q37" s="7">
        <f t="shared" si="2"/>
        <v>0</v>
      </c>
      <c r="R37" s="3" t="str">
        <f t="shared" si="3"/>
        <v>PAID</v>
      </c>
      <c r="S37" s="3"/>
      <c r="T37" s="3">
        <f t="shared" si="4"/>
        <v>5600</v>
      </c>
      <c r="U37" s="3" t="str">
        <f t="shared" si="5"/>
        <v>OK</v>
      </c>
      <c r="V37" s="8">
        <f t="shared" si="6"/>
        <v>0</v>
      </c>
      <c r="W37" s="3" t="str">
        <f t="shared" si="7"/>
        <v>OK</v>
      </c>
      <c r="X37" s="3" t="s">
        <v>133</v>
      </c>
      <c r="Y37" s="3" t="s">
        <v>131</v>
      </c>
      <c r="Z37" s="3" t="s">
        <v>122</v>
      </c>
      <c r="AA37" s="3" t="s">
        <v>122</v>
      </c>
      <c r="AB37" s="3" t="s">
        <v>122</v>
      </c>
    </row>
    <row r="38" spans="1:28" ht="19" x14ac:dyDescent="0.25">
      <c r="A38" t="s">
        <v>189</v>
      </c>
      <c r="B38" s="2">
        <v>45687</v>
      </c>
      <c r="C38" s="3" t="str">
        <f>_xlfn.XLOOKUP(D38,'[1]Jan Customer Duplicate Hyva'!$B:$B,'[1]Jan Customer Duplicate Hyva'!$A:$A,"NOT FOUND")</f>
        <v>CUST-329</v>
      </c>
      <c r="D38" s="4" t="s">
        <v>146</v>
      </c>
      <c r="E38" s="4" t="s">
        <v>148</v>
      </c>
      <c r="F38" s="5" t="str">
        <f t="shared" si="0"/>
        <v>Vithal Bhau</v>
      </c>
      <c r="G38" s="3"/>
      <c r="H38" s="3"/>
      <c r="I38" s="5" t="str">
        <f>_xlfn.XLOOKUP(F38,'[1]Jan Labour Nd Drivers Hyva'!$B:$B,'[1]Jan Labour Nd Drivers Hyva'!$A:$A,"NOT FOUND")</f>
        <v>LAB-005</v>
      </c>
      <c r="J38" s="3"/>
      <c r="K38" s="3"/>
      <c r="L38" s="4" t="s">
        <v>87</v>
      </c>
      <c r="M38" s="6">
        <v>2</v>
      </c>
      <c r="N38" s="7">
        <v>3200</v>
      </c>
      <c r="O38" s="7">
        <f t="shared" si="1"/>
        <v>6400</v>
      </c>
      <c r="P38" s="7">
        <v>6400</v>
      </c>
      <c r="Q38" s="7">
        <f t="shared" si="2"/>
        <v>0</v>
      </c>
      <c r="R38" s="3" t="str">
        <f t="shared" si="3"/>
        <v>PAID</v>
      </c>
      <c r="S38" s="3"/>
      <c r="T38" s="3">
        <f t="shared" si="4"/>
        <v>6400</v>
      </c>
      <c r="U38" s="3" t="str">
        <f t="shared" si="5"/>
        <v>OK</v>
      </c>
      <c r="V38" s="8">
        <f t="shared" si="6"/>
        <v>0</v>
      </c>
      <c r="W38" s="3" t="str">
        <f t="shared" si="7"/>
        <v>OK</v>
      </c>
      <c r="X38" s="3" t="s">
        <v>133</v>
      </c>
      <c r="Y38" s="3" t="s">
        <v>131</v>
      </c>
      <c r="Z38" s="3" t="s">
        <v>122</v>
      </c>
      <c r="AA38" s="3" t="s">
        <v>122</v>
      </c>
      <c r="AB38" s="3" t="s">
        <v>122</v>
      </c>
    </row>
    <row r="39" spans="1:28" ht="19" x14ac:dyDescent="0.25">
      <c r="A39" t="s">
        <v>190</v>
      </c>
      <c r="B39" s="2">
        <v>45687</v>
      </c>
      <c r="C39" s="3" t="str">
        <f>_xlfn.XLOOKUP(D39,'[1]Jan Customer Duplicate Hyva'!$B:$B,'[1]Jan Customer Duplicate Hyva'!$A:$A,"NOT FOUND")</f>
        <v>CUST-218</v>
      </c>
      <c r="D39" s="4" t="s">
        <v>23</v>
      </c>
      <c r="E39" s="4" t="s">
        <v>30</v>
      </c>
      <c r="F39" s="5" t="str">
        <f t="shared" si="0"/>
        <v>Anshu</v>
      </c>
      <c r="G39" s="3"/>
      <c r="H39" s="3"/>
      <c r="I39" s="5" t="str">
        <f>_xlfn.XLOOKUP(F39,'[1]Jan Labour Nd Drivers Hyva'!$B:$B,'[1]Jan Labour Nd Drivers Hyva'!$A:$A,"NOT FOUND")</f>
        <v>LAB-002</v>
      </c>
      <c r="J39" s="3"/>
      <c r="K39" s="3"/>
      <c r="L39" s="4" t="s">
        <v>31</v>
      </c>
      <c r="M39" s="6">
        <v>6</v>
      </c>
      <c r="N39" s="7">
        <v>3000</v>
      </c>
      <c r="O39" s="7">
        <f t="shared" si="1"/>
        <v>18000</v>
      </c>
      <c r="P39" s="7">
        <v>18000</v>
      </c>
      <c r="Q39" s="7">
        <f t="shared" si="2"/>
        <v>0</v>
      </c>
      <c r="R39" s="3" t="str">
        <f t="shared" si="3"/>
        <v>PAID</v>
      </c>
      <c r="S39" s="3"/>
      <c r="T39" s="3">
        <f t="shared" si="4"/>
        <v>18000</v>
      </c>
      <c r="U39" s="3" t="str">
        <f t="shared" si="5"/>
        <v>OK</v>
      </c>
      <c r="V39" s="8">
        <f t="shared" si="6"/>
        <v>0</v>
      </c>
      <c r="W39" s="3" t="str">
        <f t="shared" si="7"/>
        <v>OK</v>
      </c>
      <c r="X39" s="3" t="s">
        <v>133</v>
      </c>
      <c r="Y39" s="3" t="s">
        <v>131</v>
      </c>
      <c r="Z39" s="3" t="s">
        <v>122</v>
      </c>
      <c r="AA39" s="3" t="s">
        <v>122</v>
      </c>
      <c r="AB39" s="3" t="s">
        <v>122</v>
      </c>
    </row>
    <row r="40" spans="1:28" ht="19" x14ac:dyDescent="0.25">
      <c r="A40" t="s">
        <v>191</v>
      </c>
      <c r="B40" s="2">
        <v>45687</v>
      </c>
      <c r="C40" s="3" t="str">
        <f>_xlfn.XLOOKUP(D40,'[1]Jan Customer Duplicate Hyva'!$B:$B,'[1]Jan Customer Duplicate Hyva'!$A:$A,"NOT FOUND")</f>
        <v>CUST-075</v>
      </c>
      <c r="D40" s="4" t="s">
        <v>136</v>
      </c>
      <c r="E40" s="4" t="s">
        <v>26</v>
      </c>
      <c r="F40" s="5" t="str">
        <f t="shared" si="0"/>
        <v>Ravi</v>
      </c>
      <c r="G40" s="3"/>
      <c r="H40" s="3"/>
      <c r="I40" s="5" t="str">
        <f>_xlfn.XLOOKUP(F40,'[1]Jan Labour Nd Drivers Hyva'!$B:$B,'[1]Jan Labour Nd Drivers Hyva'!$A:$A,"NOT FOUND")</f>
        <v>LAB-003</v>
      </c>
      <c r="J40" s="3"/>
      <c r="K40" s="3"/>
      <c r="L40" s="4" t="s">
        <v>150</v>
      </c>
      <c r="M40" s="6">
        <v>1</v>
      </c>
      <c r="N40" s="7">
        <v>2800</v>
      </c>
      <c r="O40" s="7">
        <f t="shared" si="1"/>
        <v>2800</v>
      </c>
      <c r="P40" s="7">
        <v>2800</v>
      </c>
      <c r="Q40" s="7">
        <f t="shared" si="2"/>
        <v>0</v>
      </c>
      <c r="R40" s="3" t="str">
        <f t="shared" si="3"/>
        <v>PAID</v>
      </c>
      <c r="S40" s="3"/>
      <c r="T40" s="3">
        <f t="shared" si="4"/>
        <v>2800</v>
      </c>
      <c r="U40" s="3" t="str">
        <f t="shared" si="5"/>
        <v>OK</v>
      </c>
      <c r="V40" s="8">
        <f t="shared" si="6"/>
        <v>0</v>
      </c>
      <c r="W40" s="3" t="str">
        <f t="shared" si="7"/>
        <v>OK</v>
      </c>
      <c r="X40" s="3" t="s">
        <v>133</v>
      </c>
      <c r="Y40" s="3" t="s">
        <v>131</v>
      </c>
      <c r="Z40" s="3" t="s">
        <v>122</v>
      </c>
      <c r="AA40" s="3" t="s">
        <v>122</v>
      </c>
      <c r="AB40" s="3" t="s">
        <v>122</v>
      </c>
    </row>
    <row r="41" spans="1:28" ht="19" x14ac:dyDescent="0.25">
      <c r="A41" t="s">
        <v>192</v>
      </c>
      <c r="B41" s="2">
        <v>45688</v>
      </c>
      <c r="C41" s="3" t="str">
        <f>_xlfn.XLOOKUP(D41,'[1]Jan Customer Duplicate Hyva'!$B:$B,'[1]Jan Customer Duplicate Hyva'!$A:$A,"NOT FOUND")</f>
        <v>CUST-201</v>
      </c>
      <c r="D41" s="4" t="s">
        <v>152</v>
      </c>
      <c r="E41" s="4" t="s">
        <v>26</v>
      </c>
      <c r="F41" s="5" t="str">
        <f t="shared" si="0"/>
        <v>Ravi</v>
      </c>
      <c r="G41" s="3"/>
      <c r="H41" s="3"/>
      <c r="I41" s="5" t="str">
        <f>_xlfn.XLOOKUP(F41,'[1]Jan Labour Nd Drivers Hyva'!$B:$B,'[1]Jan Labour Nd Drivers Hyva'!$A:$A,"NOT FOUND")</f>
        <v>LAB-003</v>
      </c>
      <c r="J41" s="3"/>
      <c r="K41" s="3"/>
      <c r="L41" s="4" t="s">
        <v>34</v>
      </c>
      <c r="M41" s="6">
        <v>1</v>
      </c>
      <c r="N41" s="7">
        <v>3000</v>
      </c>
      <c r="O41" s="7">
        <f t="shared" si="1"/>
        <v>3000</v>
      </c>
      <c r="P41" s="7">
        <v>3000</v>
      </c>
      <c r="Q41" s="7">
        <f t="shared" si="2"/>
        <v>0</v>
      </c>
      <c r="R41" s="3" t="str">
        <f t="shared" si="3"/>
        <v>PAID</v>
      </c>
      <c r="S41" s="3"/>
      <c r="T41" s="3">
        <f t="shared" si="4"/>
        <v>3000</v>
      </c>
      <c r="U41" s="3" t="str">
        <f t="shared" si="5"/>
        <v>OK</v>
      </c>
      <c r="V41" s="8">
        <f t="shared" si="6"/>
        <v>0</v>
      </c>
      <c r="W41" s="3" t="str">
        <f t="shared" si="7"/>
        <v>OK</v>
      </c>
      <c r="X41" s="3" t="s">
        <v>133</v>
      </c>
      <c r="Y41" s="3" t="s">
        <v>131</v>
      </c>
      <c r="Z41" s="3" t="s">
        <v>122</v>
      </c>
      <c r="AA41" s="3" t="s">
        <v>122</v>
      </c>
      <c r="AB41" s="3" t="s">
        <v>122</v>
      </c>
    </row>
    <row r="42" spans="1:28" ht="19" x14ac:dyDescent="0.25">
      <c r="A42" t="s">
        <v>193</v>
      </c>
      <c r="B42" s="2">
        <v>45688</v>
      </c>
      <c r="C42" s="3" t="str">
        <f>_xlfn.XLOOKUP(D42,'[1]Jan Customer Duplicate Hyva'!$B:$B,'[1]Jan Customer Duplicate Hyva'!$A:$A,"NOT FOUND")</f>
        <v>CUST-218</v>
      </c>
      <c r="D42" s="4" t="s">
        <v>23</v>
      </c>
      <c r="E42" s="4" t="s">
        <v>30</v>
      </c>
      <c r="F42" s="5" t="str">
        <f t="shared" si="0"/>
        <v>Anshu</v>
      </c>
      <c r="G42" s="3"/>
      <c r="H42" s="3"/>
      <c r="I42" s="5" t="str">
        <f>_xlfn.XLOOKUP(F42,'[1]Jan Labour Nd Drivers Hyva'!$B:$B,'[1]Jan Labour Nd Drivers Hyva'!$A:$A,"NOT FOUND")</f>
        <v>LAB-002</v>
      </c>
      <c r="J42" s="3"/>
      <c r="K42" s="3"/>
      <c r="L42" s="4" t="s">
        <v>25</v>
      </c>
      <c r="M42" s="6">
        <v>3</v>
      </c>
      <c r="N42" s="7">
        <v>3000</v>
      </c>
      <c r="O42" s="7">
        <f t="shared" si="1"/>
        <v>9000</v>
      </c>
      <c r="P42" s="7">
        <v>9000</v>
      </c>
      <c r="Q42" s="7">
        <f t="shared" si="2"/>
        <v>0</v>
      </c>
      <c r="R42" s="3" t="str">
        <f t="shared" si="3"/>
        <v>PAID</v>
      </c>
      <c r="S42" s="3"/>
      <c r="T42" s="3">
        <f t="shared" si="4"/>
        <v>9000</v>
      </c>
      <c r="U42" s="3" t="str">
        <f t="shared" si="5"/>
        <v>OK</v>
      </c>
      <c r="V42" s="8">
        <f t="shared" si="6"/>
        <v>0</v>
      </c>
      <c r="W42" s="3" t="str">
        <f t="shared" si="7"/>
        <v>OK</v>
      </c>
      <c r="X42" s="3" t="s">
        <v>133</v>
      </c>
      <c r="Y42" s="3" t="s">
        <v>131</v>
      </c>
      <c r="Z42" s="3" t="s">
        <v>122</v>
      </c>
      <c r="AA42" s="3" t="s">
        <v>122</v>
      </c>
      <c r="AB42" s="3" t="s">
        <v>122</v>
      </c>
    </row>
    <row r="43" spans="1:28" ht="19" x14ac:dyDescent="0.25">
      <c r="A43" t="s">
        <v>194</v>
      </c>
      <c r="B43" s="2">
        <v>45688</v>
      </c>
      <c r="C43" s="3" t="str">
        <f>_xlfn.XLOOKUP(D43,'[1]Jan Customer Duplicate Hyva'!$B:$B,'[1]Jan Customer Duplicate Hyva'!$A:$A,"NOT FOUND")</f>
        <v>CUST-218</v>
      </c>
      <c r="D43" s="4" t="s">
        <v>23</v>
      </c>
      <c r="E43" s="4" t="s">
        <v>26</v>
      </c>
      <c r="F43" s="5" t="str">
        <f t="shared" si="0"/>
        <v>Ravi</v>
      </c>
      <c r="G43" s="3"/>
      <c r="H43" s="3"/>
      <c r="I43" s="5" t="str">
        <f>_xlfn.XLOOKUP(F43,'[1]Jan Labour Nd Drivers Hyva'!$B:$B,'[1]Jan Labour Nd Drivers Hyva'!$A:$A,"NOT FOUND")</f>
        <v>LAB-003</v>
      </c>
      <c r="J43" s="3"/>
      <c r="K43" s="3"/>
      <c r="L43" s="4" t="s">
        <v>25</v>
      </c>
      <c r="M43" s="6">
        <v>4</v>
      </c>
      <c r="N43" s="7">
        <v>3000</v>
      </c>
      <c r="O43" s="7">
        <f t="shared" si="1"/>
        <v>12000</v>
      </c>
      <c r="P43" s="7">
        <v>12000</v>
      </c>
      <c r="Q43" s="7">
        <f t="shared" si="2"/>
        <v>0</v>
      </c>
      <c r="R43" s="3" t="str">
        <f t="shared" si="3"/>
        <v>PAID</v>
      </c>
      <c r="S43" s="3"/>
      <c r="T43" s="3">
        <f t="shared" si="4"/>
        <v>12000</v>
      </c>
      <c r="U43" s="3" t="str">
        <f t="shared" si="5"/>
        <v>OK</v>
      </c>
      <c r="V43" s="8">
        <f t="shared" si="6"/>
        <v>0</v>
      </c>
      <c r="W43" s="3" t="str">
        <f t="shared" si="7"/>
        <v>OK</v>
      </c>
      <c r="X43" s="3" t="s">
        <v>133</v>
      </c>
      <c r="Y43" s="3" t="s">
        <v>131</v>
      </c>
      <c r="Z43" s="3" t="s">
        <v>122</v>
      </c>
      <c r="AA43" s="3" t="s">
        <v>122</v>
      </c>
      <c r="AB43" s="3" t="s">
        <v>122</v>
      </c>
    </row>
    <row r="44" spans="1:28" ht="19" x14ac:dyDescent="0.25">
      <c r="A44" t="s">
        <v>195</v>
      </c>
      <c r="B44" s="2">
        <v>45689</v>
      </c>
      <c r="C44" s="3" t="str">
        <f>_xlfn.XLOOKUP(D44,'[1]Jan Customer Duplicate Hyva'!$B:$B,'[1]Jan Customer Duplicate Hyva'!$A:$A,"NOT FOUND")</f>
        <v>CUST-218</v>
      </c>
      <c r="D44" s="4" t="s">
        <v>23</v>
      </c>
      <c r="E44" s="4" t="s">
        <v>24</v>
      </c>
      <c r="F44" s="5" t="str">
        <f>TRIM(_xlfn.TEXTBEFORE(E44&amp;" / "," / "))</f>
        <v>Gaju Bhau</v>
      </c>
      <c r="G44" s="5" t="str">
        <f>IFERROR(TRIM(_xlfn.TEXTBEFORE(_xlfn.TEXTAFTER(E44," / ")&amp;" / "," / ")),"")</f>
        <v/>
      </c>
      <c r="H44" s="5" t="str">
        <f>IFERROR(TRIM(_xlfn.TEXTAFTER(E44," / ","2")),"")</f>
        <v/>
      </c>
      <c r="I44" s="5" t="str">
        <f>_xlfn.XLOOKUP(F44,'[1]Jan Labour Nd Drivers Hyva'!$B:$B,'[2]Jan Labour Nd Drivers Hyva'!$A:$A,"NOT FOUND")</f>
        <v>LAB-001</v>
      </c>
      <c r="J44" s="5" t="str">
        <f>IF(G44="","",_xlfn.XLOOKUP(G44,'[3]Jan Labour Nd Drivers Hyva'!$B:$B,'[2]Jan Labour Nd Drivers Hyva'!$A:$A,"NOT FOUND"))</f>
        <v/>
      </c>
      <c r="K44" s="5" t="str">
        <f>IF(H44="","",_xlfn.XLOOKUP(H44,'[2]Jan Labour Nd Drivers Hyva'!$B:$B,'[2]Jan Labour Nd Drivers Hyva'!$A:$A,"NOT FOUND"))</f>
        <v/>
      </c>
      <c r="L44" s="4" t="s">
        <v>25</v>
      </c>
      <c r="M44" s="6">
        <v>2</v>
      </c>
      <c r="N44" s="7">
        <v>3000</v>
      </c>
      <c r="O44" s="7">
        <f>N44*M44</f>
        <v>6000</v>
      </c>
      <c r="P44" s="7">
        <v>6000</v>
      </c>
      <c r="Q44" s="7">
        <f>O44-P44</f>
        <v>0</v>
      </c>
      <c r="R44" s="3" t="str">
        <f>IF(Q44=0,"PAID",IF(P44=0,"UNPAID","PARTIAL"))</f>
        <v>PAID</v>
      </c>
      <c r="S44" s="3"/>
      <c r="T44" s="3">
        <f>M44*N44</f>
        <v>6000</v>
      </c>
      <c r="U44" s="3" t="str">
        <f>IF(ROUND(T44,2)=ROUND(O44,2),"OK","CHECK")</f>
        <v>OK</v>
      </c>
      <c r="V44" s="8">
        <f>O44-P44</f>
        <v>0</v>
      </c>
      <c r="W44" s="3" t="str">
        <f>IF(ROUND(V44,2)=ROUND(Q44,2),"OK","CHECK")</f>
        <v>OK</v>
      </c>
      <c r="X44" s="3" t="s">
        <v>133</v>
      </c>
      <c r="Y44" s="3" t="s">
        <v>131</v>
      </c>
      <c r="Z44" s="3" t="s">
        <v>122</v>
      </c>
      <c r="AA44" s="3" t="s">
        <v>122</v>
      </c>
      <c r="AB44" s="3" t="s">
        <v>122</v>
      </c>
    </row>
    <row r="45" spans="1:28" ht="19" x14ac:dyDescent="0.25">
      <c r="A45" t="s">
        <v>196</v>
      </c>
      <c r="B45" s="2">
        <v>45689</v>
      </c>
      <c r="C45" s="3" t="str">
        <f>_xlfn.XLOOKUP(D45,'[1]Jan Customer Duplicate Hyva'!$B:$B,'[1]Jan Customer Duplicate Hyva'!$A:$A,"NOT FOUND")</f>
        <v>CUST-218</v>
      </c>
      <c r="D45" s="4" t="s">
        <v>23</v>
      </c>
      <c r="E45" s="4" t="s">
        <v>26</v>
      </c>
      <c r="F45" s="5" t="str">
        <f t="shared" ref="F45:F108" si="8">TRIM(_xlfn.TEXTBEFORE(E45&amp;" / "," / "))</f>
        <v>Ravi</v>
      </c>
      <c r="G45" s="5" t="str">
        <f t="shared" ref="G45:G108" si="9">IFERROR(TRIM(_xlfn.TEXTBEFORE(_xlfn.TEXTAFTER(E45," / ")&amp;" / "," / ")),"")</f>
        <v/>
      </c>
      <c r="H45" s="5" t="str">
        <f t="shared" ref="H45:H108" si="10">IFERROR(TRIM(_xlfn.TEXTAFTER(E45," / ","2")),"")</f>
        <v/>
      </c>
      <c r="I45" s="5" t="str">
        <f>_xlfn.XLOOKUP(F45,'[1]Jan Labour Nd Drivers Hyva'!$B:$B,'[2]Jan Labour Nd Drivers Hyva'!$A:$A,"NOT FOUND")</f>
        <v>LAB-003</v>
      </c>
      <c r="J45" s="5" t="str">
        <f>IF(G45="","",_xlfn.XLOOKUP(G45,'[3]Jan Labour Nd Drivers Hyva'!$B:$B,'[2]Jan Labour Nd Drivers Hyva'!$A:$A,"NOT FOUND"))</f>
        <v/>
      </c>
      <c r="K45" s="5" t="str">
        <f>IF(H45="","",_xlfn.XLOOKUP(H45,'[2]Jan Labour Nd Drivers Hyva'!$B:$B,'[2]Jan Labour Nd Drivers Hyva'!$A:$A,"NOT FOUND"))</f>
        <v/>
      </c>
      <c r="L45" s="4" t="s">
        <v>25</v>
      </c>
      <c r="M45" s="6">
        <v>4</v>
      </c>
      <c r="N45" s="7">
        <v>3000</v>
      </c>
      <c r="O45" s="7">
        <f t="shared" ref="O45:O108" si="11">N45*M45</f>
        <v>12000</v>
      </c>
      <c r="P45" s="7">
        <v>12000</v>
      </c>
      <c r="Q45" s="7">
        <f t="shared" ref="Q45:Q63" si="12">O45-P45</f>
        <v>0</v>
      </c>
      <c r="R45" s="3" t="str">
        <f t="shared" ref="R45:R108" si="13">IF(Q45=0,"PAID",IF(P45=0,"UNPAID","PARTIAL"))</f>
        <v>PAID</v>
      </c>
      <c r="S45" s="3"/>
      <c r="T45" s="3">
        <f t="shared" ref="T45:T108" si="14">M45*N45</f>
        <v>12000</v>
      </c>
      <c r="U45" s="3" t="str">
        <f t="shared" ref="U45:U108" si="15">IF(ROUND(T45,2)=ROUND(O45,2),"OK","CHECK")</f>
        <v>OK</v>
      </c>
      <c r="V45" s="8">
        <f t="shared" ref="V45:V108" si="16">O45-P45</f>
        <v>0</v>
      </c>
      <c r="W45" s="3" t="str">
        <f t="shared" ref="W45:W108" si="17">IF(ROUND(V45,2)=ROUND(Q45,2),"OK","CHECK")</f>
        <v>OK</v>
      </c>
      <c r="X45" s="3" t="s">
        <v>133</v>
      </c>
      <c r="Y45" s="3" t="s">
        <v>131</v>
      </c>
      <c r="Z45" s="3" t="s">
        <v>122</v>
      </c>
      <c r="AA45" s="3" t="s">
        <v>122</v>
      </c>
      <c r="AB45" s="3" t="s">
        <v>122</v>
      </c>
    </row>
    <row r="46" spans="1:28" ht="19" x14ac:dyDescent="0.25">
      <c r="A46" t="s">
        <v>197</v>
      </c>
      <c r="B46" s="2">
        <v>45689</v>
      </c>
      <c r="C46" s="3" t="str">
        <f>_xlfn.XLOOKUP(D46,'[1]Jan Customer Duplicate Hyva'!$B:$B,'[1]Jan Customer Duplicate Hyva'!$A:$A,"NOT FOUND")</f>
        <v>CUST-235</v>
      </c>
      <c r="D46" s="4" t="s">
        <v>123</v>
      </c>
      <c r="E46" s="4" t="s">
        <v>24</v>
      </c>
      <c r="F46" s="5" t="str">
        <f t="shared" si="8"/>
        <v>Gaju Bhau</v>
      </c>
      <c r="G46" s="5" t="str">
        <f t="shared" si="9"/>
        <v/>
      </c>
      <c r="H46" s="5" t="str">
        <f t="shared" si="10"/>
        <v/>
      </c>
      <c r="I46" s="5" t="str">
        <f>_xlfn.XLOOKUP(F46,'[1]Jan Labour Nd Drivers Hyva'!$B:$B,'[2]Jan Labour Nd Drivers Hyva'!$A:$A,"NOT FOUND")</f>
        <v>LAB-001</v>
      </c>
      <c r="J46" s="5" t="str">
        <f>IF(G46="","",_xlfn.XLOOKUP(G46,'[3]Jan Labour Nd Drivers Hyva'!$B:$B,'[2]Jan Labour Nd Drivers Hyva'!$A:$A,"NOT FOUND"))</f>
        <v/>
      </c>
      <c r="K46" s="5" t="str">
        <f>IF(H46="","",_xlfn.XLOOKUP(H46,'[2]Jan Labour Nd Drivers Hyva'!$B:$B,'[2]Jan Labour Nd Drivers Hyva'!$A:$A,"NOT FOUND"))</f>
        <v/>
      </c>
      <c r="L46" s="4" t="s">
        <v>27</v>
      </c>
      <c r="M46" s="6">
        <v>1</v>
      </c>
      <c r="N46" s="7">
        <v>5000</v>
      </c>
      <c r="O46" s="7">
        <f t="shared" si="11"/>
        <v>5000</v>
      </c>
      <c r="P46" s="7"/>
      <c r="Q46" s="7">
        <f t="shared" si="12"/>
        <v>5000</v>
      </c>
      <c r="R46" s="3" t="str">
        <f t="shared" si="13"/>
        <v>UNPAID</v>
      </c>
      <c r="S46" s="3"/>
      <c r="T46" s="3">
        <f t="shared" si="14"/>
        <v>5000</v>
      </c>
      <c r="U46" s="3" t="str">
        <f t="shared" si="15"/>
        <v>OK</v>
      </c>
      <c r="V46" s="8">
        <f t="shared" si="16"/>
        <v>5000</v>
      </c>
      <c r="W46" s="3" t="str">
        <f t="shared" si="17"/>
        <v>OK</v>
      </c>
      <c r="X46" s="3" t="s">
        <v>133</v>
      </c>
      <c r="Y46" s="3" t="s">
        <v>131</v>
      </c>
      <c r="Z46" s="3" t="s">
        <v>122</v>
      </c>
      <c r="AA46" s="3" t="s">
        <v>122</v>
      </c>
      <c r="AB46" s="3" t="s">
        <v>122</v>
      </c>
    </row>
    <row r="47" spans="1:28" ht="19" x14ac:dyDescent="0.25">
      <c r="A47" t="s">
        <v>198</v>
      </c>
      <c r="B47" s="2">
        <v>45689</v>
      </c>
      <c r="C47" s="3" t="str">
        <f>_xlfn.XLOOKUP(D47,'[1]Jan Customer Duplicate Hyva'!$B:$B,'[1]Jan Customer Duplicate Hyva'!$A:$A,"NOT FOUND")</f>
        <v>CUST-235</v>
      </c>
      <c r="D47" s="4" t="s">
        <v>123</v>
      </c>
      <c r="E47" s="4" t="s">
        <v>26</v>
      </c>
      <c r="F47" s="5" t="str">
        <f t="shared" si="8"/>
        <v>Ravi</v>
      </c>
      <c r="G47" s="5" t="str">
        <f t="shared" si="9"/>
        <v/>
      </c>
      <c r="H47" s="5" t="str">
        <f t="shared" si="10"/>
        <v/>
      </c>
      <c r="I47" s="5" t="str">
        <f>_xlfn.XLOOKUP(F47,'[1]Jan Labour Nd Drivers Hyva'!$B:$B,'[2]Jan Labour Nd Drivers Hyva'!$A:$A,"NOT FOUND")</f>
        <v>LAB-003</v>
      </c>
      <c r="J47" s="5" t="str">
        <f>IF(G47="","",_xlfn.XLOOKUP(G47,'[3]Jan Labour Nd Drivers Hyva'!$B:$B,'[2]Jan Labour Nd Drivers Hyva'!$A:$A,"NOT FOUND"))</f>
        <v/>
      </c>
      <c r="K47" s="5" t="str">
        <f>IF(H47="","",_xlfn.XLOOKUP(H47,'[2]Jan Labour Nd Drivers Hyva'!$B:$B,'[2]Jan Labour Nd Drivers Hyva'!$A:$A,"NOT FOUND"))</f>
        <v/>
      </c>
      <c r="L47" s="4" t="s">
        <v>27</v>
      </c>
      <c r="M47" s="6">
        <v>1</v>
      </c>
      <c r="N47" s="7">
        <v>5000</v>
      </c>
      <c r="O47" s="7">
        <f t="shared" si="11"/>
        <v>5000</v>
      </c>
      <c r="P47" s="7"/>
      <c r="Q47" s="7">
        <f t="shared" si="12"/>
        <v>5000</v>
      </c>
      <c r="R47" s="3" t="str">
        <f t="shared" si="13"/>
        <v>UNPAID</v>
      </c>
      <c r="S47" s="3"/>
      <c r="T47" s="3">
        <f t="shared" si="14"/>
        <v>5000</v>
      </c>
      <c r="U47" s="3" t="str">
        <f t="shared" si="15"/>
        <v>OK</v>
      </c>
      <c r="V47" s="8">
        <f t="shared" si="16"/>
        <v>5000</v>
      </c>
      <c r="W47" s="3" t="str">
        <f t="shared" si="17"/>
        <v>OK</v>
      </c>
      <c r="X47" s="3" t="s">
        <v>133</v>
      </c>
      <c r="Y47" s="3" t="s">
        <v>131</v>
      </c>
      <c r="Z47" s="3" t="s">
        <v>122</v>
      </c>
      <c r="AA47" s="3" t="s">
        <v>122</v>
      </c>
      <c r="AB47" s="3" t="s">
        <v>122</v>
      </c>
    </row>
    <row r="48" spans="1:28" ht="19" x14ac:dyDescent="0.25">
      <c r="A48" t="s">
        <v>199</v>
      </c>
      <c r="B48" s="2">
        <v>45689</v>
      </c>
      <c r="C48" s="3" t="str">
        <f>_xlfn.XLOOKUP(D48,'[1]Jan Customer Duplicate Hyva'!$B:$B,'[1]Jan Customer Duplicate Hyva'!$A:$A,"NOT FOUND")</f>
        <v>CUST-371</v>
      </c>
      <c r="D48" s="4" t="s">
        <v>28</v>
      </c>
      <c r="E48" s="4" t="s">
        <v>24</v>
      </c>
      <c r="F48" s="5" t="str">
        <f t="shared" si="8"/>
        <v>Gaju Bhau</v>
      </c>
      <c r="G48" s="5" t="str">
        <f t="shared" si="9"/>
        <v/>
      </c>
      <c r="H48" s="5" t="str">
        <f t="shared" si="10"/>
        <v/>
      </c>
      <c r="I48" s="5" t="str">
        <f>_xlfn.XLOOKUP(F48,'[1]Jan Labour Nd Drivers Hyva'!$B:$B,'[2]Jan Labour Nd Drivers Hyva'!$A:$A,"NOT FOUND")</f>
        <v>LAB-001</v>
      </c>
      <c r="J48" s="5" t="str">
        <f>IF(G48="","",_xlfn.XLOOKUP(G48,'[3]Jan Labour Nd Drivers Hyva'!$B:$B,'[2]Jan Labour Nd Drivers Hyva'!$A:$A,"NOT FOUND"))</f>
        <v/>
      </c>
      <c r="K48" s="5" t="str">
        <f>IF(H48="","",_xlfn.XLOOKUP(H48,'[2]Jan Labour Nd Drivers Hyva'!$B:$B,'[2]Jan Labour Nd Drivers Hyva'!$A:$A,"NOT FOUND"))</f>
        <v/>
      </c>
      <c r="L48" s="4" t="s">
        <v>29</v>
      </c>
      <c r="M48" s="6">
        <v>1</v>
      </c>
      <c r="N48" s="7">
        <v>6000</v>
      </c>
      <c r="O48" s="7">
        <f t="shared" si="11"/>
        <v>6000</v>
      </c>
      <c r="P48" s="7">
        <v>6000</v>
      </c>
      <c r="Q48" s="7">
        <f t="shared" si="12"/>
        <v>0</v>
      </c>
      <c r="R48" s="3" t="str">
        <f t="shared" si="13"/>
        <v>PAID</v>
      </c>
      <c r="S48" s="3"/>
      <c r="T48" s="3">
        <f t="shared" si="14"/>
        <v>6000</v>
      </c>
      <c r="U48" s="3" t="str">
        <f t="shared" si="15"/>
        <v>OK</v>
      </c>
      <c r="V48" s="8">
        <f t="shared" si="16"/>
        <v>0</v>
      </c>
      <c r="W48" s="3" t="str">
        <f t="shared" si="17"/>
        <v>OK</v>
      </c>
      <c r="X48" s="3" t="s">
        <v>133</v>
      </c>
      <c r="Y48" s="3" t="s">
        <v>131</v>
      </c>
      <c r="Z48" s="3" t="s">
        <v>122</v>
      </c>
      <c r="AA48" s="3" t="s">
        <v>122</v>
      </c>
      <c r="AB48" s="3" t="s">
        <v>122</v>
      </c>
    </row>
    <row r="49" spans="1:28" ht="19" x14ac:dyDescent="0.25">
      <c r="A49" t="s">
        <v>200</v>
      </c>
      <c r="B49" s="2">
        <v>45690</v>
      </c>
      <c r="C49" s="3" t="str">
        <f>_xlfn.XLOOKUP(D49,'[1]Jan Customer Duplicate Hyva'!$B:$B,'[1]Jan Customer Duplicate Hyva'!$A:$A,"NOT FOUND")</f>
        <v>CUST-218</v>
      </c>
      <c r="D49" s="4" t="s">
        <v>23</v>
      </c>
      <c r="E49" s="4" t="s">
        <v>26</v>
      </c>
      <c r="F49" s="5" t="str">
        <f t="shared" si="8"/>
        <v>Ravi</v>
      </c>
      <c r="G49" s="5" t="str">
        <f t="shared" si="9"/>
        <v/>
      </c>
      <c r="H49" s="5" t="str">
        <f t="shared" si="10"/>
        <v/>
      </c>
      <c r="I49" s="5" t="str">
        <f>_xlfn.XLOOKUP(F49,'[1]Jan Labour Nd Drivers Hyva'!$B:$B,'[2]Jan Labour Nd Drivers Hyva'!$A:$A,"NOT FOUND")</f>
        <v>LAB-003</v>
      </c>
      <c r="J49" s="5" t="str">
        <f>IF(G49="","",_xlfn.XLOOKUP(G49,'[3]Jan Labour Nd Drivers Hyva'!$B:$B,'[2]Jan Labour Nd Drivers Hyva'!$A:$A,"NOT FOUND"))</f>
        <v/>
      </c>
      <c r="K49" s="5" t="str">
        <f>IF(H49="","",_xlfn.XLOOKUP(H49,'[2]Jan Labour Nd Drivers Hyva'!$B:$B,'[2]Jan Labour Nd Drivers Hyva'!$A:$A,"NOT FOUND"))</f>
        <v/>
      </c>
      <c r="L49" s="4" t="s">
        <v>25</v>
      </c>
      <c r="M49" s="6">
        <v>3</v>
      </c>
      <c r="N49" s="7">
        <v>3000</v>
      </c>
      <c r="O49" s="7">
        <f t="shared" si="11"/>
        <v>9000</v>
      </c>
      <c r="P49" s="7">
        <v>9000</v>
      </c>
      <c r="Q49" s="7">
        <f t="shared" si="12"/>
        <v>0</v>
      </c>
      <c r="R49" s="3" t="str">
        <f t="shared" si="13"/>
        <v>PAID</v>
      </c>
      <c r="S49" s="3"/>
      <c r="T49" s="3">
        <f t="shared" si="14"/>
        <v>9000</v>
      </c>
      <c r="U49" s="3" t="str">
        <f t="shared" si="15"/>
        <v>OK</v>
      </c>
      <c r="V49" s="8">
        <f t="shared" si="16"/>
        <v>0</v>
      </c>
      <c r="W49" s="3" t="str">
        <f t="shared" si="17"/>
        <v>OK</v>
      </c>
      <c r="X49" s="3" t="s">
        <v>133</v>
      </c>
      <c r="Y49" s="3" t="s">
        <v>131</v>
      </c>
      <c r="Z49" s="3" t="s">
        <v>122</v>
      </c>
      <c r="AA49" s="3" t="s">
        <v>122</v>
      </c>
      <c r="AB49" s="3" t="s">
        <v>122</v>
      </c>
    </row>
    <row r="50" spans="1:28" ht="19" x14ac:dyDescent="0.25">
      <c r="A50" t="s">
        <v>201</v>
      </c>
      <c r="B50" s="2">
        <v>45690</v>
      </c>
      <c r="C50" s="3" t="str">
        <f>_xlfn.XLOOKUP(D50,'[1]Jan Customer Duplicate Hyva'!$B:$B,'[1]Jan Customer Duplicate Hyva'!$A:$A,"NOT FOUND")</f>
        <v>CUST-218</v>
      </c>
      <c r="D50" s="4" t="s">
        <v>23</v>
      </c>
      <c r="E50" s="4" t="s">
        <v>30</v>
      </c>
      <c r="F50" s="5" t="str">
        <f t="shared" si="8"/>
        <v>Anshu</v>
      </c>
      <c r="G50" s="5" t="str">
        <f t="shared" si="9"/>
        <v/>
      </c>
      <c r="H50" s="5" t="str">
        <f t="shared" si="10"/>
        <v/>
      </c>
      <c r="I50" s="5" t="str">
        <f>_xlfn.XLOOKUP(F50,'[1]Jan Labour Nd Drivers Hyva'!$B:$B,'[2]Jan Labour Nd Drivers Hyva'!$A:$A,"NOT FOUND")</f>
        <v>LAB-002</v>
      </c>
      <c r="J50" s="5" t="str">
        <f>IF(G50="","",_xlfn.XLOOKUP(G50,'[3]Jan Labour Nd Drivers Hyva'!$B:$B,'[2]Jan Labour Nd Drivers Hyva'!$A:$A,"NOT FOUND"))</f>
        <v/>
      </c>
      <c r="K50" s="5" t="str">
        <f>IF(H50="","",_xlfn.XLOOKUP(H50,'[2]Jan Labour Nd Drivers Hyva'!$B:$B,'[2]Jan Labour Nd Drivers Hyva'!$A:$A,"NOT FOUND"))</f>
        <v/>
      </c>
      <c r="L50" s="4" t="s">
        <v>25</v>
      </c>
      <c r="M50" s="6">
        <v>1</v>
      </c>
      <c r="N50" s="7">
        <v>3000</v>
      </c>
      <c r="O50" s="7">
        <f t="shared" si="11"/>
        <v>3000</v>
      </c>
      <c r="P50" s="7">
        <v>3000</v>
      </c>
      <c r="Q50" s="7">
        <f t="shared" si="12"/>
        <v>0</v>
      </c>
      <c r="R50" s="3" t="str">
        <f t="shared" si="13"/>
        <v>PAID</v>
      </c>
      <c r="S50" s="3"/>
      <c r="T50" s="3">
        <f t="shared" si="14"/>
        <v>3000</v>
      </c>
      <c r="U50" s="3" t="str">
        <f t="shared" si="15"/>
        <v>OK</v>
      </c>
      <c r="V50" s="8">
        <f t="shared" si="16"/>
        <v>0</v>
      </c>
      <c r="W50" s="3" t="str">
        <f t="shared" si="17"/>
        <v>OK</v>
      </c>
      <c r="X50" s="3" t="s">
        <v>133</v>
      </c>
      <c r="Y50" s="3" t="s">
        <v>131</v>
      </c>
      <c r="Z50" s="3" t="s">
        <v>122</v>
      </c>
      <c r="AA50" s="3" t="s">
        <v>122</v>
      </c>
      <c r="AB50" s="3" t="s">
        <v>122</v>
      </c>
    </row>
    <row r="51" spans="1:28" ht="19" x14ac:dyDescent="0.25">
      <c r="A51" t="s">
        <v>202</v>
      </c>
      <c r="B51" s="2">
        <v>45691</v>
      </c>
      <c r="C51" s="3" t="str">
        <f>_xlfn.XLOOKUP(D51,'[1]Jan Customer Duplicate Hyva'!$B:$B,'[1]Jan Customer Duplicate Hyva'!$A:$A,"NOT FOUND")</f>
        <v>CUST-218</v>
      </c>
      <c r="D51" s="4" t="s">
        <v>23</v>
      </c>
      <c r="E51" s="4" t="s">
        <v>30</v>
      </c>
      <c r="F51" s="5" t="str">
        <f t="shared" si="8"/>
        <v>Anshu</v>
      </c>
      <c r="G51" s="5" t="str">
        <f t="shared" si="9"/>
        <v/>
      </c>
      <c r="H51" s="5" t="str">
        <f t="shared" si="10"/>
        <v/>
      </c>
      <c r="I51" s="5" t="str">
        <f>_xlfn.XLOOKUP(F51,'[1]Jan Labour Nd Drivers Hyva'!$B:$B,'[2]Jan Labour Nd Drivers Hyva'!$A:$A,"NOT FOUND")</f>
        <v>LAB-002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4" t="s">
        <v>31</v>
      </c>
      <c r="M51" s="6">
        <v>3</v>
      </c>
      <c r="N51" s="7">
        <v>3000</v>
      </c>
      <c r="O51" s="7">
        <f t="shared" si="11"/>
        <v>9000</v>
      </c>
      <c r="P51" s="7">
        <v>9000</v>
      </c>
      <c r="Q51" s="7">
        <f t="shared" si="12"/>
        <v>0</v>
      </c>
      <c r="R51" s="3" t="str">
        <f t="shared" si="13"/>
        <v>PAID</v>
      </c>
      <c r="S51" s="3"/>
      <c r="T51" s="3">
        <f t="shared" si="14"/>
        <v>9000</v>
      </c>
      <c r="U51" s="3" t="str">
        <f t="shared" si="15"/>
        <v>OK</v>
      </c>
      <c r="V51" s="8">
        <f t="shared" si="16"/>
        <v>0</v>
      </c>
      <c r="W51" s="3" t="str">
        <f t="shared" si="17"/>
        <v>OK</v>
      </c>
      <c r="X51" s="3" t="s">
        <v>133</v>
      </c>
      <c r="Y51" s="3" t="s">
        <v>131</v>
      </c>
      <c r="Z51" s="3" t="s">
        <v>122</v>
      </c>
      <c r="AA51" s="3" t="s">
        <v>122</v>
      </c>
      <c r="AB51" s="3" t="s">
        <v>122</v>
      </c>
    </row>
    <row r="52" spans="1:28" ht="19" x14ac:dyDescent="0.25">
      <c r="A52" t="s">
        <v>203</v>
      </c>
      <c r="B52" s="2">
        <v>45691</v>
      </c>
      <c r="C52" s="3" t="str">
        <f>_xlfn.XLOOKUP(D52,'[1]Jan Customer Duplicate Hyva'!$B:$B,'[1]Jan Customer Duplicate Hyva'!$A:$A,"NOT FOUND")</f>
        <v>CUST-218</v>
      </c>
      <c r="D52" s="4" t="s">
        <v>23</v>
      </c>
      <c r="E52" s="4" t="s">
        <v>26</v>
      </c>
      <c r="F52" s="5" t="str">
        <f t="shared" si="8"/>
        <v>Ravi</v>
      </c>
      <c r="G52" s="5" t="str">
        <f t="shared" si="9"/>
        <v/>
      </c>
      <c r="H52" s="5" t="str">
        <f t="shared" si="10"/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4" t="s">
        <v>31</v>
      </c>
      <c r="M52" s="6">
        <v>3</v>
      </c>
      <c r="N52" s="7">
        <v>3000</v>
      </c>
      <c r="O52" s="7">
        <f t="shared" si="11"/>
        <v>9000</v>
      </c>
      <c r="P52" s="7">
        <v>9000</v>
      </c>
      <c r="Q52" s="7">
        <f t="shared" si="12"/>
        <v>0</v>
      </c>
      <c r="R52" s="3" t="str">
        <f t="shared" si="13"/>
        <v>PAID</v>
      </c>
      <c r="S52" s="3"/>
      <c r="T52" s="3">
        <f t="shared" si="14"/>
        <v>9000</v>
      </c>
      <c r="U52" s="3" t="str">
        <f t="shared" si="15"/>
        <v>OK</v>
      </c>
      <c r="V52" s="8">
        <f t="shared" si="16"/>
        <v>0</v>
      </c>
      <c r="W52" s="3" t="str">
        <f t="shared" si="17"/>
        <v>OK</v>
      </c>
      <c r="X52" s="3" t="s">
        <v>133</v>
      </c>
      <c r="Y52" s="3" t="s">
        <v>131</v>
      </c>
      <c r="Z52" s="3" t="s">
        <v>122</v>
      </c>
      <c r="AA52" s="3" t="s">
        <v>122</v>
      </c>
      <c r="AB52" s="3" t="s">
        <v>122</v>
      </c>
    </row>
    <row r="53" spans="1:28" ht="19" x14ac:dyDescent="0.25">
      <c r="A53" t="s">
        <v>204</v>
      </c>
      <c r="B53" s="2">
        <v>45692</v>
      </c>
      <c r="C53" s="3" t="str">
        <f>_xlfn.XLOOKUP(D53,'[1]Jan Customer Duplicate Hyva'!$B:$B,'[1]Jan Customer Duplicate Hyva'!$A:$A,"NOT FOUND")</f>
        <v>CUST-218</v>
      </c>
      <c r="D53" s="4" t="s">
        <v>23</v>
      </c>
      <c r="E53" s="4" t="s">
        <v>30</v>
      </c>
      <c r="F53" s="5" t="str">
        <f t="shared" si="8"/>
        <v>Anshu</v>
      </c>
      <c r="G53" s="5" t="str">
        <f t="shared" si="9"/>
        <v/>
      </c>
      <c r="H53" s="5" t="str">
        <f t="shared" si="10"/>
        <v/>
      </c>
      <c r="I53" s="5" t="str">
        <f>_xlfn.XLOOKUP(F53,'[1]Jan Labour Nd Drivers Hyva'!$B:$B,'[2]Jan Labour Nd Drivers Hyva'!$A:$A,"NOT FOUND")</f>
        <v>LAB-002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4" t="s">
        <v>31</v>
      </c>
      <c r="M53" s="6">
        <v>2</v>
      </c>
      <c r="N53" s="7">
        <v>3000</v>
      </c>
      <c r="O53" s="7">
        <f t="shared" si="11"/>
        <v>6000</v>
      </c>
      <c r="P53" s="7">
        <v>6000</v>
      </c>
      <c r="Q53" s="7">
        <f t="shared" si="12"/>
        <v>0</v>
      </c>
      <c r="R53" s="3" t="str">
        <f t="shared" si="13"/>
        <v>PAID</v>
      </c>
      <c r="S53" s="3"/>
      <c r="T53" s="3">
        <f t="shared" si="14"/>
        <v>6000</v>
      </c>
      <c r="U53" s="3" t="str">
        <f t="shared" si="15"/>
        <v>OK</v>
      </c>
      <c r="V53" s="8">
        <f t="shared" si="16"/>
        <v>0</v>
      </c>
      <c r="W53" s="3" t="str">
        <f t="shared" si="17"/>
        <v>OK</v>
      </c>
      <c r="X53" s="3" t="s">
        <v>133</v>
      </c>
      <c r="Y53" s="3" t="s">
        <v>131</v>
      </c>
      <c r="Z53" s="3" t="s">
        <v>122</v>
      </c>
      <c r="AA53" s="3" t="s">
        <v>122</v>
      </c>
      <c r="AB53" s="3" t="s">
        <v>122</v>
      </c>
    </row>
    <row r="54" spans="1:28" ht="19" x14ac:dyDescent="0.25">
      <c r="A54" t="s">
        <v>205</v>
      </c>
      <c r="B54" s="2">
        <v>45692</v>
      </c>
      <c r="C54" s="3" t="str">
        <f>_xlfn.XLOOKUP(D54,'[1]Jan Customer Duplicate Hyva'!$B:$B,'[1]Jan Customer Duplicate Hyva'!$A:$A,"NOT FOUND")</f>
        <v>CUST-218</v>
      </c>
      <c r="D54" s="4" t="s">
        <v>23</v>
      </c>
      <c r="E54" s="4" t="s">
        <v>26</v>
      </c>
      <c r="F54" s="5" t="str">
        <f t="shared" si="8"/>
        <v>Ravi</v>
      </c>
      <c r="G54" s="5" t="str">
        <f t="shared" si="9"/>
        <v/>
      </c>
      <c r="H54" s="5" t="str">
        <f t="shared" si="10"/>
        <v/>
      </c>
      <c r="I54" s="5" t="str">
        <f>_xlfn.XLOOKUP(F54,'[1]Jan Labour Nd Drivers Hyva'!$B:$B,'[2]Jan Labour Nd Drivers Hyva'!$A:$A,"NOT FOUND")</f>
        <v>LAB-003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4" t="s">
        <v>31</v>
      </c>
      <c r="M54" s="6">
        <v>1</v>
      </c>
      <c r="N54" s="7">
        <v>3000</v>
      </c>
      <c r="O54" s="7">
        <f t="shared" si="11"/>
        <v>3000</v>
      </c>
      <c r="P54" s="7">
        <v>3000</v>
      </c>
      <c r="Q54" s="7">
        <f t="shared" si="12"/>
        <v>0</v>
      </c>
      <c r="R54" s="3" t="str">
        <f t="shared" si="13"/>
        <v>PAID</v>
      </c>
      <c r="S54" s="3"/>
      <c r="T54" s="3">
        <f t="shared" si="14"/>
        <v>3000</v>
      </c>
      <c r="U54" s="3" t="str">
        <f t="shared" si="15"/>
        <v>OK</v>
      </c>
      <c r="V54" s="8">
        <f t="shared" si="16"/>
        <v>0</v>
      </c>
      <c r="W54" s="3" t="str">
        <f t="shared" si="17"/>
        <v>OK</v>
      </c>
      <c r="X54" s="3" t="s">
        <v>133</v>
      </c>
      <c r="Y54" s="3" t="s">
        <v>131</v>
      </c>
      <c r="Z54" s="3" t="s">
        <v>122</v>
      </c>
      <c r="AA54" s="3" t="s">
        <v>122</v>
      </c>
      <c r="AB54" s="3" t="s">
        <v>122</v>
      </c>
    </row>
    <row r="55" spans="1:28" ht="19" x14ac:dyDescent="0.25">
      <c r="A55" t="s">
        <v>206</v>
      </c>
      <c r="B55" s="2">
        <v>45697</v>
      </c>
      <c r="C55" s="3" t="str">
        <f>_xlfn.XLOOKUP(D55,'[1]Jan Customer Duplicate Hyva'!$B:$B,'[1]Jan Customer Duplicate Hyva'!$A:$A,"NOT FOUND")</f>
        <v>CUST-051</v>
      </c>
      <c r="D55" s="4" t="s">
        <v>32</v>
      </c>
      <c r="E55" s="4" t="s">
        <v>26</v>
      </c>
      <c r="F55" s="5" t="str">
        <f t="shared" si="8"/>
        <v>Ravi</v>
      </c>
      <c r="G55" s="5" t="str">
        <f t="shared" si="9"/>
        <v/>
      </c>
      <c r="H55" s="5" t="str">
        <f t="shared" si="10"/>
        <v/>
      </c>
      <c r="I55" s="5" t="str">
        <f>_xlfn.XLOOKUP(F55,'[1]Jan Labour Nd Drivers Hyva'!$B:$B,'[2]Jan Labour Nd Drivers Hyva'!$A:$A,"NOT FOUND")</f>
        <v>LAB-003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4" t="s">
        <v>33</v>
      </c>
      <c r="M55" s="6">
        <v>1</v>
      </c>
      <c r="N55" s="7">
        <v>3000</v>
      </c>
      <c r="O55" s="7">
        <f t="shared" si="11"/>
        <v>3000</v>
      </c>
      <c r="P55" s="7">
        <v>3000</v>
      </c>
      <c r="Q55" s="7">
        <f t="shared" si="12"/>
        <v>0</v>
      </c>
      <c r="R55" s="3" t="str">
        <f t="shared" si="13"/>
        <v>PAID</v>
      </c>
      <c r="S55" s="3"/>
      <c r="T55" s="3">
        <f t="shared" si="14"/>
        <v>3000</v>
      </c>
      <c r="U55" s="3" t="str">
        <f t="shared" si="15"/>
        <v>OK</v>
      </c>
      <c r="V55" s="8">
        <f t="shared" si="16"/>
        <v>0</v>
      </c>
      <c r="W55" s="3" t="str">
        <f t="shared" si="17"/>
        <v>OK</v>
      </c>
      <c r="X55" s="3" t="s">
        <v>133</v>
      </c>
      <c r="Y55" s="3" t="s">
        <v>131</v>
      </c>
      <c r="Z55" s="3" t="s">
        <v>122</v>
      </c>
      <c r="AA55" s="3" t="s">
        <v>122</v>
      </c>
      <c r="AB55" s="3" t="s">
        <v>122</v>
      </c>
    </row>
    <row r="56" spans="1:28" ht="19" x14ac:dyDescent="0.25">
      <c r="A56" t="s">
        <v>207</v>
      </c>
      <c r="B56" s="2">
        <v>45697</v>
      </c>
      <c r="C56" s="3" t="str">
        <f>_xlfn.XLOOKUP(D56,'[1]Jan Customer Duplicate Hyva'!$B:$B,'[1]Jan Customer Duplicate Hyva'!$A:$A,"NOT FOUND")</f>
        <v>CUST-278</v>
      </c>
      <c r="D56" s="4" t="s">
        <v>124</v>
      </c>
      <c r="E56" s="4" t="s">
        <v>26</v>
      </c>
      <c r="F56" s="5" t="str">
        <f t="shared" si="8"/>
        <v>Ravi</v>
      </c>
      <c r="G56" s="5" t="str">
        <f t="shared" si="9"/>
        <v/>
      </c>
      <c r="H56" s="5" t="str">
        <f t="shared" si="10"/>
        <v/>
      </c>
      <c r="I56" s="5" t="str">
        <f>_xlfn.XLOOKUP(F56,'[1]Jan Labour Nd Drivers Hyva'!$B:$B,'[2]Jan Labour Nd Drivers Hyva'!$A:$A,"NOT FOUND")</f>
        <v>LAB-003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4" t="s">
        <v>34</v>
      </c>
      <c r="M56" s="6">
        <v>1</v>
      </c>
      <c r="N56" s="7">
        <v>2500</v>
      </c>
      <c r="O56" s="7">
        <f t="shared" si="11"/>
        <v>2500</v>
      </c>
      <c r="P56" s="7"/>
      <c r="Q56" s="7">
        <f t="shared" si="12"/>
        <v>2500</v>
      </c>
      <c r="R56" s="3" t="str">
        <f t="shared" si="13"/>
        <v>UNPAID</v>
      </c>
      <c r="S56" s="3"/>
      <c r="T56" s="3">
        <f t="shared" si="14"/>
        <v>2500</v>
      </c>
      <c r="U56" s="3" t="str">
        <f t="shared" si="15"/>
        <v>OK</v>
      </c>
      <c r="V56" s="8">
        <f t="shared" si="16"/>
        <v>2500</v>
      </c>
      <c r="W56" s="3" t="str">
        <f t="shared" si="17"/>
        <v>OK</v>
      </c>
      <c r="X56" s="3" t="s">
        <v>133</v>
      </c>
      <c r="Y56" s="3" t="s">
        <v>131</v>
      </c>
      <c r="Z56" s="3" t="s">
        <v>122</v>
      </c>
      <c r="AA56" s="3" t="s">
        <v>122</v>
      </c>
      <c r="AB56" s="3" t="s">
        <v>122</v>
      </c>
    </row>
    <row r="57" spans="1:28" ht="19" x14ac:dyDescent="0.25">
      <c r="A57" t="s">
        <v>208</v>
      </c>
      <c r="B57" s="2">
        <v>45718</v>
      </c>
      <c r="C57" s="3" t="str">
        <f>_xlfn.XLOOKUP(D57,'[1]Jan Customer Duplicate Hyva'!$B:$B,'[1]Jan Customer Duplicate Hyva'!$A:$A,"NOT FOUND")</f>
        <v>CUST-218</v>
      </c>
      <c r="D57" s="4" t="s">
        <v>23</v>
      </c>
      <c r="E57" s="4" t="s">
        <v>26</v>
      </c>
      <c r="F57" s="5" t="str">
        <f t="shared" si="8"/>
        <v>Ravi</v>
      </c>
      <c r="G57" s="5" t="str">
        <f t="shared" si="9"/>
        <v/>
      </c>
      <c r="H57" s="5" t="str">
        <f t="shared" si="10"/>
        <v/>
      </c>
      <c r="I57" s="5" t="str">
        <f>_xlfn.XLOOKUP(F57,'[1]Jan Labour Nd Drivers Hyva'!$B:$B,'[2]Jan Labour Nd Drivers Hyva'!$A:$A,"NOT FOUND")</f>
        <v>LAB-003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4" t="s">
        <v>25</v>
      </c>
      <c r="M57" s="6">
        <v>1</v>
      </c>
      <c r="N57" s="7">
        <v>3000</v>
      </c>
      <c r="O57" s="7">
        <f t="shared" si="11"/>
        <v>3000</v>
      </c>
      <c r="P57" s="7">
        <v>3000</v>
      </c>
      <c r="Q57" s="7">
        <f t="shared" si="12"/>
        <v>0</v>
      </c>
      <c r="R57" s="3" t="str">
        <f t="shared" si="13"/>
        <v>PAID</v>
      </c>
      <c r="S57" s="3"/>
      <c r="T57" s="3">
        <f t="shared" si="14"/>
        <v>3000</v>
      </c>
      <c r="U57" s="3" t="str">
        <f t="shared" si="15"/>
        <v>OK</v>
      </c>
      <c r="V57" s="8">
        <f t="shared" si="16"/>
        <v>0</v>
      </c>
      <c r="W57" s="3" t="str">
        <f t="shared" si="17"/>
        <v>OK</v>
      </c>
      <c r="X57" s="3" t="s">
        <v>133</v>
      </c>
      <c r="Y57" s="3" t="s">
        <v>131</v>
      </c>
      <c r="Z57" s="3" t="s">
        <v>122</v>
      </c>
      <c r="AA57" s="3" t="s">
        <v>122</v>
      </c>
      <c r="AB57" s="3" t="s">
        <v>122</v>
      </c>
    </row>
    <row r="58" spans="1:28" ht="19" x14ac:dyDescent="0.25">
      <c r="A58" t="s">
        <v>209</v>
      </c>
      <c r="B58" s="2">
        <v>45719</v>
      </c>
      <c r="C58" s="3" t="str">
        <f>_xlfn.XLOOKUP(D58,'[1]Jan Customer Duplicate Hyva'!$B:$B,'[1]Jan Customer Duplicate Hyva'!$A:$A,"NOT FOUND")</f>
        <v>CUST-218</v>
      </c>
      <c r="D58" s="4" t="s">
        <v>23</v>
      </c>
      <c r="E58" s="4" t="s">
        <v>26</v>
      </c>
      <c r="F58" s="5" t="str">
        <f t="shared" si="8"/>
        <v>Ravi</v>
      </c>
      <c r="G58" s="5" t="str">
        <f t="shared" si="9"/>
        <v/>
      </c>
      <c r="H58" s="5" t="str">
        <f t="shared" si="10"/>
        <v/>
      </c>
      <c r="I58" s="5" t="str">
        <f>_xlfn.XLOOKUP(F58,'[1]Jan Labour Nd Drivers Hyva'!$B:$B,'[2]Jan Labour Nd Drivers Hyva'!$A:$A,"NOT FOUND")</f>
        <v>LAB-003</v>
      </c>
      <c r="J58" s="5" t="str">
        <f>IF(G58="","",_xlfn.XLOOKUP(G58,'[3]Jan Labour Nd Drivers Hyva'!$B:$B,'[2]Jan Labour Nd Drivers Hyva'!$A:$A,"NOT FOUND"))</f>
        <v/>
      </c>
      <c r="K58" s="5" t="str">
        <f>IF(H58="","",_xlfn.XLOOKUP(H58,'[2]Jan Labour Nd Drivers Hyva'!$B:$B,'[2]Jan Labour Nd Drivers Hyva'!$A:$A,"NOT FOUND"))</f>
        <v/>
      </c>
      <c r="L58" s="4" t="s">
        <v>25</v>
      </c>
      <c r="M58" s="6">
        <v>1</v>
      </c>
      <c r="N58" s="7">
        <v>3000</v>
      </c>
      <c r="O58" s="7">
        <f t="shared" si="11"/>
        <v>3000</v>
      </c>
      <c r="P58" s="7">
        <v>3000</v>
      </c>
      <c r="Q58" s="7">
        <f t="shared" si="12"/>
        <v>0</v>
      </c>
      <c r="R58" s="3" t="str">
        <f t="shared" si="13"/>
        <v>PAID</v>
      </c>
      <c r="S58" s="3"/>
      <c r="T58" s="3">
        <f t="shared" si="14"/>
        <v>3000</v>
      </c>
      <c r="U58" s="3" t="str">
        <f t="shared" si="15"/>
        <v>OK</v>
      </c>
      <c r="V58" s="8">
        <f t="shared" si="16"/>
        <v>0</v>
      </c>
      <c r="W58" s="3" t="str">
        <f t="shared" si="17"/>
        <v>OK</v>
      </c>
      <c r="X58" s="3" t="s">
        <v>133</v>
      </c>
      <c r="Y58" s="3" t="s">
        <v>131</v>
      </c>
      <c r="Z58" s="3" t="s">
        <v>122</v>
      </c>
      <c r="AA58" s="3" t="s">
        <v>122</v>
      </c>
      <c r="AB58" s="3" t="s">
        <v>122</v>
      </c>
    </row>
    <row r="59" spans="1:28" ht="19" x14ac:dyDescent="0.25">
      <c r="A59" t="s">
        <v>210</v>
      </c>
      <c r="B59" s="2">
        <v>45719</v>
      </c>
      <c r="C59" s="3" t="str">
        <f>_xlfn.XLOOKUP(D59,'[1]Jan Customer Duplicate Hyva'!$B:$B,'[1]Jan Customer Duplicate Hyva'!$A:$A,"NOT FOUND")</f>
        <v>CUST-218</v>
      </c>
      <c r="D59" s="4" t="s">
        <v>23</v>
      </c>
      <c r="E59" s="4" t="s">
        <v>26</v>
      </c>
      <c r="F59" s="5" t="str">
        <f t="shared" si="8"/>
        <v>Ravi</v>
      </c>
      <c r="G59" s="5" t="str">
        <f t="shared" si="9"/>
        <v/>
      </c>
      <c r="H59" s="5" t="str">
        <f t="shared" si="10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/>
      </c>
      <c r="K59" s="5" t="str">
        <f>IF(H59="","",_xlfn.XLOOKUP(H59,'[2]Jan Labour Nd Drivers Hyva'!$B:$B,'[2]Jan Labour Nd Drivers Hyva'!$A:$A,"NOT FOUND"))</f>
        <v/>
      </c>
      <c r="L59" s="4" t="s">
        <v>35</v>
      </c>
      <c r="M59" s="6">
        <v>1</v>
      </c>
      <c r="N59" s="7">
        <v>3000</v>
      </c>
      <c r="O59" s="7">
        <f t="shared" si="11"/>
        <v>3000</v>
      </c>
      <c r="P59" s="7">
        <v>3000</v>
      </c>
      <c r="Q59" s="7">
        <f t="shared" si="12"/>
        <v>0</v>
      </c>
      <c r="R59" s="3" t="str">
        <f t="shared" si="13"/>
        <v>PAID</v>
      </c>
      <c r="S59" s="3"/>
      <c r="T59" s="3">
        <f t="shared" si="14"/>
        <v>3000</v>
      </c>
      <c r="U59" s="3" t="str">
        <f t="shared" si="15"/>
        <v>OK</v>
      </c>
      <c r="V59" s="8">
        <f t="shared" si="16"/>
        <v>0</v>
      </c>
      <c r="W59" s="3" t="str">
        <f t="shared" si="17"/>
        <v>OK</v>
      </c>
      <c r="X59" s="3" t="s">
        <v>133</v>
      </c>
      <c r="Y59" s="3" t="s">
        <v>131</v>
      </c>
      <c r="Z59" s="3" t="s">
        <v>122</v>
      </c>
      <c r="AA59" s="3" t="s">
        <v>122</v>
      </c>
      <c r="AB59" s="3" t="s">
        <v>122</v>
      </c>
    </row>
    <row r="60" spans="1:28" ht="19" x14ac:dyDescent="0.25">
      <c r="A60" t="s">
        <v>211</v>
      </c>
      <c r="B60" s="2">
        <v>45719</v>
      </c>
      <c r="C60" s="3" t="str">
        <f>_xlfn.XLOOKUP(D60,'[1]Jan Customer Duplicate Hyva'!$B:$B,'[1]Jan Customer Duplicate Hyva'!$A:$A,"NOT FOUND")</f>
        <v>CUST-218</v>
      </c>
      <c r="D60" s="4" t="s">
        <v>23</v>
      </c>
      <c r="E60" s="4" t="s">
        <v>30</v>
      </c>
      <c r="F60" s="5" t="str">
        <f t="shared" si="8"/>
        <v>Anshu</v>
      </c>
      <c r="G60" s="5" t="str">
        <f t="shared" si="9"/>
        <v/>
      </c>
      <c r="H60" s="5" t="str">
        <f t="shared" si="10"/>
        <v/>
      </c>
      <c r="I60" s="5" t="str">
        <f>_xlfn.XLOOKUP(F60,'[1]Jan Labour Nd Drivers Hyva'!$B:$B,'[2]Jan Labour Nd Drivers Hyva'!$A:$A,"NOT FOUND")</f>
        <v>LAB-002</v>
      </c>
      <c r="J60" s="5" t="str">
        <f>IF(G60="","",_xlfn.XLOOKUP(G60,'[3]Jan Labour Nd Drivers Hyva'!$B:$B,'[2]Jan Labour Nd Drivers Hyva'!$A:$A,"NOT FOUND"))</f>
        <v/>
      </c>
      <c r="K60" s="5" t="str">
        <f>IF(H60="","",_xlfn.XLOOKUP(H60,'[2]Jan Labour Nd Drivers Hyva'!$B:$B,'[2]Jan Labour Nd Drivers Hyva'!$A:$A,"NOT FOUND"))</f>
        <v/>
      </c>
      <c r="L60" s="4" t="s">
        <v>31</v>
      </c>
      <c r="M60" s="6">
        <v>2</v>
      </c>
      <c r="N60" s="7">
        <v>3000</v>
      </c>
      <c r="O60" s="7">
        <f t="shared" si="11"/>
        <v>6000</v>
      </c>
      <c r="P60" s="7">
        <v>6000</v>
      </c>
      <c r="Q60" s="7">
        <f t="shared" si="12"/>
        <v>0</v>
      </c>
      <c r="R60" s="3" t="str">
        <f t="shared" si="13"/>
        <v>PAID</v>
      </c>
      <c r="S60" s="3"/>
      <c r="T60" s="3">
        <f t="shared" si="14"/>
        <v>6000</v>
      </c>
      <c r="U60" s="3" t="str">
        <f t="shared" si="15"/>
        <v>OK</v>
      </c>
      <c r="V60" s="8">
        <f t="shared" si="16"/>
        <v>0</v>
      </c>
      <c r="W60" s="3" t="str">
        <f t="shared" si="17"/>
        <v>OK</v>
      </c>
      <c r="X60" s="3" t="s">
        <v>133</v>
      </c>
      <c r="Y60" s="3" t="s">
        <v>131</v>
      </c>
      <c r="Z60" s="3" t="s">
        <v>122</v>
      </c>
      <c r="AA60" s="3" t="s">
        <v>122</v>
      </c>
      <c r="AB60" s="3" t="s">
        <v>122</v>
      </c>
    </row>
    <row r="61" spans="1:28" ht="19" x14ac:dyDescent="0.25">
      <c r="A61" t="s">
        <v>212</v>
      </c>
      <c r="B61" s="2">
        <v>45732</v>
      </c>
      <c r="C61" s="3" t="str">
        <f>_xlfn.XLOOKUP(D61,'[1]Jan Customer Duplicate Hyva'!$B:$B,'[1]Jan Customer Duplicate Hyva'!$A:$A,"NOT FOUND")</f>
        <v>CUST-377</v>
      </c>
      <c r="D61" s="4" t="s">
        <v>36</v>
      </c>
      <c r="E61" s="4" t="s">
        <v>24</v>
      </c>
      <c r="F61" s="5" t="str">
        <f t="shared" si="8"/>
        <v>Gaju Bhau</v>
      </c>
      <c r="G61" s="5" t="str">
        <f t="shared" si="9"/>
        <v/>
      </c>
      <c r="H61" s="5" t="str">
        <f t="shared" si="10"/>
        <v/>
      </c>
      <c r="I61" s="5" t="str">
        <f>_xlfn.XLOOKUP(F61,'[1]Jan Labour Nd Drivers Hyva'!$B:$B,'[2]Jan Labour Nd Drivers Hyva'!$A:$A,"NOT FOUND")</f>
        <v>LAB-001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4" t="s">
        <v>37</v>
      </c>
      <c r="M61" s="6">
        <v>2</v>
      </c>
      <c r="N61" s="7">
        <v>3200</v>
      </c>
      <c r="O61" s="7">
        <f t="shared" si="11"/>
        <v>6400</v>
      </c>
      <c r="P61" s="7">
        <v>6400</v>
      </c>
      <c r="Q61" s="7">
        <f t="shared" si="12"/>
        <v>0</v>
      </c>
      <c r="R61" s="3" t="str">
        <f t="shared" si="13"/>
        <v>PAID</v>
      </c>
      <c r="S61" s="3"/>
      <c r="T61" s="3">
        <f t="shared" si="14"/>
        <v>6400</v>
      </c>
      <c r="U61" s="3" t="str">
        <f t="shared" si="15"/>
        <v>OK</v>
      </c>
      <c r="V61" s="8">
        <f t="shared" si="16"/>
        <v>0</v>
      </c>
      <c r="W61" s="3" t="str">
        <f t="shared" si="17"/>
        <v>OK</v>
      </c>
      <c r="X61" s="3" t="s">
        <v>133</v>
      </c>
      <c r="Y61" s="3" t="s">
        <v>131</v>
      </c>
      <c r="Z61" s="3" t="s">
        <v>122</v>
      </c>
      <c r="AA61" s="3" t="s">
        <v>122</v>
      </c>
      <c r="AB61" s="3" t="s">
        <v>122</v>
      </c>
    </row>
    <row r="62" spans="1:28" ht="19" x14ac:dyDescent="0.25">
      <c r="A62" t="s">
        <v>213</v>
      </c>
      <c r="B62" s="2">
        <v>45732</v>
      </c>
      <c r="C62" s="3" t="str">
        <f>_xlfn.XLOOKUP(D62,'[1]Jan Customer Duplicate Hyva'!$B:$B,'[1]Jan Customer Duplicate Hyva'!$A:$A,"NOT FOUND")</f>
        <v>CUST-253</v>
      </c>
      <c r="D62" s="4" t="s">
        <v>38</v>
      </c>
      <c r="E62" s="4" t="s">
        <v>24</v>
      </c>
      <c r="F62" s="5" t="str">
        <f t="shared" si="8"/>
        <v>Gaju Bhau</v>
      </c>
      <c r="G62" s="5" t="str">
        <f t="shared" si="9"/>
        <v/>
      </c>
      <c r="H62" s="5" t="str">
        <f t="shared" si="10"/>
        <v/>
      </c>
      <c r="I62" s="5" t="str">
        <f>_xlfn.XLOOKUP(F62,'[1]Jan Labour Nd Drivers Hyva'!$B:$B,'[2]Jan Labour Nd Drivers Hyva'!$A:$A,"NOT FOUND")</f>
        <v>LAB-001</v>
      </c>
      <c r="J62" s="5" t="str">
        <f>IF(G62="","",_xlfn.XLOOKUP(G62,'[3]Jan Labour Nd Drivers Hyva'!$B:$B,'[2]Jan Labour Nd Drivers Hyva'!$A:$A,"NOT FOUND"))</f>
        <v/>
      </c>
      <c r="K62" s="5" t="str">
        <f>IF(H62="","",_xlfn.XLOOKUP(H62,'[2]Jan Labour Nd Drivers Hyva'!$B:$B,'[2]Jan Labour Nd Drivers Hyva'!$A:$A,"NOT FOUND"))</f>
        <v/>
      </c>
      <c r="L62" s="4" t="s">
        <v>39</v>
      </c>
      <c r="M62" s="6">
        <v>1</v>
      </c>
      <c r="N62" s="7">
        <v>3300</v>
      </c>
      <c r="O62" s="7">
        <f t="shared" si="11"/>
        <v>3300</v>
      </c>
      <c r="P62" s="7">
        <v>3300</v>
      </c>
      <c r="Q62" s="7">
        <f t="shared" si="12"/>
        <v>0</v>
      </c>
      <c r="R62" s="3" t="str">
        <f t="shared" si="13"/>
        <v>PAID</v>
      </c>
      <c r="S62" s="3"/>
      <c r="T62" s="3">
        <f t="shared" si="14"/>
        <v>3300</v>
      </c>
      <c r="U62" s="3" t="str">
        <f t="shared" si="15"/>
        <v>OK</v>
      </c>
      <c r="V62" s="8">
        <f t="shared" si="16"/>
        <v>0</v>
      </c>
      <c r="W62" s="3" t="str">
        <f t="shared" si="17"/>
        <v>OK</v>
      </c>
      <c r="X62" s="3" t="s">
        <v>133</v>
      </c>
      <c r="Y62" s="3" t="s">
        <v>131</v>
      </c>
      <c r="Z62" s="3" t="s">
        <v>122</v>
      </c>
      <c r="AA62" s="3" t="s">
        <v>122</v>
      </c>
      <c r="AB62" s="3" t="s">
        <v>122</v>
      </c>
    </row>
    <row r="63" spans="1:28" ht="19" x14ac:dyDescent="0.25">
      <c r="A63" t="s">
        <v>214</v>
      </c>
      <c r="B63" s="2">
        <v>45733</v>
      </c>
      <c r="C63" s="3" t="str">
        <f>_xlfn.XLOOKUP(D63,'[1]Jan Customer Duplicate Hyva'!$B:$B,'[1]Jan Customer Duplicate Hyva'!$A:$A,"NOT FOUND")</f>
        <v>CUST-377</v>
      </c>
      <c r="D63" s="4" t="s">
        <v>36</v>
      </c>
      <c r="E63" s="4" t="s">
        <v>30</v>
      </c>
      <c r="F63" s="5" t="str">
        <f t="shared" si="8"/>
        <v>Anshu</v>
      </c>
      <c r="G63" s="5" t="str">
        <f t="shared" si="9"/>
        <v/>
      </c>
      <c r="H63" s="5" t="str">
        <f t="shared" si="10"/>
        <v/>
      </c>
      <c r="I63" s="5" t="str">
        <f>_xlfn.XLOOKUP(F63,'[1]Jan Labour Nd Drivers Hyva'!$B:$B,'[2]Jan Labour Nd Drivers Hyva'!$A:$A,"NOT FOUND")</f>
        <v>LAB-002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4" t="s">
        <v>37</v>
      </c>
      <c r="M63" s="6">
        <v>6</v>
      </c>
      <c r="N63" s="7">
        <v>3200</v>
      </c>
      <c r="O63" s="7">
        <f t="shared" si="11"/>
        <v>19200</v>
      </c>
      <c r="P63" s="7">
        <v>19200</v>
      </c>
      <c r="Q63" s="7">
        <f t="shared" si="12"/>
        <v>0</v>
      </c>
      <c r="R63" s="3" t="str">
        <f t="shared" si="13"/>
        <v>PAID</v>
      </c>
      <c r="S63" s="3"/>
      <c r="T63" s="3">
        <f t="shared" si="14"/>
        <v>19200</v>
      </c>
      <c r="U63" s="3" t="str">
        <f t="shared" si="15"/>
        <v>OK</v>
      </c>
      <c r="V63" s="8">
        <f t="shared" si="16"/>
        <v>0</v>
      </c>
      <c r="W63" s="3" t="str">
        <f t="shared" si="17"/>
        <v>OK</v>
      </c>
      <c r="X63" s="3" t="s">
        <v>133</v>
      </c>
      <c r="Y63" s="3" t="s">
        <v>131</v>
      </c>
      <c r="Z63" s="3" t="s">
        <v>122</v>
      </c>
      <c r="AA63" s="3" t="s">
        <v>122</v>
      </c>
      <c r="AB63" s="3" t="s">
        <v>122</v>
      </c>
    </row>
    <row r="64" spans="1:28" ht="19" x14ac:dyDescent="0.25">
      <c r="A64" t="s">
        <v>215</v>
      </c>
      <c r="B64" s="2">
        <v>45734</v>
      </c>
      <c r="C64" s="3" t="str">
        <f>_xlfn.XLOOKUP(D64,'[1]Jan Customer Duplicate Hyva'!$B:$B,'[1]Jan Customer Duplicate Hyva'!$A:$A,"NOT FOUND")</f>
        <v>CUST-377</v>
      </c>
      <c r="D64" s="4" t="s">
        <v>36</v>
      </c>
      <c r="E64" s="4" t="s">
        <v>30</v>
      </c>
      <c r="F64" s="5" t="str">
        <f t="shared" si="8"/>
        <v>Anshu</v>
      </c>
      <c r="G64" s="5" t="str">
        <f t="shared" si="9"/>
        <v/>
      </c>
      <c r="H64" s="5" t="str">
        <f t="shared" si="10"/>
        <v/>
      </c>
      <c r="I64" s="5" t="str">
        <f>_xlfn.XLOOKUP(F64,'[1]Jan Labour Nd Drivers Hyva'!$B:$B,'[2]Jan Labour Nd Drivers Hyva'!$A:$A,"NOT FOUND")</f>
        <v>LAB-002</v>
      </c>
      <c r="J64" s="5" t="str">
        <f>IF(G64="","",_xlfn.XLOOKUP(G64,'[3]Jan Labour Nd Drivers Hyva'!$B:$B,'[2]Jan Labour Nd Drivers Hyva'!$A:$A,"NOT FOUND"))</f>
        <v/>
      </c>
      <c r="K64" s="5" t="str">
        <f>IF(H64="","",_xlfn.XLOOKUP(H64,'[2]Jan Labour Nd Drivers Hyva'!$B:$B,'[2]Jan Labour Nd Drivers Hyva'!$A:$A,"NOT FOUND"))</f>
        <v/>
      </c>
      <c r="L64" s="4" t="s">
        <v>37</v>
      </c>
      <c r="M64" s="6">
        <v>3</v>
      </c>
      <c r="N64" s="7">
        <v>3200</v>
      </c>
      <c r="O64" s="7">
        <f t="shared" si="11"/>
        <v>9600</v>
      </c>
      <c r="P64" s="7">
        <v>9600</v>
      </c>
      <c r="Q64" s="7">
        <f>O64-P64</f>
        <v>0</v>
      </c>
      <c r="R64" s="3" t="str">
        <f t="shared" si="13"/>
        <v>PAID</v>
      </c>
      <c r="S64" s="3"/>
      <c r="T64" s="3">
        <f t="shared" si="14"/>
        <v>9600</v>
      </c>
      <c r="U64" s="3" t="str">
        <f t="shared" si="15"/>
        <v>OK</v>
      </c>
      <c r="V64" s="8">
        <f t="shared" si="16"/>
        <v>0</v>
      </c>
      <c r="W64" s="3" t="str">
        <f t="shared" si="17"/>
        <v>OK</v>
      </c>
      <c r="X64" s="3" t="s">
        <v>133</v>
      </c>
      <c r="Y64" s="3" t="s">
        <v>131</v>
      </c>
      <c r="Z64" s="3" t="s">
        <v>122</v>
      </c>
      <c r="AA64" s="3" t="s">
        <v>122</v>
      </c>
      <c r="AB64" s="3" t="s">
        <v>122</v>
      </c>
    </row>
    <row r="65" spans="1:28" ht="19" x14ac:dyDescent="0.25">
      <c r="A65" t="s">
        <v>216</v>
      </c>
      <c r="B65" s="2">
        <v>45734</v>
      </c>
      <c r="C65" s="3" t="str">
        <f>_xlfn.XLOOKUP(D65,'[1]Jan Customer Duplicate Hyva'!$B:$B,'[1]Jan Customer Duplicate Hyva'!$A:$A,"NOT FOUND")</f>
        <v>CUST-253</v>
      </c>
      <c r="D65" s="4" t="s">
        <v>38</v>
      </c>
      <c r="E65" s="4" t="s">
        <v>30</v>
      </c>
      <c r="F65" s="5" t="str">
        <f t="shared" si="8"/>
        <v>Anshu</v>
      </c>
      <c r="G65" s="5" t="str">
        <f t="shared" si="9"/>
        <v/>
      </c>
      <c r="H65" s="5" t="str">
        <f t="shared" si="10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4" t="s">
        <v>39</v>
      </c>
      <c r="M65" s="6">
        <v>2</v>
      </c>
      <c r="N65" s="7">
        <v>3200</v>
      </c>
      <c r="O65" s="7">
        <f t="shared" si="11"/>
        <v>6400</v>
      </c>
      <c r="P65" s="7">
        <v>6400</v>
      </c>
      <c r="Q65" s="7">
        <f t="shared" ref="Q65:Q128" si="18">O65-P65</f>
        <v>0</v>
      </c>
      <c r="R65" s="3" t="str">
        <f t="shared" si="13"/>
        <v>PAID</v>
      </c>
      <c r="S65" s="3"/>
      <c r="T65" s="3">
        <f t="shared" si="14"/>
        <v>6400</v>
      </c>
      <c r="U65" s="3" t="str">
        <f t="shared" si="15"/>
        <v>OK</v>
      </c>
      <c r="V65" s="8">
        <f t="shared" si="16"/>
        <v>0</v>
      </c>
      <c r="W65" s="3" t="str">
        <f t="shared" si="17"/>
        <v>OK</v>
      </c>
      <c r="X65" s="3" t="s">
        <v>133</v>
      </c>
      <c r="Y65" s="3" t="s">
        <v>131</v>
      </c>
      <c r="Z65" s="3" t="s">
        <v>122</v>
      </c>
      <c r="AA65" s="3" t="s">
        <v>122</v>
      </c>
      <c r="AB65" s="3" t="s">
        <v>122</v>
      </c>
    </row>
    <row r="66" spans="1:28" ht="19" x14ac:dyDescent="0.25">
      <c r="A66" t="s">
        <v>217</v>
      </c>
      <c r="B66" s="2">
        <v>45771</v>
      </c>
      <c r="C66" s="3" t="str">
        <f>_xlfn.XLOOKUP(D66,'[1]Jan Customer Duplicate Hyva'!$B:$B,'[1]Jan Customer Duplicate Hyva'!$A:$A,"NOT FOUND")</f>
        <v>CUST-394</v>
      </c>
      <c r="D66" s="4" t="s">
        <v>122</v>
      </c>
      <c r="E66" s="4" t="s">
        <v>26</v>
      </c>
      <c r="F66" s="5" t="str">
        <f t="shared" si="8"/>
        <v>Ravi</v>
      </c>
      <c r="G66" s="5" t="str">
        <f t="shared" si="9"/>
        <v/>
      </c>
      <c r="H66" s="5" t="str">
        <f t="shared" si="10"/>
        <v/>
      </c>
      <c r="I66" s="5" t="str">
        <f>_xlfn.XLOOKUP(F66,'[1]Jan Labour Nd Drivers Hyva'!$B:$B,'[2]Jan Labour Nd Drivers Hyva'!$A:$A,"NOT FOUND")</f>
        <v>LAB-003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4" t="s">
        <v>40</v>
      </c>
      <c r="M66" s="6">
        <v>1</v>
      </c>
      <c r="N66" s="7">
        <v>3500</v>
      </c>
      <c r="O66" s="7">
        <f t="shared" si="11"/>
        <v>3500</v>
      </c>
      <c r="P66" s="7">
        <v>3500</v>
      </c>
      <c r="Q66" s="7">
        <f t="shared" si="18"/>
        <v>0</v>
      </c>
      <c r="R66" s="3" t="str">
        <f t="shared" si="13"/>
        <v>PAID</v>
      </c>
      <c r="S66" s="3"/>
      <c r="T66" s="3">
        <f t="shared" si="14"/>
        <v>3500</v>
      </c>
      <c r="U66" s="3" t="str">
        <f t="shared" si="15"/>
        <v>OK</v>
      </c>
      <c r="V66" s="8">
        <f t="shared" si="16"/>
        <v>0</v>
      </c>
      <c r="W66" s="3" t="str">
        <f t="shared" si="17"/>
        <v>OK</v>
      </c>
      <c r="X66" s="3" t="s">
        <v>133</v>
      </c>
      <c r="Y66" s="3" t="s">
        <v>131</v>
      </c>
      <c r="Z66" s="3" t="s">
        <v>122</v>
      </c>
      <c r="AA66" s="3" t="s">
        <v>122</v>
      </c>
      <c r="AB66" s="3" t="s">
        <v>122</v>
      </c>
    </row>
    <row r="67" spans="1:28" ht="19" x14ac:dyDescent="0.25">
      <c r="A67" t="s">
        <v>218</v>
      </c>
      <c r="B67" s="2">
        <v>45779</v>
      </c>
      <c r="C67" s="3" t="str">
        <f>_xlfn.XLOOKUP(D67,'[1]Jan Customer Duplicate Hyva'!$B:$B,'[1]Jan Customer Duplicate Hyva'!$A:$A,"NOT FOUND")</f>
        <v>CUST-207</v>
      </c>
      <c r="D67" s="4" t="s">
        <v>41</v>
      </c>
      <c r="E67" s="4" t="s">
        <v>26</v>
      </c>
      <c r="F67" s="5" t="str">
        <f t="shared" si="8"/>
        <v>Ravi</v>
      </c>
      <c r="G67" s="5" t="str">
        <f t="shared" si="9"/>
        <v/>
      </c>
      <c r="H67" s="5" t="str">
        <f t="shared" si="10"/>
        <v/>
      </c>
      <c r="I67" s="5" t="str">
        <f>_xlfn.XLOOKUP(F67,'[1]Jan Labour Nd Drivers Hyva'!$B:$B,'[2]Jan Labour Nd Drivers Hyva'!$A:$A,"NOT FOUND")</f>
        <v>LAB-003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4" t="s">
        <v>42</v>
      </c>
      <c r="M67" s="6">
        <v>2</v>
      </c>
      <c r="N67" s="7">
        <v>3000</v>
      </c>
      <c r="O67" s="7">
        <f t="shared" si="11"/>
        <v>6000</v>
      </c>
      <c r="P67" s="7">
        <v>6000</v>
      </c>
      <c r="Q67" s="7">
        <f t="shared" si="18"/>
        <v>0</v>
      </c>
      <c r="R67" s="3" t="str">
        <f t="shared" si="13"/>
        <v>PAID</v>
      </c>
      <c r="S67" s="3"/>
      <c r="T67" s="3">
        <f t="shared" si="14"/>
        <v>6000</v>
      </c>
      <c r="U67" s="3" t="str">
        <f t="shared" si="15"/>
        <v>OK</v>
      </c>
      <c r="V67" s="8">
        <f t="shared" si="16"/>
        <v>0</v>
      </c>
      <c r="W67" s="3" t="str">
        <f t="shared" si="17"/>
        <v>OK</v>
      </c>
      <c r="X67" s="3" t="s">
        <v>133</v>
      </c>
      <c r="Y67" s="3" t="s">
        <v>131</v>
      </c>
      <c r="Z67" s="3" t="s">
        <v>122</v>
      </c>
      <c r="AA67" s="3" t="s">
        <v>122</v>
      </c>
      <c r="AB67" s="3" t="s">
        <v>122</v>
      </c>
    </row>
    <row r="68" spans="1:28" ht="19" x14ac:dyDescent="0.25">
      <c r="A68" t="s">
        <v>219</v>
      </c>
      <c r="B68" s="2">
        <v>45780</v>
      </c>
      <c r="C68" s="3" t="str">
        <f>_xlfn.XLOOKUP(D68,'[1]Jan Customer Duplicate Hyva'!$B:$B,'[1]Jan Customer Duplicate Hyva'!$A:$A,"NOT FOUND")</f>
        <v>CUST-063</v>
      </c>
      <c r="D68" s="4" t="s">
        <v>43</v>
      </c>
      <c r="E68" s="4" t="s">
        <v>26</v>
      </c>
      <c r="F68" s="5" t="str">
        <f t="shared" si="8"/>
        <v>Ravi</v>
      </c>
      <c r="G68" s="5" t="str">
        <f t="shared" si="9"/>
        <v/>
      </c>
      <c r="H68" s="5" t="str">
        <f t="shared" si="10"/>
        <v/>
      </c>
      <c r="I68" s="5" t="str">
        <f>_xlfn.XLOOKUP(F68,'[1]Jan Labour Nd Drivers Hyva'!$B:$B,'[2]Jan Labour Nd Drivers Hyva'!$A:$A,"NOT FOUND")</f>
        <v>LAB-003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4" t="s">
        <v>44</v>
      </c>
      <c r="M68" s="6">
        <v>2</v>
      </c>
      <c r="N68" s="7">
        <v>3000</v>
      </c>
      <c r="O68" s="7">
        <f t="shared" si="11"/>
        <v>6000</v>
      </c>
      <c r="P68" s="7">
        <v>6000</v>
      </c>
      <c r="Q68" s="7">
        <f t="shared" si="18"/>
        <v>0</v>
      </c>
      <c r="R68" s="3" t="str">
        <f t="shared" si="13"/>
        <v>PAID</v>
      </c>
      <c r="S68" s="3"/>
      <c r="T68" s="3">
        <f t="shared" si="14"/>
        <v>6000</v>
      </c>
      <c r="U68" s="3" t="str">
        <f t="shared" si="15"/>
        <v>OK</v>
      </c>
      <c r="V68" s="8">
        <f t="shared" si="16"/>
        <v>0</v>
      </c>
      <c r="W68" s="3" t="str">
        <f t="shared" si="17"/>
        <v>OK</v>
      </c>
      <c r="X68" s="3" t="s">
        <v>133</v>
      </c>
      <c r="Y68" s="3" t="s">
        <v>131</v>
      </c>
      <c r="Z68" s="3" t="s">
        <v>122</v>
      </c>
      <c r="AA68" s="3" t="s">
        <v>122</v>
      </c>
      <c r="AB68" s="3" t="s">
        <v>122</v>
      </c>
    </row>
    <row r="69" spans="1:28" ht="19" x14ac:dyDescent="0.25">
      <c r="A69" t="s">
        <v>220</v>
      </c>
      <c r="B69" s="2">
        <v>45780</v>
      </c>
      <c r="C69" s="3" t="str">
        <f>_xlfn.XLOOKUP(D69,'[1]Jan Customer Duplicate Hyva'!$B:$B,'[1]Jan Customer Duplicate Hyva'!$A:$A,"NOT FOUND")</f>
        <v>CUST-305</v>
      </c>
      <c r="D69" s="4" t="s">
        <v>125</v>
      </c>
      <c r="E69" s="4" t="s">
        <v>26</v>
      </c>
      <c r="F69" s="5" t="str">
        <f t="shared" si="8"/>
        <v>Ravi</v>
      </c>
      <c r="G69" s="5" t="str">
        <f t="shared" si="9"/>
        <v/>
      </c>
      <c r="H69" s="5" t="str">
        <f t="shared" si="10"/>
        <v/>
      </c>
      <c r="I69" s="5" t="str">
        <f>_xlfn.XLOOKUP(F69,'[1]Jan Labour Nd Drivers Hyva'!$B:$B,'[2]Jan Labour Nd Drivers Hyva'!$A:$A,"NOT FOUND")</f>
        <v>LAB-003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4" t="s">
        <v>45</v>
      </c>
      <c r="M69" s="6">
        <v>1</v>
      </c>
      <c r="N69" s="7">
        <v>4000</v>
      </c>
      <c r="O69" s="7">
        <f t="shared" si="11"/>
        <v>4000</v>
      </c>
      <c r="P69" s="7">
        <v>4000</v>
      </c>
      <c r="Q69" s="7">
        <f t="shared" si="18"/>
        <v>0</v>
      </c>
      <c r="R69" s="3" t="str">
        <f t="shared" si="13"/>
        <v>PAID</v>
      </c>
      <c r="S69" s="3"/>
      <c r="T69" s="3">
        <f t="shared" si="14"/>
        <v>4000</v>
      </c>
      <c r="U69" s="3" t="str">
        <f t="shared" si="15"/>
        <v>OK</v>
      </c>
      <c r="V69" s="8">
        <f t="shared" si="16"/>
        <v>0</v>
      </c>
      <c r="W69" s="3" t="str">
        <f t="shared" si="17"/>
        <v>OK</v>
      </c>
      <c r="X69" s="3" t="s">
        <v>133</v>
      </c>
      <c r="Y69" s="3" t="s">
        <v>131</v>
      </c>
      <c r="Z69" s="3" t="s">
        <v>122</v>
      </c>
      <c r="AA69" s="3" t="s">
        <v>122</v>
      </c>
      <c r="AB69" s="3" t="s">
        <v>122</v>
      </c>
    </row>
    <row r="70" spans="1:28" ht="19" x14ac:dyDescent="0.25">
      <c r="A70" t="s">
        <v>221</v>
      </c>
      <c r="B70" s="2">
        <v>45786</v>
      </c>
      <c r="C70" s="3" t="str">
        <f>_xlfn.XLOOKUP(D70,'[1]Jan Customer Duplicate Hyva'!$B:$B,'[1]Jan Customer Duplicate Hyva'!$A:$A,"NOT FOUND")</f>
        <v>CUST-063</v>
      </c>
      <c r="D70" s="4" t="s">
        <v>43</v>
      </c>
      <c r="E70" s="4" t="s">
        <v>30</v>
      </c>
      <c r="F70" s="5" t="str">
        <f t="shared" si="8"/>
        <v>Anshu</v>
      </c>
      <c r="G70" s="5" t="str">
        <f t="shared" si="9"/>
        <v/>
      </c>
      <c r="H70" s="5" t="str">
        <f t="shared" si="10"/>
        <v/>
      </c>
      <c r="I70" s="5" t="str">
        <f>_xlfn.XLOOKUP(F70,'[1]Jan Labour Nd Drivers Hyva'!$B:$B,'[2]Jan Labour Nd Drivers Hyva'!$A:$A,"NOT FOUND")</f>
        <v>LAB-002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4" t="s">
        <v>44</v>
      </c>
      <c r="M70" s="6">
        <v>2</v>
      </c>
      <c r="N70" s="7">
        <v>3000</v>
      </c>
      <c r="O70" s="7">
        <f t="shared" si="11"/>
        <v>6000</v>
      </c>
      <c r="P70" s="7">
        <v>6000</v>
      </c>
      <c r="Q70" s="7">
        <f t="shared" si="18"/>
        <v>0</v>
      </c>
      <c r="R70" s="3" t="str">
        <f t="shared" si="13"/>
        <v>PAID</v>
      </c>
      <c r="S70" s="3"/>
      <c r="T70" s="3">
        <f t="shared" si="14"/>
        <v>6000</v>
      </c>
      <c r="U70" s="3" t="str">
        <f t="shared" si="15"/>
        <v>OK</v>
      </c>
      <c r="V70" s="8">
        <f t="shared" si="16"/>
        <v>0</v>
      </c>
      <c r="W70" s="3" t="str">
        <f t="shared" si="17"/>
        <v>OK</v>
      </c>
      <c r="X70" s="3" t="s">
        <v>133</v>
      </c>
      <c r="Y70" s="3" t="s">
        <v>131</v>
      </c>
      <c r="Z70" s="3" t="s">
        <v>122</v>
      </c>
      <c r="AA70" s="3" t="s">
        <v>122</v>
      </c>
      <c r="AB70" s="3" t="s">
        <v>122</v>
      </c>
    </row>
    <row r="71" spans="1:28" ht="19" x14ac:dyDescent="0.25">
      <c r="A71" t="s">
        <v>222</v>
      </c>
      <c r="B71" s="2">
        <v>45786</v>
      </c>
      <c r="C71" s="3" t="str">
        <f>_xlfn.XLOOKUP(D71,'[1]Jan Customer Duplicate Hyva'!$B:$B,'[1]Jan Customer Duplicate Hyva'!$A:$A,"NOT FOUND")</f>
        <v>CUST-063</v>
      </c>
      <c r="D71" s="4" t="s">
        <v>43</v>
      </c>
      <c r="E71" s="4" t="s">
        <v>26</v>
      </c>
      <c r="F71" s="5" t="str">
        <f t="shared" si="8"/>
        <v>Ravi</v>
      </c>
      <c r="G71" s="5" t="str">
        <f t="shared" si="9"/>
        <v/>
      </c>
      <c r="H71" s="5" t="str">
        <f t="shared" si="10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4" t="s">
        <v>44</v>
      </c>
      <c r="M71" s="6">
        <v>1</v>
      </c>
      <c r="N71" s="7">
        <v>3000</v>
      </c>
      <c r="O71" s="7">
        <f t="shared" si="11"/>
        <v>3000</v>
      </c>
      <c r="P71" s="7">
        <v>3000</v>
      </c>
      <c r="Q71" s="7">
        <f t="shared" si="18"/>
        <v>0</v>
      </c>
      <c r="R71" s="3" t="str">
        <f t="shared" si="13"/>
        <v>PAID</v>
      </c>
      <c r="S71" s="3"/>
      <c r="T71" s="3">
        <f t="shared" si="14"/>
        <v>3000</v>
      </c>
      <c r="U71" s="3" t="str">
        <f t="shared" si="15"/>
        <v>OK</v>
      </c>
      <c r="V71" s="8">
        <f t="shared" si="16"/>
        <v>0</v>
      </c>
      <c r="W71" s="3" t="str">
        <f t="shared" si="17"/>
        <v>OK</v>
      </c>
      <c r="X71" s="3" t="s">
        <v>133</v>
      </c>
      <c r="Y71" s="3" t="s">
        <v>131</v>
      </c>
      <c r="Z71" s="3" t="s">
        <v>122</v>
      </c>
      <c r="AA71" s="3" t="s">
        <v>122</v>
      </c>
      <c r="AB71" s="3" t="s">
        <v>122</v>
      </c>
    </row>
    <row r="72" spans="1:28" ht="19" x14ac:dyDescent="0.25">
      <c r="A72" t="s">
        <v>223</v>
      </c>
      <c r="B72" s="2">
        <v>45786</v>
      </c>
      <c r="C72" s="3" t="str">
        <f>_xlfn.XLOOKUP(D72,'[1]Jan Customer Duplicate Hyva'!$B:$B,'[1]Jan Customer Duplicate Hyva'!$A:$A,"NOT FOUND")</f>
        <v>CUST-207</v>
      </c>
      <c r="D72" s="4" t="s">
        <v>41</v>
      </c>
      <c r="E72" s="4" t="s">
        <v>30</v>
      </c>
      <c r="F72" s="5" t="str">
        <f t="shared" si="8"/>
        <v>Anshu</v>
      </c>
      <c r="G72" s="5" t="str">
        <f t="shared" si="9"/>
        <v/>
      </c>
      <c r="H72" s="5" t="str">
        <f t="shared" si="10"/>
        <v/>
      </c>
      <c r="I72" s="5" t="str">
        <f>_xlfn.XLOOKUP(F72,'[1]Jan Labour Nd Drivers Hyva'!$B:$B,'[2]Jan Labour Nd Drivers Hyva'!$A:$A,"NOT FOUND")</f>
        <v>LAB-002</v>
      </c>
      <c r="J72" s="5" t="str">
        <f>IF(G72="","",_xlfn.XLOOKUP(G72,'[3]Jan Labour Nd Drivers Hyva'!$B:$B,'[2]Jan Labour Nd Drivers Hyva'!$A:$A,"NOT FOUND"))</f>
        <v/>
      </c>
      <c r="K72" s="5" t="str">
        <f>IF(H72="","",_xlfn.XLOOKUP(H72,'[2]Jan Labour Nd Drivers Hyva'!$B:$B,'[2]Jan Labour Nd Drivers Hyva'!$A:$A,"NOT FOUND"))</f>
        <v/>
      </c>
      <c r="L72" s="4" t="s">
        <v>34</v>
      </c>
      <c r="M72" s="6">
        <v>1</v>
      </c>
      <c r="N72" s="7">
        <v>3000</v>
      </c>
      <c r="O72" s="7">
        <f t="shared" si="11"/>
        <v>3000</v>
      </c>
      <c r="P72" s="7">
        <v>3000</v>
      </c>
      <c r="Q72" s="7">
        <f t="shared" si="18"/>
        <v>0</v>
      </c>
      <c r="R72" s="3" t="str">
        <f t="shared" si="13"/>
        <v>PAID</v>
      </c>
      <c r="S72" s="3"/>
      <c r="T72" s="3">
        <f t="shared" si="14"/>
        <v>3000</v>
      </c>
      <c r="U72" s="3" t="str">
        <f t="shared" si="15"/>
        <v>OK</v>
      </c>
      <c r="V72" s="8">
        <f t="shared" si="16"/>
        <v>0</v>
      </c>
      <c r="W72" s="3" t="str">
        <f t="shared" si="17"/>
        <v>OK</v>
      </c>
      <c r="X72" s="3" t="s">
        <v>133</v>
      </c>
      <c r="Y72" s="3" t="s">
        <v>131</v>
      </c>
      <c r="Z72" s="3" t="s">
        <v>122</v>
      </c>
      <c r="AA72" s="3" t="s">
        <v>122</v>
      </c>
      <c r="AB72" s="3" t="s">
        <v>122</v>
      </c>
    </row>
    <row r="73" spans="1:28" ht="19" x14ac:dyDescent="0.25">
      <c r="A73" t="s">
        <v>224</v>
      </c>
      <c r="B73" s="2">
        <v>45786</v>
      </c>
      <c r="C73" s="3" t="str">
        <f>_xlfn.XLOOKUP(D73,'[1]Jan Customer Duplicate Hyva'!$B:$B,'[1]Jan Customer Duplicate Hyva'!$A:$A,"NOT FOUND")</f>
        <v>CUST-255</v>
      </c>
      <c r="D73" s="4" t="s">
        <v>46</v>
      </c>
      <c r="E73" s="4" t="s">
        <v>30</v>
      </c>
      <c r="F73" s="5" t="str">
        <f t="shared" si="8"/>
        <v>Anshu</v>
      </c>
      <c r="G73" s="5" t="str">
        <f t="shared" si="9"/>
        <v/>
      </c>
      <c r="H73" s="5" t="str">
        <f t="shared" si="10"/>
        <v/>
      </c>
      <c r="I73" s="5" t="str">
        <f>_xlfn.XLOOKUP(F73,'[1]Jan Labour Nd Drivers Hyva'!$B:$B,'[2]Jan Labour Nd Drivers Hyva'!$A:$A,"NOT FOUND")</f>
        <v>LAB-002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4" t="s">
        <v>47</v>
      </c>
      <c r="M73" s="6">
        <v>3</v>
      </c>
      <c r="N73" s="7">
        <v>3500</v>
      </c>
      <c r="O73" s="7">
        <f t="shared" si="11"/>
        <v>10500</v>
      </c>
      <c r="P73" s="7">
        <v>10500</v>
      </c>
      <c r="Q73" s="7">
        <f t="shared" si="18"/>
        <v>0</v>
      </c>
      <c r="R73" s="3" t="str">
        <f t="shared" si="13"/>
        <v>PAID</v>
      </c>
      <c r="S73" s="3"/>
      <c r="T73" s="3">
        <f t="shared" si="14"/>
        <v>10500</v>
      </c>
      <c r="U73" s="3" t="str">
        <f t="shared" si="15"/>
        <v>OK</v>
      </c>
      <c r="V73" s="8">
        <f t="shared" si="16"/>
        <v>0</v>
      </c>
      <c r="W73" s="3" t="str">
        <f t="shared" si="17"/>
        <v>OK</v>
      </c>
      <c r="X73" s="3" t="s">
        <v>133</v>
      </c>
      <c r="Y73" s="3" t="s">
        <v>131</v>
      </c>
      <c r="Z73" s="3" t="s">
        <v>122</v>
      </c>
      <c r="AA73" s="3" t="s">
        <v>122</v>
      </c>
      <c r="AB73" s="3" t="s">
        <v>122</v>
      </c>
    </row>
    <row r="74" spans="1:28" ht="19" x14ac:dyDescent="0.25">
      <c r="A74" t="s">
        <v>225</v>
      </c>
      <c r="B74" s="2">
        <v>45786</v>
      </c>
      <c r="C74" s="3" t="str">
        <f>_xlfn.XLOOKUP(D74,'[1]Jan Customer Duplicate Hyva'!$B:$B,'[1]Jan Customer Duplicate Hyva'!$A:$A,"NOT FOUND")</f>
        <v>CUST-255</v>
      </c>
      <c r="D74" s="4" t="s">
        <v>46</v>
      </c>
      <c r="E74" s="4" t="s">
        <v>26</v>
      </c>
      <c r="F74" s="5" t="str">
        <f t="shared" si="8"/>
        <v>Ravi</v>
      </c>
      <c r="G74" s="5" t="str">
        <f t="shared" si="9"/>
        <v/>
      </c>
      <c r="H74" s="5" t="str">
        <f t="shared" si="10"/>
        <v/>
      </c>
      <c r="I74" s="5" t="str">
        <f>_xlfn.XLOOKUP(F74,'[1]Jan Labour Nd Drivers Hyva'!$B:$B,'[2]Jan Labour Nd Drivers Hyva'!$A:$A,"NOT FOUND")</f>
        <v>LAB-003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4" t="s">
        <v>47</v>
      </c>
      <c r="M74" s="6">
        <v>1</v>
      </c>
      <c r="N74" s="7">
        <v>3500</v>
      </c>
      <c r="O74" s="7">
        <f t="shared" si="11"/>
        <v>3500</v>
      </c>
      <c r="P74" s="7">
        <v>3500</v>
      </c>
      <c r="Q74" s="7">
        <f t="shared" si="18"/>
        <v>0</v>
      </c>
      <c r="R74" s="3" t="str">
        <f t="shared" si="13"/>
        <v>PAID</v>
      </c>
      <c r="S74" s="3"/>
      <c r="T74" s="3">
        <f t="shared" si="14"/>
        <v>3500</v>
      </c>
      <c r="U74" s="3" t="str">
        <f t="shared" si="15"/>
        <v>OK</v>
      </c>
      <c r="V74" s="8">
        <f t="shared" si="16"/>
        <v>0</v>
      </c>
      <c r="W74" s="3" t="str">
        <f t="shared" si="17"/>
        <v>OK</v>
      </c>
      <c r="X74" s="3" t="s">
        <v>133</v>
      </c>
      <c r="Y74" s="3" t="s">
        <v>131</v>
      </c>
      <c r="Z74" s="3" t="s">
        <v>122</v>
      </c>
      <c r="AA74" s="3" t="s">
        <v>122</v>
      </c>
      <c r="AB74" s="3" t="s">
        <v>122</v>
      </c>
    </row>
    <row r="75" spans="1:28" ht="19" x14ac:dyDescent="0.25">
      <c r="A75" t="s">
        <v>226</v>
      </c>
      <c r="B75" s="2">
        <v>45798</v>
      </c>
      <c r="C75" s="3" t="str">
        <f>_xlfn.XLOOKUP(D75,'[1]Jan Customer Duplicate Hyva'!$B:$B,'[1]Jan Customer Duplicate Hyva'!$A:$A,"NOT FOUND")</f>
        <v>CUST-253</v>
      </c>
      <c r="D75" s="4" t="s">
        <v>38</v>
      </c>
      <c r="E75" s="4" t="s">
        <v>48</v>
      </c>
      <c r="F75" s="5" t="str">
        <f t="shared" si="8"/>
        <v>Anshu</v>
      </c>
      <c r="G75" s="5" t="str">
        <f t="shared" si="9"/>
        <v>Ravi</v>
      </c>
      <c r="H75" s="5" t="str">
        <f t="shared" si="10"/>
        <v/>
      </c>
      <c r="I75" s="5" t="str">
        <f>_xlfn.XLOOKUP(F75,'[1]Jan Labour Nd Drivers Hyva'!$B:$B,'[2]Jan Labour Nd Drivers Hyva'!$A:$A,"NOT FOUND")</f>
        <v>LAB-002</v>
      </c>
      <c r="J75" s="5" t="str">
        <f>IF(G75="","",_xlfn.XLOOKUP(G75,'[3]Jan Labour Nd Drivers Hyva'!$B:$B,'[2]Jan Labour Nd Drivers Hyva'!$A:$A,"NOT FOUND"))</f>
        <v>LAB-003</v>
      </c>
      <c r="K75" s="5" t="str">
        <f>IF(H75="","",_xlfn.XLOOKUP(H75,'[2]Jan Labour Nd Drivers Hyva'!$B:$B,'[2]Jan Labour Nd Drivers Hyva'!$A:$A,"NOT FOUND"))</f>
        <v/>
      </c>
      <c r="L75" s="4" t="s">
        <v>47</v>
      </c>
      <c r="M75" s="6">
        <v>2</v>
      </c>
      <c r="N75" s="7">
        <v>3500</v>
      </c>
      <c r="O75" s="7">
        <f t="shared" si="11"/>
        <v>7000</v>
      </c>
      <c r="P75" s="7">
        <v>7000</v>
      </c>
      <c r="Q75" s="7">
        <f t="shared" si="18"/>
        <v>0</v>
      </c>
      <c r="R75" s="3" t="str">
        <f t="shared" si="13"/>
        <v>PAID</v>
      </c>
      <c r="S75" s="3"/>
      <c r="T75" s="3">
        <f t="shared" si="14"/>
        <v>7000</v>
      </c>
      <c r="U75" s="3" t="str">
        <f t="shared" si="15"/>
        <v>OK</v>
      </c>
      <c r="V75" s="8">
        <f t="shared" si="16"/>
        <v>0</v>
      </c>
      <c r="W75" s="3" t="str">
        <f t="shared" si="17"/>
        <v>OK</v>
      </c>
      <c r="X75" s="3" t="s">
        <v>133</v>
      </c>
      <c r="Y75" s="3" t="s">
        <v>131</v>
      </c>
      <c r="Z75" s="3" t="s">
        <v>122</v>
      </c>
      <c r="AA75" s="3" t="s">
        <v>122</v>
      </c>
      <c r="AB75" s="3" t="s">
        <v>122</v>
      </c>
    </row>
    <row r="76" spans="1:28" ht="19" x14ac:dyDescent="0.25">
      <c r="A76" t="s">
        <v>227</v>
      </c>
      <c r="B76" s="2">
        <v>45798</v>
      </c>
      <c r="C76" s="3" t="str">
        <f>_xlfn.XLOOKUP(D76,'[1]Jan Customer Duplicate Hyva'!$B:$B,'[1]Jan Customer Duplicate Hyva'!$A:$A,"NOT FOUND")</f>
        <v>CUST-258</v>
      </c>
      <c r="D76" s="4" t="s">
        <v>49</v>
      </c>
      <c r="E76" s="4" t="s">
        <v>48</v>
      </c>
      <c r="F76" s="5" t="str">
        <f t="shared" si="8"/>
        <v>Anshu</v>
      </c>
      <c r="G76" s="5" t="str">
        <f t="shared" si="9"/>
        <v>Ravi</v>
      </c>
      <c r="H76" s="5" t="str">
        <f t="shared" si="10"/>
        <v/>
      </c>
      <c r="I76" s="5" t="str">
        <f>_xlfn.XLOOKUP(F76,'[1]Jan Labour Nd Drivers Hyva'!$B:$B,'[2]Jan Labour Nd Drivers Hyva'!$A:$A,"NOT FOUND")</f>
        <v>LAB-002</v>
      </c>
      <c r="J76" s="5" t="str">
        <f>IF(G76="","",_xlfn.XLOOKUP(G76,'[3]Jan Labour Nd Drivers Hyva'!$B:$B,'[2]Jan Labour Nd Drivers Hyva'!$A:$A,"NOT FOUND"))</f>
        <v>LAB-003</v>
      </c>
      <c r="K76" s="5" t="str">
        <f>IF(H76="","",_xlfn.XLOOKUP(H76,'[2]Jan Labour Nd Drivers Hyva'!$B:$B,'[2]Jan Labour Nd Drivers Hyva'!$A:$A,"NOT FOUND"))</f>
        <v/>
      </c>
      <c r="L76" s="4" t="s">
        <v>34</v>
      </c>
      <c r="M76" s="6">
        <v>2</v>
      </c>
      <c r="N76" s="7">
        <v>3000</v>
      </c>
      <c r="O76" s="7">
        <f t="shared" si="11"/>
        <v>6000</v>
      </c>
      <c r="P76" s="7">
        <v>6000</v>
      </c>
      <c r="Q76" s="7">
        <f t="shared" si="18"/>
        <v>0</v>
      </c>
      <c r="R76" s="3" t="str">
        <f t="shared" si="13"/>
        <v>PAID</v>
      </c>
      <c r="S76" s="3"/>
      <c r="T76" s="3">
        <f t="shared" si="14"/>
        <v>6000</v>
      </c>
      <c r="U76" s="3" t="str">
        <f t="shared" si="15"/>
        <v>OK</v>
      </c>
      <c r="V76" s="8">
        <f t="shared" si="16"/>
        <v>0</v>
      </c>
      <c r="W76" s="3" t="str">
        <f t="shared" si="17"/>
        <v>OK</v>
      </c>
      <c r="X76" s="3" t="s">
        <v>133</v>
      </c>
      <c r="Y76" s="3" t="s">
        <v>131</v>
      </c>
      <c r="Z76" s="3" t="s">
        <v>122</v>
      </c>
      <c r="AA76" s="3" t="s">
        <v>122</v>
      </c>
      <c r="AB76" s="3" t="s">
        <v>122</v>
      </c>
    </row>
    <row r="77" spans="1:28" ht="19" x14ac:dyDescent="0.25">
      <c r="A77" t="s">
        <v>228</v>
      </c>
      <c r="B77" s="2">
        <v>45805</v>
      </c>
      <c r="C77" s="3" t="str">
        <f>_xlfn.XLOOKUP(D77,'[1]Jan Customer Duplicate Hyva'!$B:$B,'[1]Jan Customer Duplicate Hyva'!$A:$A,"NOT FOUND")</f>
        <v>CUST-235</v>
      </c>
      <c r="D77" s="9" t="s">
        <v>123</v>
      </c>
      <c r="E77" s="4" t="s">
        <v>30</v>
      </c>
      <c r="F77" s="5" t="str">
        <f t="shared" si="8"/>
        <v>Anshu</v>
      </c>
      <c r="G77" s="5" t="str">
        <f t="shared" si="9"/>
        <v/>
      </c>
      <c r="H77" s="5" t="str">
        <f t="shared" si="10"/>
        <v/>
      </c>
      <c r="I77" s="5" t="str">
        <f>_xlfn.XLOOKUP(F77,'[1]Jan Labour Nd Drivers Hyva'!$B:$B,'[2]Jan Labour Nd Drivers Hyva'!$A:$A,"NOT FOUND")</f>
        <v>LAB-002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4" t="s">
        <v>50</v>
      </c>
      <c r="M77" s="6">
        <v>1</v>
      </c>
      <c r="N77" s="7">
        <v>3000</v>
      </c>
      <c r="O77" s="7">
        <f t="shared" si="11"/>
        <v>3000</v>
      </c>
      <c r="P77" s="7">
        <v>3000</v>
      </c>
      <c r="Q77" s="7">
        <f t="shared" si="18"/>
        <v>0</v>
      </c>
      <c r="R77" s="3" t="str">
        <f t="shared" si="13"/>
        <v>PAID</v>
      </c>
      <c r="S77" s="3"/>
      <c r="T77" s="3">
        <f t="shared" si="14"/>
        <v>3000</v>
      </c>
      <c r="U77" s="3" t="str">
        <f t="shared" si="15"/>
        <v>OK</v>
      </c>
      <c r="V77" s="8">
        <f t="shared" si="16"/>
        <v>0</v>
      </c>
      <c r="W77" s="3" t="str">
        <f t="shared" si="17"/>
        <v>OK</v>
      </c>
      <c r="X77" s="3" t="s">
        <v>133</v>
      </c>
      <c r="Y77" s="3" t="s">
        <v>131</v>
      </c>
      <c r="Z77" s="3" t="s">
        <v>122</v>
      </c>
      <c r="AA77" s="3" t="s">
        <v>122</v>
      </c>
      <c r="AB77" s="3" t="s">
        <v>122</v>
      </c>
    </row>
    <row r="78" spans="1:28" ht="19" x14ac:dyDescent="0.25">
      <c r="A78" t="s">
        <v>229</v>
      </c>
      <c r="B78" s="2">
        <v>45806</v>
      </c>
      <c r="C78" s="3" t="str">
        <f>_xlfn.XLOOKUP(D78,'[1]Jan Customer Duplicate Hyva'!$B:$B,'[1]Jan Customer Duplicate Hyva'!$A:$A,"NOT FOUND")</f>
        <v>CUST-146</v>
      </c>
      <c r="D78" s="4" t="s">
        <v>126</v>
      </c>
      <c r="E78" s="4" t="s">
        <v>26</v>
      </c>
      <c r="F78" s="5" t="str">
        <f t="shared" si="8"/>
        <v>Ravi</v>
      </c>
      <c r="G78" s="5" t="str">
        <f t="shared" si="9"/>
        <v/>
      </c>
      <c r="H78" s="5" t="str">
        <f t="shared" si="10"/>
        <v/>
      </c>
      <c r="I78" s="5" t="str">
        <f>_xlfn.XLOOKUP(F78,'[1]Jan Labour Nd Drivers Hyva'!$B:$B,'[2]Jan Labour Nd Drivers Hyva'!$A:$A,"NOT FOUND")</f>
        <v>LAB-003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4" t="s">
        <v>34</v>
      </c>
      <c r="M78" s="6">
        <v>4</v>
      </c>
      <c r="N78" s="7">
        <v>3000</v>
      </c>
      <c r="O78" s="7">
        <f t="shared" si="11"/>
        <v>12000</v>
      </c>
      <c r="P78" s="7">
        <v>12000</v>
      </c>
      <c r="Q78" s="7">
        <f t="shared" si="18"/>
        <v>0</v>
      </c>
      <c r="R78" s="3" t="str">
        <f t="shared" si="13"/>
        <v>PAID</v>
      </c>
      <c r="S78" s="3"/>
      <c r="T78" s="3">
        <f t="shared" si="14"/>
        <v>12000</v>
      </c>
      <c r="U78" s="3" t="str">
        <f t="shared" si="15"/>
        <v>OK</v>
      </c>
      <c r="V78" s="8">
        <f t="shared" si="16"/>
        <v>0</v>
      </c>
      <c r="W78" s="3" t="str">
        <f t="shared" si="17"/>
        <v>OK</v>
      </c>
      <c r="X78" s="3" t="s">
        <v>133</v>
      </c>
      <c r="Y78" s="3" t="s">
        <v>131</v>
      </c>
      <c r="Z78" s="3" t="s">
        <v>122</v>
      </c>
      <c r="AA78" s="3" t="s">
        <v>122</v>
      </c>
      <c r="AB78" s="3" t="s">
        <v>122</v>
      </c>
    </row>
    <row r="79" spans="1:28" ht="19" x14ac:dyDescent="0.25">
      <c r="A79" t="s">
        <v>230</v>
      </c>
      <c r="B79" s="2">
        <v>45806</v>
      </c>
      <c r="C79" s="3" t="str">
        <f>_xlfn.XLOOKUP(D79,'[1]Jan Customer Duplicate Hyva'!$B:$B,'[1]Jan Customer Duplicate Hyva'!$A:$A,"NOT FOUND")</f>
        <v>CUST-236</v>
      </c>
      <c r="D79" s="4" t="s">
        <v>51</v>
      </c>
      <c r="E79" s="4" t="s">
        <v>26</v>
      </c>
      <c r="F79" s="5" t="str">
        <f t="shared" si="8"/>
        <v>Ravi</v>
      </c>
      <c r="G79" s="5" t="str">
        <f t="shared" si="9"/>
        <v/>
      </c>
      <c r="H79" s="5" t="str">
        <f t="shared" si="10"/>
        <v/>
      </c>
      <c r="I79" s="5" t="str">
        <f>_xlfn.XLOOKUP(F79,'[1]Jan Labour Nd Drivers Hyva'!$B:$B,'[2]Jan Labour Nd Drivers Hyva'!$A:$A,"NOT FOUND")</f>
        <v>LAB-003</v>
      </c>
      <c r="J79" s="5" t="str">
        <f>IF(G79="","",_xlfn.XLOOKUP(G79,'[3]Jan Labour Nd Drivers Hyva'!$B:$B,'[2]Jan Labour Nd Drivers Hyva'!$A:$A,"NOT FOUND"))</f>
        <v/>
      </c>
      <c r="K79" s="5" t="str">
        <f>IF(H79="","",_xlfn.XLOOKUP(H79,'[2]Jan Labour Nd Drivers Hyva'!$B:$B,'[2]Jan Labour Nd Drivers Hyva'!$A:$A,"NOT FOUND"))</f>
        <v/>
      </c>
      <c r="L79" s="4" t="s">
        <v>50</v>
      </c>
      <c r="M79" s="6">
        <v>3</v>
      </c>
      <c r="N79" s="7">
        <v>2800</v>
      </c>
      <c r="O79" s="7">
        <f t="shared" si="11"/>
        <v>8400</v>
      </c>
      <c r="P79" s="7">
        <v>8400</v>
      </c>
      <c r="Q79" s="7">
        <f t="shared" si="18"/>
        <v>0</v>
      </c>
      <c r="R79" s="3" t="str">
        <f t="shared" si="13"/>
        <v>PAID</v>
      </c>
      <c r="S79" s="3"/>
      <c r="T79" s="3">
        <f t="shared" si="14"/>
        <v>8400</v>
      </c>
      <c r="U79" s="3" t="str">
        <f t="shared" si="15"/>
        <v>OK</v>
      </c>
      <c r="V79" s="8">
        <f t="shared" si="16"/>
        <v>0</v>
      </c>
      <c r="W79" s="3" t="str">
        <f t="shared" si="17"/>
        <v>OK</v>
      </c>
      <c r="X79" s="3" t="s">
        <v>133</v>
      </c>
      <c r="Y79" s="3" t="s">
        <v>131</v>
      </c>
      <c r="Z79" s="3" t="s">
        <v>122</v>
      </c>
      <c r="AA79" s="3" t="s">
        <v>122</v>
      </c>
      <c r="AB79" s="3" t="s">
        <v>122</v>
      </c>
    </row>
    <row r="80" spans="1:28" ht="19" x14ac:dyDescent="0.25">
      <c r="A80" t="s">
        <v>231</v>
      </c>
      <c r="B80" s="2">
        <v>45806</v>
      </c>
      <c r="C80" s="3" t="str">
        <f>_xlfn.XLOOKUP(D80,'[1]Jan Customer Duplicate Hyva'!$B:$B,'[1]Jan Customer Duplicate Hyva'!$A:$A,"NOT FOUND")</f>
        <v>CUST-255</v>
      </c>
      <c r="D80" s="4" t="s">
        <v>46</v>
      </c>
      <c r="E80" s="4" t="s">
        <v>52</v>
      </c>
      <c r="F80" s="5" t="str">
        <f t="shared" si="8"/>
        <v>Ravi</v>
      </c>
      <c r="G80" s="5" t="str">
        <f t="shared" si="9"/>
        <v>Anshu</v>
      </c>
      <c r="H80" s="5" t="str">
        <f t="shared" si="10"/>
        <v/>
      </c>
      <c r="I80" s="5" t="str">
        <f>_xlfn.XLOOKUP(F80,'[1]Jan Labour Nd Drivers Hyva'!$B:$B,'[2]Jan Labour Nd Drivers Hyva'!$A:$A,"NOT FOUND")</f>
        <v>LAB-003</v>
      </c>
      <c r="J80" s="5" t="str">
        <f>IF(G80="","",_xlfn.XLOOKUP(G80,'[3]Jan Labour Nd Drivers Hyva'!$B:$B,'[2]Jan Labour Nd Drivers Hyva'!$A:$A,"NOT FOUND"))</f>
        <v>LAB-002</v>
      </c>
      <c r="K80" s="5" t="str">
        <f>IF(H80="","",_xlfn.XLOOKUP(H80,'[2]Jan Labour Nd Drivers Hyva'!$B:$B,'[2]Jan Labour Nd Drivers Hyva'!$A:$A,"NOT FOUND"))</f>
        <v/>
      </c>
      <c r="L80" s="4" t="s">
        <v>47</v>
      </c>
      <c r="M80" s="6">
        <v>4</v>
      </c>
      <c r="N80" s="7">
        <v>3500</v>
      </c>
      <c r="O80" s="7">
        <f t="shared" si="11"/>
        <v>14000</v>
      </c>
      <c r="P80" s="7">
        <v>14000</v>
      </c>
      <c r="Q80" s="7">
        <f t="shared" si="18"/>
        <v>0</v>
      </c>
      <c r="R80" s="3" t="str">
        <f t="shared" si="13"/>
        <v>PAID</v>
      </c>
      <c r="S80" s="3"/>
      <c r="T80" s="3">
        <f t="shared" si="14"/>
        <v>14000</v>
      </c>
      <c r="U80" s="3" t="str">
        <f t="shared" si="15"/>
        <v>OK</v>
      </c>
      <c r="V80" s="8">
        <f t="shared" si="16"/>
        <v>0</v>
      </c>
      <c r="W80" s="3" t="str">
        <f t="shared" si="17"/>
        <v>OK</v>
      </c>
      <c r="X80" s="3" t="s">
        <v>133</v>
      </c>
      <c r="Y80" s="3" t="s">
        <v>131</v>
      </c>
      <c r="Z80" s="3" t="s">
        <v>122</v>
      </c>
      <c r="AA80" s="3" t="s">
        <v>122</v>
      </c>
      <c r="AB80" s="3" t="s">
        <v>122</v>
      </c>
    </row>
    <row r="81" spans="1:28" ht="19" x14ac:dyDescent="0.25">
      <c r="A81" t="s">
        <v>232</v>
      </c>
      <c r="B81" s="2">
        <v>45808</v>
      </c>
      <c r="C81" s="3" t="str">
        <f>_xlfn.XLOOKUP(D81,'[1]Jan Customer Duplicate Hyva'!$B:$B,'[1]Jan Customer Duplicate Hyva'!$A:$A,"NOT FOUND")</f>
        <v>CUST-227</v>
      </c>
      <c r="D81" s="4" t="s">
        <v>53</v>
      </c>
      <c r="E81" s="4" t="s">
        <v>30</v>
      </c>
      <c r="F81" s="5" t="str">
        <f t="shared" si="8"/>
        <v>Anshu</v>
      </c>
      <c r="G81" s="5" t="str">
        <f t="shared" si="9"/>
        <v/>
      </c>
      <c r="H81" s="5" t="str">
        <f t="shared" si="10"/>
        <v/>
      </c>
      <c r="I81" s="5" t="str">
        <f>_xlfn.XLOOKUP(F81,'[1]Jan Labour Nd Drivers Hyva'!$B:$B,'[2]Jan Labour Nd Drivers Hyva'!$A:$A,"NOT FOUND")</f>
        <v>LAB-002</v>
      </c>
      <c r="J81" s="5" t="str">
        <f>IF(G81="","",_xlfn.XLOOKUP(G81,'[3]Jan Labour Nd Drivers Hyva'!$B:$B,'[2]Jan Labour Nd Drivers Hyva'!$A:$A,"NOT FOUND"))</f>
        <v/>
      </c>
      <c r="K81" s="5" t="str">
        <f>IF(H81="","",_xlfn.XLOOKUP(H81,'[2]Jan Labour Nd Drivers Hyva'!$B:$B,'[2]Jan Labour Nd Drivers Hyva'!$A:$A,"NOT FOUND"))</f>
        <v/>
      </c>
      <c r="L81" s="4" t="s">
        <v>34</v>
      </c>
      <c r="M81" s="6">
        <v>1</v>
      </c>
      <c r="N81" s="7">
        <v>3000</v>
      </c>
      <c r="O81" s="7">
        <f t="shared" si="11"/>
        <v>3000</v>
      </c>
      <c r="P81" s="7"/>
      <c r="Q81" s="7">
        <f t="shared" si="18"/>
        <v>3000</v>
      </c>
      <c r="R81" s="3" t="str">
        <f t="shared" si="13"/>
        <v>UNPAID</v>
      </c>
      <c r="S81" s="3"/>
      <c r="T81" s="3">
        <f t="shared" si="14"/>
        <v>3000</v>
      </c>
      <c r="U81" s="3" t="str">
        <f t="shared" si="15"/>
        <v>OK</v>
      </c>
      <c r="V81" s="8">
        <f t="shared" si="16"/>
        <v>3000</v>
      </c>
      <c r="W81" s="3" t="str">
        <f t="shared" si="17"/>
        <v>OK</v>
      </c>
      <c r="X81" s="3" t="s">
        <v>133</v>
      </c>
      <c r="Y81" s="3" t="s">
        <v>131</v>
      </c>
      <c r="Z81" s="3" t="s">
        <v>122</v>
      </c>
      <c r="AA81" s="3" t="s">
        <v>122</v>
      </c>
      <c r="AB81" s="3" t="s">
        <v>122</v>
      </c>
    </row>
    <row r="82" spans="1:28" ht="19" x14ac:dyDescent="0.25">
      <c r="A82" t="s">
        <v>233</v>
      </c>
      <c r="B82" s="2">
        <v>45808</v>
      </c>
      <c r="C82" s="3" t="str">
        <f>_xlfn.XLOOKUP(D82,'[1]Jan Customer Duplicate Hyva'!$B:$B,'[1]Jan Customer Duplicate Hyva'!$A:$A,"NOT FOUND")</f>
        <v>CUST-236</v>
      </c>
      <c r="D82" s="4" t="s">
        <v>51</v>
      </c>
      <c r="E82" s="4" t="s">
        <v>26</v>
      </c>
      <c r="F82" s="5" t="str">
        <f t="shared" si="8"/>
        <v>Ravi</v>
      </c>
      <c r="G82" s="5" t="str">
        <f t="shared" si="9"/>
        <v/>
      </c>
      <c r="H82" s="5" t="str">
        <f t="shared" si="10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/>
      </c>
      <c r="K82" s="5" t="str">
        <f>IF(H82="","",_xlfn.XLOOKUP(H82,'[2]Jan Labour Nd Drivers Hyva'!$B:$B,'[2]Jan Labour Nd Drivers Hyva'!$A:$A,"NOT FOUND"))</f>
        <v/>
      </c>
      <c r="L82" s="4" t="s">
        <v>50</v>
      </c>
      <c r="M82" s="6">
        <v>5</v>
      </c>
      <c r="N82" s="7">
        <v>2800</v>
      </c>
      <c r="O82" s="7">
        <f t="shared" si="11"/>
        <v>14000</v>
      </c>
      <c r="P82" s="7">
        <v>14000</v>
      </c>
      <c r="Q82" s="7">
        <f t="shared" si="18"/>
        <v>0</v>
      </c>
      <c r="R82" s="3" t="str">
        <f t="shared" si="13"/>
        <v>PAID</v>
      </c>
      <c r="S82" s="3"/>
      <c r="T82" s="3">
        <f t="shared" si="14"/>
        <v>14000</v>
      </c>
      <c r="U82" s="3" t="str">
        <f t="shared" si="15"/>
        <v>OK</v>
      </c>
      <c r="V82" s="8">
        <f t="shared" si="16"/>
        <v>0</v>
      </c>
      <c r="W82" s="3" t="str">
        <f t="shared" si="17"/>
        <v>OK</v>
      </c>
      <c r="X82" s="3" t="s">
        <v>133</v>
      </c>
      <c r="Y82" s="3" t="s">
        <v>131</v>
      </c>
      <c r="Z82" s="3" t="s">
        <v>122</v>
      </c>
      <c r="AA82" s="3" t="s">
        <v>122</v>
      </c>
      <c r="AB82" s="3" t="s">
        <v>122</v>
      </c>
    </row>
    <row r="83" spans="1:28" ht="19" x14ac:dyDescent="0.25">
      <c r="A83" t="s">
        <v>234</v>
      </c>
      <c r="B83" s="2">
        <v>45809</v>
      </c>
      <c r="C83" s="3" t="str">
        <f>_xlfn.XLOOKUP(D83,'[1]Jan Customer Duplicate Hyva'!$B:$B,'[1]Jan Customer Duplicate Hyva'!$A:$A,"NOT FOUND")</f>
        <v>CUST-079</v>
      </c>
      <c r="D83" s="4" t="s">
        <v>54</v>
      </c>
      <c r="E83" s="4" t="s">
        <v>26</v>
      </c>
      <c r="F83" s="5" t="str">
        <f t="shared" si="8"/>
        <v>Ravi</v>
      </c>
      <c r="G83" s="5" t="str">
        <f t="shared" si="9"/>
        <v/>
      </c>
      <c r="H83" s="5" t="str">
        <f t="shared" si="10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/>
      </c>
      <c r="K83" s="5" t="str">
        <f>IF(H83="","",_xlfn.XLOOKUP(H83,'[2]Jan Labour Nd Drivers Hyva'!$B:$B,'[2]Jan Labour Nd Drivers Hyva'!$A:$A,"NOT FOUND"))</f>
        <v/>
      </c>
      <c r="L83" s="4" t="s">
        <v>55</v>
      </c>
      <c r="M83" s="6">
        <v>1</v>
      </c>
      <c r="N83" s="7">
        <v>3000</v>
      </c>
      <c r="O83" s="7">
        <f t="shared" si="11"/>
        <v>3000</v>
      </c>
      <c r="P83" s="7">
        <v>3000</v>
      </c>
      <c r="Q83" s="7">
        <f t="shared" si="18"/>
        <v>0</v>
      </c>
      <c r="R83" s="3" t="str">
        <f t="shared" si="13"/>
        <v>PAID</v>
      </c>
      <c r="S83" s="3"/>
      <c r="T83" s="3">
        <f t="shared" si="14"/>
        <v>3000</v>
      </c>
      <c r="U83" s="3" t="str">
        <f t="shared" si="15"/>
        <v>OK</v>
      </c>
      <c r="V83" s="8">
        <f t="shared" si="16"/>
        <v>0</v>
      </c>
      <c r="W83" s="3" t="str">
        <f t="shared" si="17"/>
        <v>OK</v>
      </c>
      <c r="X83" s="3" t="s">
        <v>133</v>
      </c>
      <c r="Y83" s="3" t="s">
        <v>131</v>
      </c>
      <c r="Z83" s="3" t="s">
        <v>122</v>
      </c>
      <c r="AA83" s="3" t="s">
        <v>122</v>
      </c>
      <c r="AB83" s="3" t="s">
        <v>122</v>
      </c>
    </row>
    <row r="84" spans="1:28" ht="19" x14ac:dyDescent="0.25">
      <c r="A84" t="s">
        <v>235</v>
      </c>
      <c r="B84" s="2">
        <v>45809</v>
      </c>
      <c r="C84" s="3" t="str">
        <f>_xlfn.XLOOKUP(D84,'[1]Jan Customer Duplicate Hyva'!$B:$B,'[1]Jan Customer Duplicate Hyva'!$A:$A,"NOT FOUND")</f>
        <v>CUST-180</v>
      </c>
      <c r="D84" s="4" t="s">
        <v>56</v>
      </c>
      <c r="E84" s="4" t="s">
        <v>30</v>
      </c>
      <c r="F84" s="5" t="str">
        <f t="shared" si="8"/>
        <v>Anshu</v>
      </c>
      <c r="G84" s="5" t="str">
        <f t="shared" si="9"/>
        <v/>
      </c>
      <c r="H84" s="5" t="str">
        <f t="shared" si="10"/>
        <v/>
      </c>
      <c r="I84" s="5" t="str">
        <f>_xlfn.XLOOKUP(F84,'[1]Jan Labour Nd Drivers Hyva'!$B:$B,'[2]Jan Labour Nd Drivers Hyva'!$A:$A,"NOT FOUND")</f>
        <v>LAB-002</v>
      </c>
      <c r="J84" s="5" t="str">
        <f>IF(G84="","",_xlfn.XLOOKUP(G84,'[3]Jan Labour Nd Drivers Hyva'!$B:$B,'[2]Jan Labour Nd Drivers Hyva'!$A:$A,"NOT FOUND"))</f>
        <v/>
      </c>
      <c r="K84" s="5" t="str">
        <f>IF(H84="","",_xlfn.XLOOKUP(H84,'[2]Jan Labour Nd Drivers Hyva'!$B:$B,'[2]Jan Labour Nd Drivers Hyva'!$A:$A,"NOT FOUND"))</f>
        <v/>
      </c>
      <c r="L84" s="4" t="s">
        <v>57</v>
      </c>
      <c r="M84" s="6">
        <v>1</v>
      </c>
      <c r="N84" s="7">
        <v>3000</v>
      </c>
      <c r="O84" s="7">
        <f t="shared" si="11"/>
        <v>3000</v>
      </c>
      <c r="P84" s="7">
        <v>3000</v>
      </c>
      <c r="Q84" s="7">
        <f t="shared" si="18"/>
        <v>0</v>
      </c>
      <c r="R84" s="3" t="str">
        <f t="shared" si="13"/>
        <v>PAID</v>
      </c>
      <c r="S84" s="3"/>
      <c r="T84" s="3">
        <f t="shared" si="14"/>
        <v>3000</v>
      </c>
      <c r="U84" s="3" t="str">
        <f t="shared" si="15"/>
        <v>OK</v>
      </c>
      <c r="V84" s="8">
        <f t="shared" si="16"/>
        <v>0</v>
      </c>
      <c r="W84" s="3" t="str">
        <f t="shared" si="17"/>
        <v>OK</v>
      </c>
      <c r="X84" s="3" t="s">
        <v>133</v>
      </c>
      <c r="Y84" s="3" t="s">
        <v>131</v>
      </c>
      <c r="Z84" s="3" t="s">
        <v>122</v>
      </c>
      <c r="AA84" s="3" t="s">
        <v>122</v>
      </c>
      <c r="AB84" s="3" t="s">
        <v>122</v>
      </c>
    </row>
    <row r="85" spans="1:28" ht="19" x14ac:dyDescent="0.25">
      <c r="A85" t="s">
        <v>236</v>
      </c>
      <c r="B85" s="2">
        <v>45812</v>
      </c>
      <c r="C85" s="3" t="str">
        <f>_xlfn.XLOOKUP(D85,'[1]Jan Customer Duplicate Hyva'!$B:$B,'[1]Jan Customer Duplicate Hyva'!$A:$A,"NOT FOUND")</f>
        <v>CUST-253</v>
      </c>
      <c r="D85" s="4" t="s">
        <v>38</v>
      </c>
      <c r="E85" s="4" t="s">
        <v>26</v>
      </c>
      <c r="F85" s="5" t="str">
        <f t="shared" si="8"/>
        <v>Ravi</v>
      </c>
      <c r="G85" s="5" t="str">
        <f t="shared" si="9"/>
        <v/>
      </c>
      <c r="H85" s="5" t="str">
        <f t="shared" si="10"/>
        <v/>
      </c>
      <c r="I85" s="5" t="str">
        <f>_xlfn.XLOOKUP(F85,'[1]Jan Labour Nd Drivers Hyva'!$B:$B,'[2]Jan Labour Nd Drivers Hyva'!$A:$A,"NOT FOUND")</f>
        <v>LAB-003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4" t="s">
        <v>58</v>
      </c>
      <c r="M85" s="6">
        <v>1</v>
      </c>
      <c r="N85" s="7">
        <v>3500</v>
      </c>
      <c r="O85" s="7">
        <f t="shared" si="11"/>
        <v>3500</v>
      </c>
      <c r="P85" s="7">
        <v>3500</v>
      </c>
      <c r="Q85" s="7">
        <f t="shared" si="18"/>
        <v>0</v>
      </c>
      <c r="R85" s="3" t="str">
        <f t="shared" si="13"/>
        <v>PAID</v>
      </c>
      <c r="S85" s="3"/>
      <c r="T85" s="3">
        <f t="shared" si="14"/>
        <v>3500</v>
      </c>
      <c r="U85" s="3" t="str">
        <f t="shared" si="15"/>
        <v>OK</v>
      </c>
      <c r="V85" s="8">
        <f t="shared" si="16"/>
        <v>0</v>
      </c>
      <c r="W85" s="3" t="str">
        <f t="shared" si="17"/>
        <v>OK</v>
      </c>
      <c r="X85" s="3" t="s">
        <v>133</v>
      </c>
      <c r="Y85" s="3" t="s">
        <v>131</v>
      </c>
      <c r="Z85" s="3" t="s">
        <v>122</v>
      </c>
      <c r="AA85" s="3" t="s">
        <v>122</v>
      </c>
      <c r="AB85" s="3" t="s">
        <v>122</v>
      </c>
    </row>
    <row r="86" spans="1:28" ht="19" x14ac:dyDescent="0.25">
      <c r="A86" t="s">
        <v>237</v>
      </c>
      <c r="B86" s="2">
        <v>45815</v>
      </c>
      <c r="C86" s="3" t="str">
        <f>_xlfn.XLOOKUP(D86,'[1]Jan Customer Duplicate Hyva'!$B:$B,'[1]Jan Customer Duplicate Hyva'!$A:$A,"NOT FOUND")</f>
        <v>CUST-180</v>
      </c>
      <c r="D86" s="4" t="s">
        <v>56</v>
      </c>
      <c r="E86" s="4" t="s">
        <v>26</v>
      </c>
      <c r="F86" s="5" t="str">
        <f t="shared" si="8"/>
        <v>Ravi</v>
      </c>
      <c r="G86" s="5" t="str">
        <f t="shared" si="9"/>
        <v/>
      </c>
      <c r="H86" s="5" t="str">
        <f t="shared" si="10"/>
        <v/>
      </c>
      <c r="I86" s="5" t="str">
        <f>_xlfn.XLOOKUP(F86,'[1]Jan Labour Nd Drivers Hyva'!$B:$B,'[2]Jan Labour Nd Drivers Hyva'!$A:$A,"NOT FOUND")</f>
        <v>LAB-003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4" t="s">
        <v>57</v>
      </c>
      <c r="M86" s="6">
        <v>1</v>
      </c>
      <c r="N86" s="7">
        <v>3000</v>
      </c>
      <c r="O86" s="7">
        <f t="shared" si="11"/>
        <v>3000</v>
      </c>
      <c r="P86" s="7">
        <v>3000</v>
      </c>
      <c r="Q86" s="7">
        <f t="shared" si="18"/>
        <v>0</v>
      </c>
      <c r="R86" s="3" t="str">
        <f t="shared" si="13"/>
        <v>PAID</v>
      </c>
      <c r="S86" s="3"/>
      <c r="T86" s="3">
        <f t="shared" si="14"/>
        <v>3000</v>
      </c>
      <c r="U86" s="3" t="str">
        <f t="shared" si="15"/>
        <v>OK</v>
      </c>
      <c r="V86" s="8">
        <f t="shared" si="16"/>
        <v>0</v>
      </c>
      <c r="W86" s="3" t="str">
        <f t="shared" si="17"/>
        <v>OK</v>
      </c>
      <c r="X86" s="3" t="s">
        <v>133</v>
      </c>
      <c r="Y86" s="3" t="s">
        <v>131</v>
      </c>
      <c r="Z86" s="3" t="s">
        <v>122</v>
      </c>
      <c r="AA86" s="3" t="s">
        <v>122</v>
      </c>
      <c r="AB86" s="3" t="s">
        <v>122</v>
      </c>
    </row>
    <row r="87" spans="1:28" ht="19" x14ac:dyDescent="0.25">
      <c r="A87" t="s">
        <v>238</v>
      </c>
      <c r="B87" s="2">
        <v>45826</v>
      </c>
      <c r="C87" s="3" t="str">
        <f>_xlfn.XLOOKUP(D87,'[1]Jan Customer Duplicate Hyva'!$B:$B,'[1]Jan Customer Duplicate Hyva'!$A:$A,"NOT FOUND")</f>
        <v>CUST-377</v>
      </c>
      <c r="D87" s="4" t="s">
        <v>36</v>
      </c>
      <c r="E87" s="4" t="s">
        <v>26</v>
      </c>
      <c r="F87" s="5" t="str">
        <f t="shared" si="8"/>
        <v>Ravi</v>
      </c>
      <c r="G87" s="5" t="str">
        <f t="shared" si="9"/>
        <v/>
      </c>
      <c r="H87" s="5" t="str">
        <f t="shared" si="10"/>
        <v/>
      </c>
      <c r="I87" s="5" t="str">
        <f>_xlfn.XLOOKUP(F87,'[1]Jan Labour Nd Drivers Hyva'!$B:$B,'[2]Jan Labour Nd Drivers Hyva'!$A:$A,"NOT FOUND")</f>
        <v>LAB-003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4" t="s">
        <v>37</v>
      </c>
      <c r="M87" s="6">
        <v>1</v>
      </c>
      <c r="N87" s="7">
        <v>3000</v>
      </c>
      <c r="O87" s="7">
        <f t="shared" si="11"/>
        <v>3000</v>
      </c>
      <c r="P87" s="7">
        <v>3000</v>
      </c>
      <c r="Q87" s="7">
        <f t="shared" si="18"/>
        <v>0</v>
      </c>
      <c r="R87" s="3" t="str">
        <f t="shared" si="13"/>
        <v>PAID</v>
      </c>
      <c r="S87" s="3"/>
      <c r="T87" s="3">
        <f t="shared" si="14"/>
        <v>3000</v>
      </c>
      <c r="U87" s="3" t="str">
        <f t="shared" si="15"/>
        <v>OK</v>
      </c>
      <c r="V87" s="8">
        <f t="shared" si="16"/>
        <v>0</v>
      </c>
      <c r="W87" s="3" t="str">
        <f t="shared" si="17"/>
        <v>OK</v>
      </c>
      <c r="X87" s="3" t="s">
        <v>133</v>
      </c>
      <c r="Y87" s="3" t="s">
        <v>131</v>
      </c>
      <c r="Z87" s="3" t="s">
        <v>122</v>
      </c>
      <c r="AA87" s="3" t="s">
        <v>122</v>
      </c>
      <c r="AB87" s="3" t="s">
        <v>122</v>
      </c>
    </row>
    <row r="88" spans="1:28" ht="19" x14ac:dyDescent="0.25">
      <c r="A88" t="s">
        <v>239</v>
      </c>
      <c r="B88" s="2">
        <v>45826</v>
      </c>
      <c r="C88" s="3" t="str">
        <f>_xlfn.XLOOKUP(D88,'[1]Jan Customer Duplicate Hyva'!$B:$B,'[1]Jan Customer Duplicate Hyva'!$A:$A,"NOT FOUND")</f>
        <v>CUST-180</v>
      </c>
      <c r="D88" s="4" t="s">
        <v>56</v>
      </c>
      <c r="E88" s="4" t="s">
        <v>52</v>
      </c>
      <c r="F88" s="5" t="str">
        <f t="shared" si="8"/>
        <v>Ravi</v>
      </c>
      <c r="G88" s="5" t="str">
        <f t="shared" si="9"/>
        <v>Anshu</v>
      </c>
      <c r="H88" s="5" t="str">
        <f t="shared" si="10"/>
        <v/>
      </c>
      <c r="I88" s="5" t="str">
        <f>_xlfn.XLOOKUP(F88,'[1]Jan Labour Nd Drivers Hyva'!$B:$B,'[2]Jan Labour Nd Drivers Hyva'!$A:$A,"NOT FOUND")</f>
        <v>LAB-003</v>
      </c>
      <c r="J88" s="5" t="str">
        <f>IF(G88="","",_xlfn.XLOOKUP(G88,'[3]Jan Labour Nd Drivers Hyva'!$B:$B,'[2]Jan Labour Nd Drivers Hyva'!$A:$A,"NOT FOUND"))</f>
        <v>LAB-002</v>
      </c>
      <c r="K88" s="5" t="str">
        <f>IF(H88="","",_xlfn.XLOOKUP(H88,'[2]Jan Labour Nd Drivers Hyva'!$B:$B,'[2]Jan Labour Nd Drivers Hyva'!$A:$A,"NOT FOUND"))</f>
        <v/>
      </c>
      <c r="L88" s="4" t="s">
        <v>57</v>
      </c>
      <c r="M88" s="6">
        <v>2</v>
      </c>
      <c r="N88" s="7">
        <v>3000</v>
      </c>
      <c r="O88" s="7">
        <f t="shared" si="11"/>
        <v>6000</v>
      </c>
      <c r="P88" s="7">
        <v>6000</v>
      </c>
      <c r="Q88" s="7">
        <f t="shared" si="18"/>
        <v>0</v>
      </c>
      <c r="R88" s="3" t="str">
        <f t="shared" si="13"/>
        <v>PAID</v>
      </c>
      <c r="S88" s="3"/>
      <c r="T88" s="3">
        <f t="shared" si="14"/>
        <v>6000</v>
      </c>
      <c r="U88" s="3" t="str">
        <f t="shared" si="15"/>
        <v>OK</v>
      </c>
      <c r="V88" s="8">
        <f t="shared" si="16"/>
        <v>0</v>
      </c>
      <c r="W88" s="3" t="str">
        <f t="shared" si="17"/>
        <v>OK</v>
      </c>
      <c r="X88" s="3" t="s">
        <v>133</v>
      </c>
      <c r="Y88" s="3" t="s">
        <v>131</v>
      </c>
      <c r="Z88" s="3" t="s">
        <v>122</v>
      </c>
      <c r="AA88" s="3" t="s">
        <v>122</v>
      </c>
      <c r="AB88" s="3" t="s">
        <v>122</v>
      </c>
    </row>
    <row r="89" spans="1:28" ht="19" x14ac:dyDescent="0.25">
      <c r="A89" t="s">
        <v>240</v>
      </c>
      <c r="B89" s="2">
        <v>45826</v>
      </c>
      <c r="C89" s="3" t="str">
        <f>_xlfn.XLOOKUP(D89,'[1]Jan Customer Duplicate Hyva'!$B:$B,'[1]Jan Customer Duplicate Hyva'!$A:$A,"NOT FOUND")</f>
        <v>CUST-258</v>
      </c>
      <c r="D89" s="4" t="s">
        <v>49</v>
      </c>
      <c r="E89" s="4" t="s">
        <v>26</v>
      </c>
      <c r="F89" s="5" t="str">
        <f t="shared" si="8"/>
        <v>Ravi</v>
      </c>
      <c r="G89" s="5" t="str">
        <f t="shared" si="9"/>
        <v/>
      </c>
      <c r="H89" s="5" t="str">
        <f t="shared" si="10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4" t="s">
        <v>34</v>
      </c>
      <c r="M89" s="6">
        <v>1</v>
      </c>
      <c r="N89" s="7">
        <v>4000</v>
      </c>
      <c r="O89" s="7">
        <f t="shared" si="11"/>
        <v>4000</v>
      </c>
      <c r="P89" s="7">
        <v>4000</v>
      </c>
      <c r="Q89" s="7">
        <f t="shared" si="18"/>
        <v>0</v>
      </c>
      <c r="R89" s="3" t="str">
        <f t="shared" si="13"/>
        <v>PAID</v>
      </c>
      <c r="S89" s="3"/>
      <c r="T89" s="3">
        <f t="shared" si="14"/>
        <v>4000</v>
      </c>
      <c r="U89" s="3" t="str">
        <f t="shared" si="15"/>
        <v>OK</v>
      </c>
      <c r="V89" s="8">
        <f t="shared" si="16"/>
        <v>0</v>
      </c>
      <c r="W89" s="3" t="str">
        <f t="shared" si="17"/>
        <v>OK</v>
      </c>
      <c r="X89" s="3" t="s">
        <v>133</v>
      </c>
      <c r="Y89" s="3" t="s">
        <v>131</v>
      </c>
      <c r="Z89" s="3" t="s">
        <v>122</v>
      </c>
      <c r="AA89" s="3" t="s">
        <v>122</v>
      </c>
      <c r="AB89" s="3" t="s">
        <v>122</v>
      </c>
    </row>
    <row r="90" spans="1:28" ht="19" x14ac:dyDescent="0.25">
      <c r="A90" t="s">
        <v>241</v>
      </c>
      <c r="B90" s="2">
        <v>45835</v>
      </c>
      <c r="C90" s="3" t="str">
        <f>_xlfn.XLOOKUP(D90,'[1]Jan Customer Duplicate Hyva'!$B:$B,'[1]Jan Customer Duplicate Hyva'!$A:$A,"NOT FOUND")</f>
        <v>CUST-161</v>
      </c>
      <c r="D90" s="4" t="s">
        <v>59</v>
      </c>
      <c r="E90" s="4" t="s">
        <v>26</v>
      </c>
      <c r="F90" s="5" t="str">
        <f t="shared" si="8"/>
        <v>Ravi</v>
      </c>
      <c r="G90" s="5" t="str">
        <f t="shared" si="9"/>
        <v/>
      </c>
      <c r="H90" s="5" t="str">
        <f t="shared" si="10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4" t="s">
        <v>60</v>
      </c>
      <c r="M90" s="6">
        <v>1</v>
      </c>
      <c r="N90" s="7">
        <v>3700</v>
      </c>
      <c r="O90" s="7">
        <f t="shared" si="11"/>
        <v>3700</v>
      </c>
      <c r="P90" s="7">
        <v>3700</v>
      </c>
      <c r="Q90" s="7">
        <f t="shared" si="18"/>
        <v>0</v>
      </c>
      <c r="R90" s="3" t="str">
        <f t="shared" si="13"/>
        <v>PAID</v>
      </c>
      <c r="S90" s="3"/>
      <c r="T90" s="3">
        <f t="shared" si="14"/>
        <v>3700</v>
      </c>
      <c r="U90" s="3" t="str">
        <f t="shared" si="15"/>
        <v>OK</v>
      </c>
      <c r="V90" s="8">
        <f t="shared" si="16"/>
        <v>0</v>
      </c>
      <c r="W90" s="3" t="str">
        <f t="shared" si="17"/>
        <v>OK</v>
      </c>
      <c r="X90" s="3" t="s">
        <v>133</v>
      </c>
      <c r="Y90" s="3" t="s">
        <v>131</v>
      </c>
      <c r="Z90" s="3" t="s">
        <v>122</v>
      </c>
      <c r="AA90" s="3" t="s">
        <v>122</v>
      </c>
      <c r="AB90" s="3" t="s">
        <v>122</v>
      </c>
    </row>
    <row r="91" spans="1:28" ht="19" x14ac:dyDescent="0.25">
      <c r="A91" t="s">
        <v>242</v>
      </c>
      <c r="B91" s="2">
        <v>45840</v>
      </c>
      <c r="C91" s="3" t="str">
        <f>_xlfn.XLOOKUP(D91,'[1]Jan Customer Duplicate Hyva'!$B:$B,'[1]Jan Customer Duplicate Hyva'!$A:$A,"NOT FOUND")</f>
        <v>CUST-149</v>
      </c>
      <c r="D91" s="4" t="s">
        <v>61</v>
      </c>
      <c r="E91" s="4" t="s">
        <v>26</v>
      </c>
      <c r="F91" s="5" t="str">
        <f t="shared" si="8"/>
        <v>Ravi</v>
      </c>
      <c r="G91" s="5" t="str">
        <f t="shared" si="9"/>
        <v/>
      </c>
      <c r="H91" s="5" t="str">
        <f t="shared" si="10"/>
        <v/>
      </c>
      <c r="I91" s="5" t="str">
        <f>_xlfn.XLOOKUP(F91,'[1]Jan Labour Nd Drivers Hyva'!$B:$B,'[2]Jan Labour Nd Drivers Hyva'!$A:$A,"NOT FOUND")</f>
        <v>LAB-003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4" t="s">
        <v>44</v>
      </c>
      <c r="M91" s="6">
        <v>1</v>
      </c>
      <c r="N91" s="7">
        <v>3500</v>
      </c>
      <c r="O91" s="7">
        <f t="shared" si="11"/>
        <v>3500</v>
      </c>
      <c r="P91" s="7"/>
      <c r="Q91" s="7">
        <f t="shared" si="18"/>
        <v>3500</v>
      </c>
      <c r="R91" s="3" t="str">
        <f t="shared" si="13"/>
        <v>UNPAID</v>
      </c>
      <c r="S91" s="3"/>
      <c r="T91" s="3">
        <f t="shared" si="14"/>
        <v>3500</v>
      </c>
      <c r="U91" s="3" t="str">
        <f t="shared" si="15"/>
        <v>OK</v>
      </c>
      <c r="V91" s="8">
        <f t="shared" si="16"/>
        <v>3500</v>
      </c>
      <c r="W91" s="3" t="str">
        <f t="shared" si="17"/>
        <v>OK</v>
      </c>
      <c r="X91" s="3" t="s">
        <v>133</v>
      </c>
      <c r="Y91" s="3" t="s">
        <v>131</v>
      </c>
      <c r="Z91" s="3" t="s">
        <v>122</v>
      </c>
      <c r="AA91" s="3" t="s">
        <v>122</v>
      </c>
      <c r="AB91" s="3" t="s">
        <v>122</v>
      </c>
    </row>
    <row r="92" spans="1:28" ht="19" x14ac:dyDescent="0.25">
      <c r="A92" t="s">
        <v>243</v>
      </c>
      <c r="B92" s="2">
        <v>45840</v>
      </c>
      <c r="C92" s="3" t="str">
        <f>_xlfn.XLOOKUP(D92,'[1]Jan Customer Duplicate Hyva'!$B:$B,'[1]Jan Customer Duplicate Hyva'!$A:$A,"NOT FOUND")</f>
        <v>CUST-377</v>
      </c>
      <c r="D92" s="4" t="s">
        <v>36</v>
      </c>
      <c r="E92" s="4" t="s">
        <v>26</v>
      </c>
      <c r="F92" s="5" t="str">
        <f t="shared" si="8"/>
        <v>Ravi</v>
      </c>
      <c r="G92" s="5" t="str">
        <f t="shared" si="9"/>
        <v/>
      </c>
      <c r="H92" s="5" t="str">
        <f t="shared" si="10"/>
        <v/>
      </c>
      <c r="I92" s="5" t="str">
        <f>_xlfn.XLOOKUP(F92,'[1]Jan Labour Nd Drivers Hyva'!$B:$B,'[2]Jan Labour Nd Drivers Hyva'!$A:$A,"NOT FOUND")</f>
        <v>LAB-003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4" t="s">
        <v>37</v>
      </c>
      <c r="M92" s="6">
        <v>2</v>
      </c>
      <c r="N92" s="7">
        <v>3500</v>
      </c>
      <c r="O92" s="7">
        <f t="shared" si="11"/>
        <v>7000</v>
      </c>
      <c r="P92" s="7">
        <v>7000</v>
      </c>
      <c r="Q92" s="7">
        <f t="shared" si="18"/>
        <v>0</v>
      </c>
      <c r="R92" s="3" t="str">
        <f t="shared" si="13"/>
        <v>PAID</v>
      </c>
      <c r="S92" s="3"/>
      <c r="T92" s="3">
        <f t="shared" si="14"/>
        <v>7000</v>
      </c>
      <c r="U92" s="3" t="str">
        <f t="shared" si="15"/>
        <v>OK</v>
      </c>
      <c r="V92" s="8">
        <f t="shared" si="16"/>
        <v>0</v>
      </c>
      <c r="W92" s="3" t="str">
        <f t="shared" si="17"/>
        <v>OK</v>
      </c>
      <c r="X92" s="3" t="s">
        <v>133</v>
      </c>
      <c r="Y92" s="3" t="s">
        <v>131</v>
      </c>
      <c r="Z92" s="3" t="s">
        <v>122</v>
      </c>
      <c r="AA92" s="3" t="s">
        <v>122</v>
      </c>
      <c r="AB92" s="3" t="s">
        <v>122</v>
      </c>
    </row>
    <row r="93" spans="1:28" ht="19" x14ac:dyDescent="0.25">
      <c r="A93" t="s">
        <v>244</v>
      </c>
      <c r="B93" s="2">
        <v>45842</v>
      </c>
      <c r="C93" s="3" t="str">
        <f>_xlfn.XLOOKUP(D93,'[1]Jan Customer Duplicate Hyva'!$B:$B,'[1]Jan Customer Duplicate Hyva'!$A:$A,"NOT FOUND")</f>
        <v>CUST-037</v>
      </c>
      <c r="D93" s="4" t="s">
        <v>62</v>
      </c>
      <c r="E93" s="4" t="s">
        <v>24</v>
      </c>
      <c r="F93" s="5" t="str">
        <f t="shared" si="8"/>
        <v>Gaju Bhau</v>
      </c>
      <c r="G93" s="5" t="str">
        <f t="shared" si="9"/>
        <v/>
      </c>
      <c r="H93" s="5" t="str">
        <f t="shared" si="10"/>
        <v/>
      </c>
      <c r="I93" s="5" t="str">
        <f>_xlfn.XLOOKUP(F93,'[1]Jan Labour Nd Drivers Hyva'!$B:$B,'[2]Jan Labour Nd Drivers Hyva'!$A:$A,"NOT FOUND")</f>
        <v>LAB-001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4" t="s">
        <v>63</v>
      </c>
      <c r="M93" s="6">
        <v>2</v>
      </c>
      <c r="N93" s="7">
        <v>4000</v>
      </c>
      <c r="O93" s="7">
        <f t="shared" si="11"/>
        <v>8000</v>
      </c>
      <c r="P93" s="7">
        <v>8000</v>
      </c>
      <c r="Q93" s="7">
        <f t="shared" si="18"/>
        <v>0</v>
      </c>
      <c r="R93" s="3" t="str">
        <f t="shared" si="13"/>
        <v>PAID</v>
      </c>
      <c r="S93" s="3"/>
      <c r="T93" s="3">
        <f t="shared" si="14"/>
        <v>8000</v>
      </c>
      <c r="U93" s="3" t="str">
        <f t="shared" si="15"/>
        <v>OK</v>
      </c>
      <c r="V93" s="8">
        <f t="shared" si="16"/>
        <v>0</v>
      </c>
      <c r="W93" s="3" t="str">
        <f t="shared" si="17"/>
        <v>OK</v>
      </c>
      <c r="X93" s="3" t="s">
        <v>133</v>
      </c>
      <c r="Y93" s="3" t="s">
        <v>131</v>
      </c>
      <c r="Z93" s="3" t="s">
        <v>122</v>
      </c>
      <c r="AA93" s="3" t="s">
        <v>122</v>
      </c>
      <c r="AB93" s="3" t="s">
        <v>122</v>
      </c>
    </row>
    <row r="94" spans="1:28" ht="19" x14ac:dyDescent="0.25">
      <c r="A94" t="s">
        <v>245</v>
      </c>
      <c r="B94" s="2">
        <v>45842</v>
      </c>
      <c r="C94" s="3" t="str">
        <f>_xlfn.XLOOKUP(D94,'[1]Jan Customer Duplicate Hyva'!$B:$B,'[1]Jan Customer Duplicate Hyva'!$A:$A,"NOT FOUND")</f>
        <v>CUST-169</v>
      </c>
      <c r="D94" s="4" t="s">
        <v>64</v>
      </c>
      <c r="E94" s="4" t="s">
        <v>26</v>
      </c>
      <c r="F94" s="5" t="str">
        <f t="shared" si="8"/>
        <v>Ravi</v>
      </c>
      <c r="G94" s="5" t="str">
        <f t="shared" si="9"/>
        <v/>
      </c>
      <c r="H94" s="5" t="str">
        <f t="shared" si="10"/>
        <v/>
      </c>
      <c r="I94" s="5" t="str">
        <f>_xlfn.XLOOKUP(F94,'[1]Jan Labour Nd Drivers Hyva'!$B:$B,'[2]Jan Labour Nd Drivers Hyva'!$A:$A,"NOT FOUND")</f>
        <v>LAB-003</v>
      </c>
      <c r="J94" s="5" t="str">
        <f>IF(G94="","",_xlfn.XLOOKUP(G94,'[3]Jan Labour Nd Drivers Hyva'!$B:$B,'[2]Jan Labour Nd Drivers Hyva'!$A:$A,"NOT FOUND"))</f>
        <v/>
      </c>
      <c r="K94" s="5" t="str">
        <f>IF(H94="","",_xlfn.XLOOKUP(H94,'[2]Jan Labour Nd Drivers Hyva'!$B:$B,'[2]Jan Labour Nd Drivers Hyva'!$A:$A,"NOT FOUND"))</f>
        <v/>
      </c>
      <c r="L94" s="4" t="s">
        <v>65</v>
      </c>
      <c r="M94" s="6">
        <v>3</v>
      </c>
      <c r="N94" s="7">
        <v>3833</v>
      </c>
      <c r="O94" s="7">
        <f t="shared" si="11"/>
        <v>11499</v>
      </c>
      <c r="P94" s="7">
        <v>11499</v>
      </c>
      <c r="Q94" s="7">
        <f t="shared" si="18"/>
        <v>0</v>
      </c>
      <c r="R94" s="3" t="str">
        <f t="shared" si="13"/>
        <v>PAID</v>
      </c>
      <c r="S94" s="3"/>
      <c r="T94" s="3">
        <f t="shared" si="14"/>
        <v>11499</v>
      </c>
      <c r="U94" s="3" t="str">
        <f t="shared" si="15"/>
        <v>OK</v>
      </c>
      <c r="V94" s="8">
        <f t="shared" si="16"/>
        <v>0</v>
      </c>
      <c r="W94" s="3" t="str">
        <f t="shared" si="17"/>
        <v>OK</v>
      </c>
      <c r="X94" s="3" t="s">
        <v>133</v>
      </c>
      <c r="Y94" s="3" t="s">
        <v>131</v>
      </c>
      <c r="Z94" s="3" t="s">
        <v>122</v>
      </c>
      <c r="AA94" s="3" t="s">
        <v>122</v>
      </c>
      <c r="AB94" s="3" t="s">
        <v>122</v>
      </c>
    </row>
    <row r="95" spans="1:28" ht="19" x14ac:dyDescent="0.25">
      <c r="A95" t="s">
        <v>246</v>
      </c>
      <c r="B95" s="2">
        <v>45842</v>
      </c>
      <c r="C95" s="3" t="str">
        <f>_xlfn.XLOOKUP(D95,'[1]Jan Customer Duplicate Hyva'!$B:$B,'[1]Jan Customer Duplicate Hyva'!$A:$A,"NOT FOUND")</f>
        <v>CUST-254</v>
      </c>
      <c r="D95" s="4" t="s">
        <v>127</v>
      </c>
      <c r="E95" s="4" t="s">
        <v>24</v>
      </c>
      <c r="F95" s="5" t="str">
        <f t="shared" si="8"/>
        <v>Gaju Bhau</v>
      </c>
      <c r="G95" s="5" t="str">
        <f t="shared" si="9"/>
        <v/>
      </c>
      <c r="H95" s="5" t="str">
        <f t="shared" si="10"/>
        <v/>
      </c>
      <c r="I95" s="5" t="str">
        <f>_xlfn.XLOOKUP(F95,'[1]Jan Labour Nd Drivers Hyva'!$B:$B,'[2]Jan Labour Nd Drivers Hyva'!$A:$A,"NOT FOUND")</f>
        <v>LAB-001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4" t="s">
        <v>66</v>
      </c>
      <c r="M95" s="6">
        <v>1</v>
      </c>
      <c r="N95" s="7">
        <v>0</v>
      </c>
      <c r="O95" s="7">
        <f t="shared" si="11"/>
        <v>0</v>
      </c>
      <c r="P95" s="7"/>
      <c r="Q95" s="7">
        <f t="shared" si="18"/>
        <v>0</v>
      </c>
      <c r="R95" s="3" t="str">
        <f t="shared" si="13"/>
        <v>PAID</v>
      </c>
      <c r="S95" s="3"/>
      <c r="T95" s="3">
        <f t="shared" si="14"/>
        <v>0</v>
      </c>
      <c r="U95" s="3" t="str">
        <f t="shared" si="15"/>
        <v>OK</v>
      </c>
      <c r="V95" s="8">
        <f t="shared" si="16"/>
        <v>0</v>
      </c>
      <c r="W95" s="3" t="str">
        <f t="shared" si="17"/>
        <v>OK</v>
      </c>
      <c r="X95" s="3" t="s">
        <v>133</v>
      </c>
      <c r="Y95" s="3" t="s">
        <v>131</v>
      </c>
      <c r="Z95" s="3" t="s">
        <v>122</v>
      </c>
      <c r="AA95" s="3" t="s">
        <v>122</v>
      </c>
      <c r="AB95" s="3" t="s">
        <v>122</v>
      </c>
    </row>
    <row r="96" spans="1:28" ht="19" x14ac:dyDescent="0.25">
      <c r="A96" t="s">
        <v>247</v>
      </c>
      <c r="B96" s="2">
        <v>45842</v>
      </c>
      <c r="C96" s="3" t="str">
        <f>_xlfn.XLOOKUP(D96,'[1]Jan Customer Duplicate Hyva'!$B:$B,'[1]Jan Customer Duplicate Hyva'!$A:$A,"NOT FOUND")</f>
        <v>CUST-254</v>
      </c>
      <c r="D96" s="4" t="s">
        <v>127</v>
      </c>
      <c r="E96" s="4" t="s">
        <v>26</v>
      </c>
      <c r="F96" s="5" t="str">
        <f t="shared" si="8"/>
        <v>Ravi</v>
      </c>
      <c r="G96" s="5" t="str">
        <f t="shared" si="9"/>
        <v/>
      </c>
      <c r="H96" s="5" t="str">
        <f t="shared" si="10"/>
        <v/>
      </c>
      <c r="I96" s="5" t="str">
        <f>_xlfn.XLOOKUP(F96,'[1]Jan Labour Nd Drivers Hyva'!$B:$B,'[2]Jan Labour Nd Drivers Hyva'!$A:$A,"NOT FOUND")</f>
        <v>LAB-003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4" t="s">
        <v>66</v>
      </c>
      <c r="M96" s="6">
        <v>1</v>
      </c>
      <c r="N96" s="7">
        <v>0</v>
      </c>
      <c r="O96" s="7">
        <f t="shared" si="11"/>
        <v>0</v>
      </c>
      <c r="P96" s="7"/>
      <c r="Q96" s="7">
        <f t="shared" si="18"/>
        <v>0</v>
      </c>
      <c r="R96" s="3" t="str">
        <f t="shared" si="13"/>
        <v>PAID</v>
      </c>
      <c r="S96" s="3"/>
      <c r="T96" s="3">
        <f t="shared" si="14"/>
        <v>0</v>
      </c>
      <c r="U96" s="3" t="str">
        <f t="shared" si="15"/>
        <v>OK</v>
      </c>
      <c r="V96" s="8">
        <f t="shared" si="16"/>
        <v>0</v>
      </c>
      <c r="W96" s="3" t="str">
        <f t="shared" si="17"/>
        <v>OK</v>
      </c>
      <c r="X96" s="3" t="s">
        <v>133</v>
      </c>
      <c r="Y96" s="3" t="s">
        <v>131</v>
      </c>
      <c r="Z96" s="3" t="s">
        <v>122</v>
      </c>
      <c r="AA96" s="3" t="s">
        <v>122</v>
      </c>
      <c r="AB96" s="3" t="s">
        <v>122</v>
      </c>
    </row>
    <row r="97" spans="1:28" ht="19" x14ac:dyDescent="0.25">
      <c r="A97" t="s">
        <v>248</v>
      </c>
      <c r="B97" s="2">
        <v>45852</v>
      </c>
      <c r="C97" s="3" t="str">
        <f>_xlfn.XLOOKUP(D97,'[1]Jan Customer Duplicate Hyva'!$B:$B,'[1]Jan Customer Duplicate Hyva'!$A:$A,"NOT FOUND")</f>
        <v>CUST-391</v>
      </c>
      <c r="D97" s="4" t="s">
        <v>67</v>
      </c>
      <c r="E97" s="4" t="s">
        <v>24</v>
      </c>
      <c r="F97" s="5" t="str">
        <f t="shared" si="8"/>
        <v>Gaju Bhau</v>
      </c>
      <c r="G97" s="5" t="str">
        <f t="shared" si="9"/>
        <v/>
      </c>
      <c r="H97" s="5" t="str">
        <f t="shared" si="10"/>
        <v/>
      </c>
      <c r="I97" s="5" t="str">
        <f>_xlfn.XLOOKUP(F97,'[1]Jan Labour Nd Drivers Hyva'!$B:$B,'[2]Jan Labour Nd Drivers Hyva'!$A:$A,"NOT FOUND")</f>
        <v>LAB-001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4" t="s">
        <v>68</v>
      </c>
      <c r="M97" s="6">
        <v>2</v>
      </c>
      <c r="N97" s="7">
        <v>3000</v>
      </c>
      <c r="O97" s="7">
        <f t="shared" si="11"/>
        <v>6000</v>
      </c>
      <c r="P97" s="7">
        <v>6000</v>
      </c>
      <c r="Q97" s="7">
        <f t="shared" si="18"/>
        <v>0</v>
      </c>
      <c r="R97" s="3" t="str">
        <f t="shared" si="13"/>
        <v>PAID</v>
      </c>
      <c r="S97" s="3"/>
      <c r="T97" s="3">
        <f t="shared" si="14"/>
        <v>6000</v>
      </c>
      <c r="U97" s="3" t="str">
        <f t="shared" si="15"/>
        <v>OK</v>
      </c>
      <c r="V97" s="8">
        <f t="shared" si="16"/>
        <v>0</v>
      </c>
      <c r="W97" s="3" t="str">
        <f t="shared" si="17"/>
        <v>OK</v>
      </c>
      <c r="X97" s="3" t="s">
        <v>133</v>
      </c>
      <c r="Y97" s="3" t="s">
        <v>131</v>
      </c>
      <c r="Z97" s="3" t="s">
        <v>122</v>
      </c>
      <c r="AA97" s="3" t="s">
        <v>122</v>
      </c>
      <c r="AB97" s="3" t="s">
        <v>122</v>
      </c>
    </row>
    <row r="98" spans="1:28" ht="19" x14ac:dyDescent="0.25">
      <c r="A98" t="s">
        <v>249</v>
      </c>
      <c r="B98" s="2">
        <v>45853</v>
      </c>
      <c r="C98" s="3" t="str">
        <f>_xlfn.XLOOKUP(D98,'[1]Jan Customer Duplicate Hyva'!$B:$B,'[1]Jan Customer Duplicate Hyva'!$A:$A,"NOT FOUND")</f>
        <v>CUST-120</v>
      </c>
      <c r="D98" s="4" t="s">
        <v>69</v>
      </c>
      <c r="E98" s="4" t="s">
        <v>24</v>
      </c>
      <c r="F98" s="5" t="str">
        <f t="shared" si="8"/>
        <v>Gaju Bhau</v>
      </c>
      <c r="G98" s="5" t="str">
        <f t="shared" si="9"/>
        <v/>
      </c>
      <c r="H98" s="5" t="str">
        <f t="shared" si="10"/>
        <v/>
      </c>
      <c r="I98" s="5" t="str">
        <f>_xlfn.XLOOKUP(F98,'[1]Jan Labour Nd Drivers Hyva'!$B:$B,'[2]Jan Labour Nd Drivers Hyva'!$A:$A,"NOT FOUND")</f>
        <v>LAB-001</v>
      </c>
      <c r="J98" s="5" t="str">
        <f>IF(G98="","",_xlfn.XLOOKUP(G98,'[3]Jan Labour Nd Drivers Hyva'!$B:$B,'[2]Jan Labour Nd Drivers Hyva'!$A:$A,"NOT FOUND"))</f>
        <v/>
      </c>
      <c r="K98" s="5" t="str">
        <f>IF(H98="","",_xlfn.XLOOKUP(H98,'[2]Jan Labour Nd Drivers Hyva'!$B:$B,'[2]Jan Labour Nd Drivers Hyva'!$A:$A,"NOT FOUND"))</f>
        <v/>
      </c>
      <c r="L98" s="4" t="s">
        <v>39</v>
      </c>
      <c r="M98" s="6">
        <v>3</v>
      </c>
      <c r="N98" s="7">
        <v>4000</v>
      </c>
      <c r="O98" s="7">
        <f t="shared" si="11"/>
        <v>12000</v>
      </c>
      <c r="P98" s="7">
        <v>12000</v>
      </c>
      <c r="Q98" s="7">
        <f t="shared" si="18"/>
        <v>0</v>
      </c>
      <c r="R98" s="3" t="str">
        <f t="shared" si="13"/>
        <v>PAID</v>
      </c>
      <c r="S98" s="3"/>
      <c r="T98" s="3">
        <f t="shared" si="14"/>
        <v>12000</v>
      </c>
      <c r="U98" s="3" t="str">
        <f t="shared" si="15"/>
        <v>OK</v>
      </c>
      <c r="V98" s="8">
        <f t="shared" si="16"/>
        <v>0</v>
      </c>
      <c r="W98" s="3" t="str">
        <f t="shared" si="17"/>
        <v>OK</v>
      </c>
      <c r="X98" s="3" t="s">
        <v>133</v>
      </c>
      <c r="Y98" s="3" t="s">
        <v>131</v>
      </c>
      <c r="Z98" s="3" t="s">
        <v>122</v>
      </c>
      <c r="AA98" s="3" t="s">
        <v>122</v>
      </c>
      <c r="AB98" s="3" t="s">
        <v>122</v>
      </c>
    </row>
    <row r="99" spans="1:28" ht="19" x14ac:dyDescent="0.25">
      <c r="A99" t="s">
        <v>250</v>
      </c>
      <c r="B99" s="2">
        <v>45853</v>
      </c>
      <c r="C99" s="3" t="str">
        <f>_xlfn.XLOOKUP(D99,'[1]Jan Customer Duplicate Hyva'!$B:$B,'[1]Jan Customer Duplicate Hyva'!$A:$A,"NOT FOUND")</f>
        <v>CUST-391</v>
      </c>
      <c r="D99" s="4" t="s">
        <v>67</v>
      </c>
      <c r="E99" s="4" t="s">
        <v>24</v>
      </c>
      <c r="F99" s="5" t="str">
        <f t="shared" si="8"/>
        <v>Gaju Bhau</v>
      </c>
      <c r="G99" s="5" t="str">
        <f t="shared" si="9"/>
        <v/>
      </c>
      <c r="H99" s="5" t="str">
        <f t="shared" si="10"/>
        <v/>
      </c>
      <c r="I99" s="5" t="str">
        <f>_xlfn.XLOOKUP(F99,'[1]Jan Labour Nd Drivers Hyva'!$B:$B,'[2]Jan Labour Nd Drivers Hyva'!$A:$A,"NOT FOUND")</f>
        <v>LAB-001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4" t="s">
        <v>68</v>
      </c>
      <c r="M99" s="6">
        <v>1</v>
      </c>
      <c r="N99" s="7">
        <v>3000</v>
      </c>
      <c r="O99" s="7">
        <f t="shared" si="11"/>
        <v>3000</v>
      </c>
      <c r="P99" s="7">
        <v>3000</v>
      </c>
      <c r="Q99" s="7">
        <f t="shared" si="18"/>
        <v>0</v>
      </c>
      <c r="R99" s="3" t="str">
        <f t="shared" si="13"/>
        <v>PAID</v>
      </c>
      <c r="S99" s="3"/>
      <c r="T99" s="3">
        <f t="shared" si="14"/>
        <v>3000</v>
      </c>
      <c r="U99" s="3" t="str">
        <f t="shared" si="15"/>
        <v>OK</v>
      </c>
      <c r="V99" s="8">
        <f t="shared" si="16"/>
        <v>0</v>
      </c>
      <c r="W99" s="3" t="str">
        <f t="shared" si="17"/>
        <v>OK</v>
      </c>
      <c r="X99" s="3" t="s">
        <v>133</v>
      </c>
      <c r="Y99" s="3" t="s">
        <v>131</v>
      </c>
      <c r="Z99" s="3" t="s">
        <v>122</v>
      </c>
      <c r="AA99" s="3" t="s">
        <v>122</v>
      </c>
      <c r="AB99" s="3" t="s">
        <v>122</v>
      </c>
    </row>
    <row r="100" spans="1:28" ht="19" x14ac:dyDescent="0.25">
      <c r="A100" t="s">
        <v>251</v>
      </c>
      <c r="B100" s="2">
        <v>45854</v>
      </c>
      <c r="C100" s="3" t="str">
        <f>_xlfn.XLOOKUP(D100,'[1]Jan Customer Duplicate Hyva'!$B:$B,'[1]Jan Customer Duplicate Hyva'!$A:$A,"NOT FOUND")</f>
        <v>CUST-027</v>
      </c>
      <c r="D100" s="4" t="s">
        <v>128</v>
      </c>
      <c r="E100" s="4" t="s">
        <v>70</v>
      </c>
      <c r="F100" s="5" t="str">
        <f t="shared" si="8"/>
        <v>Ravi</v>
      </c>
      <c r="G100" s="5" t="str">
        <f t="shared" si="9"/>
        <v>Gaju Bhau</v>
      </c>
      <c r="H100" s="5" t="str">
        <f t="shared" si="10"/>
        <v/>
      </c>
      <c r="I100" s="5" t="str">
        <f>_xlfn.XLOOKUP(F100,'[1]Jan Labour Nd Drivers Hyva'!$B:$B,'[2]Jan Labour Nd Drivers Hyva'!$A:$A,"NOT FOUND")</f>
        <v>LAB-003</v>
      </c>
      <c r="J100" s="5" t="str">
        <f>IF(G100="","",_xlfn.XLOOKUP(G100,'[3]Jan Labour Nd Drivers Hyva'!$B:$B,'[2]Jan Labour Nd Drivers Hyva'!$A:$A,"NOT FOUND"))</f>
        <v>LAB-001</v>
      </c>
      <c r="K100" s="5" t="str">
        <f>IF(H100="","",_xlfn.XLOOKUP(H100,'[2]Jan Labour Nd Drivers Hyva'!$B:$B,'[2]Jan Labour Nd Drivers Hyva'!$A:$A,"NOT FOUND"))</f>
        <v/>
      </c>
      <c r="L100" s="4" t="s">
        <v>71</v>
      </c>
      <c r="M100" s="6">
        <v>4</v>
      </c>
      <c r="N100" s="7">
        <v>4500</v>
      </c>
      <c r="O100" s="7">
        <f t="shared" si="11"/>
        <v>18000</v>
      </c>
      <c r="P100" s="7">
        <v>18000</v>
      </c>
      <c r="Q100" s="7">
        <f t="shared" si="18"/>
        <v>0</v>
      </c>
      <c r="R100" s="3" t="str">
        <f t="shared" si="13"/>
        <v>PAID</v>
      </c>
      <c r="S100" s="3"/>
      <c r="T100" s="3">
        <f t="shared" si="14"/>
        <v>18000</v>
      </c>
      <c r="U100" s="3" t="str">
        <f t="shared" si="15"/>
        <v>OK</v>
      </c>
      <c r="V100" s="8">
        <f t="shared" si="16"/>
        <v>0</v>
      </c>
      <c r="W100" s="3" t="str">
        <f t="shared" si="17"/>
        <v>OK</v>
      </c>
      <c r="X100" s="3" t="s">
        <v>133</v>
      </c>
      <c r="Y100" s="3" t="s">
        <v>131</v>
      </c>
      <c r="Z100" s="3" t="s">
        <v>122</v>
      </c>
      <c r="AA100" s="3" t="s">
        <v>122</v>
      </c>
      <c r="AB100" s="3" t="s">
        <v>122</v>
      </c>
    </row>
    <row r="101" spans="1:28" ht="19" x14ac:dyDescent="0.25">
      <c r="A101" t="s">
        <v>252</v>
      </c>
      <c r="B101" s="2">
        <v>45854</v>
      </c>
      <c r="C101" s="3" t="str">
        <f>_xlfn.XLOOKUP(D101,'[1]Jan Customer Duplicate Hyva'!$B:$B,'[1]Jan Customer Duplicate Hyva'!$A:$A,"NOT FOUND")</f>
        <v>CUST-391</v>
      </c>
      <c r="D101" s="4" t="s">
        <v>67</v>
      </c>
      <c r="E101" s="4" t="s">
        <v>70</v>
      </c>
      <c r="F101" s="5" t="str">
        <f t="shared" si="8"/>
        <v>Ravi</v>
      </c>
      <c r="G101" s="5" t="str">
        <f t="shared" si="9"/>
        <v>Gaju Bhau</v>
      </c>
      <c r="H101" s="5" t="str">
        <f t="shared" si="10"/>
        <v/>
      </c>
      <c r="I101" s="5" t="str">
        <f>_xlfn.XLOOKUP(F101,'[1]Jan Labour Nd Drivers Hyva'!$B:$B,'[2]Jan Labour Nd Drivers Hyva'!$A:$A,"NOT FOUND")</f>
        <v>LAB-003</v>
      </c>
      <c r="J101" s="5" t="str">
        <f>IF(G101="","",_xlfn.XLOOKUP(G101,'[3]Jan Labour Nd Drivers Hyva'!$B:$B,'[2]Jan Labour Nd Drivers Hyva'!$A:$A,"NOT FOUND"))</f>
        <v>LAB-001</v>
      </c>
      <c r="K101" s="5" t="str">
        <f>IF(H101="","",_xlfn.XLOOKUP(H101,'[2]Jan Labour Nd Drivers Hyva'!$B:$B,'[2]Jan Labour Nd Drivers Hyva'!$A:$A,"NOT FOUND"))</f>
        <v/>
      </c>
      <c r="L101" s="4" t="s">
        <v>68</v>
      </c>
      <c r="M101" s="6">
        <v>4</v>
      </c>
      <c r="N101" s="7">
        <v>3000</v>
      </c>
      <c r="O101" s="7">
        <f t="shared" si="11"/>
        <v>12000</v>
      </c>
      <c r="P101" s="7">
        <v>12000</v>
      </c>
      <c r="Q101" s="7">
        <f t="shared" si="18"/>
        <v>0</v>
      </c>
      <c r="R101" s="3" t="str">
        <f t="shared" si="13"/>
        <v>PAID</v>
      </c>
      <c r="S101" s="3"/>
      <c r="T101" s="3">
        <f t="shared" si="14"/>
        <v>12000</v>
      </c>
      <c r="U101" s="3" t="str">
        <f t="shared" si="15"/>
        <v>OK</v>
      </c>
      <c r="V101" s="8">
        <f t="shared" si="16"/>
        <v>0</v>
      </c>
      <c r="W101" s="3" t="str">
        <f t="shared" si="17"/>
        <v>OK</v>
      </c>
      <c r="X101" s="3" t="s">
        <v>133</v>
      </c>
      <c r="Y101" s="3" t="s">
        <v>131</v>
      </c>
      <c r="Z101" s="3" t="s">
        <v>122</v>
      </c>
      <c r="AA101" s="3" t="s">
        <v>122</v>
      </c>
      <c r="AB101" s="3" t="s">
        <v>122</v>
      </c>
    </row>
    <row r="102" spans="1:28" ht="19" x14ac:dyDescent="0.25">
      <c r="A102" t="s">
        <v>253</v>
      </c>
      <c r="B102" s="2">
        <v>45855</v>
      </c>
      <c r="C102" s="3" t="str">
        <f>_xlfn.XLOOKUP(D102,'[1]Jan Customer Duplicate Hyva'!$B:$B,'[1]Jan Customer Duplicate Hyva'!$A:$A,"NOT FOUND")</f>
        <v>CUST-194</v>
      </c>
      <c r="D102" s="4" t="s">
        <v>72</v>
      </c>
      <c r="E102" s="4" t="s">
        <v>73</v>
      </c>
      <c r="F102" s="5" t="str">
        <f t="shared" si="8"/>
        <v>Gaju Bhau</v>
      </c>
      <c r="G102" s="5" t="str">
        <f t="shared" si="9"/>
        <v>Ravi</v>
      </c>
      <c r="H102" s="5" t="str">
        <f t="shared" si="10"/>
        <v/>
      </c>
      <c r="I102" s="5" t="str">
        <f>_xlfn.XLOOKUP(F102,'[1]Jan Labour Nd Drivers Hyva'!$B:$B,'[2]Jan Labour Nd Drivers Hyva'!$A:$A,"NOT FOUND")</f>
        <v>LAB-001</v>
      </c>
      <c r="J102" s="5" t="str">
        <f>IF(G102="","",_xlfn.XLOOKUP(G102,'[3]Jan Labour Nd Drivers Hyva'!$B:$B,'[2]Jan Labour Nd Drivers Hyva'!$A:$A,"NOT FOUND"))</f>
        <v>LAB-003</v>
      </c>
      <c r="K102" s="5" t="str">
        <f>IF(H102="","",_xlfn.XLOOKUP(H102,'[2]Jan Labour Nd Drivers Hyva'!$B:$B,'[2]Jan Labour Nd Drivers Hyva'!$A:$A,"NOT FOUND"))</f>
        <v/>
      </c>
      <c r="L102" s="4" t="s">
        <v>74</v>
      </c>
      <c r="M102" s="6">
        <v>2</v>
      </c>
      <c r="N102" s="7">
        <v>8000</v>
      </c>
      <c r="O102" s="7">
        <f t="shared" si="11"/>
        <v>16000</v>
      </c>
      <c r="P102" s="7">
        <v>16000</v>
      </c>
      <c r="Q102" s="7">
        <f t="shared" si="18"/>
        <v>0</v>
      </c>
      <c r="R102" s="3" t="str">
        <f t="shared" si="13"/>
        <v>PAID</v>
      </c>
      <c r="S102" s="3"/>
      <c r="T102" s="3">
        <f t="shared" si="14"/>
        <v>16000</v>
      </c>
      <c r="U102" s="3" t="str">
        <f t="shared" si="15"/>
        <v>OK</v>
      </c>
      <c r="V102" s="8">
        <f t="shared" si="16"/>
        <v>0</v>
      </c>
      <c r="W102" s="3" t="str">
        <f t="shared" si="17"/>
        <v>OK</v>
      </c>
      <c r="X102" s="3" t="s">
        <v>133</v>
      </c>
      <c r="Y102" s="3" t="s">
        <v>131</v>
      </c>
      <c r="Z102" s="3" t="s">
        <v>122</v>
      </c>
      <c r="AA102" s="3" t="s">
        <v>122</v>
      </c>
      <c r="AB102" s="3" t="s">
        <v>122</v>
      </c>
    </row>
    <row r="103" spans="1:28" ht="19" x14ac:dyDescent="0.25">
      <c r="A103" t="s">
        <v>254</v>
      </c>
      <c r="B103" s="2">
        <v>45870</v>
      </c>
      <c r="C103" s="3" t="str">
        <f>_xlfn.XLOOKUP(D103,'[1]Jan Customer Duplicate Hyva'!$B:$B,'[1]Jan Customer Duplicate Hyva'!$A:$A,"NOT FOUND")</f>
        <v>CUST-207</v>
      </c>
      <c r="D103" s="4" t="s">
        <v>41</v>
      </c>
      <c r="E103" s="4" t="s">
        <v>30</v>
      </c>
      <c r="F103" s="5" t="str">
        <f t="shared" si="8"/>
        <v>Anshu</v>
      </c>
      <c r="G103" s="5" t="str">
        <f t="shared" si="9"/>
        <v/>
      </c>
      <c r="H103" s="5" t="str">
        <f t="shared" si="10"/>
        <v/>
      </c>
      <c r="I103" s="5" t="str">
        <f>_xlfn.XLOOKUP(F103,'[1]Jan Labour Nd Drivers Hyva'!$B:$B,'[2]Jan Labour Nd Drivers Hyva'!$A:$A,"NOT FOUND")</f>
        <v>LAB-002</v>
      </c>
      <c r="J103" s="5" t="str">
        <f>IF(G103="","",_xlfn.XLOOKUP(G103,'[3]Jan Labour Nd Drivers Hyva'!$B:$B,'[2]Jan Labour Nd Drivers Hyva'!$A:$A,"NOT FOUND"))</f>
        <v/>
      </c>
      <c r="K103" s="5" t="str">
        <f>IF(H103="","",_xlfn.XLOOKUP(H103,'[2]Jan Labour Nd Drivers Hyva'!$B:$B,'[2]Jan Labour Nd Drivers Hyva'!$A:$A,"NOT FOUND"))</f>
        <v/>
      </c>
      <c r="L103" s="4" t="s">
        <v>75</v>
      </c>
      <c r="M103" s="6">
        <v>1</v>
      </c>
      <c r="N103" s="7">
        <v>4000</v>
      </c>
      <c r="O103" s="7">
        <f t="shared" si="11"/>
        <v>4000</v>
      </c>
      <c r="P103" s="7">
        <v>4000</v>
      </c>
      <c r="Q103" s="7">
        <f t="shared" si="18"/>
        <v>0</v>
      </c>
      <c r="R103" s="3" t="str">
        <f t="shared" si="13"/>
        <v>PAID</v>
      </c>
      <c r="S103" s="3"/>
      <c r="T103" s="3">
        <f t="shared" si="14"/>
        <v>4000</v>
      </c>
      <c r="U103" s="3" t="str">
        <f t="shared" si="15"/>
        <v>OK</v>
      </c>
      <c r="V103" s="8">
        <f t="shared" si="16"/>
        <v>0</v>
      </c>
      <c r="W103" s="3" t="str">
        <f t="shared" si="17"/>
        <v>OK</v>
      </c>
      <c r="X103" s="3" t="s">
        <v>133</v>
      </c>
      <c r="Y103" s="3" t="s">
        <v>131</v>
      </c>
      <c r="Z103" s="3" t="s">
        <v>122</v>
      </c>
      <c r="AA103" s="3" t="s">
        <v>122</v>
      </c>
      <c r="AB103" s="3" t="s">
        <v>122</v>
      </c>
    </row>
    <row r="104" spans="1:28" ht="19" x14ac:dyDescent="0.25">
      <c r="A104" t="s">
        <v>255</v>
      </c>
      <c r="B104" s="2">
        <v>45870</v>
      </c>
      <c r="C104" s="3" t="str">
        <f>_xlfn.XLOOKUP(D104,'[1]Jan Customer Duplicate Hyva'!$B:$B,'[1]Jan Customer Duplicate Hyva'!$A:$A,"NOT FOUND")</f>
        <v>CUST-391</v>
      </c>
      <c r="D104" s="4" t="s">
        <v>67</v>
      </c>
      <c r="E104" s="4" t="s">
        <v>30</v>
      </c>
      <c r="F104" s="5" t="str">
        <f t="shared" si="8"/>
        <v>Anshu</v>
      </c>
      <c r="G104" s="5" t="str">
        <f t="shared" si="9"/>
        <v/>
      </c>
      <c r="H104" s="5" t="str">
        <f t="shared" si="10"/>
        <v/>
      </c>
      <c r="I104" s="5" t="str">
        <f>_xlfn.XLOOKUP(F104,'[1]Jan Labour Nd Drivers Hyva'!$B:$B,'[2]Jan Labour Nd Drivers Hyva'!$A:$A,"NOT FOUND")</f>
        <v>LAB-002</v>
      </c>
      <c r="J104" s="5" t="str">
        <f>IF(G104="","",_xlfn.XLOOKUP(G104,'[3]Jan Labour Nd Drivers Hyva'!$B:$B,'[2]Jan Labour Nd Drivers Hyva'!$A:$A,"NOT FOUND"))</f>
        <v/>
      </c>
      <c r="K104" s="5" t="str">
        <f>IF(H104="","",_xlfn.XLOOKUP(H104,'[2]Jan Labour Nd Drivers Hyva'!$B:$B,'[2]Jan Labour Nd Drivers Hyva'!$A:$A,"NOT FOUND"))</f>
        <v/>
      </c>
      <c r="L104" s="4" t="s">
        <v>68</v>
      </c>
      <c r="M104" s="6">
        <v>2</v>
      </c>
      <c r="N104" s="7">
        <v>3000</v>
      </c>
      <c r="O104" s="7">
        <f t="shared" si="11"/>
        <v>6000</v>
      </c>
      <c r="P104" s="7">
        <v>6000</v>
      </c>
      <c r="Q104" s="7">
        <f t="shared" si="18"/>
        <v>0</v>
      </c>
      <c r="R104" s="3" t="str">
        <f t="shared" si="13"/>
        <v>PAID</v>
      </c>
      <c r="S104" s="3"/>
      <c r="T104" s="3">
        <f t="shared" si="14"/>
        <v>6000</v>
      </c>
      <c r="U104" s="3" t="str">
        <f t="shared" si="15"/>
        <v>OK</v>
      </c>
      <c r="V104" s="8">
        <f t="shared" si="16"/>
        <v>0</v>
      </c>
      <c r="W104" s="3" t="str">
        <f t="shared" si="17"/>
        <v>OK</v>
      </c>
      <c r="X104" s="3" t="s">
        <v>133</v>
      </c>
      <c r="Y104" s="3" t="s">
        <v>131</v>
      </c>
      <c r="Z104" s="3" t="s">
        <v>122</v>
      </c>
      <c r="AA104" s="3" t="s">
        <v>122</v>
      </c>
      <c r="AB104" s="3" t="s">
        <v>122</v>
      </c>
    </row>
    <row r="105" spans="1:28" ht="19" x14ac:dyDescent="0.25">
      <c r="A105" t="s">
        <v>256</v>
      </c>
      <c r="B105" s="2">
        <v>45871</v>
      </c>
      <c r="C105" s="3" t="str">
        <f>_xlfn.XLOOKUP(D105,'[1]Jan Customer Duplicate Hyva'!$B:$B,'[1]Jan Customer Duplicate Hyva'!$A:$A,"NOT FOUND")</f>
        <v>CUST-394</v>
      </c>
      <c r="D105" s="4" t="s">
        <v>122</v>
      </c>
      <c r="E105" s="4" t="s">
        <v>30</v>
      </c>
      <c r="F105" s="5" t="str">
        <f t="shared" si="8"/>
        <v>Anshu</v>
      </c>
      <c r="G105" s="5" t="str">
        <f t="shared" si="9"/>
        <v/>
      </c>
      <c r="H105" s="5" t="str">
        <f t="shared" si="10"/>
        <v/>
      </c>
      <c r="I105" s="5" t="str">
        <f>_xlfn.XLOOKUP(F105,'[1]Jan Labour Nd Drivers Hyva'!$B:$B,'[2]Jan Labour Nd Drivers Hyva'!$A:$A,"NOT FOUND")</f>
        <v>LAB-002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4" t="s">
        <v>76</v>
      </c>
      <c r="M105" s="6">
        <v>1</v>
      </c>
      <c r="N105" s="7">
        <v>5500</v>
      </c>
      <c r="O105" s="7">
        <f t="shared" si="11"/>
        <v>5500</v>
      </c>
      <c r="P105" s="7">
        <v>5500</v>
      </c>
      <c r="Q105" s="7">
        <f t="shared" si="18"/>
        <v>0</v>
      </c>
      <c r="R105" s="3" t="str">
        <f t="shared" si="13"/>
        <v>PAID</v>
      </c>
      <c r="S105" s="3"/>
      <c r="T105" s="3">
        <f t="shared" si="14"/>
        <v>5500</v>
      </c>
      <c r="U105" s="3" t="str">
        <f t="shared" si="15"/>
        <v>OK</v>
      </c>
      <c r="V105" s="8">
        <f t="shared" si="16"/>
        <v>0</v>
      </c>
      <c r="W105" s="3" t="str">
        <f t="shared" si="17"/>
        <v>OK</v>
      </c>
      <c r="X105" s="3" t="s">
        <v>133</v>
      </c>
      <c r="Y105" s="3" t="s">
        <v>131</v>
      </c>
      <c r="Z105" s="3" t="s">
        <v>122</v>
      </c>
      <c r="AA105" s="3" t="s">
        <v>122</v>
      </c>
      <c r="AB105" s="3" t="s">
        <v>122</v>
      </c>
    </row>
    <row r="106" spans="1:28" ht="19" x14ac:dyDescent="0.25">
      <c r="A106" t="s">
        <v>257</v>
      </c>
      <c r="B106" s="2">
        <v>45872</v>
      </c>
      <c r="C106" s="3" t="str">
        <f>_xlfn.XLOOKUP(D106,'[1]Jan Customer Duplicate Hyva'!$B:$B,'[1]Jan Customer Duplicate Hyva'!$A:$A,"NOT FOUND")</f>
        <v>CUST-059</v>
      </c>
      <c r="D106" s="4" t="s">
        <v>77</v>
      </c>
      <c r="E106" s="4" t="s">
        <v>30</v>
      </c>
      <c r="F106" s="5" t="str">
        <f t="shared" si="8"/>
        <v>Anshu</v>
      </c>
      <c r="G106" s="5" t="str">
        <f t="shared" si="9"/>
        <v/>
      </c>
      <c r="H106" s="5" t="str">
        <f t="shared" si="10"/>
        <v/>
      </c>
      <c r="I106" s="5" t="str">
        <f>_xlfn.XLOOKUP(F106,'[1]Jan Labour Nd Drivers Hyva'!$B:$B,'[2]Jan Labour Nd Drivers Hyva'!$A:$A,"NOT FOUND")</f>
        <v>LAB-002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4" t="s">
        <v>25</v>
      </c>
      <c r="M106" s="6">
        <v>1</v>
      </c>
      <c r="N106" s="7">
        <v>3500</v>
      </c>
      <c r="O106" s="7">
        <f t="shared" si="11"/>
        <v>3500</v>
      </c>
      <c r="P106" s="7">
        <v>3500</v>
      </c>
      <c r="Q106" s="7">
        <f t="shared" si="18"/>
        <v>0</v>
      </c>
      <c r="R106" s="3" t="str">
        <f t="shared" si="13"/>
        <v>PAID</v>
      </c>
      <c r="S106" s="3"/>
      <c r="T106" s="3">
        <f t="shared" si="14"/>
        <v>3500</v>
      </c>
      <c r="U106" s="3" t="str">
        <f t="shared" si="15"/>
        <v>OK</v>
      </c>
      <c r="V106" s="8">
        <f t="shared" si="16"/>
        <v>0</v>
      </c>
      <c r="W106" s="3" t="str">
        <f t="shared" si="17"/>
        <v>OK</v>
      </c>
      <c r="X106" s="3" t="s">
        <v>133</v>
      </c>
      <c r="Y106" s="3" t="s">
        <v>131</v>
      </c>
      <c r="Z106" s="3" t="s">
        <v>122</v>
      </c>
      <c r="AA106" s="3" t="s">
        <v>122</v>
      </c>
      <c r="AB106" s="3" t="s">
        <v>122</v>
      </c>
    </row>
    <row r="107" spans="1:28" ht="19" x14ac:dyDescent="0.25">
      <c r="A107" t="s">
        <v>258</v>
      </c>
      <c r="B107" s="2">
        <v>45872</v>
      </c>
      <c r="C107" s="3" t="str">
        <f>_xlfn.XLOOKUP(D107,'[1]Jan Customer Duplicate Hyva'!$B:$B,'[1]Jan Customer Duplicate Hyva'!$A:$A,"NOT FOUND")</f>
        <v>CUST-243</v>
      </c>
      <c r="D107" s="4" t="s">
        <v>78</v>
      </c>
      <c r="E107" s="4" t="s">
        <v>30</v>
      </c>
      <c r="F107" s="5" t="str">
        <f t="shared" si="8"/>
        <v>Anshu</v>
      </c>
      <c r="G107" s="5" t="str">
        <f t="shared" si="9"/>
        <v/>
      </c>
      <c r="H107" s="5" t="str">
        <f t="shared" si="10"/>
        <v/>
      </c>
      <c r="I107" s="5" t="str">
        <f>_xlfn.XLOOKUP(F107,'[1]Jan Labour Nd Drivers Hyva'!$B:$B,'[2]Jan Labour Nd Drivers Hyva'!$A:$A,"NOT FOUND")</f>
        <v>LAB-002</v>
      </c>
      <c r="J107" s="5" t="str">
        <f>IF(G107="","",_xlfn.XLOOKUP(G107,'[3]Jan Labour Nd Drivers Hyva'!$B:$B,'[2]Jan Labour Nd Drivers Hyva'!$A:$A,"NOT FOUND"))</f>
        <v/>
      </c>
      <c r="K107" s="5" t="str">
        <f>IF(H107="","",_xlfn.XLOOKUP(H107,'[2]Jan Labour Nd Drivers Hyva'!$B:$B,'[2]Jan Labour Nd Drivers Hyva'!$A:$A,"NOT FOUND"))</f>
        <v/>
      </c>
      <c r="L107" s="4" t="s">
        <v>79</v>
      </c>
      <c r="M107" s="6">
        <v>1</v>
      </c>
      <c r="N107" s="7">
        <v>4000</v>
      </c>
      <c r="O107" s="7">
        <f t="shared" si="11"/>
        <v>4000</v>
      </c>
      <c r="P107" s="7">
        <v>4000</v>
      </c>
      <c r="Q107" s="7">
        <f t="shared" si="18"/>
        <v>0</v>
      </c>
      <c r="R107" s="3" t="str">
        <f t="shared" si="13"/>
        <v>PAID</v>
      </c>
      <c r="S107" s="3"/>
      <c r="T107" s="3">
        <f t="shared" si="14"/>
        <v>4000</v>
      </c>
      <c r="U107" s="3" t="str">
        <f t="shared" si="15"/>
        <v>OK</v>
      </c>
      <c r="V107" s="8">
        <f t="shared" si="16"/>
        <v>0</v>
      </c>
      <c r="W107" s="3" t="str">
        <f t="shared" si="17"/>
        <v>OK</v>
      </c>
      <c r="X107" s="3" t="s">
        <v>133</v>
      </c>
      <c r="Y107" s="3" t="s">
        <v>131</v>
      </c>
      <c r="Z107" s="3" t="s">
        <v>122</v>
      </c>
      <c r="AA107" s="3" t="s">
        <v>122</v>
      </c>
      <c r="AB107" s="3" t="s">
        <v>122</v>
      </c>
    </row>
    <row r="108" spans="1:28" ht="19" x14ac:dyDescent="0.25">
      <c r="A108" t="s">
        <v>259</v>
      </c>
      <c r="B108" s="2">
        <v>45874</v>
      </c>
      <c r="C108" s="3" t="str">
        <f>_xlfn.XLOOKUP(D108,'[1]Jan Customer Duplicate Hyva'!$B:$B,'[1]Jan Customer Duplicate Hyva'!$A:$A,"NOT FOUND")</f>
        <v>CUST-059</v>
      </c>
      <c r="D108" s="4" t="s">
        <v>77</v>
      </c>
      <c r="E108" s="4" t="s">
        <v>24</v>
      </c>
      <c r="F108" s="5" t="str">
        <f t="shared" si="8"/>
        <v>Gaju Bhau</v>
      </c>
      <c r="G108" s="5" t="str">
        <f t="shared" si="9"/>
        <v/>
      </c>
      <c r="H108" s="5" t="str">
        <f t="shared" si="10"/>
        <v/>
      </c>
      <c r="I108" s="5" t="str">
        <f>_xlfn.XLOOKUP(F108,'[1]Jan Labour Nd Drivers Hyva'!$B:$B,'[2]Jan Labour Nd Drivers Hyva'!$A:$A,"NOT FOUND")</f>
        <v>LAB-001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4" t="s">
        <v>25</v>
      </c>
      <c r="M108" s="6">
        <v>2</v>
      </c>
      <c r="N108" s="7">
        <v>3500</v>
      </c>
      <c r="O108" s="7">
        <f t="shared" si="11"/>
        <v>7000</v>
      </c>
      <c r="P108" s="7">
        <v>7000</v>
      </c>
      <c r="Q108" s="7">
        <f t="shared" si="18"/>
        <v>0</v>
      </c>
      <c r="R108" s="3" t="str">
        <f t="shared" si="13"/>
        <v>PAID</v>
      </c>
      <c r="S108" s="3"/>
      <c r="T108" s="3">
        <f t="shared" si="14"/>
        <v>7000</v>
      </c>
      <c r="U108" s="3" t="str">
        <f t="shared" si="15"/>
        <v>OK</v>
      </c>
      <c r="V108" s="8">
        <f t="shared" si="16"/>
        <v>0</v>
      </c>
      <c r="W108" s="3" t="str">
        <f t="shared" si="17"/>
        <v>OK</v>
      </c>
      <c r="X108" s="3" t="s">
        <v>133</v>
      </c>
      <c r="Y108" s="3" t="s">
        <v>131</v>
      </c>
      <c r="Z108" s="3" t="s">
        <v>122</v>
      </c>
      <c r="AA108" s="3" t="s">
        <v>122</v>
      </c>
      <c r="AB108" s="3" t="s">
        <v>122</v>
      </c>
    </row>
    <row r="109" spans="1:28" ht="19" x14ac:dyDescent="0.25">
      <c r="A109" t="s">
        <v>260</v>
      </c>
      <c r="B109" s="2">
        <v>45877</v>
      </c>
      <c r="C109" s="3" t="str">
        <f>_xlfn.XLOOKUP(D109,'[1]Jan Customer Duplicate Hyva'!$B:$B,'[1]Jan Customer Duplicate Hyva'!$A:$A,"NOT FOUND")</f>
        <v>CUST-243</v>
      </c>
      <c r="D109" s="4" t="s">
        <v>78</v>
      </c>
      <c r="E109" s="4" t="s">
        <v>24</v>
      </c>
      <c r="F109" s="5" t="str">
        <f t="shared" ref="F109:F172" si="19">TRIM(_xlfn.TEXTBEFORE(E109&amp;" / "," / "))</f>
        <v>Gaju Bhau</v>
      </c>
      <c r="G109" s="5" t="str">
        <f t="shared" ref="G109:G172" si="20">IFERROR(TRIM(_xlfn.TEXTBEFORE(_xlfn.TEXTAFTER(E109," / ")&amp;" / "," / ")),"")</f>
        <v/>
      </c>
      <c r="H109" s="5" t="str">
        <f t="shared" ref="H109:H172" si="21">IFERROR(TRIM(_xlfn.TEXTAFTER(E109," / ","2")),"")</f>
        <v/>
      </c>
      <c r="I109" s="5" t="str">
        <f>_xlfn.XLOOKUP(F109,'[1]Jan Labour Nd Drivers Hyva'!$B:$B,'[2]Jan Labour Nd Drivers Hyva'!$A:$A,"NOT FOUND")</f>
        <v>LAB-001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4" t="s">
        <v>80</v>
      </c>
      <c r="M109" s="6">
        <v>1</v>
      </c>
      <c r="N109" s="7">
        <v>4000</v>
      </c>
      <c r="O109" s="7">
        <f t="shared" ref="O109:O172" si="22">N109*M109</f>
        <v>4000</v>
      </c>
      <c r="P109" s="7">
        <v>4000</v>
      </c>
      <c r="Q109" s="7">
        <f t="shared" si="18"/>
        <v>0</v>
      </c>
      <c r="R109" s="3" t="str">
        <f t="shared" ref="R109:R172" si="23">IF(Q109=0,"PAID",IF(P109=0,"UNPAID","PARTIAL"))</f>
        <v>PAID</v>
      </c>
      <c r="S109" s="3"/>
      <c r="T109" s="3">
        <f t="shared" ref="T109:T172" si="24">M109*N109</f>
        <v>4000</v>
      </c>
      <c r="U109" s="3" t="str">
        <f t="shared" ref="U109:U172" si="25">IF(ROUND(T109,2)=ROUND(O109,2),"OK","CHECK")</f>
        <v>OK</v>
      </c>
      <c r="V109" s="8">
        <f t="shared" ref="V109:V172" si="26">O109-P109</f>
        <v>0</v>
      </c>
      <c r="W109" s="3" t="str">
        <f t="shared" ref="W109:W172" si="27">IF(ROUND(V109,2)=ROUND(Q109,2),"OK","CHECK")</f>
        <v>OK</v>
      </c>
      <c r="X109" s="3" t="s">
        <v>133</v>
      </c>
      <c r="Y109" s="3" t="s">
        <v>131</v>
      </c>
      <c r="Z109" s="3" t="s">
        <v>122</v>
      </c>
      <c r="AA109" s="3" t="s">
        <v>122</v>
      </c>
      <c r="AB109" s="3" t="s">
        <v>122</v>
      </c>
    </row>
    <row r="110" spans="1:28" ht="19" x14ac:dyDescent="0.25">
      <c r="A110" t="s">
        <v>261</v>
      </c>
      <c r="B110" s="2">
        <v>45877</v>
      </c>
      <c r="C110" s="3" t="str">
        <f>_xlfn.XLOOKUP(D110,'[1]Jan Customer Duplicate Hyva'!$B:$B,'[1]Jan Customer Duplicate Hyva'!$A:$A,"NOT FOUND")</f>
        <v>CUST-295</v>
      </c>
      <c r="D110" s="4" t="s">
        <v>81</v>
      </c>
      <c r="E110" s="4" t="s">
        <v>24</v>
      </c>
      <c r="F110" s="5" t="str">
        <f t="shared" si="19"/>
        <v>Gaju Bhau</v>
      </c>
      <c r="G110" s="5" t="str">
        <f t="shared" si="20"/>
        <v/>
      </c>
      <c r="H110" s="5" t="str">
        <f t="shared" si="21"/>
        <v/>
      </c>
      <c r="I110" s="5" t="str">
        <f>_xlfn.XLOOKUP(F110,'[1]Jan Labour Nd Drivers Hyva'!$B:$B,'[2]Jan Labour Nd Drivers Hyva'!$A:$A,"NOT FOUND")</f>
        <v>LAB-001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4" t="s">
        <v>37</v>
      </c>
      <c r="M110" s="6">
        <v>2</v>
      </c>
      <c r="N110" s="7">
        <v>1500</v>
      </c>
      <c r="O110" s="7">
        <f t="shared" si="22"/>
        <v>3000</v>
      </c>
      <c r="P110" s="7">
        <v>3000</v>
      </c>
      <c r="Q110" s="7">
        <f t="shared" si="18"/>
        <v>0</v>
      </c>
      <c r="R110" s="3" t="str">
        <f t="shared" si="23"/>
        <v>PAID</v>
      </c>
      <c r="S110" s="3"/>
      <c r="T110" s="3">
        <f t="shared" si="24"/>
        <v>3000</v>
      </c>
      <c r="U110" s="3" t="str">
        <f t="shared" si="25"/>
        <v>OK</v>
      </c>
      <c r="V110" s="8">
        <f t="shared" si="26"/>
        <v>0</v>
      </c>
      <c r="W110" s="3" t="str">
        <f t="shared" si="27"/>
        <v>OK</v>
      </c>
      <c r="X110" s="3" t="s">
        <v>133</v>
      </c>
      <c r="Y110" s="3" t="s">
        <v>131</v>
      </c>
      <c r="Z110" s="3" t="s">
        <v>122</v>
      </c>
      <c r="AA110" s="3" t="s">
        <v>122</v>
      </c>
      <c r="AB110" s="3" t="s">
        <v>122</v>
      </c>
    </row>
    <row r="111" spans="1:28" ht="19" x14ac:dyDescent="0.25">
      <c r="A111" t="s">
        <v>262</v>
      </c>
      <c r="B111" s="2">
        <v>45879</v>
      </c>
      <c r="C111" s="3" t="str">
        <f>_xlfn.XLOOKUP(D111,'[1]Jan Customer Duplicate Hyva'!$B:$B,'[1]Jan Customer Duplicate Hyva'!$A:$A,"NOT FOUND")</f>
        <v>CUST-253</v>
      </c>
      <c r="D111" s="4" t="s">
        <v>38</v>
      </c>
      <c r="E111" s="4" t="s">
        <v>24</v>
      </c>
      <c r="F111" s="5" t="str">
        <f t="shared" si="19"/>
        <v>Gaju Bhau</v>
      </c>
      <c r="G111" s="5" t="str">
        <f t="shared" si="20"/>
        <v/>
      </c>
      <c r="H111" s="5" t="str">
        <f t="shared" si="21"/>
        <v/>
      </c>
      <c r="I111" s="5" t="str">
        <f>_xlfn.XLOOKUP(F111,'[1]Jan Labour Nd Drivers Hyva'!$B:$B,'[2]Jan Labour Nd Drivers Hyva'!$A:$A,"NOT FOUND")</f>
        <v>LAB-001</v>
      </c>
      <c r="J111" s="5" t="str">
        <f>IF(G111="","",_xlfn.XLOOKUP(G111,'[3]Jan Labour Nd Drivers Hyva'!$B:$B,'[2]Jan Labour Nd Drivers Hyva'!$A:$A,"NOT FOUND"))</f>
        <v/>
      </c>
      <c r="K111" s="5" t="str">
        <f>IF(H111="","",_xlfn.XLOOKUP(H111,'[2]Jan Labour Nd Drivers Hyva'!$B:$B,'[2]Jan Labour Nd Drivers Hyva'!$A:$A,"NOT FOUND"))</f>
        <v/>
      </c>
      <c r="L111" s="4" t="s">
        <v>82</v>
      </c>
      <c r="M111" s="6">
        <v>6</v>
      </c>
      <c r="N111" s="7">
        <v>0</v>
      </c>
      <c r="O111" s="7">
        <f t="shared" si="22"/>
        <v>0</v>
      </c>
      <c r="P111" s="7"/>
      <c r="Q111" s="7">
        <f t="shared" si="18"/>
        <v>0</v>
      </c>
      <c r="R111" s="3" t="str">
        <f t="shared" si="23"/>
        <v>PAID</v>
      </c>
      <c r="S111" s="3"/>
      <c r="T111" s="3">
        <f t="shared" si="24"/>
        <v>0</v>
      </c>
      <c r="U111" s="3" t="str">
        <f t="shared" si="25"/>
        <v>OK</v>
      </c>
      <c r="V111" s="8">
        <f t="shared" si="26"/>
        <v>0</v>
      </c>
      <c r="W111" s="3" t="str">
        <f t="shared" si="27"/>
        <v>OK</v>
      </c>
      <c r="X111" s="3" t="s">
        <v>133</v>
      </c>
      <c r="Y111" s="3" t="s">
        <v>131</v>
      </c>
      <c r="Z111" s="3" t="s">
        <v>122</v>
      </c>
      <c r="AA111" s="3" t="s">
        <v>122</v>
      </c>
      <c r="AB111" s="3" t="s">
        <v>122</v>
      </c>
    </row>
    <row r="112" spans="1:28" ht="19" x14ac:dyDescent="0.25">
      <c r="A112" t="s">
        <v>263</v>
      </c>
      <c r="B112" s="2">
        <v>45880</v>
      </c>
      <c r="C112" s="3" t="str">
        <f>_xlfn.XLOOKUP(D112,'[1]Jan Customer Duplicate Hyva'!$B:$B,'[1]Jan Customer Duplicate Hyva'!$A:$A,"NOT FOUND")</f>
        <v>CUST-253</v>
      </c>
      <c r="D112" s="4" t="s">
        <v>38</v>
      </c>
      <c r="E112" s="4" t="s">
        <v>24</v>
      </c>
      <c r="F112" s="5" t="str">
        <f t="shared" si="19"/>
        <v>Gaju Bhau</v>
      </c>
      <c r="G112" s="5" t="str">
        <f t="shared" si="20"/>
        <v/>
      </c>
      <c r="H112" s="5" t="str">
        <f t="shared" si="21"/>
        <v/>
      </c>
      <c r="I112" s="5" t="str">
        <f>_xlfn.XLOOKUP(F112,'[1]Jan Labour Nd Drivers Hyva'!$B:$B,'[2]Jan Labour Nd Drivers Hyva'!$A:$A,"NOT FOUND")</f>
        <v>LAB-001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4" t="s">
        <v>82</v>
      </c>
      <c r="M112" s="6">
        <v>3</v>
      </c>
      <c r="N112" s="7">
        <v>0</v>
      </c>
      <c r="O112" s="7">
        <f t="shared" si="22"/>
        <v>0</v>
      </c>
      <c r="P112" s="7"/>
      <c r="Q112" s="7">
        <f t="shared" si="18"/>
        <v>0</v>
      </c>
      <c r="R112" s="3" t="str">
        <f t="shared" si="23"/>
        <v>PAID</v>
      </c>
      <c r="S112" s="3"/>
      <c r="T112" s="3">
        <f t="shared" si="24"/>
        <v>0</v>
      </c>
      <c r="U112" s="3" t="str">
        <f t="shared" si="25"/>
        <v>OK</v>
      </c>
      <c r="V112" s="8">
        <f t="shared" si="26"/>
        <v>0</v>
      </c>
      <c r="W112" s="3" t="str">
        <f t="shared" si="27"/>
        <v>OK</v>
      </c>
      <c r="X112" s="3" t="s">
        <v>133</v>
      </c>
      <c r="Y112" s="3" t="s">
        <v>131</v>
      </c>
      <c r="Z112" s="3" t="s">
        <v>122</v>
      </c>
      <c r="AA112" s="3" t="s">
        <v>122</v>
      </c>
      <c r="AB112" s="3" t="s">
        <v>122</v>
      </c>
    </row>
    <row r="113" spans="1:28" ht="19" x14ac:dyDescent="0.25">
      <c r="A113" t="s">
        <v>264</v>
      </c>
      <c r="B113" s="2">
        <v>45881</v>
      </c>
      <c r="C113" s="3" t="str">
        <f>_xlfn.XLOOKUP(D113,'[1]Jan Customer Duplicate Hyva'!$B:$B,'[1]Jan Customer Duplicate Hyva'!$A:$A,"NOT FOUND")</f>
        <v>CUST-372</v>
      </c>
      <c r="D113" s="4" t="s">
        <v>83</v>
      </c>
      <c r="E113" s="4" t="s">
        <v>24</v>
      </c>
      <c r="F113" s="5" t="str">
        <f t="shared" si="19"/>
        <v>Gaju Bhau</v>
      </c>
      <c r="G113" s="5" t="str">
        <f t="shared" si="20"/>
        <v/>
      </c>
      <c r="H113" s="5" t="str">
        <f t="shared" si="21"/>
        <v/>
      </c>
      <c r="I113" s="5" t="str">
        <f>_xlfn.XLOOKUP(F113,'[1]Jan Labour Nd Drivers Hyva'!$B:$B,'[2]Jan Labour Nd Drivers Hyva'!$A:$A,"NOT FOUND")</f>
        <v>LAB-001</v>
      </c>
      <c r="J113" s="5" t="str">
        <f>IF(G113="","",_xlfn.XLOOKUP(G113,'[3]Jan Labour Nd Drivers Hyva'!$B:$B,'[2]Jan Labour Nd Drivers Hyva'!$A:$A,"NOT FOUND"))</f>
        <v/>
      </c>
      <c r="K113" s="5" t="str">
        <f>IF(H113="","",_xlfn.XLOOKUP(H113,'[2]Jan Labour Nd Drivers Hyva'!$B:$B,'[2]Jan Labour Nd Drivers Hyva'!$A:$A,"NOT FOUND"))</f>
        <v/>
      </c>
      <c r="L113" s="4" t="s">
        <v>68</v>
      </c>
      <c r="M113" s="6">
        <v>4</v>
      </c>
      <c r="N113" s="7">
        <v>3000</v>
      </c>
      <c r="O113" s="7">
        <f t="shared" si="22"/>
        <v>12000</v>
      </c>
      <c r="P113" s="7">
        <v>12000</v>
      </c>
      <c r="Q113" s="7">
        <f t="shared" si="18"/>
        <v>0</v>
      </c>
      <c r="R113" s="3" t="str">
        <f t="shared" si="23"/>
        <v>PAID</v>
      </c>
      <c r="S113" s="3"/>
      <c r="T113" s="3">
        <f t="shared" si="24"/>
        <v>12000</v>
      </c>
      <c r="U113" s="3" t="str">
        <f t="shared" si="25"/>
        <v>OK</v>
      </c>
      <c r="V113" s="8">
        <f t="shared" si="26"/>
        <v>0</v>
      </c>
      <c r="W113" s="3" t="str">
        <f t="shared" si="27"/>
        <v>OK</v>
      </c>
      <c r="X113" s="3" t="s">
        <v>133</v>
      </c>
      <c r="Y113" s="3" t="s">
        <v>131</v>
      </c>
      <c r="Z113" s="3" t="s">
        <v>122</v>
      </c>
      <c r="AA113" s="3" t="s">
        <v>122</v>
      </c>
      <c r="AB113" s="3" t="s">
        <v>122</v>
      </c>
    </row>
    <row r="114" spans="1:28" ht="19" x14ac:dyDescent="0.25">
      <c r="A114" t="s">
        <v>265</v>
      </c>
      <c r="B114" s="2">
        <v>45887</v>
      </c>
      <c r="C114" s="3" t="str">
        <f>_xlfn.XLOOKUP(D114,'[1]Jan Customer Duplicate Hyva'!$B:$B,'[1]Jan Customer Duplicate Hyva'!$A:$A,"NOT FOUND")</f>
        <v>CUST-194</v>
      </c>
      <c r="D114" s="4" t="s">
        <v>84</v>
      </c>
      <c r="E114" s="4" t="s">
        <v>85</v>
      </c>
      <c r="F114" s="5" t="str">
        <f t="shared" si="19"/>
        <v>Gaju Bhau</v>
      </c>
      <c r="G114" s="5" t="str">
        <f t="shared" si="20"/>
        <v>Vithal Bhau</v>
      </c>
      <c r="H114" s="5" t="str">
        <f t="shared" si="21"/>
        <v/>
      </c>
      <c r="I114" s="5" t="str">
        <f>_xlfn.XLOOKUP(F114,'[1]Jan Labour Nd Drivers Hyva'!$B:$B,'[2]Jan Labour Nd Drivers Hyva'!$A:$A,"NOT FOUND")</f>
        <v>LAB-001</v>
      </c>
      <c r="J114" s="5" t="str">
        <f>IF(G114="","",_xlfn.XLOOKUP(G114,'[3]Jan Labour Nd Drivers Hyva'!$B:$B,'[2]Jan Labour Nd Drivers Hyva'!$A:$A,"NOT FOUND"))</f>
        <v>LAB-005</v>
      </c>
      <c r="K114" s="5" t="str">
        <f>IF(H114="","",_xlfn.XLOOKUP(H114,'[2]Jan Labour Nd Drivers Hyva'!$B:$B,'[2]Jan Labour Nd Drivers Hyva'!$A:$A,"NOT FOUND"))</f>
        <v/>
      </c>
      <c r="L114" s="4" t="s">
        <v>86</v>
      </c>
      <c r="M114" s="6">
        <v>2</v>
      </c>
      <c r="N114" s="7">
        <v>7500</v>
      </c>
      <c r="O114" s="7">
        <f t="shared" si="22"/>
        <v>15000</v>
      </c>
      <c r="P114" s="7">
        <v>15000</v>
      </c>
      <c r="Q114" s="7">
        <f t="shared" si="18"/>
        <v>0</v>
      </c>
      <c r="R114" s="3" t="str">
        <f t="shared" si="23"/>
        <v>PAID</v>
      </c>
      <c r="S114" s="3"/>
      <c r="T114" s="3">
        <f t="shared" si="24"/>
        <v>15000</v>
      </c>
      <c r="U114" s="3" t="str">
        <f t="shared" si="25"/>
        <v>OK</v>
      </c>
      <c r="V114" s="8">
        <f t="shared" si="26"/>
        <v>0</v>
      </c>
      <c r="W114" s="3" t="str">
        <f t="shared" si="27"/>
        <v>OK</v>
      </c>
      <c r="X114" s="3" t="s">
        <v>133</v>
      </c>
      <c r="Y114" s="3" t="s">
        <v>131</v>
      </c>
      <c r="Z114" s="3" t="s">
        <v>122</v>
      </c>
      <c r="AA114" s="3" t="s">
        <v>122</v>
      </c>
      <c r="AB114" s="3" t="s">
        <v>122</v>
      </c>
    </row>
    <row r="115" spans="1:28" ht="19" x14ac:dyDescent="0.25">
      <c r="A115" t="s">
        <v>266</v>
      </c>
      <c r="B115" s="2">
        <v>45889</v>
      </c>
      <c r="C115" s="3" t="str">
        <f>_xlfn.XLOOKUP(D115,'[1]Jan Customer Duplicate Hyva'!$B:$B,'[1]Jan Customer Duplicate Hyva'!$A:$A,"NOT FOUND")</f>
        <v>CUST-255</v>
      </c>
      <c r="D115" s="9" t="s">
        <v>46</v>
      </c>
      <c r="E115" s="4" t="s">
        <v>24</v>
      </c>
      <c r="F115" s="5" t="str">
        <f t="shared" si="19"/>
        <v>Gaju Bhau</v>
      </c>
      <c r="G115" s="5" t="str">
        <f t="shared" si="20"/>
        <v/>
      </c>
      <c r="H115" s="5" t="str">
        <f t="shared" si="21"/>
        <v/>
      </c>
      <c r="I115" s="5" t="str">
        <f>_xlfn.XLOOKUP(F115,'[1]Jan Labour Nd Drivers Hyva'!$B:$B,'[2]Jan Labour Nd Drivers Hyva'!$A:$A,"NOT FOUND")</f>
        <v>LAB-001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4" t="s">
        <v>87</v>
      </c>
      <c r="M115" s="6">
        <v>3</v>
      </c>
      <c r="N115" s="7">
        <v>4000</v>
      </c>
      <c r="O115" s="7">
        <f t="shared" si="22"/>
        <v>12000</v>
      </c>
      <c r="P115" s="7">
        <v>12000</v>
      </c>
      <c r="Q115" s="7">
        <f t="shared" si="18"/>
        <v>0</v>
      </c>
      <c r="R115" s="3" t="str">
        <f t="shared" si="23"/>
        <v>PAID</v>
      </c>
      <c r="S115" s="3"/>
      <c r="T115" s="3">
        <f t="shared" si="24"/>
        <v>12000</v>
      </c>
      <c r="U115" s="3" t="str">
        <f t="shared" si="25"/>
        <v>OK</v>
      </c>
      <c r="V115" s="8">
        <f t="shared" si="26"/>
        <v>0</v>
      </c>
      <c r="W115" s="3" t="str">
        <f t="shared" si="27"/>
        <v>OK</v>
      </c>
      <c r="X115" s="3" t="s">
        <v>133</v>
      </c>
      <c r="Y115" s="3" t="s">
        <v>131</v>
      </c>
      <c r="Z115" s="3" t="s">
        <v>122</v>
      </c>
      <c r="AA115" s="3" t="s">
        <v>122</v>
      </c>
      <c r="AB115" s="3" t="s">
        <v>122</v>
      </c>
    </row>
    <row r="116" spans="1:28" ht="19" x14ac:dyDescent="0.25">
      <c r="A116" t="s">
        <v>267</v>
      </c>
      <c r="B116" s="2">
        <v>45890</v>
      </c>
      <c r="C116" s="3" t="str">
        <f>_xlfn.XLOOKUP(D116,'[1]Jan Customer Duplicate Hyva'!$B:$B,'[1]Jan Customer Duplicate Hyva'!$A:$A,"NOT FOUND")</f>
        <v>CUST-255</v>
      </c>
      <c r="D116" s="4" t="s">
        <v>46</v>
      </c>
      <c r="E116" s="4" t="s">
        <v>24</v>
      </c>
      <c r="F116" s="5" t="str">
        <f t="shared" si="19"/>
        <v>Gaju Bhau</v>
      </c>
      <c r="G116" s="5" t="str">
        <f t="shared" si="20"/>
        <v/>
      </c>
      <c r="H116" s="5" t="str">
        <f t="shared" si="21"/>
        <v/>
      </c>
      <c r="I116" s="5" t="str">
        <f>_xlfn.XLOOKUP(F116,'[1]Jan Labour Nd Drivers Hyva'!$B:$B,'[2]Jan Labour Nd Drivers Hyva'!$A:$A,"NOT FOUND")</f>
        <v>LAB-001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4" t="s">
        <v>87</v>
      </c>
      <c r="M116" s="6">
        <v>4</v>
      </c>
      <c r="N116" s="7">
        <v>4000</v>
      </c>
      <c r="O116" s="7">
        <f t="shared" si="22"/>
        <v>16000</v>
      </c>
      <c r="P116" s="7">
        <v>16000</v>
      </c>
      <c r="Q116" s="7">
        <f t="shared" si="18"/>
        <v>0</v>
      </c>
      <c r="R116" s="3" t="str">
        <f t="shared" si="23"/>
        <v>PAID</v>
      </c>
      <c r="S116" s="3"/>
      <c r="T116" s="3">
        <f t="shared" si="24"/>
        <v>16000</v>
      </c>
      <c r="U116" s="3" t="str">
        <f t="shared" si="25"/>
        <v>OK</v>
      </c>
      <c r="V116" s="8">
        <f t="shared" si="26"/>
        <v>0</v>
      </c>
      <c r="W116" s="3" t="str">
        <f t="shared" si="27"/>
        <v>OK</v>
      </c>
      <c r="X116" s="3" t="s">
        <v>133</v>
      </c>
      <c r="Y116" s="3" t="s">
        <v>131</v>
      </c>
      <c r="Z116" s="3" t="s">
        <v>122</v>
      </c>
      <c r="AA116" s="3" t="s">
        <v>122</v>
      </c>
      <c r="AB116" s="3" t="s">
        <v>122</v>
      </c>
    </row>
    <row r="117" spans="1:28" ht="19" x14ac:dyDescent="0.25">
      <c r="A117" t="s">
        <v>268</v>
      </c>
      <c r="B117" s="2">
        <v>45891</v>
      </c>
      <c r="C117" s="3" t="str">
        <f>_xlfn.XLOOKUP(D117,'[1]Jan Customer Duplicate Hyva'!$B:$B,'[1]Jan Customer Duplicate Hyva'!$A:$A,"NOT FOUND")</f>
        <v>CUST-255</v>
      </c>
      <c r="D117" s="4" t="s">
        <v>46</v>
      </c>
      <c r="E117" s="4" t="s">
        <v>24</v>
      </c>
      <c r="F117" s="5" t="str">
        <f t="shared" si="19"/>
        <v>Gaju Bhau</v>
      </c>
      <c r="G117" s="5" t="str">
        <f t="shared" si="20"/>
        <v/>
      </c>
      <c r="H117" s="5" t="str">
        <f t="shared" si="21"/>
        <v/>
      </c>
      <c r="I117" s="5" t="str">
        <f>_xlfn.XLOOKUP(F117,'[1]Jan Labour Nd Drivers Hyva'!$B:$B,'[2]Jan Labour Nd Drivers Hyva'!$A:$A,"NOT FOUND")</f>
        <v>LAB-001</v>
      </c>
      <c r="J117" s="5" t="str">
        <f>IF(G117="","",_xlfn.XLOOKUP(G117,'[3]Jan Labour Nd Drivers Hyva'!$B:$B,'[2]Jan Labour Nd Drivers Hyva'!$A:$A,"NOT FOUND"))</f>
        <v/>
      </c>
      <c r="K117" s="5" t="str">
        <f>IF(H117="","",_xlfn.XLOOKUP(H117,'[2]Jan Labour Nd Drivers Hyva'!$B:$B,'[2]Jan Labour Nd Drivers Hyva'!$A:$A,"NOT FOUND"))</f>
        <v/>
      </c>
      <c r="L117" s="4" t="s">
        <v>87</v>
      </c>
      <c r="M117" s="6">
        <v>5</v>
      </c>
      <c r="N117" s="7">
        <v>4000</v>
      </c>
      <c r="O117" s="7">
        <f t="shared" si="22"/>
        <v>20000</v>
      </c>
      <c r="P117" s="7">
        <v>20000</v>
      </c>
      <c r="Q117" s="7">
        <f t="shared" si="18"/>
        <v>0</v>
      </c>
      <c r="R117" s="3" t="str">
        <f t="shared" si="23"/>
        <v>PAID</v>
      </c>
      <c r="S117" s="3"/>
      <c r="T117" s="3">
        <f t="shared" si="24"/>
        <v>20000</v>
      </c>
      <c r="U117" s="3" t="str">
        <f t="shared" si="25"/>
        <v>OK</v>
      </c>
      <c r="V117" s="8">
        <f t="shared" si="26"/>
        <v>0</v>
      </c>
      <c r="W117" s="3" t="str">
        <f t="shared" si="27"/>
        <v>OK</v>
      </c>
      <c r="X117" s="3" t="s">
        <v>133</v>
      </c>
      <c r="Y117" s="3" t="s">
        <v>131</v>
      </c>
      <c r="Z117" s="3" t="s">
        <v>122</v>
      </c>
      <c r="AA117" s="3" t="s">
        <v>122</v>
      </c>
      <c r="AB117" s="3" t="s">
        <v>122</v>
      </c>
    </row>
    <row r="118" spans="1:28" ht="19" x14ac:dyDescent="0.25">
      <c r="A118" t="s">
        <v>269</v>
      </c>
      <c r="B118" s="2">
        <v>45891</v>
      </c>
      <c r="C118" s="3" t="str">
        <f>_xlfn.XLOOKUP(D118,'[1]Jan Customer Duplicate Hyva'!$B:$B,'[1]Jan Customer Duplicate Hyva'!$A:$A,"NOT FOUND")</f>
        <v>CUST-255</v>
      </c>
      <c r="D118" s="4" t="s">
        <v>46</v>
      </c>
      <c r="E118" s="4" t="s">
        <v>24</v>
      </c>
      <c r="F118" s="5" t="str">
        <f t="shared" si="19"/>
        <v>Gaju Bhau</v>
      </c>
      <c r="G118" s="5" t="str">
        <f t="shared" si="20"/>
        <v/>
      </c>
      <c r="H118" s="5" t="str">
        <f t="shared" si="21"/>
        <v/>
      </c>
      <c r="I118" s="5" t="str">
        <f>_xlfn.XLOOKUP(F118,'[1]Jan Labour Nd Drivers Hyva'!$B:$B,'[2]Jan Labour Nd Drivers Hyva'!$A:$A,"NOT FOUND")</f>
        <v>LAB-001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4" t="s">
        <v>87</v>
      </c>
      <c r="M118" s="6">
        <v>4</v>
      </c>
      <c r="N118" s="7">
        <v>4000</v>
      </c>
      <c r="O118" s="7">
        <f t="shared" si="22"/>
        <v>16000</v>
      </c>
      <c r="P118" s="7">
        <v>16000</v>
      </c>
      <c r="Q118" s="7">
        <f t="shared" si="18"/>
        <v>0</v>
      </c>
      <c r="R118" s="3" t="str">
        <f t="shared" si="23"/>
        <v>PAID</v>
      </c>
      <c r="S118" s="3"/>
      <c r="T118" s="3">
        <f t="shared" si="24"/>
        <v>16000</v>
      </c>
      <c r="U118" s="3" t="str">
        <f t="shared" si="25"/>
        <v>OK</v>
      </c>
      <c r="V118" s="8">
        <f t="shared" si="26"/>
        <v>0</v>
      </c>
      <c r="W118" s="3" t="str">
        <f t="shared" si="27"/>
        <v>OK</v>
      </c>
      <c r="X118" s="3" t="s">
        <v>133</v>
      </c>
      <c r="Y118" s="3" t="s">
        <v>131</v>
      </c>
      <c r="Z118" s="3" t="s">
        <v>122</v>
      </c>
      <c r="AA118" s="3" t="s">
        <v>122</v>
      </c>
      <c r="AB118" s="3" t="s">
        <v>122</v>
      </c>
    </row>
    <row r="119" spans="1:28" ht="19" x14ac:dyDescent="0.25">
      <c r="A119" t="s">
        <v>270</v>
      </c>
      <c r="B119" s="2">
        <v>45899</v>
      </c>
      <c r="C119" s="3" t="str">
        <f>_xlfn.XLOOKUP(D119,'[1]Jan Customer Duplicate Hyva'!$B:$B,'[1]Jan Customer Duplicate Hyva'!$A:$A,"NOT FOUND")</f>
        <v>CUST-255</v>
      </c>
      <c r="D119" s="4" t="s">
        <v>46</v>
      </c>
      <c r="E119" s="4" t="s">
        <v>24</v>
      </c>
      <c r="F119" s="5" t="str">
        <f t="shared" si="19"/>
        <v>Gaju Bhau</v>
      </c>
      <c r="G119" s="5" t="str">
        <f t="shared" si="20"/>
        <v/>
      </c>
      <c r="H119" s="5" t="str">
        <f t="shared" si="21"/>
        <v/>
      </c>
      <c r="I119" s="5" t="str">
        <f>_xlfn.XLOOKUP(F119,'[1]Jan Labour Nd Drivers Hyva'!$B:$B,'[2]Jan Labour Nd Drivers Hyva'!$A:$A,"NOT FOUND")</f>
        <v>LAB-001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4" t="s">
        <v>87</v>
      </c>
      <c r="M119" s="6">
        <v>2</v>
      </c>
      <c r="N119" s="7">
        <v>4000</v>
      </c>
      <c r="O119" s="7">
        <f t="shared" si="22"/>
        <v>8000</v>
      </c>
      <c r="P119" s="7">
        <v>8000</v>
      </c>
      <c r="Q119" s="7">
        <f t="shared" si="18"/>
        <v>0</v>
      </c>
      <c r="R119" s="3" t="str">
        <f t="shared" si="23"/>
        <v>PAID</v>
      </c>
      <c r="S119" s="3"/>
      <c r="T119" s="3">
        <f t="shared" si="24"/>
        <v>8000</v>
      </c>
      <c r="U119" s="3" t="str">
        <f t="shared" si="25"/>
        <v>OK</v>
      </c>
      <c r="V119" s="8">
        <f t="shared" si="26"/>
        <v>0</v>
      </c>
      <c r="W119" s="3" t="str">
        <f t="shared" si="27"/>
        <v>OK</v>
      </c>
      <c r="X119" s="3" t="s">
        <v>133</v>
      </c>
      <c r="Y119" s="3" t="s">
        <v>131</v>
      </c>
      <c r="Z119" s="3" t="s">
        <v>122</v>
      </c>
      <c r="AA119" s="3" t="s">
        <v>122</v>
      </c>
      <c r="AB119" s="3" t="s">
        <v>122</v>
      </c>
    </row>
    <row r="120" spans="1:28" ht="19" x14ac:dyDescent="0.25">
      <c r="A120" t="s">
        <v>271</v>
      </c>
      <c r="B120" s="2">
        <v>45908</v>
      </c>
      <c r="C120" s="3" t="str">
        <f>_xlfn.XLOOKUP(D120,'[1]Jan Customer Duplicate Hyva'!$B:$B,'[1]Jan Customer Duplicate Hyva'!$A:$A,"NOT FOUND")</f>
        <v>CUST-255</v>
      </c>
      <c r="D120" s="4" t="s">
        <v>46</v>
      </c>
      <c r="E120" s="4" t="s">
        <v>24</v>
      </c>
      <c r="F120" s="5" t="str">
        <f t="shared" si="19"/>
        <v>Gaju Bhau</v>
      </c>
      <c r="G120" s="5" t="str">
        <f t="shared" si="20"/>
        <v/>
      </c>
      <c r="H120" s="5" t="str">
        <f t="shared" si="21"/>
        <v/>
      </c>
      <c r="I120" s="5" t="str">
        <f>_xlfn.XLOOKUP(F120,'[1]Jan Labour Nd Drivers Hyva'!$B:$B,'[2]Jan Labour Nd Drivers Hyva'!$A:$A,"NOT FOUND")</f>
        <v>LAB-001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4" t="s">
        <v>87</v>
      </c>
      <c r="M120" s="6">
        <v>2</v>
      </c>
      <c r="N120" s="7">
        <v>4000</v>
      </c>
      <c r="O120" s="7">
        <f t="shared" si="22"/>
        <v>8000</v>
      </c>
      <c r="P120" s="7">
        <v>8000</v>
      </c>
      <c r="Q120" s="7">
        <f t="shared" si="18"/>
        <v>0</v>
      </c>
      <c r="R120" s="3" t="str">
        <f t="shared" si="23"/>
        <v>PAID</v>
      </c>
      <c r="S120" s="3"/>
      <c r="T120" s="3">
        <f t="shared" si="24"/>
        <v>8000</v>
      </c>
      <c r="U120" s="3" t="str">
        <f t="shared" si="25"/>
        <v>OK</v>
      </c>
      <c r="V120" s="8">
        <f t="shared" si="26"/>
        <v>0</v>
      </c>
      <c r="W120" s="3" t="str">
        <f t="shared" si="27"/>
        <v>OK</v>
      </c>
      <c r="X120" s="3" t="s">
        <v>133</v>
      </c>
      <c r="Y120" s="3" t="s">
        <v>131</v>
      </c>
      <c r="Z120" s="3" t="s">
        <v>122</v>
      </c>
      <c r="AA120" s="3" t="s">
        <v>122</v>
      </c>
      <c r="AB120" s="3" t="s">
        <v>122</v>
      </c>
    </row>
    <row r="121" spans="1:28" ht="19" x14ac:dyDescent="0.25">
      <c r="A121" t="s">
        <v>272</v>
      </c>
      <c r="B121" s="2">
        <v>45910</v>
      </c>
      <c r="C121" s="3" t="str">
        <f>_xlfn.XLOOKUP(D121,'[1]Jan Customer Duplicate Hyva'!$B:$B,'[1]Jan Customer Duplicate Hyva'!$A:$A,"NOT FOUND")</f>
        <v>CUST-255</v>
      </c>
      <c r="D121" s="4" t="s">
        <v>46</v>
      </c>
      <c r="E121" s="4" t="s">
        <v>88</v>
      </c>
      <c r="F121" s="5" t="str">
        <f t="shared" si="19"/>
        <v>Santosh</v>
      </c>
      <c r="G121" s="5" t="str">
        <f t="shared" si="20"/>
        <v/>
      </c>
      <c r="H121" s="5" t="str">
        <f t="shared" si="21"/>
        <v/>
      </c>
      <c r="I121" s="5" t="str">
        <f>_xlfn.XLOOKUP(F121,'[1]Jan Labour Nd Drivers Hyva'!$B:$B,'[2]Jan Labour Nd Drivers Hyva'!$A:$A,"NOT FOUND")</f>
        <v>LAB-009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4" t="s">
        <v>87</v>
      </c>
      <c r="M121" s="6">
        <v>4</v>
      </c>
      <c r="N121" s="7">
        <v>4000</v>
      </c>
      <c r="O121" s="7">
        <f t="shared" si="22"/>
        <v>16000</v>
      </c>
      <c r="P121" s="7">
        <v>16000</v>
      </c>
      <c r="Q121" s="7">
        <f t="shared" si="18"/>
        <v>0</v>
      </c>
      <c r="R121" s="3" t="str">
        <f t="shared" si="23"/>
        <v>PAID</v>
      </c>
      <c r="S121" s="3"/>
      <c r="T121" s="3">
        <f t="shared" si="24"/>
        <v>16000</v>
      </c>
      <c r="U121" s="3" t="str">
        <f t="shared" si="25"/>
        <v>OK</v>
      </c>
      <c r="V121" s="8">
        <f t="shared" si="26"/>
        <v>0</v>
      </c>
      <c r="W121" s="3" t="str">
        <f t="shared" si="27"/>
        <v>OK</v>
      </c>
      <c r="X121" s="3" t="s">
        <v>133</v>
      </c>
      <c r="Y121" s="3" t="s">
        <v>131</v>
      </c>
      <c r="Z121" s="3" t="s">
        <v>122</v>
      </c>
      <c r="AA121" s="3" t="s">
        <v>122</v>
      </c>
      <c r="AB121" s="3" t="s">
        <v>122</v>
      </c>
    </row>
    <row r="122" spans="1:28" ht="19" x14ac:dyDescent="0.25">
      <c r="A122" t="s">
        <v>273</v>
      </c>
      <c r="B122" s="2">
        <v>45911</v>
      </c>
      <c r="C122" s="3" t="str">
        <f>_xlfn.XLOOKUP(D122,'[1]Jan Customer Duplicate Hyva'!$B:$B,'[1]Jan Customer Duplicate Hyva'!$A:$A,"NOT FOUND")</f>
        <v>CUST-255</v>
      </c>
      <c r="D122" s="4" t="s">
        <v>46</v>
      </c>
      <c r="E122" s="4" t="s">
        <v>24</v>
      </c>
      <c r="F122" s="5" t="str">
        <f t="shared" si="19"/>
        <v>Gaju Bhau</v>
      </c>
      <c r="G122" s="5" t="str">
        <f t="shared" si="20"/>
        <v/>
      </c>
      <c r="H122" s="5" t="str">
        <f t="shared" si="21"/>
        <v/>
      </c>
      <c r="I122" s="5" t="str">
        <f>_xlfn.XLOOKUP(F122,'[1]Jan Labour Nd Drivers Hyva'!$B:$B,'[2]Jan Labour Nd Drivers Hyva'!$A:$A,"NOT FOUND")</f>
        <v>LAB-001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4" t="s">
        <v>87</v>
      </c>
      <c r="M122" s="6">
        <v>1</v>
      </c>
      <c r="N122" s="7">
        <v>4000</v>
      </c>
      <c r="O122" s="7">
        <f t="shared" si="22"/>
        <v>4000</v>
      </c>
      <c r="P122" s="7">
        <v>4000</v>
      </c>
      <c r="Q122" s="7">
        <f t="shared" si="18"/>
        <v>0</v>
      </c>
      <c r="R122" s="3" t="str">
        <f t="shared" si="23"/>
        <v>PAID</v>
      </c>
      <c r="S122" s="3"/>
      <c r="T122" s="3">
        <f t="shared" si="24"/>
        <v>4000</v>
      </c>
      <c r="U122" s="3" t="str">
        <f t="shared" si="25"/>
        <v>OK</v>
      </c>
      <c r="V122" s="8">
        <f t="shared" si="26"/>
        <v>0</v>
      </c>
      <c r="W122" s="3" t="str">
        <f t="shared" si="27"/>
        <v>OK</v>
      </c>
      <c r="X122" s="3" t="s">
        <v>133</v>
      </c>
      <c r="Y122" s="3" t="s">
        <v>131</v>
      </c>
      <c r="Z122" s="3" t="s">
        <v>122</v>
      </c>
      <c r="AA122" s="3" t="s">
        <v>122</v>
      </c>
      <c r="AB122" s="3" t="s">
        <v>122</v>
      </c>
    </row>
    <row r="123" spans="1:28" ht="19" x14ac:dyDescent="0.25">
      <c r="A123" t="s">
        <v>274</v>
      </c>
      <c r="B123" s="2">
        <v>45924</v>
      </c>
      <c r="C123" s="3" t="str">
        <f>_xlfn.XLOOKUP(D123,'[1]Jan Customer Duplicate Hyva'!$B:$B,'[1]Jan Customer Duplicate Hyva'!$A:$A,"NOT FOUND")</f>
        <v>CUST-254</v>
      </c>
      <c r="D123" s="4" t="s">
        <v>127</v>
      </c>
      <c r="E123" s="4" t="s">
        <v>26</v>
      </c>
      <c r="F123" s="5" t="str">
        <f t="shared" si="19"/>
        <v>Ravi</v>
      </c>
      <c r="G123" s="5" t="str">
        <f t="shared" si="20"/>
        <v/>
      </c>
      <c r="H123" s="5" t="str">
        <f t="shared" si="21"/>
        <v/>
      </c>
      <c r="I123" s="5" t="str">
        <f>_xlfn.XLOOKUP(F123,'[1]Jan Labour Nd Drivers Hyva'!$B:$B,'[2]Jan Labour Nd Drivers Hyva'!$A:$A,"NOT FOUND")</f>
        <v>LAB-003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4" t="s">
        <v>89</v>
      </c>
      <c r="M123" s="6">
        <v>1</v>
      </c>
      <c r="N123" s="7">
        <v>0</v>
      </c>
      <c r="O123" s="7">
        <f t="shared" si="22"/>
        <v>0</v>
      </c>
      <c r="P123" s="7"/>
      <c r="Q123" s="7">
        <f t="shared" si="18"/>
        <v>0</v>
      </c>
      <c r="R123" s="3" t="str">
        <f t="shared" si="23"/>
        <v>PAID</v>
      </c>
      <c r="S123" s="3"/>
      <c r="T123" s="3">
        <f t="shared" si="24"/>
        <v>0</v>
      </c>
      <c r="U123" s="3" t="str">
        <f t="shared" si="25"/>
        <v>OK</v>
      </c>
      <c r="V123" s="8">
        <f t="shared" si="26"/>
        <v>0</v>
      </c>
      <c r="W123" s="3" t="str">
        <f t="shared" si="27"/>
        <v>OK</v>
      </c>
      <c r="X123" s="3" t="s">
        <v>133</v>
      </c>
      <c r="Y123" s="3" t="s">
        <v>131</v>
      </c>
      <c r="Z123" s="3" t="s">
        <v>122</v>
      </c>
      <c r="AA123" s="3" t="s">
        <v>122</v>
      </c>
      <c r="AB123" s="3" t="s">
        <v>122</v>
      </c>
    </row>
    <row r="124" spans="1:28" ht="19" x14ac:dyDescent="0.25">
      <c r="A124" t="s">
        <v>275</v>
      </c>
      <c r="B124" s="2">
        <v>45926</v>
      </c>
      <c r="C124" s="3" t="str">
        <f>_xlfn.XLOOKUP(D124,'[1]Jan Customer Duplicate Hyva'!$B:$B,'[1]Jan Customer Duplicate Hyva'!$A:$A,"NOT FOUND")</f>
        <v>CUST-391</v>
      </c>
      <c r="D124" s="4" t="s">
        <v>67</v>
      </c>
      <c r="E124" s="4" t="s">
        <v>90</v>
      </c>
      <c r="F124" s="5" t="str">
        <f t="shared" si="19"/>
        <v>Rishab Driver</v>
      </c>
      <c r="G124" s="5" t="str">
        <f t="shared" si="20"/>
        <v/>
      </c>
      <c r="H124" s="5" t="str">
        <f t="shared" si="21"/>
        <v/>
      </c>
      <c r="I124" s="5" t="str">
        <f>_xlfn.XLOOKUP(F124,'[1]Jan Labour Nd Drivers Hyva'!$B:$B,'[2]Jan Labour Nd Drivers Hyva'!$A:$A,"NOT FOUND")</f>
        <v>LAB-012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4" t="s">
        <v>91</v>
      </c>
      <c r="M124" s="6">
        <v>2</v>
      </c>
      <c r="N124" s="7">
        <v>4100</v>
      </c>
      <c r="O124" s="7">
        <f t="shared" si="22"/>
        <v>8200</v>
      </c>
      <c r="P124" s="7">
        <v>8200</v>
      </c>
      <c r="Q124" s="7">
        <f t="shared" si="18"/>
        <v>0</v>
      </c>
      <c r="R124" s="3" t="str">
        <f t="shared" si="23"/>
        <v>PAID</v>
      </c>
      <c r="S124" s="3"/>
      <c r="T124" s="3">
        <f t="shared" si="24"/>
        <v>8200</v>
      </c>
      <c r="U124" s="3" t="str">
        <f t="shared" si="25"/>
        <v>OK</v>
      </c>
      <c r="V124" s="8">
        <f t="shared" si="26"/>
        <v>0</v>
      </c>
      <c r="W124" s="3" t="str">
        <f t="shared" si="27"/>
        <v>OK</v>
      </c>
      <c r="X124" s="3" t="s">
        <v>133</v>
      </c>
      <c r="Y124" s="3" t="s">
        <v>131</v>
      </c>
      <c r="Z124" s="3" t="s">
        <v>122</v>
      </c>
      <c r="AA124" s="3" t="s">
        <v>122</v>
      </c>
      <c r="AB124" s="3" t="s">
        <v>122</v>
      </c>
    </row>
    <row r="125" spans="1:28" ht="19" x14ac:dyDescent="0.25">
      <c r="A125" t="s">
        <v>276</v>
      </c>
      <c r="B125" s="2">
        <v>45937</v>
      </c>
      <c r="C125" s="3" t="str">
        <f>_xlfn.XLOOKUP(D125,'[1]Jan Customer Duplicate Hyva'!$B:$B,'[1]Jan Customer Duplicate Hyva'!$A:$A,"NOT FOUND")</f>
        <v>CUST-254</v>
      </c>
      <c r="D125" s="4" t="s">
        <v>127</v>
      </c>
      <c r="E125" s="4" t="s">
        <v>92</v>
      </c>
      <c r="F125" s="5" t="str">
        <f t="shared" si="19"/>
        <v>Ravi</v>
      </c>
      <c r="G125" s="5" t="str">
        <f t="shared" si="20"/>
        <v>Rishab Driver</v>
      </c>
      <c r="H125" s="5" t="str">
        <f t="shared" si="21"/>
        <v/>
      </c>
      <c r="I125" s="5" t="str">
        <f>_xlfn.XLOOKUP(F125,'[1]Jan Labour Nd Drivers Hyva'!$B:$B,'[2]Jan Labour Nd Drivers Hyva'!$A:$A,"NOT FOUND")</f>
        <v>LAB-003</v>
      </c>
      <c r="J125" s="5" t="str">
        <f>IF(G125="","",_xlfn.XLOOKUP(G125,'[3]Jan Labour Nd Drivers Hyva'!$B:$B,'[2]Jan Labour Nd Drivers Hyva'!$A:$A,"NOT FOUND"))</f>
        <v>LAB-012</v>
      </c>
      <c r="K125" s="5" t="str">
        <f>IF(H125="","",_xlfn.XLOOKUP(H125,'[2]Jan Labour Nd Drivers Hyva'!$B:$B,'[2]Jan Labour Nd Drivers Hyva'!$A:$A,"NOT FOUND"))</f>
        <v/>
      </c>
      <c r="L125" s="4" t="s">
        <v>93</v>
      </c>
      <c r="M125" s="6">
        <v>12</v>
      </c>
      <c r="N125" s="7">
        <v>0</v>
      </c>
      <c r="O125" s="7">
        <f t="shared" si="22"/>
        <v>0</v>
      </c>
      <c r="P125" s="7"/>
      <c r="Q125" s="7">
        <f t="shared" si="18"/>
        <v>0</v>
      </c>
      <c r="R125" s="3" t="str">
        <f t="shared" si="23"/>
        <v>PAID</v>
      </c>
      <c r="S125" s="3"/>
      <c r="T125" s="3">
        <f t="shared" si="24"/>
        <v>0</v>
      </c>
      <c r="U125" s="3" t="str">
        <f t="shared" si="25"/>
        <v>OK</v>
      </c>
      <c r="V125" s="8">
        <f t="shared" si="26"/>
        <v>0</v>
      </c>
      <c r="W125" s="3" t="str">
        <f t="shared" si="27"/>
        <v>OK</v>
      </c>
      <c r="X125" s="3" t="s">
        <v>133</v>
      </c>
      <c r="Y125" s="3" t="s">
        <v>131</v>
      </c>
      <c r="Z125" s="3" t="s">
        <v>122</v>
      </c>
      <c r="AA125" s="3" t="s">
        <v>122</v>
      </c>
      <c r="AB125" s="3" t="s">
        <v>122</v>
      </c>
    </row>
    <row r="126" spans="1:28" ht="19" x14ac:dyDescent="0.25">
      <c r="A126" t="s">
        <v>277</v>
      </c>
      <c r="B126" s="2">
        <v>45940</v>
      </c>
      <c r="C126" s="3" t="str">
        <f>_xlfn.XLOOKUP(D126,'[1]Jan Customer Duplicate Hyva'!$B:$B,'[1]Jan Customer Duplicate Hyva'!$A:$A,"NOT FOUND")</f>
        <v>CUST-196</v>
      </c>
      <c r="D126" s="4" t="s">
        <v>94</v>
      </c>
      <c r="E126" s="4" t="s">
        <v>26</v>
      </c>
      <c r="F126" s="5" t="str">
        <f t="shared" si="19"/>
        <v>Ravi</v>
      </c>
      <c r="G126" s="5" t="str">
        <f t="shared" si="20"/>
        <v/>
      </c>
      <c r="H126" s="5" t="str">
        <f t="shared" si="21"/>
        <v/>
      </c>
      <c r="I126" s="5" t="str">
        <f>_xlfn.XLOOKUP(F126,'[1]Jan Labour Nd Drivers Hyva'!$B:$B,'[2]Jan Labour Nd Drivers Hyva'!$A:$A,"NOT FOUND")</f>
        <v>LAB-003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4" t="s">
        <v>95</v>
      </c>
      <c r="M126" s="6">
        <v>2</v>
      </c>
      <c r="N126" s="7">
        <v>3500</v>
      </c>
      <c r="O126" s="7">
        <f t="shared" si="22"/>
        <v>7000</v>
      </c>
      <c r="P126" s="7"/>
      <c r="Q126" s="7">
        <f t="shared" si="18"/>
        <v>7000</v>
      </c>
      <c r="R126" s="3" t="str">
        <f t="shared" si="23"/>
        <v>UNPAID</v>
      </c>
      <c r="S126" s="3"/>
      <c r="T126" s="3">
        <f t="shared" si="24"/>
        <v>7000</v>
      </c>
      <c r="U126" s="3" t="str">
        <f t="shared" si="25"/>
        <v>OK</v>
      </c>
      <c r="V126" s="8">
        <f t="shared" si="26"/>
        <v>7000</v>
      </c>
      <c r="W126" s="3" t="str">
        <f t="shared" si="27"/>
        <v>OK</v>
      </c>
      <c r="X126" s="3" t="s">
        <v>133</v>
      </c>
      <c r="Y126" s="3" t="s">
        <v>131</v>
      </c>
      <c r="Z126" s="3" t="s">
        <v>122</v>
      </c>
      <c r="AA126" s="3" t="s">
        <v>122</v>
      </c>
      <c r="AB126" s="3" t="s">
        <v>122</v>
      </c>
    </row>
    <row r="127" spans="1:28" ht="19" x14ac:dyDescent="0.25">
      <c r="A127" t="s">
        <v>278</v>
      </c>
      <c r="B127" s="2">
        <v>45945</v>
      </c>
      <c r="C127" s="3" t="str">
        <f>_xlfn.XLOOKUP(D127,'[1]Jan Customer Duplicate Hyva'!$B:$B,'[1]Jan Customer Duplicate Hyva'!$A:$A,"NOT FOUND")</f>
        <v>CUST-196</v>
      </c>
      <c r="D127" s="4" t="s">
        <v>94</v>
      </c>
      <c r="E127" s="4" t="s">
        <v>26</v>
      </c>
      <c r="F127" s="5" t="str">
        <f t="shared" si="19"/>
        <v>Ravi</v>
      </c>
      <c r="G127" s="5" t="str">
        <f t="shared" si="20"/>
        <v/>
      </c>
      <c r="H127" s="5" t="str">
        <f t="shared" si="21"/>
        <v/>
      </c>
      <c r="I127" s="5" t="str">
        <f>_xlfn.XLOOKUP(F127,'[1]Jan Labour Nd Drivers Hyva'!$B:$B,'[2]Jan Labour Nd Drivers Hyva'!$A:$A,"NOT FOUND")</f>
        <v>LAB-003</v>
      </c>
      <c r="J127" s="5" t="str">
        <f>IF(G127="","",_xlfn.XLOOKUP(G127,'[3]Jan Labour Nd Drivers Hyva'!$B:$B,'[2]Jan Labour Nd Drivers Hyva'!$A:$A,"NOT FOUND"))</f>
        <v/>
      </c>
      <c r="K127" s="5" t="str">
        <f>IF(H127="","",_xlfn.XLOOKUP(H127,'[2]Jan Labour Nd Drivers Hyva'!$B:$B,'[2]Jan Labour Nd Drivers Hyva'!$A:$A,"NOT FOUND"))</f>
        <v/>
      </c>
      <c r="L127" s="4" t="s">
        <v>95</v>
      </c>
      <c r="M127" s="6">
        <v>1</v>
      </c>
      <c r="N127" s="7">
        <v>3500</v>
      </c>
      <c r="O127" s="7">
        <f t="shared" si="22"/>
        <v>3500</v>
      </c>
      <c r="P127" s="7"/>
      <c r="Q127" s="7">
        <f t="shared" si="18"/>
        <v>3500</v>
      </c>
      <c r="R127" s="3" t="str">
        <f t="shared" si="23"/>
        <v>UNPAID</v>
      </c>
      <c r="S127" s="3"/>
      <c r="T127" s="3">
        <f t="shared" si="24"/>
        <v>3500</v>
      </c>
      <c r="U127" s="3" t="str">
        <f t="shared" si="25"/>
        <v>OK</v>
      </c>
      <c r="V127" s="8">
        <f t="shared" si="26"/>
        <v>3500</v>
      </c>
      <c r="W127" s="3" t="str">
        <f t="shared" si="27"/>
        <v>OK</v>
      </c>
      <c r="X127" s="3" t="s">
        <v>133</v>
      </c>
      <c r="Y127" s="3" t="s">
        <v>131</v>
      </c>
      <c r="Z127" s="3" t="s">
        <v>122</v>
      </c>
      <c r="AA127" s="3" t="s">
        <v>122</v>
      </c>
      <c r="AB127" s="3" t="s">
        <v>122</v>
      </c>
    </row>
    <row r="128" spans="1:28" ht="19" x14ac:dyDescent="0.25">
      <c r="A128" t="s">
        <v>279</v>
      </c>
      <c r="B128" s="2">
        <v>45945</v>
      </c>
      <c r="C128" s="3" t="str">
        <f>_xlfn.XLOOKUP(D128,'[1]Jan Customer Duplicate Hyva'!$B:$B,'[1]Jan Customer Duplicate Hyva'!$A:$A,"NOT FOUND")</f>
        <v>CUST-391</v>
      </c>
      <c r="D128" s="4" t="s">
        <v>67</v>
      </c>
      <c r="E128" s="4" t="s">
        <v>26</v>
      </c>
      <c r="F128" s="5" t="str">
        <f t="shared" si="19"/>
        <v>Ravi</v>
      </c>
      <c r="G128" s="5" t="str">
        <f t="shared" si="20"/>
        <v/>
      </c>
      <c r="H128" s="5" t="str">
        <f t="shared" si="21"/>
        <v/>
      </c>
      <c r="I128" s="5" t="str">
        <f>_xlfn.XLOOKUP(F128,'[1]Jan Labour Nd Drivers Hyva'!$B:$B,'[2]Jan Labour Nd Drivers Hyva'!$A:$A,"NOT FOUND")</f>
        <v>LAB-003</v>
      </c>
      <c r="J128" s="5" t="str">
        <f>IF(G128="","",_xlfn.XLOOKUP(G128,'[3]Jan Labour Nd Drivers Hyva'!$B:$B,'[2]Jan Labour Nd Drivers Hyva'!$A:$A,"NOT FOUND"))</f>
        <v/>
      </c>
      <c r="K128" s="5" t="str">
        <f>IF(H128="","",_xlfn.XLOOKUP(H128,'[2]Jan Labour Nd Drivers Hyva'!$B:$B,'[2]Jan Labour Nd Drivers Hyva'!$A:$A,"NOT FOUND"))</f>
        <v/>
      </c>
      <c r="L128" s="4" t="s">
        <v>68</v>
      </c>
      <c r="M128" s="6">
        <v>1</v>
      </c>
      <c r="N128" s="7">
        <v>2500</v>
      </c>
      <c r="O128" s="7">
        <f t="shared" si="22"/>
        <v>2500</v>
      </c>
      <c r="P128" s="7">
        <v>2500</v>
      </c>
      <c r="Q128" s="7">
        <f t="shared" si="18"/>
        <v>0</v>
      </c>
      <c r="R128" s="3" t="str">
        <f t="shared" si="23"/>
        <v>PAID</v>
      </c>
      <c r="S128" s="3"/>
      <c r="T128" s="3">
        <f t="shared" si="24"/>
        <v>2500</v>
      </c>
      <c r="U128" s="3" t="str">
        <f t="shared" si="25"/>
        <v>OK</v>
      </c>
      <c r="V128" s="8">
        <f t="shared" si="26"/>
        <v>0</v>
      </c>
      <c r="W128" s="3" t="str">
        <f t="shared" si="27"/>
        <v>OK</v>
      </c>
      <c r="X128" s="3" t="s">
        <v>133</v>
      </c>
      <c r="Y128" s="3" t="s">
        <v>131</v>
      </c>
      <c r="Z128" s="3" t="s">
        <v>122</v>
      </c>
      <c r="AA128" s="3" t="s">
        <v>122</v>
      </c>
      <c r="AB128" s="3" t="s">
        <v>122</v>
      </c>
    </row>
    <row r="129" spans="1:28" ht="19" x14ac:dyDescent="0.25">
      <c r="A129" t="s">
        <v>280</v>
      </c>
      <c r="B129" s="2">
        <v>45969</v>
      </c>
      <c r="C129" s="3" t="str">
        <f>_xlfn.XLOOKUP(D129,'[1]Jan Customer Duplicate Hyva'!$B:$B,'[1]Jan Customer Duplicate Hyva'!$A:$A,"NOT FOUND")</f>
        <v>CUST-297</v>
      </c>
      <c r="D129" s="4" t="s">
        <v>96</v>
      </c>
      <c r="E129" s="4" t="s">
        <v>26</v>
      </c>
      <c r="F129" s="5" t="str">
        <f t="shared" si="19"/>
        <v>Ravi</v>
      </c>
      <c r="G129" s="5" t="str">
        <f t="shared" si="20"/>
        <v/>
      </c>
      <c r="H129" s="5" t="str">
        <f t="shared" si="21"/>
        <v/>
      </c>
      <c r="I129" s="5" t="str">
        <f>_xlfn.XLOOKUP(F129,'[1]Jan Labour Nd Drivers Hyva'!$B:$B,'[2]Jan Labour Nd Drivers Hyva'!$A:$A,"NOT FOUND")</f>
        <v>LAB-003</v>
      </c>
      <c r="J129" s="5" t="str">
        <f>IF(G129="","",_xlfn.XLOOKUP(G129,'[3]Jan Labour Nd Drivers Hyva'!$B:$B,'[2]Jan Labour Nd Drivers Hyva'!$A:$A,"NOT FOUND"))</f>
        <v/>
      </c>
      <c r="K129" s="5" t="str">
        <f>IF(H129="","",_xlfn.XLOOKUP(H129,'[2]Jan Labour Nd Drivers Hyva'!$B:$B,'[2]Jan Labour Nd Drivers Hyva'!$A:$A,"NOT FOUND"))</f>
        <v/>
      </c>
      <c r="L129" s="4" t="s">
        <v>97</v>
      </c>
      <c r="M129" s="6">
        <v>1</v>
      </c>
      <c r="N129" s="7">
        <v>4500</v>
      </c>
      <c r="O129" s="7">
        <f t="shared" si="22"/>
        <v>4500</v>
      </c>
      <c r="P129" s="7">
        <v>4500</v>
      </c>
      <c r="Q129" s="7">
        <f t="shared" ref="Q129:Q185" si="28">O129-P129</f>
        <v>0</v>
      </c>
      <c r="R129" s="3" t="str">
        <f t="shared" si="23"/>
        <v>PAID</v>
      </c>
      <c r="S129" s="3"/>
      <c r="T129" s="3">
        <f t="shared" si="24"/>
        <v>4500</v>
      </c>
      <c r="U129" s="3" t="str">
        <f t="shared" si="25"/>
        <v>OK</v>
      </c>
      <c r="V129" s="8">
        <f t="shared" si="26"/>
        <v>0</v>
      </c>
      <c r="W129" s="3" t="str">
        <f t="shared" si="27"/>
        <v>OK</v>
      </c>
      <c r="X129" s="3" t="s">
        <v>133</v>
      </c>
      <c r="Y129" s="3" t="s">
        <v>131</v>
      </c>
      <c r="Z129" s="3" t="s">
        <v>122</v>
      </c>
      <c r="AA129" s="3" t="s">
        <v>122</v>
      </c>
      <c r="AB129" s="3" t="s">
        <v>122</v>
      </c>
    </row>
    <row r="130" spans="1:28" ht="19" x14ac:dyDescent="0.25">
      <c r="A130" t="s">
        <v>281</v>
      </c>
      <c r="B130" s="2">
        <v>45971</v>
      </c>
      <c r="C130" s="3" t="str">
        <f>_xlfn.XLOOKUP(D130,'[1]Jan Customer Duplicate Hyva'!$B:$B,'[1]Jan Customer Duplicate Hyva'!$A:$A,"NOT FOUND")</f>
        <v>CUST-254</v>
      </c>
      <c r="D130" s="4" t="s">
        <v>127</v>
      </c>
      <c r="E130" s="4" t="s">
        <v>26</v>
      </c>
      <c r="F130" s="5" t="str">
        <f t="shared" si="19"/>
        <v>Ravi</v>
      </c>
      <c r="G130" s="5" t="str">
        <f t="shared" si="20"/>
        <v/>
      </c>
      <c r="H130" s="5" t="str">
        <f t="shared" si="21"/>
        <v/>
      </c>
      <c r="I130" s="5" t="str">
        <f>_xlfn.XLOOKUP(F130,'[1]Jan Labour Nd Drivers Hyva'!$B:$B,'[2]Jan Labour Nd Drivers Hyva'!$A:$A,"NOT FOUND")</f>
        <v>LAB-003</v>
      </c>
      <c r="J130" s="5" t="str">
        <f>IF(G130="","",_xlfn.XLOOKUP(G130,'[3]Jan Labour Nd Drivers Hyva'!$B:$B,'[2]Jan Labour Nd Drivers Hyva'!$A:$A,"NOT FOUND"))</f>
        <v/>
      </c>
      <c r="K130" s="5" t="str">
        <f>IF(H130="","",_xlfn.XLOOKUP(H130,'[2]Jan Labour Nd Drivers Hyva'!$B:$B,'[2]Jan Labour Nd Drivers Hyva'!$A:$A,"NOT FOUND"))</f>
        <v/>
      </c>
      <c r="L130" s="4" t="s">
        <v>98</v>
      </c>
      <c r="M130" s="6">
        <v>1</v>
      </c>
      <c r="N130" s="7">
        <v>3000</v>
      </c>
      <c r="O130" s="7">
        <f t="shared" si="22"/>
        <v>3000</v>
      </c>
      <c r="P130" s="7">
        <v>3000</v>
      </c>
      <c r="Q130" s="7">
        <f t="shared" si="28"/>
        <v>0</v>
      </c>
      <c r="R130" s="3" t="str">
        <f t="shared" si="23"/>
        <v>PAID</v>
      </c>
      <c r="S130" s="3"/>
      <c r="T130" s="3">
        <f t="shared" si="24"/>
        <v>3000</v>
      </c>
      <c r="U130" s="3" t="str">
        <f t="shared" si="25"/>
        <v>OK</v>
      </c>
      <c r="V130" s="8">
        <f t="shared" si="26"/>
        <v>0</v>
      </c>
      <c r="W130" s="3" t="str">
        <f t="shared" si="27"/>
        <v>OK</v>
      </c>
      <c r="X130" s="3" t="s">
        <v>133</v>
      </c>
      <c r="Y130" s="3" t="s">
        <v>131</v>
      </c>
      <c r="Z130" s="3" t="s">
        <v>122</v>
      </c>
      <c r="AA130" s="3" t="s">
        <v>122</v>
      </c>
      <c r="AB130" s="3" t="s">
        <v>122</v>
      </c>
    </row>
    <row r="131" spans="1:28" ht="19" x14ac:dyDescent="0.25">
      <c r="A131" t="s">
        <v>282</v>
      </c>
      <c r="B131" s="2">
        <v>45973</v>
      </c>
      <c r="C131" s="3" t="str">
        <f>_xlfn.XLOOKUP(D131,'[1]Jan Customer Duplicate Hyva'!$B:$B,'[1]Jan Customer Duplicate Hyva'!$A:$A,"NOT FOUND")</f>
        <v>CUST-254</v>
      </c>
      <c r="D131" s="4" t="s">
        <v>127</v>
      </c>
      <c r="E131" s="4" t="s">
        <v>26</v>
      </c>
      <c r="F131" s="5" t="str">
        <f t="shared" si="19"/>
        <v>Ravi</v>
      </c>
      <c r="G131" s="5" t="str">
        <f t="shared" si="20"/>
        <v/>
      </c>
      <c r="H131" s="5" t="str">
        <f t="shared" si="21"/>
        <v/>
      </c>
      <c r="I131" s="5" t="str">
        <f>_xlfn.XLOOKUP(F131,'[1]Jan Labour Nd Drivers Hyva'!$B:$B,'[2]Jan Labour Nd Drivers Hyva'!$A:$A,"NOT FOUND")</f>
        <v>LAB-003</v>
      </c>
      <c r="J131" s="5" t="str">
        <f>IF(G131="","",_xlfn.XLOOKUP(G131,'[3]Jan Labour Nd Drivers Hyva'!$B:$B,'[2]Jan Labour Nd Drivers Hyva'!$A:$A,"NOT FOUND"))</f>
        <v/>
      </c>
      <c r="K131" s="5" t="str">
        <f>IF(H131="","",_xlfn.XLOOKUP(H131,'[2]Jan Labour Nd Drivers Hyva'!$B:$B,'[2]Jan Labour Nd Drivers Hyva'!$A:$A,"NOT FOUND"))</f>
        <v/>
      </c>
      <c r="L131" s="4" t="s">
        <v>98</v>
      </c>
      <c r="M131" s="6">
        <v>1</v>
      </c>
      <c r="N131" s="7">
        <v>3000</v>
      </c>
      <c r="O131" s="7">
        <f t="shared" si="22"/>
        <v>3000</v>
      </c>
      <c r="P131" s="7">
        <v>3000</v>
      </c>
      <c r="Q131" s="7">
        <f t="shared" si="28"/>
        <v>0</v>
      </c>
      <c r="R131" s="3" t="str">
        <f t="shared" si="23"/>
        <v>PAID</v>
      </c>
      <c r="S131" s="3"/>
      <c r="T131" s="3">
        <f t="shared" si="24"/>
        <v>3000</v>
      </c>
      <c r="U131" s="3" t="str">
        <f t="shared" si="25"/>
        <v>OK</v>
      </c>
      <c r="V131" s="8">
        <f t="shared" si="26"/>
        <v>0</v>
      </c>
      <c r="W131" s="3" t="str">
        <f t="shared" si="27"/>
        <v>OK</v>
      </c>
      <c r="X131" s="3" t="s">
        <v>133</v>
      </c>
      <c r="Y131" s="3" t="s">
        <v>131</v>
      </c>
      <c r="Z131" s="3" t="s">
        <v>122</v>
      </c>
      <c r="AA131" s="3" t="s">
        <v>122</v>
      </c>
      <c r="AB131" s="3" t="s">
        <v>122</v>
      </c>
    </row>
    <row r="132" spans="1:28" ht="19" x14ac:dyDescent="0.25">
      <c r="A132" t="s">
        <v>283</v>
      </c>
      <c r="B132" s="2">
        <v>45973</v>
      </c>
      <c r="C132" s="3" t="str">
        <f>_xlfn.XLOOKUP(D132,'[1]Jan Customer Duplicate Hyva'!$B:$B,'[1]Jan Customer Duplicate Hyva'!$A:$A,"NOT FOUND")</f>
        <v>CUST-255</v>
      </c>
      <c r="D132" s="4" t="s">
        <v>46</v>
      </c>
      <c r="E132" s="4" t="s">
        <v>26</v>
      </c>
      <c r="F132" s="5" t="str">
        <f t="shared" si="19"/>
        <v>Ravi</v>
      </c>
      <c r="G132" s="5" t="str">
        <f t="shared" si="20"/>
        <v/>
      </c>
      <c r="H132" s="5" t="str">
        <f t="shared" si="21"/>
        <v/>
      </c>
      <c r="I132" s="5" t="str">
        <f>_xlfn.XLOOKUP(F132,'[1]Jan Labour Nd Drivers Hyva'!$B:$B,'[2]Jan Labour Nd Drivers Hyva'!$A:$A,"NOT FOUND")</f>
        <v>LAB-003</v>
      </c>
      <c r="J132" s="5" t="str">
        <f>IF(G132="","",_xlfn.XLOOKUP(G132,'[3]Jan Labour Nd Drivers Hyva'!$B:$B,'[2]Jan Labour Nd Drivers Hyva'!$A:$A,"NOT FOUND"))</f>
        <v/>
      </c>
      <c r="K132" s="5" t="str">
        <f>IF(H132="","",_xlfn.XLOOKUP(H132,'[2]Jan Labour Nd Drivers Hyva'!$B:$B,'[2]Jan Labour Nd Drivers Hyva'!$A:$A,"NOT FOUND"))</f>
        <v/>
      </c>
      <c r="L132" s="4" t="s">
        <v>87</v>
      </c>
      <c r="M132" s="6">
        <v>1</v>
      </c>
      <c r="N132" s="7">
        <v>3000</v>
      </c>
      <c r="O132" s="7">
        <f t="shared" si="22"/>
        <v>3000</v>
      </c>
      <c r="P132" s="7">
        <v>3000</v>
      </c>
      <c r="Q132" s="7">
        <f t="shared" si="28"/>
        <v>0</v>
      </c>
      <c r="R132" s="3" t="str">
        <f t="shared" si="23"/>
        <v>PAID</v>
      </c>
      <c r="S132" s="3"/>
      <c r="T132" s="3">
        <f t="shared" si="24"/>
        <v>3000</v>
      </c>
      <c r="U132" s="3" t="str">
        <f t="shared" si="25"/>
        <v>OK</v>
      </c>
      <c r="V132" s="8">
        <f t="shared" si="26"/>
        <v>0</v>
      </c>
      <c r="W132" s="3" t="str">
        <f t="shared" si="27"/>
        <v>OK</v>
      </c>
      <c r="X132" s="3" t="s">
        <v>133</v>
      </c>
      <c r="Y132" s="3" t="s">
        <v>131</v>
      </c>
      <c r="Z132" s="3" t="s">
        <v>122</v>
      </c>
      <c r="AA132" s="3" t="s">
        <v>122</v>
      </c>
      <c r="AB132" s="3" t="s">
        <v>122</v>
      </c>
    </row>
    <row r="133" spans="1:28" ht="19" x14ac:dyDescent="0.25">
      <c r="A133" t="s">
        <v>284</v>
      </c>
      <c r="B133" s="2">
        <v>45974</v>
      </c>
      <c r="C133" s="3" t="str">
        <f>_xlfn.XLOOKUP(D133,'[1]Jan Customer Duplicate Hyva'!$B:$B,'[1]Jan Customer Duplicate Hyva'!$A:$A,"NOT FOUND")</f>
        <v>CUST-255</v>
      </c>
      <c r="D133" s="4" t="s">
        <v>46</v>
      </c>
      <c r="E133" s="4" t="s">
        <v>26</v>
      </c>
      <c r="F133" s="5" t="str">
        <f t="shared" si="19"/>
        <v>Ravi</v>
      </c>
      <c r="G133" s="5" t="str">
        <f t="shared" si="20"/>
        <v/>
      </c>
      <c r="H133" s="5" t="str">
        <f t="shared" si="21"/>
        <v/>
      </c>
      <c r="I133" s="5" t="str">
        <f>_xlfn.XLOOKUP(F133,'[1]Jan Labour Nd Drivers Hyva'!$B:$B,'[2]Jan Labour Nd Drivers Hyva'!$A:$A,"NOT FOUND")</f>
        <v>LAB-003</v>
      </c>
      <c r="J133" s="5" t="str">
        <f>IF(G133="","",_xlfn.XLOOKUP(G133,'[3]Jan Labour Nd Drivers Hyva'!$B:$B,'[2]Jan Labour Nd Drivers Hyva'!$A:$A,"NOT FOUND"))</f>
        <v/>
      </c>
      <c r="K133" s="5" t="str">
        <f>IF(H133="","",_xlfn.XLOOKUP(H133,'[2]Jan Labour Nd Drivers Hyva'!$B:$B,'[2]Jan Labour Nd Drivers Hyva'!$A:$A,"NOT FOUND"))</f>
        <v/>
      </c>
      <c r="L133" s="4" t="s">
        <v>87</v>
      </c>
      <c r="M133" s="6">
        <v>2</v>
      </c>
      <c r="N133" s="7">
        <v>3000</v>
      </c>
      <c r="O133" s="7">
        <f t="shared" si="22"/>
        <v>6000</v>
      </c>
      <c r="P133" s="7">
        <v>6000</v>
      </c>
      <c r="Q133" s="7">
        <f t="shared" si="28"/>
        <v>0</v>
      </c>
      <c r="R133" s="3" t="str">
        <f t="shared" si="23"/>
        <v>PAID</v>
      </c>
      <c r="S133" s="3"/>
      <c r="T133" s="3">
        <f t="shared" si="24"/>
        <v>6000</v>
      </c>
      <c r="U133" s="3" t="str">
        <f t="shared" si="25"/>
        <v>OK</v>
      </c>
      <c r="V133" s="8">
        <f t="shared" si="26"/>
        <v>0</v>
      </c>
      <c r="W133" s="3" t="str">
        <f t="shared" si="27"/>
        <v>OK</v>
      </c>
      <c r="X133" s="3" t="s">
        <v>133</v>
      </c>
      <c r="Y133" s="3" t="s">
        <v>131</v>
      </c>
      <c r="Z133" s="3" t="s">
        <v>122</v>
      </c>
      <c r="AA133" s="3" t="s">
        <v>122</v>
      </c>
      <c r="AB133" s="3" t="s">
        <v>122</v>
      </c>
    </row>
    <row r="134" spans="1:28" ht="19" x14ac:dyDescent="0.25">
      <c r="A134" t="s">
        <v>285</v>
      </c>
      <c r="B134" s="2">
        <v>45974</v>
      </c>
      <c r="C134" s="3" t="str">
        <f>_xlfn.XLOOKUP(D134,'[1]Jan Customer Duplicate Hyva'!$B:$B,'[1]Jan Customer Duplicate Hyva'!$A:$A,"NOT FOUND")</f>
        <v>CUST-243</v>
      </c>
      <c r="D134" s="4" t="s">
        <v>78</v>
      </c>
      <c r="E134" s="4" t="s">
        <v>26</v>
      </c>
      <c r="F134" s="5" t="str">
        <f t="shared" si="19"/>
        <v>Ravi</v>
      </c>
      <c r="G134" s="5" t="str">
        <f t="shared" si="20"/>
        <v/>
      </c>
      <c r="H134" s="5" t="str">
        <f t="shared" si="21"/>
        <v/>
      </c>
      <c r="I134" s="5" t="str">
        <f>_xlfn.XLOOKUP(F134,'[1]Jan Labour Nd Drivers Hyva'!$B:$B,'[2]Jan Labour Nd Drivers Hyva'!$A:$A,"NOT FOUND")</f>
        <v>LAB-003</v>
      </c>
      <c r="J134" s="5" t="str">
        <f>IF(G134="","",_xlfn.XLOOKUP(G134,'[3]Jan Labour Nd Drivers Hyva'!$B:$B,'[2]Jan Labour Nd Drivers Hyva'!$A:$A,"NOT FOUND"))</f>
        <v/>
      </c>
      <c r="K134" s="5" t="str">
        <f>IF(H134="","",_xlfn.XLOOKUP(H134,'[2]Jan Labour Nd Drivers Hyva'!$B:$B,'[2]Jan Labour Nd Drivers Hyva'!$A:$A,"NOT FOUND"))</f>
        <v/>
      </c>
      <c r="L134" s="4" t="s">
        <v>50</v>
      </c>
      <c r="M134" s="6">
        <v>2</v>
      </c>
      <c r="N134" s="7">
        <v>3000</v>
      </c>
      <c r="O134" s="7">
        <f t="shared" si="22"/>
        <v>6000</v>
      </c>
      <c r="P134" s="7">
        <v>6000</v>
      </c>
      <c r="Q134" s="7">
        <f t="shared" si="28"/>
        <v>0</v>
      </c>
      <c r="R134" s="3" t="str">
        <f t="shared" si="23"/>
        <v>PAID</v>
      </c>
      <c r="S134" s="3"/>
      <c r="T134" s="3">
        <f t="shared" si="24"/>
        <v>6000</v>
      </c>
      <c r="U134" s="3" t="str">
        <f t="shared" si="25"/>
        <v>OK</v>
      </c>
      <c r="V134" s="8">
        <f t="shared" si="26"/>
        <v>0</v>
      </c>
      <c r="W134" s="3" t="str">
        <f t="shared" si="27"/>
        <v>OK</v>
      </c>
      <c r="X134" s="3" t="s">
        <v>133</v>
      </c>
      <c r="Y134" s="3" t="s">
        <v>131</v>
      </c>
      <c r="Z134" s="3" t="s">
        <v>122</v>
      </c>
      <c r="AA134" s="3" t="s">
        <v>122</v>
      </c>
      <c r="AB134" s="3" t="s">
        <v>122</v>
      </c>
    </row>
    <row r="135" spans="1:28" ht="19" x14ac:dyDescent="0.25">
      <c r="A135" t="s">
        <v>286</v>
      </c>
      <c r="B135" s="2">
        <v>45975</v>
      </c>
      <c r="C135" s="3" t="str">
        <f>_xlfn.XLOOKUP(D135,'[1]Jan Customer Duplicate Hyva'!$B:$B,'[1]Jan Customer Duplicate Hyva'!$A:$A,"NOT FOUND")</f>
        <v>CUST-059</v>
      </c>
      <c r="D135" s="4" t="s">
        <v>77</v>
      </c>
      <c r="E135" s="4" t="s">
        <v>26</v>
      </c>
      <c r="F135" s="5" t="str">
        <f t="shared" si="19"/>
        <v>Ravi</v>
      </c>
      <c r="G135" s="5" t="str">
        <f t="shared" si="20"/>
        <v/>
      </c>
      <c r="H135" s="5" t="str">
        <f t="shared" si="21"/>
        <v/>
      </c>
      <c r="I135" s="5" t="str">
        <f>_xlfn.XLOOKUP(F135,'[1]Jan Labour Nd Drivers Hyva'!$B:$B,'[2]Jan Labour Nd Drivers Hyva'!$A:$A,"NOT FOUND")</f>
        <v>LAB-003</v>
      </c>
      <c r="J135" s="5" t="str">
        <f>IF(G135="","",_xlfn.XLOOKUP(G135,'[3]Jan Labour Nd Drivers Hyva'!$B:$B,'[2]Jan Labour Nd Drivers Hyva'!$A:$A,"NOT FOUND"))</f>
        <v/>
      </c>
      <c r="K135" s="5" t="str">
        <f>IF(H135="","",_xlfn.XLOOKUP(H135,'[2]Jan Labour Nd Drivers Hyva'!$B:$B,'[2]Jan Labour Nd Drivers Hyva'!$A:$A,"NOT FOUND"))</f>
        <v/>
      </c>
      <c r="L135" s="4" t="s">
        <v>99</v>
      </c>
      <c r="M135" s="6">
        <v>1</v>
      </c>
      <c r="N135" s="7">
        <v>6500</v>
      </c>
      <c r="O135" s="7">
        <f t="shared" si="22"/>
        <v>6500</v>
      </c>
      <c r="P135" s="7">
        <v>6500</v>
      </c>
      <c r="Q135" s="7">
        <f t="shared" si="28"/>
        <v>0</v>
      </c>
      <c r="R135" s="3" t="str">
        <f t="shared" si="23"/>
        <v>PAID</v>
      </c>
      <c r="S135" s="3"/>
      <c r="T135" s="3">
        <f t="shared" si="24"/>
        <v>6500</v>
      </c>
      <c r="U135" s="3" t="str">
        <f t="shared" si="25"/>
        <v>OK</v>
      </c>
      <c r="V135" s="8">
        <f t="shared" si="26"/>
        <v>0</v>
      </c>
      <c r="W135" s="3" t="str">
        <f t="shared" si="27"/>
        <v>OK</v>
      </c>
      <c r="X135" s="3" t="s">
        <v>133</v>
      </c>
      <c r="Y135" s="3" t="s">
        <v>131</v>
      </c>
      <c r="Z135" s="3" t="s">
        <v>122</v>
      </c>
      <c r="AA135" s="3" t="s">
        <v>122</v>
      </c>
      <c r="AB135" s="3" t="s">
        <v>122</v>
      </c>
    </row>
    <row r="136" spans="1:28" ht="19" x14ac:dyDescent="0.25">
      <c r="A136" t="s">
        <v>287</v>
      </c>
      <c r="B136" s="2">
        <v>45975</v>
      </c>
      <c r="C136" s="3" t="str">
        <f>_xlfn.XLOOKUP(D136,'[1]Jan Customer Duplicate Hyva'!$B:$B,'[1]Jan Customer Duplicate Hyva'!$A:$A,"NOT FOUND")</f>
        <v>CUST-255</v>
      </c>
      <c r="D136" s="4" t="s">
        <v>46</v>
      </c>
      <c r="E136" s="4" t="s">
        <v>100</v>
      </c>
      <c r="F136" s="5" t="str">
        <f t="shared" si="19"/>
        <v>Dhanraj</v>
      </c>
      <c r="G136" s="5" t="str">
        <f t="shared" si="20"/>
        <v/>
      </c>
      <c r="H136" s="5" t="str">
        <f t="shared" si="21"/>
        <v/>
      </c>
      <c r="I136" s="5" t="str">
        <f>_xlfn.XLOOKUP(F136,'[1]Jan Labour Nd Drivers Hyva'!$B:$B,'[2]Jan Labour Nd Drivers Hyva'!$A:$A,"NOT FOUND")</f>
        <v>LAB-010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4" t="s">
        <v>87</v>
      </c>
      <c r="M136" s="6">
        <v>1</v>
      </c>
      <c r="N136" s="7">
        <v>3000</v>
      </c>
      <c r="O136" s="7">
        <f t="shared" si="22"/>
        <v>3000</v>
      </c>
      <c r="P136" s="7">
        <v>3000</v>
      </c>
      <c r="Q136" s="7">
        <f t="shared" si="28"/>
        <v>0</v>
      </c>
      <c r="R136" s="3" t="str">
        <f t="shared" si="23"/>
        <v>PAID</v>
      </c>
      <c r="S136" s="3"/>
      <c r="T136" s="3">
        <f t="shared" si="24"/>
        <v>3000</v>
      </c>
      <c r="U136" s="3" t="str">
        <f t="shared" si="25"/>
        <v>OK</v>
      </c>
      <c r="V136" s="8">
        <f t="shared" si="26"/>
        <v>0</v>
      </c>
      <c r="W136" s="3" t="str">
        <f t="shared" si="27"/>
        <v>OK</v>
      </c>
      <c r="X136" s="3" t="s">
        <v>133</v>
      </c>
      <c r="Y136" s="3" t="s">
        <v>131</v>
      </c>
      <c r="Z136" s="3" t="s">
        <v>122</v>
      </c>
      <c r="AA136" s="3" t="s">
        <v>122</v>
      </c>
      <c r="AB136" s="3" t="s">
        <v>122</v>
      </c>
    </row>
    <row r="137" spans="1:28" ht="19" x14ac:dyDescent="0.25">
      <c r="A137" t="s">
        <v>288</v>
      </c>
      <c r="B137" s="2">
        <v>45975</v>
      </c>
      <c r="C137" s="3" t="str">
        <f>_xlfn.XLOOKUP(D137,'[1]Jan Customer Duplicate Hyva'!$B:$B,'[1]Jan Customer Duplicate Hyva'!$A:$A,"NOT FOUND")</f>
        <v>CUST-243</v>
      </c>
      <c r="D137" s="4" t="s">
        <v>78</v>
      </c>
      <c r="E137" s="4" t="s">
        <v>26</v>
      </c>
      <c r="F137" s="5" t="str">
        <f t="shared" si="19"/>
        <v>Ravi</v>
      </c>
      <c r="G137" s="5" t="str">
        <f t="shared" si="20"/>
        <v/>
      </c>
      <c r="H137" s="5" t="str">
        <f t="shared" si="21"/>
        <v/>
      </c>
      <c r="I137" s="5" t="str">
        <f>_xlfn.XLOOKUP(F137,'[1]Jan Labour Nd Drivers Hyva'!$B:$B,'[2]Jan Labour Nd Drivers Hyva'!$A:$A,"NOT FOUND")</f>
        <v>LAB-003</v>
      </c>
      <c r="J137" s="5" t="str">
        <f>IF(G137="","",_xlfn.XLOOKUP(G137,'[3]Jan Labour Nd Drivers Hyva'!$B:$B,'[2]Jan Labour Nd Drivers Hyva'!$A:$A,"NOT FOUND"))</f>
        <v/>
      </c>
      <c r="K137" s="5" t="str">
        <f>IF(H137="","",_xlfn.XLOOKUP(H137,'[2]Jan Labour Nd Drivers Hyva'!$B:$B,'[2]Jan Labour Nd Drivers Hyva'!$A:$A,"NOT FOUND"))</f>
        <v/>
      </c>
      <c r="L137" s="4" t="s">
        <v>50</v>
      </c>
      <c r="M137" s="6">
        <v>3</v>
      </c>
      <c r="N137" s="7">
        <v>3000</v>
      </c>
      <c r="O137" s="7">
        <f t="shared" si="22"/>
        <v>9000</v>
      </c>
      <c r="P137" s="7">
        <v>9000</v>
      </c>
      <c r="Q137" s="7">
        <f t="shared" si="28"/>
        <v>0</v>
      </c>
      <c r="R137" s="3" t="str">
        <f t="shared" si="23"/>
        <v>PAID</v>
      </c>
      <c r="S137" s="3"/>
      <c r="T137" s="3">
        <f t="shared" si="24"/>
        <v>9000</v>
      </c>
      <c r="U137" s="3" t="str">
        <f t="shared" si="25"/>
        <v>OK</v>
      </c>
      <c r="V137" s="8">
        <f t="shared" si="26"/>
        <v>0</v>
      </c>
      <c r="W137" s="3" t="str">
        <f t="shared" si="27"/>
        <v>OK</v>
      </c>
      <c r="X137" s="3" t="s">
        <v>133</v>
      </c>
      <c r="Y137" s="3" t="s">
        <v>131</v>
      </c>
      <c r="Z137" s="3" t="s">
        <v>122</v>
      </c>
      <c r="AA137" s="3" t="s">
        <v>122</v>
      </c>
      <c r="AB137" s="3" t="s">
        <v>122</v>
      </c>
    </row>
    <row r="138" spans="1:28" ht="19" x14ac:dyDescent="0.25">
      <c r="A138" t="s">
        <v>289</v>
      </c>
      <c r="B138" s="2">
        <v>45975</v>
      </c>
      <c r="C138" s="3" t="str">
        <f>_xlfn.XLOOKUP(D138,'[1]Jan Customer Duplicate Hyva'!$B:$B,'[1]Jan Customer Duplicate Hyva'!$A:$A,"NOT FOUND")</f>
        <v>CUST-323</v>
      </c>
      <c r="D138" s="4" t="s">
        <v>101</v>
      </c>
      <c r="E138" s="4" t="s">
        <v>100</v>
      </c>
      <c r="F138" s="5" t="str">
        <f t="shared" si="19"/>
        <v>Dhanraj</v>
      </c>
      <c r="G138" s="5" t="str">
        <f t="shared" si="20"/>
        <v/>
      </c>
      <c r="H138" s="5" t="str">
        <f t="shared" si="21"/>
        <v/>
      </c>
      <c r="I138" s="5" t="str">
        <f>_xlfn.XLOOKUP(F138,'[1]Jan Labour Nd Drivers Hyva'!$B:$B,'[2]Jan Labour Nd Drivers Hyva'!$A:$A,"NOT FOUND")</f>
        <v>LAB-010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4" t="s">
        <v>102</v>
      </c>
      <c r="M138" s="6">
        <v>1</v>
      </c>
      <c r="N138" s="7">
        <v>3000</v>
      </c>
      <c r="O138" s="7">
        <f t="shared" si="22"/>
        <v>3000</v>
      </c>
      <c r="P138" s="7"/>
      <c r="Q138" s="7">
        <f t="shared" si="28"/>
        <v>3000</v>
      </c>
      <c r="R138" s="3" t="str">
        <f t="shared" si="23"/>
        <v>UNPAID</v>
      </c>
      <c r="S138" s="3"/>
      <c r="T138" s="3">
        <f t="shared" si="24"/>
        <v>3000</v>
      </c>
      <c r="U138" s="3" t="str">
        <f t="shared" si="25"/>
        <v>OK</v>
      </c>
      <c r="V138" s="8">
        <f t="shared" si="26"/>
        <v>3000</v>
      </c>
      <c r="W138" s="3" t="str">
        <f t="shared" si="27"/>
        <v>OK</v>
      </c>
      <c r="X138" s="3" t="s">
        <v>133</v>
      </c>
      <c r="Y138" s="3" t="s">
        <v>131</v>
      </c>
      <c r="Z138" s="3" t="s">
        <v>122</v>
      </c>
      <c r="AA138" s="3" t="s">
        <v>122</v>
      </c>
      <c r="AB138" s="3" t="s">
        <v>122</v>
      </c>
    </row>
    <row r="139" spans="1:28" ht="19" x14ac:dyDescent="0.25">
      <c r="A139" t="s">
        <v>290</v>
      </c>
      <c r="B139" s="2">
        <v>45976</v>
      </c>
      <c r="C139" s="3" t="str">
        <f>_xlfn.XLOOKUP(D139,'[1]Jan Customer Duplicate Hyva'!$B:$B,'[1]Jan Customer Duplicate Hyva'!$A:$A,"NOT FOUND")</f>
        <v>CUST-018</v>
      </c>
      <c r="D139" s="4" t="s">
        <v>103</v>
      </c>
      <c r="E139" s="4" t="s">
        <v>26</v>
      </c>
      <c r="F139" s="5" t="str">
        <f t="shared" si="19"/>
        <v>Ravi</v>
      </c>
      <c r="G139" s="5" t="str">
        <f t="shared" si="20"/>
        <v/>
      </c>
      <c r="H139" s="5" t="str">
        <f t="shared" si="21"/>
        <v/>
      </c>
      <c r="I139" s="5" t="str">
        <f>_xlfn.XLOOKUP(F139,'[1]Jan Labour Nd Drivers Hyva'!$B:$B,'[2]Jan Labour Nd Drivers Hyva'!$A:$A,"NOT FOUND")</f>
        <v>LAB-003</v>
      </c>
      <c r="J139" s="5" t="str">
        <f>IF(G139="","",_xlfn.XLOOKUP(G139,'[3]Jan Labour Nd Drivers Hyva'!$B:$B,'[2]Jan Labour Nd Drivers Hyva'!$A:$A,"NOT FOUND"))</f>
        <v/>
      </c>
      <c r="K139" s="5" t="str">
        <f>IF(H139="","",_xlfn.XLOOKUP(H139,'[2]Jan Labour Nd Drivers Hyva'!$B:$B,'[2]Jan Labour Nd Drivers Hyva'!$A:$A,"NOT FOUND"))</f>
        <v/>
      </c>
      <c r="L139" s="4" t="s">
        <v>104</v>
      </c>
      <c r="M139" s="6">
        <v>2</v>
      </c>
      <c r="N139" s="7">
        <v>1800</v>
      </c>
      <c r="O139" s="7">
        <f t="shared" si="22"/>
        <v>3600</v>
      </c>
      <c r="P139" s="7">
        <v>3600</v>
      </c>
      <c r="Q139" s="7">
        <f t="shared" si="28"/>
        <v>0</v>
      </c>
      <c r="R139" s="3" t="str">
        <f t="shared" si="23"/>
        <v>PAID</v>
      </c>
      <c r="S139" s="3"/>
      <c r="T139" s="3">
        <f t="shared" si="24"/>
        <v>3600</v>
      </c>
      <c r="U139" s="3" t="str">
        <f t="shared" si="25"/>
        <v>OK</v>
      </c>
      <c r="V139" s="8">
        <f t="shared" si="26"/>
        <v>0</v>
      </c>
      <c r="W139" s="3" t="str">
        <f t="shared" si="27"/>
        <v>OK</v>
      </c>
      <c r="X139" s="3" t="s">
        <v>133</v>
      </c>
      <c r="Y139" s="3" t="s">
        <v>131</v>
      </c>
      <c r="Z139" s="3" t="s">
        <v>122</v>
      </c>
      <c r="AA139" s="3" t="s">
        <v>122</v>
      </c>
      <c r="AB139" s="3" t="s">
        <v>122</v>
      </c>
    </row>
    <row r="140" spans="1:28" ht="19" x14ac:dyDescent="0.25">
      <c r="A140" t="s">
        <v>291</v>
      </c>
      <c r="B140" s="2">
        <v>45976</v>
      </c>
      <c r="C140" s="3" t="str">
        <f>_xlfn.XLOOKUP(D140,'[1]Jan Customer Duplicate Hyva'!$B:$B,'[1]Jan Customer Duplicate Hyva'!$A:$A,"NOT FOUND")</f>
        <v>CUST-255</v>
      </c>
      <c r="D140" s="4" t="s">
        <v>46</v>
      </c>
      <c r="E140" s="4" t="s">
        <v>26</v>
      </c>
      <c r="F140" s="5" t="str">
        <f t="shared" si="19"/>
        <v>Ravi</v>
      </c>
      <c r="G140" s="5" t="str">
        <f t="shared" si="20"/>
        <v/>
      </c>
      <c r="H140" s="5" t="str">
        <f t="shared" si="21"/>
        <v/>
      </c>
      <c r="I140" s="5" t="str">
        <f>_xlfn.XLOOKUP(F140,'[1]Jan Labour Nd Drivers Hyva'!$B:$B,'[2]Jan Labour Nd Drivers Hyva'!$A:$A,"NOT FOUND")</f>
        <v>LAB-003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4" t="s">
        <v>87</v>
      </c>
      <c r="M140" s="6">
        <v>1</v>
      </c>
      <c r="N140" s="7">
        <v>3000</v>
      </c>
      <c r="O140" s="7">
        <f t="shared" si="22"/>
        <v>3000</v>
      </c>
      <c r="P140" s="7">
        <v>3000</v>
      </c>
      <c r="Q140" s="7">
        <f t="shared" si="28"/>
        <v>0</v>
      </c>
      <c r="R140" s="3" t="str">
        <f t="shared" si="23"/>
        <v>PAID</v>
      </c>
      <c r="S140" s="3"/>
      <c r="T140" s="3">
        <f t="shared" si="24"/>
        <v>3000</v>
      </c>
      <c r="U140" s="3" t="str">
        <f t="shared" si="25"/>
        <v>OK</v>
      </c>
      <c r="V140" s="8">
        <f t="shared" si="26"/>
        <v>0</v>
      </c>
      <c r="W140" s="3" t="str">
        <f t="shared" si="27"/>
        <v>OK</v>
      </c>
      <c r="X140" s="3" t="s">
        <v>133</v>
      </c>
      <c r="Y140" s="3" t="s">
        <v>131</v>
      </c>
      <c r="Z140" s="3" t="s">
        <v>122</v>
      </c>
      <c r="AA140" s="3" t="s">
        <v>122</v>
      </c>
      <c r="AB140" s="3" t="s">
        <v>122</v>
      </c>
    </row>
    <row r="141" spans="1:28" ht="19" x14ac:dyDescent="0.25">
      <c r="A141" t="s">
        <v>292</v>
      </c>
      <c r="B141" s="2">
        <v>45977</v>
      </c>
      <c r="C141" s="3" t="str">
        <f>_xlfn.XLOOKUP(D141,'[1]Jan Customer Duplicate Hyva'!$B:$B,'[1]Jan Customer Duplicate Hyva'!$A:$A,"NOT FOUND")</f>
        <v>CUST-146</v>
      </c>
      <c r="D141" s="4" t="s">
        <v>126</v>
      </c>
      <c r="E141" s="4" t="s">
        <v>100</v>
      </c>
      <c r="F141" s="5" t="str">
        <f t="shared" si="19"/>
        <v>Dhanraj</v>
      </c>
      <c r="G141" s="5" t="str">
        <f t="shared" si="20"/>
        <v/>
      </c>
      <c r="H141" s="5" t="str">
        <f t="shared" si="21"/>
        <v/>
      </c>
      <c r="I141" s="5" t="str">
        <f>_xlfn.XLOOKUP(F141,'[1]Jan Labour Nd Drivers Hyva'!$B:$B,'[2]Jan Labour Nd Drivers Hyva'!$A:$A,"NOT FOUND")</f>
        <v>LAB-010</v>
      </c>
      <c r="J141" s="5" t="str">
        <f>IF(G141="","",_xlfn.XLOOKUP(G141,'[3]Jan Labour Nd Drivers Hyva'!$B:$B,'[2]Jan Labour Nd Drivers Hyva'!$A:$A,"NOT FOUND"))</f>
        <v/>
      </c>
      <c r="K141" s="5" t="str">
        <f>IF(H141="","",_xlfn.XLOOKUP(H141,'[2]Jan Labour Nd Drivers Hyva'!$B:$B,'[2]Jan Labour Nd Drivers Hyva'!$A:$A,"NOT FOUND"))</f>
        <v/>
      </c>
      <c r="L141" s="4" t="s">
        <v>105</v>
      </c>
      <c r="M141" s="6">
        <v>1</v>
      </c>
      <c r="N141" s="7">
        <v>3000</v>
      </c>
      <c r="O141" s="7">
        <f t="shared" si="22"/>
        <v>3000</v>
      </c>
      <c r="P141" s="7">
        <v>3000</v>
      </c>
      <c r="Q141" s="7">
        <f t="shared" si="28"/>
        <v>0</v>
      </c>
      <c r="R141" s="3" t="str">
        <f t="shared" si="23"/>
        <v>PAID</v>
      </c>
      <c r="S141" s="3"/>
      <c r="T141" s="3">
        <f t="shared" si="24"/>
        <v>3000</v>
      </c>
      <c r="U141" s="3" t="str">
        <f t="shared" si="25"/>
        <v>OK</v>
      </c>
      <c r="V141" s="8">
        <f t="shared" si="26"/>
        <v>0</v>
      </c>
      <c r="W141" s="3" t="str">
        <f t="shared" si="27"/>
        <v>OK</v>
      </c>
      <c r="X141" s="3" t="s">
        <v>133</v>
      </c>
      <c r="Y141" s="3" t="s">
        <v>131</v>
      </c>
      <c r="Z141" s="3" t="s">
        <v>122</v>
      </c>
      <c r="AA141" s="3" t="s">
        <v>122</v>
      </c>
      <c r="AB141" s="3" t="s">
        <v>122</v>
      </c>
    </row>
    <row r="142" spans="1:28" ht="19" x14ac:dyDescent="0.25">
      <c r="A142" t="s">
        <v>293</v>
      </c>
      <c r="B142" s="2">
        <v>45977</v>
      </c>
      <c r="C142" s="3" t="str">
        <f>_xlfn.XLOOKUP(D142,'[1]Jan Customer Duplicate Hyva'!$B:$B,'[1]Jan Customer Duplicate Hyva'!$A:$A,"NOT FOUND")</f>
        <v>CUST-157</v>
      </c>
      <c r="D142" s="4" t="s">
        <v>129</v>
      </c>
      <c r="E142" s="4" t="s">
        <v>100</v>
      </c>
      <c r="F142" s="5" t="str">
        <f t="shared" si="19"/>
        <v>Dhanraj</v>
      </c>
      <c r="G142" s="5" t="str">
        <f t="shared" si="20"/>
        <v/>
      </c>
      <c r="H142" s="5" t="str">
        <f t="shared" si="21"/>
        <v/>
      </c>
      <c r="I142" s="5" t="str">
        <f>_xlfn.XLOOKUP(F142,'[1]Jan Labour Nd Drivers Hyva'!$B:$B,'[2]Jan Labour Nd Drivers Hyva'!$A:$A,"NOT FOUND")</f>
        <v>LAB-010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4" t="s">
        <v>106</v>
      </c>
      <c r="M142" s="6">
        <v>1</v>
      </c>
      <c r="N142" s="7">
        <v>3500</v>
      </c>
      <c r="O142" s="7">
        <f t="shared" si="22"/>
        <v>3500</v>
      </c>
      <c r="P142" s="7">
        <v>3500</v>
      </c>
      <c r="Q142" s="7">
        <f t="shared" si="28"/>
        <v>0</v>
      </c>
      <c r="R142" s="3" t="str">
        <f t="shared" si="23"/>
        <v>PAID</v>
      </c>
      <c r="S142" s="3"/>
      <c r="T142" s="3">
        <f t="shared" si="24"/>
        <v>3500</v>
      </c>
      <c r="U142" s="3" t="str">
        <f t="shared" si="25"/>
        <v>OK</v>
      </c>
      <c r="V142" s="8">
        <f t="shared" si="26"/>
        <v>0</v>
      </c>
      <c r="W142" s="3" t="str">
        <f t="shared" si="27"/>
        <v>OK</v>
      </c>
      <c r="X142" s="3" t="s">
        <v>133</v>
      </c>
      <c r="Y142" s="3" t="s">
        <v>131</v>
      </c>
      <c r="Z142" s="3" t="s">
        <v>122</v>
      </c>
      <c r="AA142" s="3" t="s">
        <v>122</v>
      </c>
      <c r="AB142" s="3" t="s">
        <v>122</v>
      </c>
    </row>
    <row r="143" spans="1:28" ht="19" x14ac:dyDescent="0.25">
      <c r="A143" t="s">
        <v>294</v>
      </c>
      <c r="B143" s="2">
        <v>45977</v>
      </c>
      <c r="C143" s="3" t="str">
        <f>_xlfn.XLOOKUP(D143,'[1]Jan Customer Duplicate Hyva'!$B:$B,'[1]Jan Customer Duplicate Hyva'!$A:$A,"NOT FOUND")</f>
        <v>CUST-255</v>
      </c>
      <c r="D143" s="4" t="s">
        <v>46</v>
      </c>
      <c r="E143" s="4" t="s">
        <v>100</v>
      </c>
      <c r="F143" s="5" t="str">
        <f t="shared" si="19"/>
        <v>Dhanraj</v>
      </c>
      <c r="G143" s="5" t="str">
        <f t="shared" si="20"/>
        <v/>
      </c>
      <c r="H143" s="5" t="str">
        <f t="shared" si="21"/>
        <v/>
      </c>
      <c r="I143" s="5" t="str">
        <f>_xlfn.XLOOKUP(F143,'[1]Jan Labour Nd Drivers Hyva'!$B:$B,'[2]Jan Labour Nd Drivers Hyva'!$A:$A,"NOT FOUND")</f>
        <v>LAB-010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4" t="s">
        <v>87</v>
      </c>
      <c r="M143" s="6">
        <v>1</v>
      </c>
      <c r="N143" s="7">
        <v>3000</v>
      </c>
      <c r="O143" s="7">
        <f t="shared" si="22"/>
        <v>3000</v>
      </c>
      <c r="P143" s="7">
        <v>3000</v>
      </c>
      <c r="Q143" s="7">
        <f t="shared" si="28"/>
        <v>0</v>
      </c>
      <c r="R143" s="3" t="str">
        <f t="shared" si="23"/>
        <v>PAID</v>
      </c>
      <c r="S143" s="3"/>
      <c r="T143" s="3">
        <f t="shared" si="24"/>
        <v>3000</v>
      </c>
      <c r="U143" s="3" t="str">
        <f t="shared" si="25"/>
        <v>OK</v>
      </c>
      <c r="V143" s="8">
        <f t="shared" si="26"/>
        <v>0</v>
      </c>
      <c r="W143" s="3" t="str">
        <f t="shared" si="27"/>
        <v>OK</v>
      </c>
      <c r="X143" s="3" t="s">
        <v>133</v>
      </c>
      <c r="Y143" s="3" t="s">
        <v>131</v>
      </c>
      <c r="Z143" s="3" t="s">
        <v>122</v>
      </c>
      <c r="AA143" s="3" t="s">
        <v>122</v>
      </c>
      <c r="AB143" s="3" t="s">
        <v>122</v>
      </c>
    </row>
    <row r="144" spans="1:28" ht="19" x14ac:dyDescent="0.25">
      <c r="A144" t="s">
        <v>295</v>
      </c>
      <c r="B144" s="2">
        <v>45980</v>
      </c>
      <c r="C144" s="3" t="str">
        <f>_xlfn.XLOOKUP(D144,'[1]Jan Customer Duplicate Hyva'!$B:$B,'[1]Jan Customer Duplicate Hyva'!$A:$A,"NOT FOUND")</f>
        <v>CUST-157</v>
      </c>
      <c r="D144" s="4" t="s">
        <v>129</v>
      </c>
      <c r="E144" s="4" t="s">
        <v>26</v>
      </c>
      <c r="F144" s="5" t="str">
        <f t="shared" si="19"/>
        <v>Ravi</v>
      </c>
      <c r="G144" s="5" t="str">
        <f t="shared" si="20"/>
        <v/>
      </c>
      <c r="H144" s="5" t="str">
        <f t="shared" si="21"/>
        <v/>
      </c>
      <c r="I144" s="5" t="str">
        <f>_xlfn.XLOOKUP(F144,'[1]Jan Labour Nd Drivers Hyva'!$B:$B,'[2]Jan Labour Nd Drivers Hyva'!$A:$A,"NOT FOUND")</f>
        <v>LAB-003</v>
      </c>
      <c r="J144" s="5" t="str">
        <f>IF(G144="","",_xlfn.XLOOKUP(G144,'[3]Jan Labour Nd Drivers Hyva'!$B:$B,'[2]Jan Labour Nd Drivers Hyva'!$A:$A,"NOT FOUND"))</f>
        <v/>
      </c>
      <c r="K144" s="5" t="str">
        <f>IF(H144="","",_xlfn.XLOOKUP(H144,'[2]Jan Labour Nd Drivers Hyva'!$B:$B,'[2]Jan Labour Nd Drivers Hyva'!$A:$A,"NOT FOUND"))</f>
        <v/>
      </c>
      <c r="L144" s="4" t="s">
        <v>106</v>
      </c>
      <c r="M144" s="6">
        <v>3</v>
      </c>
      <c r="N144" s="7">
        <v>3500</v>
      </c>
      <c r="O144" s="7">
        <f t="shared" si="22"/>
        <v>10500</v>
      </c>
      <c r="P144" s="7">
        <v>10500</v>
      </c>
      <c r="Q144" s="7">
        <f t="shared" si="28"/>
        <v>0</v>
      </c>
      <c r="R144" s="3" t="str">
        <f t="shared" si="23"/>
        <v>PAID</v>
      </c>
      <c r="S144" s="3"/>
      <c r="T144" s="3">
        <f t="shared" si="24"/>
        <v>10500</v>
      </c>
      <c r="U144" s="3" t="str">
        <f t="shared" si="25"/>
        <v>OK</v>
      </c>
      <c r="V144" s="8">
        <f t="shared" si="26"/>
        <v>0</v>
      </c>
      <c r="W144" s="3" t="str">
        <f t="shared" si="27"/>
        <v>OK</v>
      </c>
      <c r="X144" s="3" t="s">
        <v>133</v>
      </c>
      <c r="Y144" s="3" t="s">
        <v>131</v>
      </c>
      <c r="Z144" s="3" t="s">
        <v>122</v>
      </c>
      <c r="AA144" s="3" t="s">
        <v>122</v>
      </c>
      <c r="AB144" s="3" t="s">
        <v>122</v>
      </c>
    </row>
    <row r="145" spans="1:28" ht="19" x14ac:dyDescent="0.25">
      <c r="A145" t="s">
        <v>296</v>
      </c>
      <c r="B145" s="2">
        <v>45980</v>
      </c>
      <c r="C145" s="3" t="str">
        <f>_xlfn.XLOOKUP(D145,'[1]Jan Customer Duplicate Hyva'!$B:$B,'[1]Jan Customer Duplicate Hyva'!$A:$A,"NOT FOUND")</f>
        <v>CUST-191</v>
      </c>
      <c r="D145" s="4" t="s">
        <v>107</v>
      </c>
      <c r="E145" s="4" t="s">
        <v>26</v>
      </c>
      <c r="F145" s="5" t="str">
        <f t="shared" si="19"/>
        <v>Ravi</v>
      </c>
      <c r="G145" s="5" t="str">
        <f t="shared" si="20"/>
        <v/>
      </c>
      <c r="H145" s="5" t="str">
        <f t="shared" si="21"/>
        <v/>
      </c>
      <c r="I145" s="5" t="str">
        <f>_xlfn.XLOOKUP(F145,'[1]Jan Labour Nd Drivers Hyva'!$B:$B,'[2]Jan Labour Nd Drivers Hyva'!$A:$A,"NOT FOUND")</f>
        <v>LAB-003</v>
      </c>
      <c r="J145" s="5" t="str">
        <f>IF(G145="","",_xlfn.XLOOKUP(G145,'[3]Jan Labour Nd Drivers Hyva'!$B:$B,'[2]Jan Labour Nd Drivers Hyva'!$A:$A,"NOT FOUND"))</f>
        <v/>
      </c>
      <c r="K145" s="5" t="str">
        <f>IF(H145="","",_xlfn.XLOOKUP(H145,'[2]Jan Labour Nd Drivers Hyva'!$B:$B,'[2]Jan Labour Nd Drivers Hyva'!$A:$A,"NOT FOUND"))</f>
        <v/>
      </c>
      <c r="L145" s="4" t="s">
        <v>108</v>
      </c>
      <c r="M145" s="6">
        <v>1</v>
      </c>
      <c r="N145" s="7">
        <v>4000</v>
      </c>
      <c r="O145" s="7">
        <f t="shared" si="22"/>
        <v>4000</v>
      </c>
      <c r="P145" s="7">
        <v>4000</v>
      </c>
      <c r="Q145" s="7">
        <f t="shared" si="28"/>
        <v>0</v>
      </c>
      <c r="R145" s="3" t="str">
        <f t="shared" si="23"/>
        <v>PAID</v>
      </c>
      <c r="S145" s="3"/>
      <c r="T145" s="3">
        <f t="shared" si="24"/>
        <v>4000</v>
      </c>
      <c r="U145" s="3" t="str">
        <f t="shared" si="25"/>
        <v>OK</v>
      </c>
      <c r="V145" s="8">
        <f t="shared" si="26"/>
        <v>0</v>
      </c>
      <c r="W145" s="3" t="str">
        <f t="shared" si="27"/>
        <v>OK</v>
      </c>
      <c r="X145" s="3" t="s">
        <v>133</v>
      </c>
      <c r="Y145" s="3" t="s">
        <v>131</v>
      </c>
      <c r="Z145" s="3" t="s">
        <v>122</v>
      </c>
      <c r="AA145" s="3" t="s">
        <v>122</v>
      </c>
      <c r="AB145" s="3" t="s">
        <v>122</v>
      </c>
    </row>
    <row r="146" spans="1:28" ht="19" x14ac:dyDescent="0.25">
      <c r="A146" t="s">
        <v>297</v>
      </c>
      <c r="B146" s="2">
        <v>45981</v>
      </c>
      <c r="C146" s="3" t="str">
        <f>_xlfn.XLOOKUP(D146,'[1]Jan Customer Duplicate Hyva'!$B:$B,'[1]Jan Customer Duplicate Hyva'!$A:$A,"NOT FOUND")</f>
        <v>CUST-157</v>
      </c>
      <c r="D146" s="4" t="s">
        <v>129</v>
      </c>
      <c r="E146" s="4" t="s">
        <v>26</v>
      </c>
      <c r="F146" s="5" t="str">
        <f t="shared" si="19"/>
        <v>Ravi</v>
      </c>
      <c r="G146" s="5" t="str">
        <f t="shared" si="20"/>
        <v/>
      </c>
      <c r="H146" s="5" t="str">
        <f t="shared" si="21"/>
        <v/>
      </c>
      <c r="I146" s="5" t="str">
        <f>_xlfn.XLOOKUP(F146,'[1]Jan Labour Nd Drivers Hyva'!$B:$B,'[2]Jan Labour Nd Drivers Hyva'!$A:$A,"NOT FOUND")</f>
        <v>LAB-003</v>
      </c>
      <c r="J146" s="5" t="str">
        <f>IF(G146="","",_xlfn.XLOOKUP(G146,'[3]Jan Labour Nd Drivers Hyva'!$B:$B,'[2]Jan Labour Nd Drivers Hyva'!$A:$A,"NOT FOUND"))</f>
        <v/>
      </c>
      <c r="K146" s="5" t="str">
        <f>IF(H146="","",_xlfn.XLOOKUP(H146,'[2]Jan Labour Nd Drivers Hyva'!$B:$B,'[2]Jan Labour Nd Drivers Hyva'!$A:$A,"NOT FOUND"))</f>
        <v/>
      </c>
      <c r="L146" s="4" t="s">
        <v>106</v>
      </c>
      <c r="M146" s="6">
        <v>6</v>
      </c>
      <c r="N146" s="7">
        <v>3500</v>
      </c>
      <c r="O146" s="7">
        <f t="shared" si="22"/>
        <v>21000</v>
      </c>
      <c r="P146" s="7">
        <v>21000</v>
      </c>
      <c r="Q146" s="7">
        <f t="shared" si="28"/>
        <v>0</v>
      </c>
      <c r="R146" s="3" t="str">
        <f t="shared" si="23"/>
        <v>PAID</v>
      </c>
      <c r="S146" s="3"/>
      <c r="T146" s="3">
        <f t="shared" si="24"/>
        <v>21000</v>
      </c>
      <c r="U146" s="3" t="str">
        <f t="shared" si="25"/>
        <v>OK</v>
      </c>
      <c r="V146" s="8">
        <f t="shared" si="26"/>
        <v>0</v>
      </c>
      <c r="W146" s="3" t="str">
        <f t="shared" si="27"/>
        <v>OK</v>
      </c>
      <c r="X146" s="3" t="s">
        <v>133</v>
      </c>
      <c r="Y146" s="3" t="s">
        <v>131</v>
      </c>
      <c r="Z146" s="3" t="s">
        <v>122</v>
      </c>
      <c r="AA146" s="3" t="s">
        <v>122</v>
      </c>
      <c r="AB146" s="3" t="s">
        <v>122</v>
      </c>
    </row>
    <row r="147" spans="1:28" ht="19" x14ac:dyDescent="0.25">
      <c r="A147" t="s">
        <v>298</v>
      </c>
      <c r="B147" s="2">
        <v>45982</v>
      </c>
      <c r="C147" s="3" t="str">
        <f>_xlfn.XLOOKUP(D147,'[1]Jan Customer Duplicate Hyva'!$B:$B,'[1]Jan Customer Duplicate Hyva'!$A:$A,"NOT FOUND")</f>
        <v>CUST-157</v>
      </c>
      <c r="D147" s="4" t="s">
        <v>129</v>
      </c>
      <c r="E147" s="4" t="s">
        <v>26</v>
      </c>
      <c r="F147" s="5" t="str">
        <f t="shared" si="19"/>
        <v>Ravi</v>
      </c>
      <c r="G147" s="5" t="str">
        <f t="shared" si="20"/>
        <v/>
      </c>
      <c r="H147" s="5" t="str">
        <f t="shared" si="21"/>
        <v/>
      </c>
      <c r="I147" s="5" t="str">
        <f>_xlfn.XLOOKUP(F147,'[1]Jan Labour Nd Drivers Hyva'!$B:$B,'[2]Jan Labour Nd Drivers Hyva'!$A:$A,"NOT FOUND")</f>
        <v>LAB-003</v>
      </c>
      <c r="J147" s="5" t="str">
        <f>IF(G147="","",_xlfn.XLOOKUP(G147,'[3]Jan Labour Nd Drivers Hyva'!$B:$B,'[2]Jan Labour Nd Drivers Hyva'!$A:$A,"NOT FOUND"))</f>
        <v/>
      </c>
      <c r="K147" s="5" t="str">
        <f>IF(H147="","",_xlfn.XLOOKUP(H147,'[2]Jan Labour Nd Drivers Hyva'!$B:$B,'[2]Jan Labour Nd Drivers Hyva'!$A:$A,"NOT FOUND"))</f>
        <v/>
      </c>
      <c r="L147" s="4" t="s">
        <v>106</v>
      </c>
      <c r="M147" s="6">
        <v>8</v>
      </c>
      <c r="N147" s="7">
        <v>3500</v>
      </c>
      <c r="O147" s="7">
        <f t="shared" si="22"/>
        <v>28000</v>
      </c>
      <c r="P147" s="7">
        <v>28000</v>
      </c>
      <c r="Q147" s="7">
        <f t="shared" si="28"/>
        <v>0</v>
      </c>
      <c r="R147" s="3" t="str">
        <f t="shared" si="23"/>
        <v>PAID</v>
      </c>
      <c r="S147" s="3"/>
      <c r="T147" s="3">
        <f t="shared" si="24"/>
        <v>28000</v>
      </c>
      <c r="U147" s="3" t="str">
        <f t="shared" si="25"/>
        <v>OK</v>
      </c>
      <c r="V147" s="8">
        <f t="shared" si="26"/>
        <v>0</v>
      </c>
      <c r="W147" s="3" t="str">
        <f t="shared" si="27"/>
        <v>OK</v>
      </c>
      <c r="X147" s="3" t="s">
        <v>133</v>
      </c>
      <c r="Y147" s="3" t="s">
        <v>131</v>
      </c>
      <c r="Z147" s="3" t="s">
        <v>122</v>
      </c>
      <c r="AA147" s="3" t="s">
        <v>122</v>
      </c>
      <c r="AB147" s="3" t="s">
        <v>122</v>
      </c>
    </row>
    <row r="148" spans="1:28" ht="19" x14ac:dyDescent="0.25">
      <c r="A148" t="s">
        <v>299</v>
      </c>
      <c r="B148" s="2">
        <v>45983</v>
      </c>
      <c r="C148" s="3" t="str">
        <f>_xlfn.XLOOKUP(D148,'[1]Jan Customer Duplicate Hyva'!$B:$B,'[1]Jan Customer Duplicate Hyva'!$A:$A,"NOT FOUND")</f>
        <v>CUST-157</v>
      </c>
      <c r="D148" s="4" t="s">
        <v>129</v>
      </c>
      <c r="E148" s="4" t="s">
        <v>26</v>
      </c>
      <c r="F148" s="5" t="str">
        <f t="shared" si="19"/>
        <v>Ravi</v>
      </c>
      <c r="G148" s="5" t="str">
        <f t="shared" si="20"/>
        <v/>
      </c>
      <c r="H148" s="5" t="str">
        <f t="shared" si="21"/>
        <v/>
      </c>
      <c r="I148" s="5" t="str">
        <f>_xlfn.XLOOKUP(F148,'[1]Jan Labour Nd Drivers Hyva'!$B:$B,'[2]Jan Labour Nd Drivers Hyva'!$A:$A,"NOT FOUND")</f>
        <v>LAB-003</v>
      </c>
      <c r="J148" s="5" t="str">
        <f>IF(G148="","",_xlfn.XLOOKUP(G148,'[3]Jan Labour Nd Drivers Hyva'!$B:$B,'[2]Jan Labour Nd Drivers Hyva'!$A:$A,"NOT FOUND"))</f>
        <v/>
      </c>
      <c r="K148" s="5" t="str">
        <f>IF(H148="","",_xlfn.XLOOKUP(H148,'[2]Jan Labour Nd Drivers Hyva'!$B:$B,'[2]Jan Labour Nd Drivers Hyva'!$A:$A,"NOT FOUND"))</f>
        <v/>
      </c>
      <c r="L148" s="4" t="s">
        <v>106</v>
      </c>
      <c r="M148" s="6">
        <v>7</v>
      </c>
      <c r="N148" s="7">
        <v>3500</v>
      </c>
      <c r="O148" s="7">
        <f t="shared" si="22"/>
        <v>24500</v>
      </c>
      <c r="P148" s="7">
        <v>24500</v>
      </c>
      <c r="Q148" s="7">
        <f t="shared" si="28"/>
        <v>0</v>
      </c>
      <c r="R148" s="3" t="str">
        <f t="shared" si="23"/>
        <v>PAID</v>
      </c>
      <c r="S148" s="3"/>
      <c r="T148" s="3">
        <f t="shared" si="24"/>
        <v>24500</v>
      </c>
      <c r="U148" s="3" t="str">
        <f t="shared" si="25"/>
        <v>OK</v>
      </c>
      <c r="V148" s="8">
        <f t="shared" si="26"/>
        <v>0</v>
      </c>
      <c r="W148" s="3" t="str">
        <f t="shared" si="27"/>
        <v>OK</v>
      </c>
      <c r="X148" s="3" t="s">
        <v>133</v>
      </c>
      <c r="Y148" s="3" t="s">
        <v>131</v>
      </c>
      <c r="Z148" s="3" t="s">
        <v>122</v>
      </c>
      <c r="AA148" s="3" t="s">
        <v>122</v>
      </c>
      <c r="AB148" s="3" t="s">
        <v>122</v>
      </c>
    </row>
    <row r="149" spans="1:28" ht="19" x14ac:dyDescent="0.25">
      <c r="A149" t="s">
        <v>300</v>
      </c>
      <c r="B149" s="2">
        <v>45983</v>
      </c>
      <c r="C149" s="3" t="str">
        <f>_xlfn.XLOOKUP(D149,'[1]Jan Customer Duplicate Hyva'!$B:$B,'[1]Jan Customer Duplicate Hyva'!$A:$A,"NOT FOUND")</f>
        <v>CUST-243</v>
      </c>
      <c r="D149" s="4" t="s">
        <v>78</v>
      </c>
      <c r="E149" s="4" t="s">
        <v>26</v>
      </c>
      <c r="F149" s="5" t="str">
        <f t="shared" si="19"/>
        <v>Ravi</v>
      </c>
      <c r="G149" s="5" t="str">
        <f t="shared" si="20"/>
        <v/>
      </c>
      <c r="H149" s="5" t="str">
        <f t="shared" si="21"/>
        <v/>
      </c>
      <c r="I149" s="5" t="str">
        <f>_xlfn.XLOOKUP(F149,'[1]Jan Labour Nd Drivers Hyva'!$B:$B,'[2]Jan Labour Nd Drivers Hyva'!$A:$A,"NOT FOUND")</f>
        <v>LAB-003</v>
      </c>
      <c r="J149" s="5" t="str">
        <f>IF(G149="","",_xlfn.XLOOKUP(G149,'[3]Jan Labour Nd Drivers Hyva'!$B:$B,'[2]Jan Labour Nd Drivers Hyva'!$A:$A,"NOT FOUND"))</f>
        <v/>
      </c>
      <c r="K149" s="5" t="str">
        <f>IF(H149="","",_xlfn.XLOOKUP(H149,'[2]Jan Labour Nd Drivers Hyva'!$B:$B,'[2]Jan Labour Nd Drivers Hyva'!$A:$A,"NOT FOUND"))</f>
        <v/>
      </c>
      <c r="L149" s="4" t="s">
        <v>50</v>
      </c>
      <c r="M149" s="6">
        <v>1</v>
      </c>
      <c r="N149" s="7">
        <v>3000</v>
      </c>
      <c r="O149" s="7">
        <f t="shared" si="22"/>
        <v>3000</v>
      </c>
      <c r="P149" s="7">
        <v>3000</v>
      </c>
      <c r="Q149" s="7">
        <f t="shared" si="28"/>
        <v>0</v>
      </c>
      <c r="R149" s="3" t="str">
        <f t="shared" si="23"/>
        <v>PAID</v>
      </c>
      <c r="S149" s="3"/>
      <c r="T149" s="3">
        <f t="shared" si="24"/>
        <v>3000</v>
      </c>
      <c r="U149" s="3" t="str">
        <f t="shared" si="25"/>
        <v>OK</v>
      </c>
      <c r="V149" s="8">
        <f t="shared" si="26"/>
        <v>0</v>
      </c>
      <c r="W149" s="3" t="str">
        <f t="shared" si="27"/>
        <v>OK</v>
      </c>
      <c r="X149" s="3" t="s">
        <v>133</v>
      </c>
      <c r="Y149" s="3" t="s">
        <v>131</v>
      </c>
      <c r="Z149" s="3" t="s">
        <v>122</v>
      </c>
      <c r="AA149" s="3" t="s">
        <v>122</v>
      </c>
      <c r="AB149" s="3" t="s">
        <v>122</v>
      </c>
    </row>
    <row r="150" spans="1:28" ht="19" x14ac:dyDescent="0.25">
      <c r="A150" t="s">
        <v>301</v>
      </c>
      <c r="B150" s="2">
        <v>45984</v>
      </c>
      <c r="C150" s="3" t="str">
        <f>_xlfn.XLOOKUP(D150,'[1]Jan Customer Duplicate Hyva'!$B:$B,'[1]Jan Customer Duplicate Hyva'!$A:$A,"NOT FOUND")</f>
        <v>CUST-157</v>
      </c>
      <c r="D150" s="4" t="s">
        <v>129</v>
      </c>
      <c r="E150" s="4" t="s">
        <v>26</v>
      </c>
      <c r="F150" s="5" t="str">
        <f t="shared" si="19"/>
        <v>Ravi</v>
      </c>
      <c r="G150" s="5" t="str">
        <f t="shared" si="20"/>
        <v/>
      </c>
      <c r="H150" s="5" t="str">
        <f t="shared" si="21"/>
        <v/>
      </c>
      <c r="I150" s="5" t="str">
        <f>_xlfn.XLOOKUP(F150,'[1]Jan Labour Nd Drivers Hyva'!$B:$B,'[2]Jan Labour Nd Drivers Hyva'!$A:$A,"NOT FOUND")</f>
        <v>LAB-003</v>
      </c>
      <c r="J150" s="5" t="str">
        <f>IF(G150="","",_xlfn.XLOOKUP(G150,'[3]Jan Labour Nd Drivers Hyva'!$B:$B,'[2]Jan Labour Nd Drivers Hyva'!$A:$A,"NOT FOUND"))</f>
        <v/>
      </c>
      <c r="K150" s="5" t="str">
        <f>IF(H150="","",_xlfn.XLOOKUP(H150,'[2]Jan Labour Nd Drivers Hyva'!$B:$B,'[2]Jan Labour Nd Drivers Hyva'!$A:$A,"NOT FOUND"))</f>
        <v/>
      </c>
      <c r="L150" s="4" t="s">
        <v>106</v>
      </c>
      <c r="M150" s="6">
        <v>8</v>
      </c>
      <c r="N150" s="7">
        <v>3500</v>
      </c>
      <c r="O150" s="7">
        <f t="shared" si="22"/>
        <v>28000</v>
      </c>
      <c r="P150" s="7">
        <v>28000</v>
      </c>
      <c r="Q150" s="7">
        <f t="shared" si="28"/>
        <v>0</v>
      </c>
      <c r="R150" s="3" t="str">
        <f t="shared" si="23"/>
        <v>PAID</v>
      </c>
      <c r="S150" s="3"/>
      <c r="T150" s="3">
        <f t="shared" si="24"/>
        <v>28000</v>
      </c>
      <c r="U150" s="3" t="str">
        <f t="shared" si="25"/>
        <v>OK</v>
      </c>
      <c r="V150" s="8">
        <f t="shared" si="26"/>
        <v>0</v>
      </c>
      <c r="W150" s="3" t="str">
        <f t="shared" si="27"/>
        <v>OK</v>
      </c>
      <c r="X150" s="3" t="s">
        <v>133</v>
      </c>
      <c r="Y150" s="3" t="s">
        <v>131</v>
      </c>
      <c r="Z150" s="3" t="s">
        <v>122</v>
      </c>
      <c r="AA150" s="3" t="s">
        <v>122</v>
      </c>
      <c r="AB150" s="3" t="s">
        <v>122</v>
      </c>
    </row>
    <row r="151" spans="1:28" ht="19" x14ac:dyDescent="0.25">
      <c r="A151" t="s">
        <v>302</v>
      </c>
      <c r="B151" s="2">
        <v>45984</v>
      </c>
      <c r="C151" s="3" t="str">
        <f>_xlfn.XLOOKUP(D151,'[1]Jan Customer Duplicate Hyva'!$B:$B,'[1]Jan Customer Duplicate Hyva'!$A:$A,"NOT FOUND")</f>
        <v>CUST-255</v>
      </c>
      <c r="D151" s="4" t="s">
        <v>46</v>
      </c>
      <c r="E151" s="4" t="s">
        <v>26</v>
      </c>
      <c r="F151" s="5" t="str">
        <f t="shared" si="19"/>
        <v>Ravi</v>
      </c>
      <c r="G151" s="5" t="str">
        <f t="shared" si="20"/>
        <v/>
      </c>
      <c r="H151" s="5" t="str">
        <f t="shared" si="21"/>
        <v/>
      </c>
      <c r="I151" s="5" t="str">
        <f>_xlfn.XLOOKUP(F151,'[1]Jan Labour Nd Drivers Hyva'!$B:$B,'[2]Jan Labour Nd Drivers Hyva'!$A:$A,"NOT FOUND")</f>
        <v>LAB-003</v>
      </c>
      <c r="J151" s="5" t="str">
        <f>IF(G151="","",_xlfn.XLOOKUP(G151,'[3]Jan Labour Nd Drivers Hyva'!$B:$B,'[2]Jan Labour Nd Drivers Hyva'!$A:$A,"NOT FOUND"))</f>
        <v/>
      </c>
      <c r="K151" s="5" t="str">
        <f>IF(H151="","",_xlfn.XLOOKUP(H151,'[2]Jan Labour Nd Drivers Hyva'!$B:$B,'[2]Jan Labour Nd Drivers Hyva'!$A:$A,"NOT FOUND"))</f>
        <v/>
      </c>
      <c r="L151" s="4" t="s">
        <v>87</v>
      </c>
      <c r="M151" s="6">
        <v>3</v>
      </c>
      <c r="N151" s="7">
        <v>3000</v>
      </c>
      <c r="O151" s="7">
        <f t="shared" si="22"/>
        <v>9000</v>
      </c>
      <c r="P151" s="7">
        <v>9000</v>
      </c>
      <c r="Q151" s="7">
        <f t="shared" si="28"/>
        <v>0</v>
      </c>
      <c r="R151" s="3" t="str">
        <f t="shared" si="23"/>
        <v>PAID</v>
      </c>
      <c r="S151" s="3"/>
      <c r="T151" s="3">
        <f t="shared" si="24"/>
        <v>9000</v>
      </c>
      <c r="U151" s="3" t="str">
        <f t="shared" si="25"/>
        <v>OK</v>
      </c>
      <c r="V151" s="8">
        <f t="shared" si="26"/>
        <v>0</v>
      </c>
      <c r="W151" s="3" t="str">
        <f t="shared" si="27"/>
        <v>OK</v>
      </c>
      <c r="X151" s="3" t="s">
        <v>133</v>
      </c>
      <c r="Y151" s="3" t="s">
        <v>131</v>
      </c>
      <c r="Z151" s="3" t="s">
        <v>122</v>
      </c>
      <c r="AA151" s="3" t="s">
        <v>122</v>
      </c>
      <c r="AB151" s="3" t="s">
        <v>122</v>
      </c>
    </row>
    <row r="152" spans="1:28" ht="19" x14ac:dyDescent="0.25">
      <c r="A152" t="s">
        <v>303</v>
      </c>
      <c r="B152" s="2">
        <v>45985</v>
      </c>
      <c r="C152" s="3" t="str">
        <f>_xlfn.XLOOKUP(D152,'[1]Jan Customer Duplicate Hyva'!$B:$B,'[1]Jan Customer Duplicate Hyva'!$A:$A,"NOT FOUND")</f>
        <v>CUST-157</v>
      </c>
      <c r="D152" s="4" t="s">
        <v>129</v>
      </c>
      <c r="E152" s="4" t="s">
        <v>26</v>
      </c>
      <c r="F152" s="5" t="str">
        <f t="shared" si="19"/>
        <v>Ravi</v>
      </c>
      <c r="G152" s="5" t="str">
        <f t="shared" si="20"/>
        <v/>
      </c>
      <c r="H152" s="5" t="str">
        <f t="shared" si="21"/>
        <v/>
      </c>
      <c r="I152" s="5" t="str">
        <f>_xlfn.XLOOKUP(F152,'[1]Jan Labour Nd Drivers Hyva'!$B:$B,'[2]Jan Labour Nd Drivers Hyva'!$A:$A,"NOT FOUND")</f>
        <v>LAB-003</v>
      </c>
      <c r="J152" s="5" t="str">
        <f>IF(G152="","",_xlfn.XLOOKUP(G152,'[3]Jan Labour Nd Drivers Hyva'!$B:$B,'[2]Jan Labour Nd Drivers Hyva'!$A:$A,"NOT FOUND"))</f>
        <v/>
      </c>
      <c r="K152" s="5" t="str">
        <f>IF(H152="","",_xlfn.XLOOKUP(H152,'[2]Jan Labour Nd Drivers Hyva'!$B:$B,'[2]Jan Labour Nd Drivers Hyva'!$A:$A,"NOT FOUND"))</f>
        <v/>
      </c>
      <c r="L152" s="4" t="s">
        <v>106</v>
      </c>
      <c r="M152" s="6">
        <v>5</v>
      </c>
      <c r="N152" s="7">
        <v>3500</v>
      </c>
      <c r="O152" s="7">
        <f t="shared" si="22"/>
        <v>17500</v>
      </c>
      <c r="P152" s="7">
        <v>17500</v>
      </c>
      <c r="Q152" s="7">
        <f t="shared" si="28"/>
        <v>0</v>
      </c>
      <c r="R152" s="3" t="str">
        <f t="shared" si="23"/>
        <v>PAID</v>
      </c>
      <c r="S152" s="3"/>
      <c r="T152" s="3">
        <f t="shared" si="24"/>
        <v>17500</v>
      </c>
      <c r="U152" s="3" t="str">
        <f t="shared" si="25"/>
        <v>OK</v>
      </c>
      <c r="V152" s="8">
        <f t="shared" si="26"/>
        <v>0</v>
      </c>
      <c r="W152" s="3" t="str">
        <f t="shared" si="27"/>
        <v>OK</v>
      </c>
      <c r="X152" s="3" t="s">
        <v>133</v>
      </c>
      <c r="Y152" s="3" t="s">
        <v>131</v>
      </c>
      <c r="Z152" s="3" t="s">
        <v>122</v>
      </c>
      <c r="AA152" s="3" t="s">
        <v>122</v>
      </c>
      <c r="AB152" s="3" t="s">
        <v>122</v>
      </c>
    </row>
    <row r="153" spans="1:28" ht="19" x14ac:dyDescent="0.25">
      <c r="A153" t="s">
        <v>304</v>
      </c>
      <c r="B153" s="2">
        <v>45986</v>
      </c>
      <c r="C153" s="3" t="str">
        <f>_xlfn.XLOOKUP(D153,'[1]Jan Customer Duplicate Hyva'!$B:$B,'[1]Jan Customer Duplicate Hyva'!$A:$A,"NOT FOUND")</f>
        <v>CUST-255</v>
      </c>
      <c r="D153" s="4" t="s">
        <v>46</v>
      </c>
      <c r="E153" s="4" t="s">
        <v>26</v>
      </c>
      <c r="F153" s="5" t="str">
        <f t="shared" si="19"/>
        <v>Ravi</v>
      </c>
      <c r="G153" s="5" t="str">
        <f t="shared" si="20"/>
        <v/>
      </c>
      <c r="H153" s="5" t="str">
        <f t="shared" si="21"/>
        <v/>
      </c>
      <c r="I153" s="5" t="str">
        <f>_xlfn.XLOOKUP(F153,'[1]Jan Labour Nd Drivers Hyva'!$B:$B,'[2]Jan Labour Nd Drivers Hyva'!$A:$A,"NOT FOUND")</f>
        <v>LAB-003</v>
      </c>
      <c r="J153" s="5" t="str">
        <f>IF(G153="","",_xlfn.XLOOKUP(G153,'[3]Jan Labour Nd Drivers Hyva'!$B:$B,'[2]Jan Labour Nd Drivers Hyva'!$A:$A,"NOT FOUND"))</f>
        <v/>
      </c>
      <c r="K153" s="5" t="str">
        <f>IF(H153="","",_xlfn.XLOOKUP(H153,'[2]Jan Labour Nd Drivers Hyva'!$B:$B,'[2]Jan Labour Nd Drivers Hyva'!$A:$A,"NOT FOUND"))</f>
        <v/>
      </c>
      <c r="L153" s="4" t="s">
        <v>87</v>
      </c>
      <c r="M153" s="6">
        <v>3</v>
      </c>
      <c r="N153" s="7">
        <v>3000</v>
      </c>
      <c r="O153" s="7">
        <f t="shared" si="22"/>
        <v>9000</v>
      </c>
      <c r="P153" s="7">
        <v>9000</v>
      </c>
      <c r="Q153" s="7">
        <f t="shared" si="28"/>
        <v>0</v>
      </c>
      <c r="R153" s="3" t="str">
        <f t="shared" si="23"/>
        <v>PAID</v>
      </c>
      <c r="S153" s="3"/>
      <c r="T153" s="3">
        <f t="shared" si="24"/>
        <v>9000</v>
      </c>
      <c r="U153" s="3" t="str">
        <f t="shared" si="25"/>
        <v>OK</v>
      </c>
      <c r="V153" s="8">
        <f t="shared" si="26"/>
        <v>0</v>
      </c>
      <c r="W153" s="3" t="str">
        <f t="shared" si="27"/>
        <v>OK</v>
      </c>
      <c r="X153" s="3" t="s">
        <v>133</v>
      </c>
      <c r="Y153" s="3" t="s">
        <v>131</v>
      </c>
      <c r="Z153" s="3" t="s">
        <v>122</v>
      </c>
      <c r="AA153" s="3" t="s">
        <v>122</v>
      </c>
      <c r="AB153" s="3" t="s">
        <v>122</v>
      </c>
    </row>
    <row r="154" spans="1:28" ht="19" x14ac:dyDescent="0.25">
      <c r="A154" t="s">
        <v>305</v>
      </c>
      <c r="B154" s="2">
        <v>45987</v>
      </c>
      <c r="C154" s="3" t="str">
        <f>_xlfn.XLOOKUP(D154,'[1]Jan Customer Duplicate Hyva'!$B:$B,'[1]Jan Customer Duplicate Hyva'!$A:$A,"NOT FOUND")</f>
        <v>CUST-120</v>
      </c>
      <c r="D154" s="4" t="s">
        <v>69</v>
      </c>
      <c r="E154" s="4" t="s">
        <v>26</v>
      </c>
      <c r="F154" s="5" t="str">
        <f t="shared" si="19"/>
        <v>Ravi</v>
      </c>
      <c r="G154" s="5" t="str">
        <f t="shared" si="20"/>
        <v/>
      </c>
      <c r="H154" s="5" t="str">
        <f t="shared" si="21"/>
        <v/>
      </c>
      <c r="I154" s="5" t="str">
        <f>_xlfn.XLOOKUP(F154,'[1]Jan Labour Nd Drivers Hyva'!$B:$B,'[2]Jan Labour Nd Drivers Hyva'!$A:$A,"NOT FOUND")</f>
        <v>LAB-003</v>
      </c>
      <c r="J154" s="5" t="str">
        <f>IF(G154="","",_xlfn.XLOOKUP(G154,'[3]Jan Labour Nd Drivers Hyva'!$B:$B,'[2]Jan Labour Nd Drivers Hyva'!$A:$A,"NOT FOUND"))</f>
        <v/>
      </c>
      <c r="K154" s="5" t="str">
        <f>IF(H154="","",_xlfn.XLOOKUP(H154,'[2]Jan Labour Nd Drivers Hyva'!$B:$B,'[2]Jan Labour Nd Drivers Hyva'!$A:$A,"NOT FOUND"))</f>
        <v/>
      </c>
      <c r="L154" s="4" t="s">
        <v>109</v>
      </c>
      <c r="M154" s="6">
        <v>3</v>
      </c>
      <c r="N154" s="7">
        <v>3500</v>
      </c>
      <c r="O154" s="7">
        <f t="shared" si="22"/>
        <v>10500</v>
      </c>
      <c r="P154" s="7">
        <v>10500</v>
      </c>
      <c r="Q154" s="7">
        <f t="shared" si="28"/>
        <v>0</v>
      </c>
      <c r="R154" s="3" t="str">
        <f t="shared" si="23"/>
        <v>PAID</v>
      </c>
      <c r="S154" s="3"/>
      <c r="T154" s="3">
        <f t="shared" si="24"/>
        <v>10500</v>
      </c>
      <c r="U154" s="3" t="str">
        <f t="shared" si="25"/>
        <v>OK</v>
      </c>
      <c r="V154" s="8">
        <f t="shared" si="26"/>
        <v>0</v>
      </c>
      <c r="W154" s="3" t="str">
        <f t="shared" si="27"/>
        <v>OK</v>
      </c>
      <c r="X154" s="3" t="s">
        <v>133</v>
      </c>
      <c r="Y154" s="3" t="s">
        <v>131</v>
      </c>
      <c r="Z154" s="3" t="s">
        <v>122</v>
      </c>
      <c r="AA154" s="3" t="s">
        <v>122</v>
      </c>
      <c r="AB154" s="3" t="s">
        <v>122</v>
      </c>
    </row>
    <row r="155" spans="1:28" ht="19" x14ac:dyDescent="0.25">
      <c r="A155" t="s">
        <v>306</v>
      </c>
      <c r="B155" s="2">
        <v>45994</v>
      </c>
      <c r="C155" s="3" t="str">
        <f>_xlfn.XLOOKUP(D155,'[1]Jan Customer Duplicate Hyva'!$B:$B,'[1]Jan Customer Duplicate Hyva'!$A:$A,"NOT FOUND")</f>
        <v>CUST-120</v>
      </c>
      <c r="D155" s="4" t="s">
        <v>69</v>
      </c>
      <c r="E155" s="4" t="s">
        <v>26</v>
      </c>
      <c r="F155" s="5" t="str">
        <f t="shared" si="19"/>
        <v>Ravi</v>
      </c>
      <c r="G155" s="5" t="str">
        <f t="shared" si="20"/>
        <v/>
      </c>
      <c r="H155" s="5" t="str">
        <f t="shared" si="21"/>
        <v/>
      </c>
      <c r="I155" s="5" t="str">
        <f>_xlfn.XLOOKUP(F155,'[1]Jan Labour Nd Drivers Hyva'!$B:$B,'[2]Jan Labour Nd Drivers Hyva'!$A:$A,"NOT FOUND")</f>
        <v>LAB-003</v>
      </c>
      <c r="J155" s="5" t="str">
        <f>IF(G155="","",_xlfn.XLOOKUP(G155,'[3]Jan Labour Nd Drivers Hyva'!$B:$B,'[2]Jan Labour Nd Drivers Hyva'!$A:$A,"NOT FOUND"))</f>
        <v/>
      </c>
      <c r="K155" s="5" t="str">
        <f>IF(H155="","",_xlfn.XLOOKUP(H155,'[2]Jan Labour Nd Drivers Hyva'!$B:$B,'[2]Jan Labour Nd Drivers Hyva'!$A:$A,"NOT FOUND"))</f>
        <v/>
      </c>
      <c r="L155" s="4" t="s">
        <v>109</v>
      </c>
      <c r="M155" s="6">
        <v>1</v>
      </c>
      <c r="N155" s="7">
        <v>3500</v>
      </c>
      <c r="O155" s="7">
        <f t="shared" si="22"/>
        <v>3500</v>
      </c>
      <c r="P155" s="7">
        <v>3500</v>
      </c>
      <c r="Q155" s="7">
        <f t="shared" si="28"/>
        <v>0</v>
      </c>
      <c r="R155" s="3" t="str">
        <f t="shared" si="23"/>
        <v>PAID</v>
      </c>
      <c r="S155" s="3"/>
      <c r="T155" s="3">
        <f t="shared" si="24"/>
        <v>3500</v>
      </c>
      <c r="U155" s="3" t="str">
        <f t="shared" si="25"/>
        <v>OK</v>
      </c>
      <c r="V155" s="8">
        <f t="shared" si="26"/>
        <v>0</v>
      </c>
      <c r="W155" s="3" t="str">
        <f t="shared" si="27"/>
        <v>OK</v>
      </c>
      <c r="X155" s="3" t="s">
        <v>133</v>
      </c>
      <c r="Y155" s="3" t="s">
        <v>131</v>
      </c>
      <c r="Z155" s="3" t="s">
        <v>122</v>
      </c>
      <c r="AA155" s="3" t="s">
        <v>122</v>
      </c>
      <c r="AB155" s="3" t="s">
        <v>122</v>
      </c>
    </row>
    <row r="156" spans="1:28" ht="19" x14ac:dyDescent="0.25">
      <c r="A156" t="s">
        <v>307</v>
      </c>
      <c r="B156" s="2">
        <v>45994</v>
      </c>
      <c r="C156" s="3" t="str">
        <f>_xlfn.XLOOKUP(D156,'[1]Jan Customer Duplicate Hyva'!$B:$B,'[1]Jan Customer Duplicate Hyva'!$A:$A,"NOT FOUND")</f>
        <v>CUST-255</v>
      </c>
      <c r="D156" s="4" t="s">
        <v>46</v>
      </c>
      <c r="E156" s="4" t="s">
        <v>26</v>
      </c>
      <c r="F156" s="5" t="str">
        <f t="shared" si="19"/>
        <v>Ravi</v>
      </c>
      <c r="G156" s="5" t="str">
        <f t="shared" si="20"/>
        <v/>
      </c>
      <c r="H156" s="5" t="str">
        <f t="shared" si="21"/>
        <v/>
      </c>
      <c r="I156" s="5" t="str">
        <f>_xlfn.XLOOKUP(F156,'[1]Jan Labour Nd Drivers Hyva'!$B:$B,'[2]Jan Labour Nd Drivers Hyva'!$A:$A,"NOT FOUND")</f>
        <v>LAB-003</v>
      </c>
      <c r="J156" s="5" t="str">
        <f>IF(G156="","",_xlfn.XLOOKUP(G156,'[3]Jan Labour Nd Drivers Hyva'!$B:$B,'[2]Jan Labour Nd Drivers Hyva'!$A:$A,"NOT FOUND"))</f>
        <v/>
      </c>
      <c r="K156" s="5" t="str">
        <f>IF(H156="","",_xlfn.XLOOKUP(H156,'[2]Jan Labour Nd Drivers Hyva'!$B:$B,'[2]Jan Labour Nd Drivers Hyva'!$A:$A,"NOT FOUND"))</f>
        <v/>
      </c>
      <c r="L156" s="4" t="s">
        <v>87</v>
      </c>
      <c r="M156" s="6">
        <v>2</v>
      </c>
      <c r="N156" s="7">
        <v>3000</v>
      </c>
      <c r="O156" s="7">
        <f t="shared" si="22"/>
        <v>6000</v>
      </c>
      <c r="P156" s="7">
        <v>6000</v>
      </c>
      <c r="Q156" s="7">
        <f t="shared" si="28"/>
        <v>0</v>
      </c>
      <c r="R156" s="3" t="str">
        <f t="shared" si="23"/>
        <v>PAID</v>
      </c>
      <c r="S156" s="3"/>
      <c r="T156" s="3">
        <f t="shared" si="24"/>
        <v>6000</v>
      </c>
      <c r="U156" s="3" t="str">
        <f t="shared" si="25"/>
        <v>OK</v>
      </c>
      <c r="V156" s="8">
        <f t="shared" si="26"/>
        <v>0</v>
      </c>
      <c r="W156" s="3" t="str">
        <f t="shared" si="27"/>
        <v>OK</v>
      </c>
      <c r="X156" s="3" t="s">
        <v>133</v>
      </c>
      <c r="Y156" s="3" t="s">
        <v>131</v>
      </c>
      <c r="Z156" s="3" t="s">
        <v>122</v>
      </c>
      <c r="AA156" s="3" t="s">
        <v>122</v>
      </c>
      <c r="AB156" s="3" t="s">
        <v>122</v>
      </c>
    </row>
    <row r="157" spans="1:28" ht="19" x14ac:dyDescent="0.25">
      <c r="A157" t="s">
        <v>308</v>
      </c>
      <c r="B157" s="2">
        <v>45994</v>
      </c>
      <c r="C157" s="3" t="str">
        <f>_xlfn.XLOOKUP(D157,'[1]Jan Customer Duplicate Hyva'!$B:$B,'[1]Jan Customer Duplicate Hyva'!$A:$A,"NOT FOUND")</f>
        <v>CUST-377</v>
      </c>
      <c r="D157" s="4" t="s">
        <v>36</v>
      </c>
      <c r="E157" s="4" t="s">
        <v>26</v>
      </c>
      <c r="F157" s="5" t="str">
        <f t="shared" si="19"/>
        <v>Ravi</v>
      </c>
      <c r="G157" s="5" t="str">
        <f t="shared" si="20"/>
        <v/>
      </c>
      <c r="H157" s="5" t="str">
        <f t="shared" si="21"/>
        <v/>
      </c>
      <c r="I157" s="5" t="str">
        <f>_xlfn.XLOOKUP(F157,'[1]Jan Labour Nd Drivers Hyva'!$B:$B,'[2]Jan Labour Nd Drivers Hyva'!$A:$A,"NOT FOUND")</f>
        <v>LAB-003</v>
      </c>
      <c r="J157" s="5" t="str">
        <f>IF(G157="","",_xlfn.XLOOKUP(G157,'[3]Jan Labour Nd Drivers Hyva'!$B:$B,'[2]Jan Labour Nd Drivers Hyva'!$A:$A,"NOT FOUND"))</f>
        <v/>
      </c>
      <c r="K157" s="5" t="str">
        <f>IF(H157="","",_xlfn.XLOOKUP(H157,'[2]Jan Labour Nd Drivers Hyva'!$B:$B,'[2]Jan Labour Nd Drivers Hyva'!$A:$A,"NOT FOUND"))</f>
        <v/>
      </c>
      <c r="L157" s="4" t="s">
        <v>37</v>
      </c>
      <c r="M157" s="6">
        <v>1</v>
      </c>
      <c r="N157" s="7">
        <v>3500</v>
      </c>
      <c r="O157" s="7">
        <f t="shared" si="22"/>
        <v>3500</v>
      </c>
      <c r="P157" s="7"/>
      <c r="Q157" s="7">
        <f t="shared" si="28"/>
        <v>3500</v>
      </c>
      <c r="R157" s="3" t="str">
        <f t="shared" si="23"/>
        <v>UNPAID</v>
      </c>
      <c r="S157" s="3"/>
      <c r="T157" s="3">
        <f t="shared" si="24"/>
        <v>3500</v>
      </c>
      <c r="U157" s="3" t="str">
        <f t="shared" si="25"/>
        <v>OK</v>
      </c>
      <c r="V157" s="8">
        <f t="shared" si="26"/>
        <v>3500</v>
      </c>
      <c r="W157" s="3" t="str">
        <f t="shared" si="27"/>
        <v>OK</v>
      </c>
      <c r="X157" s="3" t="s">
        <v>133</v>
      </c>
      <c r="Y157" s="3" t="s">
        <v>131</v>
      </c>
      <c r="Z157" s="3" t="s">
        <v>122</v>
      </c>
      <c r="AA157" s="3" t="s">
        <v>122</v>
      </c>
      <c r="AB157" s="3" t="s">
        <v>122</v>
      </c>
    </row>
    <row r="158" spans="1:28" ht="19" x14ac:dyDescent="0.25">
      <c r="A158" t="s">
        <v>309</v>
      </c>
      <c r="B158" s="2">
        <v>45995</v>
      </c>
      <c r="C158" s="3" t="str">
        <f>_xlfn.XLOOKUP(D158,'[1]Jan Customer Duplicate Hyva'!$B:$B,'[1]Jan Customer Duplicate Hyva'!$A:$A,"NOT FOUND")</f>
        <v>CUST-120</v>
      </c>
      <c r="D158" s="4" t="s">
        <v>69</v>
      </c>
      <c r="E158" s="4" t="s">
        <v>26</v>
      </c>
      <c r="F158" s="5" t="str">
        <f t="shared" si="19"/>
        <v>Ravi</v>
      </c>
      <c r="G158" s="5" t="str">
        <f t="shared" si="20"/>
        <v/>
      </c>
      <c r="H158" s="5" t="str">
        <f t="shared" si="21"/>
        <v/>
      </c>
      <c r="I158" s="5" t="str">
        <f>_xlfn.XLOOKUP(F158,'[1]Jan Labour Nd Drivers Hyva'!$B:$B,'[2]Jan Labour Nd Drivers Hyva'!$A:$A,"NOT FOUND")</f>
        <v>LAB-003</v>
      </c>
      <c r="J158" s="5" t="str">
        <f>IF(G158="","",_xlfn.XLOOKUP(G158,'[3]Jan Labour Nd Drivers Hyva'!$B:$B,'[2]Jan Labour Nd Drivers Hyva'!$A:$A,"NOT FOUND"))</f>
        <v/>
      </c>
      <c r="K158" s="5" t="str">
        <f>IF(H158="","",_xlfn.XLOOKUP(H158,'[2]Jan Labour Nd Drivers Hyva'!$B:$B,'[2]Jan Labour Nd Drivers Hyva'!$A:$A,"NOT FOUND"))</f>
        <v/>
      </c>
      <c r="L158" s="4" t="s">
        <v>109</v>
      </c>
      <c r="M158" s="6">
        <v>1</v>
      </c>
      <c r="N158" s="7">
        <v>3500</v>
      </c>
      <c r="O158" s="7">
        <f t="shared" si="22"/>
        <v>3500</v>
      </c>
      <c r="P158" s="7">
        <v>3500</v>
      </c>
      <c r="Q158" s="7">
        <f t="shared" si="28"/>
        <v>0</v>
      </c>
      <c r="R158" s="3" t="str">
        <f t="shared" si="23"/>
        <v>PAID</v>
      </c>
      <c r="S158" s="3"/>
      <c r="T158" s="3">
        <f t="shared" si="24"/>
        <v>3500</v>
      </c>
      <c r="U158" s="3" t="str">
        <f t="shared" si="25"/>
        <v>OK</v>
      </c>
      <c r="V158" s="8">
        <f t="shared" si="26"/>
        <v>0</v>
      </c>
      <c r="W158" s="3" t="str">
        <f t="shared" si="27"/>
        <v>OK</v>
      </c>
      <c r="X158" s="3" t="s">
        <v>133</v>
      </c>
      <c r="Y158" s="3" t="s">
        <v>131</v>
      </c>
      <c r="Z158" s="3" t="s">
        <v>122</v>
      </c>
      <c r="AA158" s="3" t="s">
        <v>122</v>
      </c>
      <c r="AB158" s="3" t="s">
        <v>122</v>
      </c>
    </row>
    <row r="159" spans="1:28" ht="19" x14ac:dyDescent="0.25">
      <c r="A159" t="s">
        <v>310</v>
      </c>
      <c r="B159" s="2">
        <v>45997</v>
      </c>
      <c r="C159" s="3" t="str">
        <f>_xlfn.XLOOKUP(D159,'[1]Jan Customer Duplicate Hyva'!$B:$B,'[1]Jan Customer Duplicate Hyva'!$A:$A,"NOT FOUND")</f>
        <v>CUST-157</v>
      </c>
      <c r="D159" s="4" t="s">
        <v>129</v>
      </c>
      <c r="E159" s="4" t="s">
        <v>26</v>
      </c>
      <c r="F159" s="5" t="str">
        <f t="shared" si="19"/>
        <v>Ravi</v>
      </c>
      <c r="G159" s="5" t="str">
        <f t="shared" si="20"/>
        <v/>
      </c>
      <c r="H159" s="5" t="str">
        <f t="shared" si="21"/>
        <v/>
      </c>
      <c r="I159" s="5" t="str">
        <f>_xlfn.XLOOKUP(F159,'[1]Jan Labour Nd Drivers Hyva'!$B:$B,'[2]Jan Labour Nd Drivers Hyva'!$A:$A,"NOT FOUND")</f>
        <v>LAB-003</v>
      </c>
      <c r="J159" s="5" t="str">
        <f>IF(G159="","",_xlfn.XLOOKUP(G159,'[3]Jan Labour Nd Drivers Hyva'!$B:$B,'[2]Jan Labour Nd Drivers Hyva'!$A:$A,"NOT FOUND"))</f>
        <v/>
      </c>
      <c r="K159" s="5" t="str">
        <f>IF(H159="","",_xlfn.XLOOKUP(H159,'[2]Jan Labour Nd Drivers Hyva'!$B:$B,'[2]Jan Labour Nd Drivers Hyva'!$A:$A,"NOT FOUND"))</f>
        <v/>
      </c>
      <c r="L159" s="4" t="s">
        <v>106</v>
      </c>
      <c r="M159" s="6">
        <v>1</v>
      </c>
      <c r="N159" s="7">
        <v>3500</v>
      </c>
      <c r="O159" s="7">
        <f t="shared" si="22"/>
        <v>3500</v>
      </c>
      <c r="P159" s="7">
        <v>3500</v>
      </c>
      <c r="Q159" s="7">
        <f t="shared" si="28"/>
        <v>0</v>
      </c>
      <c r="R159" s="3" t="str">
        <f t="shared" si="23"/>
        <v>PAID</v>
      </c>
      <c r="S159" s="3"/>
      <c r="T159" s="3">
        <f t="shared" si="24"/>
        <v>3500</v>
      </c>
      <c r="U159" s="3" t="str">
        <f t="shared" si="25"/>
        <v>OK</v>
      </c>
      <c r="V159" s="8">
        <f t="shared" si="26"/>
        <v>0</v>
      </c>
      <c r="W159" s="3" t="str">
        <f t="shared" si="27"/>
        <v>OK</v>
      </c>
      <c r="X159" s="3" t="s">
        <v>133</v>
      </c>
      <c r="Y159" s="3" t="s">
        <v>131</v>
      </c>
      <c r="Z159" s="3" t="s">
        <v>122</v>
      </c>
      <c r="AA159" s="3" t="s">
        <v>122</v>
      </c>
      <c r="AB159" s="3" t="s">
        <v>122</v>
      </c>
    </row>
    <row r="160" spans="1:28" ht="19" x14ac:dyDescent="0.25">
      <c r="A160" t="s">
        <v>311</v>
      </c>
      <c r="B160" s="2">
        <v>45997</v>
      </c>
      <c r="C160" s="3" t="str">
        <f>_xlfn.XLOOKUP(D160,'[1]Jan Customer Duplicate Hyva'!$B:$B,'[1]Jan Customer Duplicate Hyva'!$A:$A,"NOT FOUND")</f>
        <v>CUST-255</v>
      </c>
      <c r="D160" s="9" t="s">
        <v>46</v>
      </c>
      <c r="E160" s="4" t="s">
        <v>26</v>
      </c>
      <c r="F160" s="5" t="str">
        <f t="shared" si="19"/>
        <v>Ravi</v>
      </c>
      <c r="G160" s="5" t="str">
        <f t="shared" si="20"/>
        <v/>
      </c>
      <c r="H160" s="5" t="str">
        <f t="shared" si="21"/>
        <v/>
      </c>
      <c r="I160" s="5" t="str">
        <f>_xlfn.XLOOKUP(F160,'[1]Jan Labour Nd Drivers Hyva'!$B:$B,'[2]Jan Labour Nd Drivers Hyva'!$A:$A,"NOT FOUND")</f>
        <v>LAB-003</v>
      </c>
      <c r="J160" s="5" t="str">
        <f>IF(G160="","",_xlfn.XLOOKUP(G160,'[3]Jan Labour Nd Drivers Hyva'!$B:$B,'[2]Jan Labour Nd Drivers Hyva'!$A:$A,"NOT FOUND"))</f>
        <v/>
      </c>
      <c r="K160" s="5" t="str">
        <f>IF(H160="","",_xlfn.XLOOKUP(H160,'[2]Jan Labour Nd Drivers Hyva'!$B:$B,'[2]Jan Labour Nd Drivers Hyva'!$A:$A,"NOT FOUND"))</f>
        <v/>
      </c>
      <c r="L160" s="4" t="s">
        <v>87</v>
      </c>
      <c r="M160" s="6">
        <v>1</v>
      </c>
      <c r="N160" s="7">
        <v>3000</v>
      </c>
      <c r="O160" s="7">
        <f t="shared" si="22"/>
        <v>3000</v>
      </c>
      <c r="P160" s="7">
        <v>3000</v>
      </c>
      <c r="Q160" s="7">
        <f t="shared" si="28"/>
        <v>0</v>
      </c>
      <c r="R160" s="3" t="str">
        <f t="shared" si="23"/>
        <v>PAID</v>
      </c>
      <c r="S160" s="3"/>
      <c r="T160" s="3">
        <f t="shared" si="24"/>
        <v>3000</v>
      </c>
      <c r="U160" s="3" t="str">
        <f t="shared" si="25"/>
        <v>OK</v>
      </c>
      <c r="V160" s="8">
        <f t="shared" si="26"/>
        <v>0</v>
      </c>
      <c r="W160" s="3" t="str">
        <f t="shared" si="27"/>
        <v>OK</v>
      </c>
      <c r="X160" s="3" t="s">
        <v>133</v>
      </c>
      <c r="Y160" s="3" t="s">
        <v>131</v>
      </c>
      <c r="Z160" s="3" t="s">
        <v>122</v>
      </c>
      <c r="AA160" s="3" t="s">
        <v>122</v>
      </c>
      <c r="AB160" s="3" t="s">
        <v>122</v>
      </c>
    </row>
    <row r="161" spans="1:28" ht="19" x14ac:dyDescent="0.25">
      <c r="A161" t="s">
        <v>312</v>
      </c>
      <c r="B161" s="2">
        <v>45998</v>
      </c>
      <c r="C161" s="3" t="str">
        <f>_xlfn.XLOOKUP(D161,'[1]Jan Customer Duplicate Hyva'!$B:$B,'[1]Jan Customer Duplicate Hyva'!$A:$A,"NOT FOUND")</f>
        <v>CUST-255</v>
      </c>
      <c r="D161" s="9" t="s">
        <v>46</v>
      </c>
      <c r="E161" s="4" t="s">
        <v>26</v>
      </c>
      <c r="F161" s="5" t="str">
        <f t="shared" si="19"/>
        <v>Ravi</v>
      </c>
      <c r="G161" s="5" t="str">
        <f t="shared" si="20"/>
        <v/>
      </c>
      <c r="H161" s="5" t="str">
        <f t="shared" si="21"/>
        <v/>
      </c>
      <c r="I161" s="5" t="str">
        <f>_xlfn.XLOOKUP(F161,'[1]Jan Labour Nd Drivers Hyva'!$B:$B,'[2]Jan Labour Nd Drivers Hyva'!$A:$A,"NOT FOUND")</f>
        <v>LAB-003</v>
      </c>
      <c r="J161" s="5" t="str">
        <f>IF(G161="","",_xlfn.XLOOKUP(G161,'[3]Jan Labour Nd Drivers Hyva'!$B:$B,'[2]Jan Labour Nd Drivers Hyva'!$A:$A,"NOT FOUND"))</f>
        <v/>
      </c>
      <c r="K161" s="5" t="str">
        <f>IF(H161="","",_xlfn.XLOOKUP(H161,'[2]Jan Labour Nd Drivers Hyva'!$B:$B,'[2]Jan Labour Nd Drivers Hyva'!$A:$A,"NOT FOUND"))</f>
        <v/>
      </c>
      <c r="L161" s="4" t="s">
        <v>87</v>
      </c>
      <c r="M161" s="6">
        <v>2</v>
      </c>
      <c r="N161" s="7">
        <v>3000</v>
      </c>
      <c r="O161" s="7">
        <f t="shared" si="22"/>
        <v>6000</v>
      </c>
      <c r="P161" s="7">
        <v>6000</v>
      </c>
      <c r="Q161" s="7">
        <f t="shared" si="28"/>
        <v>0</v>
      </c>
      <c r="R161" s="3" t="str">
        <f t="shared" si="23"/>
        <v>PAID</v>
      </c>
      <c r="S161" s="3"/>
      <c r="T161" s="3">
        <f t="shared" si="24"/>
        <v>6000</v>
      </c>
      <c r="U161" s="3" t="str">
        <f t="shared" si="25"/>
        <v>OK</v>
      </c>
      <c r="V161" s="8">
        <f t="shared" si="26"/>
        <v>0</v>
      </c>
      <c r="W161" s="3" t="str">
        <f t="shared" si="27"/>
        <v>OK</v>
      </c>
      <c r="X161" s="3" t="s">
        <v>133</v>
      </c>
      <c r="Y161" s="3" t="s">
        <v>131</v>
      </c>
      <c r="Z161" s="3" t="s">
        <v>122</v>
      </c>
      <c r="AA161" s="3" t="s">
        <v>122</v>
      </c>
      <c r="AB161" s="3" t="s">
        <v>122</v>
      </c>
    </row>
    <row r="162" spans="1:28" ht="19" x14ac:dyDescent="0.25">
      <c r="A162" t="s">
        <v>313</v>
      </c>
      <c r="B162" s="2">
        <v>46006</v>
      </c>
      <c r="C162" s="3" t="str">
        <f>_xlfn.XLOOKUP(D162,'[1]Jan Customer Duplicate Hyva'!$B:$B,'[1]Jan Customer Duplicate Hyva'!$A:$A,"NOT FOUND")</f>
        <v>CUST-255</v>
      </c>
      <c r="D162" s="9" t="s">
        <v>46</v>
      </c>
      <c r="E162" s="4" t="s">
        <v>26</v>
      </c>
      <c r="F162" s="5" t="str">
        <f t="shared" si="19"/>
        <v>Ravi</v>
      </c>
      <c r="G162" s="5" t="str">
        <f t="shared" si="20"/>
        <v/>
      </c>
      <c r="H162" s="5" t="str">
        <f t="shared" si="21"/>
        <v/>
      </c>
      <c r="I162" s="5" t="str">
        <f>_xlfn.XLOOKUP(F162,'[1]Jan Labour Nd Drivers Hyva'!$B:$B,'[2]Jan Labour Nd Drivers Hyva'!$A:$A,"NOT FOUND")</f>
        <v>LAB-003</v>
      </c>
      <c r="J162" s="5" t="str">
        <f>IF(G162="","",_xlfn.XLOOKUP(G162,'[3]Jan Labour Nd Drivers Hyva'!$B:$B,'[2]Jan Labour Nd Drivers Hyva'!$A:$A,"NOT FOUND"))</f>
        <v/>
      </c>
      <c r="K162" s="5" t="str">
        <f>IF(H162="","",_xlfn.XLOOKUP(H162,'[2]Jan Labour Nd Drivers Hyva'!$B:$B,'[2]Jan Labour Nd Drivers Hyva'!$A:$A,"NOT FOUND"))</f>
        <v/>
      </c>
      <c r="L162" s="4" t="s">
        <v>87</v>
      </c>
      <c r="M162" s="6">
        <v>5</v>
      </c>
      <c r="N162" s="7">
        <v>3000</v>
      </c>
      <c r="O162" s="7">
        <f t="shared" si="22"/>
        <v>15000</v>
      </c>
      <c r="P162" s="7">
        <v>15000</v>
      </c>
      <c r="Q162" s="7">
        <f t="shared" si="28"/>
        <v>0</v>
      </c>
      <c r="R162" s="3" t="str">
        <f t="shared" si="23"/>
        <v>PAID</v>
      </c>
      <c r="S162" s="3"/>
      <c r="T162" s="3">
        <f t="shared" si="24"/>
        <v>15000</v>
      </c>
      <c r="U162" s="3" t="str">
        <f t="shared" si="25"/>
        <v>OK</v>
      </c>
      <c r="V162" s="8">
        <f t="shared" si="26"/>
        <v>0</v>
      </c>
      <c r="W162" s="3" t="str">
        <f t="shared" si="27"/>
        <v>OK</v>
      </c>
      <c r="X162" s="3" t="s">
        <v>133</v>
      </c>
      <c r="Y162" s="3" t="s">
        <v>131</v>
      </c>
      <c r="Z162" s="3" t="s">
        <v>122</v>
      </c>
      <c r="AA162" s="3" t="s">
        <v>122</v>
      </c>
      <c r="AB162" s="3" t="s">
        <v>122</v>
      </c>
    </row>
    <row r="163" spans="1:28" ht="19" x14ac:dyDescent="0.25">
      <c r="A163" t="s">
        <v>314</v>
      </c>
      <c r="B163" s="2">
        <v>46007</v>
      </c>
      <c r="C163" s="3" t="str">
        <f>_xlfn.XLOOKUP(D163,'[1]Jan Customer Duplicate Hyva'!$B:$B,'[1]Jan Customer Duplicate Hyva'!$A:$A,"NOT FOUND")</f>
        <v>CUST-255</v>
      </c>
      <c r="D163" s="9" t="s">
        <v>46</v>
      </c>
      <c r="E163" s="4" t="s">
        <v>26</v>
      </c>
      <c r="F163" s="5" t="str">
        <f t="shared" si="19"/>
        <v>Ravi</v>
      </c>
      <c r="G163" s="5" t="str">
        <f t="shared" si="20"/>
        <v/>
      </c>
      <c r="H163" s="5" t="str">
        <f t="shared" si="21"/>
        <v/>
      </c>
      <c r="I163" s="5" t="str">
        <f>_xlfn.XLOOKUP(F163,'[1]Jan Labour Nd Drivers Hyva'!$B:$B,'[2]Jan Labour Nd Drivers Hyva'!$A:$A,"NOT FOUND")</f>
        <v>LAB-003</v>
      </c>
      <c r="J163" s="5" t="str">
        <f>IF(G163="","",_xlfn.XLOOKUP(G163,'[3]Jan Labour Nd Drivers Hyva'!$B:$B,'[2]Jan Labour Nd Drivers Hyva'!$A:$A,"NOT FOUND"))</f>
        <v/>
      </c>
      <c r="K163" s="5" t="str">
        <f>IF(H163="","",_xlfn.XLOOKUP(H163,'[2]Jan Labour Nd Drivers Hyva'!$B:$B,'[2]Jan Labour Nd Drivers Hyva'!$A:$A,"NOT FOUND"))</f>
        <v/>
      </c>
      <c r="L163" s="4" t="s">
        <v>87</v>
      </c>
      <c r="M163" s="6">
        <v>2</v>
      </c>
      <c r="N163" s="7">
        <v>3000</v>
      </c>
      <c r="O163" s="7">
        <f t="shared" si="22"/>
        <v>6000</v>
      </c>
      <c r="P163" s="7">
        <v>6000</v>
      </c>
      <c r="Q163" s="7">
        <f t="shared" si="28"/>
        <v>0</v>
      </c>
      <c r="R163" s="3" t="str">
        <f t="shared" si="23"/>
        <v>PAID</v>
      </c>
      <c r="S163" s="3"/>
      <c r="T163" s="3">
        <f t="shared" si="24"/>
        <v>6000</v>
      </c>
      <c r="U163" s="3" t="str">
        <f t="shared" si="25"/>
        <v>OK</v>
      </c>
      <c r="V163" s="8">
        <f t="shared" si="26"/>
        <v>0</v>
      </c>
      <c r="W163" s="3" t="str">
        <f t="shared" si="27"/>
        <v>OK</v>
      </c>
      <c r="X163" s="3" t="s">
        <v>133</v>
      </c>
      <c r="Y163" s="3" t="s">
        <v>131</v>
      </c>
      <c r="Z163" s="3" t="s">
        <v>122</v>
      </c>
      <c r="AA163" s="3" t="s">
        <v>122</v>
      </c>
      <c r="AB163" s="3" t="s">
        <v>122</v>
      </c>
    </row>
    <row r="164" spans="1:28" ht="19" x14ac:dyDescent="0.25">
      <c r="A164" t="s">
        <v>315</v>
      </c>
      <c r="B164" s="2">
        <v>46008</v>
      </c>
      <c r="C164" s="3" t="str">
        <f>_xlfn.XLOOKUP(D164,'[1]Jan Customer Duplicate Hyva'!$B:$B,'[1]Jan Customer Duplicate Hyva'!$A:$A,"NOT FOUND")</f>
        <v>CUST-157</v>
      </c>
      <c r="D164" s="4" t="s">
        <v>129</v>
      </c>
      <c r="E164" s="4" t="s">
        <v>26</v>
      </c>
      <c r="F164" s="5" t="str">
        <f t="shared" si="19"/>
        <v>Ravi</v>
      </c>
      <c r="G164" s="5" t="str">
        <f t="shared" si="20"/>
        <v/>
      </c>
      <c r="H164" s="5" t="str">
        <f t="shared" si="21"/>
        <v/>
      </c>
      <c r="I164" s="5" t="str">
        <f>_xlfn.XLOOKUP(F164,'[1]Jan Labour Nd Drivers Hyva'!$B:$B,'[2]Jan Labour Nd Drivers Hyva'!$A:$A,"NOT FOUND")</f>
        <v>LAB-003</v>
      </c>
      <c r="J164" s="5" t="str">
        <f>IF(G164="","",_xlfn.XLOOKUP(G164,'[3]Jan Labour Nd Drivers Hyva'!$B:$B,'[2]Jan Labour Nd Drivers Hyva'!$A:$A,"NOT FOUND"))</f>
        <v/>
      </c>
      <c r="K164" s="5" t="str">
        <f>IF(H164="","",_xlfn.XLOOKUP(H164,'[2]Jan Labour Nd Drivers Hyva'!$B:$B,'[2]Jan Labour Nd Drivers Hyva'!$A:$A,"NOT FOUND"))</f>
        <v/>
      </c>
      <c r="L164" s="4" t="s">
        <v>106</v>
      </c>
      <c r="M164" s="6">
        <v>2</v>
      </c>
      <c r="N164" s="7">
        <v>3500</v>
      </c>
      <c r="O164" s="7">
        <f t="shared" si="22"/>
        <v>7000</v>
      </c>
      <c r="P164" s="7">
        <v>7000</v>
      </c>
      <c r="Q164" s="7">
        <f t="shared" si="28"/>
        <v>0</v>
      </c>
      <c r="R164" s="3" t="str">
        <f t="shared" si="23"/>
        <v>PAID</v>
      </c>
      <c r="S164" s="3"/>
      <c r="T164" s="3">
        <f t="shared" si="24"/>
        <v>7000</v>
      </c>
      <c r="U164" s="3" t="str">
        <f t="shared" si="25"/>
        <v>OK</v>
      </c>
      <c r="V164" s="8">
        <f t="shared" si="26"/>
        <v>0</v>
      </c>
      <c r="W164" s="3" t="str">
        <f t="shared" si="27"/>
        <v>OK</v>
      </c>
      <c r="X164" s="3" t="s">
        <v>133</v>
      </c>
      <c r="Y164" s="3" t="s">
        <v>131</v>
      </c>
      <c r="Z164" s="3" t="s">
        <v>122</v>
      </c>
      <c r="AA164" s="3" t="s">
        <v>122</v>
      </c>
      <c r="AB164" s="3" t="s">
        <v>122</v>
      </c>
    </row>
    <row r="165" spans="1:28" ht="19" x14ac:dyDescent="0.25">
      <c r="A165" t="s">
        <v>316</v>
      </c>
      <c r="B165" s="2">
        <v>46008</v>
      </c>
      <c r="C165" s="3" t="str">
        <f>_xlfn.XLOOKUP(D165,'[1]Jan Customer Duplicate Hyva'!$B:$B,'[1]Jan Customer Duplicate Hyva'!$A:$A,"NOT FOUND")</f>
        <v>CUST-255</v>
      </c>
      <c r="D165" s="9" t="s">
        <v>46</v>
      </c>
      <c r="E165" s="4" t="s">
        <v>26</v>
      </c>
      <c r="F165" s="5" t="str">
        <f t="shared" si="19"/>
        <v>Ravi</v>
      </c>
      <c r="G165" s="5" t="str">
        <f t="shared" si="20"/>
        <v/>
      </c>
      <c r="H165" s="5" t="str">
        <f t="shared" si="21"/>
        <v/>
      </c>
      <c r="I165" s="5" t="str">
        <f>_xlfn.XLOOKUP(F165,'[1]Jan Labour Nd Drivers Hyva'!$B:$B,'[2]Jan Labour Nd Drivers Hyva'!$A:$A,"NOT FOUND")</f>
        <v>LAB-003</v>
      </c>
      <c r="J165" s="5" t="str">
        <f>IF(G165="","",_xlfn.XLOOKUP(G165,'[3]Jan Labour Nd Drivers Hyva'!$B:$B,'[2]Jan Labour Nd Drivers Hyva'!$A:$A,"NOT FOUND"))</f>
        <v/>
      </c>
      <c r="K165" s="5" t="str">
        <f>IF(H165="","",_xlfn.XLOOKUP(H165,'[2]Jan Labour Nd Drivers Hyva'!$B:$B,'[2]Jan Labour Nd Drivers Hyva'!$A:$A,"NOT FOUND"))</f>
        <v/>
      </c>
      <c r="L165" s="4" t="s">
        <v>87</v>
      </c>
      <c r="M165" s="6">
        <v>4</v>
      </c>
      <c r="N165" s="7">
        <v>3000</v>
      </c>
      <c r="O165" s="7">
        <f t="shared" si="22"/>
        <v>12000</v>
      </c>
      <c r="P165" s="7">
        <v>12000</v>
      </c>
      <c r="Q165" s="7">
        <f t="shared" si="28"/>
        <v>0</v>
      </c>
      <c r="R165" s="3" t="str">
        <f t="shared" si="23"/>
        <v>PAID</v>
      </c>
      <c r="S165" s="3"/>
      <c r="T165" s="3">
        <f t="shared" si="24"/>
        <v>12000</v>
      </c>
      <c r="U165" s="3" t="str">
        <f t="shared" si="25"/>
        <v>OK</v>
      </c>
      <c r="V165" s="8">
        <f t="shared" si="26"/>
        <v>0</v>
      </c>
      <c r="W165" s="3" t="str">
        <f t="shared" si="27"/>
        <v>OK</v>
      </c>
      <c r="X165" s="3" t="s">
        <v>133</v>
      </c>
      <c r="Y165" s="3" t="s">
        <v>131</v>
      </c>
      <c r="Z165" s="3" t="s">
        <v>122</v>
      </c>
      <c r="AA165" s="3" t="s">
        <v>122</v>
      </c>
      <c r="AB165" s="3" t="s">
        <v>122</v>
      </c>
    </row>
    <row r="166" spans="1:28" ht="19" x14ac:dyDescent="0.25">
      <c r="A166" t="s">
        <v>317</v>
      </c>
      <c r="B166" s="2">
        <v>46009</v>
      </c>
      <c r="C166" s="3" t="str">
        <f>_xlfn.XLOOKUP(D166,'[1]Jan Customer Duplicate Hyva'!$B:$B,'[1]Jan Customer Duplicate Hyva'!$A:$A,"NOT FOUND")</f>
        <v>CUST-255</v>
      </c>
      <c r="D166" s="9" t="s">
        <v>46</v>
      </c>
      <c r="E166" s="4" t="s">
        <v>26</v>
      </c>
      <c r="F166" s="5" t="str">
        <f t="shared" si="19"/>
        <v>Ravi</v>
      </c>
      <c r="G166" s="5" t="str">
        <f t="shared" si="20"/>
        <v/>
      </c>
      <c r="H166" s="5" t="str">
        <f t="shared" si="21"/>
        <v/>
      </c>
      <c r="I166" s="5" t="str">
        <f>_xlfn.XLOOKUP(F166,'[1]Jan Labour Nd Drivers Hyva'!$B:$B,'[2]Jan Labour Nd Drivers Hyva'!$A:$A,"NOT FOUND")</f>
        <v>LAB-003</v>
      </c>
      <c r="J166" s="5" t="str">
        <f>IF(G166="","",_xlfn.XLOOKUP(G166,'[3]Jan Labour Nd Drivers Hyva'!$B:$B,'[2]Jan Labour Nd Drivers Hyva'!$A:$A,"NOT FOUND"))</f>
        <v/>
      </c>
      <c r="K166" s="5" t="str">
        <f>IF(H166="","",_xlfn.XLOOKUP(H166,'[2]Jan Labour Nd Drivers Hyva'!$B:$B,'[2]Jan Labour Nd Drivers Hyva'!$A:$A,"NOT FOUND"))</f>
        <v/>
      </c>
      <c r="L166" s="4" t="s">
        <v>87</v>
      </c>
      <c r="M166" s="6">
        <v>1</v>
      </c>
      <c r="N166" s="7">
        <v>3000</v>
      </c>
      <c r="O166" s="7">
        <f t="shared" si="22"/>
        <v>3000</v>
      </c>
      <c r="P166" s="7">
        <v>3000</v>
      </c>
      <c r="Q166" s="7">
        <f t="shared" si="28"/>
        <v>0</v>
      </c>
      <c r="R166" s="3" t="str">
        <f t="shared" si="23"/>
        <v>PAID</v>
      </c>
      <c r="S166" s="3"/>
      <c r="T166" s="3">
        <f t="shared" si="24"/>
        <v>3000</v>
      </c>
      <c r="U166" s="3" t="str">
        <f t="shared" si="25"/>
        <v>OK</v>
      </c>
      <c r="V166" s="8">
        <f t="shared" si="26"/>
        <v>0</v>
      </c>
      <c r="W166" s="3" t="str">
        <f t="shared" si="27"/>
        <v>OK</v>
      </c>
      <c r="X166" s="3" t="s">
        <v>133</v>
      </c>
      <c r="Y166" s="3" t="s">
        <v>131</v>
      </c>
      <c r="Z166" s="3" t="s">
        <v>122</v>
      </c>
      <c r="AA166" s="3" t="s">
        <v>122</v>
      </c>
      <c r="AB166" s="3" t="s">
        <v>122</v>
      </c>
    </row>
    <row r="167" spans="1:28" ht="19" x14ac:dyDescent="0.25">
      <c r="A167" t="s">
        <v>318</v>
      </c>
      <c r="B167" s="2">
        <v>46012</v>
      </c>
      <c r="C167" s="3" t="str">
        <f>_xlfn.XLOOKUP(D167,'[1]Jan Customer Duplicate Hyva'!$B:$B,'[1]Jan Customer Duplicate Hyva'!$A:$A,"NOT FOUND")</f>
        <v>CUST-255</v>
      </c>
      <c r="D167" s="9" t="s">
        <v>46</v>
      </c>
      <c r="E167" s="4" t="s">
        <v>26</v>
      </c>
      <c r="F167" s="5" t="str">
        <f t="shared" si="19"/>
        <v>Ravi</v>
      </c>
      <c r="G167" s="5" t="str">
        <f t="shared" si="20"/>
        <v/>
      </c>
      <c r="H167" s="5" t="str">
        <f t="shared" si="21"/>
        <v/>
      </c>
      <c r="I167" s="5" t="str">
        <f>_xlfn.XLOOKUP(F167,'[1]Jan Labour Nd Drivers Hyva'!$B:$B,'[2]Jan Labour Nd Drivers Hyva'!$A:$A,"NOT FOUND")</f>
        <v>LAB-003</v>
      </c>
      <c r="J167" s="5" t="str">
        <f>IF(G167="","",_xlfn.XLOOKUP(G167,'[3]Jan Labour Nd Drivers Hyva'!$B:$B,'[2]Jan Labour Nd Drivers Hyva'!$A:$A,"NOT FOUND"))</f>
        <v/>
      </c>
      <c r="K167" s="5" t="str">
        <f>IF(H167="","",_xlfn.XLOOKUP(H167,'[2]Jan Labour Nd Drivers Hyva'!$B:$B,'[2]Jan Labour Nd Drivers Hyva'!$A:$A,"NOT FOUND"))</f>
        <v/>
      </c>
      <c r="L167" s="4" t="s">
        <v>87</v>
      </c>
      <c r="M167" s="6">
        <v>1</v>
      </c>
      <c r="N167" s="7">
        <v>3000</v>
      </c>
      <c r="O167" s="7">
        <f t="shared" si="22"/>
        <v>3000</v>
      </c>
      <c r="P167" s="7">
        <v>3000</v>
      </c>
      <c r="Q167" s="7">
        <f t="shared" si="28"/>
        <v>0</v>
      </c>
      <c r="R167" s="3" t="str">
        <f t="shared" si="23"/>
        <v>PAID</v>
      </c>
      <c r="S167" s="3"/>
      <c r="T167" s="3">
        <f t="shared" si="24"/>
        <v>3000</v>
      </c>
      <c r="U167" s="3" t="str">
        <f t="shared" si="25"/>
        <v>OK</v>
      </c>
      <c r="V167" s="8">
        <f t="shared" si="26"/>
        <v>0</v>
      </c>
      <c r="W167" s="3" t="str">
        <f t="shared" si="27"/>
        <v>OK</v>
      </c>
      <c r="X167" s="3" t="s">
        <v>133</v>
      </c>
      <c r="Y167" s="3" t="s">
        <v>131</v>
      </c>
      <c r="Z167" s="3" t="s">
        <v>122</v>
      </c>
      <c r="AA167" s="3" t="s">
        <v>122</v>
      </c>
      <c r="AB167" s="3" t="s">
        <v>122</v>
      </c>
    </row>
    <row r="168" spans="1:28" ht="19" x14ac:dyDescent="0.25">
      <c r="A168" t="s">
        <v>319</v>
      </c>
      <c r="B168" s="2">
        <v>46012</v>
      </c>
      <c r="C168" s="3" t="str">
        <f>_xlfn.XLOOKUP(D168,'[1]Jan Customer Duplicate Hyva'!$B:$B,'[1]Jan Customer Duplicate Hyva'!$A:$A,"NOT FOUND")</f>
        <v>CUST-255</v>
      </c>
      <c r="D168" s="9" t="s">
        <v>46</v>
      </c>
      <c r="E168" s="4" t="s">
        <v>100</v>
      </c>
      <c r="F168" s="5" t="str">
        <f t="shared" si="19"/>
        <v>Dhanraj</v>
      </c>
      <c r="G168" s="5" t="str">
        <f t="shared" si="20"/>
        <v/>
      </c>
      <c r="H168" s="5" t="str">
        <f t="shared" si="21"/>
        <v/>
      </c>
      <c r="I168" s="5" t="str">
        <f>_xlfn.XLOOKUP(F168,'[1]Jan Labour Nd Drivers Hyva'!$B:$B,'[2]Jan Labour Nd Drivers Hyva'!$A:$A,"NOT FOUND")</f>
        <v>LAB-010</v>
      </c>
      <c r="J168" s="5" t="str">
        <f>IF(G168="","",_xlfn.XLOOKUP(G168,'[3]Jan Labour Nd Drivers Hyva'!$B:$B,'[2]Jan Labour Nd Drivers Hyva'!$A:$A,"NOT FOUND"))</f>
        <v/>
      </c>
      <c r="K168" s="5" t="str">
        <f>IF(H168="","",_xlfn.XLOOKUP(H168,'[2]Jan Labour Nd Drivers Hyva'!$B:$B,'[2]Jan Labour Nd Drivers Hyva'!$A:$A,"NOT FOUND"))</f>
        <v/>
      </c>
      <c r="L168" s="4" t="s">
        <v>87</v>
      </c>
      <c r="M168" s="6">
        <v>2</v>
      </c>
      <c r="N168" s="7">
        <v>3000</v>
      </c>
      <c r="O168" s="7">
        <f t="shared" si="22"/>
        <v>6000</v>
      </c>
      <c r="P168" s="7">
        <v>6000</v>
      </c>
      <c r="Q168" s="7">
        <f t="shared" si="28"/>
        <v>0</v>
      </c>
      <c r="R168" s="3" t="str">
        <f t="shared" si="23"/>
        <v>PAID</v>
      </c>
      <c r="S168" s="3"/>
      <c r="T168" s="3">
        <f t="shared" si="24"/>
        <v>6000</v>
      </c>
      <c r="U168" s="3" t="str">
        <f t="shared" si="25"/>
        <v>OK</v>
      </c>
      <c r="V168" s="8">
        <f t="shared" si="26"/>
        <v>0</v>
      </c>
      <c r="W168" s="3" t="str">
        <f t="shared" si="27"/>
        <v>OK</v>
      </c>
      <c r="X168" s="3" t="s">
        <v>133</v>
      </c>
      <c r="Y168" s="3" t="s">
        <v>131</v>
      </c>
      <c r="Z168" s="3" t="s">
        <v>122</v>
      </c>
      <c r="AA168" s="3" t="s">
        <v>122</v>
      </c>
      <c r="AB168" s="3" t="s">
        <v>122</v>
      </c>
    </row>
    <row r="169" spans="1:28" ht="19" x14ac:dyDescent="0.25">
      <c r="A169" t="s">
        <v>320</v>
      </c>
      <c r="B169" s="2">
        <v>46013</v>
      </c>
      <c r="C169" s="3" t="str">
        <f>_xlfn.XLOOKUP(D169,'[1]Jan Customer Duplicate Hyva'!$B:$B,'[1]Jan Customer Duplicate Hyva'!$A:$A,"NOT FOUND")</f>
        <v>CUST-255</v>
      </c>
      <c r="D169" s="9" t="s">
        <v>46</v>
      </c>
      <c r="E169" s="4" t="s">
        <v>26</v>
      </c>
      <c r="F169" s="5" t="str">
        <f t="shared" si="19"/>
        <v>Ravi</v>
      </c>
      <c r="G169" s="5" t="str">
        <f t="shared" si="20"/>
        <v/>
      </c>
      <c r="H169" s="5" t="str">
        <f t="shared" si="21"/>
        <v/>
      </c>
      <c r="I169" s="5" t="str">
        <f>_xlfn.XLOOKUP(F169,'[1]Jan Labour Nd Drivers Hyva'!$B:$B,'[2]Jan Labour Nd Drivers Hyva'!$A:$A,"NOT FOUND")</f>
        <v>LAB-003</v>
      </c>
      <c r="J169" s="5" t="str">
        <f>IF(G169="","",_xlfn.XLOOKUP(G169,'[3]Jan Labour Nd Drivers Hyva'!$B:$B,'[2]Jan Labour Nd Drivers Hyva'!$A:$A,"NOT FOUND"))</f>
        <v/>
      </c>
      <c r="K169" s="5" t="str">
        <f>IF(H169="","",_xlfn.XLOOKUP(H169,'[2]Jan Labour Nd Drivers Hyva'!$B:$B,'[2]Jan Labour Nd Drivers Hyva'!$A:$A,"NOT FOUND"))</f>
        <v/>
      </c>
      <c r="L169" s="4" t="s">
        <v>87</v>
      </c>
      <c r="M169" s="6">
        <v>3</v>
      </c>
      <c r="N169" s="7">
        <v>3000</v>
      </c>
      <c r="O169" s="7">
        <f t="shared" si="22"/>
        <v>9000</v>
      </c>
      <c r="P169" s="7">
        <v>9000</v>
      </c>
      <c r="Q169" s="7">
        <f t="shared" si="28"/>
        <v>0</v>
      </c>
      <c r="R169" s="3" t="str">
        <f t="shared" si="23"/>
        <v>PAID</v>
      </c>
      <c r="S169" s="3"/>
      <c r="T169" s="3">
        <f t="shared" si="24"/>
        <v>9000</v>
      </c>
      <c r="U169" s="3" t="str">
        <f t="shared" si="25"/>
        <v>OK</v>
      </c>
      <c r="V169" s="8">
        <f t="shared" si="26"/>
        <v>0</v>
      </c>
      <c r="W169" s="3" t="str">
        <f t="shared" si="27"/>
        <v>OK</v>
      </c>
      <c r="X169" s="3" t="s">
        <v>133</v>
      </c>
      <c r="Y169" s="3" t="s">
        <v>131</v>
      </c>
      <c r="Z169" s="3" t="s">
        <v>122</v>
      </c>
      <c r="AA169" s="3" t="s">
        <v>122</v>
      </c>
      <c r="AB169" s="3" t="s">
        <v>122</v>
      </c>
    </row>
    <row r="170" spans="1:28" ht="19" x14ac:dyDescent="0.25">
      <c r="A170" t="s">
        <v>321</v>
      </c>
      <c r="B170" s="2">
        <v>46013</v>
      </c>
      <c r="C170" s="3" t="str">
        <f>_xlfn.XLOOKUP(D170,'[1]Jan Customer Duplicate Hyva'!$B:$B,'[1]Jan Customer Duplicate Hyva'!$A:$A,"NOT FOUND")</f>
        <v>CUST-255</v>
      </c>
      <c r="D170" s="9" t="s">
        <v>46</v>
      </c>
      <c r="E170" s="4" t="s">
        <v>100</v>
      </c>
      <c r="F170" s="5" t="str">
        <f t="shared" si="19"/>
        <v>Dhanraj</v>
      </c>
      <c r="G170" s="5" t="str">
        <f t="shared" si="20"/>
        <v/>
      </c>
      <c r="H170" s="5" t="str">
        <f t="shared" si="21"/>
        <v/>
      </c>
      <c r="I170" s="5" t="str">
        <f>_xlfn.XLOOKUP(F170,'[1]Jan Labour Nd Drivers Hyva'!$B:$B,'[2]Jan Labour Nd Drivers Hyva'!$A:$A,"NOT FOUND")</f>
        <v>LAB-010</v>
      </c>
      <c r="J170" s="5" t="str">
        <f>IF(G170="","",_xlfn.XLOOKUP(G170,'[3]Jan Labour Nd Drivers Hyva'!$B:$B,'[2]Jan Labour Nd Drivers Hyva'!$A:$A,"NOT FOUND"))</f>
        <v/>
      </c>
      <c r="K170" s="5" t="str">
        <f>IF(H170="","",_xlfn.XLOOKUP(H170,'[2]Jan Labour Nd Drivers Hyva'!$B:$B,'[2]Jan Labour Nd Drivers Hyva'!$A:$A,"NOT FOUND"))</f>
        <v/>
      </c>
      <c r="L170" s="4" t="s">
        <v>87</v>
      </c>
      <c r="M170" s="6">
        <v>3</v>
      </c>
      <c r="N170" s="7">
        <v>3000</v>
      </c>
      <c r="O170" s="7">
        <f t="shared" si="22"/>
        <v>9000</v>
      </c>
      <c r="P170" s="7">
        <v>9000</v>
      </c>
      <c r="Q170" s="7">
        <f t="shared" si="28"/>
        <v>0</v>
      </c>
      <c r="R170" s="3" t="str">
        <f t="shared" si="23"/>
        <v>PAID</v>
      </c>
      <c r="S170" s="3"/>
      <c r="T170" s="3">
        <f t="shared" si="24"/>
        <v>9000</v>
      </c>
      <c r="U170" s="3" t="str">
        <f t="shared" si="25"/>
        <v>OK</v>
      </c>
      <c r="V170" s="8">
        <f t="shared" si="26"/>
        <v>0</v>
      </c>
      <c r="W170" s="3" t="str">
        <f t="shared" si="27"/>
        <v>OK</v>
      </c>
      <c r="X170" s="3" t="s">
        <v>133</v>
      </c>
      <c r="Y170" s="3" t="s">
        <v>131</v>
      </c>
      <c r="Z170" s="3" t="s">
        <v>122</v>
      </c>
      <c r="AA170" s="3" t="s">
        <v>122</v>
      </c>
      <c r="AB170" s="3" t="s">
        <v>122</v>
      </c>
    </row>
    <row r="171" spans="1:28" ht="19" x14ac:dyDescent="0.25">
      <c r="A171" t="s">
        <v>322</v>
      </c>
      <c r="B171" s="2">
        <v>46015</v>
      </c>
      <c r="C171" s="3" t="str">
        <f>_xlfn.XLOOKUP(D171,'[1]Jan Customer Duplicate Hyva'!$B:$B,'[1]Jan Customer Duplicate Hyva'!$A:$A,"NOT FOUND")</f>
        <v>CUST-255</v>
      </c>
      <c r="D171" s="9" t="s">
        <v>46</v>
      </c>
      <c r="E171" s="4" t="s">
        <v>110</v>
      </c>
      <c r="F171" s="5" t="str">
        <f t="shared" si="19"/>
        <v>Ravi</v>
      </c>
      <c r="G171" s="5" t="str">
        <f t="shared" si="20"/>
        <v>Dhanraj</v>
      </c>
      <c r="H171" s="5" t="str">
        <f t="shared" si="21"/>
        <v/>
      </c>
      <c r="I171" s="5" t="str">
        <f>_xlfn.XLOOKUP(F171,'[1]Jan Labour Nd Drivers Hyva'!$B:$B,'[2]Jan Labour Nd Drivers Hyva'!$A:$A,"NOT FOUND")</f>
        <v>LAB-003</v>
      </c>
      <c r="J171" s="5" t="str">
        <f>IF(G171="","",_xlfn.XLOOKUP(G171,'[3]Jan Labour Nd Drivers Hyva'!$B:$B,'[2]Jan Labour Nd Drivers Hyva'!$A:$A,"NOT FOUND"))</f>
        <v>LAB-010</v>
      </c>
      <c r="K171" s="5" t="str">
        <f>IF(H171="","",_xlfn.XLOOKUP(H171,'[2]Jan Labour Nd Drivers Hyva'!$B:$B,'[2]Jan Labour Nd Drivers Hyva'!$A:$A,"NOT FOUND"))</f>
        <v/>
      </c>
      <c r="L171" s="4" t="s">
        <v>87</v>
      </c>
      <c r="M171" s="6">
        <v>6</v>
      </c>
      <c r="N171" s="7">
        <v>3000</v>
      </c>
      <c r="O171" s="7">
        <f t="shared" si="22"/>
        <v>18000</v>
      </c>
      <c r="P171" s="7">
        <v>18000</v>
      </c>
      <c r="Q171" s="7">
        <f t="shared" si="28"/>
        <v>0</v>
      </c>
      <c r="R171" s="3" t="str">
        <f t="shared" si="23"/>
        <v>PAID</v>
      </c>
      <c r="S171" s="3"/>
      <c r="T171" s="3">
        <f t="shared" si="24"/>
        <v>18000</v>
      </c>
      <c r="U171" s="3" t="str">
        <f t="shared" si="25"/>
        <v>OK</v>
      </c>
      <c r="V171" s="8">
        <f t="shared" si="26"/>
        <v>0</v>
      </c>
      <c r="W171" s="3" t="str">
        <f t="shared" si="27"/>
        <v>OK</v>
      </c>
      <c r="X171" s="3" t="s">
        <v>133</v>
      </c>
      <c r="Y171" s="3" t="s">
        <v>131</v>
      </c>
      <c r="Z171" s="3" t="s">
        <v>122</v>
      </c>
      <c r="AA171" s="3" t="s">
        <v>122</v>
      </c>
      <c r="AB171" s="3" t="s">
        <v>122</v>
      </c>
    </row>
    <row r="172" spans="1:28" ht="19" x14ac:dyDescent="0.25">
      <c r="A172" t="s">
        <v>323</v>
      </c>
      <c r="B172" s="2">
        <v>46016</v>
      </c>
      <c r="C172" s="3" t="str">
        <f>_xlfn.XLOOKUP(D172,'[1]Jan Customer Duplicate Hyva'!$B:$B,'[1]Jan Customer Duplicate Hyva'!$A:$A,"NOT FOUND")</f>
        <v>CUST-255</v>
      </c>
      <c r="D172" s="9" t="s">
        <v>46</v>
      </c>
      <c r="E172" s="4" t="s">
        <v>111</v>
      </c>
      <c r="F172" s="5" t="str">
        <f t="shared" si="19"/>
        <v>Ravi</v>
      </c>
      <c r="G172" s="5" t="str">
        <f t="shared" si="20"/>
        <v>Dhanraj</v>
      </c>
      <c r="H172" s="5" t="str">
        <f t="shared" si="21"/>
        <v/>
      </c>
      <c r="I172" s="5" t="str">
        <f>_xlfn.XLOOKUP(F172,'[1]Jan Labour Nd Drivers Hyva'!$B:$B,'[2]Jan Labour Nd Drivers Hyva'!$A:$A,"NOT FOUND")</f>
        <v>LAB-003</v>
      </c>
      <c r="J172" s="5" t="str">
        <f>IF(G172="","",_xlfn.XLOOKUP(G172,'[3]Jan Labour Nd Drivers Hyva'!$B:$B,'[2]Jan Labour Nd Drivers Hyva'!$A:$A,"NOT FOUND"))</f>
        <v>LAB-010</v>
      </c>
      <c r="K172" s="5" t="str">
        <f>IF(H172="","",_xlfn.XLOOKUP(H172,'[2]Jan Labour Nd Drivers Hyva'!$B:$B,'[2]Jan Labour Nd Drivers Hyva'!$A:$A,"NOT FOUND"))</f>
        <v/>
      </c>
      <c r="L172" s="4" t="s">
        <v>87</v>
      </c>
      <c r="M172" s="6">
        <v>6</v>
      </c>
      <c r="N172" s="7">
        <v>3000</v>
      </c>
      <c r="O172" s="7">
        <f t="shared" si="22"/>
        <v>18000</v>
      </c>
      <c r="P172" s="7">
        <v>18000</v>
      </c>
      <c r="Q172" s="7">
        <f t="shared" si="28"/>
        <v>0</v>
      </c>
      <c r="R172" s="3" t="str">
        <f t="shared" si="23"/>
        <v>PAID</v>
      </c>
      <c r="S172" s="3"/>
      <c r="T172" s="3">
        <f t="shared" si="24"/>
        <v>18000</v>
      </c>
      <c r="U172" s="3" t="str">
        <f t="shared" si="25"/>
        <v>OK</v>
      </c>
      <c r="V172" s="8">
        <f t="shared" si="26"/>
        <v>0</v>
      </c>
      <c r="W172" s="3" t="str">
        <f t="shared" si="27"/>
        <v>OK</v>
      </c>
      <c r="X172" s="3" t="s">
        <v>133</v>
      </c>
      <c r="Y172" s="3" t="s">
        <v>131</v>
      </c>
      <c r="Z172" s="3" t="s">
        <v>122</v>
      </c>
      <c r="AA172" s="3" t="s">
        <v>122</v>
      </c>
      <c r="AB172" s="3" t="s">
        <v>122</v>
      </c>
    </row>
    <row r="173" spans="1:28" ht="19" x14ac:dyDescent="0.25">
      <c r="A173" t="s">
        <v>324</v>
      </c>
      <c r="B173" s="2">
        <v>46017</v>
      </c>
      <c r="C173" s="3" t="str">
        <f>_xlfn.XLOOKUP(D173,'[1]Jan Customer Duplicate Hyva'!$B:$B,'[1]Jan Customer Duplicate Hyva'!$A:$A,"NOT FOUND")</f>
        <v>CUST-054</v>
      </c>
      <c r="D173" s="4" t="s">
        <v>112</v>
      </c>
      <c r="E173" s="4" t="s">
        <v>110</v>
      </c>
      <c r="F173" s="5" t="str">
        <f t="shared" ref="F173:F185" si="29">TRIM(_xlfn.TEXTBEFORE(E173&amp;" / "," / "))</f>
        <v>Ravi</v>
      </c>
      <c r="G173" s="5" t="str">
        <f t="shared" ref="G173:G185" si="30">IFERROR(TRIM(_xlfn.TEXTBEFORE(_xlfn.TEXTAFTER(E173," / ")&amp;" / "," / ")),"")</f>
        <v>Dhanraj</v>
      </c>
      <c r="H173" s="5" t="str">
        <f t="shared" ref="H173:H185" si="31">IFERROR(TRIM(_xlfn.TEXTAFTER(E173," / ","2")),"")</f>
        <v/>
      </c>
      <c r="I173" s="5" t="str">
        <f>_xlfn.XLOOKUP(F173,'[1]Jan Labour Nd Drivers Hyva'!$B:$B,'[2]Jan Labour Nd Drivers Hyva'!$A:$A,"NOT FOUND")</f>
        <v>LAB-003</v>
      </c>
      <c r="J173" s="5" t="str">
        <f>IF(G173="","",_xlfn.XLOOKUP(G173,'[3]Jan Labour Nd Drivers Hyva'!$B:$B,'[2]Jan Labour Nd Drivers Hyva'!$A:$A,"NOT FOUND"))</f>
        <v>LAB-010</v>
      </c>
      <c r="K173" s="5" t="str">
        <f>IF(H173="","",_xlfn.XLOOKUP(H173,'[2]Jan Labour Nd Drivers Hyva'!$B:$B,'[2]Jan Labour Nd Drivers Hyva'!$A:$A,"NOT FOUND"))</f>
        <v/>
      </c>
      <c r="L173" s="4" t="s">
        <v>34</v>
      </c>
      <c r="M173" s="6">
        <v>2</v>
      </c>
      <c r="N173" s="7">
        <v>3500</v>
      </c>
      <c r="O173" s="7">
        <f t="shared" ref="O173:O185" si="32">N173*M173</f>
        <v>7000</v>
      </c>
      <c r="P173" s="7">
        <v>7000</v>
      </c>
      <c r="Q173" s="7">
        <f t="shared" si="28"/>
        <v>0</v>
      </c>
      <c r="R173" s="3" t="str">
        <f t="shared" ref="R173:R185" si="33">IF(Q173=0,"PAID",IF(P173=0,"UNPAID","PARTIAL"))</f>
        <v>PAID</v>
      </c>
      <c r="S173" s="3"/>
      <c r="T173" s="3">
        <f t="shared" ref="T173:T185" si="34">M173*N173</f>
        <v>7000</v>
      </c>
      <c r="U173" s="3" t="str">
        <f t="shared" ref="U173:U185" si="35">IF(ROUND(T173,2)=ROUND(O173,2),"OK","CHECK")</f>
        <v>OK</v>
      </c>
      <c r="V173" s="8">
        <f t="shared" ref="V173:V185" si="36">O173-P173</f>
        <v>0</v>
      </c>
      <c r="W173" s="3" t="str">
        <f t="shared" ref="W173:W185" si="37">IF(ROUND(V173,2)=ROUND(Q173,2),"OK","CHECK")</f>
        <v>OK</v>
      </c>
      <c r="X173" s="3" t="s">
        <v>133</v>
      </c>
      <c r="Y173" s="3" t="s">
        <v>131</v>
      </c>
      <c r="Z173" s="3" t="s">
        <v>122</v>
      </c>
      <c r="AA173" s="3" t="s">
        <v>122</v>
      </c>
      <c r="AB173" s="3" t="s">
        <v>122</v>
      </c>
    </row>
    <row r="174" spans="1:28" ht="19" x14ac:dyDescent="0.25">
      <c r="A174" t="s">
        <v>325</v>
      </c>
      <c r="B174" s="2">
        <v>46017</v>
      </c>
      <c r="C174" s="3" t="str">
        <f>_xlfn.XLOOKUP(D174,'[1]Jan Customer Duplicate Hyva'!$B:$B,'[1]Jan Customer Duplicate Hyva'!$A:$A,"NOT FOUND")</f>
        <v>CUST-120</v>
      </c>
      <c r="D174" s="4" t="s">
        <v>69</v>
      </c>
      <c r="E174" s="4" t="s">
        <v>113</v>
      </c>
      <c r="F174" s="5" t="str">
        <f t="shared" si="29"/>
        <v>Ravi</v>
      </c>
      <c r="G174" s="5" t="str">
        <f t="shared" si="30"/>
        <v>Dhanraj</v>
      </c>
      <c r="H174" s="5" t="str">
        <f t="shared" si="31"/>
        <v/>
      </c>
      <c r="I174" s="5" t="str">
        <f>_xlfn.XLOOKUP(F174,'[1]Jan Labour Nd Drivers Hyva'!$B:$B,'[2]Jan Labour Nd Drivers Hyva'!$A:$A,"NOT FOUND")</f>
        <v>LAB-003</v>
      </c>
      <c r="J174" s="5" t="str">
        <f>IF(G174="","",_xlfn.XLOOKUP(G174,'[3]Jan Labour Nd Drivers Hyva'!$B:$B,'[2]Jan Labour Nd Drivers Hyva'!$A:$A,"NOT FOUND"))</f>
        <v>LAB-010</v>
      </c>
      <c r="K174" s="5" t="str">
        <f>IF(H174="","",_xlfn.XLOOKUP(H174,'[2]Jan Labour Nd Drivers Hyva'!$B:$B,'[2]Jan Labour Nd Drivers Hyva'!$A:$A,"NOT FOUND"))</f>
        <v/>
      </c>
      <c r="L174" s="4" t="s">
        <v>114</v>
      </c>
      <c r="M174" s="6">
        <v>6</v>
      </c>
      <c r="N174" s="7">
        <v>3500</v>
      </c>
      <c r="O174" s="7">
        <f t="shared" si="32"/>
        <v>21000</v>
      </c>
      <c r="P174" s="7">
        <v>21000</v>
      </c>
      <c r="Q174" s="7">
        <f t="shared" si="28"/>
        <v>0</v>
      </c>
      <c r="R174" s="3" t="str">
        <f t="shared" si="33"/>
        <v>PAID</v>
      </c>
      <c r="S174" s="3"/>
      <c r="T174" s="3">
        <f t="shared" si="34"/>
        <v>21000</v>
      </c>
      <c r="U174" s="3" t="str">
        <f t="shared" si="35"/>
        <v>OK</v>
      </c>
      <c r="V174" s="8">
        <f t="shared" si="36"/>
        <v>0</v>
      </c>
      <c r="W174" s="3" t="str">
        <f t="shared" si="37"/>
        <v>OK</v>
      </c>
      <c r="X174" s="3" t="s">
        <v>133</v>
      </c>
      <c r="Y174" s="3" t="s">
        <v>131</v>
      </c>
      <c r="Z174" s="3" t="s">
        <v>122</v>
      </c>
      <c r="AA174" s="3" t="s">
        <v>122</v>
      </c>
      <c r="AB174" s="3" t="s">
        <v>122</v>
      </c>
    </row>
    <row r="175" spans="1:28" ht="19" x14ac:dyDescent="0.25">
      <c r="A175" t="s">
        <v>326</v>
      </c>
      <c r="B175" s="2">
        <v>46017</v>
      </c>
      <c r="C175" s="3" t="str">
        <f>_xlfn.XLOOKUP(D175,'[1]Jan Customer Duplicate Hyva'!$B:$B,'[1]Jan Customer Duplicate Hyva'!$A:$A,"NOT FOUND")</f>
        <v>CUST-157</v>
      </c>
      <c r="D175" s="4" t="s">
        <v>129</v>
      </c>
      <c r="E175" s="4" t="s">
        <v>26</v>
      </c>
      <c r="F175" s="5" t="str">
        <f t="shared" si="29"/>
        <v>Ravi</v>
      </c>
      <c r="G175" s="5" t="str">
        <f t="shared" si="30"/>
        <v/>
      </c>
      <c r="H175" s="5" t="str">
        <f t="shared" si="31"/>
        <v/>
      </c>
      <c r="I175" s="5" t="str">
        <f>_xlfn.XLOOKUP(F175,'[1]Jan Labour Nd Drivers Hyva'!$B:$B,'[2]Jan Labour Nd Drivers Hyva'!$A:$A,"NOT FOUND")</f>
        <v>LAB-003</v>
      </c>
      <c r="J175" s="5" t="str">
        <f>IF(G175="","",_xlfn.XLOOKUP(G175,'[3]Jan Labour Nd Drivers Hyva'!$B:$B,'[2]Jan Labour Nd Drivers Hyva'!$A:$A,"NOT FOUND"))</f>
        <v/>
      </c>
      <c r="K175" s="5" t="str">
        <f>IF(H175="","",_xlfn.XLOOKUP(H175,'[2]Jan Labour Nd Drivers Hyva'!$B:$B,'[2]Jan Labour Nd Drivers Hyva'!$A:$A,"NOT FOUND"))</f>
        <v/>
      </c>
      <c r="L175" s="4" t="s">
        <v>106</v>
      </c>
      <c r="M175" s="6">
        <v>2</v>
      </c>
      <c r="N175" s="7">
        <v>3500</v>
      </c>
      <c r="O175" s="7">
        <f t="shared" si="32"/>
        <v>7000</v>
      </c>
      <c r="P175" s="7">
        <v>7000</v>
      </c>
      <c r="Q175" s="7">
        <f t="shared" si="28"/>
        <v>0</v>
      </c>
      <c r="R175" s="3" t="str">
        <f t="shared" si="33"/>
        <v>PAID</v>
      </c>
      <c r="S175" s="3"/>
      <c r="T175" s="3">
        <f t="shared" si="34"/>
        <v>7000</v>
      </c>
      <c r="U175" s="3" t="str">
        <f t="shared" si="35"/>
        <v>OK</v>
      </c>
      <c r="V175" s="8">
        <f t="shared" si="36"/>
        <v>0</v>
      </c>
      <c r="W175" s="3" t="str">
        <f t="shared" si="37"/>
        <v>OK</v>
      </c>
      <c r="X175" s="3" t="s">
        <v>133</v>
      </c>
      <c r="Y175" s="3" t="s">
        <v>131</v>
      </c>
      <c r="Z175" s="3" t="s">
        <v>122</v>
      </c>
      <c r="AA175" s="3" t="s">
        <v>122</v>
      </c>
      <c r="AB175" s="3" t="s">
        <v>122</v>
      </c>
    </row>
    <row r="176" spans="1:28" ht="19" x14ac:dyDescent="0.25">
      <c r="A176" t="s">
        <v>327</v>
      </c>
      <c r="B176" s="2">
        <v>46018</v>
      </c>
      <c r="C176" s="3" t="str">
        <f>_xlfn.XLOOKUP(D176,'[1]Jan Customer Duplicate Hyva'!$B:$B,'[1]Jan Customer Duplicate Hyva'!$A:$A,"NOT FOUND")</f>
        <v>CUST-120</v>
      </c>
      <c r="D176" s="4" t="s">
        <v>69</v>
      </c>
      <c r="E176" s="4" t="s">
        <v>115</v>
      </c>
      <c r="F176" s="5" t="str">
        <f t="shared" si="29"/>
        <v>Dhanraj</v>
      </c>
      <c r="G176" s="5" t="str">
        <f t="shared" si="30"/>
        <v>Ravi</v>
      </c>
      <c r="H176" s="5" t="str">
        <f t="shared" si="31"/>
        <v/>
      </c>
      <c r="I176" s="5" t="str">
        <f>_xlfn.XLOOKUP(F176,'[1]Jan Labour Nd Drivers Hyva'!$B:$B,'[2]Jan Labour Nd Drivers Hyva'!$A:$A,"NOT FOUND")</f>
        <v>LAB-010</v>
      </c>
      <c r="J176" s="5" t="str">
        <f>IF(G176="","",_xlfn.XLOOKUP(G176,'[3]Jan Labour Nd Drivers Hyva'!$B:$B,'[2]Jan Labour Nd Drivers Hyva'!$A:$A,"NOT FOUND"))</f>
        <v>LAB-003</v>
      </c>
      <c r="K176" s="5" t="str">
        <f>IF(H176="","",_xlfn.XLOOKUP(H176,'[2]Jan Labour Nd Drivers Hyva'!$B:$B,'[2]Jan Labour Nd Drivers Hyva'!$A:$A,"NOT FOUND"))</f>
        <v/>
      </c>
      <c r="L176" s="4" t="s">
        <v>114</v>
      </c>
      <c r="M176" s="6">
        <v>3</v>
      </c>
      <c r="N176" s="7">
        <v>3500</v>
      </c>
      <c r="O176" s="7">
        <f t="shared" si="32"/>
        <v>10500</v>
      </c>
      <c r="P176" s="7">
        <v>10500</v>
      </c>
      <c r="Q176" s="7">
        <f t="shared" si="28"/>
        <v>0</v>
      </c>
      <c r="R176" s="3" t="str">
        <f t="shared" si="33"/>
        <v>PAID</v>
      </c>
      <c r="S176" s="3"/>
      <c r="T176" s="3">
        <f t="shared" si="34"/>
        <v>10500</v>
      </c>
      <c r="U176" s="3" t="str">
        <f t="shared" si="35"/>
        <v>OK</v>
      </c>
      <c r="V176" s="8">
        <f t="shared" si="36"/>
        <v>0</v>
      </c>
      <c r="W176" s="3" t="str">
        <f t="shared" si="37"/>
        <v>OK</v>
      </c>
      <c r="X176" s="3" t="s">
        <v>133</v>
      </c>
      <c r="Y176" s="3" t="s">
        <v>131</v>
      </c>
      <c r="Z176" s="3" t="s">
        <v>122</v>
      </c>
      <c r="AA176" s="3" t="s">
        <v>122</v>
      </c>
      <c r="AB176" s="3" t="s">
        <v>122</v>
      </c>
    </row>
    <row r="177" spans="1:28" ht="19" x14ac:dyDescent="0.25">
      <c r="A177" t="s">
        <v>328</v>
      </c>
      <c r="B177" s="2">
        <v>46018</v>
      </c>
      <c r="C177" s="3" t="str">
        <f>_xlfn.XLOOKUP(D177,'[1]Jan Customer Duplicate Hyva'!$B:$B,'[1]Jan Customer Duplicate Hyva'!$A:$A,"NOT FOUND")</f>
        <v>CUST-255</v>
      </c>
      <c r="D177" s="9" t="s">
        <v>46</v>
      </c>
      <c r="E177" s="4" t="s">
        <v>116</v>
      </c>
      <c r="F177" s="5" t="str">
        <f t="shared" si="29"/>
        <v>Ravi</v>
      </c>
      <c r="G177" s="5" t="str">
        <f t="shared" si="30"/>
        <v>Dhanraj</v>
      </c>
      <c r="H177" s="5" t="str">
        <f t="shared" si="31"/>
        <v/>
      </c>
      <c r="I177" s="5" t="str">
        <f>_xlfn.XLOOKUP(F177,'[1]Jan Labour Nd Drivers Hyva'!$B:$B,'[2]Jan Labour Nd Drivers Hyva'!$A:$A,"NOT FOUND")</f>
        <v>LAB-003</v>
      </c>
      <c r="J177" s="5" t="str">
        <f>IF(G177="","",_xlfn.XLOOKUP(G177,'[3]Jan Labour Nd Drivers Hyva'!$B:$B,'[2]Jan Labour Nd Drivers Hyva'!$A:$A,"NOT FOUND"))</f>
        <v>LAB-010</v>
      </c>
      <c r="K177" s="5" t="str">
        <f>IF(H177="","",_xlfn.XLOOKUP(H177,'[2]Jan Labour Nd Drivers Hyva'!$B:$B,'[2]Jan Labour Nd Drivers Hyva'!$A:$A,"NOT FOUND"))</f>
        <v/>
      </c>
      <c r="L177" s="4" t="s">
        <v>87</v>
      </c>
      <c r="M177" s="6">
        <v>5</v>
      </c>
      <c r="N177" s="7">
        <v>3000</v>
      </c>
      <c r="O177" s="7">
        <f t="shared" si="32"/>
        <v>15000</v>
      </c>
      <c r="P177" s="7">
        <v>15000</v>
      </c>
      <c r="Q177" s="7">
        <f t="shared" si="28"/>
        <v>0</v>
      </c>
      <c r="R177" s="3" t="str">
        <f t="shared" si="33"/>
        <v>PAID</v>
      </c>
      <c r="S177" s="3"/>
      <c r="T177" s="3">
        <f t="shared" si="34"/>
        <v>15000</v>
      </c>
      <c r="U177" s="3" t="str">
        <f t="shared" si="35"/>
        <v>OK</v>
      </c>
      <c r="V177" s="8">
        <f t="shared" si="36"/>
        <v>0</v>
      </c>
      <c r="W177" s="3" t="str">
        <f t="shared" si="37"/>
        <v>OK</v>
      </c>
      <c r="X177" s="3" t="s">
        <v>133</v>
      </c>
      <c r="Y177" s="3" t="s">
        <v>131</v>
      </c>
      <c r="Z177" s="3" t="s">
        <v>122</v>
      </c>
      <c r="AA177" s="3" t="s">
        <v>122</v>
      </c>
      <c r="AB177" s="3" t="s">
        <v>122</v>
      </c>
    </row>
    <row r="178" spans="1:28" ht="19" x14ac:dyDescent="0.25">
      <c r="A178" t="s">
        <v>329</v>
      </c>
      <c r="B178" s="2">
        <v>46019</v>
      </c>
      <c r="C178" s="3" t="str">
        <f>_xlfn.XLOOKUP(D178,'[1]Jan Customer Duplicate Hyva'!$B:$B,'[1]Jan Customer Duplicate Hyva'!$A:$A,"NOT FOUND")</f>
        <v>CUST-073</v>
      </c>
      <c r="D178" s="4" t="s">
        <v>117</v>
      </c>
      <c r="E178" s="4" t="s">
        <v>100</v>
      </c>
      <c r="F178" s="5" t="str">
        <f t="shared" si="29"/>
        <v>Dhanraj</v>
      </c>
      <c r="G178" s="5" t="str">
        <f t="shared" si="30"/>
        <v/>
      </c>
      <c r="H178" s="5" t="str">
        <f t="shared" si="31"/>
        <v/>
      </c>
      <c r="I178" s="5" t="str">
        <f>_xlfn.XLOOKUP(F178,'[1]Jan Labour Nd Drivers Hyva'!$B:$B,'[2]Jan Labour Nd Drivers Hyva'!$A:$A,"NOT FOUND")</f>
        <v>LAB-010</v>
      </c>
      <c r="J178" s="5" t="str">
        <f>IF(G178="","",_xlfn.XLOOKUP(G178,'[3]Jan Labour Nd Drivers Hyva'!$B:$B,'[2]Jan Labour Nd Drivers Hyva'!$A:$A,"NOT FOUND"))</f>
        <v/>
      </c>
      <c r="K178" s="5" t="str">
        <f>IF(H178="","",_xlfn.XLOOKUP(H178,'[2]Jan Labour Nd Drivers Hyva'!$B:$B,'[2]Jan Labour Nd Drivers Hyva'!$A:$A,"NOT FOUND"))</f>
        <v/>
      </c>
      <c r="L178" s="4" t="s">
        <v>34</v>
      </c>
      <c r="M178" s="6">
        <v>1</v>
      </c>
      <c r="N178" s="7">
        <v>3000</v>
      </c>
      <c r="O178" s="7">
        <f t="shared" si="32"/>
        <v>3000</v>
      </c>
      <c r="P178" s="7">
        <v>3000</v>
      </c>
      <c r="Q178" s="7">
        <f t="shared" si="28"/>
        <v>0</v>
      </c>
      <c r="R178" s="3" t="str">
        <f t="shared" si="33"/>
        <v>PAID</v>
      </c>
      <c r="S178" s="3"/>
      <c r="T178" s="3">
        <f t="shared" si="34"/>
        <v>3000</v>
      </c>
      <c r="U178" s="3" t="str">
        <f t="shared" si="35"/>
        <v>OK</v>
      </c>
      <c r="V178" s="8">
        <f t="shared" si="36"/>
        <v>0</v>
      </c>
      <c r="W178" s="3" t="str">
        <f t="shared" si="37"/>
        <v>OK</v>
      </c>
      <c r="X178" s="3" t="s">
        <v>133</v>
      </c>
      <c r="Y178" s="3" t="s">
        <v>131</v>
      </c>
      <c r="Z178" s="3" t="s">
        <v>122</v>
      </c>
      <c r="AA178" s="3" t="s">
        <v>122</v>
      </c>
      <c r="AB178" s="3" t="s">
        <v>122</v>
      </c>
    </row>
    <row r="179" spans="1:28" ht="19" x14ac:dyDescent="0.25">
      <c r="A179" t="s">
        <v>330</v>
      </c>
      <c r="B179" s="2">
        <v>46019</v>
      </c>
      <c r="C179" s="3" t="str">
        <f>_xlfn.XLOOKUP(D179,'[1]Jan Customer Duplicate Hyva'!$B:$B,'[1]Jan Customer Duplicate Hyva'!$A:$A,"NOT FOUND")</f>
        <v>CUST-255</v>
      </c>
      <c r="D179" s="9" t="s">
        <v>46</v>
      </c>
      <c r="E179" s="4" t="s">
        <v>110</v>
      </c>
      <c r="F179" s="5" t="str">
        <f t="shared" si="29"/>
        <v>Ravi</v>
      </c>
      <c r="G179" s="5" t="str">
        <f t="shared" si="30"/>
        <v>Dhanraj</v>
      </c>
      <c r="H179" s="5" t="str">
        <f t="shared" si="31"/>
        <v/>
      </c>
      <c r="I179" s="5" t="str">
        <f>_xlfn.XLOOKUP(F179,'[1]Jan Labour Nd Drivers Hyva'!$B:$B,'[2]Jan Labour Nd Drivers Hyva'!$A:$A,"NOT FOUND")</f>
        <v>LAB-003</v>
      </c>
      <c r="J179" s="5" t="str">
        <f>IF(G179="","",_xlfn.XLOOKUP(G179,'[3]Jan Labour Nd Drivers Hyva'!$B:$B,'[2]Jan Labour Nd Drivers Hyva'!$A:$A,"NOT FOUND"))</f>
        <v>LAB-010</v>
      </c>
      <c r="K179" s="5" t="str">
        <f>IF(H179="","",_xlfn.XLOOKUP(H179,'[2]Jan Labour Nd Drivers Hyva'!$B:$B,'[2]Jan Labour Nd Drivers Hyva'!$A:$A,"NOT FOUND"))</f>
        <v/>
      </c>
      <c r="L179" s="4" t="s">
        <v>87</v>
      </c>
      <c r="M179" s="6">
        <v>7</v>
      </c>
      <c r="N179" s="7">
        <v>3000</v>
      </c>
      <c r="O179" s="7">
        <f t="shared" si="32"/>
        <v>21000</v>
      </c>
      <c r="P179" s="7">
        <v>21000</v>
      </c>
      <c r="Q179" s="7">
        <f t="shared" si="28"/>
        <v>0</v>
      </c>
      <c r="R179" s="3" t="str">
        <f t="shared" si="33"/>
        <v>PAID</v>
      </c>
      <c r="S179" s="3"/>
      <c r="T179" s="3">
        <f t="shared" si="34"/>
        <v>21000</v>
      </c>
      <c r="U179" s="3" t="str">
        <f t="shared" si="35"/>
        <v>OK</v>
      </c>
      <c r="V179" s="8">
        <f t="shared" si="36"/>
        <v>0</v>
      </c>
      <c r="W179" s="3" t="str">
        <f t="shared" si="37"/>
        <v>OK</v>
      </c>
      <c r="X179" s="3" t="s">
        <v>133</v>
      </c>
      <c r="Y179" s="3" t="s">
        <v>131</v>
      </c>
      <c r="Z179" s="3" t="s">
        <v>122</v>
      </c>
      <c r="AA179" s="3" t="s">
        <v>122</v>
      </c>
      <c r="AB179" s="3" t="s">
        <v>122</v>
      </c>
    </row>
    <row r="180" spans="1:28" ht="19" x14ac:dyDescent="0.25">
      <c r="A180" t="s">
        <v>331</v>
      </c>
      <c r="B180" s="2">
        <v>46020</v>
      </c>
      <c r="C180" s="3" t="str">
        <f>_xlfn.XLOOKUP(D180,'[1]Jan Customer Duplicate Hyva'!$B:$B,'[1]Jan Customer Duplicate Hyva'!$A:$A,"NOT FOUND")</f>
        <v>CUST-054</v>
      </c>
      <c r="D180" s="4" t="s">
        <v>112</v>
      </c>
      <c r="E180" s="4" t="s">
        <v>26</v>
      </c>
      <c r="F180" s="5" t="str">
        <f t="shared" si="29"/>
        <v>Ravi</v>
      </c>
      <c r="G180" s="5" t="str">
        <f t="shared" si="30"/>
        <v/>
      </c>
      <c r="H180" s="5" t="str">
        <f t="shared" si="31"/>
        <v/>
      </c>
      <c r="I180" s="5" t="str">
        <f>_xlfn.XLOOKUP(F180,'[1]Jan Labour Nd Drivers Hyva'!$B:$B,'[2]Jan Labour Nd Drivers Hyva'!$A:$A,"NOT FOUND")</f>
        <v>LAB-003</v>
      </c>
      <c r="J180" s="5" t="str">
        <f>IF(G180="","",_xlfn.XLOOKUP(G180,'[3]Jan Labour Nd Drivers Hyva'!$B:$B,'[2]Jan Labour Nd Drivers Hyva'!$A:$A,"NOT FOUND"))</f>
        <v/>
      </c>
      <c r="K180" s="5" t="str">
        <f>IF(H180="","",_xlfn.XLOOKUP(H180,'[2]Jan Labour Nd Drivers Hyva'!$B:$B,'[2]Jan Labour Nd Drivers Hyva'!$A:$A,"NOT FOUND"))</f>
        <v/>
      </c>
      <c r="L180" s="4" t="s">
        <v>34</v>
      </c>
      <c r="M180" s="6">
        <v>2</v>
      </c>
      <c r="N180" s="7">
        <v>3500</v>
      </c>
      <c r="O180" s="7">
        <f t="shared" si="32"/>
        <v>7000</v>
      </c>
      <c r="P180" s="7">
        <v>7000</v>
      </c>
      <c r="Q180" s="7">
        <f t="shared" si="28"/>
        <v>0</v>
      </c>
      <c r="R180" s="3" t="str">
        <f t="shared" si="33"/>
        <v>PAID</v>
      </c>
      <c r="S180" s="3"/>
      <c r="T180" s="3">
        <f t="shared" si="34"/>
        <v>7000</v>
      </c>
      <c r="U180" s="3" t="str">
        <f t="shared" si="35"/>
        <v>OK</v>
      </c>
      <c r="V180" s="8">
        <f t="shared" si="36"/>
        <v>0</v>
      </c>
      <c r="W180" s="3" t="str">
        <f t="shared" si="37"/>
        <v>OK</v>
      </c>
      <c r="X180" s="3" t="s">
        <v>133</v>
      </c>
      <c r="Y180" s="3" t="s">
        <v>131</v>
      </c>
      <c r="Z180" s="3" t="s">
        <v>122</v>
      </c>
      <c r="AA180" s="3" t="s">
        <v>122</v>
      </c>
      <c r="AB180" s="3" t="s">
        <v>122</v>
      </c>
    </row>
    <row r="181" spans="1:28" ht="19" x14ac:dyDescent="0.25">
      <c r="A181" t="s">
        <v>332</v>
      </c>
      <c r="B181" s="2">
        <v>46020</v>
      </c>
      <c r="C181" s="3" t="str">
        <f>_xlfn.XLOOKUP(D181,'[1]Jan Customer Duplicate Hyva'!$B:$B,'[1]Jan Customer Duplicate Hyva'!$A:$A,"NOT FOUND")</f>
        <v>CUST-255</v>
      </c>
      <c r="D181" s="9" t="s">
        <v>46</v>
      </c>
      <c r="E181" s="4" t="s">
        <v>26</v>
      </c>
      <c r="F181" s="5" t="str">
        <f t="shared" si="29"/>
        <v>Ravi</v>
      </c>
      <c r="G181" s="5" t="str">
        <f t="shared" si="30"/>
        <v/>
      </c>
      <c r="H181" s="5" t="str">
        <f t="shared" si="31"/>
        <v/>
      </c>
      <c r="I181" s="5" t="str">
        <f>_xlfn.XLOOKUP(F181,'[1]Jan Labour Nd Drivers Hyva'!$B:$B,'[2]Jan Labour Nd Drivers Hyva'!$A:$A,"NOT FOUND")</f>
        <v>LAB-003</v>
      </c>
      <c r="J181" s="5" t="str">
        <f>IF(G181="","",_xlfn.XLOOKUP(G181,'[3]Jan Labour Nd Drivers Hyva'!$B:$B,'[2]Jan Labour Nd Drivers Hyva'!$A:$A,"NOT FOUND"))</f>
        <v/>
      </c>
      <c r="K181" s="5" t="str">
        <f>IF(H181="","",_xlfn.XLOOKUP(H181,'[2]Jan Labour Nd Drivers Hyva'!$B:$B,'[2]Jan Labour Nd Drivers Hyva'!$A:$A,"NOT FOUND"))</f>
        <v/>
      </c>
      <c r="L181" s="4" t="s">
        <v>87</v>
      </c>
      <c r="M181" s="6">
        <v>2</v>
      </c>
      <c r="N181" s="7">
        <v>3000</v>
      </c>
      <c r="O181" s="7">
        <f t="shared" si="32"/>
        <v>6000</v>
      </c>
      <c r="P181" s="7">
        <v>6000</v>
      </c>
      <c r="Q181" s="7">
        <f t="shared" si="28"/>
        <v>0</v>
      </c>
      <c r="R181" s="3" t="str">
        <f t="shared" si="33"/>
        <v>PAID</v>
      </c>
      <c r="S181" s="3"/>
      <c r="T181" s="3">
        <f t="shared" si="34"/>
        <v>6000</v>
      </c>
      <c r="U181" s="3" t="str">
        <f t="shared" si="35"/>
        <v>OK</v>
      </c>
      <c r="V181" s="8">
        <f t="shared" si="36"/>
        <v>0</v>
      </c>
      <c r="W181" s="3" t="str">
        <f t="shared" si="37"/>
        <v>OK</v>
      </c>
      <c r="X181" s="3" t="s">
        <v>133</v>
      </c>
      <c r="Y181" s="3" t="s">
        <v>131</v>
      </c>
      <c r="Z181" s="3" t="s">
        <v>122</v>
      </c>
      <c r="AA181" s="3" t="s">
        <v>122</v>
      </c>
      <c r="AB181" s="3" t="s">
        <v>122</v>
      </c>
    </row>
    <row r="182" spans="1:28" ht="19" x14ac:dyDescent="0.25">
      <c r="A182" t="s">
        <v>333</v>
      </c>
      <c r="B182" s="2">
        <v>46020</v>
      </c>
      <c r="C182" s="3" t="str">
        <f>_xlfn.XLOOKUP(D182,'[1]Jan Customer Duplicate Hyva'!$B:$B,'[1]Jan Customer Duplicate Hyva'!$A:$A,"NOT FOUND")</f>
        <v>CUST-247</v>
      </c>
      <c r="D182" s="4" t="s">
        <v>118</v>
      </c>
      <c r="E182" s="4" t="s">
        <v>26</v>
      </c>
      <c r="F182" s="5" t="str">
        <f t="shared" si="29"/>
        <v>Ravi</v>
      </c>
      <c r="G182" s="5" t="str">
        <f t="shared" si="30"/>
        <v/>
      </c>
      <c r="H182" s="5" t="str">
        <f t="shared" si="31"/>
        <v/>
      </c>
      <c r="I182" s="5" t="str">
        <f>_xlfn.XLOOKUP(F182,'[1]Jan Labour Nd Drivers Hyva'!$B:$B,'[2]Jan Labour Nd Drivers Hyva'!$A:$A,"NOT FOUND")</f>
        <v>LAB-003</v>
      </c>
      <c r="J182" s="5" t="str">
        <f>IF(G182="","",_xlfn.XLOOKUP(G182,'[3]Jan Labour Nd Drivers Hyva'!$B:$B,'[2]Jan Labour Nd Drivers Hyva'!$A:$A,"NOT FOUND"))</f>
        <v/>
      </c>
      <c r="K182" s="5" t="str">
        <f>IF(H182="","",_xlfn.XLOOKUP(H182,'[2]Jan Labour Nd Drivers Hyva'!$B:$B,'[2]Jan Labour Nd Drivers Hyva'!$A:$A,"NOT FOUND"))</f>
        <v/>
      </c>
      <c r="L182" s="4" t="s">
        <v>44</v>
      </c>
      <c r="M182" s="6">
        <v>2</v>
      </c>
      <c r="N182" s="7">
        <v>3500</v>
      </c>
      <c r="O182" s="7">
        <f t="shared" si="32"/>
        <v>7000</v>
      </c>
      <c r="P182" s="7">
        <v>7000</v>
      </c>
      <c r="Q182" s="7">
        <f t="shared" si="28"/>
        <v>0</v>
      </c>
      <c r="R182" s="3" t="str">
        <f t="shared" si="33"/>
        <v>PAID</v>
      </c>
      <c r="S182" s="3"/>
      <c r="T182" s="3">
        <f t="shared" si="34"/>
        <v>7000</v>
      </c>
      <c r="U182" s="3" t="str">
        <f t="shared" si="35"/>
        <v>OK</v>
      </c>
      <c r="V182" s="8">
        <f t="shared" si="36"/>
        <v>0</v>
      </c>
      <c r="W182" s="3" t="str">
        <f t="shared" si="37"/>
        <v>OK</v>
      </c>
      <c r="X182" s="3" t="s">
        <v>133</v>
      </c>
      <c r="Y182" s="3" t="s">
        <v>131</v>
      </c>
      <c r="Z182" s="3" t="s">
        <v>122</v>
      </c>
      <c r="AA182" s="3" t="s">
        <v>122</v>
      </c>
      <c r="AB182" s="3" t="s">
        <v>122</v>
      </c>
    </row>
    <row r="183" spans="1:28" ht="19" x14ac:dyDescent="0.25">
      <c r="A183" t="s">
        <v>334</v>
      </c>
      <c r="B183" s="2">
        <v>46021</v>
      </c>
      <c r="C183" s="3" t="str">
        <f>_xlfn.XLOOKUP(D183,'[1]Jan Customer Duplicate Hyva'!$B:$B,'[1]Jan Customer Duplicate Hyva'!$A:$A,"NOT FOUND")</f>
        <v>CUST-255</v>
      </c>
      <c r="D183" s="9" t="s">
        <v>46</v>
      </c>
      <c r="E183" s="4" t="s">
        <v>110</v>
      </c>
      <c r="F183" s="5" t="str">
        <f t="shared" si="29"/>
        <v>Ravi</v>
      </c>
      <c r="G183" s="5" t="str">
        <f t="shared" si="30"/>
        <v>Dhanraj</v>
      </c>
      <c r="H183" s="5" t="str">
        <f t="shared" si="31"/>
        <v/>
      </c>
      <c r="I183" s="5" t="str">
        <f>_xlfn.XLOOKUP(F183,'[1]Jan Labour Nd Drivers Hyva'!$B:$B,'[2]Jan Labour Nd Drivers Hyva'!$A:$A,"NOT FOUND")</f>
        <v>LAB-003</v>
      </c>
      <c r="J183" s="5" t="str">
        <f>IF(G183="","",_xlfn.XLOOKUP(G183,'[3]Jan Labour Nd Drivers Hyva'!$B:$B,'[2]Jan Labour Nd Drivers Hyva'!$A:$A,"NOT FOUND"))</f>
        <v>LAB-010</v>
      </c>
      <c r="K183" s="5" t="str">
        <f>IF(H183="","",_xlfn.XLOOKUP(H183,'[2]Jan Labour Nd Drivers Hyva'!$B:$B,'[2]Jan Labour Nd Drivers Hyva'!$A:$A,"NOT FOUND"))</f>
        <v/>
      </c>
      <c r="L183" s="4" t="s">
        <v>87</v>
      </c>
      <c r="M183" s="6">
        <v>7</v>
      </c>
      <c r="N183" s="7">
        <v>3000</v>
      </c>
      <c r="O183" s="7">
        <f t="shared" si="32"/>
        <v>21000</v>
      </c>
      <c r="P183" s="7">
        <v>21000</v>
      </c>
      <c r="Q183" s="7">
        <f t="shared" si="28"/>
        <v>0</v>
      </c>
      <c r="R183" s="3" t="str">
        <f t="shared" si="33"/>
        <v>PAID</v>
      </c>
      <c r="S183" s="3"/>
      <c r="T183" s="3">
        <f t="shared" si="34"/>
        <v>21000</v>
      </c>
      <c r="U183" s="3" t="str">
        <f t="shared" si="35"/>
        <v>OK</v>
      </c>
      <c r="V183" s="8">
        <f t="shared" si="36"/>
        <v>0</v>
      </c>
      <c r="W183" s="3" t="str">
        <f t="shared" si="37"/>
        <v>OK</v>
      </c>
      <c r="X183" s="3" t="s">
        <v>133</v>
      </c>
      <c r="Y183" s="3" t="s">
        <v>131</v>
      </c>
      <c r="Z183" s="3" t="s">
        <v>122</v>
      </c>
      <c r="AA183" s="3" t="s">
        <v>122</v>
      </c>
      <c r="AB183" s="3" t="s">
        <v>122</v>
      </c>
    </row>
    <row r="184" spans="1:28" ht="19" x14ac:dyDescent="0.25">
      <c r="A184" t="s">
        <v>335</v>
      </c>
      <c r="B184" s="2">
        <v>46022</v>
      </c>
      <c r="C184" s="3" t="str">
        <f>_xlfn.XLOOKUP(D184,'[1]Jan Customer Duplicate Hyva'!$B:$B,'[1]Jan Customer Duplicate Hyva'!$A:$A,"NOT FOUND")</f>
        <v>CUST-073</v>
      </c>
      <c r="D184" s="4" t="s">
        <v>117</v>
      </c>
      <c r="E184" s="4" t="s">
        <v>26</v>
      </c>
      <c r="F184" s="5" t="str">
        <f t="shared" si="29"/>
        <v>Ravi</v>
      </c>
      <c r="G184" s="5" t="str">
        <f t="shared" si="30"/>
        <v/>
      </c>
      <c r="H184" s="5" t="str">
        <f t="shared" si="31"/>
        <v/>
      </c>
      <c r="I184" s="5" t="str">
        <f>_xlfn.XLOOKUP(F184,'[1]Jan Labour Nd Drivers Hyva'!$B:$B,'[2]Jan Labour Nd Drivers Hyva'!$A:$A,"NOT FOUND")</f>
        <v>LAB-003</v>
      </c>
      <c r="J184" s="5" t="str">
        <f>IF(G184="","",_xlfn.XLOOKUP(G184,'[3]Jan Labour Nd Drivers Hyva'!$B:$B,'[2]Jan Labour Nd Drivers Hyva'!$A:$A,"NOT FOUND"))</f>
        <v/>
      </c>
      <c r="K184" s="5" t="str">
        <f>IF(H184="","",_xlfn.XLOOKUP(H184,'[2]Jan Labour Nd Drivers Hyva'!$B:$B,'[2]Jan Labour Nd Drivers Hyva'!$A:$A,"NOT FOUND"))</f>
        <v/>
      </c>
      <c r="L184" s="4" t="s">
        <v>34</v>
      </c>
      <c r="M184" s="6">
        <v>1</v>
      </c>
      <c r="N184" s="7">
        <v>3000</v>
      </c>
      <c r="O184" s="7">
        <f t="shared" si="32"/>
        <v>3000</v>
      </c>
      <c r="P184" s="7">
        <v>3000</v>
      </c>
      <c r="Q184" s="7">
        <f t="shared" si="28"/>
        <v>0</v>
      </c>
      <c r="R184" s="3" t="str">
        <f t="shared" si="33"/>
        <v>PAID</v>
      </c>
      <c r="S184" s="3"/>
      <c r="T184" s="3">
        <f t="shared" si="34"/>
        <v>3000</v>
      </c>
      <c r="U184" s="3" t="str">
        <f t="shared" si="35"/>
        <v>OK</v>
      </c>
      <c r="V184" s="8">
        <f t="shared" si="36"/>
        <v>0</v>
      </c>
      <c r="W184" s="3" t="str">
        <f t="shared" si="37"/>
        <v>OK</v>
      </c>
      <c r="X184" s="3" t="s">
        <v>133</v>
      </c>
      <c r="Y184" s="3" t="s">
        <v>131</v>
      </c>
      <c r="Z184" s="3" t="s">
        <v>122</v>
      </c>
      <c r="AA184" s="3" t="s">
        <v>122</v>
      </c>
      <c r="AB184" s="3" t="s">
        <v>122</v>
      </c>
    </row>
    <row r="185" spans="1:28" ht="19" x14ac:dyDescent="0.25">
      <c r="A185" t="s">
        <v>336</v>
      </c>
      <c r="B185" s="2">
        <v>46022</v>
      </c>
      <c r="C185" s="3" t="str">
        <f>_xlfn.XLOOKUP(D185,'[1]Jan Customer Duplicate Hyva'!$B:$B,'[1]Jan Customer Duplicate Hyva'!$A:$A,"NOT FOUND")</f>
        <v>CUST-247</v>
      </c>
      <c r="D185" s="4" t="s">
        <v>118</v>
      </c>
      <c r="E185" s="4" t="s">
        <v>26</v>
      </c>
      <c r="F185" s="5" t="str">
        <f t="shared" si="29"/>
        <v>Ravi</v>
      </c>
      <c r="G185" s="5" t="str">
        <f t="shared" si="30"/>
        <v/>
      </c>
      <c r="H185" s="5" t="str">
        <f t="shared" si="31"/>
        <v/>
      </c>
      <c r="I185" s="5" t="str">
        <f>_xlfn.XLOOKUP(F185,'[1]Jan Labour Nd Drivers Hyva'!$B:$B,'[2]Jan Labour Nd Drivers Hyva'!$A:$A,"NOT FOUND")</f>
        <v>LAB-003</v>
      </c>
      <c r="J185" s="5" t="str">
        <f>IF(G185="","",_xlfn.XLOOKUP(G185,'[3]Jan Labour Nd Drivers Hyva'!$B:$B,'[2]Jan Labour Nd Drivers Hyva'!$A:$A,"NOT FOUND"))</f>
        <v/>
      </c>
      <c r="K185" s="5" t="str">
        <f>IF(H185="","",_xlfn.XLOOKUP(H185,'[2]Jan Labour Nd Drivers Hyva'!$B:$B,'[2]Jan Labour Nd Drivers Hyva'!$A:$A,"NOT FOUND"))</f>
        <v/>
      </c>
      <c r="L185" s="4" t="s">
        <v>44</v>
      </c>
      <c r="M185" s="6">
        <v>1</v>
      </c>
      <c r="N185" s="7">
        <v>3500</v>
      </c>
      <c r="O185" s="7">
        <f t="shared" si="32"/>
        <v>3500</v>
      </c>
      <c r="P185" s="7">
        <v>3500</v>
      </c>
      <c r="Q185" s="7">
        <f t="shared" si="28"/>
        <v>0</v>
      </c>
      <c r="R185" s="3" t="str">
        <f t="shared" si="33"/>
        <v>PAID</v>
      </c>
      <c r="S185" s="3"/>
      <c r="T185" s="3">
        <f t="shared" si="34"/>
        <v>3500</v>
      </c>
      <c r="U185" s="3" t="str">
        <f t="shared" si="35"/>
        <v>OK</v>
      </c>
      <c r="V185" s="8">
        <f t="shared" si="36"/>
        <v>0</v>
      </c>
      <c r="W185" s="3" t="str">
        <f t="shared" si="37"/>
        <v>OK</v>
      </c>
      <c r="X185" s="3" t="s">
        <v>133</v>
      </c>
      <c r="Y185" s="3" t="s">
        <v>131</v>
      </c>
      <c r="Z185" s="3" t="s">
        <v>122</v>
      </c>
      <c r="AA185" s="3" t="s">
        <v>122</v>
      </c>
      <c r="AB185" s="3" t="s">
        <v>122</v>
      </c>
    </row>
  </sheetData>
  <autoFilter ref="C1:C185" xr:uid="{9211E815-16C5-AE4E-A1C1-5789E9D88009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2026-08-15T11:11:58Z</dcterms:created>
  <dcterms:modified xsi:type="dcterms:W3CDTF">2026-08-16T05:50:40Z</dcterms:modified>
</cp:coreProperties>
</file>