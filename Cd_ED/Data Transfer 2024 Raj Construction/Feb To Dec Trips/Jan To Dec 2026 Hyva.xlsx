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7E592AA6-F307-5D4A-87DC-23A0847A7053}" xr6:coauthVersionLast="47" xr6:coauthVersionMax="47" xr10:uidLastSave="{00000000-0000-0000-0000-000000000000}"/>
  <bookViews>
    <workbookView xWindow="0" yWindow="780" windowWidth="36000" windowHeight="22600" activeTab="3" xr2:uid="{482487AE-FF0D-9D48-A8B6-A0F51313D755}"/>
  </bookViews>
  <sheets>
    <sheet name="Feb To Dec Hyva White Sand Trip" sheetId="1" r:id="rId1"/>
    <sheet name="Feb To Dec Hyva Fly Ash Trip" sheetId="2" r:id="rId2"/>
    <sheet name="Feb To Dec Halfton White Sand T" sheetId="3" r:id="rId3"/>
    <sheet name="Feb To Dec Tractor White Sand T" sheetId="4" r:id="rId4"/>
  </sheets>
  <externalReferences>
    <externalReference r:id="rId5"/>
    <externalReference r:id="rId6"/>
    <externalReference r:id="rId7"/>
  </externalReferences>
  <definedNames>
    <definedName name="_xlnm._FilterDatabase" localSheetId="0" hidden="1">'Feb To Dec Hyva White Sand Trip'!$E$1:$E$551</definedName>
    <definedName name="_xlnm._FilterDatabase" localSheetId="3" hidden="1">'Feb To Dec Tractor White Sand T'!$B$1:$B$557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2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2" i="4"/>
  <c r="V557" i="4"/>
  <c r="W557" i="4" s="1"/>
  <c r="T557" i="4"/>
  <c r="U557" i="4" s="1"/>
  <c r="V556" i="4"/>
  <c r="W556" i="4" s="1"/>
  <c r="T556" i="4"/>
  <c r="U556" i="4" s="1"/>
  <c r="V555" i="4"/>
  <c r="W555" i="4" s="1"/>
  <c r="T555" i="4"/>
  <c r="U555" i="4" s="1"/>
  <c r="V554" i="4"/>
  <c r="W554" i="4" s="1"/>
  <c r="T554" i="4"/>
  <c r="U554" i="4" s="1"/>
  <c r="V553" i="4"/>
  <c r="W553" i="4" s="1"/>
  <c r="T553" i="4"/>
  <c r="U553" i="4" s="1"/>
  <c r="V552" i="4"/>
  <c r="W552" i="4" s="1"/>
  <c r="T552" i="4"/>
  <c r="U552" i="4" s="1"/>
  <c r="W551" i="4"/>
  <c r="V551" i="4"/>
  <c r="T551" i="4"/>
  <c r="U551" i="4" s="1"/>
  <c r="V550" i="4"/>
  <c r="W550" i="4" s="1"/>
  <c r="T550" i="4"/>
  <c r="U550" i="4" s="1"/>
  <c r="V549" i="4"/>
  <c r="W549" i="4" s="1"/>
  <c r="T549" i="4"/>
  <c r="U549" i="4" s="1"/>
  <c r="V548" i="4"/>
  <c r="W548" i="4" s="1"/>
  <c r="T548" i="4"/>
  <c r="U548" i="4" s="1"/>
  <c r="V547" i="4"/>
  <c r="W547" i="4" s="1"/>
  <c r="T547" i="4"/>
  <c r="U547" i="4" s="1"/>
  <c r="V546" i="4"/>
  <c r="W546" i="4" s="1"/>
  <c r="T546" i="4"/>
  <c r="U546" i="4" s="1"/>
  <c r="V545" i="4"/>
  <c r="W545" i="4" s="1"/>
  <c r="T545" i="4"/>
  <c r="U545" i="4" s="1"/>
  <c r="V544" i="4"/>
  <c r="W544" i="4" s="1"/>
  <c r="T544" i="4"/>
  <c r="U544" i="4" s="1"/>
  <c r="V543" i="4"/>
  <c r="W543" i="4" s="1"/>
  <c r="T543" i="4"/>
  <c r="U543" i="4" s="1"/>
  <c r="V542" i="4"/>
  <c r="W542" i="4" s="1"/>
  <c r="T542" i="4"/>
  <c r="U542" i="4" s="1"/>
  <c r="V541" i="4"/>
  <c r="W541" i="4" s="1"/>
  <c r="T541" i="4"/>
  <c r="U541" i="4" s="1"/>
  <c r="V540" i="4"/>
  <c r="W540" i="4" s="1"/>
  <c r="T540" i="4"/>
  <c r="U540" i="4" s="1"/>
  <c r="V539" i="4"/>
  <c r="W539" i="4" s="1"/>
  <c r="T539" i="4"/>
  <c r="U539" i="4" s="1"/>
  <c r="V538" i="4"/>
  <c r="W538" i="4" s="1"/>
  <c r="T538" i="4"/>
  <c r="U538" i="4" s="1"/>
  <c r="V537" i="4"/>
  <c r="W537" i="4" s="1"/>
  <c r="T537" i="4"/>
  <c r="U537" i="4" s="1"/>
  <c r="V536" i="4"/>
  <c r="W536" i="4" s="1"/>
  <c r="T536" i="4"/>
  <c r="U536" i="4" s="1"/>
  <c r="V535" i="4"/>
  <c r="W535" i="4" s="1"/>
  <c r="T535" i="4"/>
  <c r="U535" i="4" s="1"/>
  <c r="V534" i="4"/>
  <c r="W534" i="4" s="1"/>
  <c r="T534" i="4"/>
  <c r="U534" i="4" s="1"/>
  <c r="V533" i="4"/>
  <c r="W533" i="4" s="1"/>
  <c r="T533" i="4"/>
  <c r="U533" i="4" s="1"/>
  <c r="V532" i="4"/>
  <c r="W532" i="4" s="1"/>
  <c r="T532" i="4"/>
  <c r="U532" i="4" s="1"/>
  <c r="V531" i="4"/>
  <c r="W531" i="4" s="1"/>
  <c r="T531" i="4"/>
  <c r="U531" i="4" s="1"/>
  <c r="V530" i="4"/>
  <c r="W530" i="4" s="1"/>
  <c r="T530" i="4"/>
  <c r="U530" i="4" s="1"/>
  <c r="V529" i="4"/>
  <c r="W529" i="4" s="1"/>
  <c r="T529" i="4"/>
  <c r="U529" i="4" s="1"/>
  <c r="V528" i="4"/>
  <c r="W528" i="4" s="1"/>
  <c r="T528" i="4"/>
  <c r="U528" i="4" s="1"/>
  <c r="V527" i="4"/>
  <c r="W527" i="4" s="1"/>
  <c r="T527" i="4"/>
  <c r="U527" i="4" s="1"/>
  <c r="V526" i="4"/>
  <c r="W526" i="4" s="1"/>
  <c r="T526" i="4"/>
  <c r="U526" i="4" s="1"/>
  <c r="V525" i="4"/>
  <c r="W525" i="4" s="1"/>
  <c r="T525" i="4"/>
  <c r="U525" i="4" s="1"/>
  <c r="V524" i="4"/>
  <c r="W524" i="4" s="1"/>
  <c r="T524" i="4"/>
  <c r="U524" i="4" s="1"/>
  <c r="V523" i="4"/>
  <c r="W523" i="4" s="1"/>
  <c r="T523" i="4"/>
  <c r="U523" i="4" s="1"/>
  <c r="V522" i="4"/>
  <c r="W522" i="4" s="1"/>
  <c r="T522" i="4"/>
  <c r="U522" i="4" s="1"/>
  <c r="V521" i="4"/>
  <c r="W521" i="4" s="1"/>
  <c r="T521" i="4"/>
  <c r="U521" i="4" s="1"/>
  <c r="V520" i="4"/>
  <c r="W520" i="4" s="1"/>
  <c r="T520" i="4"/>
  <c r="U520" i="4" s="1"/>
  <c r="V519" i="4"/>
  <c r="W519" i="4" s="1"/>
  <c r="T519" i="4"/>
  <c r="U519" i="4" s="1"/>
  <c r="V518" i="4"/>
  <c r="W518" i="4" s="1"/>
  <c r="T518" i="4"/>
  <c r="U518" i="4" s="1"/>
  <c r="V517" i="4"/>
  <c r="W517" i="4" s="1"/>
  <c r="T517" i="4"/>
  <c r="U517" i="4" s="1"/>
  <c r="V516" i="4"/>
  <c r="W516" i="4" s="1"/>
  <c r="T516" i="4"/>
  <c r="U516" i="4" s="1"/>
  <c r="V515" i="4"/>
  <c r="W515" i="4" s="1"/>
  <c r="T515" i="4"/>
  <c r="U515" i="4" s="1"/>
  <c r="V514" i="4"/>
  <c r="W514" i="4" s="1"/>
  <c r="T514" i="4"/>
  <c r="U514" i="4" s="1"/>
  <c r="V513" i="4"/>
  <c r="W513" i="4" s="1"/>
  <c r="T513" i="4"/>
  <c r="U513" i="4" s="1"/>
  <c r="V512" i="4"/>
  <c r="W512" i="4" s="1"/>
  <c r="T512" i="4"/>
  <c r="U512" i="4" s="1"/>
  <c r="V511" i="4"/>
  <c r="W511" i="4" s="1"/>
  <c r="T511" i="4"/>
  <c r="U511" i="4" s="1"/>
  <c r="V510" i="4"/>
  <c r="W510" i="4" s="1"/>
  <c r="T510" i="4"/>
  <c r="U510" i="4" s="1"/>
  <c r="V509" i="4"/>
  <c r="W509" i="4" s="1"/>
  <c r="U509" i="4"/>
  <c r="T509" i="4"/>
  <c r="V508" i="4"/>
  <c r="W508" i="4" s="1"/>
  <c r="T508" i="4"/>
  <c r="U508" i="4" s="1"/>
  <c r="V507" i="4"/>
  <c r="W507" i="4" s="1"/>
  <c r="T507" i="4"/>
  <c r="U507" i="4" s="1"/>
  <c r="V506" i="4"/>
  <c r="W506" i="4" s="1"/>
  <c r="T506" i="4"/>
  <c r="U506" i="4" s="1"/>
  <c r="V505" i="4"/>
  <c r="W505" i="4" s="1"/>
  <c r="T505" i="4"/>
  <c r="U505" i="4" s="1"/>
  <c r="V504" i="4"/>
  <c r="W504" i="4" s="1"/>
  <c r="T504" i="4"/>
  <c r="U504" i="4" s="1"/>
  <c r="V503" i="4"/>
  <c r="W503" i="4" s="1"/>
  <c r="T503" i="4"/>
  <c r="U503" i="4" s="1"/>
  <c r="V502" i="4"/>
  <c r="W502" i="4" s="1"/>
  <c r="T502" i="4"/>
  <c r="U502" i="4" s="1"/>
  <c r="V501" i="4"/>
  <c r="W501" i="4" s="1"/>
  <c r="T501" i="4"/>
  <c r="U501" i="4" s="1"/>
  <c r="V500" i="4"/>
  <c r="W500" i="4" s="1"/>
  <c r="T500" i="4"/>
  <c r="U500" i="4" s="1"/>
  <c r="V499" i="4"/>
  <c r="W499" i="4" s="1"/>
  <c r="T499" i="4"/>
  <c r="U499" i="4" s="1"/>
  <c r="V498" i="4"/>
  <c r="W498" i="4" s="1"/>
  <c r="T498" i="4"/>
  <c r="U498" i="4" s="1"/>
  <c r="V497" i="4"/>
  <c r="W497" i="4" s="1"/>
  <c r="T497" i="4"/>
  <c r="U497" i="4" s="1"/>
  <c r="V496" i="4"/>
  <c r="W496" i="4" s="1"/>
  <c r="T496" i="4"/>
  <c r="U496" i="4" s="1"/>
  <c r="V495" i="4"/>
  <c r="W495" i="4" s="1"/>
  <c r="T495" i="4"/>
  <c r="U495" i="4" s="1"/>
  <c r="V494" i="4"/>
  <c r="W494" i="4" s="1"/>
  <c r="T494" i="4"/>
  <c r="U494" i="4" s="1"/>
  <c r="V493" i="4"/>
  <c r="W493" i="4" s="1"/>
  <c r="T493" i="4"/>
  <c r="U493" i="4" s="1"/>
  <c r="V492" i="4"/>
  <c r="W492" i="4" s="1"/>
  <c r="T492" i="4"/>
  <c r="U492" i="4" s="1"/>
  <c r="V491" i="4"/>
  <c r="W491" i="4" s="1"/>
  <c r="T491" i="4"/>
  <c r="U491" i="4" s="1"/>
  <c r="V490" i="4"/>
  <c r="W490" i="4" s="1"/>
  <c r="T490" i="4"/>
  <c r="U490" i="4" s="1"/>
  <c r="V489" i="4"/>
  <c r="W489" i="4" s="1"/>
  <c r="T489" i="4"/>
  <c r="U489" i="4" s="1"/>
  <c r="V488" i="4"/>
  <c r="W488" i="4" s="1"/>
  <c r="T488" i="4"/>
  <c r="U488" i="4" s="1"/>
  <c r="V487" i="4"/>
  <c r="W487" i="4" s="1"/>
  <c r="T487" i="4"/>
  <c r="U487" i="4" s="1"/>
  <c r="V486" i="4"/>
  <c r="W486" i="4" s="1"/>
  <c r="T486" i="4"/>
  <c r="U486" i="4" s="1"/>
  <c r="V485" i="4"/>
  <c r="W485" i="4" s="1"/>
  <c r="T485" i="4"/>
  <c r="U485" i="4" s="1"/>
  <c r="V484" i="4"/>
  <c r="W484" i="4" s="1"/>
  <c r="T484" i="4"/>
  <c r="U484" i="4" s="1"/>
  <c r="V483" i="4"/>
  <c r="W483" i="4" s="1"/>
  <c r="T483" i="4"/>
  <c r="U483" i="4" s="1"/>
  <c r="V482" i="4"/>
  <c r="W482" i="4" s="1"/>
  <c r="T482" i="4"/>
  <c r="U482" i="4" s="1"/>
  <c r="V481" i="4"/>
  <c r="W481" i="4" s="1"/>
  <c r="T481" i="4"/>
  <c r="U481" i="4" s="1"/>
  <c r="V480" i="4"/>
  <c r="W480" i="4" s="1"/>
  <c r="T480" i="4"/>
  <c r="U480" i="4" s="1"/>
  <c r="V479" i="4"/>
  <c r="W479" i="4" s="1"/>
  <c r="T479" i="4"/>
  <c r="U479" i="4" s="1"/>
  <c r="V478" i="4"/>
  <c r="W478" i="4" s="1"/>
  <c r="T478" i="4"/>
  <c r="U478" i="4" s="1"/>
  <c r="V477" i="4"/>
  <c r="W477" i="4" s="1"/>
  <c r="T477" i="4"/>
  <c r="U477" i="4" s="1"/>
  <c r="V476" i="4"/>
  <c r="W476" i="4" s="1"/>
  <c r="T476" i="4"/>
  <c r="U476" i="4" s="1"/>
  <c r="V475" i="4"/>
  <c r="W475" i="4" s="1"/>
  <c r="T475" i="4"/>
  <c r="U475" i="4" s="1"/>
  <c r="V474" i="4"/>
  <c r="W474" i="4" s="1"/>
  <c r="T474" i="4"/>
  <c r="U474" i="4" s="1"/>
  <c r="V473" i="4"/>
  <c r="W473" i="4" s="1"/>
  <c r="T473" i="4"/>
  <c r="U473" i="4" s="1"/>
  <c r="V472" i="4"/>
  <c r="W472" i="4" s="1"/>
  <c r="T472" i="4"/>
  <c r="U472" i="4" s="1"/>
  <c r="V471" i="4"/>
  <c r="W471" i="4" s="1"/>
  <c r="T471" i="4"/>
  <c r="U471" i="4" s="1"/>
  <c r="V470" i="4"/>
  <c r="W470" i="4" s="1"/>
  <c r="T470" i="4"/>
  <c r="U470" i="4" s="1"/>
  <c r="V469" i="4"/>
  <c r="W469" i="4" s="1"/>
  <c r="T469" i="4"/>
  <c r="U469" i="4" s="1"/>
  <c r="V468" i="4"/>
  <c r="W468" i="4" s="1"/>
  <c r="T468" i="4"/>
  <c r="U468" i="4" s="1"/>
  <c r="V467" i="4"/>
  <c r="W467" i="4" s="1"/>
  <c r="T467" i="4"/>
  <c r="U467" i="4" s="1"/>
  <c r="V466" i="4"/>
  <c r="W466" i="4" s="1"/>
  <c r="T466" i="4"/>
  <c r="U466" i="4" s="1"/>
  <c r="V465" i="4"/>
  <c r="W465" i="4" s="1"/>
  <c r="T465" i="4"/>
  <c r="U465" i="4" s="1"/>
  <c r="V464" i="4"/>
  <c r="W464" i="4" s="1"/>
  <c r="T464" i="4"/>
  <c r="U464" i="4" s="1"/>
  <c r="V463" i="4"/>
  <c r="W463" i="4" s="1"/>
  <c r="T463" i="4"/>
  <c r="U463" i="4" s="1"/>
  <c r="V462" i="4"/>
  <c r="W462" i="4" s="1"/>
  <c r="T462" i="4"/>
  <c r="U462" i="4" s="1"/>
  <c r="V461" i="4"/>
  <c r="W461" i="4" s="1"/>
  <c r="T461" i="4"/>
  <c r="U461" i="4" s="1"/>
  <c r="V460" i="4"/>
  <c r="W460" i="4" s="1"/>
  <c r="T460" i="4"/>
  <c r="U460" i="4" s="1"/>
  <c r="V459" i="4"/>
  <c r="W459" i="4" s="1"/>
  <c r="T459" i="4"/>
  <c r="U459" i="4" s="1"/>
  <c r="V458" i="4"/>
  <c r="W458" i="4" s="1"/>
  <c r="T458" i="4"/>
  <c r="U458" i="4" s="1"/>
  <c r="V457" i="4"/>
  <c r="W457" i="4" s="1"/>
  <c r="T457" i="4"/>
  <c r="U457" i="4" s="1"/>
  <c r="V456" i="4"/>
  <c r="W456" i="4" s="1"/>
  <c r="T456" i="4"/>
  <c r="U456" i="4" s="1"/>
  <c r="V455" i="4"/>
  <c r="W455" i="4" s="1"/>
  <c r="T455" i="4"/>
  <c r="U455" i="4" s="1"/>
  <c r="V454" i="4"/>
  <c r="W454" i="4" s="1"/>
  <c r="T454" i="4"/>
  <c r="U454" i="4" s="1"/>
  <c r="V453" i="4"/>
  <c r="W453" i="4" s="1"/>
  <c r="T453" i="4"/>
  <c r="U453" i="4" s="1"/>
  <c r="V452" i="4"/>
  <c r="W452" i="4" s="1"/>
  <c r="T452" i="4"/>
  <c r="U452" i="4" s="1"/>
  <c r="V451" i="4"/>
  <c r="W451" i="4" s="1"/>
  <c r="T451" i="4"/>
  <c r="U451" i="4" s="1"/>
  <c r="V450" i="4"/>
  <c r="W450" i="4" s="1"/>
  <c r="T450" i="4"/>
  <c r="U450" i="4" s="1"/>
  <c r="V449" i="4"/>
  <c r="W449" i="4" s="1"/>
  <c r="T449" i="4"/>
  <c r="U449" i="4" s="1"/>
  <c r="V448" i="4"/>
  <c r="W448" i="4" s="1"/>
  <c r="T448" i="4"/>
  <c r="U448" i="4" s="1"/>
  <c r="V447" i="4"/>
  <c r="W447" i="4" s="1"/>
  <c r="T447" i="4"/>
  <c r="U447" i="4" s="1"/>
  <c r="V446" i="4"/>
  <c r="W446" i="4" s="1"/>
  <c r="T446" i="4"/>
  <c r="U446" i="4" s="1"/>
  <c r="V445" i="4"/>
  <c r="W445" i="4" s="1"/>
  <c r="T445" i="4"/>
  <c r="U445" i="4" s="1"/>
  <c r="V444" i="4"/>
  <c r="W444" i="4" s="1"/>
  <c r="T444" i="4"/>
  <c r="U444" i="4" s="1"/>
  <c r="V443" i="4"/>
  <c r="W443" i="4" s="1"/>
  <c r="T443" i="4"/>
  <c r="U443" i="4" s="1"/>
  <c r="V442" i="4"/>
  <c r="W442" i="4" s="1"/>
  <c r="T442" i="4"/>
  <c r="U442" i="4" s="1"/>
  <c r="V441" i="4"/>
  <c r="W441" i="4" s="1"/>
  <c r="T441" i="4"/>
  <c r="U441" i="4" s="1"/>
  <c r="V440" i="4"/>
  <c r="W440" i="4" s="1"/>
  <c r="T440" i="4"/>
  <c r="U440" i="4" s="1"/>
  <c r="V439" i="4"/>
  <c r="W439" i="4" s="1"/>
  <c r="T439" i="4"/>
  <c r="U439" i="4" s="1"/>
  <c r="V438" i="4"/>
  <c r="W438" i="4" s="1"/>
  <c r="T438" i="4"/>
  <c r="U438" i="4" s="1"/>
  <c r="V437" i="4"/>
  <c r="W437" i="4" s="1"/>
  <c r="T437" i="4"/>
  <c r="U437" i="4" s="1"/>
  <c r="V436" i="4"/>
  <c r="W436" i="4" s="1"/>
  <c r="T436" i="4"/>
  <c r="U436" i="4" s="1"/>
  <c r="V435" i="4"/>
  <c r="W435" i="4" s="1"/>
  <c r="T435" i="4"/>
  <c r="U435" i="4" s="1"/>
  <c r="V434" i="4"/>
  <c r="W434" i="4" s="1"/>
  <c r="T434" i="4"/>
  <c r="U434" i="4" s="1"/>
  <c r="V433" i="4"/>
  <c r="W433" i="4" s="1"/>
  <c r="T433" i="4"/>
  <c r="U433" i="4" s="1"/>
  <c r="V432" i="4"/>
  <c r="W432" i="4" s="1"/>
  <c r="T432" i="4"/>
  <c r="U432" i="4" s="1"/>
  <c r="V431" i="4"/>
  <c r="W431" i="4" s="1"/>
  <c r="T431" i="4"/>
  <c r="U431" i="4" s="1"/>
  <c r="V430" i="4"/>
  <c r="W430" i="4" s="1"/>
  <c r="T430" i="4"/>
  <c r="U430" i="4" s="1"/>
  <c r="V429" i="4"/>
  <c r="W429" i="4" s="1"/>
  <c r="T429" i="4"/>
  <c r="U429" i="4" s="1"/>
  <c r="V428" i="4"/>
  <c r="W428" i="4" s="1"/>
  <c r="T428" i="4"/>
  <c r="U428" i="4" s="1"/>
  <c r="V427" i="4"/>
  <c r="W427" i="4" s="1"/>
  <c r="T427" i="4"/>
  <c r="U427" i="4" s="1"/>
  <c r="V426" i="4"/>
  <c r="W426" i="4" s="1"/>
  <c r="T426" i="4"/>
  <c r="U426" i="4" s="1"/>
  <c r="V425" i="4"/>
  <c r="W425" i="4" s="1"/>
  <c r="T425" i="4"/>
  <c r="U425" i="4" s="1"/>
  <c r="W424" i="4"/>
  <c r="V424" i="4"/>
  <c r="T424" i="4"/>
  <c r="U424" i="4" s="1"/>
  <c r="V423" i="4"/>
  <c r="W423" i="4" s="1"/>
  <c r="T423" i="4"/>
  <c r="U423" i="4" s="1"/>
  <c r="V422" i="4"/>
  <c r="W422" i="4" s="1"/>
  <c r="T422" i="4"/>
  <c r="U422" i="4" s="1"/>
  <c r="V421" i="4"/>
  <c r="W421" i="4" s="1"/>
  <c r="T421" i="4"/>
  <c r="U421" i="4" s="1"/>
  <c r="V420" i="4"/>
  <c r="W420" i="4" s="1"/>
  <c r="T420" i="4"/>
  <c r="U420" i="4" s="1"/>
  <c r="V419" i="4"/>
  <c r="W419" i="4" s="1"/>
  <c r="T419" i="4"/>
  <c r="U419" i="4" s="1"/>
  <c r="V418" i="4"/>
  <c r="W418" i="4" s="1"/>
  <c r="T418" i="4"/>
  <c r="U418" i="4" s="1"/>
  <c r="V417" i="4"/>
  <c r="W417" i="4" s="1"/>
  <c r="T417" i="4"/>
  <c r="U417" i="4" s="1"/>
  <c r="V416" i="4"/>
  <c r="W416" i="4" s="1"/>
  <c r="T416" i="4"/>
  <c r="U416" i="4" s="1"/>
  <c r="V415" i="4"/>
  <c r="W415" i="4" s="1"/>
  <c r="T415" i="4"/>
  <c r="U415" i="4" s="1"/>
  <c r="V414" i="4"/>
  <c r="W414" i="4" s="1"/>
  <c r="T414" i="4"/>
  <c r="U414" i="4" s="1"/>
  <c r="V413" i="4"/>
  <c r="W413" i="4" s="1"/>
  <c r="T413" i="4"/>
  <c r="U413" i="4" s="1"/>
  <c r="V412" i="4"/>
  <c r="W412" i="4" s="1"/>
  <c r="T412" i="4"/>
  <c r="U412" i="4" s="1"/>
  <c r="V411" i="4"/>
  <c r="W411" i="4" s="1"/>
  <c r="T411" i="4"/>
  <c r="U411" i="4" s="1"/>
  <c r="V410" i="4"/>
  <c r="W410" i="4" s="1"/>
  <c r="T410" i="4"/>
  <c r="U410" i="4" s="1"/>
  <c r="V409" i="4"/>
  <c r="W409" i="4" s="1"/>
  <c r="T409" i="4"/>
  <c r="U409" i="4" s="1"/>
  <c r="V408" i="4"/>
  <c r="W408" i="4" s="1"/>
  <c r="T408" i="4"/>
  <c r="U408" i="4" s="1"/>
  <c r="V407" i="4"/>
  <c r="W407" i="4" s="1"/>
  <c r="U407" i="4"/>
  <c r="T407" i="4"/>
  <c r="V406" i="4"/>
  <c r="W406" i="4" s="1"/>
  <c r="T406" i="4"/>
  <c r="U406" i="4" s="1"/>
  <c r="V405" i="4"/>
  <c r="W405" i="4" s="1"/>
  <c r="T405" i="4"/>
  <c r="U405" i="4" s="1"/>
  <c r="V404" i="4"/>
  <c r="W404" i="4" s="1"/>
  <c r="T404" i="4"/>
  <c r="U404" i="4" s="1"/>
  <c r="V403" i="4"/>
  <c r="W403" i="4" s="1"/>
  <c r="T403" i="4"/>
  <c r="U403" i="4" s="1"/>
  <c r="V402" i="4"/>
  <c r="W402" i="4" s="1"/>
  <c r="T402" i="4"/>
  <c r="U402" i="4" s="1"/>
  <c r="V401" i="4"/>
  <c r="W401" i="4" s="1"/>
  <c r="T401" i="4"/>
  <c r="U401" i="4" s="1"/>
  <c r="V400" i="4"/>
  <c r="W400" i="4" s="1"/>
  <c r="T400" i="4"/>
  <c r="U400" i="4" s="1"/>
  <c r="V399" i="4"/>
  <c r="W399" i="4" s="1"/>
  <c r="T399" i="4"/>
  <c r="U399" i="4" s="1"/>
  <c r="V398" i="4"/>
  <c r="W398" i="4" s="1"/>
  <c r="T398" i="4"/>
  <c r="U398" i="4" s="1"/>
  <c r="V397" i="4"/>
  <c r="W397" i="4" s="1"/>
  <c r="T397" i="4"/>
  <c r="U397" i="4" s="1"/>
  <c r="V396" i="4"/>
  <c r="W396" i="4" s="1"/>
  <c r="T396" i="4"/>
  <c r="U396" i="4" s="1"/>
  <c r="V395" i="4"/>
  <c r="W395" i="4" s="1"/>
  <c r="T395" i="4"/>
  <c r="U395" i="4" s="1"/>
  <c r="V394" i="4"/>
  <c r="W394" i="4" s="1"/>
  <c r="T394" i="4"/>
  <c r="U394" i="4" s="1"/>
  <c r="V393" i="4"/>
  <c r="W393" i="4" s="1"/>
  <c r="T393" i="4"/>
  <c r="U393" i="4" s="1"/>
  <c r="V392" i="4"/>
  <c r="W392" i="4" s="1"/>
  <c r="T392" i="4"/>
  <c r="U392" i="4" s="1"/>
  <c r="V391" i="4"/>
  <c r="W391" i="4" s="1"/>
  <c r="T391" i="4"/>
  <c r="U391" i="4" s="1"/>
  <c r="V390" i="4"/>
  <c r="W390" i="4" s="1"/>
  <c r="T390" i="4"/>
  <c r="U390" i="4" s="1"/>
  <c r="V389" i="4"/>
  <c r="W389" i="4" s="1"/>
  <c r="T389" i="4"/>
  <c r="U389" i="4" s="1"/>
  <c r="W388" i="4"/>
  <c r="V388" i="4"/>
  <c r="T388" i="4"/>
  <c r="U388" i="4" s="1"/>
  <c r="V387" i="4"/>
  <c r="W387" i="4" s="1"/>
  <c r="T387" i="4"/>
  <c r="U387" i="4" s="1"/>
  <c r="V386" i="4"/>
  <c r="W386" i="4" s="1"/>
  <c r="T386" i="4"/>
  <c r="U386" i="4" s="1"/>
  <c r="V385" i="4"/>
  <c r="W385" i="4" s="1"/>
  <c r="T385" i="4"/>
  <c r="U385" i="4" s="1"/>
  <c r="V384" i="4"/>
  <c r="W384" i="4" s="1"/>
  <c r="U384" i="4"/>
  <c r="T384" i="4"/>
  <c r="V383" i="4"/>
  <c r="W383" i="4" s="1"/>
  <c r="T383" i="4"/>
  <c r="U383" i="4" s="1"/>
  <c r="V382" i="4"/>
  <c r="W382" i="4" s="1"/>
  <c r="T382" i="4"/>
  <c r="U382" i="4" s="1"/>
  <c r="V381" i="4"/>
  <c r="W381" i="4" s="1"/>
  <c r="T381" i="4"/>
  <c r="U381" i="4" s="1"/>
  <c r="V380" i="4"/>
  <c r="W380" i="4" s="1"/>
  <c r="T380" i="4"/>
  <c r="U380" i="4" s="1"/>
  <c r="V379" i="4"/>
  <c r="W379" i="4" s="1"/>
  <c r="T379" i="4"/>
  <c r="U379" i="4" s="1"/>
  <c r="V378" i="4"/>
  <c r="W378" i="4" s="1"/>
  <c r="T378" i="4"/>
  <c r="U378" i="4" s="1"/>
  <c r="V377" i="4"/>
  <c r="W377" i="4" s="1"/>
  <c r="T377" i="4"/>
  <c r="U377" i="4" s="1"/>
  <c r="V376" i="4"/>
  <c r="W376" i="4" s="1"/>
  <c r="T376" i="4"/>
  <c r="U376" i="4" s="1"/>
  <c r="V375" i="4"/>
  <c r="W375" i="4" s="1"/>
  <c r="T375" i="4"/>
  <c r="U375" i="4" s="1"/>
  <c r="V374" i="4"/>
  <c r="W374" i="4" s="1"/>
  <c r="T374" i="4"/>
  <c r="U374" i="4" s="1"/>
  <c r="V373" i="4"/>
  <c r="W373" i="4" s="1"/>
  <c r="T373" i="4"/>
  <c r="U373" i="4" s="1"/>
  <c r="V372" i="4"/>
  <c r="W372" i="4" s="1"/>
  <c r="T372" i="4"/>
  <c r="U372" i="4" s="1"/>
  <c r="V371" i="4"/>
  <c r="W371" i="4" s="1"/>
  <c r="T371" i="4"/>
  <c r="U371" i="4" s="1"/>
  <c r="V370" i="4"/>
  <c r="W370" i="4" s="1"/>
  <c r="T370" i="4"/>
  <c r="U370" i="4" s="1"/>
  <c r="V369" i="4"/>
  <c r="W369" i="4" s="1"/>
  <c r="T369" i="4"/>
  <c r="U369" i="4" s="1"/>
  <c r="V368" i="4"/>
  <c r="W368" i="4" s="1"/>
  <c r="T368" i="4"/>
  <c r="U368" i="4" s="1"/>
  <c r="V367" i="4"/>
  <c r="W367" i="4" s="1"/>
  <c r="T367" i="4"/>
  <c r="U367" i="4" s="1"/>
  <c r="V366" i="4"/>
  <c r="W366" i="4" s="1"/>
  <c r="T366" i="4"/>
  <c r="U366" i="4" s="1"/>
  <c r="V365" i="4"/>
  <c r="W365" i="4" s="1"/>
  <c r="T365" i="4"/>
  <c r="U365" i="4" s="1"/>
  <c r="V364" i="4"/>
  <c r="W364" i="4" s="1"/>
  <c r="T364" i="4"/>
  <c r="U364" i="4" s="1"/>
  <c r="V363" i="4"/>
  <c r="W363" i="4" s="1"/>
  <c r="T363" i="4"/>
  <c r="U363" i="4" s="1"/>
  <c r="V362" i="4"/>
  <c r="W362" i="4" s="1"/>
  <c r="T362" i="4"/>
  <c r="U362" i="4" s="1"/>
  <c r="V361" i="4"/>
  <c r="W361" i="4" s="1"/>
  <c r="T361" i="4"/>
  <c r="U361" i="4" s="1"/>
  <c r="V360" i="4"/>
  <c r="W360" i="4" s="1"/>
  <c r="T360" i="4"/>
  <c r="U360" i="4" s="1"/>
  <c r="V359" i="4"/>
  <c r="W359" i="4" s="1"/>
  <c r="T359" i="4"/>
  <c r="U359" i="4" s="1"/>
  <c r="V358" i="4"/>
  <c r="W358" i="4" s="1"/>
  <c r="T358" i="4"/>
  <c r="U358" i="4" s="1"/>
  <c r="V357" i="4"/>
  <c r="W357" i="4" s="1"/>
  <c r="T357" i="4"/>
  <c r="U357" i="4" s="1"/>
  <c r="V356" i="4"/>
  <c r="W356" i="4" s="1"/>
  <c r="T356" i="4"/>
  <c r="U356" i="4" s="1"/>
  <c r="V355" i="4"/>
  <c r="W355" i="4" s="1"/>
  <c r="T355" i="4"/>
  <c r="U355" i="4" s="1"/>
  <c r="V354" i="4"/>
  <c r="W354" i="4" s="1"/>
  <c r="T354" i="4"/>
  <c r="U354" i="4" s="1"/>
  <c r="V353" i="4"/>
  <c r="W353" i="4" s="1"/>
  <c r="T353" i="4"/>
  <c r="U353" i="4" s="1"/>
  <c r="V352" i="4"/>
  <c r="W352" i="4" s="1"/>
  <c r="T352" i="4"/>
  <c r="U352" i="4" s="1"/>
  <c r="V351" i="4"/>
  <c r="W351" i="4" s="1"/>
  <c r="T351" i="4"/>
  <c r="U351" i="4" s="1"/>
  <c r="V350" i="4"/>
  <c r="W350" i="4" s="1"/>
  <c r="T350" i="4"/>
  <c r="U350" i="4" s="1"/>
  <c r="V349" i="4"/>
  <c r="W349" i="4" s="1"/>
  <c r="T349" i="4"/>
  <c r="U349" i="4" s="1"/>
  <c r="W348" i="4"/>
  <c r="V348" i="4"/>
  <c r="T348" i="4"/>
  <c r="U348" i="4" s="1"/>
  <c r="V347" i="4"/>
  <c r="W347" i="4" s="1"/>
  <c r="T347" i="4"/>
  <c r="U347" i="4" s="1"/>
  <c r="V346" i="4"/>
  <c r="W346" i="4" s="1"/>
  <c r="T346" i="4"/>
  <c r="U346" i="4" s="1"/>
  <c r="V345" i="4"/>
  <c r="W345" i="4" s="1"/>
  <c r="T345" i="4"/>
  <c r="U345" i="4" s="1"/>
  <c r="V344" i="4"/>
  <c r="W344" i="4" s="1"/>
  <c r="T344" i="4"/>
  <c r="U344" i="4" s="1"/>
  <c r="V343" i="4"/>
  <c r="W343" i="4" s="1"/>
  <c r="T343" i="4"/>
  <c r="U343" i="4" s="1"/>
  <c r="V342" i="4"/>
  <c r="W342" i="4" s="1"/>
  <c r="T342" i="4"/>
  <c r="U342" i="4" s="1"/>
  <c r="V341" i="4"/>
  <c r="W341" i="4" s="1"/>
  <c r="T341" i="4"/>
  <c r="U341" i="4" s="1"/>
  <c r="V340" i="4"/>
  <c r="W340" i="4" s="1"/>
  <c r="T340" i="4"/>
  <c r="U340" i="4" s="1"/>
  <c r="V339" i="4"/>
  <c r="W339" i="4" s="1"/>
  <c r="T339" i="4"/>
  <c r="U339" i="4" s="1"/>
  <c r="V338" i="4"/>
  <c r="W338" i="4" s="1"/>
  <c r="T338" i="4"/>
  <c r="U338" i="4" s="1"/>
  <c r="V337" i="4"/>
  <c r="W337" i="4" s="1"/>
  <c r="T337" i="4"/>
  <c r="U337" i="4" s="1"/>
  <c r="V336" i="4"/>
  <c r="W336" i="4" s="1"/>
  <c r="T336" i="4"/>
  <c r="U336" i="4" s="1"/>
  <c r="V335" i="4"/>
  <c r="W335" i="4" s="1"/>
  <c r="T335" i="4"/>
  <c r="U335" i="4" s="1"/>
  <c r="V334" i="4"/>
  <c r="W334" i="4" s="1"/>
  <c r="T334" i="4"/>
  <c r="U334" i="4" s="1"/>
  <c r="V333" i="4"/>
  <c r="W333" i="4" s="1"/>
  <c r="T333" i="4"/>
  <c r="U333" i="4" s="1"/>
  <c r="V332" i="4"/>
  <c r="W332" i="4" s="1"/>
  <c r="T332" i="4"/>
  <c r="U332" i="4" s="1"/>
  <c r="V331" i="4"/>
  <c r="W331" i="4" s="1"/>
  <c r="T331" i="4"/>
  <c r="U331" i="4" s="1"/>
  <c r="V330" i="4"/>
  <c r="W330" i="4" s="1"/>
  <c r="T330" i="4"/>
  <c r="U330" i="4" s="1"/>
  <c r="V329" i="4"/>
  <c r="W329" i="4" s="1"/>
  <c r="T329" i="4"/>
  <c r="U329" i="4" s="1"/>
  <c r="V328" i="4"/>
  <c r="W328" i="4" s="1"/>
  <c r="T328" i="4"/>
  <c r="U328" i="4" s="1"/>
  <c r="V327" i="4"/>
  <c r="W327" i="4" s="1"/>
  <c r="T327" i="4"/>
  <c r="U327" i="4" s="1"/>
  <c r="V326" i="4"/>
  <c r="W326" i="4" s="1"/>
  <c r="T326" i="4"/>
  <c r="U326" i="4" s="1"/>
  <c r="V325" i="4"/>
  <c r="W325" i="4" s="1"/>
  <c r="T325" i="4"/>
  <c r="U325" i="4" s="1"/>
  <c r="V324" i="4"/>
  <c r="W324" i="4" s="1"/>
  <c r="T324" i="4"/>
  <c r="U324" i="4" s="1"/>
  <c r="V323" i="4"/>
  <c r="W323" i="4" s="1"/>
  <c r="T323" i="4"/>
  <c r="U323" i="4" s="1"/>
  <c r="V322" i="4"/>
  <c r="W322" i="4" s="1"/>
  <c r="T322" i="4"/>
  <c r="U322" i="4" s="1"/>
  <c r="V321" i="4"/>
  <c r="W321" i="4" s="1"/>
  <c r="T321" i="4"/>
  <c r="U321" i="4" s="1"/>
  <c r="V320" i="4"/>
  <c r="W320" i="4" s="1"/>
  <c r="T320" i="4"/>
  <c r="U320" i="4" s="1"/>
  <c r="V319" i="4"/>
  <c r="W319" i="4" s="1"/>
  <c r="T319" i="4"/>
  <c r="U319" i="4" s="1"/>
  <c r="V318" i="4"/>
  <c r="W318" i="4" s="1"/>
  <c r="T318" i="4"/>
  <c r="U318" i="4" s="1"/>
  <c r="V317" i="4"/>
  <c r="W317" i="4" s="1"/>
  <c r="T317" i="4"/>
  <c r="U317" i="4" s="1"/>
  <c r="V316" i="4"/>
  <c r="W316" i="4" s="1"/>
  <c r="T316" i="4"/>
  <c r="U316" i="4" s="1"/>
  <c r="V315" i="4"/>
  <c r="W315" i="4" s="1"/>
  <c r="T315" i="4"/>
  <c r="U315" i="4" s="1"/>
  <c r="V314" i="4"/>
  <c r="W314" i="4" s="1"/>
  <c r="T314" i="4"/>
  <c r="U314" i="4" s="1"/>
  <c r="V313" i="4"/>
  <c r="W313" i="4" s="1"/>
  <c r="T313" i="4"/>
  <c r="U313" i="4" s="1"/>
  <c r="V312" i="4"/>
  <c r="W312" i="4" s="1"/>
  <c r="T312" i="4"/>
  <c r="U312" i="4" s="1"/>
  <c r="V311" i="4"/>
  <c r="W311" i="4" s="1"/>
  <c r="T311" i="4"/>
  <c r="U311" i="4" s="1"/>
  <c r="V310" i="4"/>
  <c r="W310" i="4" s="1"/>
  <c r="T310" i="4"/>
  <c r="U310" i="4" s="1"/>
  <c r="V309" i="4"/>
  <c r="W309" i="4" s="1"/>
  <c r="T309" i="4"/>
  <c r="U309" i="4" s="1"/>
  <c r="V308" i="4"/>
  <c r="W308" i="4" s="1"/>
  <c r="T308" i="4"/>
  <c r="U308" i="4" s="1"/>
  <c r="V307" i="4"/>
  <c r="W307" i="4" s="1"/>
  <c r="T307" i="4"/>
  <c r="U307" i="4" s="1"/>
  <c r="V306" i="4"/>
  <c r="W306" i="4" s="1"/>
  <c r="T306" i="4"/>
  <c r="U306" i="4" s="1"/>
  <c r="V305" i="4"/>
  <c r="W305" i="4" s="1"/>
  <c r="T305" i="4"/>
  <c r="U305" i="4" s="1"/>
  <c r="V304" i="4"/>
  <c r="W304" i="4" s="1"/>
  <c r="T304" i="4"/>
  <c r="U304" i="4" s="1"/>
  <c r="V303" i="4"/>
  <c r="W303" i="4" s="1"/>
  <c r="T303" i="4"/>
  <c r="U303" i="4" s="1"/>
  <c r="V302" i="4"/>
  <c r="W302" i="4" s="1"/>
  <c r="T302" i="4"/>
  <c r="U302" i="4" s="1"/>
  <c r="V301" i="4"/>
  <c r="W301" i="4" s="1"/>
  <c r="T301" i="4"/>
  <c r="U301" i="4" s="1"/>
  <c r="V300" i="4"/>
  <c r="W300" i="4" s="1"/>
  <c r="T300" i="4"/>
  <c r="U300" i="4" s="1"/>
  <c r="V299" i="4"/>
  <c r="W299" i="4" s="1"/>
  <c r="T299" i="4"/>
  <c r="U299" i="4" s="1"/>
  <c r="V298" i="4"/>
  <c r="W298" i="4" s="1"/>
  <c r="T298" i="4"/>
  <c r="U298" i="4" s="1"/>
  <c r="V297" i="4"/>
  <c r="W297" i="4" s="1"/>
  <c r="T297" i="4"/>
  <c r="U297" i="4" s="1"/>
  <c r="V296" i="4"/>
  <c r="W296" i="4" s="1"/>
  <c r="T296" i="4"/>
  <c r="U296" i="4" s="1"/>
  <c r="V295" i="4"/>
  <c r="W295" i="4" s="1"/>
  <c r="T295" i="4"/>
  <c r="U295" i="4" s="1"/>
  <c r="V294" i="4"/>
  <c r="W294" i="4" s="1"/>
  <c r="T294" i="4"/>
  <c r="U294" i="4" s="1"/>
  <c r="V293" i="4"/>
  <c r="W293" i="4" s="1"/>
  <c r="T293" i="4"/>
  <c r="U293" i="4" s="1"/>
  <c r="V292" i="4"/>
  <c r="W292" i="4" s="1"/>
  <c r="T292" i="4"/>
  <c r="U292" i="4" s="1"/>
  <c r="V291" i="4"/>
  <c r="W291" i="4" s="1"/>
  <c r="T291" i="4"/>
  <c r="U291" i="4" s="1"/>
  <c r="V290" i="4"/>
  <c r="W290" i="4" s="1"/>
  <c r="T290" i="4"/>
  <c r="U290" i="4" s="1"/>
  <c r="V289" i="4"/>
  <c r="W289" i="4" s="1"/>
  <c r="T289" i="4"/>
  <c r="U289" i="4" s="1"/>
  <c r="V288" i="4"/>
  <c r="W288" i="4" s="1"/>
  <c r="T288" i="4"/>
  <c r="U288" i="4" s="1"/>
  <c r="V287" i="4"/>
  <c r="W287" i="4" s="1"/>
  <c r="U287" i="4"/>
  <c r="T287" i="4"/>
  <c r="V286" i="4"/>
  <c r="W286" i="4" s="1"/>
  <c r="T286" i="4"/>
  <c r="U286" i="4" s="1"/>
  <c r="V285" i="4"/>
  <c r="W285" i="4" s="1"/>
  <c r="T285" i="4"/>
  <c r="U285" i="4" s="1"/>
  <c r="V284" i="4"/>
  <c r="W284" i="4" s="1"/>
  <c r="T284" i="4"/>
  <c r="U284" i="4" s="1"/>
  <c r="V283" i="4"/>
  <c r="W283" i="4" s="1"/>
  <c r="T283" i="4"/>
  <c r="U283" i="4" s="1"/>
  <c r="V282" i="4"/>
  <c r="W282" i="4" s="1"/>
  <c r="T282" i="4"/>
  <c r="U282" i="4" s="1"/>
  <c r="V281" i="4"/>
  <c r="W281" i="4" s="1"/>
  <c r="T281" i="4"/>
  <c r="U281" i="4" s="1"/>
  <c r="V280" i="4"/>
  <c r="W280" i="4" s="1"/>
  <c r="T280" i="4"/>
  <c r="U280" i="4" s="1"/>
  <c r="V279" i="4"/>
  <c r="W279" i="4" s="1"/>
  <c r="T279" i="4"/>
  <c r="U279" i="4" s="1"/>
  <c r="V278" i="4"/>
  <c r="W278" i="4" s="1"/>
  <c r="T278" i="4"/>
  <c r="U278" i="4" s="1"/>
  <c r="V277" i="4"/>
  <c r="W277" i="4" s="1"/>
  <c r="T277" i="4"/>
  <c r="U277" i="4" s="1"/>
  <c r="V276" i="4"/>
  <c r="W276" i="4" s="1"/>
  <c r="T276" i="4"/>
  <c r="U276" i="4" s="1"/>
  <c r="T275" i="4"/>
  <c r="O275" i="4"/>
  <c r="V275" i="4" s="1"/>
  <c r="C275" i="4"/>
  <c r="T274" i="4"/>
  <c r="O274" i="4"/>
  <c r="V274" i="4" s="1"/>
  <c r="C274" i="4"/>
  <c r="T273" i="4"/>
  <c r="O273" i="4"/>
  <c r="Q273" i="4" s="1"/>
  <c r="C273" i="4"/>
  <c r="T272" i="4"/>
  <c r="O272" i="4"/>
  <c r="V272" i="4" s="1"/>
  <c r="C272" i="4"/>
  <c r="T271" i="4"/>
  <c r="O271" i="4"/>
  <c r="V271" i="4" s="1"/>
  <c r="C271" i="4"/>
  <c r="T270" i="4"/>
  <c r="O270" i="4"/>
  <c r="V270" i="4" s="1"/>
  <c r="C270" i="4"/>
  <c r="T269" i="4"/>
  <c r="O269" i="4"/>
  <c r="Q269" i="4" s="1"/>
  <c r="C269" i="4"/>
  <c r="T268" i="4"/>
  <c r="O268" i="4"/>
  <c r="Q268" i="4" s="1"/>
  <c r="C268" i="4"/>
  <c r="T267" i="4"/>
  <c r="O267" i="4"/>
  <c r="V267" i="4" s="1"/>
  <c r="C267" i="4"/>
  <c r="T266" i="4"/>
  <c r="O266" i="4"/>
  <c r="V266" i="4" s="1"/>
  <c r="C266" i="4"/>
  <c r="T265" i="4"/>
  <c r="O265" i="4"/>
  <c r="V265" i="4" s="1"/>
  <c r="C265" i="4"/>
  <c r="T264" i="4"/>
  <c r="O264" i="4"/>
  <c r="V264" i="4" s="1"/>
  <c r="C264" i="4"/>
  <c r="T263" i="4"/>
  <c r="O263" i="4"/>
  <c r="V263" i="4" s="1"/>
  <c r="C263" i="4"/>
  <c r="T262" i="4"/>
  <c r="O262" i="4"/>
  <c r="V262" i="4" s="1"/>
  <c r="C262" i="4"/>
  <c r="T261" i="4"/>
  <c r="O261" i="4"/>
  <c r="Q261" i="4" s="1"/>
  <c r="C261" i="4"/>
  <c r="T260" i="4"/>
  <c r="O260" i="4"/>
  <c r="V260" i="4" s="1"/>
  <c r="C260" i="4"/>
  <c r="T259" i="4"/>
  <c r="O259" i="4"/>
  <c r="Q259" i="4" s="1"/>
  <c r="C259" i="4"/>
  <c r="T258" i="4"/>
  <c r="O258" i="4"/>
  <c r="V258" i="4" s="1"/>
  <c r="C258" i="4"/>
  <c r="T257" i="4"/>
  <c r="O257" i="4"/>
  <c r="V257" i="4" s="1"/>
  <c r="C257" i="4"/>
  <c r="T256" i="4"/>
  <c r="O256" i="4"/>
  <c r="V256" i="4" s="1"/>
  <c r="C256" i="4"/>
  <c r="T255" i="4"/>
  <c r="O255" i="4"/>
  <c r="V255" i="4" s="1"/>
  <c r="C255" i="4"/>
  <c r="T254" i="4"/>
  <c r="O254" i="4"/>
  <c r="V254" i="4" s="1"/>
  <c r="C254" i="4"/>
  <c r="T253" i="4"/>
  <c r="O253" i="4"/>
  <c r="V253" i="4" s="1"/>
  <c r="C253" i="4"/>
  <c r="T252" i="4"/>
  <c r="O252" i="4"/>
  <c r="V252" i="4" s="1"/>
  <c r="C252" i="4"/>
  <c r="T251" i="4"/>
  <c r="O251" i="4"/>
  <c r="Q251" i="4" s="1"/>
  <c r="C251" i="4"/>
  <c r="T250" i="4"/>
  <c r="O250" i="4"/>
  <c r="Q250" i="4" s="1"/>
  <c r="C250" i="4"/>
  <c r="T249" i="4"/>
  <c r="U249" i="4" s="1"/>
  <c r="O249" i="4"/>
  <c r="Q249" i="4" s="1"/>
  <c r="C249" i="4"/>
  <c r="T248" i="4"/>
  <c r="O248" i="4"/>
  <c r="V248" i="4" s="1"/>
  <c r="C248" i="4"/>
  <c r="T247" i="4"/>
  <c r="U247" i="4" s="1"/>
  <c r="O247" i="4"/>
  <c r="Q247" i="4" s="1"/>
  <c r="C247" i="4"/>
  <c r="T246" i="4"/>
  <c r="O246" i="4"/>
  <c r="V246" i="4" s="1"/>
  <c r="C246" i="4"/>
  <c r="T245" i="4"/>
  <c r="O245" i="4"/>
  <c r="V245" i="4" s="1"/>
  <c r="C245" i="4"/>
  <c r="T244" i="4"/>
  <c r="Q244" i="4"/>
  <c r="O244" i="4"/>
  <c r="V244" i="4" s="1"/>
  <c r="C244" i="4"/>
  <c r="T243" i="4"/>
  <c r="O243" i="4"/>
  <c r="Q243" i="4" s="1"/>
  <c r="C243" i="4"/>
  <c r="T242" i="4"/>
  <c r="U242" i="4" s="1"/>
  <c r="O242" i="4"/>
  <c r="V242" i="4" s="1"/>
  <c r="C242" i="4"/>
  <c r="T241" i="4"/>
  <c r="O241" i="4"/>
  <c r="V241" i="4" s="1"/>
  <c r="C241" i="4"/>
  <c r="T240" i="4"/>
  <c r="U240" i="4" s="1"/>
  <c r="O240" i="4"/>
  <c r="V240" i="4" s="1"/>
  <c r="C240" i="4"/>
  <c r="T239" i="4"/>
  <c r="O239" i="4"/>
  <c r="V239" i="4" s="1"/>
  <c r="C239" i="4"/>
  <c r="T238" i="4"/>
  <c r="U238" i="4" s="1"/>
  <c r="O238" i="4"/>
  <c r="V238" i="4" s="1"/>
  <c r="C238" i="4"/>
  <c r="T237" i="4"/>
  <c r="O237" i="4"/>
  <c r="Q237" i="4" s="1"/>
  <c r="C237" i="4"/>
  <c r="T236" i="4"/>
  <c r="U236" i="4" s="1"/>
  <c r="O236" i="4"/>
  <c r="Q236" i="4" s="1"/>
  <c r="C236" i="4"/>
  <c r="T235" i="4"/>
  <c r="O235" i="4"/>
  <c r="V235" i="4" s="1"/>
  <c r="C235" i="4"/>
  <c r="T234" i="4"/>
  <c r="O234" i="4"/>
  <c r="V234" i="4" s="1"/>
  <c r="C234" i="4"/>
  <c r="T233" i="4"/>
  <c r="O233" i="4"/>
  <c r="Q233" i="4" s="1"/>
  <c r="C233" i="4"/>
  <c r="T232" i="4"/>
  <c r="O232" i="4"/>
  <c r="V232" i="4" s="1"/>
  <c r="C232" i="4"/>
  <c r="T231" i="4"/>
  <c r="O231" i="4"/>
  <c r="V231" i="4" s="1"/>
  <c r="C231" i="4"/>
  <c r="T230" i="4"/>
  <c r="O230" i="4"/>
  <c r="V230" i="4" s="1"/>
  <c r="C230" i="4"/>
  <c r="T229" i="4"/>
  <c r="O229" i="4"/>
  <c r="V229" i="4" s="1"/>
  <c r="C229" i="4"/>
  <c r="T228" i="4"/>
  <c r="O228" i="4"/>
  <c r="V228" i="4" s="1"/>
  <c r="C228" i="4"/>
  <c r="T227" i="4"/>
  <c r="O227" i="4"/>
  <c r="Q227" i="4" s="1"/>
  <c r="C227" i="4"/>
  <c r="T226" i="4"/>
  <c r="U226" i="4" s="1"/>
  <c r="O226" i="4"/>
  <c r="V226" i="4" s="1"/>
  <c r="C226" i="4"/>
  <c r="T225" i="4"/>
  <c r="O225" i="4"/>
  <c r="V225" i="4" s="1"/>
  <c r="C225" i="4"/>
  <c r="T224" i="4"/>
  <c r="O224" i="4"/>
  <c r="V224" i="4" s="1"/>
  <c r="C224" i="4"/>
  <c r="T223" i="4"/>
  <c r="O223" i="4"/>
  <c r="Q223" i="4" s="1"/>
  <c r="C223" i="4"/>
  <c r="T222" i="4"/>
  <c r="O222" i="4"/>
  <c r="V222" i="4" s="1"/>
  <c r="C222" i="4"/>
  <c r="T221" i="4"/>
  <c r="O221" i="4"/>
  <c r="C221" i="4"/>
  <c r="T220" i="4"/>
  <c r="O220" i="4"/>
  <c r="Q220" i="4" s="1"/>
  <c r="C220" i="4"/>
  <c r="T219" i="4"/>
  <c r="U219" i="4" s="1"/>
  <c r="Q219" i="4"/>
  <c r="O219" i="4"/>
  <c r="V219" i="4" s="1"/>
  <c r="C219" i="4"/>
  <c r="T218" i="4"/>
  <c r="O218" i="4"/>
  <c r="V218" i="4" s="1"/>
  <c r="C218" i="4"/>
  <c r="T217" i="4"/>
  <c r="O217" i="4"/>
  <c r="Q217" i="4" s="1"/>
  <c r="C217" i="4"/>
  <c r="T216" i="4"/>
  <c r="O216" i="4"/>
  <c r="Q216" i="4" s="1"/>
  <c r="C216" i="4"/>
  <c r="T215" i="4"/>
  <c r="O215" i="4"/>
  <c r="V215" i="4" s="1"/>
  <c r="C215" i="4"/>
  <c r="T214" i="4"/>
  <c r="O214" i="4"/>
  <c r="V214" i="4" s="1"/>
  <c r="C214" i="4"/>
  <c r="T213" i="4"/>
  <c r="O213" i="4"/>
  <c r="Q213" i="4" s="1"/>
  <c r="C213" i="4"/>
  <c r="T212" i="4"/>
  <c r="O212" i="4"/>
  <c r="V212" i="4" s="1"/>
  <c r="C212" i="4"/>
  <c r="T211" i="4"/>
  <c r="O211" i="4"/>
  <c r="C211" i="4"/>
  <c r="T210" i="4"/>
  <c r="O210" i="4"/>
  <c r="V210" i="4" s="1"/>
  <c r="C210" i="4"/>
  <c r="T209" i="4"/>
  <c r="O209" i="4"/>
  <c r="Q209" i="4" s="1"/>
  <c r="C209" i="4"/>
  <c r="T208" i="4"/>
  <c r="O208" i="4"/>
  <c r="V208" i="4" s="1"/>
  <c r="C208" i="4"/>
  <c r="T207" i="4"/>
  <c r="O207" i="4"/>
  <c r="Q207" i="4" s="1"/>
  <c r="C207" i="4"/>
  <c r="T206" i="4"/>
  <c r="O206" i="4"/>
  <c r="V206" i="4" s="1"/>
  <c r="C206" i="4"/>
  <c r="T205" i="4"/>
  <c r="O205" i="4"/>
  <c r="V205" i="4" s="1"/>
  <c r="C205" i="4"/>
  <c r="T204" i="4"/>
  <c r="O204" i="4"/>
  <c r="V204" i="4" s="1"/>
  <c r="C204" i="4"/>
  <c r="T203" i="4"/>
  <c r="O203" i="4"/>
  <c r="Q203" i="4" s="1"/>
  <c r="C203" i="4"/>
  <c r="T202" i="4"/>
  <c r="O202" i="4"/>
  <c r="C202" i="4"/>
  <c r="T201" i="4"/>
  <c r="O201" i="4"/>
  <c r="C201" i="4"/>
  <c r="T200" i="4"/>
  <c r="O200" i="4"/>
  <c r="V200" i="4" s="1"/>
  <c r="C200" i="4"/>
  <c r="T199" i="4"/>
  <c r="O199" i="4"/>
  <c r="V199" i="4" s="1"/>
  <c r="C199" i="4"/>
  <c r="T198" i="4"/>
  <c r="Q198" i="4"/>
  <c r="O198" i="4"/>
  <c r="V198" i="4" s="1"/>
  <c r="C198" i="4"/>
  <c r="T197" i="4"/>
  <c r="O197" i="4"/>
  <c r="Q197" i="4" s="1"/>
  <c r="C197" i="4"/>
  <c r="T196" i="4"/>
  <c r="O196" i="4"/>
  <c r="Q196" i="4" s="1"/>
  <c r="C196" i="4"/>
  <c r="T195" i="4"/>
  <c r="O195" i="4"/>
  <c r="C195" i="4"/>
  <c r="T194" i="4"/>
  <c r="O194" i="4"/>
  <c r="V194" i="4" s="1"/>
  <c r="C194" i="4"/>
  <c r="T193" i="4"/>
  <c r="O193" i="4"/>
  <c r="Q193" i="4" s="1"/>
  <c r="C193" i="4"/>
  <c r="T192" i="4"/>
  <c r="O192" i="4"/>
  <c r="V192" i="4" s="1"/>
  <c r="C192" i="4"/>
  <c r="T191" i="4"/>
  <c r="O191" i="4"/>
  <c r="C191" i="4"/>
  <c r="T190" i="4"/>
  <c r="O190" i="4"/>
  <c r="V190" i="4" s="1"/>
  <c r="C190" i="4"/>
  <c r="T189" i="4"/>
  <c r="O189" i="4"/>
  <c r="Q189" i="4" s="1"/>
  <c r="C189" i="4"/>
  <c r="T188" i="4"/>
  <c r="O188" i="4"/>
  <c r="V188" i="4" s="1"/>
  <c r="C188" i="4"/>
  <c r="T187" i="4"/>
  <c r="O187" i="4"/>
  <c r="C187" i="4"/>
  <c r="T186" i="4"/>
  <c r="O186" i="4"/>
  <c r="V186" i="4" s="1"/>
  <c r="C186" i="4"/>
  <c r="T185" i="4"/>
  <c r="O185" i="4"/>
  <c r="Q185" i="4" s="1"/>
  <c r="C185" i="4"/>
  <c r="T184" i="4"/>
  <c r="O184" i="4"/>
  <c r="V184" i="4" s="1"/>
  <c r="C184" i="4"/>
  <c r="T183" i="4"/>
  <c r="O183" i="4"/>
  <c r="Q183" i="4" s="1"/>
  <c r="C183" i="4"/>
  <c r="T182" i="4"/>
  <c r="O182" i="4"/>
  <c r="V182" i="4" s="1"/>
  <c r="C182" i="4"/>
  <c r="T181" i="4"/>
  <c r="O181" i="4"/>
  <c r="C181" i="4"/>
  <c r="T180" i="4"/>
  <c r="O180" i="4"/>
  <c r="V180" i="4" s="1"/>
  <c r="C180" i="4"/>
  <c r="T179" i="4"/>
  <c r="O179" i="4"/>
  <c r="V179" i="4" s="1"/>
  <c r="C179" i="4"/>
  <c r="T178" i="4"/>
  <c r="O178" i="4"/>
  <c r="V178" i="4" s="1"/>
  <c r="C178" i="4"/>
  <c r="T177" i="4"/>
  <c r="O177" i="4"/>
  <c r="C177" i="4"/>
  <c r="T176" i="4"/>
  <c r="O176" i="4"/>
  <c r="V176" i="4" s="1"/>
  <c r="C176" i="4"/>
  <c r="T175" i="4"/>
  <c r="O175" i="4"/>
  <c r="V175" i="4" s="1"/>
  <c r="C175" i="4"/>
  <c r="T174" i="4"/>
  <c r="O174" i="4"/>
  <c r="Q174" i="4" s="1"/>
  <c r="C174" i="4"/>
  <c r="T173" i="4"/>
  <c r="O173" i="4"/>
  <c r="Q173" i="4" s="1"/>
  <c r="C173" i="4"/>
  <c r="T172" i="4"/>
  <c r="O172" i="4"/>
  <c r="Q172" i="4" s="1"/>
  <c r="C172" i="4"/>
  <c r="T171" i="4"/>
  <c r="O171" i="4"/>
  <c r="V171" i="4" s="1"/>
  <c r="C171" i="4"/>
  <c r="T170" i="4"/>
  <c r="O170" i="4"/>
  <c r="Q170" i="4" s="1"/>
  <c r="C170" i="4"/>
  <c r="T169" i="4"/>
  <c r="O169" i="4"/>
  <c r="V169" i="4" s="1"/>
  <c r="C169" i="4"/>
  <c r="T168" i="4"/>
  <c r="O168" i="4"/>
  <c r="V168" i="4" s="1"/>
  <c r="C168" i="4"/>
  <c r="T167" i="4"/>
  <c r="O167" i="4"/>
  <c r="C167" i="4"/>
  <c r="T166" i="4"/>
  <c r="O166" i="4"/>
  <c r="Q166" i="4" s="1"/>
  <c r="C166" i="4"/>
  <c r="T165" i="4"/>
  <c r="O165" i="4"/>
  <c r="Q165" i="4" s="1"/>
  <c r="C165" i="4"/>
  <c r="T164" i="4"/>
  <c r="O164" i="4"/>
  <c r="C164" i="4"/>
  <c r="T163" i="4"/>
  <c r="O163" i="4"/>
  <c r="Q163" i="4" s="1"/>
  <c r="C163" i="4"/>
  <c r="T162" i="4"/>
  <c r="O162" i="4"/>
  <c r="V162" i="4" s="1"/>
  <c r="C162" i="4"/>
  <c r="T161" i="4"/>
  <c r="O161" i="4"/>
  <c r="V161" i="4" s="1"/>
  <c r="C161" i="4"/>
  <c r="T160" i="4"/>
  <c r="O160" i="4"/>
  <c r="V160" i="4" s="1"/>
  <c r="C160" i="4"/>
  <c r="T159" i="4"/>
  <c r="U159" i="4" s="1"/>
  <c r="O159" i="4"/>
  <c r="V159" i="4" s="1"/>
  <c r="C159" i="4"/>
  <c r="T158" i="4"/>
  <c r="U158" i="4" s="1"/>
  <c r="O158" i="4"/>
  <c r="V158" i="4" s="1"/>
  <c r="C158" i="4"/>
  <c r="T157" i="4"/>
  <c r="O157" i="4"/>
  <c r="C157" i="4"/>
  <c r="T156" i="4"/>
  <c r="O156" i="4"/>
  <c r="V156" i="4" s="1"/>
  <c r="C156" i="4"/>
  <c r="T155" i="4"/>
  <c r="O155" i="4"/>
  <c r="V155" i="4" s="1"/>
  <c r="C155" i="4"/>
  <c r="T154" i="4"/>
  <c r="O154" i="4"/>
  <c r="C154" i="4"/>
  <c r="T153" i="4"/>
  <c r="U153" i="4" s="1"/>
  <c r="O153" i="4"/>
  <c r="Q153" i="4" s="1"/>
  <c r="C153" i="4"/>
  <c r="T152" i="4"/>
  <c r="O152" i="4"/>
  <c r="V152" i="4" s="1"/>
  <c r="C152" i="4"/>
  <c r="T151" i="4"/>
  <c r="O151" i="4"/>
  <c r="V151" i="4" s="1"/>
  <c r="C151" i="4"/>
  <c r="T150" i="4"/>
  <c r="O150" i="4"/>
  <c r="V150" i="4" s="1"/>
  <c r="C150" i="4"/>
  <c r="T149" i="4"/>
  <c r="O149" i="4"/>
  <c r="Q149" i="4" s="1"/>
  <c r="C149" i="4"/>
  <c r="T148" i="4"/>
  <c r="O148" i="4"/>
  <c r="V148" i="4" s="1"/>
  <c r="C148" i="4"/>
  <c r="T147" i="4"/>
  <c r="O147" i="4"/>
  <c r="C147" i="4"/>
  <c r="T146" i="4"/>
  <c r="O146" i="4"/>
  <c r="V146" i="4" s="1"/>
  <c r="C146" i="4"/>
  <c r="T145" i="4"/>
  <c r="U145" i="4" s="1"/>
  <c r="O145" i="4"/>
  <c r="V145" i="4" s="1"/>
  <c r="C145" i="4"/>
  <c r="T144" i="4"/>
  <c r="O144" i="4"/>
  <c r="Q144" i="4" s="1"/>
  <c r="C144" i="4"/>
  <c r="T143" i="4"/>
  <c r="O143" i="4"/>
  <c r="Q143" i="4" s="1"/>
  <c r="C143" i="4"/>
  <c r="T142" i="4"/>
  <c r="O142" i="4"/>
  <c r="Q142" i="4" s="1"/>
  <c r="C142" i="4"/>
  <c r="T141" i="4"/>
  <c r="O141" i="4"/>
  <c r="V141" i="4" s="1"/>
  <c r="C141" i="4"/>
  <c r="T140" i="4"/>
  <c r="O140" i="4"/>
  <c r="V140" i="4" s="1"/>
  <c r="C140" i="4"/>
  <c r="T139" i="4"/>
  <c r="O139" i="4"/>
  <c r="V139" i="4" s="1"/>
  <c r="C139" i="4"/>
  <c r="T138" i="4"/>
  <c r="O138" i="4"/>
  <c r="V138" i="4" s="1"/>
  <c r="C138" i="4"/>
  <c r="T137" i="4"/>
  <c r="O137" i="4"/>
  <c r="C137" i="4"/>
  <c r="V136" i="4"/>
  <c r="T136" i="4"/>
  <c r="O136" i="4"/>
  <c r="Q136" i="4" s="1"/>
  <c r="C136" i="4"/>
  <c r="T135" i="4"/>
  <c r="O135" i="4"/>
  <c r="Q135" i="4" s="1"/>
  <c r="C135" i="4"/>
  <c r="T134" i="4"/>
  <c r="O134" i="4"/>
  <c r="C134" i="4"/>
  <c r="T133" i="4"/>
  <c r="O133" i="4"/>
  <c r="Q133" i="4" s="1"/>
  <c r="C133" i="4"/>
  <c r="T132" i="4"/>
  <c r="O132" i="4"/>
  <c r="V132" i="4" s="1"/>
  <c r="C132" i="4"/>
  <c r="T131" i="4"/>
  <c r="O131" i="4"/>
  <c r="V131" i="4" s="1"/>
  <c r="C131" i="4"/>
  <c r="T130" i="4"/>
  <c r="U130" i="4" s="1"/>
  <c r="O130" i="4"/>
  <c r="Q130" i="4" s="1"/>
  <c r="C130" i="4"/>
  <c r="T129" i="4"/>
  <c r="O129" i="4"/>
  <c r="V129" i="4" s="1"/>
  <c r="C129" i="4"/>
  <c r="T128" i="4"/>
  <c r="O128" i="4"/>
  <c r="V128" i="4" s="1"/>
  <c r="C128" i="4"/>
  <c r="T127" i="4"/>
  <c r="O127" i="4"/>
  <c r="C127" i="4"/>
  <c r="T126" i="4"/>
  <c r="O126" i="4"/>
  <c r="Q126" i="4" s="1"/>
  <c r="C126" i="4"/>
  <c r="T125" i="4"/>
  <c r="O125" i="4"/>
  <c r="Q125" i="4" s="1"/>
  <c r="C125" i="4"/>
  <c r="T124" i="4"/>
  <c r="O124" i="4"/>
  <c r="C124" i="4"/>
  <c r="T123" i="4"/>
  <c r="O123" i="4"/>
  <c r="Q123" i="4" s="1"/>
  <c r="C123" i="4"/>
  <c r="T122" i="4"/>
  <c r="O122" i="4"/>
  <c r="V122" i="4" s="1"/>
  <c r="C122" i="4"/>
  <c r="T121" i="4"/>
  <c r="O121" i="4"/>
  <c r="V121" i="4" s="1"/>
  <c r="C121" i="4"/>
  <c r="T120" i="4"/>
  <c r="O120" i="4"/>
  <c r="V120" i="4" s="1"/>
  <c r="C120" i="4"/>
  <c r="T119" i="4"/>
  <c r="O119" i="4"/>
  <c r="V119" i="4" s="1"/>
  <c r="C119" i="4"/>
  <c r="T118" i="4"/>
  <c r="O118" i="4"/>
  <c r="V118" i="4" s="1"/>
  <c r="C118" i="4"/>
  <c r="T117" i="4"/>
  <c r="O117" i="4"/>
  <c r="C117" i="4"/>
  <c r="T116" i="4"/>
  <c r="O116" i="4"/>
  <c r="V116" i="4" s="1"/>
  <c r="C116" i="4"/>
  <c r="T115" i="4"/>
  <c r="O115" i="4"/>
  <c r="V115" i="4" s="1"/>
  <c r="C115" i="4"/>
  <c r="T114" i="4"/>
  <c r="O114" i="4"/>
  <c r="C114" i="4"/>
  <c r="T113" i="4"/>
  <c r="O113" i="4"/>
  <c r="Q113" i="4" s="1"/>
  <c r="C113" i="4"/>
  <c r="T112" i="4"/>
  <c r="O112" i="4"/>
  <c r="V112" i="4" s="1"/>
  <c r="C112" i="4"/>
  <c r="T111" i="4"/>
  <c r="O111" i="4"/>
  <c r="V111" i="4" s="1"/>
  <c r="C111" i="4"/>
  <c r="V110" i="4"/>
  <c r="T110" i="4"/>
  <c r="U110" i="4" s="1"/>
  <c r="O110" i="4"/>
  <c r="Q110" i="4" s="1"/>
  <c r="C110" i="4"/>
  <c r="T109" i="4"/>
  <c r="O109" i="4"/>
  <c r="V109" i="4" s="1"/>
  <c r="C109" i="4"/>
  <c r="T108" i="4"/>
  <c r="U108" i="4" s="1"/>
  <c r="O108" i="4"/>
  <c r="V108" i="4" s="1"/>
  <c r="C108" i="4"/>
  <c r="T107" i="4"/>
  <c r="O107" i="4"/>
  <c r="C107" i="4"/>
  <c r="T106" i="4"/>
  <c r="O106" i="4"/>
  <c r="V106" i="4" s="1"/>
  <c r="C106" i="4"/>
  <c r="T105" i="4"/>
  <c r="O105" i="4"/>
  <c r="V105" i="4" s="1"/>
  <c r="C105" i="4"/>
  <c r="T104" i="4"/>
  <c r="O104" i="4"/>
  <c r="C104" i="4"/>
  <c r="T103" i="4"/>
  <c r="O103" i="4"/>
  <c r="Q103" i="4" s="1"/>
  <c r="C103" i="4"/>
  <c r="T102" i="4"/>
  <c r="O102" i="4"/>
  <c r="Q102" i="4" s="1"/>
  <c r="C102" i="4"/>
  <c r="T101" i="4"/>
  <c r="O101" i="4"/>
  <c r="V101" i="4" s="1"/>
  <c r="C101" i="4"/>
  <c r="T100" i="4"/>
  <c r="U100" i="4" s="1"/>
  <c r="O100" i="4"/>
  <c r="V100" i="4" s="1"/>
  <c r="C100" i="4"/>
  <c r="T99" i="4"/>
  <c r="O99" i="4"/>
  <c r="Q99" i="4" s="1"/>
  <c r="C99" i="4"/>
  <c r="T98" i="4"/>
  <c r="O98" i="4"/>
  <c r="V98" i="4" s="1"/>
  <c r="C98" i="4"/>
  <c r="T97" i="4"/>
  <c r="O97" i="4"/>
  <c r="C97" i="4"/>
  <c r="T96" i="4"/>
  <c r="O96" i="4"/>
  <c r="Q96" i="4" s="1"/>
  <c r="C96" i="4"/>
  <c r="T95" i="4"/>
  <c r="O95" i="4"/>
  <c r="Q95" i="4" s="1"/>
  <c r="C95" i="4"/>
  <c r="T94" i="4"/>
  <c r="O94" i="4"/>
  <c r="Q94" i="4" s="1"/>
  <c r="C94" i="4"/>
  <c r="T93" i="4"/>
  <c r="O93" i="4"/>
  <c r="Q93" i="4" s="1"/>
  <c r="C93" i="4"/>
  <c r="T92" i="4"/>
  <c r="O92" i="4"/>
  <c r="Q92" i="4" s="1"/>
  <c r="C92" i="4"/>
  <c r="T91" i="4"/>
  <c r="O91" i="4"/>
  <c r="V91" i="4" s="1"/>
  <c r="C91" i="4"/>
  <c r="T90" i="4"/>
  <c r="O90" i="4"/>
  <c r="Q90" i="4" s="1"/>
  <c r="C90" i="4"/>
  <c r="T89" i="4"/>
  <c r="U89" i="4" s="1"/>
  <c r="O89" i="4"/>
  <c r="V89" i="4" s="1"/>
  <c r="C89" i="4"/>
  <c r="T88" i="4"/>
  <c r="O88" i="4"/>
  <c r="V88" i="4" s="1"/>
  <c r="C88" i="4"/>
  <c r="T87" i="4"/>
  <c r="O87" i="4"/>
  <c r="Q87" i="4" s="1"/>
  <c r="C87" i="4"/>
  <c r="T86" i="4"/>
  <c r="O86" i="4"/>
  <c r="Q86" i="4" s="1"/>
  <c r="C86" i="4"/>
  <c r="T85" i="4"/>
  <c r="O85" i="4"/>
  <c r="V85" i="4" s="1"/>
  <c r="C85" i="4"/>
  <c r="T84" i="4"/>
  <c r="O84" i="4"/>
  <c r="Q84" i="4" s="1"/>
  <c r="C84" i="4"/>
  <c r="T83" i="4"/>
  <c r="O83" i="4"/>
  <c r="Q83" i="4" s="1"/>
  <c r="C83" i="4"/>
  <c r="T82" i="4"/>
  <c r="O82" i="4"/>
  <c r="V82" i="4" s="1"/>
  <c r="C82" i="4"/>
  <c r="T81" i="4"/>
  <c r="O81" i="4"/>
  <c r="V81" i="4" s="1"/>
  <c r="C81" i="4"/>
  <c r="T80" i="4"/>
  <c r="O80" i="4"/>
  <c r="V80" i="4" s="1"/>
  <c r="C80" i="4"/>
  <c r="T79" i="4"/>
  <c r="O79" i="4"/>
  <c r="V79" i="4" s="1"/>
  <c r="C79" i="4"/>
  <c r="T78" i="4"/>
  <c r="O78" i="4"/>
  <c r="V78" i="4" s="1"/>
  <c r="C78" i="4"/>
  <c r="T77" i="4"/>
  <c r="O77" i="4"/>
  <c r="Q77" i="4" s="1"/>
  <c r="C77" i="4"/>
  <c r="T76" i="4"/>
  <c r="O76" i="4"/>
  <c r="V76" i="4" s="1"/>
  <c r="C76" i="4"/>
  <c r="T75" i="4"/>
  <c r="O75" i="4"/>
  <c r="V75" i="4" s="1"/>
  <c r="C75" i="4"/>
  <c r="T74" i="4"/>
  <c r="O74" i="4"/>
  <c r="C74" i="4"/>
  <c r="T73" i="4"/>
  <c r="O73" i="4"/>
  <c r="Q73" i="4" s="1"/>
  <c r="C73" i="4"/>
  <c r="T72" i="4"/>
  <c r="O72" i="4"/>
  <c r="V72" i="4" s="1"/>
  <c r="C72" i="4"/>
  <c r="T71" i="4"/>
  <c r="O71" i="4"/>
  <c r="V71" i="4" s="1"/>
  <c r="C71" i="4"/>
  <c r="T70" i="4"/>
  <c r="O70" i="4"/>
  <c r="Q70" i="4" s="1"/>
  <c r="C70" i="4"/>
  <c r="T69" i="4"/>
  <c r="O69" i="4"/>
  <c r="V69" i="4" s="1"/>
  <c r="C69" i="4"/>
  <c r="T68" i="4"/>
  <c r="O68" i="4"/>
  <c r="V68" i="4" s="1"/>
  <c r="C68" i="4"/>
  <c r="T67" i="4"/>
  <c r="O67" i="4"/>
  <c r="C67" i="4"/>
  <c r="T66" i="4"/>
  <c r="O66" i="4"/>
  <c r="V66" i="4" s="1"/>
  <c r="C66" i="4"/>
  <c r="T65" i="4"/>
  <c r="O65" i="4"/>
  <c r="V65" i="4" s="1"/>
  <c r="C65" i="4"/>
  <c r="T64" i="4"/>
  <c r="O64" i="4"/>
  <c r="C64" i="4"/>
  <c r="T63" i="4"/>
  <c r="O63" i="4"/>
  <c r="Q63" i="4" s="1"/>
  <c r="C63" i="4"/>
  <c r="T62" i="4"/>
  <c r="O62" i="4"/>
  <c r="V62" i="4" s="1"/>
  <c r="C62" i="4"/>
  <c r="T61" i="4"/>
  <c r="O61" i="4"/>
  <c r="Q61" i="4" s="1"/>
  <c r="C61" i="4"/>
  <c r="T60" i="4"/>
  <c r="U60" i="4" s="1"/>
  <c r="O60" i="4"/>
  <c r="Q60" i="4" s="1"/>
  <c r="C60" i="4"/>
  <c r="T59" i="4"/>
  <c r="O59" i="4"/>
  <c r="V59" i="4" s="1"/>
  <c r="C59" i="4"/>
  <c r="T58" i="4"/>
  <c r="O58" i="4"/>
  <c r="V58" i="4" s="1"/>
  <c r="C58" i="4"/>
  <c r="T57" i="4"/>
  <c r="O57" i="4"/>
  <c r="Q57" i="4" s="1"/>
  <c r="C57" i="4"/>
  <c r="T56" i="4"/>
  <c r="O56" i="4"/>
  <c r="V56" i="4" s="1"/>
  <c r="C56" i="4"/>
  <c r="T55" i="4"/>
  <c r="O55" i="4"/>
  <c r="V55" i="4" s="1"/>
  <c r="C55" i="4"/>
  <c r="T54" i="4"/>
  <c r="O54" i="4"/>
  <c r="V54" i="4" s="1"/>
  <c r="C54" i="4"/>
  <c r="T53" i="4"/>
  <c r="O53" i="4"/>
  <c r="V53" i="4" s="1"/>
  <c r="C53" i="4"/>
  <c r="V52" i="4"/>
  <c r="T52" i="4"/>
  <c r="O52" i="4"/>
  <c r="Q52" i="4" s="1"/>
  <c r="C52" i="4"/>
  <c r="T51" i="4"/>
  <c r="O51" i="4"/>
  <c r="V51" i="4" s="1"/>
  <c r="C51" i="4"/>
  <c r="T50" i="4"/>
  <c r="O50" i="4"/>
  <c r="V50" i="4" s="1"/>
  <c r="C50" i="4"/>
  <c r="T49" i="4"/>
  <c r="O49" i="4"/>
  <c r="Q49" i="4" s="1"/>
  <c r="C49" i="4"/>
  <c r="T48" i="4"/>
  <c r="O48" i="4"/>
  <c r="V48" i="4" s="1"/>
  <c r="C48" i="4"/>
  <c r="T47" i="4"/>
  <c r="O47" i="4"/>
  <c r="V47" i="4" s="1"/>
  <c r="C47" i="4"/>
  <c r="T46" i="4"/>
  <c r="O46" i="4"/>
  <c r="Q46" i="4" s="1"/>
  <c r="C46" i="4"/>
  <c r="V45" i="4"/>
  <c r="T45" i="4"/>
  <c r="O45" i="4"/>
  <c r="Q45" i="4" s="1"/>
  <c r="C45" i="4"/>
  <c r="T44" i="4"/>
  <c r="O44" i="4"/>
  <c r="C44" i="4"/>
  <c r="T43" i="4"/>
  <c r="O43" i="4"/>
  <c r="V43" i="4" s="1"/>
  <c r="C43" i="4"/>
  <c r="T42" i="4"/>
  <c r="O42" i="4"/>
  <c r="Q42" i="4" s="1"/>
  <c r="C42" i="4"/>
  <c r="T41" i="4"/>
  <c r="O41" i="4"/>
  <c r="V41" i="4" s="1"/>
  <c r="C41" i="4"/>
  <c r="T40" i="4"/>
  <c r="O40" i="4"/>
  <c r="V40" i="4" s="1"/>
  <c r="C40" i="4"/>
  <c r="T39" i="4"/>
  <c r="O39" i="4"/>
  <c r="V39" i="4" s="1"/>
  <c r="C39" i="4"/>
  <c r="T38" i="4"/>
  <c r="O38" i="4"/>
  <c r="Q38" i="4" s="1"/>
  <c r="C38" i="4"/>
  <c r="T37" i="4"/>
  <c r="O37" i="4"/>
  <c r="V37" i="4" s="1"/>
  <c r="C37" i="4"/>
  <c r="T36" i="4"/>
  <c r="O36" i="4"/>
  <c r="Q36" i="4" s="1"/>
  <c r="C36" i="4"/>
  <c r="T35" i="4"/>
  <c r="O35" i="4"/>
  <c r="V35" i="4" s="1"/>
  <c r="C35" i="4"/>
  <c r="T34" i="4"/>
  <c r="O34" i="4"/>
  <c r="C34" i="4"/>
  <c r="T33" i="4"/>
  <c r="O33" i="4"/>
  <c r="V33" i="4" s="1"/>
  <c r="C33" i="4"/>
  <c r="T32" i="4"/>
  <c r="O32" i="4"/>
  <c r="Q32" i="4" s="1"/>
  <c r="C32" i="4"/>
  <c r="T31" i="4"/>
  <c r="O31" i="4"/>
  <c r="C31" i="4"/>
  <c r="T30" i="4"/>
  <c r="O30" i="4"/>
  <c r="Q30" i="4" s="1"/>
  <c r="C30" i="4"/>
  <c r="T29" i="4"/>
  <c r="O29" i="4"/>
  <c r="V29" i="4" s="1"/>
  <c r="C29" i="4"/>
  <c r="T28" i="4"/>
  <c r="O28" i="4"/>
  <c r="Q28" i="4" s="1"/>
  <c r="C28" i="4"/>
  <c r="T27" i="4"/>
  <c r="O27" i="4"/>
  <c r="V27" i="4" s="1"/>
  <c r="C27" i="4"/>
  <c r="T26" i="4"/>
  <c r="O26" i="4"/>
  <c r="Q26" i="4" s="1"/>
  <c r="C26" i="4"/>
  <c r="T25" i="4"/>
  <c r="O25" i="4"/>
  <c r="Q25" i="4" s="1"/>
  <c r="C25" i="4"/>
  <c r="T24" i="4"/>
  <c r="O24" i="4"/>
  <c r="V24" i="4" s="1"/>
  <c r="C24" i="4"/>
  <c r="T23" i="4"/>
  <c r="O23" i="4"/>
  <c r="V23" i="4" s="1"/>
  <c r="C23" i="4"/>
  <c r="T22" i="4"/>
  <c r="O22" i="4"/>
  <c r="Q22" i="4" s="1"/>
  <c r="C22" i="4"/>
  <c r="T21" i="4"/>
  <c r="O21" i="4"/>
  <c r="C21" i="4"/>
  <c r="T20" i="4"/>
  <c r="O20" i="4"/>
  <c r="V20" i="4" s="1"/>
  <c r="C20" i="4"/>
  <c r="T19" i="4"/>
  <c r="O19" i="4"/>
  <c r="V19" i="4" s="1"/>
  <c r="C19" i="4"/>
  <c r="T18" i="4"/>
  <c r="O18" i="4"/>
  <c r="Q18" i="4" s="1"/>
  <c r="C18" i="4"/>
  <c r="T17" i="4"/>
  <c r="O17" i="4"/>
  <c r="V17" i="4" s="1"/>
  <c r="C17" i="4"/>
  <c r="T16" i="4"/>
  <c r="O16" i="4"/>
  <c r="Q16" i="4" s="1"/>
  <c r="C16" i="4"/>
  <c r="T15" i="4"/>
  <c r="O15" i="4"/>
  <c r="V15" i="4" s="1"/>
  <c r="C15" i="4"/>
  <c r="T14" i="4"/>
  <c r="O14" i="4"/>
  <c r="V14" i="4" s="1"/>
  <c r="C14" i="4"/>
  <c r="T13" i="4"/>
  <c r="O13" i="4"/>
  <c r="V13" i="4" s="1"/>
  <c r="C13" i="4"/>
  <c r="T12" i="4"/>
  <c r="O12" i="4"/>
  <c r="Q12" i="4" s="1"/>
  <c r="C12" i="4"/>
  <c r="T11" i="4"/>
  <c r="O11" i="4"/>
  <c r="C11" i="4"/>
  <c r="T10" i="4"/>
  <c r="O10" i="4"/>
  <c r="V10" i="4" s="1"/>
  <c r="C10" i="4"/>
  <c r="T9" i="4"/>
  <c r="O9" i="4"/>
  <c r="V9" i="4" s="1"/>
  <c r="C9" i="4"/>
  <c r="T8" i="4"/>
  <c r="O8" i="4"/>
  <c r="V8" i="4" s="1"/>
  <c r="C8" i="4"/>
  <c r="T7" i="4"/>
  <c r="O7" i="4"/>
  <c r="Q7" i="4" s="1"/>
  <c r="C7" i="4"/>
  <c r="T6" i="4"/>
  <c r="O6" i="4"/>
  <c r="Q6" i="4" s="1"/>
  <c r="C6" i="4"/>
  <c r="T5" i="4"/>
  <c r="O5" i="4"/>
  <c r="V5" i="4" s="1"/>
  <c r="C5" i="4"/>
  <c r="T4" i="4"/>
  <c r="O4" i="4"/>
  <c r="V4" i="4" s="1"/>
  <c r="C4" i="4"/>
  <c r="T3" i="4"/>
  <c r="O3" i="4"/>
  <c r="V3" i="4" s="1"/>
  <c r="C3" i="4"/>
  <c r="T2" i="4"/>
  <c r="O2" i="4"/>
  <c r="Q2" i="4" s="1"/>
  <c r="C2" i="4"/>
  <c r="Q55" i="4" l="1"/>
  <c r="U49" i="4"/>
  <c r="U148" i="4"/>
  <c r="U200" i="4"/>
  <c r="U210" i="4"/>
  <c r="V249" i="4"/>
  <c r="Q27" i="4"/>
  <c r="U103" i="4"/>
  <c r="U142" i="4"/>
  <c r="U181" i="4"/>
  <c r="Q263" i="4"/>
  <c r="W263" i="4" s="1"/>
  <c r="U116" i="4"/>
  <c r="V165" i="4"/>
  <c r="U263" i="4"/>
  <c r="V63" i="4"/>
  <c r="W63" i="4" s="1"/>
  <c r="V86" i="4"/>
  <c r="V92" i="4"/>
  <c r="V95" i="4"/>
  <c r="U140" i="4"/>
  <c r="U150" i="4"/>
  <c r="V153" i="4"/>
  <c r="W153" i="4" s="1"/>
  <c r="U163" i="4"/>
  <c r="U235" i="4"/>
  <c r="U251" i="4"/>
  <c r="U173" i="4"/>
  <c r="U86" i="4"/>
  <c r="Q101" i="4"/>
  <c r="U63" i="4"/>
  <c r="Q66" i="4"/>
  <c r="V209" i="4"/>
  <c r="Q229" i="4"/>
  <c r="W229" i="4" s="1"/>
  <c r="U232" i="4"/>
  <c r="U273" i="4"/>
  <c r="Q39" i="4"/>
  <c r="U42" i="4"/>
  <c r="U52" i="4"/>
  <c r="Q208" i="4"/>
  <c r="U220" i="4"/>
  <c r="Q255" i="4"/>
  <c r="W255" i="4" s="1"/>
  <c r="U274" i="4"/>
  <c r="U230" i="4"/>
  <c r="Q240" i="4"/>
  <c r="W240" i="4" s="1"/>
  <c r="Q81" i="4"/>
  <c r="U90" i="4"/>
  <c r="Q206" i="4"/>
  <c r="W206" i="4" s="1"/>
  <c r="U265" i="4"/>
  <c r="U78" i="4"/>
  <c r="U109" i="4"/>
  <c r="U206" i="4"/>
  <c r="V125" i="4"/>
  <c r="U209" i="4"/>
  <c r="V18" i="4"/>
  <c r="U12" i="4"/>
  <c r="Q59" i="4"/>
  <c r="V70" i="4"/>
  <c r="W70" i="4" s="1"/>
  <c r="U257" i="4"/>
  <c r="W219" i="4"/>
  <c r="U123" i="4"/>
  <c r="Q76" i="4"/>
  <c r="W76" i="4" s="1"/>
  <c r="V102" i="4"/>
  <c r="W102" i="4" s="1"/>
  <c r="U136" i="4"/>
  <c r="U139" i="4"/>
  <c r="U160" i="4"/>
  <c r="Q182" i="4"/>
  <c r="W182" i="4" s="1"/>
  <c r="U185" i="4"/>
  <c r="U216" i="4"/>
  <c r="Q258" i="4"/>
  <c r="W258" i="4" s="1"/>
  <c r="U261" i="4"/>
  <c r="Q266" i="4"/>
  <c r="W266" i="4" s="1"/>
  <c r="U272" i="4"/>
  <c r="U70" i="4"/>
  <c r="U76" i="4"/>
  <c r="U79" i="4"/>
  <c r="Q85" i="4"/>
  <c r="W85" i="4" s="1"/>
  <c r="U258" i="4"/>
  <c r="V261" i="4"/>
  <c r="W261" i="4" s="1"/>
  <c r="U266" i="4"/>
  <c r="Q140" i="4"/>
  <c r="W140" i="4" s="1"/>
  <c r="Q186" i="4"/>
  <c r="W186" i="4" s="1"/>
  <c r="U59" i="4"/>
  <c r="U62" i="4"/>
  <c r="Q68" i="4"/>
  <c r="Q19" i="4"/>
  <c r="V38" i="4"/>
  <c r="U77" i="4"/>
  <c r="Q80" i="4"/>
  <c r="W80" i="4" s="1"/>
  <c r="W86" i="4"/>
  <c r="Q106" i="4"/>
  <c r="W106" i="4" s="1"/>
  <c r="U115" i="4"/>
  <c r="U118" i="4"/>
  <c r="U143" i="4"/>
  <c r="Q146" i="4"/>
  <c r="W146" i="4" s="1"/>
  <c r="U149" i="4"/>
  <c r="U183" i="4"/>
  <c r="U196" i="4"/>
  <c r="Q254" i="4"/>
  <c r="W254" i="4" s="1"/>
  <c r="U259" i="4"/>
  <c r="U270" i="4"/>
  <c r="U2" i="4"/>
  <c r="U19" i="4"/>
  <c r="U32" i="4"/>
  <c r="U80" i="4"/>
  <c r="V103" i="4"/>
  <c r="W103" i="4" s="1"/>
  <c r="U106" i="4"/>
  <c r="V143" i="4"/>
  <c r="W143" i="4" s="1"/>
  <c r="V149" i="4"/>
  <c r="W149" i="4" s="1"/>
  <c r="U193" i="4"/>
  <c r="V196" i="4"/>
  <c r="U199" i="4"/>
  <c r="U239" i="4"/>
  <c r="U122" i="4"/>
  <c r="U125" i="4"/>
  <c r="U162" i="4"/>
  <c r="U165" i="4"/>
  <c r="Q168" i="4"/>
  <c r="Q257" i="4"/>
  <c r="W257" i="4" s="1"/>
  <c r="W196" i="4"/>
  <c r="U29" i="4"/>
  <c r="W45" i="4"/>
  <c r="Q132" i="4"/>
  <c r="U135" i="4"/>
  <c r="V189" i="4"/>
  <c r="U213" i="4"/>
  <c r="U225" i="4"/>
  <c r="W230" i="4"/>
  <c r="U243" i="4"/>
  <c r="Q15" i="4"/>
  <c r="W15" i="4" s="1"/>
  <c r="U36" i="4"/>
  <c r="W39" i="4"/>
  <c r="U126" i="4"/>
  <c r="U132" i="4"/>
  <c r="Q155" i="4"/>
  <c r="Q160" i="4"/>
  <c r="W160" i="4" s="1"/>
  <c r="U167" i="4"/>
  <c r="U170" i="4"/>
  <c r="V173" i="4"/>
  <c r="W173" i="4" s="1"/>
  <c r="Q176" i="4"/>
  <c r="W176" i="4" s="1"/>
  <c r="Q200" i="4"/>
  <c r="W200" i="4" s="1"/>
  <c r="U222" i="4"/>
  <c r="Q228" i="4"/>
  <c r="Q230" i="4"/>
  <c r="V243" i="4"/>
  <c r="V251" i="4"/>
  <c r="W251" i="4" s="1"/>
  <c r="U254" i="4"/>
  <c r="V126" i="4"/>
  <c r="W126" i="4" s="1"/>
  <c r="U176" i="4"/>
  <c r="U9" i="4"/>
  <c r="U21" i="4"/>
  <c r="U24" i="4"/>
  <c r="U30" i="4"/>
  <c r="U39" i="4"/>
  <c r="U68" i="4"/>
  <c r="U92" i="4"/>
  <c r="U95" i="4"/>
  <c r="U113" i="4"/>
  <c r="Q116" i="4"/>
  <c r="W116" i="4" s="1"/>
  <c r="V185" i="4"/>
  <c r="U190" i="4"/>
  <c r="V193" i="4"/>
  <c r="U211" i="4"/>
  <c r="U217" i="4"/>
  <c r="Q226" i="4"/>
  <c r="W226" i="4" s="1"/>
  <c r="Q239" i="4"/>
  <c r="W239" i="4" s="1"/>
  <c r="U241" i="4"/>
  <c r="U34" i="4"/>
  <c r="W66" i="4"/>
  <c r="W165" i="4"/>
  <c r="W136" i="4"/>
  <c r="Q156" i="4"/>
  <c r="W156" i="4" s="1"/>
  <c r="V163" i="4"/>
  <c r="W163" i="4" s="1"/>
  <c r="U177" i="4"/>
  <c r="U269" i="4"/>
  <c r="U28" i="4"/>
  <c r="V46" i="4"/>
  <c r="W46" i="4" s="1"/>
  <c r="U55" i="4"/>
  <c r="U58" i="4"/>
  <c r="U66" i="4"/>
  <c r="Q75" i="4"/>
  <c r="Q109" i="4"/>
  <c r="W109" i="4" s="1"/>
  <c r="U156" i="4"/>
  <c r="Q194" i="4"/>
  <c r="W194" i="4" s="1"/>
  <c r="Q199" i="4"/>
  <c r="W199" i="4" s="1"/>
  <c r="U201" i="4"/>
  <c r="U207" i="4"/>
  <c r="U215" i="4"/>
  <c r="U231" i="4"/>
  <c r="U237" i="4"/>
  <c r="U255" i="4"/>
  <c r="U22" i="4"/>
  <c r="U61" i="4"/>
  <c r="U75" i="4"/>
  <c r="Q88" i="4"/>
  <c r="V90" i="4"/>
  <c r="W90" i="4" s="1"/>
  <c r="U99" i="4"/>
  <c r="W125" i="4"/>
  <c r="Q151" i="4"/>
  <c r="W151" i="4" s="1"/>
  <c r="U166" i="4"/>
  <c r="U172" i="4"/>
  <c r="U212" i="4"/>
  <c r="U229" i="4"/>
  <c r="Q248" i="4"/>
  <c r="Q260" i="4"/>
  <c r="W260" i="4" s="1"/>
  <c r="Q267" i="4"/>
  <c r="W267" i="4" s="1"/>
  <c r="V28" i="4"/>
  <c r="W28" i="4" s="1"/>
  <c r="U4" i="4"/>
  <c r="U11" i="4"/>
  <c r="U38" i="4"/>
  <c r="U50" i="4"/>
  <c r="V61" i="4"/>
  <c r="U83" i="4"/>
  <c r="U88" i="4"/>
  <c r="V96" i="4"/>
  <c r="W96" i="4" s="1"/>
  <c r="V99" i="4"/>
  <c r="W99" i="4" s="1"/>
  <c r="U120" i="4"/>
  <c r="V166" i="4"/>
  <c r="W166" i="4" s="1"/>
  <c r="Q184" i="4"/>
  <c r="W184" i="4" s="1"/>
  <c r="U205" i="4"/>
  <c r="Q210" i="4"/>
  <c r="W210" i="4" s="1"/>
  <c r="U227" i="4"/>
  <c r="U260" i="4"/>
  <c r="U267" i="4"/>
  <c r="W132" i="4"/>
  <c r="U189" i="4"/>
  <c r="V273" i="4"/>
  <c r="W273" i="4" s="1"/>
  <c r="W18" i="4"/>
  <c r="V49" i="4"/>
  <c r="W49" i="4" s="1"/>
  <c r="V130" i="4"/>
  <c r="W130" i="4" s="1"/>
  <c r="V170" i="4"/>
  <c r="W170" i="4" s="1"/>
  <c r="V172" i="4"/>
  <c r="W172" i="4" s="1"/>
  <c r="U40" i="4"/>
  <c r="W209" i="4"/>
  <c r="U6" i="4"/>
  <c r="U16" i="4"/>
  <c r="W92" i="4"/>
  <c r="Q9" i="4"/>
  <c r="W9" i="4" s="1"/>
  <c r="U14" i="4"/>
  <c r="U26" i="4"/>
  <c r="U31" i="4"/>
  <c r="W38" i="4"/>
  <c r="Q48" i="4"/>
  <c r="W48" i="4" s="1"/>
  <c r="W55" i="4"/>
  <c r="V60" i="4"/>
  <c r="W60" i="4" s="1"/>
  <c r="V77" i="4"/>
  <c r="W77" i="4" s="1"/>
  <c r="W110" i="4"/>
  <c r="Q118" i="4"/>
  <c r="W118" i="4" s="1"/>
  <c r="Q120" i="4"/>
  <c r="W120" i="4" s="1"/>
  <c r="Q129" i="4"/>
  <c r="W129" i="4" s="1"/>
  <c r="U138" i="4"/>
  <c r="U151" i="4"/>
  <c r="Q169" i="4"/>
  <c r="W169" i="4" s="1"/>
  <c r="U175" i="4"/>
  <c r="Q180" i="4"/>
  <c r="W180" i="4" s="1"/>
  <c r="U182" i="4"/>
  <c r="Q214" i="4"/>
  <c r="W214" i="4" s="1"/>
  <c r="V216" i="4"/>
  <c r="W216" i="4" s="1"/>
  <c r="V220" i="4"/>
  <c r="W220" i="4" s="1"/>
  <c r="Q234" i="4"/>
  <c r="W234" i="4" s="1"/>
  <c r="V236" i="4"/>
  <c r="W236" i="4" s="1"/>
  <c r="W243" i="4"/>
  <c r="Q245" i="4"/>
  <c r="W245" i="4" s="1"/>
  <c r="V269" i="4"/>
  <c r="U48" i="4"/>
  <c r="U73" i="4"/>
  <c r="V113" i="4"/>
  <c r="W113" i="4" s="1"/>
  <c r="U129" i="4"/>
  <c r="U133" i="4"/>
  <c r="U169" i="4"/>
  <c r="U203" i="4"/>
  <c r="W208" i="4"/>
  <c r="U223" i="4"/>
  <c r="W228" i="4"/>
  <c r="U245" i="4"/>
  <c r="U7" i="4"/>
  <c r="Q17" i="4"/>
  <c r="W17" i="4" s="1"/>
  <c r="W27" i="4"/>
  <c r="Q29" i="4"/>
  <c r="W29" i="4" s="1"/>
  <c r="U44" i="4"/>
  <c r="U46" i="4"/>
  <c r="W59" i="4"/>
  <c r="V73" i="4"/>
  <c r="W73" i="4" s="1"/>
  <c r="U93" i="4"/>
  <c r="Q100" i="4"/>
  <c r="W100" i="4" s="1"/>
  <c r="V133" i="4"/>
  <c r="W133" i="4" s="1"/>
  <c r="Q159" i="4"/>
  <c r="W159" i="4" s="1"/>
  <c r="U180" i="4"/>
  <c r="V203" i="4"/>
  <c r="W203" i="4" s="1"/>
  <c r="V223" i="4"/>
  <c r="W223" i="4" s="1"/>
  <c r="W249" i="4"/>
  <c r="Q252" i="4"/>
  <c r="W252" i="4" s="1"/>
  <c r="Q256" i="4"/>
  <c r="W256" i="4" s="1"/>
  <c r="Q262" i="4"/>
  <c r="W262" i="4" s="1"/>
  <c r="Q264" i="4"/>
  <c r="W264" i="4" s="1"/>
  <c r="Q274" i="4"/>
  <c r="W274" i="4" s="1"/>
  <c r="V93" i="4"/>
  <c r="W93" i="4" s="1"/>
  <c r="U102" i="4"/>
  <c r="Q139" i="4"/>
  <c r="W139" i="4" s="1"/>
  <c r="Q148" i="4"/>
  <c r="W148" i="4" s="1"/>
  <c r="Q150" i="4"/>
  <c r="W150" i="4" s="1"/>
  <c r="U152" i="4"/>
  <c r="W155" i="4"/>
  <c r="Q190" i="4"/>
  <c r="W190" i="4" s="1"/>
  <c r="U221" i="4"/>
  <c r="W248" i="4"/>
  <c r="U252" i="4"/>
  <c r="U262" i="4"/>
  <c r="Q270" i="4"/>
  <c r="W270" i="4" s="1"/>
  <c r="Q272" i="4"/>
  <c r="W272" i="4" s="1"/>
  <c r="U71" i="4"/>
  <c r="U264" i="4"/>
  <c r="U17" i="4"/>
  <c r="Q5" i="4"/>
  <c r="W5" i="4" s="1"/>
  <c r="U15" i="4"/>
  <c r="V2" i="4"/>
  <c r="W2" i="4" s="1"/>
  <c r="U25" i="4"/>
  <c r="U69" i="4"/>
  <c r="U85" i="4"/>
  <c r="Q119" i="4"/>
  <c r="W119" i="4" s="1"/>
  <c r="V123" i="4"/>
  <c r="W123" i="4" s="1"/>
  <c r="U155" i="4"/>
  <c r="Q179" i="4"/>
  <c r="W179" i="4" s="1"/>
  <c r="V183" i="4"/>
  <c r="W183" i="4" s="1"/>
  <c r="U195" i="4"/>
  <c r="U197" i="4"/>
  <c r="Q204" i="4"/>
  <c r="W204" i="4" s="1"/>
  <c r="Q224" i="4"/>
  <c r="W224" i="4" s="1"/>
  <c r="W244" i="4"/>
  <c r="Q246" i="4"/>
  <c r="W246" i="4" s="1"/>
  <c r="U250" i="4"/>
  <c r="V12" i="4"/>
  <c r="W12" i="4" s="1"/>
  <c r="V22" i="4"/>
  <c r="W22" i="4" s="1"/>
  <c r="Q35" i="4"/>
  <c r="W35" i="4" s="1"/>
  <c r="V25" i="4"/>
  <c r="W25" i="4" s="1"/>
  <c r="Q47" i="4"/>
  <c r="W47" i="4" s="1"/>
  <c r="U119" i="4"/>
  <c r="U146" i="4"/>
  <c r="U179" i="4"/>
  <c r="U233" i="4"/>
  <c r="U246" i="4"/>
  <c r="U248" i="4"/>
  <c r="W19" i="4"/>
  <c r="U27" i="4"/>
  <c r="Q37" i="4"/>
  <c r="W37" i="4" s="1"/>
  <c r="U5" i="4"/>
  <c r="Q8" i="4"/>
  <c r="W8" i="4" s="1"/>
  <c r="U37" i="4"/>
  <c r="U8" i="4"/>
  <c r="U10" i="4"/>
  <c r="V32" i="4"/>
  <c r="W32" i="4" s="1"/>
  <c r="U35" i="4"/>
  <c r="U18" i="4"/>
  <c r="U20" i="4"/>
  <c r="V42" i="4"/>
  <c r="W42" i="4" s="1"/>
  <c r="U45" i="4"/>
  <c r="U47" i="4"/>
  <c r="Q62" i="4"/>
  <c r="W62" i="4" s="1"/>
  <c r="U72" i="4"/>
  <c r="Q79" i="4"/>
  <c r="W79" i="4" s="1"/>
  <c r="V83" i="4"/>
  <c r="W83" i="4" s="1"/>
  <c r="U96" i="4"/>
  <c r="U128" i="4"/>
  <c r="U137" i="4"/>
  <c r="Q158" i="4"/>
  <c r="W158" i="4" s="1"/>
  <c r="Q162" i="4"/>
  <c r="W162" i="4" s="1"/>
  <c r="U168" i="4"/>
  <c r="U186" i="4"/>
  <c r="W198" i="4"/>
  <c r="V213" i="4"/>
  <c r="W213" i="4" s="1"/>
  <c r="Q218" i="4"/>
  <c r="W218" i="4" s="1"/>
  <c r="V233" i="4"/>
  <c r="W233" i="4" s="1"/>
  <c r="Q238" i="4"/>
  <c r="W238" i="4" s="1"/>
  <c r="Q253" i="4"/>
  <c r="W253" i="4" s="1"/>
  <c r="W52" i="4"/>
  <c r="Q20" i="4"/>
  <c r="W20" i="4" s="1"/>
  <c r="V31" i="4"/>
  <c r="V6" i="4"/>
  <c r="W6" i="4" s="1"/>
  <c r="V16" i="4"/>
  <c r="W16" i="4" s="1"/>
  <c r="V26" i="4"/>
  <c r="W26" i="4" s="1"/>
  <c r="V36" i="4"/>
  <c r="W36" i="4" s="1"/>
  <c r="U121" i="4"/>
  <c r="V135" i="4"/>
  <c r="W135" i="4" s="1"/>
  <c r="V142" i="4"/>
  <c r="W142" i="4" s="1"/>
  <c r="Q167" i="4"/>
  <c r="V167" i="4"/>
  <c r="W167" i="4" s="1"/>
  <c r="V174" i="4"/>
  <c r="W174" i="4" s="1"/>
  <c r="U174" i="4"/>
  <c r="Q187" i="4"/>
  <c r="V187" i="4"/>
  <c r="W61" i="4"/>
  <c r="Q97" i="4"/>
  <c r="V97" i="4"/>
  <c r="V104" i="4"/>
  <c r="U104" i="4"/>
  <c r="W185" i="4"/>
  <c r="U187" i="4"/>
  <c r="Q11" i="4"/>
  <c r="Q21" i="4"/>
  <c r="Q31" i="4"/>
  <c r="Q41" i="4"/>
  <c r="W41" i="4" s="1"/>
  <c r="Q51" i="4"/>
  <c r="W51" i="4" s="1"/>
  <c r="Q65" i="4"/>
  <c r="W65" i="4" s="1"/>
  <c r="Q82" i="4"/>
  <c r="W82" i="4" s="1"/>
  <c r="W95" i="4"/>
  <c r="U97" i="4"/>
  <c r="Q104" i="4"/>
  <c r="Q111" i="4"/>
  <c r="W111" i="4" s="1"/>
  <c r="Q127" i="4"/>
  <c r="V127" i="4"/>
  <c r="W127" i="4" s="1"/>
  <c r="V134" i="4"/>
  <c r="U134" i="4"/>
  <c r="Q178" i="4"/>
  <c r="W178" i="4" s="1"/>
  <c r="V191" i="4"/>
  <c r="Q191" i="4"/>
  <c r="V202" i="4"/>
  <c r="Q202" i="4"/>
  <c r="Q4" i="4"/>
  <c r="W4" i="4" s="1"/>
  <c r="Q14" i="4"/>
  <c r="W14" i="4" s="1"/>
  <c r="Q24" i="4"/>
  <c r="W24" i="4" s="1"/>
  <c r="Q34" i="4"/>
  <c r="Q44" i="4"/>
  <c r="Q54" i="4"/>
  <c r="W54" i="4" s="1"/>
  <c r="Q72" i="4"/>
  <c r="W72" i="4" s="1"/>
  <c r="U87" i="4"/>
  <c r="Q89" i="4"/>
  <c r="W89" i="4" s="1"/>
  <c r="V94" i="4"/>
  <c r="W94" i="4" s="1"/>
  <c r="U94" i="4"/>
  <c r="Q108" i="4"/>
  <c r="W108" i="4" s="1"/>
  <c r="U111" i="4"/>
  <c r="Q115" i="4"/>
  <c r="W115" i="4" s="1"/>
  <c r="Q122" i="4"/>
  <c r="W122" i="4" s="1"/>
  <c r="U127" i="4"/>
  <c r="Q134" i="4"/>
  <c r="Q141" i="4"/>
  <c r="W141" i="4" s="1"/>
  <c r="Q157" i="4"/>
  <c r="V157" i="4"/>
  <c r="V164" i="4"/>
  <c r="U164" i="4"/>
  <c r="W189" i="4"/>
  <c r="U191" i="4"/>
  <c r="W193" i="4"/>
  <c r="U41" i="4"/>
  <c r="U51" i="4"/>
  <c r="U57" i="4"/>
  <c r="U65" i="4"/>
  <c r="U67" i="4"/>
  <c r="Q67" i="4"/>
  <c r="W75" i="4"/>
  <c r="U82" i="4"/>
  <c r="V84" i="4"/>
  <c r="W84" i="4" s="1"/>
  <c r="U84" i="4"/>
  <c r="V87" i="4"/>
  <c r="W87" i="4" s="1"/>
  <c r="W101" i="4"/>
  <c r="Q138" i="4"/>
  <c r="W138" i="4" s="1"/>
  <c r="U141" i="4"/>
  <c r="Q145" i="4"/>
  <c r="W145" i="4" s="1"/>
  <c r="Q152" i="4"/>
  <c r="W152" i="4" s="1"/>
  <c r="U157" i="4"/>
  <c r="Q164" i="4"/>
  <c r="W168" i="4"/>
  <c r="Q171" i="4"/>
  <c r="W171" i="4" s="1"/>
  <c r="U178" i="4"/>
  <c r="U202" i="4"/>
  <c r="V211" i="4"/>
  <c r="Q211" i="4"/>
  <c r="Q40" i="4"/>
  <c r="W40" i="4" s="1"/>
  <c r="Q50" i="4"/>
  <c r="W50" i="4" s="1"/>
  <c r="U54" i="4"/>
  <c r="V57" i="4"/>
  <c r="W57" i="4" s="1"/>
  <c r="Q69" i="4"/>
  <c r="W69" i="4" s="1"/>
  <c r="V74" i="4"/>
  <c r="U74" i="4"/>
  <c r="Q117" i="4"/>
  <c r="V117" i="4"/>
  <c r="V124" i="4"/>
  <c r="U124" i="4"/>
  <c r="U171" i="4"/>
  <c r="Q175" i="4"/>
  <c r="W175" i="4" s="1"/>
  <c r="Q188" i="4"/>
  <c r="W188" i="4" s="1"/>
  <c r="Q10" i="4"/>
  <c r="W10" i="4" s="1"/>
  <c r="Q3" i="4"/>
  <c r="W3" i="4" s="1"/>
  <c r="Q33" i="4"/>
  <c r="W33" i="4" s="1"/>
  <c r="V34" i="4"/>
  <c r="Q43" i="4"/>
  <c r="W43" i="4" s="1"/>
  <c r="V44" i="4"/>
  <c r="Q53" i="4"/>
  <c r="W53" i="4" s="1"/>
  <c r="Q56" i="4"/>
  <c r="W56" i="4" s="1"/>
  <c r="V64" i="4"/>
  <c r="U64" i="4"/>
  <c r="V67" i="4"/>
  <c r="Q74" i="4"/>
  <c r="Q98" i="4"/>
  <c r="W98" i="4" s="1"/>
  <c r="U101" i="4"/>
  <c r="Q105" i="4"/>
  <c r="W105" i="4" s="1"/>
  <c r="Q112" i="4"/>
  <c r="W112" i="4" s="1"/>
  <c r="U117" i="4"/>
  <c r="Q124" i="4"/>
  <c r="Q131" i="4"/>
  <c r="W131" i="4" s="1"/>
  <c r="Q147" i="4"/>
  <c r="V147" i="4"/>
  <c r="V154" i="4"/>
  <c r="U154" i="4"/>
  <c r="Q192" i="4"/>
  <c r="W192" i="4" s="1"/>
  <c r="V11" i="4"/>
  <c r="W11" i="4" s="1"/>
  <c r="V21" i="4"/>
  <c r="Q13" i="4"/>
  <c r="W13" i="4" s="1"/>
  <c r="Q23" i="4"/>
  <c r="W23" i="4" s="1"/>
  <c r="V7" i="4"/>
  <c r="W7" i="4" s="1"/>
  <c r="Q64" i="4"/>
  <c r="W81" i="4"/>
  <c r="W88" i="4"/>
  <c r="Q91" i="4"/>
  <c r="W91" i="4" s="1"/>
  <c r="Q128" i="4"/>
  <c r="W128" i="4" s="1"/>
  <c r="U131" i="4"/>
  <c r="U147" i="4"/>
  <c r="Q154" i="4"/>
  <c r="Q161" i="4"/>
  <c r="W161" i="4" s="1"/>
  <c r="Q177" i="4"/>
  <c r="V177" i="4"/>
  <c r="W177" i="4" s="1"/>
  <c r="U188" i="4"/>
  <c r="V30" i="4"/>
  <c r="W30" i="4" s="1"/>
  <c r="U33" i="4"/>
  <c r="U43" i="4"/>
  <c r="U53" i="4"/>
  <c r="U56" i="4"/>
  <c r="U91" i="4"/>
  <c r="U98" i="4"/>
  <c r="U105" i="4"/>
  <c r="Q107" i="4"/>
  <c r="V107" i="4"/>
  <c r="U112" i="4"/>
  <c r="V114" i="4"/>
  <c r="U114" i="4"/>
  <c r="U161" i="4"/>
  <c r="U192" i="4"/>
  <c r="U3" i="4"/>
  <c r="U13" i="4"/>
  <c r="U23" i="4"/>
  <c r="Q58" i="4"/>
  <c r="W58" i="4" s="1"/>
  <c r="W68" i="4"/>
  <c r="Q71" i="4"/>
  <c r="W71" i="4" s="1"/>
  <c r="Q78" i="4"/>
  <c r="W78" i="4" s="1"/>
  <c r="U81" i="4"/>
  <c r="U107" i="4"/>
  <c r="Q114" i="4"/>
  <c r="Q121" i="4"/>
  <c r="W121" i="4" s="1"/>
  <c r="Q137" i="4"/>
  <c r="V137" i="4"/>
  <c r="W137" i="4" s="1"/>
  <c r="V144" i="4"/>
  <c r="W144" i="4" s="1"/>
  <c r="U144" i="4"/>
  <c r="V181" i="4"/>
  <c r="Q181" i="4"/>
  <c r="V195" i="4"/>
  <c r="Q195" i="4"/>
  <c r="V201" i="4"/>
  <c r="Q201" i="4"/>
  <c r="V221" i="4"/>
  <c r="Q221" i="4"/>
  <c r="V197" i="4"/>
  <c r="W197" i="4" s="1"/>
  <c r="V207" i="4"/>
  <c r="W207" i="4" s="1"/>
  <c r="V217" i="4"/>
  <c r="W217" i="4" s="1"/>
  <c r="V227" i="4"/>
  <c r="W227" i="4" s="1"/>
  <c r="V237" i="4"/>
  <c r="W237" i="4" s="1"/>
  <c r="V247" i="4"/>
  <c r="W247" i="4" s="1"/>
  <c r="V250" i="4"/>
  <c r="W250" i="4" s="1"/>
  <c r="V259" i="4"/>
  <c r="W259" i="4" s="1"/>
  <c r="U271" i="4"/>
  <c r="Q271" i="4"/>
  <c r="W271" i="4" s="1"/>
  <c r="W269" i="4"/>
  <c r="Q212" i="4"/>
  <c r="W212" i="4" s="1"/>
  <c r="Q222" i="4"/>
  <c r="W222" i="4" s="1"/>
  <c r="Q232" i="4"/>
  <c r="W232" i="4" s="1"/>
  <c r="Q242" i="4"/>
  <c r="W242" i="4" s="1"/>
  <c r="V268" i="4"/>
  <c r="W268" i="4" s="1"/>
  <c r="U268" i="4"/>
  <c r="Q205" i="4"/>
  <c r="W205" i="4" s="1"/>
  <c r="Q215" i="4"/>
  <c r="W215" i="4" s="1"/>
  <c r="Q225" i="4"/>
  <c r="W225" i="4" s="1"/>
  <c r="Q235" i="4"/>
  <c r="W235" i="4" s="1"/>
  <c r="Q231" i="4"/>
  <c r="W231" i="4" s="1"/>
  <c r="Q241" i="4"/>
  <c r="W241" i="4" s="1"/>
  <c r="Q265" i="4"/>
  <c r="W265" i="4" s="1"/>
  <c r="Q275" i="4"/>
  <c r="W275" i="4" s="1"/>
  <c r="U198" i="4"/>
  <c r="U208" i="4"/>
  <c r="U218" i="4"/>
  <c r="U228" i="4"/>
  <c r="U275" i="4"/>
  <c r="U184" i="4"/>
  <c r="U194" i="4"/>
  <c r="U204" i="4"/>
  <c r="U214" i="4"/>
  <c r="U224" i="4"/>
  <c r="U234" i="4"/>
  <c r="U244" i="4"/>
  <c r="U253" i="4"/>
  <c r="U256" i="4"/>
  <c r="W157" i="4" l="1"/>
  <c r="W124" i="4"/>
  <c r="W117" i="4"/>
  <c r="W187" i="4"/>
  <c r="W191" i="4"/>
  <c r="W31" i="4"/>
  <c r="W21" i="4"/>
  <c r="W97" i="4"/>
  <c r="W114" i="4"/>
  <c r="W64" i="4"/>
  <c r="W202" i="4"/>
  <c r="W67" i="4"/>
  <c r="W107" i="4"/>
  <c r="W147" i="4"/>
  <c r="W104" i="4"/>
  <c r="W44" i="4"/>
  <c r="W221" i="4"/>
  <c r="W201" i="4"/>
  <c r="W134" i="4"/>
  <c r="W74" i="4"/>
  <c r="W211" i="4"/>
  <c r="W164" i="4"/>
  <c r="W195" i="4"/>
  <c r="W181" i="4"/>
  <c r="W154" i="4"/>
  <c r="W34" i="4"/>
  <c r="T90" i="3" l="1"/>
  <c r="U90" i="3" s="1"/>
  <c r="Q90" i="3"/>
  <c r="R90" i="3" s="1"/>
  <c r="O90" i="3"/>
  <c r="V90" i="3" s="1"/>
  <c r="W90" i="3" s="1"/>
  <c r="J90" i="3"/>
  <c r="H90" i="3"/>
  <c r="G90" i="3"/>
  <c r="F90" i="3"/>
  <c r="I90" i="3" s="1"/>
  <c r="V89" i="3"/>
  <c r="W89" i="3" s="1"/>
  <c r="T89" i="3"/>
  <c r="U89" i="3" s="1"/>
  <c r="Q89" i="3"/>
  <c r="R89" i="3" s="1"/>
  <c r="O89" i="3"/>
  <c r="H89" i="3"/>
  <c r="G89" i="3"/>
  <c r="J89" i="3" s="1"/>
  <c r="F89" i="3"/>
  <c r="I89" i="3" s="1"/>
  <c r="V88" i="3"/>
  <c r="W88" i="3" s="1"/>
  <c r="T88" i="3"/>
  <c r="U88" i="3" s="1"/>
  <c r="Q88" i="3"/>
  <c r="R88" i="3" s="1"/>
  <c r="O88" i="3"/>
  <c r="J88" i="3"/>
  <c r="H88" i="3"/>
  <c r="G88" i="3"/>
  <c r="F88" i="3"/>
  <c r="I88" i="3" s="1"/>
  <c r="V87" i="3"/>
  <c r="W87" i="3" s="1"/>
  <c r="T87" i="3"/>
  <c r="U87" i="3" s="1"/>
  <c r="Q87" i="3"/>
  <c r="R87" i="3" s="1"/>
  <c r="O87" i="3"/>
  <c r="J87" i="3"/>
  <c r="H87" i="3"/>
  <c r="G87" i="3"/>
  <c r="F87" i="3"/>
  <c r="I87" i="3" s="1"/>
  <c r="V86" i="3"/>
  <c r="W86" i="3" s="1"/>
  <c r="T86" i="3"/>
  <c r="U86" i="3" s="1"/>
  <c r="Q86" i="3"/>
  <c r="R86" i="3" s="1"/>
  <c r="O86" i="3"/>
  <c r="J86" i="3"/>
  <c r="H86" i="3"/>
  <c r="G86" i="3"/>
  <c r="F86" i="3"/>
  <c r="I86" i="3" s="1"/>
  <c r="T85" i="3"/>
  <c r="U85" i="3" s="1"/>
  <c r="Q85" i="3"/>
  <c r="R85" i="3" s="1"/>
  <c r="O85" i="3"/>
  <c r="V85" i="3" s="1"/>
  <c r="W85" i="3" s="1"/>
  <c r="J85" i="3"/>
  <c r="H85" i="3"/>
  <c r="G85" i="3"/>
  <c r="F85" i="3"/>
  <c r="I85" i="3" s="1"/>
  <c r="V84" i="3"/>
  <c r="W84" i="3" s="1"/>
  <c r="T84" i="3"/>
  <c r="U84" i="3" s="1"/>
  <c r="Q84" i="3"/>
  <c r="R84" i="3" s="1"/>
  <c r="O84" i="3"/>
  <c r="H84" i="3"/>
  <c r="G84" i="3"/>
  <c r="J84" i="3" s="1"/>
  <c r="F84" i="3"/>
  <c r="I84" i="3" s="1"/>
  <c r="V83" i="3"/>
  <c r="W83" i="3" s="1"/>
  <c r="T83" i="3"/>
  <c r="U83" i="3" s="1"/>
  <c r="Q83" i="3"/>
  <c r="R83" i="3" s="1"/>
  <c r="O83" i="3"/>
  <c r="J83" i="3"/>
  <c r="H83" i="3"/>
  <c r="G83" i="3"/>
  <c r="F83" i="3"/>
  <c r="I83" i="3" s="1"/>
  <c r="V82" i="3"/>
  <c r="W82" i="3" s="1"/>
  <c r="T82" i="3"/>
  <c r="U82" i="3" s="1"/>
  <c r="Q82" i="3"/>
  <c r="R82" i="3" s="1"/>
  <c r="O82" i="3"/>
  <c r="J82" i="3"/>
  <c r="H82" i="3"/>
  <c r="G82" i="3"/>
  <c r="F82" i="3"/>
  <c r="I82" i="3" s="1"/>
  <c r="V81" i="3"/>
  <c r="W81" i="3" s="1"/>
  <c r="T81" i="3"/>
  <c r="U81" i="3" s="1"/>
  <c r="Q81" i="3"/>
  <c r="R81" i="3" s="1"/>
  <c r="O81" i="3"/>
  <c r="H81" i="3"/>
  <c r="G81" i="3"/>
  <c r="J81" i="3" s="1"/>
  <c r="F81" i="3"/>
  <c r="I81" i="3" s="1"/>
  <c r="T80" i="3"/>
  <c r="U80" i="3" s="1"/>
  <c r="O80" i="3"/>
  <c r="V80" i="3" s="1"/>
  <c r="J80" i="3"/>
  <c r="H80" i="3"/>
  <c r="G80" i="3"/>
  <c r="F80" i="3"/>
  <c r="I80" i="3" s="1"/>
  <c r="V79" i="3"/>
  <c r="W79" i="3" s="1"/>
  <c r="T79" i="3"/>
  <c r="U79" i="3" s="1"/>
  <c r="Q79" i="3"/>
  <c r="R79" i="3" s="1"/>
  <c r="O79" i="3"/>
  <c r="H79" i="3"/>
  <c r="G79" i="3"/>
  <c r="J79" i="3" s="1"/>
  <c r="F79" i="3"/>
  <c r="I79" i="3" s="1"/>
  <c r="V78" i="3"/>
  <c r="W78" i="3" s="1"/>
  <c r="T78" i="3"/>
  <c r="U78" i="3" s="1"/>
  <c r="Q78" i="3"/>
  <c r="R78" i="3" s="1"/>
  <c r="O78" i="3"/>
  <c r="J78" i="3"/>
  <c r="H78" i="3"/>
  <c r="G78" i="3"/>
  <c r="F78" i="3"/>
  <c r="I78" i="3" s="1"/>
  <c r="V77" i="3"/>
  <c r="W77" i="3" s="1"/>
  <c r="T77" i="3"/>
  <c r="U77" i="3" s="1"/>
  <c r="R77" i="3"/>
  <c r="Q77" i="3"/>
  <c r="O77" i="3"/>
  <c r="J77" i="3"/>
  <c r="H77" i="3"/>
  <c r="G77" i="3"/>
  <c r="F77" i="3"/>
  <c r="I77" i="3" s="1"/>
  <c r="W76" i="3"/>
  <c r="V76" i="3"/>
  <c r="T76" i="3"/>
  <c r="U76" i="3" s="1"/>
  <c r="Q76" i="3"/>
  <c r="R76" i="3" s="1"/>
  <c r="O76" i="3"/>
  <c r="H76" i="3"/>
  <c r="G76" i="3"/>
  <c r="J76" i="3" s="1"/>
  <c r="F76" i="3"/>
  <c r="I76" i="3" s="1"/>
  <c r="T75" i="3"/>
  <c r="U75" i="3" s="1"/>
  <c r="O75" i="3"/>
  <c r="V75" i="3" s="1"/>
  <c r="J75" i="3"/>
  <c r="H75" i="3"/>
  <c r="G75" i="3"/>
  <c r="F75" i="3"/>
  <c r="I75" i="3" s="1"/>
  <c r="V74" i="3"/>
  <c r="W74" i="3" s="1"/>
  <c r="U74" i="3"/>
  <c r="T74" i="3"/>
  <c r="Q74" i="3"/>
  <c r="R74" i="3" s="1"/>
  <c r="O74" i="3"/>
  <c r="H74" i="3"/>
  <c r="G74" i="3"/>
  <c r="J74" i="3" s="1"/>
  <c r="F74" i="3"/>
  <c r="I74" i="3" s="1"/>
  <c r="V73" i="3"/>
  <c r="W73" i="3" s="1"/>
  <c r="T73" i="3"/>
  <c r="U73" i="3" s="1"/>
  <c r="Q73" i="3"/>
  <c r="R73" i="3" s="1"/>
  <c r="O73" i="3"/>
  <c r="J73" i="3"/>
  <c r="H73" i="3"/>
  <c r="G73" i="3"/>
  <c r="F73" i="3"/>
  <c r="I73" i="3" s="1"/>
  <c r="V72" i="3"/>
  <c r="W72" i="3" s="1"/>
  <c r="T72" i="3"/>
  <c r="U72" i="3" s="1"/>
  <c r="R72" i="3"/>
  <c r="Q72" i="3"/>
  <c r="O72" i="3"/>
  <c r="J72" i="3"/>
  <c r="H72" i="3"/>
  <c r="G72" i="3"/>
  <c r="F72" i="3"/>
  <c r="I72" i="3" s="1"/>
  <c r="T71" i="3"/>
  <c r="U71" i="3" s="1"/>
  <c r="O71" i="3"/>
  <c r="V71" i="3" s="1"/>
  <c r="H71" i="3"/>
  <c r="G71" i="3"/>
  <c r="J71" i="3" s="1"/>
  <c r="F71" i="3"/>
  <c r="I71" i="3" s="1"/>
  <c r="T70" i="3"/>
  <c r="U70" i="3" s="1"/>
  <c r="O70" i="3"/>
  <c r="V70" i="3" s="1"/>
  <c r="J70" i="3"/>
  <c r="H70" i="3"/>
  <c r="G70" i="3"/>
  <c r="F70" i="3"/>
  <c r="I70" i="3" s="1"/>
  <c r="V69" i="3"/>
  <c r="W69" i="3" s="1"/>
  <c r="U69" i="3"/>
  <c r="T69" i="3"/>
  <c r="Q69" i="3"/>
  <c r="R69" i="3" s="1"/>
  <c r="O69" i="3"/>
  <c r="H69" i="3"/>
  <c r="G69" i="3"/>
  <c r="J69" i="3" s="1"/>
  <c r="F69" i="3"/>
  <c r="I69" i="3" s="1"/>
  <c r="V68" i="3"/>
  <c r="T68" i="3"/>
  <c r="U68" i="3" s="1"/>
  <c r="O68" i="3"/>
  <c r="Q68" i="3" s="1"/>
  <c r="R68" i="3" s="1"/>
  <c r="J68" i="3"/>
  <c r="H68" i="3"/>
  <c r="G68" i="3"/>
  <c r="F68" i="3"/>
  <c r="I68" i="3" s="1"/>
  <c r="V67" i="3"/>
  <c r="W67" i="3" s="1"/>
  <c r="T67" i="3"/>
  <c r="U67" i="3" s="1"/>
  <c r="R67" i="3"/>
  <c r="Q67" i="3"/>
  <c r="O67" i="3"/>
  <c r="J67" i="3"/>
  <c r="H67" i="3"/>
  <c r="G67" i="3"/>
  <c r="F67" i="3"/>
  <c r="I67" i="3" s="1"/>
  <c r="W66" i="3"/>
  <c r="V66" i="3"/>
  <c r="T66" i="3"/>
  <c r="U66" i="3" s="1"/>
  <c r="Q66" i="3"/>
  <c r="R66" i="3" s="1"/>
  <c r="O66" i="3"/>
  <c r="I66" i="3"/>
  <c r="H66" i="3"/>
  <c r="G66" i="3"/>
  <c r="J66" i="3" s="1"/>
  <c r="F66" i="3"/>
  <c r="T65" i="3"/>
  <c r="U65" i="3" s="1"/>
  <c r="O65" i="3"/>
  <c r="V65" i="3" s="1"/>
  <c r="J65" i="3"/>
  <c r="H65" i="3"/>
  <c r="G65" i="3"/>
  <c r="F65" i="3"/>
  <c r="I65" i="3" s="1"/>
  <c r="V64" i="3"/>
  <c r="U64" i="3"/>
  <c r="T64" i="3"/>
  <c r="Q64" i="3"/>
  <c r="W64" i="3" s="1"/>
  <c r="O64" i="3"/>
  <c r="H64" i="3"/>
  <c r="G64" i="3"/>
  <c r="J64" i="3" s="1"/>
  <c r="F64" i="3"/>
  <c r="I64" i="3" s="1"/>
  <c r="V63" i="3"/>
  <c r="W63" i="3" s="1"/>
  <c r="T63" i="3"/>
  <c r="U63" i="3" s="1"/>
  <c r="O63" i="3"/>
  <c r="Q63" i="3" s="1"/>
  <c r="R63" i="3" s="1"/>
  <c r="J63" i="3"/>
  <c r="H63" i="3"/>
  <c r="G63" i="3"/>
  <c r="F63" i="3"/>
  <c r="I63" i="3" s="1"/>
  <c r="V62" i="3"/>
  <c r="W62" i="3" s="1"/>
  <c r="U62" i="3"/>
  <c r="T62" i="3"/>
  <c r="R62" i="3"/>
  <c r="Q62" i="3"/>
  <c r="O62" i="3"/>
  <c r="J62" i="3"/>
  <c r="H62" i="3"/>
  <c r="G62" i="3"/>
  <c r="F62" i="3"/>
  <c r="I62" i="3" s="1"/>
  <c r="W61" i="3"/>
  <c r="V61" i="3"/>
  <c r="T61" i="3"/>
  <c r="U61" i="3" s="1"/>
  <c r="Q61" i="3"/>
  <c r="R61" i="3" s="1"/>
  <c r="O61" i="3"/>
  <c r="I61" i="3"/>
  <c r="H61" i="3"/>
  <c r="G61" i="3"/>
  <c r="J61" i="3" s="1"/>
  <c r="F61" i="3"/>
  <c r="T60" i="3"/>
  <c r="U60" i="3" s="1"/>
  <c r="O60" i="3"/>
  <c r="V60" i="3" s="1"/>
  <c r="J60" i="3"/>
  <c r="H60" i="3"/>
  <c r="G60" i="3"/>
  <c r="F60" i="3"/>
  <c r="I60" i="3" s="1"/>
  <c r="V59" i="3"/>
  <c r="U59" i="3"/>
  <c r="T59" i="3"/>
  <c r="Q59" i="3"/>
  <c r="W59" i="3" s="1"/>
  <c r="O59" i="3"/>
  <c r="H59" i="3"/>
  <c r="G59" i="3"/>
  <c r="J59" i="3" s="1"/>
  <c r="F59" i="3"/>
  <c r="I59" i="3" s="1"/>
  <c r="V58" i="3"/>
  <c r="W58" i="3" s="1"/>
  <c r="T58" i="3"/>
  <c r="U58" i="3" s="1"/>
  <c r="O58" i="3"/>
  <c r="Q58" i="3" s="1"/>
  <c r="R58" i="3" s="1"/>
  <c r="J58" i="3"/>
  <c r="I58" i="3"/>
  <c r="H58" i="3"/>
  <c r="G58" i="3"/>
  <c r="F58" i="3"/>
  <c r="V57" i="3"/>
  <c r="W57" i="3" s="1"/>
  <c r="U57" i="3"/>
  <c r="T57" i="3"/>
  <c r="R57" i="3"/>
  <c r="Q57" i="3"/>
  <c r="O57" i="3"/>
  <c r="J57" i="3"/>
  <c r="H57" i="3"/>
  <c r="G57" i="3"/>
  <c r="F57" i="3"/>
  <c r="I57" i="3" s="1"/>
  <c r="W56" i="3"/>
  <c r="V56" i="3"/>
  <c r="T56" i="3"/>
  <c r="U56" i="3" s="1"/>
  <c r="Q56" i="3"/>
  <c r="R56" i="3" s="1"/>
  <c r="O56" i="3"/>
  <c r="I56" i="3"/>
  <c r="H56" i="3"/>
  <c r="G56" i="3"/>
  <c r="J56" i="3" s="1"/>
  <c r="F56" i="3"/>
  <c r="T55" i="3"/>
  <c r="U55" i="3" s="1"/>
  <c r="O55" i="3"/>
  <c r="V55" i="3" s="1"/>
  <c r="J55" i="3"/>
  <c r="H55" i="3"/>
  <c r="G55" i="3"/>
  <c r="F55" i="3"/>
  <c r="I55" i="3" s="1"/>
  <c r="V54" i="3"/>
  <c r="U54" i="3"/>
  <c r="T54" i="3"/>
  <c r="Q54" i="3"/>
  <c r="W54" i="3" s="1"/>
  <c r="O54" i="3"/>
  <c r="H54" i="3"/>
  <c r="G54" i="3"/>
  <c r="J54" i="3" s="1"/>
  <c r="F54" i="3"/>
  <c r="I54" i="3" s="1"/>
  <c r="T53" i="3"/>
  <c r="U53" i="3" s="1"/>
  <c r="O53" i="3"/>
  <c r="Q53" i="3" s="1"/>
  <c r="R53" i="3" s="1"/>
  <c r="J53" i="3"/>
  <c r="I53" i="3"/>
  <c r="H53" i="3"/>
  <c r="G53" i="3"/>
  <c r="F53" i="3"/>
  <c r="V52" i="3"/>
  <c r="W52" i="3" s="1"/>
  <c r="U52" i="3"/>
  <c r="T52" i="3"/>
  <c r="R52" i="3"/>
  <c r="Q52" i="3"/>
  <c r="O52" i="3"/>
  <c r="J52" i="3"/>
  <c r="H52" i="3"/>
  <c r="G52" i="3"/>
  <c r="F52" i="3"/>
  <c r="I52" i="3" s="1"/>
  <c r="W51" i="3"/>
  <c r="V51" i="3"/>
  <c r="T51" i="3"/>
  <c r="U51" i="3" s="1"/>
  <c r="Q51" i="3"/>
  <c r="R51" i="3" s="1"/>
  <c r="O51" i="3"/>
  <c r="I51" i="3"/>
  <c r="H51" i="3"/>
  <c r="G51" i="3"/>
  <c r="J51" i="3" s="1"/>
  <c r="F51" i="3"/>
  <c r="T50" i="3"/>
  <c r="U50" i="3" s="1"/>
  <c r="O50" i="3"/>
  <c r="V50" i="3" s="1"/>
  <c r="J50" i="3"/>
  <c r="H50" i="3"/>
  <c r="G50" i="3"/>
  <c r="F50" i="3"/>
  <c r="I50" i="3" s="1"/>
  <c r="W49" i="3"/>
  <c r="V49" i="3"/>
  <c r="U49" i="3"/>
  <c r="T49" i="3"/>
  <c r="Q49" i="3"/>
  <c r="R49" i="3" s="1"/>
  <c r="O49" i="3"/>
  <c r="H49" i="3"/>
  <c r="G49" i="3"/>
  <c r="J49" i="3" s="1"/>
  <c r="F49" i="3"/>
  <c r="I49" i="3" s="1"/>
  <c r="T48" i="3"/>
  <c r="U48" i="3" s="1"/>
  <c r="O48" i="3"/>
  <c r="Q48" i="3" s="1"/>
  <c r="R48" i="3" s="1"/>
  <c r="J48" i="3"/>
  <c r="I48" i="3"/>
  <c r="H48" i="3"/>
  <c r="G48" i="3"/>
  <c r="F48" i="3"/>
  <c r="V47" i="3"/>
  <c r="W47" i="3" s="1"/>
  <c r="U47" i="3"/>
  <c r="T47" i="3"/>
  <c r="R47" i="3"/>
  <c r="Q47" i="3"/>
  <c r="O47" i="3"/>
  <c r="J47" i="3"/>
  <c r="H47" i="3"/>
  <c r="G47" i="3"/>
  <c r="F47" i="3"/>
  <c r="I47" i="3" s="1"/>
  <c r="W46" i="3"/>
  <c r="V46" i="3"/>
  <c r="T46" i="3"/>
  <c r="U46" i="3" s="1"/>
  <c r="Q46" i="3"/>
  <c r="R46" i="3" s="1"/>
  <c r="O46" i="3"/>
  <c r="I46" i="3"/>
  <c r="H46" i="3"/>
  <c r="G46" i="3"/>
  <c r="J46" i="3" s="1"/>
  <c r="F46" i="3"/>
  <c r="T45" i="3"/>
  <c r="U45" i="3" s="1"/>
  <c r="O45" i="3"/>
  <c r="V45" i="3" s="1"/>
  <c r="J45" i="3"/>
  <c r="H45" i="3"/>
  <c r="G45" i="3"/>
  <c r="F45" i="3"/>
  <c r="I45" i="3" s="1"/>
  <c r="W44" i="3"/>
  <c r="V44" i="3"/>
  <c r="U44" i="3"/>
  <c r="T44" i="3"/>
  <c r="Q44" i="3"/>
  <c r="R44" i="3" s="1"/>
  <c r="O44" i="3"/>
  <c r="H44" i="3"/>
  <c r="G44" i="3"/>
  <c r="J44" i="3" s="1"/>
  <c r="F44" i="3"/>
  <c r="I44" i="3" s="1"/>
  <c r="T43" i="3"/>
  <c r="U43" i="3" s="1"/>
  <c r="O43" i="3"/>
  <c r="Q43" i="3" s="1"/>
  <c r="R43" i="3" s="1"/>
  <c r="J43" i="3"/>
  <c r="I43" i="3"/>
  <c r="H43" i="3"/>
  <c r="G43" i="3"/>
  <c r="F43" i="3"/>
  <c r="V42" i="3"/>
  <c r="W42" i="3" s="1"/>
  <c r="U42" i="3"/>
  <c r="T42" i="3"/>
  <c r="R42" i="3"/>
  <c r="Q42" i="3"/>
  <c r="O42" i="3"/>
  <c r="J42" i="3"/>
  <c r="H42" i="3"/>
  <c r="G42" i="3"/>
  <c r="F42" i="3"/>
  <c r="I42" i="3" s="1"/>
  <c r="W41" i="3"/>
  <c r="V41" i="3"/>
  <c r="T41" i="3"/>
  <c r="U41" i="3" s="1"/>
  <c r="Q41" i="3"/>
  <c r="R41" i="3" s="1"/>
  <c r="O41" i="3"/>
  <c r="I41" i="3"/>
  <c r="H41" i="3"/>
  <c r="G41" i="3"/>
  <c r="J41" i="3" s="1"/>
  <c r="F41" i="3"/>
  <c r="T40" i="3"/>
  <c r="U40" i="3" s="1"/>
  <c r="O40" i="3"/>
  <c r="V40" i="3" s="1"/>
  <c r="J40" i="3"/>
  <c r="H40" i="3"/>
  <c r="G40" i="3"/>
  <c r="F40" i="3"/>
  <c r="I40" i="3" s="1"/>
  <c r="W39" i="3"/>
  <c r="V39" i="3"/>
  <c r="U39" i="3"/>
  <c r="T39" i="3"/>
  <c r="Q39" i="3"/>
  <c r="R39" i="3" s="1"/>
  <c r="O39" i="3"/>
  <c r="H39" i="3"/>
  <c r="G39" i="3"/>
  <c r="J39" i="3" s="1"/>
  <c r="F39" i="3"/>
  <c r="I39" i="3" s="1"/>
  <c r="T38" i="3"/>
  <c r="U38" i="3" s="1"/>
  <c r="O38" i="3"/>
  <c r="Q38" i="3" s="1"/>
  <c r="R38" i="3" s="1"/>
  <c r="J38" i="3"/>
  <c r="I38" i="3"/>
  <c r="H38" i="3"/>
  <c r="G38" i="3"/>
  <c r="F38" i="3"/>
  <c r="V37" i="3"/>
  <c r="W37" i="3" s="1"/>
  <c r="U37" i="3"/>
  <c r="T37" i="3"/>
  <c r="R37" i="3"/>
  <c r="Q37" i="3"/>
  <c r="O37" i="3"/>
  <c r="J37" i="3"/>
  <c r="H37" i="3"/>
  <c r="G37" i="3"/>
  <c r="F37" i="3"/>
  <c r="I37" i="3" s="1"/>
  <c r="W36" i="3"/>
  <c r="V36" i="3"/>
  <c r="T36" i="3"/>
  <c r="U36" i="3" s="1"/>
  <c r="Q36" i="3"/>
  <c r="R36" i="3" s="1"/>
  <c r="O36" i="3"/>
  <c r="I36" i="3"/>
  <c r="H36" i="3"/>
  <c r="G36" i="3"/>
  <c r="J36" i="3" s="1"/>
  <c r="F36" i="3"/>
  <c r="T35" i="3"/>
  <c r="U35" i="3" s="1"/>
  <c r="O35" i="3"/>
  <c r="V35" i="3" s="1"/>
  <c r="J35" i="3"/>
  <c r="H35" i="3"/>
  <c r="G35" i="3"/>
  <c r="F35" i="3"/>
  <c r="I35" i="3" s="1"/>
  <c r="W34" i="3"/>
  <c r="V34" i="3"/>
  <c r="U34" i="3"/>
  <c r="T34" i="3"/>
  <c r="Q34" i="3"/>
  <c r="R34" i="3" s="1"/>
  <c r="O34" i="3"/>
  <c r="H34" i="3"/>
  <c r="G34" i="3"/>
  <c r="J34" i="3" s="1"/>
  <c r="F34" i="3"/>
  <c r="I34" i="3" s="1"/>
  <c r="T33" i="3"/>
  <c r="U33" i="3" s="1"/>
  <c r="O33" i="3"/>
  <c r="Q33" i="3" s="1"/>
  <c r="R33" i="3" s="1"/>
  <c r="J33" i="3"/>
  <c r="I33" i="3"/>
  <c r="H33" i="3"/>
  <c r="G33" i="3"/>
  <c r="F33" i="3"/>
  <c r="V32" i="3"/>
  <c r="W32" i="3" s="1"/>
  <c r="U32" i="3"/>
  <c r="T32" i="3"/>
  <c r="R32" i="3"/>
  <c r="Q32" i="3"/>
  <c r="O32" i="3"/>
  <c r="J32" i="3"/>
  <c r="H32" i="3"/>
  <c r="G32" i="3"/>
  <c r="F32" i="3"/>
  <c r="I32" i="3" s="1"/>
  <c r="W31" i="3"/>
  <c r="V31" i="3"/>
  <c r="T31" i="3"/>
  <c r="U31" i="3" s="1"/>
  <c r="Q31" i="3"/>
  <c r="R31" i="3" s="1"/>
  <c r="O31" i="3"/>
  <c r="I31" i="3"/>
  <c r="H31" i="3"/>
  <c r="G31" i="3"/>
  <c r="J31" i="3" s="1"/>
  <c r="F31" i="3"/>
  <c r="T30" i="3"/>
  <c r="U30" i="3" s="1"/>
  <c r="O30" i="3"/>
  <c r="V30" i="3" s="1"/>
  <c r="J30" i="3"/>
  <c r="H30" i="3"/>
  <c r="G30" i="3"/>
  <c r="F30" i="3"/>
  <c r="I30" i="3" s="1"/>
  <c r="W29" i="3"/>
  <c r="V29" i="3"/>
  <c r="U29" i="3"/>
  <c r="T29" i="3"/>
  <c r="Q29" i="3"/>
  <c r="R29" i="3" s="1"/>
  <c r="O29" i="3"/>
  <c r="H29" i="3"/>
  <c r="G29" i="3"/>
  <c r="J29" i="3" s="1"/>
  <c r="F29" i="3"/>
  <c r="I29" i="3" s="1"/>
  <c r="T28" i="3"/>
  <c r="U28" i="3" s="1"/>
  <c r="O28" i="3"/>
  <c r="Q28" i="3" s="1"/>
  <c r="R28" i="3" s="1"/>
  <c r="J28" i="3"/>
  <c r="I28" i="3"/>
  <c r="H28" i="3"/>
  <c r="G28" i="3"/>
  <c r="F28" i="3"/>
  <c r="V27" i="3"/>
  <c r="W27" i="3" s="1"/>
  <c r="U27" i="3"/>
  <c r="T27" i="3"/>
  <c r="R27" i="3"/>
  <c r="Q27" i="3"/>
  <c r="O27" i="3"/>
  <c r="J27" i="3"/>
  <c r="H27" i="3"/>
  <c r="G27" i="3"/>
  <c r="F27" i="3"/>
  <c r="I27" i="3" s="1"/>
  <c r="W26" i="3"/>
  <c r="V26" i="3"/>
  <c r="T26" i="3"/>
  <c r="U26" i="3" s="1"/>
  <c r="Q26" i="3"/>
  <c r="R26" i="3" s="1"/>
  <c r="O26" i="3"/>
  <c r="I26" i="3"/>
  <c r="H26" i="3"/>
  <c r="G26" i="3"/>
  <c r="J26" i="3" s="1"/>
  <c r="F26" i="3"/>
  <c r="T25" i="3"/>
  <c r="U25" i="3" s="1"/>
  <c r="O25" i="3"/>
  <c r="V25" i="3" s="1"/>
  <c r="J25" i="3"/>
  <c r="H25" i="3"/>
  <c r="G25" i="3"/>
  <c r="F25" i="3"/>
  <c r="I25" i="3" s="1"/>
  <c r="W24" i="3"/>
  <c r="V24" i="3"/>
  <c r="U24" i="3"/>
  <c r="T24" i="3"/>
  <c r="Q24" i="3"/>
  <c r="R24" i="3" s="1"/>
  <c r="O24" i="3"/>
  <c r="H24" i="3"/>
  <c r="G24" i="3"/>
  <c r="J24" i="3" s="1"/>
  <c r="F24" i="3"/>
  <c r="I24" i="3" s="1"/>
  <c r="T23" i="3"/>
  <c r="U23" i="3" s="1"/>
  <c r="O23" i="3"/>
  <c r="Q23" i="3" s="1"/>
  <c r="R23" i="3" s="1"/>
  <c r="J23" i="3"/>
  <c r="I23" i="3"/>
  <c r="H23" i="3"/>
  <c r="G23" i="3"/>
  <c r="F23" i="3"/>
  <c r="V22" i="3"/>
  <c r="W22" i="3" s="1"/>
  <c r="U22" i="3"/>
  <c r="T22" i="3"/>
  <c r="R22" i="3"/>
  <c r="Q22" i="3"/>
  <c r="O22" i="3"/>
  <c r="J22" i="3"/>
  <c r="H22" i="3"/>
  <c r="G22" i="3"/>
  <c r="F22" i="3"/>
  <c r="I22" i="3" s="1"/>
  <c r="W21" i="3"/>
  <c r="V21" i="3"/>
  <c r="T21" i="3"/>
  <c r="U21" i="3" s="1"/>
  <c r="Q21" i="3"/>
  <c r="R21" i="3" s="1"/>
  <c r="O21" i="3"/>
  <c r="I21" i="3"/>
  <c r="H21" i="3"/>
  <c r="G21" i="3"/>
  <c r="J21" i="3" s="1"/>
  <c r="F21" i="3"/>
  <c r="T20" i="3"/>
  <c r="U20" i="3" s="1"/>
  <c r="O20" i="3"/>
  <c r="V20" i="3" s="1"/>
  <c r="J20" i="3"/>
  <c r="H20" i="3"/>
  <c r="G20" i="3"/>
  <c r="F20" i="3"/>
  <c r="I20" i="3" s="1"/>
  <c r="W19" i="3"/>
  <c r="V19" i="3"/>
  <c r="U19" i="3"/>
  <c r="T19" i="3"/>
  <c r="Q19" i="3"/>
  <c r="R19" i="3" s="1"/>
  <c r="O19" i="3"/>
  <c r="H19" i="3"/>
  <c r="G19" i="3"/>
  <c r="J19" i="3" s="1"/>
  <c r="F19" i="3"/>
  <c r="I19" i="3" s="1"/>
  <c r="T18" i="3"/>
  <c r="U18" i="3" s="1"/>
  <c r="O18" i="3"/>
  <c r="Q18" i="3" s="1"/>
  <c r="R18" i="3" s="1"/>
  <c r="J18" i="3"/>
  <c r="I18" i="3"/>
  <c r="H18" i="3"/>
  <c r="G18" i="3"/>
  <c r="F18" i="3"/>
  <c r="V17" i="3"/>
  <c r="W17" i="3" s="1"/>
  <c r="U17" i="3"/>
  <c r="T17" i="3"/>
  <c r="R17" i="3"/>
  <c r="Q17" i="3"/>
  <c r="O17" i="3"/>
  <c r="J17" i="3"/>
  <c r="H17" i="3"/>
  <c r="G17" i="3"/>
  <c r="F17" i="3"/>
  <c r="I17" i="3" s="1"/>
  <c r="W16" i="3"/>
  <c r="V16" i="3"/>
  <c r="T16" i="3"/>
  <c r="U16" i="3" s="1"/>
  <c r="Q16" i="3"/>
  <c r="R16" i="3" s="1"/>
  <c r="O16" i="3"/>
  <c r="I16" i="3"/>
  <c r="H16" i="3"/>
  <c r="G16" i="3"/>
  <c r="J16" i="3" s="1"/>
  <c r="F16" i="3"/>
  <c r="T15" i="3"/>
  <c r="U15" i="3" s="1"/>
  <c r="O15" i="3"/>
  <c r="V15" i="3" s="1"/>
  <c r="J15" i="3"/>
  <c r="H15" i="3"/>
  <c r="G15" i="3"/>
  <c r="F15" i="3"/>
  <c r="I15" i="3" s="1"/>
  <c r="W14" i="3"/>
  <c r="V14" i="3"/>
  <c r="U14" i="3"/>
  <c r="T14" i="3"/>
  <c r="Q14" i="3"/>
  <c r="R14" i="3" s="1"/>
  <c r="O14" i="3"/>
  <c r="H14" i="3"/>
  <c r="G14" i="3"/>
  <c r="J14" i="3" s="1"/>
  <c r="F14" i="3"/>
  <c r="I14" i="3" s="1"/>
  <c r="T13" i="3"/>
  <c r="U13" i="3" s="1"/>
  <c r="O13" i="3"/>
  <c r="Q13" i="3" s="1"/>
  <c r="R13" i="3" s="1"/>
  <c r="J13" i="3"/>
  <c r="I13" i="3"/>
  <c r="H13" i="3"/>
  <c r="G13" i="3"/>
  <c r="F13" i="3"/>
  <c r="V12" i="3"/>
  <c r="W12" i="3" s="1"/>
  <c r="U12" i="3"/>
  <c r="T12" i="3"/>
  <c r="R12" i="3"/>
  <c r="Q12" i="3"/>
  <c r="O12" i="3"/>
  <c r="J12" i="3"/>
  <c r="H12" i="3"/>
  <c r="G12" i="3"/>
  <c r="F12" i="3"/>
  <c r="I12" i="3" s="1"/>
  <c r="W11" i="3"/>
  <c r="V11" i="3"/>
  <c r="T11" i="3"/>
  <c r="U11" i="3" s="1"/>
  <c r="Q11" i="3"/>
  <c r="R11" i="3" s="1"/>
  <c r="O11" i="3"/>
  <c r="I11" i="3"/>
  <c r="H11" i="3"/>
  <c r="G11" i="3"/>
  <c r="J11" i="3" s="1"/>
  <c r="F11" i="3"/>
  <c r="T10" i="3"/>
  <c r="U10" i="3" s="1"/>
  <c r="O10" i="3"/>
  <c r="V10" i="3" s="1"/>
  <c r="J10" i="3"/>
  <c r="H10" i="3"/>
  <c r="G10" i="3"/>
  <c r="F10" i="3"/>
  <c r="I10" i="3" s="1"/>
  <c r="V9" i="3"/>
  <c r="W9" i="3" s="1"/>
  <c r="U9" i="3"/>
  <c r="T9" i="3"/>
  <c r="Q9" i="3"/>
  <c r="R9" i="3" s="1"/>
  <c r="O9" i="3"/>
  <c r="H9" i="3"/>
  <c r="G9" i="3"/>
  <c r="J9" i="3" s="1"/>
  <c r="F9" i="3"/>
  <c r="I9" i="3" s="1"/>
  <c r="T8" i="3"/>
  <c r="U8" i="3" s="1"/>
  <c r="O8" i="3"/>
  <c r="Q8" i="3" s="1"/>
  <c r="R8" i="3" s="1"/>
  <c r="J8" i="3"/>
  <c r="I8" i="3"/>
  <c r="H8" i="3"/>
  <c r="G8" i="3"/>
  <c r="F8" i="3"/>
  <c r="V7" i="3"/>
  <c r="W7" i="3" s="1"/>
  <c r="T7" i="3"/>
  <c r="U7" i="3" s="1"/>
  <c r="R7" i="3"/>
  <c r="Q7" i="3"/>
  <c r="O7" i="3"/>
  <c r="J7" i="3"/>
  <c r="H7" i="3"/>
  <c r="G7" i="3"/>
  <c r="F7" i="3"/>
  <c r="I7" i="3" s="1"/>
  <c r="V6" i="3"/>
  <c r="T6" i="3"/>
  <c r="U6" i="3" s="1"/>
  <c r="O6" i="3"/>
  <c r="Q6" i="3" s="1"/>
  <c r="H6" i="3"/>
  <c r="G6" i="3"/>
  <c r="J6" i="3" s="1"/>
  <c r="F6" i="3"/>
  <c r="I6" i="3" s="1"/>
  <c r="T5" i="3"/>
  <c r="U5" i="3" s="1"/>
  <c r="O5" i="3"/>
  <c r="V5" i="3" s="1"/>
  <c r="J5" i="3"/>
  <c r="H5" i="3"/>
  <c r="G5" i="3"/>
  <c r="F5" i="3"/>
  <c r="I5" i="3" s="1"/>
  <c r="V4" i="3"/>
  <c r="W4" i="3" s="1"/>
  <c r="U4" i="3"/>
  <c r="T4" i="3"/>
  <c r="Q4" i="3"/>
  <c r="R4" i="3" s="1"/>
  <c r="O4" i="3"/>
  <c r="H4" i="3"/>
  <c r="G4" i="3"/>
  <c r="J4" i="3" s="1"/>
  <c r="F4" i="3"/>
  <c r="I4" i="3" s="1"/>
  <c r="T3" i="3"/>
  <c r="U3" i="3" s="1"/>
  <c r="O3" i="3"/>
  <c r="Q3" i="3" s="1"/>
  <c r="R3" i="3" s="1"/>
  <c r="J3" i="3"/>
  <c r="I3" i="3"/>
  <c r="H3" i="3"/>
  <c r="G3" i="3"/>
  <c r="F3" i="3"/>
  <c r="V2" i="3"/>
  <c r="W2" i="3" s="1"/>
  <c r="T2" i="3"/>
  <c r="U2" i="3" s="1"/>
  <c r="R2" i="3"/>
  <c r="Q2" i="3"/>
  <c r="O2" i="3"/>
  <c r="J2" i="3"/>
  <c r="H2" i="3"/>
  <c r="G2" i="3"/>
  <c r="F2" i="3"/>
  <c r="I2" i="3" s="1"/>
  <c r="T143" i="2"/>
  <c r="O143" i="2"/>
  <c r="V143" i="2" s="1"/>
  <c r="K143" i="2"/>
  <c r="I143" i="2"/>
  <c r="H143" i="2"/>
  <c r="G143" i="2"/>
  <c r="J143" i="2" s="1"/>
  <c r="F143" i="2"/>
  <c r="A143" i="2"/>
  <c r="V142" i="2"/>
  <c r="W142" i="2" s="1"/>
  <c r="U142" i="2"/>
  <c r="T142" i="2"/>
  <c r="R142" i="2"/>
  <c r="Q142" i="2"/>
  <c r="O142" i="2"/>
  <c r="J142" i="2"/>
  <c r="I142" i="2"/>
  <c r="H142" i="2"/>
  <c r="K142" i="2" s="1"/>
  <c r="G142" i="2"/>
  <c r="F142" i="2"/>
  <c r="A142" i="2"/>
  <c r="T141" i="2"/>
  <c r="U141" i="2" s="1"/>
  <c r="Q141" i="2"/>
  <c r="R141" i="2" s="1"/>
  <c r="O141" i="2"/>
  <c r="V141" i="2" s="1"/>
  <c r="K141" i="2"/>
  <c r="J141" i="2"/>
  <c r="I141" i="2"/>
  <c r="H141" i="2"/>
  <c r="G141" i="2"/>
  <c r="F141" i="2"/>
  <c r="A141" i="2"/>
  <c r="W140" i="2"/>
  <c r="V140" i="2"/>
  <c r="U140" i="2"/>
  <c r="T140" i="2"/>
  <c r="R140" i="2"/>
  <c r="Q140" i="2"/>
  <c r="O140" i="2"/>
  <c r="I140" i="2"/>
  <c r="H140" i="2"/>
  <c r="K140" i="2" s="1"/>
  <c r="G140" i="2"/>
  <c r="J140" i="2" s="1"/>
  <c r="F140" i="2"/>
  <c r="A140" i="2"/>
  <c r="T139" i="2"/>
  <c r="O139" i="2"/>
  <c r="K139" i="2"/>
  <c r="J139" i="2"/>
  <c r="I139" i="2"/>
  <c r="H139" i="2"/>
  <c r="G139" i="2"/>
  <c r="F139" i="2"/>
  <c r="A139" i="2"/>
  <c r="V138" i="2"/>
  <c r="W138" i="2" s="1"/>
  <c r="U138" i="2"/>
  <c r="T138" i="2"/>
  <c r="R138" i="2"/>
  <c r="Q138" i="2"/>
  <c r="O138" i="2"/>
  <c r="H138" i="2"/>
  <c r="K138" i="2" s="1"/>
  <c r="G138" i="2"/>
  <c r="J138" i="2" s="1"/>
  <c r="F138" i="2"/>
  <c r="I138" i="2" s="1"/>
  <c r="A138" i="2"/>
  <c r="T137" i="2"/>
  <c r="U137" i="2" s="1"/>
  <c r="Q137" i="2"/>
  <c r="R137" i="2" s="1"/>
  <c r="O137" i="2"/>
  <c r="V137" i="2" s="1"/>
  <c r="K137" i="2"/>
  <c r="J137" i="2"/>
  <c r="I137" i="2"/>
  <c r="H137" i="2"/>
  <c r="G137" i="2"/>
  <c r="F137" i="2"/>
  <c r="A137" i="2"/>
  <c r="V136" i="2"/>
  <c r="T136" i="2"/>
  <c r="U136" i="2" s="1"/>
  <c r="R136" i="2"/>
  <c r="O136" i="2"/>
  <c r="Q136" i="2" s="1"/>
  <c r="W136" i="2" s="1"/>
  <c r="J136" i="2"/>
  <c r="H136" i="2"/>
  <c r="K136" i="2" s="1"/>
  <c r="G136" i="2"/>
  <c r="F136" i="2"/>
  <c r="I136" i="2" s="1"/>
  <c r="A136" i="2"/>
  <c r="T135" i="2"/>
  <c r="R135" i="2"/>
  <c r="Q135" i="2"/>
  <c r="O135" i="2"/>
  <c r="V135" i="2" s="1"/>
  <c r="K135" i="2"/>
  <c r="J135" i="2"/>
  <c r="I135" i="2"/>
  <c r="H135" i="2"/>
  <c r="G135" i="2"/>
  <c r="F135" i="2"/>
  <c r="A135" i="2"/>
  <c r="V134" i="2"/>
  <c r="W134" i="2" s="1"/>
  <c r="T134" i="2"/>
  <c r="U134" i="2" s="1"/>
  <c r="O134" i="2"/>
  <c r="Q134" i="2" s="1"/>
  <c r="R134" i="2" s="1"/>
  <c r="H134" i="2"/>
  <c r="K134" i="2" s="1"/>
  <c r="G134" i="2"/>
  <c r="J134" i="2" s="1"/>
  <c r="F134" i="2"/>
  <c r="I134" i="2" s="1"/>
  <c r="A134" i="2"/>
  <c r="T133" i="2"/>
  <c r="U133" i="2" s="1"/>
  <c r="Q133" i="2"/>
  <c r="R133" i="2" s="1"/>
  <c r="O133" i="2"/>
  <c r="V133" i="2" s="1"/>
  <c r="K133" i="2"/>
  <c r="J133" i="2"/>
  <c r="I133" i="2"/>
  <c r="H133" i="2"/>
  <c r="G133" i="2"/>
  <c r="F133" i="2"/>
  <c r="A133" i="2"/>
  <c r="V132" i="2"/>
  <c r="T132" i="2"/>
  <c r="U132" i="2" s="1"/>
  <c r="O132" i="2"/>
  <c r="Q132" i="2" s="1"/>
  <c r="W132" i="2" s="1"/>
  <c r="J132" i="2"/>
  <c r="H132" i="2"/>
  <c r="K132" i="2" s="1"/>
  <c r="G132" i="2"/>
  <c r="F132" i="2"/>
  <c r="I132" i="2" s="1"/>
  <c r="A132" i="2"/>
  <c r="T131" i="2"/>
  <c r="Q131" i="2"/>
  <c r="R131" i="2" s="1"/>
  <c r="O131" i="2"/>
  <c r="V131" i="2" s="1"/>
  <c r="K131" i="2"/>
  <c r="J131" i="2"/>
  <c r="I131" i="2"/>
  <c r="H131" i="2"/>
  <c r="G131" i="2"/>
  <c r="F131" i="2"/>
  <c r="A131" i="2"/>
  <c r="W130" i="2"/>
  <c r="V130" i="2"/>
  <c r="T130" i="2"/>
  <c r="U130" i="2" s="1"/>
  <c r="O130" i="2"/>
  <c r="Q130" i="2" s="1"/>
  <c r="R130" i="2" s="1"/>
  <c r="H130" i="2"/>
  <c r="K130" i="2" s="1"/>
  <c r="G130" i="2"/>
  <c r="J130" i="2" s="1"/>
  <c r="F130" i="2"/>
  <c r="I130" i="2" s="1"/>
  <c r="A130" i="2"/>
  <c r="T129" i="2"/>
  <c r="U129" i="2" s="1"/>
  <c r="Q129" i="2"/>
  <c r="R129" i="2" s="1"/>
  <c r="O129" i="2"/>
  <c r="V129" i="2" s="1"/>
  <c r="K129" i="2"/>
  <c r="J129" i="2"/>
  <c r="I129" i="2"/>
  <c r="H129" i="2"/>
  <c r="G129" i="2"/>
  <c r="F129" i="2"/>
  <c r="A129" i="2"/>
  <c r="W128" i="2"/>
  <c r="V128" i="2"/>
  <c r="T128" i="2"/>
  <c r="U128" i="2" s="1"/>
  <c r="R128" i="2"/>
  <c r="Q128" i="2"/>
  <c r="O128" i="2"/>
  <c r="I128" i="2"/>
  <c r="H128" i="2"/>
  <c r="K128" i="2" s="1"/>
  <c r="G128" i="2"/>
  <c r="J128" i="2" s="1"/>
  <c r="F128" i="2"/>
  <c r="A128" i="2"/>
  <c r="T127" i="2"/>
  <c r="O127" i="2"/>
  <c r="V127" i="2" s="1"/>
  <c r="K127" i="2"/>
  <c r="J127" i="2"/>
  <c r="I127" i="2"/>
  <c r="H127" i="2"/>
  <c r="G127" i="2"/>
  <c r="F127" i="2"/>
  <c r="A127" i="2"/>
  <c r="V126" i="2"/>
  <c r="W126" i="2" s="1"/>
  <c r="U126" i="2"/>
  <c r="T126" i="2"/>
  <c r="R126" i="2"/>
  <c r="O126" i="2"/>
  <c r="Q126" i="2" s="1"/>
  <c r="H126" i="2"/>
  <c r="K126" i="2" s="1"/>
  <c r="G126" i="2"/>
  <c r="J126" i="2" s="1"/>
  <c r="F126" i="2"/>
  <c r="I126" i="2" s="1"/>
  <c r="A126" i="2"/>
  <c r="T125" i="2"/>
  <c r="U125" i="2" s="1"/>
  <c r="R125" i="2"/>
  <c r="Q125" i="2"/>
  <c r="O125" i="2"/>
  <c r="V125" i="2" s="1"/>
  <c r="K125" i="2"/>
  <c r="J125" i="2"/>
  <c r="I125" i="2"/>
  <c r="H125" i="2"/>
  <c r="G125" i="2"/>
  <c r="F125" i="2"/>
  <c r="A125" i="2"/>
  <c r="W124" i="2"/>
  <c r="V124" i="2"/>
  <c r="T124" i="2"/>
  <c r="U124" i="2" s="1"/>
  <c r="R124" i="2"/>
  <c r="Q124" i="2"/>
  <c r="O124" i="2"/>
  <c r="J124" i="2"/>
  <c r="I124" i="2"/>
  <c r="H124" i="2"/>
  <c r="K124" i="2" s="1"/>
  <c r="G124" i="2"/>
  <c r="F124" i="2"/>
  <c r="A124" i="2"/>
  <c r="T123" i="2"/>
  <c r="Q123" i="2"/>
  <c r="R123" i="2" s="1"/>
  <c r="O123" i="2"/>
  <c r="V123" i="2" s="1"/>
  <c r="K123" i="2"/>
  <c r="J123" i="2"/>
  <c r="I123" i="2"/>
  <c r="H123" i="2"/>
  <c r="G123" i="2"/>
  <c r="F123" i="2"/>
  <c r="A123" i="2"/>
  <c r="W122" i="2"/>
  <c r="V122" i="2"/>
  <c r="T122" i="2"/>
  <c r="U122" i="2" s="1"/>
  <c r="R122" i="2"/>
  <c r="Q122" i="2"/>
  <c r="O122" i="2"/>
  <c r="J122" i="2"/>
  <c r="H122" i="2"/>
  <c r="K122" i="2" s="1"/>
  <c r="G122" i="2"/>
  <c r="F122" i="2"/>
  <c r="I122" i="2" s="1"/>
  <c r="A122" i="2"/>
  <c r="T121" i="2"/>
  <c r="O121" i="2"/>
  <c r="K121" i="2"/>
  <c r="J121" i="2"/>
  <c r="I121" i="2"/>
  <c r="H121" i="2"/>
  <c r="G121" i="2"/>
  <c r="F121" i="2"/>
  <c r="A121" i="2"/>
  <c r="V120" i="2"/>
  <c r="W120" i="2" s="1"/>
  <c r="U120" i="2"/>
  <c r="T120" i="2"/>
  <c r="R120" i="2"/>
  <c r="Q120" i="2"/>
  <c r="O120" i="2"/>
  <c r="J120" i="2"/>
  <c r="H120" i="2"/>
  <c r="K120" i="2" s="1"/>
  <c r="G120" i="2"/>
  <c r="F120" i="2"/>
  <c r="I120" i="2" s="1"/>
  <c r="A120" i="2"/>
  <c r="T119" i="2"/>
  <c r="U119" i="2" s="1"/>
  <c r="O119" i="2"/>
  <c r="K119" i="2"/>
  <c r="J119" i="2"/>
  <c r="I119" i="2"/>
  <c r="H119" i="2"/>
  <c r="G119" i="2"/>
  <c r="F119" i="2"/>
  <c r="A119" i="2"/>
  <c r="V118" i="2"/>
  <c r="W118" i="2" s="1"/>
  <c r="U118" i="2"/>
  <c r="T118" i="2"/>
  <c r="O118" i="2"/>
  <c r="Q118" i="2" s="1"/>
  <c r="R118" i="2" s="1"/>
  <c r="I118" i="2"/>
  <c r="H118" i="2"/>
  <c r="K118" i="2" s="1"/>
  <c r="G118" i="2"/>
  <c r="J118" i="2" s="1"/>
  <c r="F118" i="2"/>
  <c r="A118" i="2"/>
  <c r="T117" i="2"/>
  <c r="O117" i="2"/>
  <c r="V117" i="2" s="1"/>
  <c r="K117" i="2"/>
  <c r="J117" i="2"/>
  <c r="I117" i="2"/>
  <c r="H117" i="2"/>
  <c r="G117" i="2"/>
  <c r="F117" i="2"/>
  <c r="A117" i="2"/>
  <c r="V116" i="2"/>
  <c r="W116" i="2" s="1"/>
  <c r="U116" i="2"/>
  <c r="T116" i="2"/>
  <c r="R116" i="2"/>
  <c r="O116" i="2"/>
  <c r="Q116" i="2" s="1"/>
  <c r="J116" i="2"/>
  <c r="H116" i="2"/>
  <c r="K116" i="2" s="1"/>
  <c r="G116" i="2"/>
  <c r="F116" i="2"/>
  <c r="I116" i="2" s="1"/>
  <c r="A116" i="2"/>
  <c r="T115" i="2"/>
  <c r="O115" i="2"/>
  <c r="K115" i="2"/>
  <c r="J115" i="2"/>
  <c r="I115" i="2"/>
  <c r="H115" i="2"/>
  <c r="G115" i="2"/>
  <c r="F115" i="2"/>
  <c r="A115" i="2"/>
  <c r="V114" i="2"/>
  <c r="U114" i="2"/>
  <c r="T114" i="2"/>
  <c r="O114" i="2"/>
  <c r="Q114" i="2" s="1"/>
  <c r="R114" i="2" s="1"/>
  <c r="J114" i="2"/>
  <c r="I114" i="2"/>
  <c r="H114" i="2"/>
  <c r="K114" i="2" s="1"/>
  <c r="G114" i="2"/>
  <c r="F114" i="2"/>
  <c r="A114" i="2"/>
  <c r="T113" i="2"/>
  <c r="O113" i="2"/>
  <c r="V113" i="2" s="1"/>
  <c r="K113" i="2"/>
  <c r="J113" i="2"/>
  <c r="I113" i="2"/>
  <c r="H113" i="2"/>
  <c r="G113" i="2"/>
  <c r="F113" i="2"/>
  <c r="A113" i="2"/>
  <c r="V112" i="2"/>
  <c r="W112" i="2" s="1"/>
  <c r="T112" i="2"/>
  <c r="U112" i="2" s="1"/>
  <c r="R112" i="2"/>
  <c r="Q112" i="2"/>
  <c r="O112" i="2"/>
  <c r="H112" i="2"/>
  <c r="K112" i="2" s="1"/>
  <c r="G112" i="2"/>
  <c r="J112" i="2" s="1"/>
  <c r="F112" i="2"/>
  <c r="I112" i="2" s="1"/>
  <c r="A112" i="2"/>
  <c r="T111" i="2"/>
  <c r="U111" i="2" s="1"/>
  <c r="Q111" i="2"/>
  <c r="R111" i="2" s="1"/>
  <c r="O111" i="2"/>
  <c r="V111" i="2" s="1"/>
  <c r="K111" i="2"/>
  <c r="J111" i="2"/>
  <c r="I111" i="2"/>
  <c r="H111" i="2"/>
  <c r="G111" i="2"/>
  <c r="F111" i="2"/>
  <c r="A111" i="2"/>
  <c r="W110" i="2"/>
  <c r="V110" i="2"/>
  <c r="T110" i="2"/>
  <c r="U110" i="2" s="1"/>
  <c r="O110" i="2"/>
  <c r="Q110" i="2" s="1"/>
  <c r="R110" i="2" s="1"/>
  <c r="J110" i="2"/>
  <c r="I110" i="2"/>
  <c r="H110" i="2"/>
  <c r="K110" i="2" s="1"/>
  <c r="G110" i="2"/>
  <c r="F110" i="2"/>
  <c r="A110" i="2"/>
  <c r="T109" i="2"/>
  <c r="Q109" i="2"/>
  <c r="R109" i="2" s="1"/>
  <c r="O109" i="2"/>
  <c r="V109" i="2" s="1"/>
  <c r="K109" i="2"/>
  <c r="J109" i="2"/>
  <c r="I109" i="2"/>
  <c r="H109" i="2"/>
  <c r="G109" i="2"/>
  <c r="F109" i="2"/>
  <c r="A109" i="2"/>
  <c r="W108" i="2"/>
  <c r="V108" i="2"/>
  <c r="U108" i="2"/>
  <c r="T108" i="2"/>
  <c r="R108" i="2"/>
  <c r="Q108" i="2"/>
  <c r="O108" i="2"/>
  <c r="H108" i="2"/>
  <c r="K108" i="2" s="1"/>
  <c r="G108" i="2"/>
  <c r="J108" i="2" s="1"/>
  <c r="F108" i="2"/>
  <c r="I108" i="2" s="1"/>
  <c r="A108" i="2"/>
  <c r="T107" i="2"/>
  <c r="U107" i="2" s="1"/>
  <c r="R107" i="2"/>
  <c r="Q107" i="2"/>
  <c r="O107" i="2"/>
  <c r="V107" i="2" s="1"/>
  <c r="K107" i="2"/>
  <c r="J107" i="2"/>
  <c r="I107" i="2"/>
  <c r="H107" i="2"/>
  <c r="G107" i="2"/>
  <c r="F107" i="2"/>
  <c r="A107" i="2"/>
  <c r="V106" i="2"/>
  <c r="T106" i="2"/>
  <c r="U106" i="2" s="1"/>
  <c r="R106" i="2"/>
  <c r="O106" i="2"/>
  <c r="Q106" i="2" s="1"/>
  <c r="W106" i="2" s="1"/>
  <c r="I106" i="2"/>
  <c r="H106" i="2"/>
  <c r="K106" i="2" s="1"/>
  <c r="G106" i="2"/>
  <c r="J106" i="2" s="1"/>
  <c r="F106" i="2"/>
  <c r="A106" i="2"/>
  <c r="T105" i="2"/>
  <c r="U105" i="2" s="1"/>
  <c r="R105" i="2"/>
  <c r="Q105" i="2"/>
  <c r="O105" i="2"/>
  <c r="V105" i="2" s="1"/>
  <c r="K105" i="2"/>
  <c r="J105" i="2"/>
  <c r="I105" i="2"/>
  <c r="H105" i="2"/>
  <c r="G105" i="2"/>
  <c r="F105" i="2"/>
  <c r="A105" i="2"/>
  <c r="W104" i="2"/>
  <c r="V104" i="2"/>
  <c r="U104" i="2"/>
  <c r="T104" i="2"/>
  <c r="R104" i="2"/>
  <c r="Q104" i="2"/>
  <c r="O104" i="2"/>
  <c r="I104" i="2"/>
  <c r="H104" i="2"/>
  <c r="K104" i="2" s="1"/>
  <c r="G104" i="2"/>
  <c r="J104" i="2" s="1"/>
  <c r="F104" i="2"/>
  <c r="A104" i="2"/>
  <c r="T103" i="2"/>
  <c r="U103" i="2" s="1"/>
  <c r="O103" i="2"/>
  <c r="V103" i="2" s="1"/>
  <c r="K103" i="2"/>
  <c r="J103" i="2"/>
  <c r="I103" i="2"/>
  <c r="H103" i="2"/>
  <c r="G103" i="2"/>
  <c r="F103" i="2"/>
  <c r="A103" i="2"/>
  <c r="V102" i="2"/>
  <c r="W102" i="2" s="1"/>
  <c r="T102" i="2"/>
  <c r="U102" i="2" s="1"/>
  <c r="R102" i="2"/>
  <c r="Q102" i="2"/>
  <c r="O102" i="2"/>
  <c r="J102" i="2"/>
  <c r="I102" i="2"/>
  <c r="H102" i="2"/>
  <c r="K102" i="2" s="1"/>
  <c r="G102" i="2"/>
  <c r="F102" i="2"/>
  <c r="A102" i="2"/>
  <c r="T101" i="2"/>
  <c r="U101" i="2" s="1"/>
  <c r="R101" i="2"/>
  <c r="Q101" i="2"/>
  <c r="O101" i="2"/>
  <c r="V101" i="2" s="1"/>
  <c r="K101" i="2"/>
  <c r="J101" i="2"/>
  <c r="I101" i="2"/>
  <c r="H101" i="2"/>
  <c r="G101" i="2"/>
  <c r="F101" i="2"/>
  <c r="A101" i="2"/>
  <c r="W100" i="2"/>
  <c r="V100" i="2"/>
  <c r="U100" i="2"/>
  <c r="T100" i="2"/>
  <c r="O100" i="2"/>
  <c r="Q100" i="2" s="1"/>
  <c r="R100" i="2" s="1"/>
  <c r="H100" i="2"/>
  <c r="K100" i="2" s="1"/>
  <c r="G100" i="2"/>
  <c r="J100" i="2" s="1"/>
  <c r="F100" i="2"/>
  <c r="I100" i="2" s="1"/>
  <c r="A100" i="2"/>
  <c r="T99" i="2"/>
  <c r="O99" i="2"/>
  <c r="K99" i="2"/>
  <c r="J99" i="2"/>
  <c r="I99" i="2"/>
  <c r="H99" i="2"/>
  <c r="G99" i="2"/>
  <c r="F99" i="2"/>
  <c r="A99" i="2"/>
  <c r="V98" i="2"/>
  <c r="W98" i="2" s="1"/>
  <c r="T98" i="2"/>
  <c r="U98" i="2" s="1"/>
  <c r="R98" i="2"/>
  <c r="Q98" i="2"/>
  <c r="O98" i="2"/>
  <c r="J98" i="2"/>
  <c r="H98" i="2"/>
  <c r="K98" i="2" s="1"/>
  <c r="G98" i="2"/>
  <c r="F98" i="2"/>
  <c r="I98" i="2" s="1"/>
  <c r="A98" i="2"/>
  <c r="T97" i="2"/>
  <c r="O97" i="2"/>
  <c r="K97" i="2"/>
  <c r="J97" i="2"/>
  <c r="I97" i="2"/>
  <c r="H97" i="2"/>
  <c r="G97" i="2"/>
  <c r="F97" i="2"/>
  <c r="A97" i="2"/>
  <c r="V96" i="2"/>
  <c r="W96" i="2" s="1"/>
  <c r="U96" i="2"/>
  <c r="T96" i="2"/>
  <c r="R96" i="2"/>
  <c r="Q96" i="2"/>
  <c r="O96" i="2"/>
  <c r="J96" i="2"/>
  <c r="H96" i="2"/>
  <c r="K96" i="2" s="1"/>
  <c r="G96" i="2"/>
  <c r="F96" i="2"/>
  <c r="I96" i="2" s="1"/>
  <c r="A96" i="2"/>
  <c r="T95" i="2"/>
  <c r="O95" i="2"/>
  <c r="V95" i="2" s="1"/>
  <c r="K95" i="2"/>
  <c r="J95" i="2"/>
  <c r="I95" i="2"/>
  <c r="H95" i="2"/>
  <c r="G95" i="2"/>
  <c r="F95" i="2"/>
  <c r="A95" i="2"/>
  <c r="V94" i="2"/>
  <c r="W94" i="2" s="1"/>
  <c r="T94" i="2"/>
  <c r="U94" i="2" s="1"/>
  <c r="R94" i="2"/>
  <c r="Q94" i="2"/>
  <c r="O94" i="2"/>
  <c r="H94" i="2"/>
  <c r="K94" i="2" s="1"/>
  <c r="G94" i="2"/>
  <c r="J94" i="2" s="1"/>
  <c r="F94" i="2"/>
  <c r="I94" i="2" s="1"/>
  <c r="A94" i="2"/>
  <c r="T93" i="2"/>
  <c r="U93" i="2" s="1"/>
  <c r="R93" i="2"/>
  <c r="Q93" i="2"/>
  <c r="O93" i="2"/>
  <c r="V93" i="2" s="1"/>
  <c r="K93" i="2"/>
  <c r="J93" i="2"/>
  <c r="I93" i="2"/>
  <c r="H93" i="2"/>
  <c r="G93" i="2"/>
  <c r="F93" i="2"/>
  <c r="A93" i="2"/>
  <c r="W92" i="2"/>
  <c r="V92" i="2"/>
  <c r="T92" i="2"/>
  <c r="U92" i="2" s="1"/>
  <c r="R92" i="2"/>
  <c r="Q92" i="2"/>
  <c r="O92" i="2"/>
  <c r="J92" i="2"/>
  <c r="I92" i="2"/>
  <c r="H92" i="2"/>
  <c r="K92" i="2" s="1"/>
  <c r="G92" i="2"/>
  <c r="F92" i="2"/>
  <c r="A92" i="2"/>
  <c r="T91" i="2"/>
  <c r="U91" i="2" s="1"/>
  <c r="Q91" i="2"/>
  <c r="R91" i="2" s="1"/>
  <c r="O91" i="2"/>
  <c r="V91" i="2" s="1"/>
  <c r="K91" i="2"/>
  <c r="J91" i="2"/>
  <c r="I91" i="2"/>
  <c r="H91" i="2"/>
  <c r="G91" i="2"/>
  <c r="F91" i="2"/>
  <c r="A91" i="2"/>
  <c r="W90" i="2"/>
  <c r="V90" i="2"/>
  <c r="T90" i="2"/>
  <c r="U90" i="2" s="1"/>
  <c r="R90" i="2"/>
  <c r="O90" i="2"/>
  <c r="Q90" i="2" s="1"/>
  <c r="H90" i="2"/>
  <c r="K90" i="2" s="1"/>
  <c r="G90" i="2"/>
  <c r="J90" i="2" s="1"/>
  <c r="F90" i="2"/>
  <c r="I90" i="2" s="1"/>
  <c r="A90" i="2"/>
  <c r="T89" i="2"/>
  <c r="U89" i="2" s="1"/>
  <c r="O89" i="2"/>
  <c r="V89" i="2" s="1"/>
  <c r="K89" i="2"/>
  <c r="J89" i="2"/>
  <c r="I89" i="2"/>
  <c r="H89" i="2"/>
  <c r="G89" i="2"/>
  <c r="F89" i="2"/>
  <c r="A89" i="2"/>
  <c r="V88" i="2"/>
  <c r="U88" i="2"/>
  <c r="T88" i="2"/>
  <c r="O88" i="2"/>
  <c r="Q88" i="2" s="1"/>
  <c r="R88" i="2" s="1"/>
  <c r="J88" i="2"/>
  <c r="I88" i="2"/>
  <c r="H88" i="2"/>
  <c r="K88" i="2" s="1"/>
  <c r="G88" i="2"/>
  <c r="F88" i="2"/>
  <c r="A88" i="2"/>
  <c r="T87" i="2"/>
  <c r="O87" i="2"/>
  <c r="V87" i="2" s="1"/>
  <c r="K87" i="2"/>
  <c r="J87" i="2"/>
  <c r="I87" i="2"/>
  <c r="H87" i="2"/>
  <c r="G87" i="2"/>
  <c r="F87" i="2"/>
  <c r="A87" i="2"/>
  <c r="V86" i="2"/>
  <c r="W86" i="2" s="1"/>
  <c r="T86" i="2"/>
  <c r="U86" i="2" s="1"/>
  <c r="R86" i="2"/>
  <c r="Q86" i="2"/>
  <c r="O86" i="2"/>
  <c r="I86" i="2"/>
  <c r="H86" i="2"/>
  <c r="K86" i="2" s="1"/>
  <c r="G86" i="2"/>
  <c r="J86" i="2" s="1"/>
  <c r="F86" i="2"/>
  <c r="A86" i="2"/>
  <c r="T85" i="2"/>
  <c r="O85" i="2"/>
  <c r="K85" i="2"/>
  <c r="J85" i="2"/>
  <c r="I85" i="2"/>
  <c r="H85" i="2"/>
  <c r="G85" i="2"/>
  <c r="F85" i="2"/>
  <c r="A85" i="2"/>
  <c r="V84" i="2"/>
  <c r="W84" i="2" s="1"/>
  <c r="T84" i="2"/>
  <c r="U84" i="2" s="1"/>
  <c r="R84" i="2"/>
  <c r="Q84" i="2"/>
  <c r="O84" i="2"/>
  <c r="J84" i="2"/>
  <c r="H84" i="2"/>
  <c r="K84" i="2" s="1"/>
  <c r="G84" i="2"/>
  <c r="F84" i="2"/>
  <c r="I84" i="2" s="1"/>
  <c r="A84" i="2"/>
  <c r="T83" i="2"/>
  <c r="U83" i="2" s="1"/>
  <c r="O83" i="2"/>
  <c r="K83" i="2"/>
  <c r="J83" i="2"/>
  <c r="I83" i="2"/>
  <c r="H83" i="2"/>
  <c r="G83" i="2"/>
  <c r="F83" i="2"/>
  <c r="A83" i="2"/>
  <c r="V82" i="2"/>
  <c r="U82" i="2"/>
  <c r="T82" i="2"/>
  <c r="O82" i="2"/>
  <c r="Q82" i="2" s="1"/>
  <c r="R82" i="2" s="1"/>
  <c r="I82" i="2"/>
  <c r="H82" i="2"/>
  <c r="K82" i="2" s="1"/>
  <c r="G82" i="2"/>
  <c r="J82" i="2" s="1"/>
  <c r="F82" i="2"/>
  <c r="A82" i="2"/>
  <c r="T81" i="2"/>
  <c r="O81" i="2"/>
  <c r="V81" i="2" s="1"/>
  <c r="K81" i="2"/>
  <c r="J81" i="2"/>
  <c r="I81" i="2"/>
  <c r="H81" i="2"/>
  <c r="G81" i="2"/>
  <c r="F81" i="2"/>
  <c r="A81" i="2"/>
  <c r="V80" i="2"/>
  <c r="W80" i="2" s="1"/>
  <c r="T80" i="2"/>
  <c r="U80" i="2" s="1"/>
  <c r="R80" i="2"/>
  <c r="O80" i="2"/>
  <c r="Q80" i="2" s="1"/>
  <c r="J80" i="2"/>
  <c r="H80" i="2"/>
  <c r="K80" i="2" s="1"/>
  <c r="G80" i="2"/>
  <c r="F80" i="2"/>
  <c r="I80" i="2" s="1"/>
  <c r="A80" i="2"/>
  <c r="T79" i="2"/>
  <c r="O79" i="2"/>
  <c r="K79" i="2"/>
  <c r="J79" i="2"/>
  <c r="I79" i="2"/>
  <c r="H79" i="2"/>
  <c r="G79" i="2"/>
  <c r="F79" i="2"/>
  <c r="A79" i="2"/>
  <c r="V78" i="2"/>
  <c r="U78" i="2"/>
  <c r="T78" i="2"/>
  <c r="O78" i="2"/>
  <c r="Q78" i="2" s="1"/>
  <c r="R78" i="2" s="1"/>
  <c r="J78" i="2"/>
  <c r="I78" i="2"/>
  <c r="H78" i="2"/>
  <c r="K78" i="2" s="1"/>
  <c r="G78" i="2"/>
  <c r="F78" i="2"/>
  <c r="A78" i="2"/>
  <c r="T77" i="2"/>
  <c r="O77" i="2"/>
  <c r="K77" i="2"/>
  <c r="J77" i="2"/>
  <c r="I77" i="2"/>
  <c r="H77" i="2"/>
  <c r="G77" i="2"/>
  <c r="F77" i="2"/>
  <c r="A77" i="2"/>
  <c r="V76" i="2"/>
  <c r="W76" i="2" s="1"/>
  <c r="U76" i="2"/>
  <c r="T76" i="2"/>
  <c r="R76" i="2"/>
  <c r="Q76" i="2"/>
  <c r="O76" i="2"/>
  <c r="H76" i="2"/>
  <c r="K76" i="2" s="1"/>
  <c r="G76" i="2"/>
  <c r="J76" i="2" s="1"/>
  <c r="F76" i="2"/>
  <c r="I76" i="2" s="1"/>
  <c r="A76" i="2"/>
  <c r="W75" i="2"/>
  <c r="T75" i="2"/>
  <c r="U75" i="2" s="1"/>
  <c r="R75" i="2"/>
  <c r="Q75" i="2"/>
  <c r="O75" i="2"/>
  <c r="V75" i="2" s="1"/>
  <c r="I75" i="2"/>
  <c r="H75" i="2"/>
  <c r="K75" i="2" s="1"/>
  <c r="G75" i="2"/>
  <c r="J75" i="2" s="1"/>
  <c r="F75" i="2"/>
  <c r="A75" i="2"/>
  <c r="T74" i="2"/>
  <c r="U74" i="2" s="1"/>
  <c r="O74" i="2"/>
  <c r="V74" i="2" s="1"/>
  <c r="J74" i="2"/>
  <c r="I74" i="2"/>
  <c r="H74" i="2"/>
  <c r="K74" i="2" s="1"/>
  <c r="G74" i="2"/>
  <c r="F74" i="2"/>
  <c r="A74" i="2"/>
  <c r="T73" i="2"/>
  <c r="O73" i="2"/>
  <c r="Q73" i="2" s="1"/>
  <c r="R73" i="2" s="1"/>
  <c r="I73" i="2"/>
  <c r="H73" i="2"/>
  <c r="K73" i="2" s="1"/>
  <c r="G73" i="2"/>
  <c r="J73" i="2" s="1"/>
  <c r="F73" i="2"/>
  <c r="A73" i="2"/>
  <c r="T72" i="2"/>
  <c r="O72" i="2"/>
  <c r="U72" i="2" s="1"/>
  <c r="J72" i="2"/>
  <c r="I72" i="2"/>
  <c r="H72" i="2"/>
  <c r="K72" i="2" s="1"/>
  <c r="G72" i="2"/>
  <c r="F72" i="2"/>
  <c r="A72" i="2"/>
  <c r="T71" i="2"/>
  <c r="O71" i="2"/>
  <c r="K71" i="2"/>
  <c r="J71" i="2"/>
  <c r="I71" i="2"/>
  <c r="H71" i="2"/>
  <c r="G71" i="2"/>
  <c r="F71" i="2"/>
  <c r="A71" i="2"/>
  <c r="V70" i="2"/>
  <c r="W70" i="2" s="1"/>
  <c r="T70" i="2"/>
  <c r="U70" i="2" s="1"/>
  <c r="O70" i="2"/>
  <c r="Q70" i="2" s="1"/>
  <c r="R70" i="2" s="1"/>
  <c r="J70" i="2"/>
  <c r="H70" i="2"/>
  <c r="K70" i="2" s="1"/>
  <c r="G70" i="2"/>
  <c r="F70" i="2"/>
  <c r="I70" i="2" s="1"/>
  <c r="A70" i="2"/>
  <c r="T69" i="2"/>
  <c r="O69" i="2"/>
  <c r="V69" i="2" s="1"/>
  <c r="J69" i="2"/>
  <c r="I69" i="2"/>
  <c r="H69" i="2"/>
  <c r="K69" i="2" s="1"/>
  <c r="G69" i="2"/>
  <c r="F69" i="2"/>
  <c r="A69" i="2"/>
  <c r="V68" i="2"/>
  <c r="W68" i="2" s="1"/>
  <c r="T68" i="2"/>
  <c r="U68" i="2" s="1"/>
  <c r="Q68" i="2"/>
  <c r="R68" i="2" s="1"/>
  <c r="O68" i="2"/>
  <c r="H68" i="2"/>
  <c r="K68" i="2" s="1"/>
  <c r="G68" i="2"/>
  <c r="J68" i="2" s="1"/>
  <c r="F68" i="2"/>
  <c r="I68" i="2" s="1"/>
  <c r="A68" i="2"/>
  <c r="V67" i="2"/>
  <c r="W67" i="2" s="1"/>
  <c r="T67" i="2"/>
  <c r="O67" i="2"/>
  <c r="Q67" i="2" s="1"/>
  <c r="R67" i="2" s="1"/>
  <c r="J67" i="2"/>
  <c r="I67" i="2"/>
  <c r="H67" i="2"/>
  <c r="K67" i="2" s="1"/>
  <c r="G67" i="2"/>
  <c r="F67" i="2"/>
  <c r="A67" i="2"/>
  <c r="V66" i="2"/>
  <c r="T66" i="2"/>
  <c r="U66" i="2" s="1"/>
  <c r="Q66" i="2"/>
  <c r="R66" i="2" s="1"/>
  <c r="O66" i="2"/>
  <c r="J66" i="2"/>
  <c r="H66" i="2"/>
  <c r="K66" i="2" s="1"/>
  <c r="G66" i="2"/>
  <c r="F66" i="2"/>
  <c r="I66" i="2" s="1"/>
  <c r="A66" i="2"/>
  <c r="V65" i="2"/>
  <c r="W65" i="2" s="1"/>
  <c r="T65" i="2"/>
  <c r="U65" i="2" s="1"/>
  <c r="R65" i="2"/>
  <c r="Q65" i="2"/>
  <c r="O65" i="2"/>
  <c r="I65" i="2"/>
  <c r="H65" i="2"/>
  <c r="K65" i="2" s="1"/>
  <c r="G65" i="2"/>
  <c r="J65" i="2" s="1"/>
  <c r="F65" i="2"/>
  <c r="A65" i="2"/>
  <c r="T64" i="2"/>
  <c r="U64" i="2" s="1"/>
  <c r="Q64" i="2"/>
  <c r="R64" i="2" s="1"/>
  <c r="O64" i="2"/>
  <c r="V64" i="2" s="1"/>
  <c r="J64" i="2"/>
  <c r="I64" i="2"/>
  <c r="H64" i="2"/>
  <c r="K64" i="2" s="1"/>
  <c r="G64" i="2"/>
  <c r="F64" i="2"/>
  <c r="A64" i="2"/>
  <c r="V63" i="2"/>
  <c r="W63" i="2" s="1"/>
  <c r="T63" i="2"/>
  <c r="U63" i="2" s="1"/>
  <c r="R63" i="2"/>
  <c r="O63" i="2"/>
  <c r="Q63" i="2" s="1"/>
  <c r="I63" i="2"/>
  <c r="H63" i="2"/>
  <c r="K63" i="2" s="1"/>
  <c r="G63" i="2"/>
  <c r="J63" i="2" s="1"/>
  <c r="F63" i="2"/>
  <c r="A63" i="2"/>
  <c r="V62" i="2"/>
  <c r="W62" i="2" s="1"/>
  <c r="T62" i="2"/>
  <c r="Q62" i="2"/>
  <c r="R62" i="2" s="1"/>
  <c r="O62" i="2"/>
  <c r="U62" i="2" s="1"/>
  <c r="J62" i="2"/>
  <c r="H62" i="2"/>
  <c r="K62" i="2" s="1"/>
  <c r="G62" i="2"/>
  <c r="F62" i="2"/>
  <c r="I62" i="2" s="1"/>
  <c r="A62" i="2"/>
  <c r="T61" i="2"/>
  <c r="U61" i="2" s="1"/>
  <c r="O61" i="2"/>
  <c r="Q61" i="2" s="1"/>
  <c r="R61" i="2" s="1"/>
  <c r="K61" i="2"/>
  <c r="J61" i="2"/>
  <c r="I61" i="2"/>
  <c r="H61" i="2"/>
  <c r="G61" i="2"/>
  <c r="F61" i="2"/>
  <c r="A61" i="2"/>
  <c r="V60" i="2"/>
  <c r="T60" i="2"/>
  <c r="U60" i="2" s="1"/>
  <c r="O60" i="2"/>
  <c r="Q60" i="2" s="1"/>
  <c r="R60" i="2" s="1"/>
  <c r="J60" i="2"/>
  <c r="I60" i="2"/>
  <c r="H60" i="2"/>
  <c r="K60" i="2" s="1"/>
  <c r="G60" i="2"/>
  <c r="F60" i="2"/>
  <c r="A60" i="2"/>
  <c r="T59" i="2"/>
  <c r="O59" i="2"/>
  <c r="V59" i="2" s="1"/>
  <c r="J59" i="2"/>
  <c r="I59" i="2"/>
  <c r="H59" i="2"/>
  <c r="K59" i="2" s="1"/>
  <c r="G59" i="2"/>
  <c r="F59" i="2"/>
  <c r="A59" i="2"/>
  <c r="V58" i="2"/>
  <c r="W58" i="2" s="1"/>
  <c r="T58" i="2"/>
  <c r="U58" i="2" s="1"/>
  <c r="O58" i="2"/>
  <c r="Q58" i="2" s="1"/>
  <c r="R58" i="2" s="1"/>
  <c r="H58" i="2"/>
  <c r="K58" i="2" s="1"/>
  <c r="G58" i="2"/>
  <c r="J58" i="2" s="1"/>
  <c r="F58" i="2"/>
  <c r="I58" i="2" s="1"/>
  <c r="A58" i="2"/>
  <c r="T57" i="2"/>
  <c r="O57" i="2"/>
  <c r="K57" i="2"/>
  <c r="J57" i="2"/>
  <c r="I57" i="2"/>
  <c r="H57" i="2"/>
  <c r="G57" i="2"/>
  <c r="F57" i="2"/>
  <c r="A57" i="2"/>
  <c r="V56" i="2"/>
  <c r="W56" i="2" s="1"/>
  <c r="T56" i="2"/>
  <c r="U56" i="2" s="1"/>
  <c r="Q56" i="2"/>
  <c r="R56" i="2" s="1"/>
  <c r="O56" i="2"/>
  <c r="H56" i="2"/>
  <c r="K56" i="2" s="1"/>
  <c r="G56" i="2"/>
  <c r="J56" i="2" s="1"/>
  <c r="F56" i="2"/>
  <c r="I56" i="2" s="1"/>
  <c r="A56" i="2"/>
  <c r="V55" i="2"/>
  <c r="T55" i="2"/>
  <c r="O55" i="2"/>
  <c r="Q55" i="2" s="1"/>
  <c r="R55" i="2" s="1"/>
  <c r="J55" i="2"/>
  <c r="I55" i="2"/>
  <c r="H55" i="2"/>
  <c r="K55" i="2" s="1"/>
  <c r="G55" i="2"/>
  <c r="F55" i="2"/>
  <c r="A55" i="2"/>
  <c r="V54" i="2"/>
  <c r="T54" i="2"/>
  <c r="U54" i="2" s="1"/>
  <c r="Q54" i="2"/>
  <c r="R54" i="2" s="1"/>
  <c r="O54" i="2"/>
  <c r="J54" i="2"/>
  <c r="H54" i="2"/>
  <c r="K54" i="2" s="1"/>
  <c r="G54" i="2"/>
  <c r="F54" i="2"/>
  <c r="I54" i="2" s="1"/>
  <c r="A54" i="2"/>
  <c r="V53" i="2"/>
  <c r="W53" i="2" s="1"/>
  <c r="T53" i="2"/>
  <c r="U53" i="2" s="1"/>
  <c r="O53" i="2"/>
  <c r="Q53" i="2" s="1"/>
  <c r="R53" i="2" s="1"/>
  <c r="I53" i="2"/>
  <c r="H53" i="2"/>
  <c r="K53" i="2" s="1"/>
  <c r="G53" i="2"/>
  <c r="J53" i="2" s="1"/>
  <c r="F53" i="2"/>
  <c r="A53" i="2"/>
  <c r="T52" i="2"/>
  <c r="O52" i="2"/>
  <c r="V52" i="2" s="1"/>
  <c r="J52" i="2"/>
  <c r="I52" i="2"/>
  <c r="H52" i="2"/>
  <c r="K52" i="2" s="1"/>
  <c r="G52" i="2"/>
  <c r="F52" i="2"/>
  <c r="A52" i="2"/>
  <c r="V51" i="2"/>
  <c r="T51" i="2"/>
  <c r="U51" i="2" s="1"/>
  <c r="O51" i="2"/>
  <c r="Q51" i="2" s="1"/>
  <c r="R51" i="2" s="1"/>
  <c r="I51" i="2"/>
  <c r="H51" i="2"/>
  <c r="K51" i="2" s="1"/>
  <c r="G51" i="2"/>
  <c r="J51" i="2" s="1"/>
  <c r="F51" i="2"/>
  <c r="A51" i="2"/>
  <c r="T50" i="2"/>
  <c r="U50" i="2" s="1"/>
  <c r="O50" i="2"/>
  <c r="Q50" i="2" s="1"/>
  <c r="R50" i="2" s="1"/>
  <c r="J50" i="2"/>
  <c r="I50" i="2"/>
  <c r="H50" i="2"/>
  <c r="K50" i="2" s="1"/>
  <c r="G50" i="2"/>
  <c r="F50" i="2"/>
  <c r="A50" i="2"/>
  <c r="T49" i="2"/>
  <c r="O49" i="2"/>
  <c r="V49" i="2" s="1"/>
  <c r="K49" i="2"/>
  <c r="J49" i="2"/>
  <c r="I49" i="2"/>
  <c r="H49" i="2"/>
  <c r="G49" i="2"/>
  <c r="F49" i="2"/>
  <c r="A49" i="2"/>
  <c r="V48" i="2"/>
  <c r="W48" i="2" s="1"/>
  <c r="T48" i="2"/>
  <c r="U48" i="2" s="1"/>
  <c r="O48" i="2"/>
  <c r="Q48" i="2" s="1"/>
  <c r="R48" i="2" s="1"/>
  <c r="H48" i="2"/>
  <c r="K48" i="2" s="1"/>
  <c r="G48" i="2"/>
  <c r="J48" i="2" s="1"/>
  <c r="F48" i="2"/>
  <c r="I48" i="2" s="1"/>
  <c r="A48" i="2"/>
  <c r="T47" i="2"/>
  <c r="O47" i="2"/>
  <c r="K47" i="2"/>
  <c r="J47" i="2"/>
  <c r="I47" i="2"/>
  <c r="H47" i="2"/>
  <c r="G47" i="2"/>
  <c r="F47" i="2"/>
  <c r="A47" i="2"/>
  <c r="V46" i="2"/>
  <c r="W46" i="2" s="1"/>
  <c r="T46" i="2"/>
  <c r="U46" i="2" s="1"/>
  <c r="Q46" i="2"/>
  <c r="R46" i="2" s="1"/>
  <c r="O46" i="2"/>
  <c r="H46" i="2"/>
  <c r="K46" i="2" s="1"/>
  <c r="G46" i="2"/>
  <c r="J46" i="2" s="1"/>
  <c r="F46" i="2"/>
  <c r="I46" i="2" s="1"/>
  <c r="A46" i="2"/>
  <c r="V45" i="2"/>
  <c r="T45" i="2"/>
  <c r="O45" i="2"/>
  <c r="Q45" i="2" s="1"/>
  <c r="R45" i="2" s="1"/>
  <c r="J45" i="2"/>
  <c r="I45" i="2"/>
  <c r="H45" i="2"/>
  <c r="K45" i="2" s="1"/>
  <c r="G45" i="2"/>
  <c r="F45" i="2"/>
  <c r="A45" i="2"/>
  <c r="V44" i="2"/>
  <c r="T44" i="2"/>
  <c r="U44" i="2" s="1"/>
  <c r="Q44" i="2"/>
  <c r="R44" i="2" s="1"/>
  <c r="O44" i="2"/>
  <c r="J44" i="2"/>
  <c r="H44" i="2"/>
  <c r="K44" i="2" s="1"/>
  <c r="G44" i="2"/>
  <c r="F44" i="2"/>
  <c r="I44" i="2" s="1"/>
  <c r="A44" i="2"/>
  <c r="V43" i="2"/>
  <c r="W43" i="2" s="1"/>
  <c r="T43" i="2"/>
  <c r="U43" i="2" s="1"/>
  <c r="R43" i="2"/>
  <c r="Q43" i="2"/>
  <c r="O43" i="2"/>
  <c r="I43" i="2"/>
  <c r="H43" i="2"/>
  <c r="K43" i="2" s="1"/>
  <c r="G43" i="2"/>
  <c r="J43" i="2" s="1"/>
  <c r="F43" i="2"/>
  <c r="A43" i="2"/>
  <c r="T42" i="2"/>
  <c r="U42" i="2" s="1"/>
  <c r="Q42" i="2"/>
  <c r="R42" i="2" s="1"/>
  <c r="O42" i="2"/>
  <c r="V42" i="2" s="1"/>
  <c r="J42" i="2"/>
  <c r="I42" i="2"/>
  <c r="H42" i="2"/>
  <c r="K42" i="2" s="1"/>
  <c r="G42" i="2"/>
  <c r="F42" i="2"/>
  <c r="A42" i="2"/>
  <c r="W41" i="2"/>
  <c r="V41" i="2"/>
  <c r="T41" i="2"/>
  <c r="U41" i="2" s="1"/>
  <c r="O41" i="2"/>
  <c r="Q41" i="2" s="1"/>
  <c r="R41" i="2" s="1"/>
  <c r="I41" i="2"/>
  <c r="H41" i="2"/>
  <c r="K41" i="2" s="1"/>
  <c r="G41" i="2"/>
  <c r="J41" i="2" s="1"/>
  <c r="F41" i="2"/>
  <c r="A41" i="2"/>
  <c r="T40" i="2"/>
  <c r="O40" i="2"/>
  <c r="J40" i="2"/>
  <c r="I40" i="2"/>
  <c r="H40" i="2"/>
  <c r="K40" i="2" s="1"/>
  <c r="G40" i="2"/>
  <c r="F40" i="2"/>
  <c r="A40" i="2"/>
  <c r="T39" i="2"/>
  <c r="U39" i="2" s="1"/>
  <c r="Q39" i="2"/>
  <c r="R39" i="2" s="1"/>
  <c r="O39" i="2"/>
  <c r="V39" i="2" s="1"/>
  <c r="K39" i="2"/>
  <c r="J39" i="2"/>
  <c r="I39" i="2"/>
  <c r="H39" i="2"/>
  <c r="G39" i="2"/>
  <c r="F39" i="2"/>
  <c r="A39" i="2"/>
  <c r="W38" i="2"/>
  <c r="V38" i="2"/>
  <c r="T38" i="2"/>
  <c r="U38" i="2" s="1"/>
  <c r="O38" i="2"/>
  <c r="Q38" i="2" s="1"/>
  <c r="R38" i="2" s="1"/>
  <c r="H38" i="2"/>
  <c r="K38" i="2" s="1"/>
  <c r="G38" i="2"/>
  <c r="J38" i="2" s="1"/>
  <c r="F38" i="2"/>
  <c r="I38" i="2" s="1"/>
  <c r="A38" i="2"/>
  <c r="T37" i="2"/>
  <c r="O37" i="2"/>
  <c r="V37" i="2" s="1"/>
  <c r="K37" i="2"/>
  <c r="J37" i="2"/>
  <c r="I37" i="2"/>
  <c r="H37" i="2"/>
  <c r="G37" i="2"/>
  <c r="F37" i="2"/>
  <c r="A37" i="2"/>
  <c r="V36" i="2"/>
  <c r="W36" i="2" s="1"/>
  <c r="U36" i="2"/>
  <c r="T36" i="2"/>
  <c r="Q36" i="2"/>
  <c r="R36" i="2" s="1"/>
  <c r="O36" i="2"/>
  <c r="H36" i="2"/>
  <c r="K36" i="2" s="1"/>
  <c r="G36" i="2"/>
  <c r="J36" i="2" s="1"/>
  <c r="F36" i="2"/>
  <c r="I36" i="2" s="1"/>
  <c r="A36" i="2"/>
  <c r="V35" i="2"/>
  <c r="W35" i="2" s="1"/>
  <c r="T35" i="2"/>
  <c r="O35" i="2"/>
  <c r="Q35" i="2" s="1"/>
  <c r="R35" i="2" s="1"/>
  <c r="J35" i="2"/>
  <c r="I35" i="2"/>
  <c r="H35" i="2"/>
  <c r="K35" i="2" s="1"/>
  <c r="G35" i="2"/>
  <c r="F35" i="2"/>
  <c r="A35" i="2"/>
  <c r="V34" i="2"/>
  <c r="T34" i="2"/>
  <c r="U34" i="2" s="1"/>
  <c r="Q34" i="2"/>
  <c r="R34" i="2" s="1"/>
  <c r="O34" i="2"/>
  <c r="J34" i="2"/>
  <c r="H34" i="2"/>
  <c r="K34" i="2" s="1"/>
  <c r="G34" i="2"/>
  <c r="F34" i="2"/>
  <c r="I34" i="2" s="1"/>
  <c r="A34" i="2"/>
  <c r="V33" i="2"/>
  <c r="W33" i="2" s="1"/>
  <c r="T33" i="2"/>
  <c r="U33" i="2" s="1"/>
  <c r="R33" i="2"/>
  <c r="Q33" i="2"/>
  <c r="O33" i="2"/>
  <c r="I33" i="2"/>
  <c r="H33" i="2"/>
  <c r="K33" i="2" s="1"/>
  <c r="G33" i="2"/>
  <c r="J33" i="2" s="1"/>
  <c r="F33" i="2"/>
  <c r="A33" i="2"/>
  <c r="T32" i="2"/>
  <c r="O32" i="2"/>
  <c r="V32" i="2" s="1"/>
  <c r="J32" i="2"/>
  <c r="I32" i="2"/>
  <c r="H32" i="2"/>
  <c r="K32" i="2" s="1"/>
  <c r="G32" i="2"/>
  <c r="F32" i="2"/>
  <c r="A32" i="2"/>
  <c r="W31" i="2"/>
  <c r="V31" i="2"/>
  <c r="T31" i="2"/>
  <c r="U31" i="2" s="1"/>
  <c r="O31" i="2"/>
  <c r="Q31" i="2" s="1"/>
  <c r="R31" i="2" s="1"/>
  <c r="I31" i="2"/>
  <c r="H31" i="2"/>
  <c r="K31" i="2" s="1"/>
  <c r="G31" i="2"/>
  <c r="J31" i="2" s="1"/>
  <c r="F31" i="2"/>
  <c r="A31" i="2"/>
  <c r="T30" i="2"/>
  <c r="O30" i="2"/>
  <c r="J30" i="2"/>
  <c r="I30" i="2"/>
  <c r="H30" i="2"/>
  <c r="K30" i="2" s="1"/>
  <c r="G30" i="2"/>
  <c r="F30" i="2"/>
  <c r="A30" i="2"/>
  <c r="T29" i="2"/>
  <c r="U29" i="2" s="1"/>
  <c r="Q29" i="2"/>
  <c r="R29" i="2" s="1"/>
  <c r="O29" i="2"/>
  <c r="V29" i="2" s="1"/>
  <c r="K29" i="2"/>
  <c r="J29" i="2"/>
  <c r="I29" i="2"/>
  <c r="H29" i="2"/>
  <c r="G29" i="2"/>
  <c r="F29" i="2"/>
  <c r="A29" i="2"/>
  <c r="W28" i="2"/>
  <c r="V28" i="2"/>
  <c r="T28" i="2"/>
  <c r="U28" i="2" s="1"/>
  <c r="O28" i="2"/>
  <c r="Q28" i="2" s="1"/>
  <c r="R28" i="2" s="1"/>
  <c r="H28" i="2"/>
  <c r="K28" i="2" s="1"/>
  <c r="G28" i="2"/>
  <c r="J28" i="2" s="1"/>
  <c r="F28" i="2"/>
  <c r="I28" i="2" s="1"/>
  <c r="A28" i="2"/>
  <c r="T27" i="2"/>
  <c r="O27" i="2"/>
  <c r="V27" i="2" s="1"/>
  <c r="K27" i="2"/>
  <c r="J27" i="2"/>
  <c r="I27" i="2"/>
  <c r="H27" i="2"/>
  <c r="G27" i="2"/>
  <c r="F27" i="2"/>
  <c r="A27" i="2"/>
  <c r="V26" i="2"/>
  <c r="W26" i="2" s="1"/>
  <c r="U26" i="2"/>
  <c r="T26" i="2"/>
  <c r="Q26" i="2"/>
  <c r="R26" i="2" s="1"/>
  <c r="O26" i="2"/>
  <c r="H26" i="2"/>
  <c r="K26" i="2" s="1"/>
  <c r="G26" i="2"/>
  <c r="J26" i="2" s="1"/>
  <c r="F26" i="2"/>
  <c r="I26" i="2" s="1"/>
  <c r="A26" i="2"/>
  <c r="V25" i="2"/>
  <c r="W25" i="2" s="1"/>
  <c r="T25" i="2"/>
  <c r="O25" i="2"/>
  <c r="Q25" i="2" s="1"/>
  <c r="R25" i="2" s="1"/>
  <c r="J25" i="2"/>
  <c r="I25" i="2"/>
  <c r="H25" i="2"/>
  <c r="K25" i="2" s="1"/>
  <c r="G25" i="2"/>
  <c r="F25" i="2"/>
  <c r="A25" i="2"/>
  <c r="V24" i="2"/>
  <c r="T24" i="2"/>
  <c r="U24" i="2" s="1"/>
  <c r="Q24" i="2"/>
  <c r="R24" i="2" s="1"/>
  <c r="O24" i="2"/>
  <c r="J24" i="2"/>
  <c r="H24" i="2"/>
  <c r="K24" i="2" s="1"/>
  <c r="G24" i="2"/>
  <c r="F24" i="2"/>
  <c r="I24" i="2" s="1"/>
  <c r="A24" i="2"/>
  <c r="V23" i="2"/>
  <c r="W23" i="2" s="1"/>
  <c r="T23" i="2"/>
  <c r="U23" i="2" s="1"/>
  <c r="R23" i="2"/>
  <c r="Q23" i="2"/>
  <c r="O23" i="2"/>
  <c r="I23" i="2"/>
  <c r="H23" i="2"/>
  <c r="K23" i="2" s="1"/>
  <c r="G23" i="2"/>
  <c r="J23" i="2" s="1"/>
  <c r="F23" i="2"/>
  <c r="A23" i="2"/>
  <c r="T22" i="2"/>
  <c r="O22" i="2"/>
  <c r="V22" i="2" s="1"/>
  <c r="J22" i="2"/>
  <c r="I22" i="2"/>
  <c r="H22" i="2"/>
  <c r="K22" i="2" s="1"/>
  <c r="G22" i="2"/>
  <c r="F22" i="2"/>
  <c r="A22" i="2"/>
  <c r="W21" i="2"/>
  <c r="V21" i="2"/>
  <c r="T21" i="2"/>
  <c r="U21" i="2" s="1"/>
  <c r="O21" i="2"/>
  <c r="Q21" i="2" s="1"/>
  <c r="R21" i="2" s="1"/>
  <c r="I21" i="2"/>
  <c r="H21" i="2"/>
  <c r="K21" i="2" s="1"/>
  <c r="G21" i="2"/>
  <c r="J21" i="2" s="1"/>
  <c r="F21" i="2"/>
  <c r="A21" i="2"/>
  <c r="T20" i="2"/>
  <c r="O20" i="2"/>
  <c r="J20" i="2"/>
  <c r="I20" i="2"/>
  <c r="H20" i="2"/>
  <c r="K20" i="2" s="1"/>
  <c r="G20" i="2"/>
  <c r="F20" i="2"/>
  <c r="A20" i="2"/>
  <c r="T19" i="2"/>
  <c r="U19" i="2" s="1"/>
  <c r="Q19" i="2"/>
  <c r="R19" i="2" s="1"/>
  <c r="O19" i="2"/>
  <c r="V19" i="2" s="1"/>
  <c r="K19" i="2"/>
  <c r="J19" i="2"/>
  <c r="I19" i="2"/>
  <c r="H19" i="2"/>
  <c r="G19" i="2"/>
  <c r="F19" i="2"/>
  <c r="A19" i="2"/>
  <c r="W18" i="2"/>
  <c r="V18" i="2"/>
  <c r="T18" i="2"/>
  <c r="U18" i="2" s="1"/>
  <c r="O18" i="2"/>
  <c r="Q18" i="2" s="1"/>
  <c r="R18" i="2" s="1"/>
  <c r="H18" i="2"/>
  <c r="K18" i="2" s="1"/>
  <c r="G18" i="2"/>
  <c r="J18" i="2" s="1"/>
  <c r="F18" i="2"/>
  <c r="I18" i="2" s="1"/>
  <c r="A18" i="2"/>
  <c r="T17" i="2"/>
  <c r="O17" i="2"/>
  <c r="V17" i="2" s="1"/>
  <c r="K17" i="2"/>
  <c r="J17" i="2"/>
  <c r="I17" i="2"/>
  <c r="H17" i="2"/>
  <c r="G17" i="2"/>
  <c r="F17" i="2"/>
  <c r="A17" i="2"/>
  <c r="V16" i="2"/>
  <c r="W16" i="2" s="1"/>
  <c r="U16" i="2"/>
  <c r="T16" i="2"/>
  <c r="Q16" i="2"/>
  <c r="R16" i="2" s="1"/>
  <c r="O16" i="2"/>
  <c r="H16" i="2"/>
  <c r="K16" i="2" s="1"/>
  <c r="G16" i="2"/>
  <c r="J16" i="2" s="1"/>
  <c r="F16" i="2"/>
  <c r="I16" i="2" s="1"/>
  <c r="A16" i="2"/>
  <c r="V15" i="2"/>
  <c r="W15" i="2" s="1"/>
  <c r="T15" i="2"/>
  <c r="O15" i="2"/>
  <c r="Q15" i="2" s="1"/>
  <c r="R15" i="2" s="1"/>
  <c r="J15" i="2"/>
  <c r="I15" i="2"/>
  <c r="H15" i="2"/>
  <c r="K15" i="2" s="1"/>
  <c r="G15" i="2"/>
  <c r="F15" i="2"/>
  <c r="A15" i="2"/>
  <c r="V14" i="2"/>
  <c r="U14" i="2"/>
  <c r="T14" i="2"/>
  <c r="Q14" i="2"/>
  <c r="R14" i="2" s="1"/>
  <c r="O14" i="2"/>
  <c r="J14" i="2"/>
  <c r="H14" i="2"/>
  <c r="K14" i="2" s="1"/>
  <c r="G14" i="2"/>
  <c r="F14" i="2"/>
  <c r="I14" i="2" s="1"/>
  <c r="A14" i="2"/>
  <c r="V13" i="2"/>
  <c r="W13" i="2" s="1"/>
  <c r="T13" i="2"/>
  <c r="U13" i="2" s="1"/>
  <c r="O13" i="2"/>
  <c r="Q13" i="2" s="1"/>
  <c r="R13" i="2" s="1"/>
  <c r="J13" i="2"/>
  <c r="I13" i="2"/>
  <c r="H13" i="2"/>
  <c r="K13" i="2" s="1"/>
  <c r="G13" i="2"/>
  <c r="F13" i="2"/>
  <c r="A13" i="2"/>
  <c r="T12" i="2"/>
  <c r="Q12" i="2"/>
  <c r="R12" i="2" s="1"/>
  <c r="O12" i="2"/>
  <c r="V12" i="2" s="1"/>
  <c r="K12" i="2"/>
  <c r="J12" i="2"/>
  <c r="H12" i="2"/>
  <c r="G12" i="2"/>
  <c r="F12" i="2"/>
  <c r="I12" i="2" s="1"/>
  <c r="A12" i="2"/>
  <c r="V11" i="2"/>
  <c r="W11" i="2" s="1"/>
  <c r="T11" i="2"/>
  <c r="U11" i="2" s="1"/>
  <c r="O11" i="2"/>
  <c r="Q11" i="2" s="1"/>
  <c r="R11" i="2" s="1"/>
  <c r="J11" i="2"/>
  <c r="I11" i="2"/>
  <c r="H11" i="2"/>
  <c r="K11" i="2" s="1"/>
  <c r="G11" i="2"/>
  <c r="F11" i="2"/>
  <c r="A11" i="2"/>
  <c r="T10" i="2"/>
  <c r="U10" i="2" s="1"/>
  <c r="Q10" i="2"/>
  <c r="R10" i="2" s="1"/>
  <c r="O10" i="2"/>
  <c r="V10" i="2" s="1"/>
  <c r="K10" i="2"/>
  <c r="J10" i="2"/>
  <c r="H10" i="2"/>
  <c r="G10" i="2"/>
  <c r="F10" i="2"/>
  <c r="I10" i="2" s="1"/>
  <c r="A10" i="2"/>
  <c r="V9" i="2"/>
  <c r="W9" i="2" s="1"/>
  <c r="T9" i="2"/>
  <c r="U9" i="2" s="1"/>
  <c r="O9" i="2"/>
  <c r="Q9" i="2" s="1"/>
  <c r="R9" i="2" s="1"/>
  <c r="I9" i="2"/>
  <c r="H9" i="2"/>
  <c r="K9" i="2" s="1"/>
  <c r="G9" i="2"/>
  <c r="J9" i="2" s="1"/>
  <c r="F9" i="2"/>
  <c r="A9" i="2"/>
  <c r="T8" i="2"/>
  <c r="U8" i="2" s="1"/>
  <c r="Q8" i="2"/>
  <c r="R8" i="2" s="1"/>
  <c r="O8" i="2"/>
  <c r="V8" i="2" s="1"/>
  <c r="K8" i="2"/>
  <c r="J8" i="2"/>
  <c r="H8" i="2"/>
  <c r="G8" i="2"/>
  <c r="F8" i="2"/>
  <c r="I8" i="2" s="1"/>
  <c r="A8" i="2"/>
  <c r="V7" i="2"/>
  <c r="W7" i="2" s="1"/>
  <c r="T7" i="2"/>
  <c r="U7" i="2" s="1"/>
  <c r="O7" i="2"/>
  <c r="Q7" i="2" s="1"/>
  <c r="R7" i="2" s="1"/>
  <c r="I7" i="2"/>
  <c r="H7" i="2"/>
  <c r="K7" i="2" s="1"/>
  <c r="G7" i="2"/>
  <c r="J7" i="2" s="1"/>
  <c r="F7" i="2"/>
  <c r="A7" i="2"/>
  <c r="T6" i="2"/>
  <c r="U6" i="2" s="1"/>
  <c r="R6" i="2"/>
  <c r="Q6" i="2"/>
  <c r="O6" i="2"/>
  <c r="V6" i="2" s="1"/>
  <c r="K6" i="2"/>
  <c r="J6" i="2"/>
  <c r="H6" i="2"/>
  <c r="G6" i="2"/>
  <c r="F6" i="2"/>
  <c r="I6" i="2" s="1"/>
  <c r="A6" i="2"/>
  <c r="V5" i="2"/>
  <c r="T5" i="2"/>
  <c r="U5" i="2" s="1"/>
  <c r="O5" i="2"/>
  <c r="Q5" i="2" s="1"/>
  <c r="R5" i="2" s="1"/>
  <c r="I5" i="2"/>
  <c r="H5" i="2"/>
  <c r="K5" i="2" s="1"/>
  <c r="G5" i="2"/>
  <c r="J5" i="2" s="1"/>
  <c r="F5" i="2"/>
  <c r="A5" i="2"/>
  <c r="T4" i="2"/>
  <c r="O4" i="2"/>
  <c r="V4" i="2" s="1"/>
  <c r="K4" i="2"/>
  <c r="J4" i="2"/>
  <c r="H4" i="2"/>
  <c r="G4" i="2"/>
  <c r="F4" i="2"/>
  <c r="I4" i="2" s="1"/>
  <c r="A4" i="2"/>
  <c r="V3" i="2"/>
  <c r="W3" i="2" s="1"/>
  <c r="T3" i="2"/>
  <c r="U3" i="2" s="1"/>
  <c r="O3" i="2"/>
  <c r="Q3" i="2" s="1"/>
  <c r="R3" i="2" s="1"/>
  <c r="J3" i="2"/>
  <c r="I3" i="2"/>
  <c r="H3" i="2"/>
  <c r="K3" i="2" s="1"/>
  <c r="G3" i="2"/>
  <c r="F3" i="2"/>
  <c r="A3" i="2"/>
  <c r="T2" i="2"/>
  <c r="Q2" i="2"/>
  <c r="R2" i="2" s="1"/>
  <c r="O2" i="2"/>
  <c r="V2" i="2" s="1"/>
  <c r="K2" i="2"/>
  <c r="J2" i="2"/>
  <c r="H2" i="2"/>
  <c r="G2" i="2"/>
  <c r="F2" i="2"/>
  <c r="I2" i="2" s="1"/>
  <c r="A2" i="2"/>
  <c r="T548" i="1"/>
  <c r="O548" i="1"/>
  <c r="V548" i="1" s="1"/>
  <c r="H548" i="1"/>
  <c r="K548" i="1" s="1"/>
  <c r="G548" i="1"/>
  <c r="J548" i="1" s="1"/>
  <c r="F548" i="1"/>
  <c r="I548" i="1" s="1"/>
  <c r="A548" i="1"/>
  <c r="V547" i="1"/>
  <c r="W547" i="1" s="1"/>
  <c r="T547" i="1"/>
  <c r="Q547" i="1"/>
  <c r="R547" i="1" s="1"/>
  <c r="O547" i="1"/>
  <c r="H547" i="1"/>
  <c r="K547" i="1" s="1"/>
  <c r="G547" i="1"/>
  <c r="J547" i="1" s="1"/>
  <c r="F547" i="1"/>
  <c r="I547" i="1" s="1"/>
  <c r="A547" i="1"/>
  <c r="T546" i="1"/>
  <c r="O546" i="1"/>
  <c r="V546" i="1" s="1"/>
  <c r="H546" i="1"/>
  <c r="K546" i="1" s="1"/>
  <c r="G546" i="1"/>
  <c r="J546" i="1" s="1"/>
  <c r="F546" i="1"/>
  <c r="I546" i="1" s="1"/>
  <c r="A546" i="1"/>
  <c r="T545" i="1"/>
  <c r="O545" i="1"/>
  <c r="V545" i="1" s="1"/>
  <c r="H545" i="1"/>
  <c r="K545" i="1" s="1"/>
  <c r="G545" i="1"/>
  <c r="J545" i="1" s="1"/>
  <c r="F545" i="1"/>
  <c r="I545" i="1" s="1"/>
  <c r="A545" i="1"/>
  <c r="T544" i="1"/>
  <c r="O544" i="1"/>
  <c r="V544" i="1" s="1"/>
  <c r="H544" i="1"/>
  <c r="K544" i="1" s="1"/>
  <c r="G544" i="1"/>
  <c r="J544" i="1" s="1"/>
  <c r="F544" i="1"/>
  <c r="I544" i="1" s="1"/>
  <c r="A544" i="1"/>
  <c r="T543" i="1"/>
  <c r="O543" i="1"/>
  <c r="V543" i="1" s="1"/>
  <c r="J543" i="1"/>
  <c r="H543" i="1"/>
  <c r="K543" i="1" s="1"/>
  <c r="G543" i="1"/>
  <c r="F543" i="1"/>
  <c r="I543" i="1" s="1"/>
  <c r="A543" i="1"/>
  <c r="T542" i="1"/>
  <c r="O542" i="1"/>
  <c r="V542" i="1" s="1"/>
  <c r="J542" i="1"/>
  <c r="I542" i="1"/>
  <c r="H542" i="1"/>
  <c r="K542" i="1" s="1"/>
  <c r="G542" i="1"/>
  <c r="F542" i="1"/>
  <c r="A542" i="1"/>
  <c r="T541" i="1"/>
  <c r="O541" i="1"/>
  <c r="J541" i="1"/>
  <c r="I541" i="1"/>
  <c r="H541" i="1"/>
  <c r="K541" i="1" s="1"/>
  <c r="G541" i="1"/>
  <c r="F541" i="1"/>
  <c r="A541" i="1"/>
  <c r="T540" i="1"/>
  <c r="O540" i="1"/>
  <c r="V540" i="1" s="1"/>
  <c r="K540" i="1"/>
  <c r="J540" i="1"/>
  <c r="I540" i="1"/>
  <c r="H540" i="1"/>
  <c r="G540" i="1"/>
  <c r="F540" i="1"/>
  <c r="A540" i="1"/>
  <c r="V539" i="1"/>
  <c r="T539" i="1"/>
  <c r="U539" i="1" s="1"/>
  <c r="Q539" i="1"/>
  <c r="R539" i="1" s="1"/>
  <c r="O539" i="1"/>
  <c r="H539" i="1"/>
  <c r="K539" i="1" s="1"/>
  <c r="G539" i="1"/>
  <c r="J539" i="1" s="1"/>
  <c r="F539" i="1"/>
  <c r="I539" i="1" s="1"/>
  <c r="A539" i="1"/>
  <c r="T538" i="1"/>
  <c r="O538" i="1"/>
  <c r="K538" i="1"/>
  <c r="J538" i="1"/>
  <c r="H538" i="1"/>
  <c r="G538" i="1"/>
  <c r="F538" i="1"/>
  <c r="I538" i="1" s="1"/>
  <c r="A538" i="1"/>
  <c r="V537" i="1"/>
  <c r="W537" i="1" s="1"/>
  <c r="T537" i="1"/>
  <c r="U537" i="1" s="1"/>
  <c r="R537" i="1"/>
  <c r="Q537" i="1"/>
  <c r="O537" i="1"/>
  <c r="H537" i="1"/>
  <c r="K537" i="1" s="1"/>
  <c r="G537" i="1"/>
  <c r="J537" i="1" s="1"/>
  <c r="F537" i="1"/>
  <c r="I537" i="1" s="1"/>
  <c r="A537" i="1"/>
  <c r="T536" i="1"/>
  <c r="O536" i="1"/>
  <c r="V536" i="1" s="1"/>
  <c r="H536" i="1"/>
  <c r="K536" i="1" s="1"/>
  <c r="G536" i="1"/>
  <c r="J536" i="1" s="1"/>
  <c r="F536" i="1"/>
  <c r="I536" i="1" s="1"/>
  <c r="A536" i="1"/>
  <c r="V535" i="1"/>
  <c r="T535" i="1"/>
  <c r="O535" i="1"/>
  <c r="U535" i="1" s="1"/>
  <c r="H535" i="1"/>
  <c r="K535" i="1" s="1"/>
  <c r="G535" i="1"/>
  <c r="J535" i="1" s="1"/>
  <c r="F535" i="1"/>
  <c r="I535" i="1" s="1"/>
  <c r="A535" i="1"/>
  <c r="T534" i="1"/>
  <c r="O534" i="1"/>
  <c r="V534" i="1" s="1"/>
  <c r="H534" i="1"/>
  <c r="K534" i="1" s="1"/>
  <c r="G534" i="1"/>
  <c r="J534" i="1" s="1"/>
  <c r="F534" i="1"/>
  <c r="I534" i="1" s="1"/>
  <c r="A534" i="1"/>
  <c r="T533" i="1"/>
  <c r="O533" i="1"/>
  <c r="V533" i="1" s="1"/>
  <c r="J533" i="1"/>
  <c r="H533" i="1"/>
  <c r="K533" i="1" s="1"/>
  <c r="G533" i="1"/>
  <c r="F533" i="1"/>
  <c r="I533" i="1" s="1"/>
  <c r="A533" i="1"/>
  <c r="T532" i="1"/>
  <c r="O532" i="1"/>
  <c r="V532" i="1" s="1"/>
  <c r="K532" i="1"/>
  <c r="J532" i="1"/>
  <c r="I532" i="1"/>
  <c r="H532" i="1"/>
  <c r="G532" i="1"/>
  <c r="F532" i="1"/>
  <c r="A532" i="1"/>
  <c r="T531" i="1"/>
  <c r="U531" i="1" s="1"/>
  <c r="Q531" i="1"/>
  <c r="R531" i="1" s="1"/>
  <c r="O531" i="1"/>
  <c r="V531" i="1" s="1"/>
  <c r="W531" i="1" s="1"/>
  <c r="I531" i="1"/>
  <c r="H531" i="1"/>
  <c r="K531" i="1" s="1"/>
  <c r="G531" i="1"/>
  <c r="J531" i="1" s="1"/>
  <c r="F531" i="1"/>
  <c r="A531" i="1"/>
  <c r="T530" i="1"/>
  <c r="O530" i="1"/>
  <c r="K530" i="1"/>
  <c r="I530" i="1"/>
  <c r="H530" i="1"/>
  <c r="G530" i="1"/>
  <c r="J530" i="1" s="1"/>
  <c r="F530" i="1"/>
  <c r="A530" i="1"/>
  <c r="V529" i="1"/>
  <c r="T529" i="1"/>
  <c r="U529" i="1" s="1"/>
  <c r="O529" i="1"/>
  <c r="Q529" i="1" s="1"/>
  <c r="R529" i="1" s="1"/>
  <c r="H529" i="1"/>
  <c r="K529" i="1" s="1"/>
  <c r="G529" i="1"/>
  <c r="J529" i="1" s="1"/>
  <c r="F529" i="1"/>
  <c r="I529" i="1" s="1"/>
  <c r="A529" i="1"/>
  <c r="T528" i="1"/>
  <c r="U528" i="1" s="1"/>
  <c r="Q528" i="1"/>
  <c r="R528" i="1" s="1"/>
  <c r="O528" i="1"/>
  <c r="V528" i="1" s="1"/>
  <c r="J528" i="1"/>
  <c r="H528" i="1"/>
  <c r="K528" i="1" s="1"/>
  <c r="G528" i="1"/>
  <c r="F528" i="1"/>
  <c r="I528" i="1" s="1"/>
  <c r="A528" i="1"/>
  <c r="V527" i="1"/>
  <c r="T527" i="1"/>
  <c r="O527" i="1"/>
  <c r="Q527" i="1" s="1"/>
  <c r="R527" i="1" s="1"/>
  <c r="H527" i="1"/>
  <c r="K527" i="1" s="1"/>
  <c r="G527" i="1"/>
  <c r="J527" i="1" s="1"/>
  <c r="F527" i="1"/>
  <c r="I527" i="1" s="1"/>
  <c r="A527" i="1"/>
  <c r="T526" i="1"/>
  <c r="O526" i="1"/>
  <c r="H526" i="1"/>
  <c r="K526" i="1" s="1"/>
  <c r="G526" i="1"/>
  <c r="J526" i="1" s="1"/>
  <c r="F526" i="1"/>
  <c r="I526" i="1" s="1"/>
  <c r="A526" i="1"/>
  <c r="T525" i="1"/>
  <c r="O525" i="1"/>
  <c r="V525" i="1" s="1"/>
  <c r="H525" i="1"/>
  <c r="K525" i="1" s="1"/>
  <c r="G525" i="1"/>
  <c r="J525" i="1" s="1"/>
  <c r="F525" i="1"/>
  <c r="I525" i="1" s="1"/>
  <c r="A525" i="1"/>
  <c r="T524" i="1"/>
  <c r="O524" i="1"/>
  <c r="I524" i="1"/>
  <c r="H524" i="1"/>
  <c r="K524" i="1" s="1"/>
  <c r="G524" i="1"/>
  <c r="J524" i="1" s="1"/>
  <c r="F524" i="1"/>
  <c r="A524" i="1"/>
  <c r="T523" i="1"/>
  <c r="O523" i="1"/>
  <c r="V523" i="1" s="1"/>
  <c r="J523" i="1"/>
  <c r="H523" i="1"/>
  <c r="K523" i="1" s="1"/>
  <c r="G523" i="1"/>
  <c r="F523" i="1"/>
  <c r="I523" i="1" s="1"/>
  <c r="A523" i="1"/>
  <c r="T522" i="1"/>
  <c r="O522" i="1"/>
  <c r="V522" i="1" s="1"/>
  <c r="K522" i="1"/>
  <c r="J522" i="1"/>
  <c r="I522" i="1"/>
  <c r="H522" i="1"/>
  <c r="G522" i="1"/>
  <c r="F522" i="1"/>
  <c r="A522" i="1"/>
  <c r="V521" i="1"/>
  <c r="W521" i="1" s="1"/>
  <c r="U521" i="1"/>
  <c r="T521" i="1"/>
  <c r="O521" i="1"/>
  <c r="Q521" i="1" s="1"/>
  <c r="R521" i="1" s="1"/>
  <c r="H521" i="1"/>
  <c r="K521" i="1" s="1"/>
  <c r="G521" i="1"/>
  <c r="J521" i="1" s="1"/>
  <c r="F521" i="1"/>
  <c r="I521" i="1" s="1"/>
  <c r="A521" i="1"/>
  <c r="T520" i="1"/>
  <c r="O520" i="1"/>
  <c r="V520" i="1" s="1"/>
  <c r="K520" i="1"/>
  <c r="H520" i="1"/>
  <c r="G520" i="1"/>
  <c r="J520" i="1" s="1"/>
  <c r="F520" i="1"/>
  <c r="I520" i="1" s="1"/>
  <c r="A520" i="1"/>
  <c r="V519" i="1"/>
  <c r="T519" i="1"/>
  <c r="U519" i="1" s="1"/>
  <c r="O519" i="1"/>
  <c r="Q519" i="1" s="1"/>
  <c r="R519" i="1" s="1"/>
  <c r="H519" i="1"/>
  <c r="K519" i="1" s="1"/>
  <c r="G519" i="1"/>
  <c r="J519" i="1" s="1"/>
  <c r="F519" i="1"/>
  <c r="I519" i="1" s="1"/>
  <c r="A519" i="1"/>
  <c r="T518" i="1"/>
  <c r="U518" i="1" s="1"/>
  <c r="Q518" i="1"/>
  <c r="R518" i="1" s="1"/>
  <c r="O518" i="1"/>
  <c r="V518" i="1" s="1"/>
  <c r="H518" i="1"/>
  <c r="K518" i="1" s="1"/>
  <c r="G518" i="1"/>
  <c r="J518" i="1" s="1"/>
  <c r="F518" i="1"/>
  <c r="I518" i="1" s="1"/>
  <c r="A518" i="1"/>
  <c r="T517" i="1"/>
  <c r="O517" i="1"/>
  <c r="V517" i="1" s="1"/>
  <c r="J517" i="1"/>
  <c r="I517" i="1"/>
  <c r="H517" i="1"/>
  <c r="K517" i="1" s="1"/>
  <c r="G517" i="1"/>
  <c r="F517" i="1"/>
  <c r="A517" i="1"/>
  <c r="T516" i="1"/>
  <c r="O516" i="1"/>
  <c r="V516" i="1" s="1"/>
  <c r="K516" i="1"/>
  <c r="J516" i="1"/>
  <c r="I516" i="1"/>
  <c r="H516" i="1"/>
  <c r="G516" i="1"/>
  <c r="F516" i="1"/>
  <c r="A516" i="1"/>
  <c r="V515" i="1"/>
  <c r="T515" i="1"/>
  <c r="U515" i="1" s="1"/>
  <c r="O515" i="1"/>
  <c r="Q515" i="1" s="1"/>
  <c r="R515" i="1" s="1"/>
  <c r="H515" i="1"/>
  <c r="K515" i="1" s="1"/>
  <c r="G515" i="1"/>
  <c r="J515" i="1" s="1"/>
  <c r="F515" i="1"/>
  <c r="I515" i="1" s="1"/>
  <c r="A515" i="1"/>
  <c r="T514" i="1"/>
  <c r="O514" i="1"/>
  <c r="K514" i="1"/>
  <c r="J514" i="1"/>
  <c r="I514" i="1"/>
  <c r="H514" i="1"/>
  <c r="G514" i="1"/>
  <c r="F514" i="1"/>
  <c r="A514" i="1"/>
  <c r="V513" i="1"/>
  <c r="W513" i="1" s="1"/>
  <c r="U513" i="1"/>
  <c r="T513" i="1"/>
  <c r="Q513" i="1"/>
  <c r="R513" i="1" s="1"/>
  <c r="O513" i="1"/>
  <c r="H513" i="1"/>
  <c r="K513" i="1" s="1"/>
  <c r="G513" i="1"/>
  <c r="J513" i="1" s="1"/>
  <c r="F513" i="1"/>
  <c r="I513" i="1" s="1"/>
  <c r="A513" i="1"/>
  <c r="T512" i="1"/>
  <c r="U512" i="1" s="1"/>
  <c r="Q512" i="1"/>
  <c r="R512" i="1" s="1"/>
  <c r="O512" i="1"/>
  <c r="V512" i="1" s="1"/>
  <c r="K512" i="1"/>
  <c r="H512" i="1"/>
  <c r="G512" i="1"/>
  <c r="J512" i="1" s="1"/>
  <c r="F512" i="1"/>
  <c r="I512" i="1" s="1"/>
  <c r="A512" i="1"/>
  <c r="T511" i="1"/>
  <c r="O511" i="1"/>
  <c r="J511" i="1"/>
  <c r="I511" i="1"/>
  <c r="H511" i="1"/>
  <c r="K511" i="1" s="1"/>
  <c r="G511" i="1"/>
  <c r="F511" i="1"/>
  <c r="A511" i="1"/>
  <c r="T510" i="1"/>
  <c r="O510" i="1"/>
  <c r="V510" i="1" s="1"/>
  <c r="K510" i="1"/>
  <c r="J510" i="1"/>
  <c r="I510" i="1"/>
  <c r="H510" i="1"/>
  <c r="G510" i="1"/>
  <c r="F510" i="1"/>
  <c r="A510" i="1"/>
  <c r="V509" i="1"/>
  <c r="T509" i="1"/>
  <c r="U509" i="1" s="1"/>
  <c r="O509" i="1"/>
  <c r="Q509" i="1" s="1"/>
  <c r="R509" i="1" s="1"/>
  <c r="H509" i="1"/>
  <c r="K509" i="1" s="1"/>
  <c r="G509" i="1"/>
  <c r="J509" i="1" s="1"/>
  <c r="F509" i="1"/>
  <c r="I509" i="1" s="1"/>
  <c r="A509" i="1"/>
  <c r="T508" i="1"/>
  <c r="U508" i="1" s="1"/>
  <c r="Q508" i="1"/>
  <c r="R508" i="1" s="1"/>
  <c r="O508" i="1"/>
  <c r="V508" i="1" s="1"/>
  <c r="J508" i="1"/>
  <c r="H508" i="1"/>
  <c r="K508" i="1" s="1"/>
  <c r="G508" i="1"/>
  <c r="F508" i="1"/>
  <c r="I508" i="1" s="1"/>
  <c r="A508" i="1"/>
  <c r="W507" i="1"/>
  <c r="V507" i="1"/>
  <c r="T507" i="1"/>
  <c r="O507" i="1"/>
  <c r="Q507" i="1" s="1"/>
  <c r="R507" i="1" s="1"/>
  <c r="H507" i="1"/>
  <c r="K507" i="1" s="1"/>
  <c r="G507" i="1"/>
  <c r="J507" i="1" s="1"/>
  <c r="F507" i="1"/>
  <c r="I507" i="1" s="1"/>
  <c r="A507" i="1"/>
  <c r="T506" i="1"/>
  <c r="O506" i="1"/>
  <c r="V506" i="1" s="1"/>
  <c r="H506" i="1"/>
  <c r="K506" i="1" s="1"/>
  <c r="G506" i="1"/>
  <c r="J506" i="1" s="1"/>
  <c r="F506" i="1"/>
  <c r="I506" i="1" s="1"/>
  <c r="A506" i="1"/>
  <c r="T505" i="1"/>
  <c r="U505" i="1" s="1"/>
  <c r="O505" i="1"/>
  <c r="V505" i="1" s="1"/>
  <c r="H505" i="1"/>
  <c r="K505" i="1" s="1"/>
  <c r="G505" i="1"/>
  <c r="J505" i="1" s="1"/>
  <c r="F505" i="1"/>
  <c r="I505" i="1" s="1"/>
  <c r="A505" i="1"/>
  <c r="T504" i="1"/>
  <c r="O504" i="1"/>
  <c r="J504" i="1"/>
  <c r="I504" i="1"/>
  <c r="H504" i="1"/>
  <c r="K504" i="1" s="1"/>
  <c r="G504" i="1"/>
  <c r="F504" i="1"/>
  <c r="A504" i="1"/>
  <c r="T503" i="1"/>
  <c r="O503" i="1"/>
  <c r="V503" i="1" s="1"/>
  <c r="H503" i="1"/>
  <c r="K503" i="1" s="1"/>
  <c r="G503" i="1"/>
  <c r="J503" i="1" s="1"/>
  <c r="F503" i="1"/>
  <c r="I503" i="1" s="1"/>
  <c r="A503" i="1"/>
  <c r="T502" i="1"/>
  <c r="Q502" i="1"/>
  <c r="R502" i="1" s="1"/>
  <c r="O502" i="1"/>
  <c r="V502" i="1" s="1"/>
  <c r="K502" i="1"/>
  <c r="J502" i="1"/>
  <c r="I502" i="1"/>
  <c r="H502" i="1"/>
  <c r="G502" i="1"/>
  <c r="F502" i="1"/>
  <c r="A502" i="1"/>
  <c r="T501" i="1"/>
  <c r="U501" i="1" s="1"/>
  <c r="Q501" i="1"/>
  <c r="R501" i="1" s="1"/>
  <c r="O501" i="1"/>
  <c r="V501" i="1" s="1"/>
  <c r="W501" i="1" s="1"/>
  <c r="J501" i="1"/>
  <c r="I501" i="1"/>
  <c r="H501" i="1"/>
  <c r="K501" i="1" s="1"/>
  <c r="G501" i="1"/>
  <c r="F501" i="1"/>
  <c r="A501" i="1"/>
  <c r="T500" i="1"/>
  <c r="Q500" i="1"/>
  <c r="R500" i="1" s="1"/>
  <c r="O500" i="1"/>
  <c r="V500" i="1" s="1"/>
  <c r="K500" i="1"/>
  <c r="J500" i="1"/>
  <c r="H500" i="1"/>
  <c r="G500" i="1"/>
  <c r="F500" i="1"/>
  <c r="I500" i="1" s="1"/>
  <c r="A500" i="1"/>
  <c r="W499" i="1"/>
  <c r="V499" i="1"/>
  <c r="T499" i="1"/>
  <c r="U499" i="1" s="1"/>
  <c r="Q499" i="1"/>
  <c r="R499" i="1" s="1"/>
  <c r="O499" i="1"/>
  <c r="H499" i="1"/>
  <c r="K499" i="1" s="1"/>
  <c r="G499" i="1"/>
  <c r="J499" i="1" s="1"/>
  <c r="F499" i="1"/>
  <c r="I499" i="1" s="1"/>
  <c r="A499" i="1"/>
  <c r="T498" i="1"/>
  <c r="U498" i="1" s="1"/>
  <c r="Q498" i="1"/>
  <c r="R498" i="1" s="1"/>
  <c r="O498" i="1"/>
  <c r="V498" i="1" s="1"/>
  <c r="I498" i="1"/>
  <c r="H498" i="1"/>
  <c r="K498" i="1" s="1"/>
  <c r="G498" i="1"/>
  <c r="J498" i="1" s="1"/>
  <c r="F498" i="1"/>
  <c r="A498" i="1"/>
  <c r="T497" i="1"/>
  <c r="O497" i="1"/>
  <c r="V497" i="1" s="1"/>
  <c r="J497" i="1"/>
  <c r="I497" i="1"/>
  <c r="H497" i="1"/>
  <c r="K497" i="1" s="1"/>
  <c r="G497" i="1"/>
  <c r="F497" i="1"/>
  <c r="A497" i="1"/>
  <c r="T496" i="1"/>
  <c r="O496" i="1"/>
  <c r="V496" i="1" s="1"/>
  <c r="K496" i="1"/>
  <c r="J496" i="1"/>
  <c r="I496" i="1"/>
  <c r="H496" i="1"/>
  <c r="G496" i="1"/>
  <c r="F496" i="1"/>
  <c r="A496" i="1"/>
  <c r="U495" i="1"/>
  <c r="T495" i="1"/>
  <c r="Q495" i="1"/>
  <c r="R495" i="1" s="1"/>
  <c r="O495" i="1"/>
  <c r="V495" i="1" s="1"/>
  <c r="H495" i="1"/>
  <c r="K495" i="1" s="1"/>
  <c r="G495" i="1"/>
  <c r="J495" i="1" s="1"/>
  <c r="F495" i="1"/>
  <c r="I495" i="1" s="1"/>
  <c r="A495" i="1"/>
  <c r="T494" i="1"/>
  <c r="O494" i="1"/>
  <c r="K494" i="1"/>
  <c r="J494" i="1"/>
  <c r="I494" i="1"/>
  <c r="H494" i="1"/>
  <c r="G494" i="1"/>
  <c r="F494" i="1"/>
  <c r="A494" i="1"/>
  <c r="V493" i="1"/>
  <c r="W493" i="1" s="1"/>
  <c r="T493" i="1"/>
  <c r="U493" i="1" s="1"/>
  <c r="R493" i="1"/>
  <c r="Q493" i="1"/>
  <c r="O493" i="1"/>
  <c r="H493" i="1"/>
  <c r="K493" i="1" s="1"/>
  <c r="G493" i="1"/>
  <c r="J493" i="1" s="1"/>
  <c r="F493" i="1"/>
  <c r="I493" i="1" s="1"/>
  <c r="A493" i="1"/>
  <c r="T492" i="1"/>
  <c r="O492" i="1"/>
  <c r="V492" i="1" s="1"/>
  <c r="K492" i="1"/>
  <c r="I492" i="1"/>
  <c r="H492" i="1"/>
  <c r="G492" i="1"/>
  <c r="J492" i="1" s="1"/>
  <c r="F492" i="1"/>
  <c r="A492" i="1"/>
  <c r="V491" i="1"/>
  <c r="W491" i="1" s="1"/>
  <c r="U491" i="1"/>
  <c r="T491" i="1"/>
  <c r="O491" i="1"/>
  <c r="Q491" i="1" s="1"/>
  <c r="R491" i="1" s="1"/>
  <c r="H491" i="1"/>
  <c r="K491" i="1" s="1"/>
  <c r="G491" i="1"/>
  <c r="J491" i="1" s="1"/>
  <c r="F491" i="1"/>
  <c r="I491" i="1" s="1"/>
  <c r="A491" i="1"/>
  <c r="T490" i="1"/>
  <c r="O490" i="1"/>
  <c r="V490" i="1" s="1"/>
  <c r="J490" i="1"/>
  <c r="I490" i="1"/>
  <c r="H490" i="1"/>
  <c r="K490" i="1" s="1"/>
  <c r="G490" i="1"/>
  <c r="F490" i="1"/>
  <c r="A490" i="1"/>
  <c r="T489" i="1"/>
  <c r="U489" i="1" s="1"/>
  <c r="O489" i="1"/>
  <c r="V489" i="1" s="1"/>
  <c r="H489" i="1"/>
  <c r="K489" i="1" s="1"/>
  <c r="G489" i="1"/>
  <c r="J489" i="1" s="1"/>
  <c r="F489" i="1"/>
  <c r="I489" i="1" s="1"/>
  <c r="A489" i="1"/>
  <c r="T488" i="1"/>
  <c r="Q488" i="1"/>
  <c r="R488" i="1" s="1"/>
  <c r="O488" i="1"/>
  <c r="V488" i="1" s="1"/>
  <c r="K488" i="1"/>
  <c r="J488" i="1"/>
  <c r="I488" i="1"/>
  <c r="H488" i="1"/>
  <c r="G488" i="1"/>
  <c r="F488" i="1"/>
  <c r="A488" i="1"/>
  <c r="W487" i="1"/>
  <c r="V487" i="1"/>
  <c r="T487" i="1"/>
  <c r="U487" i="1" s="1"/>
  <c r="R487" i="1"/>
  <c r="Q487" i="1"/>
  <c r="O487" i="1"/>
  <c r="J487" i="1"/>
  <c r="H487" i="1"/>
  <c r="K487" i="1" s="1"/>
  <c r="G487" i="1"/>
  <c r="F487" i="1"/>
  <c r="I487" i="1" s="1"/>
  <c r="A487" i="1"/>
  <c r="T486" i="1"/>
  <c r="O486" i="1"/>
  <c r="V486" i="1" s="1"/>
  <c r="J486" i="1"/>
  <c r="H486" i="1"/>
  <c r="K486" i="1" s="1"/>
  <c r="G486" i="1"/>
  <c r="F486" i="1"/>
  <c r="I486" i="1" s="1"/>
  <c r="A486" i="1"/>
  <c r="V485" i="1"/>
  <c r="W485" i="1" s="1"/>
  <c r="U485" i="1"/>
  <c r="T485" i="1"/>
  <c r="O485" i="1"/>
  <c r="Q485" i="1" s="1"/>
  <c r="R485" i="1" s="1"/>
  <c r="H485" i="1"/>
  <c r="K485" i="1" s="1"/>
  <c r="G485" i="1"/>
  <c r="J485" i="1" s="1"/>
  <c r="F485" i="1"/>
  <c r="I485" i="1" s="1"/>
  <c r="A485" i="1"/>
  <c r="T484" i="1"/>
  <c r="O484" i="1"/>
  <c r="H484" i="1"/>
  <c r="K484" i="1" s="1"/>
  <c r="G484" i="1"/>
  <c r="J484" i="1" s="1"/>
  <c r="F484" i="1"/>
  <c r="I484" i="1" s="1"/>
  <c r="A484" i="1"/>
  <c r="V483" i="1"/>
  <c r="T483" i="1"/>
  <c r="U483" i="1" s="1"/>
  <c r="Q483" i="1"/>
  <c r="R483" i="1" s="1"/>
  <c r="O483" i="1"/>
  <c r="H483" i="1"/>
  <c r="K483" i="1" s="1"/>
  <c r="G483" i="1"/>
  <c r="J483" i="1" s="1"/>
  <c r="F483" i="1"/>
  <c r="I483" i="1" s="1"/>
  <c r="A483" i="1"/>
  <c r="T482" i="1"/>
  <c r="U482" i="1" s="1"/>
  <c r="O482" i="1"/>
  <c r="V482" i="1" s="1"/>
  <c r="I482" i="1"/>
  <c r="H482" i="1"/>
  <c r="K482" i="1" s="1"/>
  <c r="G482" i="1"/>
  <c r="J482" i="1" s="1"/>
  <c r="F482" i="1"/>
  <c r="A482" i="1"/>
  <c r="V481" i="1"/>
  <c r="T481" i="1"/>
  <c r="U481" i="1" s="1"/>
  <c r="Q481" i="1"/>
  <c r="R481" i="1" s="1"/>
  <c r="O481" i="1"/>
  <c r="J481" i="1"/>
  <c r="H481" i="1"/>
  <c r="K481" i="1" s="1"/>
  <c r="G481" i="1"/>
  <c r="F481" i="1"/>
  <c r="I481" i="1" s="1"/>
  <c r="A481" i="1"/>
  <c r="W480" i="1"/>
  <c r="T480" i="1"/>
  <c r="U480" i="1" s="1"/>
  <c r="Q480" i="1"/>
  <c r="R480" i="1" s="1"/>
  <c r="O480" i="1"/>
  <c r="V480" i="1" s="1"/>
  <c r="H480" i="1"/>
  <c r="K480" i="1" s="1"/>
  <c r="G480" i="1"/>
  <c r="J480" i="1" s="1"/>
  <c r="F480" i="1"/>
  <c r="I480" i="1" s="1"/>
  <c r="A480" i="1"/>
  <c r="T479" i="1"/>
  <c r="R479" i="1"/>
  <c r="Q479" i="1"/>
  <c r="O479" i="1"/>
  <c r="J479" i="1"/>
  <c r="I479" i="1"/>
  <c r="H479" i="1"/>
  <c r="K479" i="1" s="1"/>
  <c r="G479" i="1"/>
  <c r="F479" i="1"/>
  <c r="A479" i="1"/>
  <c r="T478" i="1"/>
  <c r="O478" i="1"/>
  <c r="K478" i="1"/>
  <c r="J478" i="1"/>
  <c r="I478" i="1"/>
  <c r="H478" i="1"/>
  <c r="G478" i="1"/>
  <c r="F478" i="1"/>
  <c r="A478" i="1"/>
  <c r="V477" i="1"/>
  <c r="T477" i="1"/>
  <c r="U477" i="1" s="1"/>
  <c r="O477" i="1"/>
  <c r="Q477" i="1" s="1"/>
  <c r="R477" i="1" s="1"/>
  <c r="H477" i="1"/>
  <c r="K477" i="1" s="1"/>
  <c r="G477" i="1"/>
  <c r="J477" i="1" s="1"/>
  <c r="F477" i="1"/>
  <c r="I477" i="1" s="1"/>
  <c r="A477" i="1"/>
  <c r="T476" i="1"/>
  <c r="U476" i="1" s="1"/>
  <c r="Q476" i="1"/>
  <c r="R476" i="1" s="1"/>
  <c r="O476" i="1"/>
  <c r="V476" i="1" s="1"/>
  <c r="J476" i="1"/>
  <c r="I476" i="1"/>
  <c r="H476" i="1"/>
  <c r="K476" i="1" s="1"/>
  <c r="G476" i="1"/>
  <c r="F476" i="1"/>
  <c r="A476" i="1"/>
  <c r="V475" i="1"/>
  <c r="T475" i="1"/>
  <c r="U475" i="1" s="1"/>
  <c r="R475" i="1"/>
  <c r="Q475" i="1"/>
  <c r="O475" i="1"/>
  <c r="I475" i="1"/>
  <c r="H475" i="1"/>
  <c r="K475" i="1" s="1"/>
  <c r="G475" i="1"/>
  <c r="J475" i="1" s="1"/>
  <c r="F475" i="1"/>
  <c r="A475" i="1"/>
  <c r="T474" i="1"/>
  <c r="U474" i="1" s="1"/>
  <c r="O474" i="1"/>
  <c r="V474" i="1" s="1"/>
  <c r="H474" i="1"/>
  <c r="K474" i="1" s="1"/>
  <c r="G474" i="1"/>
  <c r="J474" i="1" s="1"/>
  <c r="F474" i="1"/>
  <c r="I474" i="1" s="1"/>
  <c r="A474" i="1"/>
  <c r="T473" i="1"/>
  <c r="O473" i="1"/>
  <c r="V473" i="1" s="1"/>
  <c r="H473" i="1"/>
  <c r="K473" i="1" s="1"/>
  <c r="G473" i="1"/>
  <c r="J473" i="1" s="1"/>
  <c r="F473" i="1"/>
  <c r="I473" i="1" s="1"/>
  <c r="A473" i="1"/>
  <c r="T472" i="1"/>
  <c r="O472" i="1"/>
  <c r="V472" i="1" s="1"/>
  <c r="H472" i="1"/>
  <c r="K472" i="1" s="1"/>
  <c r="G472" i="1"/>
  <c r="J472" i="1" s="1"/>
  <c r="F472" i="1"/>
  <c r="I472" i="1" s="1"/>
  <c r="A472" i="1"/>
  <c r="V471" i="1"/>
  <c r="T471" i="1"/>
  <c r="U471" i="1" s="1"/>
  <c r="Q471" i="1"/>
  <c r="R471" i="1" s="1"/>
  <c r="O471" i="1"/>
  <c r="H471" i="1"/>
  <c r="K471" i="1" s="1"/>
  <c r="G471" i="1"/>
  <c r="J471" i="1" s="1"/>
  <c r="F471" i="1"/>
  <c r="I471" i="1" s="1"/>
  <c r="A471" i="1"/>
  <c r="T470" i="1"/>
  <c r="O470" i="1"/>
  <c r="V470" i="1" s="1"/>
  <c r="H470" i="1"/>
  <c r="K470" i="1" s="1"/>
  <c r="G470" i="1"/>
  <c r="J470" i="1" s="1"/>
  <c r="F470" i="1"/>
  <c r="I470" i="1" s="1"/>
  <c r="A470" i="1"/>
  <c r="T469" i="1"/>
  <c r="O469" i="1"/>
  <c r="J469" i="1"/>
  <c r="H469" i="1"/>
  <c r="K469" i="1" s="1"/>
  <c r="G469" i="1"/>
  <c r="F469" i="1"/>
  <c r="I469" i="1" s="1"/>
  <c r="A469" i="1"/>
  <c r="T468" i="1"/>
  <c r="O468" i="1"/>
  <c r="V468" i="1" s="1"/>
  <c r="J468" i="1"/>
  <c r="I468" i="1"/>
  <c r="H468" i="1"/>
  <c r="K468" i="1" s="1"/>
  <c r="G468" i="1"/>
  <c r="F468" i="1"/>
  <c r="A468" i="1"/>
  <c r="U467" i="1"/>
  <c r="T467" i="1"/>
  <c r="O467" i="1"/>
  <c r="V467" i="1" s="1"/>
  <c r="J467" i="1"/>
  <c r="H467" i="1"/>
  <c r="K467" i="1" s="1"/>
  <c r="G467" i="1"/>
  <c r="F467" i="1"/>
  <c r="I467" i="1" s="1"/>
  <c r="A467" i="1"/>
  <c r="T466" i="1"/>
  <c r="O466" i="1"/>
  <c r="V466" i="1" s="1"/>
  <c r="K466" i="1"/>
  <c r="J466" i="1"/>
  <c r="H466" i="1"/>
  <c r="G466" i="1"/>
  <c r="F466" i="1"/>
  <c r="I466" i="1" s="1"/>
  <c r="A466" i="1"/>
  <c r="V465" i="1"/>
  <c r="W465" i="1" s="1"/>
  <c r="U465" i="1"/>
  <c r="T465" i="1"/>
  <c r="Q465" i="1"/>
  <c r="R465" i="1" s="1"/>
  <c r="O465" i="1"/>
  <c r="H465" i="1"/>
  <c r="K465" i="1" s="1"/>
  <c r="G465" i="1"/>
  <c r="J465" i="1" s="1"/>
  <c r="F465" i="1"/>
  <c r="I465" i="1" s="1"/>
  <c r="A465" i="1"/>
  <c r="T464" i="1"/>
  <c r="O464" i="1"/>
  <c r="J464" i="1"/>
  <c r="I464" i="1"/>
  <c r="H464" i="1"/>
  <c r="K464" i="1" s="1"/>
  <c r="G464" i="1"/>
  <c r="F464" i="1"/>
  <c r="A464" i="1"/>
  <c r="T463" i="1"/>
  <c r="O463" i="1"/>
  <c r="H463" i="1"/>
  <c r="K463" i="1" s="1"/>
  <c r="G463" i="1"/>
  <c r="J463" i="1" s="1"/>
  <c r="F463" i="1"/>
  <c r="I463" i="1" s="1"/>
  <c r="A463" i="1"/>
  <c r="T462" i="1"/>
  <c r="O462" i="1"/>
  <c r="J462" i="1"/>
  <c r="I462" i="1"/>
  <c r="H462" i="1"/>
  <c r="K462" i="1" s="1"/>
  <c r="G462" i="1"/>
  <c r="F462" i="1"/>
  <c r="A462" i="1"/>
  <c r="T461" i="1"/>
  <c r="O461" i="1"/>
  <c r="H461" i="1"/>
  <c r="K461" i="1" s="1"/>
  <c r="G461" i="1"/>
  <c r="J461" i="1" s="1"/>
  <c r="F461" i="1"/>
  <c r="I461" i="1" s="1"/>
  <c r="A461" i="1"/>
  <c r="T460" i="1"/>
  <c r="O460" i="1"/>
  <c r="I460" i="1"/>
  <c r="H460" i="1"/>
  <c r="K460" i="1" s="1"/>
  <c r="G460" i="1"/>
  <c r="J460" i="1" s="1"/>
  <c r="F460" i="1"/>
  <c r="A460" i="1"/>
  <c r="T459" i="1"/>
  <c r="O459" i="1"/>
  <c r="H459" i="1"/>
  <c r="K459" i="1" s="1"/>
  <c r="G459" i="1"/>
  <c r="J459" i="1" s="1"/>
  <c r="F459" i="1"/>
  <c r="I459" i="1" s="1"/>
  <c r="A459" i="1"/>
  <c r="T458" i="1"/>
  <c r="O458" i="1"/>
  <c r="H458" i="1"/>
  <c r="K458" i="1" s="1"/>
  <c r="G458" i="1"/>
  <c r="J458" i="1" s="1"/>
  <c r="F458" i="1"/>
  <c r="I458" i="1" s="1"/>
  <c r="A458" i="1"/>
  <c r="T457" i="1"/>
  <c r="O457" i="1"/>
  <c r="H457" i="1"/>
  <c r="K457" i="1" s="1"/>
  <c r="G457" i="1"/>
  <c r="J457" i="1" s="1"/>
  <c r="F457" i="1"/>
  <c r="I457" i="1" s="1"/>
  <c r="A457" i="1"/>
  <c r="T456" i="1"/>
  <c r="O456" i="1"/>
  <c r="I456" i="1"/>
  <c r="H456" i="1"/>
  <c r="K456" i="1" s="1"/>
  <c r="G456" i="1"/>
  <c r="J456" i="1" s="1"/>
  <c r="F456" i="1"/>
  <c r="A456" i="1"/>
  <c r="T455" i="1"/>
  <c r="O455" i="1"/>
  <c r="J455" i="1"/>
  <c r="H455" i="1"/>
  <c r="K455" i="1" s="1"/>
  <c r="G455" i="1"/>
  <c r="F455" i="1"/>
  <c r="I455" i="1" s="1"/>
  <c r="A455" i="1"/>
  <c r="T454" i="1"/>
  <c r="O454" i="1"/>
  <c r="K454" i="1"/>
  <c r="J454" i="1"/>
  <c r="I454" i="1"/>
  <c r="H454" i="1"/>
  <c r="G454" i="1"/>
  <c r="F454" i="1"/>
  <c r="A454" i="1"/>
  <c r="T453" i="1"/>
  <c r="Q453" i="1"/>
  <c r="R453" i="1" s="1"/>
  <c r="O453" i="1"/>
  <c r="V453" i="1" s="1"/>
  <c r="H453" i="1"/>
  <c r="K453" i="1" s="1"/>
  <c r="G453" i="1"/>
  <c r="J453" i="1" s="1"/>
  <c r="F453" i="1"/>
  <c r="I453" i="1" s="1"/>
  <c r="A453" i="1"/>
  <c r="T452" i="1"/>
  <c r="O452" i="1"/>
  <c r="I452" i="1"/>
  <c r="H452" i="1"/>
  <c r="K452" i="1" s="1"/>
  <c r="G452" i="1"/>
  <c r="J452" i="1" s="1"/>
  <c r="F452" i="1"/>
  <c r="A452" i="1"/>
  <c r="T451" i="1"/>
  <c r="O451" i="1"/>
  <c r="H451" i="1"/>
  <c r="K451" i="1" s="1"/>
  <c r="G451" i="1"/>
  <c r="J451" i="1" s="1"/>
  <c r="F451" i="1"/>
  <c r="I451" i="1" s="1"/>
  <c r="A451" i="1"/>
  <c r="T450" i="1"/>
  <c r="O450" i="1"/>
  <c r="H450" i="1"/>
  <c r="K450" i="1" s="1"/>
  <c r="G450" i="1"/>
  <c r="J450" i="1" s="1"/>
  <c r="F450" i="1"/>
  <c r="I450" i="1" s="1"/>
  <c r="A450" i="1"/>
  <c r="T449" i="1"/>
  <c r="O449" i="1"/>
  <c r="H449" i="1"/>
  <c r="K449" i="1" s="1"/>
  <c r="G449" i="1"/>
  <c r="J449" i="1" s="1"/>
  <c r="F449" i="1"/>
  <c r="I449" i="1" s="1"/>
  <c r="A449" i="1"/>
  <c r="T448" i="1"/>
  <c r="O448" i="1"/>
  <c r="K448" i="1"/>
  <c r="H448" i="1"/>
  <c r="G448" i="1"/>
  <c r="J448" i="1" s="1"/>
  <c r="F448" i="1"/>
  <c r="I448" i="1" s="1"/>
  <c r="A448" i="1"/>
  <c r="V447" i="1"/>
  <c r="W447" i="1" s="1"/>
  <c r="U447" i="1"/>
  <c r="T447" i="1"/>
  <c r="O447" i="1"/>
  <c r="Q447" i="1" s="1"/>
  <c r="R447" i="1" s="1"/>
  <c r="J447" i="1"/>
  <c r="H447" i="1"/>
  <c r="K447" i="1" s="1"/>
  <c r="G447" i="1"/>
  <c r="F447" i="1"/>
  <c r="I447" i="1" s="1"/>
  <c r="A447" i="1"/>
  <c r="W446" i="1"/>
  <c r="V446" i="1"/>
  <c r="T446" i="1"/>
  <c r="O446" i="1"/>
  <c r="Q446" i="1" s="1"/>
  <c r="R446" i="1" s="1"/>
  <c r="K446" i="1"/>
  <c r="H446" i="1"/>
  <c r="G446" i="1"/>
  <c r="J446" i="1" s="1"/>
  <c r="F446" i="1"/>
  <c r="I446" i="1" s="1"/>
  <c r="A446" i="1"/>
  <c r="T445" i="1"/>
  <c r="U445" i="1" s="1"/>
  <c r="Q445" i="1"/>
  <c r="R445" i="1" s="1"/>
  <c r="O445" i="1"/>
  <c r="V445" i="1" s="1"/>
  <c r="H445" i="1"/>
  <c r="K445" i="1" s="1"/>
  <c r="G445" i="1"/>
  <c r="J445" i="1" s="1"/>
  <c r="F445" i="1"/>
  <c r="I445" i="1" s="1"/>
  <c r="A445" i="1"/>
  <c r="V444" i="1"/>
  <c r="W444" i="1" s="1"/>
  <c r="T444" i="1"/>
  <c r="O444" i="1"/>
  <c r="Q444" i="1" s="1"/>
  <c r="R444" i="1" s="1"/>
  <c r="H444" i="1"/>
  <c r="K444" i="1" s="1"/>
  <c r="G444" i="1"/>
  <c r="J444" i="1" s="1"/>
  <c r="F444" i="1"/>
  <c r="I444" i="1" s="1"/>
  <c r="A444" i="1"/>
  <c r="T443" i="1"/>
  <c r="O443" i="1"/>
  <c r="H443" i="1"/>
  <c r="K443" i="1" s="1"/>
  <c r="G443" i="1"/>
  <c r="J443" i="1" s="1"/>
  <c r="F443" i="1"/>
  <c r="I443" i="1" s="1"/>
  <c r="A443" i="1"/>
  <c r="W442" i="1"/>
  <c r="V442" i="1"/>
  <c r="T442" i="1"/>
  <c r="U442" i="1" s="1"/>
  <c r="O442" i="1"/>
  <c r="Q442" i="1" s="1"/>
  <c r="R442" i="1" s="1"/>
  <c r="I442" i="1"/>
  <c r="H442" i="1"/>
  <c r="K442" i="1" s="1"/>
  <c r="G442" i="1"/>
  <c r="J442" i="1" s="1"/>
  <c r="F442" i="1"/>
  <c r="A442" i="1"/>
  <c r="T441" i="1"/>
  <c r="O441" i="1"/>
  <c r="Q441" i="1" s="1"/>
  <c r="R441" i="1" s="1"/>
  <c r="H441" i="1"/>
  <c r="K441" i="1" s="1"/>
  <c r="G441" i="1"/>
  <c r="J441" i="1" s="1"/>
  <c r="F441" i="1"/>
  <c r="I441" i="1" s="1"/>
  <c r="A441" i="1"/>
  <c r="T440" i="1"/>
  <c r="U440" i="1" s="1"/>
  <c r="O440" i="1"/>
  <c r="J440" i="1"/>
  <c r="H440" i="1"/>
  <c r="K440" i="1" s="1"/>
  <c r="G440" i="1"/>
  <c r="F440" i="1"/>
  <c r="I440" i="1" s="1"/>
  <c r="A440" i="1"/>
  <c r="T439" i="1"/>
  <c r="Q439" i="1"/>
  <c r="R439" i="1" s="1"/>
  <c r="O439" i="1"/>
  <c r="H439" i="1"/>
  <c r="K439" i="1" s="1"/>
  <c r="G439" i="1"/>
  <c r="J439" i="1" s="1"/>
  <c r="F439" i="1"/>
  <c r="I439" i="1" s="1"/>
  <c r="A439" i="1"/>
  <c r="T438" i="1"/>
  <c r="U438" i="1" s="1"/>
  <c r="O438" i="1"/>
  <c r="Q438" i="1" s="1"/>
  <c r="R438" i="1" s="1"/>
  <c r="K438" i="1"/>
  <c r="H438" i="1"/>
  <c r="G438" i="1"/>
  <c r="J438" i="1" s="1"/>
  <c r="F438" i="1"/>
  <c r="I438" i="1" s="1"/>
  <c r="A438" i="1"/>
  <c r="V437" i="1"/>
  <c r="T437" i="1"/>
  <c r="U437" i="1" s="1"/>
  <c r="O437" i="1"/>
  <c r="Q437" i="1" s="1"/>
  <c r="R437" i="1" s="1"/>
  <c r="H437" i="1"/>
  <c r="K437" i="1" s="1"/>
  <c r="G437" i="1"/>
  <c r="J437" i="1" s="1"/>
  <c r="F437" i="1"/>
  <c r="I437" i="1" s="1"/>
  <c r="A437" i="1"/>
  <c r="W436" i="1"/>
  <c r="V436" i="1"/>
  <c r="T436" i="1"/>
  <c r="O436" i="1"/>
  <c r="Q436" i="1" s="1"/>
  <c r="R436" i="1" s="1"/>
  <c r="H436" i="1"/>
  <c r="K436" i="1" s="1"/>
  <c r="G436" i="1"/>
  <c r="J436" i="1" s="1"/>
  <c r="F436" i="1"/>
  <c r="I436" i="1" s="1"/>
  <c r="A436" i="1"/>
  <c r="T435" i="1"/>
  <c r="U435" i="1" s="1"/>
  <c r="Q435" i="1"/>
  <c r="R435" i="1" s="1"/>
  <c r="O435" i="1"/>
  <c r="V435" i="1" s="1"/>
  <c r="H435" i="1"/>
  <c r="K435" i="1" s="1"/>
  <c r="G435" i="1"/>
  <c r="J435" i="1" s="1"/>
  <c r="F435" i="1"/>
  <c r="I435" i="1" s="1"/>
  <c r="A435" i="1"/>
  <c r="V434" i="1"/>
  <c r="W434" i="1" s="1"/>
  <c r="T434" i="1"/>
  <c r="O434" i="1"/>
  <c r="Q434" i="1" s="1"/>
  <c r="R434" i="1" s="1"/>
  <c r="H434" i="1"/>
  <c r="K434" i="1" s="1"/>
  <c r="G434" i="1"/>
  <c r="J434" i="1" s="1"/>
  <c r="F434" i="1"/>
  <c r="I434" i="1" s="1"/>
  <c r="A434" i="1"/>
  <c r="T433" i="1"/>
  <c r="O433" i="1"/>
  <c r="H433" i="1"/>
  <c r="K433" i="1" s="1"/>
  <c r="G433" i="1"/>
  <c r="J433" i="1" s="1"/>
  <c r="F433" i="1"/>
  <c r="I433" i="1" s="1"/>
  <c r="A433" i="1"/>
  <c r="T432" i="1"/>
  <c r="U432" i="1" s="1"/>
  <c r="O432" i="1"/>
  <c r="Q432" i="1" s="1"/>
  <c r="R432" i="1" s="1"/>
  <c r="I432" i="1"/>
  <c r="H432" i="1"/>
  <c r="K432" i="1" s="1"/>
  <c r="G432" i="1"/>
  <c r="J432" i="1" s="1"/>
  <c r="F432" i="1"/>
  <c r="A432" i="1"/>
  <c r="T431" i="1"/>
  <c r="O431" i="1"/>
  <c r="Q431" i="1" s="1"/>
  <c r="R431" i="1" s="1"/>
  <c r="H431" i="1"/>
  <c r="K431" i="1" s="1"/>
  <c r="G431" i="1"/>
  <c r="J431" i="1" s="1"/>
  <c r="F431" i="1"/>
  <c r="I431" i="1" s="1"/>
  <c r="A431" i="1"/>
  <c r="T430" i="1"/>
  <c r="O430" i="1"/>
  <c r="Q430" i="1" s="1"/>
  <c r="R430" i="1" s="1"/>
  <c r="H430" i="1"/>
  <c r="K430" i="1" s="1"/>
  <c r="G430" i="1"/>
  <c r="J430" i="1" s="1"/>
  <c r="F430" i="1"/>
  <c r="I430" i="1" s="1"/>
  <c r="A430" i="1"/>
  <c r="T429" i="1"/>
  <c r="Q429" i="1"/>
  <c r="R429" i="1" s="1"/>
  <c r="O429" i="1"/>
  <c r="V429" i="1" s="1"/>
  <c r="H429" i="1"/>
  <c r="K429" i="1" s="1"/>
  <c r="G429" i="1"/>
  <c r="J429" i="1" s="1"/>
  <c r="F429" i="1"/>
  <c r="I429" i="1" s="1"/>
  <c r="A429" i="1"/>
  <c r="T428" i="1"/>
  <c r="O428" i="1"/>
  <c r="K428" i="1"/>
  <c r="J428" i="1"/>
  <c r="I428" i="1"/>
  <c r="H428" i="1"/>
  <c r="G428" i="1"/>
  <c r="F428" i="1"/>
  <c r="A428" i="1"/>
  <c r="T427" i="1"/>
  <c r="O427" i="1"/>
  <c r="V427" i="1" s="1"/>
  <c r="J427" i="1"/>
  <c r="I427" i="1"/>
  <c r="H427" i="1"/>
  <c r="K427" i="1" s="1"/>
  <c r="G427" i="1"/>
  <c r="F427" i="1"/>
  <c r="A427" i="1"/>
  <c r="T426" i="1"/>
  <c r="O426" i="1"/>
  <c r="K426" i="1"/>
  <c r="I426" i="1"/>
  <c r="H426" i="1"/>
  <c r="G426" i="1"/>
  <c r="J426" i="1" s="1"/>
  <c r="F426" i="1"/>
  <c r="A426" i="1"/>
  <c r="V425" i="1"/>
  <c r="W425" i="1" s="1"/>
  <c r="T425" i="1"/>
  <c r="U425" i="1" s="1"/>
  <c r="R425" i="1"/>
  <c r="Q425" i="1"/>
  <c r="O425" i="1"/>
  <c r="I425" i="1"/>
  <c r="H425" i="1"/>
  <c r="K425" i="1" s="1"/>
  <c r="G425" i="1"/>
  <c r="J425" i="1" s="1"/>
  <c r="F425" i="1"/>
  <c r="A425" i="1"/>
  <c r="T424" i="1"/>
  <c r="O424" i="1"/>
  <c r="J424" i="1"/>
  <c r="H424" i="1"/>
  <c r="K424" i="1" s="1"/>
  <c r="G424" i="1"/>
  <c r="F424" i="1"/>
  <c r="I424" i="1" s="1"/>
  <c r="A424" i="1"/>
  <c r="T423" i="1"/>
  <c r="O423" i="1"/>
  <c r="J423" i="1"/>
  <c r="H423" i="1"/>
  <c r="K423" i="1" s="1"/>
  <c r="G423" i="1"/>
  <c r="F423" i="1"/>
  <c r="I423" i="1" s="1"/>
  <c r="A423" i="1"/>
  <c r="T422" i="1"/>
  <c r="O422" i="1"/>
  <c r="V422" i="1" s="1"/>
  <c r="I422" i="1"/>
  <c r="H422" i="1"/>
  <c r="K422" i="1" s="1"/>
  <c r="G422" i="1"/>
  <c r="J422" i="1" s="1"/>
  <c r="F422" i="1"/>
  <c r="A422" i="1"/>
  <c r="T421" i="1"/>
  <c r="O421" i="1"/>
  <c r="V421" i="1" s="1"/>
  <c r="J421" i="1"/>
  <c r="H421" i="1"/>
  <c r="K421" i="1" s="1"/>
  <c r="G421" i="1"/>
  <c r="F421" i="1"/>
  <c r="I421" i="1" s="1"/>
  <c r="A421" i="1"/>
  <c r="V420" i="1"/>
  <c r="W420" i="1" s="1"/>
  <c r="T420" i="1"/>
  <c r="U420" i="1" s="1"/>
  <c r="Q420" i="1"/>
  <c r="R420" i="1" s="1"/>
  <c r="O420" i="1"/>
  <c r="I420" i="1"/>
  <c r="H420" i="1"/>
  <c r="K420" i="1" s="1"/>
  <c r="G420" i="1"/>
  <c r="J420" i="1" s="1"/>
  <c r="F420" i="1"/>
  <c r="A420" i="1"/>
  <c r="T419" i="1"/>
  <c r="O419" i="1"/>
  <c r="I419" i="1"/>
  <c r="H419" i="1"/>
  <c r="K419" i="1" s="1"/>
  <c r="G419" i="1"/>
  <c r="J419" i="1" s="1"/>
  <c r="F419" i="1"/>
  <c r="A419" i="1"/>
  <c r="T418" i="1"/>
  <c r="O418" i="1"/>
  <c r="K418" i="1"/>
  <c r="J418" i="1"/>
  <c r="I418" i="1"/>
  <c r="H418" i="1"/>
  <c r="G418" i="1"/>
  <c r="F418" i="1"/>
  <c r="A418" i="1"/>
  <c r="V417" i="1"/>
  <c r="T417" i="1"/>
  <c r="U417" i="1" s="1"/>
  <c r="R417" i="1"/>
  <c r="Q417" i="1"/>
  <c r="O417" i="1"/>
  <c r="H417" i="1"/>
  <c r="K417" i="1" s="1"/>
  <c r="G417" i="1"/>
  <c r="J417" i="1" s="1"/>
  <c r="F417" i="1"/>
  <c r="I417" i="1" s="1"/>
  <c r="A417" i="1"/>
  <c r="T416" i="1"/>
  <c r="Q416" i="1"/>
  <c r="R416" i="1" s="1"/>
  <c r="O416" i="1"/>
  <c r="V416" i="1" s="1"/>
  <c r="J416" i="1"/>
  <c r="H416" i="1"/>
  <c r="K416" i="1" s="1"/>
  <c r="G416" i="1"/>
  <c r="F416" i="1"/>
  <c r="I416" i="1" s="1"/>
  <c r="A416" i="1"/>
  <c r="T415" i="1"/>
  <c r="O415" i="1"/>
  <c r="Q415" i="1" s="1"/>
  <c r="R415" i="1" s="1"/>
  <c r="H415" i="1"/>
  <c r="K415" i="1" s="1"/>
  <c r="G415" i="1"/>
  <c r="J415" i="1" s="1"/>
  <c r="F415" i="1"/>
  <c r="I415" i="1" s="1"/>
  <c r="A415" i="1"/>
  <c r="T414" i="1"/>
  <c r="O414" i="1"/>
  <c r="J414" i="1"/>
  <c r="H414" i="1"/>
  <c r="K414" i="1" s="1"/>
  <c r="G414" i="1"/>
  <c r="F414" i="1"/>
  <c r="I414" i="1" s="1"/>
  <c r="A414" i="1"/>
  <c r="T413" i="1"/>
  <c r="U413" i="1" s="1"/>
  <c r="O413" i="1"/>
  <c r="V413" i="1" s="1"/>
  <c r="J413" i="1"/>
  <c r="H413" i="1"/>
  <c r="K413" i="1" s="1"/>
  <c r="G413" i="1"/>
  <c r="F413" i="1"/>
  <c r="I413" i="1" s="1"/>
  <c r="A413" i="1"/>
  <c r="T412" i="1"/>
  <c r="O412" i="1"/>
  <c r="Q412" i="1" s="1"/>
  <c r="R412" i="1" s="1"/>
  <c r="H412" i="1"/>
  <c r="K412" i="1" s="1"/>
  <c r="G412" i="1"/>
  <c r="J412" i="1" s="1"/>
  <c r="F412" i="1"/>
  <c r="I412" i="1" s="1"/>
  <c r="A412" i="1"/>
  <c r="T411" i="1"/>
  <c r="U411" i="1" s="1"/>
  <c r="O411" i="1"/>
  <c r="H411" i="1"/>
  <c r="K411" i="1" s="1"/>
  <c r="G411" i="1"/>
  <c r="J411" i="1" s="1"/>
  <c r="F411" i="1"/>
  <c r="I411" i="1" s="1"/>
  <c r="A411" i="1"/>
  <c r="V410" i="1"/>
  <c r="T410" i="1"/>
  <c r="U410" i="1" s="1"/>
  <c r="Q410" i="1"/>
  <c r="R410" i="1" s="1"/>
  <c r="O410" i="1"/>
  <c r="H410" i="1"/>
  <c r="K410" i="1" s="1"/>
  <c r="G410" i="1"/>
  <c r="J410" i="1" s="1"/>
  <c r="F410" i="1"/>
  <c r="I410" i="1" s="1"/>
  <c r="A410" i="1"/>
  <c r="T409" i="1"/>
  <c r="O409" i="1"/>
  <c r="Q409" i="1" s="1"/>
  <c r="R409" i="1" s="1"/>
  <c r="H409" i="1"/>
  <c r="K409" i="1" s="1"/>
  <c r="G409" i="1"/>
  <c r="J409" i="1" s="1"/>
  <c r="F409" i="1"/>
  <c r="I409" i="1" s="1"/>
  <c r="A409" i="1"/>
  <c r="T408" i="1"/>
  <c r="O408" i="1"/>
  <c r="V408" i="1" s="1"/>
  <c r="K408" i="1"/>
  <c r="I408" i="1"/>
  <c r="H408" i="1"/>
  <c r="G408" i="1"/>
  <c r="J408" i="1" s="1"/>
  <c r="F408" i="1"/>
  <c r="A408" i="1"/>
  <c r="T407" i="1"/>
  <c r="O407" i="1"/>
  <c r="V407" i="1" s="1"/>
  <c r="H407" i="1"/>
  <c r="K407" i="1" s="1"/>
  <c r="G407" i="1"/>
  <c r="J407" i="1" s="1"/>
  <c r="F407" i="1"/>
  <c r="I407" i="1" s="1"/>
  <c r="A407" i="1"/>
  <c r="T406" i="1"/>
  <c r="O406" i="1"/>
  <c r="V406" i="1" s="1"/>
  <c r="J406" i="1"/>
  <c r="I406" i="1"/>
  <c r="H406" i="1"/>
  <c r="K406" i="1" s="1"/>
  <c r="G406" i="1"/>
  <c r="F406" i="1"/>
  <c r="A406" i="1"/>
  <c r="T405" i="1"/>
  <c r="O405" i="1"/>
  <c r="H405" i="1"/>
  <c r="K405" i="1" s="1"/>
  <c r="G405" i="1"/>
  <c r="J405" i="1" s="1"/>
  <c r="F405" i="1"/>
  <c r="I405" i="1" s="1"/>
  <c r="A405" i="1"/>
  <c r="T404" i="1"/>
  <c r="O404" i="1"/>
  <c r="K404" i="1"/>
  <c r="J404" i="1"/>
  <c r="I404" i="1"/>
  <c r="H404" i="1"/>
  <c r="G404" i="1"/>
  <c r="F404" i="1"/>
  <c r="A404" i="1"/>
  <c r="T403" i="1"/>
  <c r="Q403" i="1"/>
  <c r="R403" i="1" s="1"/>
  <c r="O403" i="1"/>
  <c r="V403" i="1" s="1"/>
  <c r="K403" i="1"/>
  <c r="H403" i="1"/>
  <c r="G403" i="1"/>
  <c r="J403" i="1" s="1"/>
  <c r="F403" i="1"/>
  <c r="I403" i="1" s="1"/>
  <c r="A403" i="1"/>
  <c r="T402" i="1"/>
  <c r="O402" i="1"/>
  <c r="V402" i="1" s="1"/>
  <c r="I402" i="1"/>
  <c r="H402" i="1"/>
  <c r="K402" i="1" s="1"/>
  <c r="G402" i="1"/>
  <c r="J402" i="1" s="1"/>
  <c r="F402" i="1"/>
  <c r="A402" i="1"/>
  <c r="T401" i="1"/>
  <c r="O401" i="1"/>
  <c r="Q401" i="1" s="1"/>
  <c r="R401" i="1" s="1"/>
  <c r="K401" i="1"/>
  <c r="H401" i="1"/>
  <c r="G401" i="1"/>
  <c r="J401" i="1" s="1"/>
  <c r="F401" i="1"/>
  <c r="I401" i="1" s="1"/>
  <c r="A401" i="1"/>
  <c r="T400" i="1"/>
  <c r="O400" i="1"/>
  <c r="H400" i="1"/>
  <c r="K400" i="1" s="1"/>
  <c r="G400" i="1"/>
  <c r="J400" i="1" s="1"/>
  <c r="F400" i="1"/>
  <c r="I400" i="1" s="1"/>
  <c r="A400" i="1"/>
  <c r="U399" i="1"/>
  <c r="T399" i="1"/>
  <c r="Q399" i="1"/>
  <c r="R399" i="1" s="1"/>
  <c r="O399" i="1"/>
  <c r="V399" i="1" s="1"/>
  <c r="K399" i="1"/>
  <c r="H399" i="1"/>
  <c r="G399" i="1"/>
  <c r="J399" i="1" s="1"/>
  <c r="F399" i="1"/>
  <c r="I399" i="1" s="1"/>
  <c r="A399" i="1"/>
  <c r="T398" i="1"/>
  <c r="O398" i="1"/>
  <c r="H398" i="1"/>
  <c r="K398" i="1" s="1"/>
  <c r="G398" i="1"/>
  <c r="J398" i="1" s="1"/>
  <c r="F398" i="1"/>
  <c r="I398" i="1" s="1"/>
  <c r="A398" i="1"/>
  <c r="V397" i="1"/>
  <c r="W397" i="1" s="1"/>
  <c r="U397" i="1"/>
  <c r="T397" i="1"/>
  <c r="Q397" i="1"/>
  <c r="R397" i="1" s="1"/>
  <c r="O397" i="1"/>
  <c r="K397" i="1"/>
  <c r="H397" i="1"/>
  <c r="G397" i="1"/>
  <c r="J397" i="1" s="1"/>
  <c r="F397" i="1"/>
  <c r="I397" i="1" s="1"/>
  <c r="A397" i="1"/>
  <c r="V396" i="1"/>
  <c r="T396" i="1"/>
  <c r="O396" i="1"/>
  <c r="H396" i="1"/>
  <c r="K396" i="1" s="1"/>
  <c r="G396" i="1"/>
  <c r="J396" i="1" s="1"/>
  <c r="F396" i="1"/>
  <c r="I396" i="1" s="1"/>
  <c r="A396" i="1"/>
  <c r="T395" i="1"/>
  <c r="O395" i="1"/>
  <c r="H395" i="1"/>
  <c r="K395" i="1" s="1"/>
  <c r="G395" i="1"/>
  <c r="J395" i="1" s="1"/>
  <c r="F395" i="1"/>
  <c r="I395" i="1" s="1"/>
  <c r="A395" i="1"/>
  <c r="V394" i="1"/>
  <c r="W394" i="1" s="1"/>
  <c r="T394" i="1"/>
  <c r="O394" i="1"/>
  <c r="Q394" i="1" s="1"/>
  <c r="R394" i="1" s="1"/>
  <c r="K394" i="1"/>
  <c r="I394" i="1"/>
  <c r="H394" i="1"/>
  <c r="G394" i="1"/>
  <c r="J394" i="1" s="1"/>
  <c r="F394" i="1"/>
  <c r="A394" i="1"/>
  <c r="V393" i="1"/>
  <c r="T393" i="1"/>
  <c r="U393" i="1" s="1"/>
  <c r="Q393" i="1"/>
  <c r="R393" i="1" s="1"/>
  <c r="O393" i="1"/>
  <c r="K393" i="1"/>
  <c r="H393" i="1"/>
  <c r="G393" i="1"/>
  <c r="J393" i="1" s="1"/>
  <c r="F393" i="1"/>
  <c r="I393" i="1" s="1"/>
  <c r="A393" i="1"/>
  <c r="V392" i="1"/>
  <c r="W392" i="1" s="1"/>
  <c r="T392" i="1"/>
  <c r="U392" i="1" s="1"/>
  <c r="O392" i="1"/>
  <c r="Q392" i="1" s="1"/>
  <c r="R392" i="1" s="1"/>
  <c r="H392" i="1"/>
  <c r="K392" i="1" s="1"/>
  <c r="G392" i="1"/>
  <c r="J392" i="1" s="1"/>
  <c r="F392" i="1"/>
  <c r="I392" i="1" s="1"/>
  <c r="A392" i="1"/>
  <c r="T391" i="1"/>
  <c r="O391" i="1"/>
  <c r="K391" i="1"/>
  <c r="H391" i="1"/>
  <c r="G391" i="1"/>
  <c r="J391" i="1" s="1"/>
  <c r="F391" i="1"/>
  <c r="I391" i="1" s="1"/>
  <c r="A391" i="1"/>
  <c r="T390" i="1"/>
  <c r="O390" i="1"/>
  <c r="H390" i="1"/>
  <c r="K390" i="1" s="1"/>
  <c r="G390" i="1"/>
  <c r="J390" i="1" s="1"/>
  <c r="F390" i="1"/>
  <c r="I390" i="1" s="1"/>
  <c r="A390" i="1"/>
  <c r="T389" i="1"/>
  <c r="O389" i="1"/>
  <c r="V389" i="1" s="1"/>
  <c r="H389" i="1"/>
  <c r="K389" i="1" s="1"/>
  <c r="G389" i="1"/>
  <c r="J389" i="1" s="1"/>
  <c r="F389" i="1"/>
  <c r="I389" i="1" s="1"/>
  <c r="A389" i="1"/>
  <c r="T388" i="1"/>
  <c r="U388" i="1" s="1"/>
  <c r="O388" i="1"/>
  <c r="Q388" i="1" s="1"/>
  <c r="R388" i="1" s="1"/>
  <c r="K388" i="1"/>
  <c r="H388" i="1"/>
  <c r="G388" i="1"/>
  <c r="J388" i="1" s="1"/>
  <c r="F388" i="1"/>
  <c r="I388" i="1" s="1"/>
  <c r="A388" i="1"/>
  <c r="T387" i="1"/>
  <c r="U387" i="1" s="1"/>
  <c r="O387" i="1"/>
  <c r="K387" i="1"/>
  <c r="H387" i="1"/>
  <c r="G387" i="1"/>
  <c r="J387" i="1" s="1"/>
  <c r="F387" i="1"/>
  <c r="I387" i="1" s="1"/>
  <c r="A387" i="1"/>
  <c r="T386" i="1"/>
  <c r="O386" i="1"/>
  <c r="I386" i="1"/>
  <c r="H386" i="1"/>
  <c r="K386" i="1" s="1"/>
  <c r="G386" i="1"/>
  <c r="J386" i="1" s="1"/>
  <c r="F386" i="1"/>
  <c r="A386" i="1"/>
  <c r="T385" i="1"/>
  <c r="O385" i="1"/>
  <c r="V385" i="1" s="1"/>
  <c r="H385" i="1"/>
  <c r="K385" i="1" s="1"/>
  <c r="G385" i="1"/>
  <c r="J385" i="1" s="1"/>
  <c r="F385" i="1"/>
  <c r="I385" i="1" s="1"/>
  <c r="A385" i="1"/>
  <c r="T384" i="1"/>
  <c r="O384" i="1"/>
  <c r="Q384" i="1" s="1"/>
  <c r="R384" i="1" s="1"/>
  <c r="H384" i="1"/>
  <c r="K384" i="1" s="1"/>
  <c r="G384" i="1"/>
  <c r="J384" i="1" s="1"/>
  <c r="F384" i="1"/>
  <c r="I384" i="1" s="1"/>
  <c r="A384" i="1"/>
  <c r="T383" i="1"/>
  <c r="O383" i="1"/>
  <c r="Q383" i="1" s="1"/>
  <c r="R383" i="1" s="1"/>
  <c r="H383" i="1"/>
  <c r="K383" i="1" s="1"/>
  <c r="G383" i="1"/>
  <c r="J383" i="1" s="1"/>
  <c r="F383" i="1"/>
  <c r="I383" i="1" s="1"/>
  <c r="A383" i="1"/>
  <c r="T382" i="1"/>
  <c r="O382" i="1"/>
  <c r="K382" i="1"/>
  <c r="H382" i="1"/>
  <c r="G382" i="1"/>
  <c r="J382" i="1" s="1"/>
  <c r="F382" i="1"/>
  <c r="I382" i="1" s="1"/>
  <c r="A382" i="1"/>
  <c r="T381" i="1"/>
  <c r="U381" i="1" s="1"/>
  <c r="R381" i="1"/>
  <c r="Q381" i="1"/>
  <c r="O381" i="1"/>
  <c r="V381" i="1" s="1"/>
  <c r="H381" i="1"/>
  <c r="K381" i="1" s="1"/>
  <c r="G381" i="1"/>
  <c r="J381" i="1" s="1"/>
  <c r="F381" i="1"/>
  <c r="I381" i="1" s="1"/>
  <c r="A381" i="1"/>
  <c r="T380" i="1"/>
  <c r="O380" i="1"/>
  <c r="Q380" i="1" s="1"/>
  <c r="R380" i="1" s="1"/>
  <c r="K380" i="1"/>
  <c r="H380" i="1"/>
  <c r="G380" i="1"/>
  <c r="J380" i="1" s="1"/>
  <c r="F380" i="1"/>
  <c r="I380" i="1" s="1"/>
  <c r="A380" i="1"/>
  <c r="V379" i="1"/>
  <c r="U379" i="1"/>
  <c r="T379" i="1"/>
  <c r="O379" i="1"/>
  <c r="Q379" i="1" s="1"/>
  <c r="R379" i="1" s="1"/>
  <c r="K379" i="1"/>
  <c r="H379" i="1"/>
  <c r="G379" i="1"/>
  <c r="J379" i="1" s="1"/>
  <c r="F379" i="1"/>
  <c r="I379" i="1" s="1"/>
  <c r="A379" i="1"/>
  <c r="T378" i="1"/>
  <c r="O378" i="1"/>
  <c r="I378" i="1"/>
  <c r="H378" i="1"/>
  <c r="K378" i="1" s="1"/>
  <c r="G378" i="1"/>
  <c r="J378" i="1" s="1"/>
  <c r="F378" i="1"/>
  <c r="A378" i="1"/>
  <c r="T377" i="1"/>
  <c r="U377" i="1" s="1"/>
  <c r="O377" i="1"/>
  <c r="V377" i="1" s="1"/>
  <c r="K377" i="1"/>
  <c r="J377" i="1"/>
  <c r="H377" i="1"/>
  <c r="G377" i="1"/>
  <c r="F377" i="1"/>
  <c r="I377" i="1" s="1"/>
  <c r="A377" i="1"/>
  <c r="T376" i="1"/>
  <c r="O376" i="1"/>
  <c r="Q376" i="1" s="1"/>
  <c r="R376" i="1" s="1"/>
  <c r="I376" i="1"/>
  <c r="H376" i="1"/>
  <c r="K376" i="1" s="1"/>
  <c r="G376" i="1"/>
  <c r="J376" i="1" s="1"/>
  <c r="F376" i="1"/>
  <c r="A376" i="1"/>
  <c r="T375" i="1"/>
  <c r="O375" i="1"/>
  <c r="K375" i="1"/>
  <c r="J375" i="1"/>
  <c r="H375" i="1"/>
  <c r="G375" i="1"/>
  <c r="F375" i="1"/>
  <c r="I375" i="1" s="1"/>
  <c r="A375" i="1"/>
  <c r="T374" i="1"/>
  <c r="O374" i="1"/>
  <c r="K374" i="1"/>
  <c r="J374" i="1"/>
  <c r="I374" i="1"/>
  <c r="H374" i="1"/>
  <c r="G374" i="1"/>
  <c r="F374" i="1"/>
  <c r="A374" i="1"/>
  <c r="T373" i="1"/>
  <c r="O373" i="1"/>
  <c r="V373" i="1" s="1"/>
  <c r="J373" i="1"/>
  <c r="H373" i="1"/>
  <c r="K373" i="1" s="1"/>
  <c r="G373" i="1"/>
  <c r="F373" i="1"/>
  <c r="I373" i="1" s="1"/>
  <c r="A373" i="1"/>
  <c r="T372" i="1"/>
  <c r="O372" i="1"/>
  <c r="I372" i="1"/>
  <c r="H372" i="1"/>
  <c r="K372" i="1" s="1"/>
  <c r="G372" i="1"/>
  <c r="J372" i="1" s="1"/>
  <c r="F372" i="1"/>
  <c r="A372" i="1"/>
  <c r="T371" i="1"/>
  <c r="O371" i="1"/>
  <c r="H371" i="1"/>
  <c r="K371" i="1" s="1"/>
  <c r="G371" i="1"/>
  <c r="J371" i="1" s="1"/>
  <c r="F371" i="1"/>
  <c r="I371" i="1" s="1"/>
  <c r="A371" i="1"/>
  <c r="T370" i="1"/>
  <c r="O370" i="1"/>
  <c r="I370" i="1"/>
  <c r="H370" i="1"/>
  <c r="K370" i="1" s="1"/>
  <c r="G370" i="1"/>
  <c r="J370" i="1" s="1"/>
  <c r="F370" i="1"/>
  <c r="A370" i="1"/>
  <c r="T369" i="1"/>
  <c r="O369" i="1"/>
  <c r="V369" i="1" s="1"/>
  <c r="H369" i="1"/>
  <c r="K369" i="1" s="1"/>
  <c r="G369" i="1"/>
  <c r="J369" i="1" s="1"/>
  <c r="F369" i="1"/>
  <c r="I369" i="1" s="1"/>
  <c r="A369" i="1"/>
  <c r="T368" i="1"/>
  <c r="O368" i="1"/>
  <c r="Q368" i="1" s="1"/>
  <c r="R368" i="1" s="1"/>
  <c r="H368" i="1"/>
  <c r="K368" i="1" s="1"/>
  <c r="G368" i="1"/>
  <c r="J368" i="1" s="1"/>
  <c r="F368" i="1"/>
  <c r="I368" i="1" s="1"/>
  <c r="A368" i="1"/>
  <c r="T367" i="1"/>
  <c r="O367" i="1"/>
  <c r="Q367" i="1" s="1"/>
  <c r="R367" i="1" s="1"/>
  <c r="H367" i="1"/>
  <c r="K367" i="1" s="1"/>
  <c r="G367" i="1"/>
  <c r="J367" i="1" s="1"/>
  <c r="F367" i="1"/>
  <c r="I367" i="1" s="1"/>
  <c r="A367" i="1"/>
  <c r="T366" i="1"/>
  <c r="O366" i="1"/>
  <c r="H366" i="1"/>
  <c r="K366" i="1" s="1"/>
  <c r="G366" i="1"/>
  <c r="J366" i="1" s="1"/>
  <c r="F366" i="1"/>
  <c r="I366" i="1" s="1"/>
  <c r="A366" i="1"/>
  <c r="T365" i="1"/>
  <c r="U365" i="1" s="1"/>
  <c r="O365" i="1"/>
  <c r="V365" i="1" s="1"/>
  <c r="H365" i="1"/>
  <c r="K365" i="1" s="1"/>
  <c r="G365" i="1"/>
  <c r="J365" i="1" s="1"/>
  <c r="F365" i="1"/>
  <c r="I365" i="1" s="1"/>
  <c r="A365" i="1"/>
  <c r="V364" i="1"/>
  <c r="W364" i="1" s="1"/>
  <c r="U364" i="1"/>
  <c r="T364" i="1"/>
  <c r="O364" i="1"/>
  <c r="Q364" i="1" s="1"/>
  <c r="R364" i="1" s="1"/>
  <c r="H364" i="1"/>
  <c r="K364" i="1" s="1"/>
  <c r="G364" i="1"/>
  <c r="J364" i="1" s="1"/>
  <c r="F364" i="1"/>
  <c r="I364" i="1" s="1"/>
  <c r="A364" i="1"/>
  <c r="T363" i="1"/>
  <c r="O363" i="1"/>
  <c r="K363" i="1"/>
  <c r="H363" i="1"/>
  <c r="G363" i="1"/>
  <c r="J363" i="1" s="1"/>
  <c r="F363" i="1"/>
  <c r="I363" i="1" s="1"/>
  <c r="A363" i="1"/>
  <c r="T362" i="1"/>
  <c r="O362" i="1"/>
  <c r="Q362" i="1" s="1"/>
  <c r="R362" i="1" s="1"/>
  <c r="K362" i="1"/>
  <c r="H362" i="1"/>
  <c r="G362" i="1"/>
  <c r="J362" i="1" s="1"/>
  <c r="F362" i="1"/>
  <c r="I362" i="1" s="1"/>
  <c r="A362" i="1"/>
  <c r="V361" i="1"/>
  <c r="W361" i="1" s="1"/>
  <c r="U361" i="1"/>
  <c r="T361" i="1"/>
  <c r="R361" i="1"/>
  <c r="Q361" i="1"/>
  <c r="O361" i="1"/>
  <c r="K361" i="1"/>
  <c r="H361" i="1"/>
  <c r="G361" i="1"/>
  <c r="J361" i="1" s="1"/>
  <c r="F361" i="1"/>
  <c r="I361" i="1" s="1"/>
  <c r="A361" i="1"/>
  <c r="T360" i="1"/>
  <c r="O360" i="1"/>
  <c r="Q360" i="1" s="1"/>
  <c r="R360" i="1" s="1"/>
  <c r="H360" i="1"/>
  <c r="K360" i="1" s="1"/>
  <c r="G360" i="1"/>
  <c r="J360" i="1" s="1"/>
  <c r="F360" i="1"/>
  <c r="I360" i="1" s="1"/>
  <c r="A360" i="1"/>
  <c r="T359" i="1"/>
  <c r="O359" i="1"/>
  <c r="V359" i="1" s="1"/>
  <c r="H359" i="1"/>
  <c r="K359" i="1" s="1"/>
  <c r="G359" i="1"/>
  <c r="J359" i="1" s="1"/>
  <c r="F359" i="1"/>
  <c r="I359" i="1" s="1"/>
  <c r="A359" i="1"/>
  <c r="T358" i="1"/>
  <c r="O358" i="1"/>
  <c r="H358" i="1"/>
  <c r="K358" i="1" s="1"/>
  <c r="G358" i="1"/>
  <c r="J358" i="1" s="1"/>
  <c r="F358" i="1"/>
  <c r="I358" i="1" s="1"/>
  <c r="A358" i="1"/>
  <c r="V357" i="1"/>
  <c r="U357" i="1"/>
  <c r="T357" i="1"/>
  <c r="O357" i="1"/>
  <c r="Q357" i="1" s="1"/>
  <c r="R357" i="1" s="1"/>
  <c r="H357" i="1"/>
  <c r="K357" i="1" s="1"/>
  <c r="G357" i="1"/>
  <c r="J357" i="1" s="1"/>
  <c r="F357" i="1"/>
  <c r="I357" i="1" s="1"/>
  <c r="A357" i="1"/>
  <c r="T356" i="1"/>
  <c r="O356" i="1"/>
  <c r="H356" i="1"/>
  <c r="K356" i="1" s="1"/>
  <c r="G356" i="1"/>
  <c r="J356" i="1" s="1"/>
  <c r="F356" i="1"/>
  <c r="I356" i="1" s="1"/>
  <c r="A356" i="1"/>
  <c r="V355" i="1"/>
  <c r="T355" i="1"/>
  <c r="U355" i="1" s="1"/>
  <c r="O355" i="1"/>
  <c r="Q355" i="1" s="1"/>
  <c r="R355" i="1" s="1"/>
  <c r="H355" i="1"/>
  <c r="K355" i="1" s="1"/>
  <c r="G355" i="1"/>
  <c r="J355" i="1" s="1"/>
  <c r="F355" i="1"/>
  <c r="I355" i="1" s="1"/>
  <c r="A355" i="1"/>
  <c r="W354" i="1"/>
  <c r="V354" i="1"/>
  <c r="U354" i="1"/>
  <c r="T354" i="1"/>
  <c r="O354" i="1"/>
  <c r="Q354" i="1" s="1"/>
  <c r="R354" i="1" s="1"/>
  <c r="H354" i="1"/>
  <c r="K354" i="1" s="1"/>
  <c r="G354" i="1"/>
  <c r="J354" i="1" s="1"/>
  <c r="F354" i="1"/>
  <c r="I354" i="1" s="1"/>
  <c r="A354" i="1"/>
  <c r="T353" i="1"/>
  <c r="O353" i="1"/>
  <c r="K353" i="1"/>
  <c r="H353" i="1"/>
  <c r="G353" i="1"/>
  <c r="J353" i="1" s="1"/>
  <c r="F353" i="1"/>
  <c r="I353" i="1" s="1"/>
  <c r="A353" i="1"/>
  <c r="T352" i="1"/>
  <c r="O352" i="1"/>
  <c r="Q352" i="1" s="1"/>
  <c r="R352" i="1" s="1"/>
  <c r="K352" i="1"/>
  <c r="H352" i="1"/>
  <c r="G352" i="1"/>
  <c r="J352" i="1" s="1"/>
  <c r="F352" i="1"/>
  <c r="I352" i="1" s="1"/>
  <c r="A352" i="1"/>
  <c r="V351" i="1"/>
  <c r="W351" i="1" s="1"/>
  <c r="T351" i="1"/>
  <c r="U351" i="1" s="1"/>
  <c r="R351" i="1"/>
  <c r="Q351" i="1"/>
  <c r="O351" i="1"/>
  <c r="H351" i="1"/>
  <c r="K351" i="1" s="1"/>
  <c r="G351" i="1"/>
  <c r="J351" i="1" s="1"/>
  <c r="F351" i="1"/>
  <c r="I351" i="1" s="1"/>
  <c r="A351" i="1"/>
  <c r="W350" i="1"/>
  <c r="V350" i="1"/>
  <c r="U350" i="1"/>
  <c r="T350" i="1"/>
  <c r="O350" i="1"/>
  <c r="Q350" i="1" s="1"/>
  <c r="R350" i="1" s="1"/>
  <c r="H350" i="1"/>
  <c r="K350" i="1" s="1"/>
  <c r="G350" i="1"/>
  <c r="J350" i="1" s="1"/>
  <c r="F350" i="1"/>
  <c r="I350" i="1" s="1"/>
  <c r="A350" i="1"/>
  <c r="T349" i="1"/>
  <c r="U349" i="1" s="1"/>
  <c r="R349" i="1"/>
  <c r="Q349" i="1"/>
  <c r="O349" i="1"/>
  <c r="V349" i="1" s="1"/>
  <c r="H349" i="1"/>
  <c r="K349" i="1" s="1"/>
  <c r="G349" i="1"/>
  <c r="J349" i="1" s="1"/>
  <c r="F349" i="1"/>
  <c r="I349" i="1" s="1"/>
  <c r="A349" i="1"/>
  <c r="T348" i="1"/>
  <c r="R348" i="1"/>
  <c r="O348" i="1"/>
  <c r="Q348" i="1" s="1"/>
  <c r="H348" i="1"/>
  <c r="K348" i="1" s="1"/>
  <c r="G348" i="1"/>
  <c r="J348" i="1" s="1"/>
  <c r="F348" i="1"/>
  <c r="I348" i="1" s="1"/>
  <c r="A348" i="1"/>
  <c r="T347" i="1"/>
  <c r="O347" i="1"/>
  <c r="H347" i="1"/>
  <c r="K347" i="1" s="1"/>
  <c r="G347" i="1"/>
  <c r="J347" i="1" s="1"/>
  <c r="F347" i="1"/>
  <c r="I347" i="1" s="1"/>
  <c r="A347" i="1"/>
  <c r="T346" i="1"/>
  <c r="O346" i="1"/>
  <c r="H346" i="1"/>
  <c r="K346" i="1" s="1"/>
  <c r="G346" i="1"/>
  <c r="J346" i="1" s="1"/>
  <c r="F346" i="1"/>
  <c r="I346" i="1" s="1"/>
  <c r="A346" i="1"/>
  <c r="V345" i="1"/>
  <c r="U345" i="1"/>
  <c r="T345" i="1"/>
  <c r="O345" i="1"/>
  <c r="Q345" i="1" s="1"/>
  <c r="R345" i="1" s="1"/>
  <c r="H345" i="1"/>
  <c r="K345" i="1" s="1"/>
  <c r="G345" i="1"/>
  <c r="J345" i="1" s="1"/>
  <c r="F345" i="1"/>
  <c r="I345" i="1" s="1"/>
  <c r="A345" i="1"/>
  <c r="T344" i="1"/>
  <c r="U344" i="1" s="1"/>
  <c r="O344" i="1"/>
  <c r="H344" i="1"/>
  <c r="K344" i="1" s="1"/>
  <c r="G344" i="1"/>
  <c r="J344" i="1" s="1"/>
  <c r="F344" i="1"/>
  <c r="I344" i="1" s="1"/>
  <c r="A344" i="1"/>
  <c r="V343" i="1"/>
  <c r="T343" i="1"/>
  <c r="O343" i="1"/>
  <c r="U343" i="1" s="1"/>
  <c r="H343" i="1"/>
  <c r="K343" i="1" s="1"/>
  <c r="G343" i="1"/>
  <c r="J343" i="1" s="1"/>
  <c r="F343" i="1"/>
  <c r="I343" i="1" s="1"/>
  <c r="A343" i="1"/>
  <c r="T342" i="1"/>
  <c r="O342" i="1"/>
  <c r="H342" i="1"/>
  <c r="K342" i="1" s="1"/>
  <c r="G342" i="1"/>
  <c r="J342" i="1" s="1"/>
  <c r="F342" i="1"/>
  <c r="I342" i="1" s="1"/>
  <c r="A342" i="1"/>
  <c r="T341" i="1"/>
  <c r="U341" i="1" s="1"/>
  <c r="O341" i="1"/>
  <c r="V341" i="1" s="1"/>
  <c r="K341" i="1"/>
  <c r="H341" i="1"/>
  <c r="G341" i="1"/>
  <c r="J341" i="1" s="1"/>
  <c r="F341" i="1"/>
  <c r="I341" i="1" s="1"/>
  <c r="A341" i="1"/>
  <c r="T340" i="1"/>
  <c r="U340" i="1" s="1"/>
  <c r="O340" i="1"/>
  <c r="Q340" i="1" s="1"/>
  <c r="R340" i="1" s="1"/>
  <c r="H340" i="1"/>
  <c r="K340" i="1" s="1"/>
  <c r="G340" i="1"/>
  <c r="J340" i="1" s="1"/>
  <c r="F340" i="1"/>
  <c r="I340" i="1" s="1"/>
  <c r="A340" i="1"/>
  <c r="T339" i="1"/>
  <c r="U339" i="1" s="1"/>
  <c r="O339" i="1"/>
  <c r="V339" i="1" s="1"/>
  <c r="I339" i="1"/>
  <c r="H339" i="1"/>
  <c r="K339" i="1" s="1"/>
  <c r="G339" i="1"/>
  <c r="J339" i="1" s="1"/>
  <c r="F339" i="1"/>
  <c r="A339" i="1"/>
  <c r="T338" i="1"/>
  <c r="O338" i="1"/>
  <c r="H338" i="1"/>
  <c r="K338" i="1" s="1"/>
  <c r="G338" i="1"/>
  <c r="J338" i="1" s="1"/>
  <c r="F338" i="1"/>
  <c r="I338" i="1" s="1"/>
  <c r="A338" i="1"/>
  <c r="T337" i="1"/>
  <c r="O337" i="1"/>
  <c r="H337" i="1"/>
  <c r="K337" i="1" s="1"/>
  <c r="G337" i="1"/>
  <c r="J337" i="1" s="1"/>
  <c r="F337" i="1"/>
  <c r="I337" i="1" s="1"/>
  <c r="A337" i="1"/>
  <c r="T336" i="1"/>
  <c r="U336" i="1" s="1"/>
  <c r="O336" i="1"/>
  <c r="H336" i="1"/>
  <c r="K336" i="1" s="1"/>
  <c r="G336" i="1"/>
  <c r="J336" i="1" s="1"/>
  <c r="F336" i="1"/>
  <c r="I336" i="1" s="1"/>
  <c r="A336" i="1"/>
  <c r="T335" i="1"/>
  <c r="U335" i="1" s="1"/>
  <c r="O335" i="1"/>
  <c r="Q335" i="1" s="1"/>
  <c r="R335" i="1" s="1"/>
  <c r="H335" i="1"/>
  <c r="K335" i="1" s="1"/>
  <c r="G335" i="1"/>
  <c r="J335" i="1" s="1"/>
  <c r="F335" i="1"/>
  <c r="I335" i="1" s="1"/>
  <c r="A335" i="1"/>
  <c r="U334" i="1"/>
  <c r="T334" i="1"/>
  <c r="O334" i="1"/>
  <c r="I334" i="1"/>
  <c r="H334" i="1"/>
  <c r="K334" i="1" s="1"/>
  <c r="G334" i="1"/>
  <c r="J334" i="1" s="1"/>
  <c r="F334" i="1"/>
  <c r="A334" i="1"/>
  <c r="T333" i="1"/>
  <c r="U333" i="1" s="1"/>
  <c r="Q333" i="1"/>
  <c r="R333" i="1" s="1"/>
  <c r="O333" i="1"/>
  <c r="V333" i="1" s="1"/>
  <c r="H333" i="1"/>
  <c r="K333" i="1" s="1"/>
  <c r="G333" i="1"/>
  <c r="J333" i="1" s="1"/>
  <c r="F333" i="1"/>
  <c r="I333" i="1" s="1"/>
  <c r="A333" i="1"/>
  <c r="T332" i="1"/>
  <c r="O332" i="1"/>
  <c r="I332" i="1"/>
  <c r="H332" i="1"/>
  <c r="K332" i="1" s="1"/>
  <c r="G332" i="1"/>
  <c r="J332" i="1" s="1"/>
  <c r="F332" i="1"/>
  <c r="A332" i="1"/>
  <c r="T331" i="1"/>
  <c r="O331" i="1"/>
  <c r="V331" i="1" s="1"/>
  <c r="H331" i="1"/>
  <c r="K331" i="1" s="1"/>
  <c r="G331" i="1"/>
  <c r="J331" i="1" s="1"/>
  <c r="F331" i="1"/>
  <c r="I331" i="1" s="1"/>
  <c r="A331" i="1"/>
  <c r="T330" i="1"/>
  <c r="U330" i="1" s="1"/>
  <c r="O330" i="1"/>
  <c r="Q330" i="1" s="1"/>
  <c r="R330" i="1" s="1"/>
  <c r="H330" i="1"/>
  <c r="K330" i="1" s="1"/>
  <c r="G330" i="1"/>
  <c r="J330" i="1" s="1"/>
  <c r="F330" i="1"/>
  <c r="I330" i="1" s="1"/>
  <c r="A330" i="1"/>
  <c r="T329" i="1"/>
  <c r="O329" i="1"/>
  <c r="V329" i="1" s="1"/>
  <c r="J329" i="1"/>
  <c r="I329" i="1"/>
  <c r="H329" i="1"/>
  <c r="K329" i="1" s="1"/>
  <c r="G329" i="1"/>
  <c r="F329" i="1"/>
  <c r="A329" i="1"/>
  <c r="T328" i="1"/>
  <c r="O328" i="1"/>
  <c r="H328" i="1"/>
  <c r="K328" i="1" s="1"/>
  <c r="G328" i="1"/>
  <c r="J328" i="1" s="1"/>
  <c r="F328" i="1"/>
  <c r="I328" i="1" s="1"/>
  <c r="A328" i="1"/>
  <c r="T327" i="1"/>
  <c r="O327" i="1"/>
  <c r="I327" i="1"/>
  <c r="H327" i="1"/>
  <c r="K327" i="1" s="1"/>
  <c r="G327" i="1"/>
  <c r="J327" i="1" s="1"/>
  <c r="F327" i="1"/>
  <c r="A327" i="1"/>
  <c r="T326" i="1"/>
  <c r="O326" i="1"/>
  <c r="H326" i="1"/>
  <c r="K326" i="1" s="1"/>
  <c r="G326" i="1"/>
  <c r="J326" i="1" s="1"/>
  <c r="F326" i="1"/>
  <c r="I326" i="1" s="1"/>
  <c r="A326" i="1"/>
  <c r="T325" i="1"/>
  <c r="O325" i="1"/>
  <c r="Q325" i="1" s="1"/>
  <c r="R325" i="1" s="1"/>
  <c r="H325" i="1"/>
  <c r="K325" i="1" s="1"/>
  <c r="G325" i="1"/>
  <c r="J325" i="1" s="1"/>
  <c r="F325" i="1"/>
  <c r="I325" i="1" s="1"/>
  <c r="A325" i="1"/>
  <c r="T324" i="1"/>
  <c r="U324" i="1" s="1"/>
  <c r="O324" i="1"/>
  <c r="H324" i="1"/>
  <c r="K324" i="1" s="1"/>
  <c r="G324" i="1"/>
  <c r="J324" i="1" s="1"/>
  <c r="F324" i="1"/>
  <c r="I324" i="1" s="1"/>
  <c r="A324" i="1"/>
  <c r="T323" i="1"/>
  <c r="O323" i="1"/>
  <c r="K323" i="1"/>
  <c r="H323" i="1"/>
  <c r="G323" i="1"/>
  <c r="J323" i="1" s="1"/>
  <c r="F323" i="1"/>
  <c r="I323" i="1" s="1"/>
  <c r="A323" i="1"/>
  <c r="T322" i="1"/>
  <c r="O322" i="1"/>
  <c r="J322" i="1"/>
  <c r="I322" i="1"/>
  <c r="H322" i="1"/>
  <c r="K322" i="1" s="1"/>
  <c r="G322" i="1"/>
  <c r="F322" i="1"/>
  <c r="A322" i="1"/>
  <c r="T321" i="1"/>
  <c r="Q321" i="1"/>
  <c r="R321" i="1" s="1"/>
  <c r="O321" i="1"/>
  <c r="V321" i="1" s="1"/>
  <c r="H321" i="1"/>
  <c r="K321" i="1" s="1"/>
  <c r="G321" i="1"/>
  <c r="J321" i="1" s="1"/>
  <c r="F321" i="1"/>
  <c r="I321" i="1" s="1"/>
  <c r="A321" i="1"/>
  <c r="T320" i="1"/>
  <c r="O320" i="1"/>
  <c r="H320" i="1"/>
  <c r="K320" i="1" s="1"/>
  <c r="G320" i="1"/>
  <c r="J320" i="1" s="1"/>
  <c r="F320" i="1"/>
  <c r="I320" i="1" s="1"/>
  <c r="A320" i="1"/>
  <c r="T319" i="1"/>
  <c r="Q319" i="1"/>
  <c r="R319" i="1" s="1"/>
  <c r="O319" i="1"/>
  <c r="V319" i="1" s="1"/>
  <c r="K319" i="1"/>
  <c r="J319" i="1"/>
  <c r="I319" i="1"/>
  <c r="H319" i="1"/>
  <c r="G319" i="1"/>
  <c r="F319" i="1"/>
  <c r="A319" i="1"/>
  <c r="T318" i="1"/>
  <c r="O318" i="1"/>
  <c r="H318" i="1"/>
  <c r="K318" i="1" s="1"/>
  <c r="G318" i="1"/>
  <c r="J318" i="1" s="1"/>
  <c r="F318" i="1"/>
  <c r="I318" i="1" s="1"/>
  <c r="A318" i="1"/>
  <c r="T317" i="1"/>
  <c r="O317" i="1"/>
  <c r="K317" i="1"/>
  <c r="J317" i="1"/>
  <c r="I317" i="1"/>
  <c r="H317" i="1"/>
  <c r="G317" i="1"/>
  <c r="F317" i="1"/>
  <c r="A317" i="1"/>
  <c r="T316" i="1"/>
  <c r="O316" i="1"/>
  <c r="U316" i="1" s="1"/>
  <c r="H316" i="1"/>
  <c r="K316" i="1" s="1"/>
  <c r="G316" i="1"/>
  <c r="J316" i="1" s="1"/>
  <c r="F316" i="1"/>
  <c r="I316" i="1" s="1"/>
  <c r="A316" i="1"/>
  <c r="T315" i="1"/>
  <c r="O315" i="1"/>
  <c r="H315" i="1"/>
  <c r="K315" i="1" s="1"/>
  <c r="G315" i="1"/>
  <c r="J315" i="1" s="1"/>
  <c r="F315" i="1"/>
  <c r="I315" i="1" s="1"/>
  <c r="A315" i="1"/>
  <c r="T314" i="1"/>
  <c r="U314" i="1" s="1"/>
  <c r="O314" i="1"/>
  <c r="K314" i="1"/>
  <c r="J314" i="1"/>
  <c r="I314" i="1"/>
  <c r="H314" i="1"/>
  <c r="G314" i="1"/>
  <c r="F314" i="1"/>
  <c r="A314" i="1"/>
  <c r="T313" i="1"/>
  <c r="O313" i="1"/>
  <c r="V313" i="1" s="1"/>
  <c r="K313" i="1"/>
  <c r="H313" i="1"/>
  <c r="G313" i="1"/>
  <c r="J313" i="1" s="1"/>
  <c r="F313" i="1"/>
  <c r="I313" i="1" s="1"/>
  <c r="A313" i="1"/>
  <c r="T312" i="1"/>
  <c r="O312" i="1"/>
  <c r="J312" i="1"/>
  <c r="I312" i="1"/>
  <c r="H312" i="1"/>
  <c r="K312" i="1" s="1"/>
  <c r="G312" i="1"/>
  <c r="F312" i="1"/>
  <c r="A312" i="1"/>
  <c r="T311" i="1"/>
  <c r="Q311" i="1"/>
  <c r="R311" i="1" s="1"/>
  <c r="O311" i="1"/>
  <c r="V311" i="1" s="1"/>
  <c r="H311" i="1"/>
  <c r="K311" i="1" s="1"/>
  <c r="G311" i="1"/>
  <c r="J311" i="1" s="1"/>
  <c r="F311" i="1"/>
  <c r="I311" i="1" s="1"/>
  <c r="A311" i="1"/>
  <c r="T310" i="1"/>
  <c r="O310" i="1"/>
  <c r="H310" i="1"/>
  <c r="K310" i="1" s="1"/>
  <c r="G310" i="1"/>
  <c r="J310" i="1" s="1"/>
  <c r="F310" i="1"/>
  <c r="I310" i="1" s="1"/>
  <c r="A310" i="1"/>
  <c r="T309" i="1"/>
  <c r="O309" i="1"/>
  <c r="K309" i="1"/>
  <c r="J309" i="1"/>
  <c r="I309" i="1"/>
  <c r="H309" i="1"/>
  <c r="G309" i="1"/>
  <c r="F309" i="1"/>
  <c r="A309" i="1"/>
  <c r="T308" i="1"/>
  <c r="O308" i="1"/>
  <c r="I308" i="1"/>
  <c r="H308" i="1"/>
  <c r="K308" i="1" s="1"/>
  <c r="G308" i="1"/>
  <c r="J308" i="1" s="1"/>
  <c r="F308" i="1"/>
  <c r="A308" i="1"/>
  <c r="T307" i="1"/>
  <c r="O307" i="1"/>
  <c r="K307" i="1"/>
  <c r="J307" i="1"/>
  <c r="I307" i="1"/>
  <c r="H307" i="1"/>
  <c r="G307" i="1"/>
  <c r="F307" i="1"/>
  <c r="A307" i="1"/>
  <c r="T306" i="1"/>
  <c r="O306" i="1"/>
  <c r="H306" i="1"/>
  <c r="K306" i="1" s="1"/>
  <c r="G306" i="1"/>
  <c r="J306" i="1" s="1"/>
  <c r="F306" i="1"/>
  <c r="I306" i="1" s="1"/>
  <c r="A306" i="1"/>
  <c r="T305" i="1"/>
  <c r="O305" i="1"/>
  <c r="K305" i="1"/>
  <c r="H305" i="1"/>
  <c r="G305" i="1"/>
  <c r="J305" i="1" s="1"/>
  <c r="F305" i="1"/>
  <c r="I305" i="1" s="1"/>
  <c r="A305" i="1"/>
  <c r="T304" i="1"/>
  <c r="R304" i="1"/>
  <c r="O304" i="1"/>
  <c r="V304" i="1" s="1"/>
  <c r="W304" i="1" s="1"/>
  <c r="J304" i="1"/>
  <c r="H304" i="1"/>
  <c r="K304" i="1" s="1"/>
  <c r="G304" i="1"/>
  <c r="F304" i="1"/>
  <c r="I304" i="1" s="1"/>
  <c r="A304" i="1"/>
  <c r="W303" i="1"/>
  <c r="T303" i="1"/>
  <c r="U303" i="1" s="1"/>
  <c r="R303" i="1"/>
  <c r="Q303" i="1"/>
  <c r="O303" i="1"/>
  <c r="V303" i="1" s="1"/>
  <c r="H303" i="1"/>
  <c r="K303" i="1" s="1"/>
  <c r="G303" i="1"/>
  <c r="J303" i="1" s="1"/>
  <c r="F303" i="1"/>
  <c r="I303" i="1" s="1"/>
  <c r="A303" i="1"/>
  <c r="V302" i="1"/>
  <c r="U302" i="1"/>
  <c r="T302" i="1"/>
  <c r="Q302" i="1"/>
  <c r="O302" i="1"/>
  <c r="K302" i="1"/>
  <c r="J302" i="1"/>
  <c r="I302" i="1"/>
  <c r="H302" i="1"/>
  <c r="G302" i="1"/>
  <c r="F302" i="1"/>
  <c r="A302" i="1"/>
  <c r="T301" i="1"/>
  <c r="Q301" i="1"/>
  <c r="R301" i="1" s="1"/>
  <c r="O301" i="1"/>
  <c r="J301" i="1"/>
  <c r="H301" i="1"/>
  <c r="K301" i="1" s="1"/>
  <c r="G301" i="1"/>
  <c r="F301" i="1"/>
  <c r="I301" i="1" s="1"/>
  <c r="A301" i="1"/>
  <c r="T300" i="1"/>
  <c r="O300" i="1"/>
  <c r="V300" i="1" s="1"/>
  <c r="K300" i="1"/>
  <c r="J300" i="1"/>
  <c r="H300" i="1"/>
  <c r="G300" i="1"/>
  <c r="F300" i="1"/>
  <c r="I300" i="1" s="1"/>
  <c r="A300" i="1"/>
  <c r="W299" i="1"/>
  <c r="T299" i="1"/>
  <c r="U299" i="1" s="1"/>
  <c r="R299" i="1"/>
  <c r="Q299" i="1"/>
  <c r="O299" i="1"/>
  <c r="V299" i="1" s="1"/>
  <c r="K299" i="1"/>
  <c r="H299" i="1"/>
  <c r="G299" i="1"/>
  <c r="J299" i="1" s="1"/>
  <c r="F299" i="1"/>
  <c r="I299" i="1" s="1"/>
  <c r="A299" i="1"/>
  <c r="T298" i="1"/>
  <c r="O298" i="1"/>
  <c r="K298" i="1"/>
  <c r="J298" i="1"/>
  <c r="I298" i="1"/>
  <c r="H298" i="1"/>
  <c r="G298" i="1"/>
  <c r="F298" i="1"/>
  <c r="A298" i="1"/>
  <c r="T297" i="1"/>
  <c r="Q297" i="1"/>
  <c r="R297" i="1" s="1"/>
  <c r="O297" i="1"/>
  <c r="V297" i="1" s="1"/>
  <c r="K297" i="1"/>
  <c r="J297" i="1"/>
  <c r="H297" i="1"/>
  <c r="G297" i="1"/>
  <c r="F297" i="1"/>
  <c r="I297" i="1" s="1"/>
  <c r="A297" i="1"/>
  <c r="U296" i="1"/>
  <c r="T296" i="1"/>
  <c r="R296" i="1"/>
  <c r="Q296" i="1"/>
  <c r="O296" i="1"/>
  <c r="V296" i="1" s="1"/>
  <c r="W296" i="1" s="1"/>
  <c r="H296" i="1"/>
  <c r="K296" i="1" s="1"/>
  <c r="G296" i="1"/>
  <c r="J296" i="1" s="1"/>
  <c r="F296" i="1"/>
  <c r="I296" i="1" s="1"/>
  <c r="A296" i="1"/>
  <c r="T295" i="1"/>
  <c r="O295" i="1"/>
  <c r="K295" i="1"/>
  <c r="J295" i="1"/>
  <c r="H295" i="1"/>
  <c r="G295" i="1"/>
  <c r="F295" i="1"/>
  <c r="I295" i="1" s="1"/>
  <c r="A295" i="1"/>
  <c r="T294" i="1"/>
  <c r="U294" i="1" s="1"/>
  <c r="R294" i="1"/>
  <c r="Q294" i="1"/>
  <c r="O294" i="1"/>
  <c r="V294" i="1" s="1"/>
  <c r="H294" i="1"/>
  <c r="K294" i="1" s="1"/>
  <c r="G294" i="1"/>
  <c r="J294" i="1" s="1"/>
  <c r="F294" i="1"/>
  <c r="I294" i="1" s="1"/>
  <c r="A294" i="1"/>
  <c r="T293" i="1"/>
  <c r="U293" i="1" s="1"/>
  <c r="R293" i="1"/>
  <c r="Q293" i="1"/>
  <c r="O293" i="1"/>
  <c r="V293" i="1" s="1"/>
  <c r="K293" i="1"/>
  <c r="J293" i="1"/>
  <c r="H293" i="1"/>
  <c r="G293" i="1"/>
  <c r="F293" i="1"/>
  <c r="I293" i="1" s="1"/>
  <c r="A293" i="1"/>
  <c r="W292" i="1"/>
  <c r="V292" i="1"/>
  <c r="U292" i="1"/>
  <c r="T292" i="1"/>
  <c r="R292" i="1"/>
  <c r="Q292" i="1"/>
  <c r="O292" i="1"/>
  <c r="H292" i="1"/>
  <c r="K292" i="1" s="1"/>
  <c r="G292" i="1"/>
  <c r="J292" i="1" s="1"/>
  <c r="F292" i="1"/>
  <c r="I292" i="1" s="1"/>
  <c r="A292" i="1"/>
  <c r="T291" i="1"/>
  <c r="U291" i="1" s="1"/>
  <c r="O291" i="1"/>
  <c r="V291" i="1" s="1"/>
  <c r="H291" i="1"/>
  <c r="K291" i="1" s="1"/>
  <c r="G291" i="1"/>
  <c r="J291" i="1" s="1"/>
  <c r="F291" i="1"/>
  <c r="I291" i="1" s="1"/>
  <c r="A291" i="1"/>
  <c r="T290" i="1"/>
  <c r="U290" i="1" s="1"/>
  <c r="Q290" i="1"/>
  <c r="R290" i="1" s="1"/>
  <c r="O290" i="1"/>
  <c r="V290" i="1" s="1"/>
  <c r="K290" i="1"/>
  <c r="J290" i="1"/>
  <c r="I290" i="1"/>
  <c r="H290" i="1"/>
  <c r="G290" i="1"/>
  <c r="F290" i="1"/>
  <c r="A290" i="1"/>
  <c r="T289" i="1"/>
  <c r="O289" i="1"/>
  <c r="V289" i="1" s="1"/>
  <c r="K289" i="1"/>
  <c r="J289" i="1"/>
  <c r="H289" i="1"/>
  <c r="G289" i="1"/>
  <c r="F289" i="1"/>
  <c r="I289" i="1" s="1"/>
  <c r="A289" i="1"/>
  <c r="T288" i="1"/>
  <c r="U288" i="1" s="1"/>
  <c r="R288" i="1"/>
  <c r="Q288" i="1"/>
  <c r="O288" i="1"/>
  <c r="V288" i="1" s="1"/>
  <c r="H288" i="1"/>
  <c r="K288" i="1" s="1"/>
  <c r="G288" i="1"/>
  <c r="J288" i="1" s="1"/>
  <c r="F288" i="1"/>
  <c r="I288" i="1" s="1"/>
  <c r="A288" i="1"/>
  <c r="T287" i="1"/>
  <c r="U287" i="1" s="1"/>
  <c r="O287" i="1"/>
  <c r="V287" i="1" s="1"/>
  <c r="K287" i="1"/>
  <c r="J287" i="1"/>
  <c r="H287" i="1"/>
  <c r="G287" i="1"/>
  <c r="F287" i="1"/>
  <c r="I287" i="1" s="1"/>
  <c r="A287" i="1"/>
  <c r="V286" i="1"/>
  <c r="W286" i="1" s="1"/>
  <c r="T286" i="1"/>
  <c r="U286" i="1" s="1"/>
  <c r="Q286" i="1"/>
  <c r="R286" i="1" s="1"/>
  <c r="O286" i="1"/>
  <c r="K286" i="1"/>
  <c r="H286" i="1"/>
  <c r="G286" i="1"/>
  <c r="J286" i="1" s="1"/>
  <c r="F286" i="1"/>
  <c r="I286" i="1" s="1"/>
  <c r="A286" i="1"/>
  <c r="T285" i="1"/>
  <c r="U285" i="1" s="1"/>
  <c r="Q285" i="1"/>
  <c r="R285" i="1" s="1"/>
  <c r="O285" i="1"/>
  <c r="V285" i="1" s="1"/>
  <c r="K285" i="1"/>
  <c r="H285" i="1"/>
  <c r="G285" i="1"/>
  <c r="J285" i="1" s="1"/>
  <c r="F285" i="1"/>
  <c r="I285" i="1" s="1"/>
  <c r="A285" i="1"/>
  <c r="V284" i="1"/>
  <c r="W284" i="1" s="1"/>
  <c r="U284" i="1"/>
  <c r="T284" i="1"/>
  <c r="O284" i="1"/>
  <c r="Q284" i="1" s="1"/>
  <c r="R284" i="1" s="1"/>
  <c r="H284" i="1"/>
  <c r="K284" i="1" s="1"/>
  <c r="G284" i="1"/>
  <c r="J284" i="1" s="1"/>
  <c r="F284" i="1"/>
  <c r="I284" i="1" s="1"/>
  <c r="A284" i="1"/>
  <c r="T283" i="1"/>
  <c r="O283" i="1"/>
  <c r="V283" i="1" s="1"/>
  <c r="H283" i="1"/>
  <c r="K283" i="1" s="1"/>
  <c r="G283" i="1"/>
  <c r="J283" i="1" s="1"/>
  <c r="F283" i="1"/>
  <c r="I283" i="1" s="1"/>
  <c r="A283" i="1"/>
  <c r="T282" i="1"/>
  <c r="O282" i="1"/>
  <c r="V282" i="1" s="1"/>
  <c r="H282" i="1"/>
  <c r="K282" i="1" s="1"/>
  <c r="G282" i="1"/>
  <c r="J282" i="1" s="1"/>
  <c r="F282" i="1"/>
  <c r="I282" i="1" s="1"/>
  <c r="A282" i="1"/>
  <c r="T281" i="1"/>
  <c r="O281" i="1"/>
  <c r="H281" i="1"/>
  <c r="K281" i="1" s="1"/>
  <c r="G281" i="1"/>
  <c r="J281" i="1" s="1"/>
  <c r="F281" i="1"/>
  <c r="I281" i="1" s="1"/>
  <c r="A281" i="1"/>
  <c r="T280" i="1"/>
  <c r="U280" i="1" s="1"/>
  <c r="Q280" i="1"/>
  <c r="R280" i="1" s="1"/>
  <c r="O280" i="1"/>
  <c r="V280" i="1" s="1"/>
  <c r="K280" i="1"/>
  <c r="J280" i="1"/>
  <c r="H280" i="1"/>
  <c r="G280" i="1"/>
  <c r="F280" i="1"/>
  <c r="I280" i="1" s="1"/>
  <c r="A280" i="1"/>
  <c r="T279" i="1"/>
  <c r="O279" i="1"/>
  <c r="V279" i="1" s="1"/>
  <c r="K279" i="1"/>
  <c r="J279" i="1"/>
  <c r="H279" i="1"/>
  <c r="G279" i="1"/>
  <c r="F279" i="1"/>
  <c r="I279" i="1" s="1"/>
  <c r="A279" i="1"/>
  <c r="W278" i="1"/>
  <c r="V278" i="1"/>
  <c r="T278" i="1"/>
  <c r="U278" i="1" s="1"/>
  <c r="R278" i="1"/>
  <c r="Q278" i="1"/>
  <c r="O278" i="1"/>
  <c r="H278" i="1"/>
  <c r="K278" i="1" s="1"/>
  <c r="G278" i="1"/>
  <c r="J278" i="1" s="1"/>
  <c r="F278" i="1"/>
  <c r="I278" i="1" s="1"/>
  <c r="A278" i="1"/>
  <c r="T277" i="1"/>
  <c r="U277" i="1" s="1"/>
  <c r="O277" i="1"/>
  <c r="V277" i="1" s="1"/>
  <c r="J277" i="1"/>
  <c r="H277" i="1"/>
  <c r="K277" i="1" s="1"/>
  <c r="G277" i="1"/>
  <c r="F277" i="1"/>
  <c r="I277" i="1" s="1"/>
  <c r="A277" i="1"/>
  <c r="V276" i="1"/>
  <c r="U276" i="1"/>
  <c r="T276" i="1"/>
  <c r="O276" i="1"/>
  <c r="Q276" i="1" s="1"/>
  <c r="R276" i="1" s="1"/>
  <c r="H276" i="1"/>
  <c r="K276" i="1" s="1"/>
  <c r="G276" i="1"/>
  <c r="J276" i="1" s="1"/>
  <c r="F276" i="1"/>
  <c r="I276" i="1" s="1"/>
  <c r="A276" i="1"/>
  <c r="T275" i="1"/>
  <c r="O275" i="1"/>
  <c r="K275" i="1"/>
  <c r="H275" i="1"/>
  <c r="G275" i="1"/>
  <c r="J275" i="1" s="1"/>
  <c r="F275" i="1"/>
  <c r="I275" i="1" s="1"/>
  <c r="A275" i="1"/>
  <c r="V274" i="1"/>
  <c r="T274" i="1"/>
  <c r="O274" i="1"/>
  <c r="Q274" i="1" s="1"/>
  <c r="R274" i="1" s="1"/>
  <c r="H274" i="1"/>
  <c r="K274" i="1" s="1"/>
  <c r="G274" i="1"/>
  <c r="J274" i="1" s="1"/>
  <c r="F274" i="1"/>
  <c r="I274" i="1" s="1"/>
  <c r="A274" i="1"/>
  <c r="U273" i="1"/>
  <c r="T273" i="1"/>
  <c r="Q273" i="1"/>
  <c r="R273" i="1" s="1"/>
  <c r="O273" i="1"/>
  <c r="V273" i="1" s="1"/>
  <c r="K273" i="1"/>
  <c r="H273" i="1"/>
  <c r="G273" i="1"/>
  <c r="J273" i="1" s="1"/>
  <c r="F273" i="1"/>
  <c r="I273" i="1" s="1"/>
  <c r="A273" i="1"/>
  <c r="T272" i="1"/>
  <c r="O272" i="1"/>
  <c r="V272" i="1" s="1"/>
  <c r="K272" i="1"/>
  <c r="J272" i="1"/>
  <c r="H272" i="1"/>
  <c r="G272" i="1"/>
  <c r="F272" i="1"/>
  <c r="I272" i="1" s="1"/>
  <c r="A272" i="1"/>
  <c r="T271" i="1"/>
  <c r="O271" i="1"/>
  <c r="V271" i="1" s="1"/>
  <c r="K271" i="1"/>
  <c r="J271" i="1"/>
  <c r="H271" i="1"/>
  <c r="G271" i="1"/>
  <c r="F271" i="1"/>
  <c r="I271" i="1" s="1"/>
  <c r="A271" i="1"/>
  <c r="V270" i="1"/>
  <c r="W270" i="1" s="1"/>
  <c r="T270" i="1"/>
  <c r="U270" i="1" s="1"/>
  <c r="R270" i="1"/>
  <c r="Q270" i="1"/>
  <c r="O270" i="1"/>
  <c r="H270" i="1"/>
  <c r="K270" i="1" s="1"/>
  <c r="G270" i="1"/>
  <c r="J270" i="1" s="1"/>
  <c r="F270" i="1"/>
  <c r="I270" i="1" s="1"/>
  <c r="A270" i="1"/>
  <c r="T269" i="1"/>
  <c r="O269" i="1"/>
  <c r="V269" i="1" s="1"/>
  <c r="K269" i="1"/>
  <c r="J269" i="1"/>
  <c r="H269" i="1"/>
  <c r="G269" i="1"/>
  <c r="F269" i="1"/>
  <c r="I269" i="1" s="1"/>
  <c r="A269" i="1"/>
  <c r="V268" i="1"/>
  <c r="W268" i="1" s="1"/>
  <c r="T268" i="1"/>
  <c r="U268" i="1" s="1"/>
  <c r="R268" i="1"/>
  <c r="Q268" i="1"/>
  <c r="O268" i="1"/>
  <c r="H268" i="1"/>
  <c r="K268" i="1" s="1"/>
  <c r="G268" i="1"/>
  <c r="J268" i="1" s="1"/>
  <c r="F268" i="1"/>
  <c r="I268" i="1" s="1"/>
  <c r="A268" i="1"/>
  <c r="T267" i="1"/>
  <c r="U267" i="1" s="1"/>
  <c r="O267" i="1"/>
  <c r="V267" i="1" s="1"/>
  <c r="K267" i="1"/>
  <c r="J267" i="1"/>
  <c r="H267" i="1"/>
  <c r="G267" i="1"/>
  <c r="F267" i="1"/>
  <c r="I267" i="1" s="1"/>
  <c r="A267" i="1"/>
  <c r="V266" i="1"/>
  <c r="W266" i="1" s="1"/>
  <c r="T266" i="1"/>
  <c r="U266" i="1" s="1"/>
  <c r="R266" i="1"/>
  <c r="Q266" i="1"/>
  <c r="O266" i="1"/>
  <c r="H266" i="1"/>
  <c r="K266" i="1" s="1"/>
  <c r="G266" i="1"/>
  <c r="J266" i="1" s="1"/>
  <c r="F266" i="1"/>
  <c r="I266" i="1" s="1"/>
  <c r="A266" i="1"/>
  <c r="T265" i="1"/>
  <c r="O265" i="1"/>
  <c r="V265" i="1" s="1"/>
  <c r="H265" i="1"/>
  <c r="K265" i="1" s="1"/>
  <c r="G265" i="1"/>
  <c r="J265" i="1" s="1"/>
  <c r="F265" i="1"/>
  <c r="I265" i="1" s="1"/>
  <c r="A265" i="1"/>
  <c r="T264" i="1"/>
  <c r="Q264" i="1"/>
  <c r="R264" i="1" s="1"/>
  <c r="O264" i="1"/>
  <c r="V264" i="1" s="1"/>
  <c r="K264" i="1"/>
  <c r="J264" i="1"/>
  <c r="I264" i="1"/>
  <c r="H264" i="1"/>
  <c r="G264" i="1"/>
  <c r="F264" i="1"/>
  <c r="A264" i="1"/>
  <c r="T263" i="1"/>
  <c r="O263" i="1"/>
  <c r="V263" i="1" s="1"/>
  <c r="K263" i="1"/>
  <c r="J263" i="1"/>
  <c r="H263" i="1"/>
  <c r="G263" i="1"/>
  <c r="F263" i="1"/>
  <c r="I263" i="1" s="1"/>
  <c r="A263" i="1"/>
  <c r="T262" i="1"/>
  <c r="U262" i="1" s="1"/>
  <c r="Q262" i="1"/>
  <c r="R262" i="1" s="1"/>
  <c r="O262" i="1"/>
  <c r="V262" i="1" s="1"/>
  <c r="H262" i="1"/>
  <c r="K262" i="1" s="1"/>
  <c r="G262" i="1"/>
  <c r="J262" i="1" s="1"/>
  <c r="F262" i="1"/>
  <c r="I262" i="1" s="1"/>
  <c r="A262" i="1"/>
  <c r="T261" i="1"/>
  <c r="O261" i="1"/>
  <c r="K261" i="1"/>
  <c r="J261" i="1"/>
  <c r="H261" i="1"/>
  <c r="G261" i="1"/>
  <c r="F261" i="1"/>
  <c r="I261" i="1" s="1"/>
  <c r="A261" i="1"/>
  <c r="T260" i="1"/>
  <c r="Q260" i="1"/>
  <c r="R260" i="1" s="1"/>
  <c r="O260" i="1"/>
  <c r="V260" i="1" s="1"/>
  <c r="K260" i="1"/>
  <c r="H260" i="1"/>
  <c r="G260" i="1"/>
  <c r="J260" i="1" s="1"/>
  <c r="F260" i="1"/>
  <c r="I260" i="1" s="1"/>
  <c r="A260" i="1"/>
  <c r="T259" i="1"/>
  <c r="U259" i="1" s="1"/>
  <c r="Q259" i="1"/>
  <c r="R259" i="1" s="1"/>
  <c r="O259" i="1"/>
  <c r="V259" i="1" s="1"/>
  <c r="H259" i="1"/>
  <c r="K259" i="1" s="1"/>
  <c r="G259" i="1"/>
  <c r="J259" i="1" s="1"/>
  <c r="F259" i="1"/>
  <c r="I259" i="1" s="1"/>
  <c r="A259" i="1"/>
  <c r="V258" i="1"/>
  <c r="U258" i="1"/>
  <c r="T258" i="1"/>
  <c r="Q258" i="1"/>
  <c r="R258" i="1" s="1"/>
  <c r="O258" i="1"/>
  <c r="I258" i="1"/>
  <c r="H258" i="1"/>
  <c r="K258" i="1" s="1"/>
  <c r="G258" i="1"/>
  <c r="J258" i="1" s="1"/>
  <c r="F258" i="1"/>
  <c r="A258" i="1"/>
  <c r="T257" i="1"/>
  <c r="U257" i="1" s="1"/>
  <c r="O257" i="1"/>
  <c r="V257" i="1" s="1"/>
  <c r="H257" i="1"/>
  <c r="K257" i="1" s="1"/>
  <c r="G257" i="1"/>
  <c r="J257" i="1" s="1"/>
  <c r="F257" i="1"/>
  <c r="I257" i="1" s="1"/>
  <c r="A257" i="1"/>
  <c r="T256" i="1"/>
  <c r="U256" i="1" s="1"/>
  <c r="Q256" i="1"/>
  <c r="R256" i="1" s="1"/>
  <c r="O256" i="1"/>
  <c r="V256" i="1" s="1"/>
  <c r="J256" i="1"/>
  <c r="I256" i="1"/>
  <c r="H256" i="1"/>
  <c r="K256" i="1" s="1"/>
  <c r="G256" i="1"/>
  <c r="F256" i="1"/>
  <c r="A256" i="1"/>
  <c r="T255" i="1"/>
  <c r="Q255" i="1"/>
  <c r="R255" i="1" s="1"/>
  <c r="O255" i="1"/>
  <c r="K255" i="1"/>
  <c r="J255" i="1"/>
  <c r="I255" i="1"/>
  <c r="H255" i="1"/>
  <c r="G255" i="1"/>
  <c r="F255" i="1"/>
  <c r="A255" i="1"/>
  <c r="W254" i="1"/>
  <c r="V254" i="1"/>
  <c r="T254" i="1"/>
  <c r="U254" i="1" s="1"/>
  <c r="Q254" i="1"/>
  <c r="R254" i="1" s="1"/>
  <c r="O254" i="1"/>
  <c r="H254" i="1"/>
  <c r="K254" i="1" s="1"/>
  <c r="G254" i="1"/>
  <c r="J254" i="1" s="1"/>
  <c r="F254" i="1"/>
  <c r="I254" i="1" s="1"/>
  <c r="A254" i="1"/>
  <c r="U253" i="1"/>
  <c r="T253" i="1"/>
  <c r="O253" i="1"/>
  <c r="V253" i="1" s="1"/>
  <c r="K253" i="1"/>
  <c r="J253" i="1"/>
  <c r="H253" i="1"/>
  <c r="G253" i="1"/>
  <c r="F253" i="1"/>
  <c r="I253" i="1" s="1"/>
  <c r="A253" i="1"/>
  <c r="V252" i="1"/>
  <c r="W252" i="1" s="1"/>
  <c r="U252" i="1"/>
  <c r="T252" i="1"/>
  <c r="R252" i="1"/>
  <c r="Q252" i="1"/>
  <c r="O252" i="1"/>
  <c r="H252" i="1"/>
  <c r="K252" i="1" s="1"/>
  <c r="G252" i="1"/>
  <c r="J252" i="1" s="1"/>
  <c r="F252" i="1"/>
  <c r="I252" i="1" s="1"/>
  <c r="A252" i="1"/>
  <c r="T251" i="1"/>
  <c r="U251" i="1" s="1"/>
  <c r="O251" i="1"/>
  <c r="V251" i="1" s="1"/>
  <c r="K251" i="1"/>
  <c r="H251" i="1"/>
  <c r="G251" i="1"/>
  <c r="J251" i="1" s="1"/>
  <c r="F251" i="1"/>
  <c r="I251" i="1" s="1"/>
  <c r="A251" i="1"/>
  <c r="T250" i="1"/>
  <c r="O250" i="1"/>
  <c r="V250" i="1" s="1"/>
  <c r="K250" i="1"/>
  <c r="J250" i="1"/>
  <c r="I250" i="1"/>
  <c r="H250" i="1"/>
  <c r="G250" i="1"/>
  <c r="F250" i="1"/>
  <c r="A250" i="1"/>
  <c r="T249" i="1"/>
  <c r="U249" i="1" s="1"/>
  <c r="O249" i="1"/>
  <c r="V249" i="1" s="1"/>
  <c r="K249" i="1"/>
  <c r="J249" i="1"/>
  <c r="H249" i="1"/>
  <c r="G249" i="1"/>
  <c r="F249" i="1"/>
  <c r="I249" i="1" s="1"/>
  <c r="A249" i="1"/>
  <c r="V248" i="1"/>
  <c r="T248" i="1"/>
  <c r="U248" i="1" s="1"/>
  <c r="Q248" i="1"/>
  <c r="R248" i="1" s="1"/>
  <c r="O248" i="1"/>
  <c r="I248" i="1"/>
  <c r="H248" i="1"/>
  <c r="K248" i="1" s="1"/>
  <c r="G248" i="1"/>
  <c r="J248" i="1" s="1"/>
  <c r="F248" i="1"/>
  <c r="A248" i="1"/>
  <c r="T247" i="1"/>
  <c r="O247" i="1"/>
  <c r="H247" i="1"/>
  <c r="K247" i="1" s="1"/>
  <c r="G247" i="1"/>
  <c r="J247" i="1" s="1"/>
  <c r="F247" i="1"/>
  <c r="I247" i="1" s="1"/>
  <c r="A247" i="1"/>
  <c r="V246" i="1"/>
  <c r="T246" i="1"/>
  <c r="Q246" i="1"/>
  <c r="R246" i="1" s="1"/>
  <c r="O246" i="1"/>
  <c r="U246" i="1" s="1"/>
  <c r="H246" i="1"/>
  <c r="K246" i="1" s="1"/>
  <c r="G246" i="1"/>
  <c r="J246" i="1" s="1"/>
  <c r="F246" i="1"/>
  <c r="I246" i="1" s="1"/>
  <c r="A246" i="1"/>
  <c r="T245" i="1"/>
  <c r="O245" i="1"/>
  <c r="J245" i="1"/>
  <c r="H245" i="1"/>
  <c r="K245" i="1" s="1"/>
  <c r="G245" i="1"/>
  <c r="F245" i="1"/>
  <c r="I245" i="1" s="1"/>
  <c r="A245" i="1"/>
  <c r="T244" i="1"/>
  <c r="U244" i="1" s="1"/>
  <c r="O244" i="1"/>
  <c r="H244" i="1"/>
  <c r="K244" i="1" s="1"/>
  <c r="G244" i="1"/>
  <c r="J244" i="1" s="1"/>
  <c r="F244" i="1"/>
  <c r="I244" i="1" s="1"/>
  <c r="A244" i="1"/>
  <c r="T243" i="1"/>
  <c r="U243" i="1" s="1"/>
  <c r="O243" i="1"/>
  <c r="V243" i="1" s="1"/>
  <c r="J243" i="1"/>
  <c r="I243" i="1"/>
  <c r="H243" i="1"/>
  <c r="K243" i="1" s="1"/>
  <c r="G243" i="1"/>
  <c r="F243" i="1"/>
  <c r="A243" i="1"/>
  <c r="T242" i="1"/>
  <c r="Q242" i="1"/>
  <c r="R242" i="1" s="1"/>
  <c r="O242" i="1"/>
  <c r="V242" i="1" s="1"/>
  <c r="K242" i="1"/>
  <c r="J242" i="1"/>
  <c r="H242" i="1"/>
  <c r="G242" i="1"/>
  <c r="F242" i="1"/>
  <c r="I242" i="1" s="1"/>
  <c r="A242" i="1"/>
  <c r="T241" i="1"/>
  <c r="O241" i="1"/>
  <c r="V241" i="1" s="1"/>
  <c r="K241" i="1"/>
  <c r="J241" i="1"/>
  <c r="H241" i="1"/>
  <c r="G241" i="1"/>
  <c r="F241" i="1"/>
  <c r="I241" i="1" s="1"/>
  <c r="A241" i="1"/>
  <c r="W240" i="1"/>
  <c r="V240" i="1"/>
  <c r="T240" i="1"/>
  <c r="U240" i="1" s="1"/>
  <c r="R240" i="1"/>
  <c r="Q240" i="1"/>
  <c r="O240" i="1"/>
  <c r="J240" i="1"/>
  <c r="H240" i="1"/>
  <c r="K240" i="1" s="1"/>
  <c r="G240" i="1"/>
  <c r="F240" i="1"/>
  <c r="I240" i="1" s="1"/>
  <c r="A240" i="1"/>
  <c r="U239" i="1"/>
  <c r="T239" i="1"/>
  <c r="O239" i="1"/>
  <c r="J239" i="1"/>
  <c r="H239" i="1"/>
  <c r="K239" i="1" s="1"/>
  <c r="G239" i="1"/>
  <c r="F239" i="1"/>
  <c r="I239" i="1" s="1"/>
  <c r="A239" i="1"/>
  <c r="T238" i="1"/>
  <c r="U238" i="1" s="1"/>
  <c r="O238" i="1"/>
  <c r="V238" i="1" s="1"/>
  <c r="H238" i="1"/>
  <c r="K238" i="1" s="1"/>
  <c r="G238" i="1"/>
  <c r="J238" i="1" s="1"/>
  <c r="F238" i="1"/>
  <c r="I238" i="1" s="1"/>
  <c r="A238" i="1"/>
  <c r="T237" i="1"/>
  <c r="Q237" i="1"/>
  <c r="R237" i="1" s="1"/>
  <c r="O237" i="1"/>
  <c r="V237" i="1" s="1"/>
  <c r="H237" i="1"/>
  <c r="K237" i="1" s="1"/>
  <c r="G237" i="1"/>
  <c r="J237" i="1" s="1"/>
  <c r="F237" i="1"/>
  <c r="I237" i="1" s="1"/>
  <c r="A237" i="1"/>
  <c r="T236" i="1"/>
  <c r="R236" i="1"/>
  <c r="Q236" i="1"/>
  <c r="O236" i="1"/>
  <c r="V236" i="1" s="1"/>
  <c r="W236" i="1" s="1"/>
  <c r="H236" i="1"/>
  <c r="K236" i="1" s="1"/>
  <c r="G236" i="1"/>
  <c r="J236" i="1" s="1"/>
  <c r="F236" i="1"/>
  <c r="I236" i="1" s="1"/>
  <c r="A236" i="1"/>
  <c r="T235" i="1"/>
  <c r="O235" i="1"/>
  <c r="Q235" i="1" s="1"/>
  <c r="R235" i="1" s="1"/>
  <c r="I235" i="1"/>
  <c r="H235" i="1"/>
  <c r="K235" i="1" s="1"/>
  <c r="G235" i="1"/>
  <c r="J235" i="1" s="1"/>
  <c r="F235" i="1"/>
  <c r="A235" i="1"/>
  <c r="T234" i="1"/>
  <c r="Q234" i="1"/>
  <c r="R234" i="1" s="1"/>
  <c r="O234" i="1"/>
  <c r="V234" i="1" s="1"/>
  <c r="H234" i="1"/>
  <c r="K234" i="1" s="1"/>
  <c r="G234" i="1"/>
  <c r="J234" i="1" s="1"/>
  <c r="F234" i="1"/>
  <c r="I234" i="1" s="1"/>
  <c r="A234" i="1"/>
  <c r="U233" i="1"/>
  <c r="T233" i="1"/>
  <c r="O233" i="1"/>
  <c r="V233" i="1" s="1"/>
  <c r="J233" i="1"/>
  <c r="I233" i="1"/>
  <c r="H233" i="1"/>
  <c r="K233" i="1" s="1"/>
  <c r="G233" i="1"/>
  <c r="F233" i="1"/>
  <c r="A233" i="1"/>
  <c r="T232" i="1"/>
  <c r="Q232" i="1"/>
  <c r="R232" i="1" s="1"/>
  <c r="O232" i="1"/>
  <c r="V232" i="1" s="1"/>
  <c r="K232" i="1"/>
  <c r="H232" i="1"/>
  <c r="G232" i="1"/>
  <c r="J232" i="1" s="1"/>
  <c r="F232" i="1"/>
  <c r="I232" i="1" s="1"/>
  <c r="A232" i="1"/>
  <c r="T231" i="1"/>
  <c r="U231" i="1" s="1"/>
  <c r="Q231" i="1"/>
  <c r="R231" i="1" s="1"/>
  <c r="O231" i="1"/>
  <c r="V231" i="1" s="1"/>
  <c r="H231" i="1"/>
  <c r="K231" i="1" s="1"/>
  <c r="G231" i="1"/>
  <c r="J231" i="1" s="1"/>
  <c r="F231" i="1"/>
  <c r="I231" i="1" s="1"/>
  <c r="A231" i="1"/>
  <c r="V230" i="1"/>
  <c r="W230" i="1" s="1"/>
  <c r="T230" i="1"/>
  <c r="U230" i="1" s="1"/>
  <c r="O230" i="1"/>
  <c r="Q230" i="1" s="1"/>
  <c r="R230" i="1" s="1"/>
  <c r="H230" i="1"/>
  <c r="K230" i="1" s="1"/>
  <c r="G230" i="1"/>
  <c r="J230" i="1" s="1"/>
  <c r="F230" i="1"/>
  <c r="I230" i="1" s="1"/>
  <c r="A230" i="1"/>
  <c r="T229" i="1"/>
  <c r="O229" i="1"/>
  <c r="K229" i="1"/>
  <c r="H229" i="1"/>
  <c r="G229" i="1"/>
  <c r="J229" i="1" s="1"/>
  <c r="F229" i="1"/>
  <c r="I229" i="1" s="1"/>
  <c r="A229" i="1"/>
  <c r="T228" i="1"/>
  <c r="O228" i="1"/>
  <c r="I228" i="1"/>
  <c r="H228" i="1"/>
  <c r="K228" i="1" s="1"/>
  <c r="G228" i="1"/>
  <c r="J228" i="1" s="1"/>
  <c r="F228" i="1"/>
  <c r="A228" i="1"/>
  <c r="T227" i="1"/>
  <c r="U227" i="1" s="1"/>
  <c r="O227" i="1"/>
  <c r="V227" i="1" s="1"/>
  <c r="J227" i="1"/>
  <c r="I227" i="1"/>
  <c r="H227" i="1"/>
  <c r="K227" i="1" s="1"/>
  <c r="G227" i="1"/>
  <c r="F227" i="1"/>
  <c r="A227" i="1"/>
  <c r="T226" i="1"/>
  <c r="O226" i="1"/>
  <c r="V226" i="1" s="1"/>
  <c r="J226" i="1"/>
  <c r="I226" i="1"/>
  <c r="H226" i="1"/>
  <c r="K226" i="1" s="1"/>
  <c r="G226" i="1"/>
  <c r="F226" i="1"/>
  <c r="A226" i="1"/>
  <c r="T225" i="1"/>
  <c r="O225" i="1"/>
  <c r="K225" i="1"/>
  <c r="J225" i="1"/>
  <c r="I225" i="1"/>
  <c r="H225" i="1"/>
  <c r="G225" i="1"/>
  <c r="F225" i="1"/>
  <c r="A225" i="1"/>
  <c r="T224" i="1"/>
  <c r="U224" i="1" s="1"/>
  <c r="Q224" i="1"/>
  <c r="R224" i="1" s="1"/>
  <c r="O224" i="1"/>
  <c r="V224" i="1" s="1"/>
  <c r="W224" i="1" s="1"/>
  <c r="H224" i="1"/>
  <c r="K224" i="1" s="1"/>
  <c r="G224" i="1"/>
  <c r="J224" i="1" s="1"/>
  <c r="F224" i="1"/>
  <c r="I224" i="1" s="1"/>
  <c r="A224" i="1"/>
  <c r="T223" i="1"/>
  <c r="U223" i="1" s="1"/>
  <c r="O223" i="1"/>
  <c r="V223" i="1" s="1"/>
  <c r="K223" i="1"/>
  <c r="H223" i="1"/>
  <c r="G223" i="1"/>
  <c r="J223" i="1" s="1"/>
  <c r="F223" i="1"/>
  <c r="I223" i="1" s="1"/>
  <c r="A223" i="1"/>
  <c r="V222" i="1"/>
  <c r="T222" i="1"/>
  <c r="U222" i="1" s="1"/>
  <c r="Q222" i="1"/>
  <c r="R222" i="1" s="1"/>
  <c r="O222" i="1"/>
  <c r="H222" i="1"/>
  <c r="K222" i="1" s="1"/>
  <c r="G222" i="1"/>
  <c r="J222" i="1" s="1"/>
  <c r="F222" i="1"/>
  <c r="I222" i="1" s="1"/>
  <c r="A222" i="1"/>
  <c r="T221" i="1"/>
  <c r="U221" i="1" s="1"/>
  <c r="R221" i="1"/>
  <c r="Q221" i="1"/>
  <c r="O221" i="1"/>
  <c r="V221" i="1" s="1"/>
  <c r="K221" i="1"/>
  <c r="H221" i="1"/>
  <c r="G221" i="1"/>
  <c r="J221" i="1" s="1"/>
  <c r="F221" i="1"/>
  <c r="I221" i="1" s="1"/>
  <c r="A221" i="1"/>
  <c r="T220" i="1"/>
  <c r="U220" i="1" s="1"/>
  <c r="R220" i="1"/>
  <c r="Q220" i="1"/>
  <c r="O220" i="1"/>
  <c r="V220" i="1" s="1"/>
  <c r="W220" i="1" s="1"/>
  <c r="K220" i="1"/>
  <c r="J220" i="1"/>
  <c r="I220" i="1"/>
  <c r="H220" i="1"/>
  <c r="G220" i="1"/>
  <c r="F220" i="1"/>
  <c r="A220" i="1"/>
  <c r="T219" i="1"/>
  <c r="O219" i="1"/>
  <c r="V219" i="1" s="1"/>
  <c r="K219" i="1"/>
  <c r="J219" i="1"/>
  <c r="H219" i="1"/>
  <c r="G219" i="1"/>
  <c r="F219" i="1"/>
  <c r="I219" i="1" s="1"/>
  <c r="A219" i="1"/>
  <c r="T218" i="1"/>
  <c r="O218" i="1"/>
  <c r="K218" i="1"/>
  <c r="H218" i="1"/>
  <c r="G218" i="1"/>
  <c r="J218" i="1" s="1"/>
  <c r="F218" i="1"/>
  <c r="I218" i="1" s="1"/>
  <c r="A218" i="1"/>
  <c r="T217" i="1"/>
  <c r="O217" i="1"/>
  <c r="V217" i="1" s="1"/>
  <c r="I217" i="1"/>
  <c r="H217" i="1"/>
  <c r="K217" i="1" s="1"/>
  <c r="G217" i="1"/>
  <c r="J217" i="1" s="1"/>
  <c r="F217" i="1"/>
  <c r="A217" i="1"/>
  <c r="V216" i="1"/>
  <c r="T216" i="1"/>
  <c r="O216" i="1"/>
  <c r="Q216" i="1" s="1"/>
  <c r="R216" i="1" s="1"/>
  <c r="H216" i="1"/>
  <c r="K216" i="1" s="1"/>
  <c r="G216" i="1"/>
  <c r="J216" i="1" s="1"/>
  <c r="F216" i="1"/>
  <c r="I216" i="1" s="1"/>
  <c r="A216" i="1"/>
  <c r="T215" i="1"/>
  <c r="O215" i="1"/>
  <c r="K215" i="1"/>
  <c r="H215" i="1"/>
  <c r="G215" i="1"/>
  <c r="J215" i="1" s="1"/>
  <c r="F215" i="1"/>
  <c r="I215" i="1" s="1"/>
  <c r="A215" i="1"/>
  <c r="T214" i="1"/>
  <c r="Q214" i="1"/>
  <c r="R214" i="1" s="1"/>
  <c r="O214" i="1"/>
  <c r="V214" i="1" s="1"/>
  <c r="W214" i="1" s="1"/>
  <c r="H214" i="1"/>
  <c r="K214" i="1" s="1"/>
  <c r="G214" i="1"/>
  <c r="J214" i="1" s="1"/>
  <c r="F214" i="1"/>
  <c r="I214" i="1" s="1"/>
  <c r="A214" i="1"/>
  <c r="T213" i="1"/>
  <c r="O213" i="1"/>
  <c r="V213" i="1" s="1"/>
  <c r="K213" i="1"/>
  <c r="H213" i="1"/>
  <c r="G213" i="1"/>
  <c r="J213" i="1" s="1"/>
  <c r="F213" i="1"/>
  <c r="I213" i="1" s="1"/>
  <c r="A213" i="1"/>
  <c r="T212" i="1"/>
  <c r="Q212" i="1"/>
  <c r="R212" i="1" s="1"/>
  <c r="O212" i="1"/>
  <c r="V212" i="1" s="1"/>
  <c r="W212" i="1" s="1"/>
  <c r="H212" i="1"/>
  <c r="K212" i="1" s="1"/>
  <c r="G212" i="1"/>
  <c r="J212" i="1" s="1"/>
  <c r="F212" i="1"/>
  <c r="I212" i="1" s="1"/>
  <c r="A212" i="1"/>
  <c r="T211" i="1"/>
  <c r="O211" i="1"/>
  <c r="K211" i="1"/>
  <c r="J211" i="1"/>
  <c r="I211" i="1"/>
  <c r="H211" i="1"/>
  <c r="G211" i="1"/>
  <c r="F211" i="1"/>
  <c r="A211" i="1"/>
  <c r="V210" i="1"/>
  <c r="T210" i="1"/>
  <c r="U210" i="1" s="1"/>
  <c r="Q210" i="1"/>
  <c r="R210" i="1" s="1"/>
  <c r="O210" i="1"/>
  <c r="J210" i="1"/>
  <c r="H210" i="1"/>
  <c r="K210" i="1" s="1"/>
  <c r="G210" i="1"/>
  <c r="F210" i="1"/>
  <c r="I210" i="1" s="1"/>
  <c r="A210" i="1"/>
  <c r="U209" i="1"/>
  <c r="T209" i="1"/>
  <c r="O209" i="1"/>
  <c r="V209" i="1" s="1"/>
  <c r="H209" i="1"/>
  <c r="K209" i="1" s="1"/>
  <c r="G209" i="1"/>
  <c r="J209" i="1" s="1"/>
  <c r="F209" i="1"/>
  <c r="I209" i="1" s="1"/>
  <c r="A209" i="1"/>
  <c r="T208" i="1"/>
  <c r="O208" i="1"/>
  <c r="K208" i="1"/>
  <c r="J208" i="1"/>
  <c r="H208" i="1"/>
  <c r="G208" i="1"/>
  <c r="F208" i="1"/>
  <c r="I208" i="1" s="1"/>
  <c r="A208" i="1"/>
  <c r="T207" i="1"/>
  <c r="O207" i="1"/>
  <c r="V207" i="1" s="1"/>
  <c r="I207" i="1"/>
  <c r="H207" i="1"/>
  <c r="K207" i="1" s="1"/>
  <c r="G207" i="1"/>
  <c r="J207" i="1" s="1"/>
  <c r="F207" i="1"/>
  <c r="A207" i="1"/>
  <c r="V206" i="1"/>
  <c r="W206" i="1" s="1"/>
  <c r="T206" i="1"/>
  <c r="O206" i="1"/>
  <c r="Q206" i="1" s="1"/>
  <c r="R206" i="1" s="1"/>
  <c r="H206" i="1"/>
  <c r="K206" i="1" s="1"/>
  <c r="G206" i="1"/>
  <c r="J206" i="1" s="1"/>
  <c r="F206" i="1"/>
  <c r="I206" i="1" s="1"/>
  <c r="A206" i="1"/>
  <c r="T205" i="1"/>
  <c r="Q205" i="1"/>
  <c r="R205" i="1" s="1"/>
  <c r="O205" i="1"/>
  <c r="K205" i="1"/>
  <c r="H205" i="1"/>
  <c r="G205" i="1"/>
  <c r="J205" i="1" s="1"/>
  <c r="F205" i="1"/>
  <c r="I205" i="1" s="1"/>
  <c r="A205" i="1"/>
  <c r="T204" i="1"/>
  <c r="U204" i="1" s="1"/>
  <c r="R204" i="1"/>
  <c r="Q204" i="1"/>
  <c r="O204" i="1"/>
  <c r="V204" i="1" s="1"/>
  <c r="W204" i="1" s="1"/>
  <c r="H204" i="1"/>
  <c r="K204" i="1" s="1"/>
  <c r="G204" i="1"/>
  <c r="J204" i="1" s="1"/>
  <c r="F204" i="1"/>
  <c r="I204" i="1" s="1"/>
  <c r="A204" i="1"/>
  <c r="T203" i="1"/>
  <c r="U203" i="1" s="1"/>
  <c r="O203" i="1"/>
  <c r="V203" i="1" s="1"/>
  <c r="H203" i="1"/>
  <c r="K203" i="1" s="1"/>
  <c r="G203" i="1"/>
  <c r="J203" i="1" s="1"/>
  <c r="F203" i="1"/>
  <c r="I203" i="1" s="1"/>
  <c r="A203" i="1"/>
  <c r="T202" i="1"/>
  <c r="O202" i="1"/>
  <c r="K202" i="1"/>
  <c r="J202" i="1"/>
  <c r="H202" i="1"/>
  <c r="G202" i="1"/>
  <c r="F202" i="1"/>
  <c r="I202" i="1" s="1"/>
  <c r="A202" i="1"/>
  <c r="T201" i="1"/>
  <c r="Q201" i="1"/>
  <c r="R201" i="1" s="1"/>
  <c r="O201" i="1"/>
  <c r="V201" i="1" s="1"/>
  <c r="K201" i="1"/>
  <c r="J201" i="1"/>
  <c r="H201" i="1"/>
  <c r="G201" i="1"/>
  <c r="F201" i="1"/>
  <c r="I201" i="1" s="1"/>
  <c r="A201" i="1"/>
  <c r="V200" i="1"/>
  <c r="W200" i="1" s="1"/>
  <c r="T200" i="1"/>
  <c r="U200" i="1" s="1"/>
  <c r="Q200" i="1"/>
  <c r="R200" i="1" s="1"/>
  <c r="O200" i="1"/>
  <c r="J200" i="1"/>
  <c r="H200" i="1"/>
  <c r="K200" i="1" s="1"/>
  <c r="G200" i="1"/>
  <c r="F200" i="1"/>
  <c r="I200" i="1" s="1"/>
  <c r="A200" i="1"/>
  <c r="T199" i="1"/>
  <c r="O199" i="1"/>
  <c r="V199" i="1" s="1"/>
  <c r="H199" i="1"/>
  <c r="K199" i="1" s="1"/>
  <c r="G199" i="1"/>
  <c r="J199" i="1" s="1"/>
  <c r="F199" i="1"/>
  <c r="I199" i="1" s="1"/>
  <c r="A199" i="1"/>
  <c r="V198" i="1"/>
  <c r="W198" i="1" s="1"/>
  <c r="U198" i="1"/>
  <c r="T198" i="1"/>
  <c r="O198" i="1"/>
  <c r="Q198" i="1" s="1"/>
  <c r="R198" i="1" s="1"/>
  <c r="H198" i="1"/>
  <c r="K198" i="1" s="1"/>
  <c r="G198" i="1"/>
  <c r="J198" i="1" s="1"/>
  <c r="F198" i="1"/>
  <c r="I198" i="1" s="1"/>
  <c r="A198" i="1"/>
  <c r="T197" i="1"/>
  <c r="O197" i="1"/>
  <c r="V197" i="1" s="1"/>
  <c r="K197" i="1"/>
  <c r="H197" i="1"/>
  <c r="G197" i="1"/>
  <c r="J197" i="1" s="1"/>
  <c r="F197" i="1"/>
  <c r="I197" i="1" s="1"/>
  <c r="A197" i="1"/>
  <c r="T196" i="1"/>
  <c r="U196" i="1" s="1"/>
  <c r="R196" i="1"/>
  <c r="Q196" i="1"/>
  <c r="O196" i="1"/>
  <c r="V196" i="1" s="1"/>
  <c r="W196" i="1" s="1"/>
  <c r="J196" i="1"/>
  <c r="H196" i="1"/>
  <c r="K196" i="1" s="1"/>
  <c r="G196" i="1"/>
  <c r="F196" i="1"/>
  <c r="I196" i="1" s="1"/>
  <c r="A196" i="1"/>
  <c r="T195" i="1"/>
  <c r="Q195" i="1"/>
  <c r="R195" i="1" s="1"/>
  <c r="O195" i="1"/>
  <c r="J195" i="1"/>
  <c r="I195" i="1"/>
  <c r="H195" i="1"/>
  <c r="K195" i="1" s="1"/>
  <c r="G195" i="1"/>
  <c r="F195" i="1"/>
  <c r="A195" i="1"/>
  <c r="T194" i="1"/>
  <c r="O194" i="1"/>
  <c r="V194" i="1" s="1"/>
  <c r="H194" i="1"/>
  <c r="K194" i="1" s="1"/>
  <c r="G194" i="1"/>
  <c r="J194" i="1" s="1"/>
  <c r="F194" i="1"/>
  <c r="I194" i="1" s="1"/>
  <c r="A194" i="1"/>
  <c r="T193" i="1"/>
  <c r="U193" i="1" s="1"/>
  <c r="O193" i="1"/>
  <c r="V193" i="1" s="1"/>
  <c r="K193" i="1"/>
  <c r="J193" i="1"/>
  <c r="H193" i="1"/>
  <c r="G193" i="1"/>
  <c r="F193" i="1"/>
  <c r="I193" i="1" s="1"/>
  <c r="A193" i="1"/>
  <c r="V192" i="1"/>
  <c r="W192" i="1" s="1"/>
  <c r="T192" i="1"/>
  <c r="U192" i="1" s="1"/>
  <c r="R192" i="1"/>
  <c r="Q192" i="1"/>
  <c r="O192" i="1"/>
  <c r="H192" i="1"/>
  <c r="K192" i="1" s="1"/>
  <c r="G192" i="1"/>
  <c r="J192" i="1" s="1"/>
  <c r="F192" i="1"/>
  <c r="I192" i="1" s="1"/>
  <c r="A192" i="1"/>
  <c r="T191" i="1"/>
  <c r="U191" i="1" s="1"/>
  <c r="R191" i="1"/>
  <c r="Q191" i="1"/>
  <c r="O191" i="1"/>
  <c r="V191" i="1" s="1"/>
  <c r="J191" i="1"/>
  <c r="H191" i="1"/>
  <c r="K191" i="1" s="1"/>
  <c r="G191" i="1"/>
  <c r="F191" i="1"/>
  <c r="I191" i="1" s="1"/>
  <c r="A191" i="1"/>
  <c r="W190" i="1"/>
  <c r="T190" i="1"/>
  <c r="Q190" i="1"/>
  <c r="R190" i="1" s="1"/>
  <c r="O190" i="1"/>
  <c r="V190" i="1" s="1"/>
  <c r="I190" i="1"/>
  <c r="H190" i="1"/>
  <c r="K190" i="1" s="1"/>
  <c r="G190" i="1"/>
  <c r="J190" i="1" s="1"/>
  <c r="F190" i="1"/>
  <c r="A190" i="1"/>
  <c r="T189" i="1"/>
  <c r="O189" i="1"/>
  <c r="H189" i="1"/>
  <c r="K189" i="1" s="1"/>
  <c r="G189" i="1"/>
  <c r="J189" i="1" s="1"/>
  <c r="F189" i="1"/>
  <c r="I189" i="1" s="1"/>
  <c r="A189" i="1"/>
  <c r="V188" i="1"/>
  <c r="W188" i="1" s="1"/>
  <c r="U188" i="1"/>
  <c r="T188" i="1"/>
  <c r="O188" i="1"/>
  <c r="Q188" i="1" s="1"/>
  <c r="R188" i="1" s="1"/>
  <c r="J188" i="1"/>
  <c r="I188" i="1"/>
  <c r="H188" i="1"/>
  <c r="K188" i="1" s="1"/>
  <c r="G188" i="1"/>
  <c r="F188" i="1"/>
  <c r="A188" i="1"/>
  <c r="T187" i="1"/>
  <c r="O187" i="1"/>
  <c r="V187" i="1" s="1"/>
  <c r="J187" i="1"/>
  <c r="I187" i="1"/>
  <c r="H187" i="1"/>
  <c r="K187" i="1" s="1"/>
  <c r="G187" i="1"/>
  <c r="F187" i="1"/>
  <c r="A187" i="1"/>
  <c r="T186" i="1"/>
  <c r="U186" i="1" s="1"/>
  <c r="O186" i="1"/>
  <c r="H186" i="1"/>
  <c r="K186" i="1" s="1"/>
  <c r="G186" i="1"/>
  <c r="J186" i="1" s="1"/>
  <c r="F186" i="1"/>
  <c r="I186" i="1" s="1"/>
  <c r="A186" i="1"/>
  <c r="T185" i="1"/>
  <c r="O185" i="1"/>
  <c r="K185" i="1"/>
  <c r="J185" i="1"/>
  <c r="H185" i="1"/>
  <c r="G185" i="1"/>
  <c r="F185" i="1"/>
  <c r="I185" i="1" s="1"/>
  <c r="A185" i="1"/>
  <c r="T184" i="1"/>
  <c r="U184" i="1" s="1"/>
  <c r="O184" i="1"/>
  <c r="K184" i="1"/>
  <c r="J184" i="1"/>
  <c r="H184" i="1"/>
  <c r="G184" i="1"/>
  <c r="F184" i="1"/>
  <c r="I184" i="1" s="1"/>
  <c r="A184" i="1"/>
  <c r="T183" i="1"/>
  <c r="U183" i="1" s="1"/>
  <c r="Q183" i="1"/>
  <c r="R183" i="1" s="1"/>
  <c r="O183" i="1"/>
  <c r="V183" i="1" s="1"/>
  <c r="K183" i="1"/>
  <c r="H183" i="1"/>
  <c r="G183" i="1"/>
  <c r="J183" i="1" s="1"/>
  <c r="F183" i="1"/>
  <c r="I183" i="1" s="1"/>
  <c r="A183" i="1"/>
  <c r="V182" i="1"/>
  <c r="W182" i="1" s="1"/>
  <c r="U182" i="1"/>
  <c r="T182" i="1"/>
  <c r="O182" i="1"/>
  <c r="Q182" i="1" s="1"/>
  <c r="R182" i="1" s="1"/>
  <c r="H182" i="1"/>
  <c r="K182" i="1" s="1"/>
  <c r="G182" i="1"/>
  <c r="J182" i="1" s="1"/>
  <c r="F182" i="1"/>
  <c r="I182" i="1" s="1"/>
  <c r="A182" i="1"/>
  <c r="T181" i="1"/>
  <c r="O181" i="1"/>
  <c r="V181" i="1" s="1"/>
  <c r="K181" i="1"/>
  <c r="J181" i="1"/>
  <c r="H181" i="1"/>
  <c r="G181" i="1"/>
  <c r="F181" i="1"/>
  <c r="I181" i="1" s="1"/>
  <c r="A181" i="1"/>
  <c r="V180" i="1"/>
  <c r="W180" i="1" s="1"/>
  <c r="T180" i="1"/>
  <c r="O180" i="1"/>
  <c r="Q180" i="1" s="1"/>
  <c r="R180" i="1" s="1"/>
  <c r="H180" i="1"/>
  <c r="K180" i="1" s="1"/>
  <c r="G180" i="1"/>
  <c r="J180" i="1" s="1"/>
  <c r="F180" i="1"/>
  <c r="I180" i="1" s="1"/>
  <c r="A180" i="1"/>
  <c r="T179" i="1"/>
  <c r="O179" i="1"/>
  <c r="H179" i="1"/>
  <c r="K179" i="1" s="1"/>
  <c r="G179" i="1"/>
  <c r="J179" i="1" s="1"/>
  <c r="F179" i="1"/>
  <c r="I179" i="1" s="1"/>
  <c r="A179" i="1"/>
  <c r="T178" i="1"/>
  <c r="U178" i="1" s="1"/>
  <c r="R178" i="1"/>
  <c r="O178" i="1"/>
  <c r="Q178" i="1" s="1"/>
  <c r="H178" i="1"/>
  <c r="K178" i="1" s="1"/>
  <c r="G178" i="1"/>
  <c r="J178" i="1" s="1"/>
  <c r="F178" i="1"/>
  <c r="I178" i="1" s="1"/>
  <c r="A178" i="1"/>
  <c r="T177" i="1"/>
  <c r="Q177" i="1"/>
  <c r="R177" i="1" s="1"/>
  <c r="O177" i="1"/>
  <c r="V177" i="1" s="1"/>
  <c r="J177" i="1"/>
  <c r="H177" i="1"/>
  <c r="K177" i="1" s="1"/>
  <c r="G177" i="1"/>
  <c r="F177" i="1"/>
  <c r="I177" i="1" s="1"/>
  <c r="A177" i="1"/>
  <c r="V176" i="1"/>
  <c r="T176" i="1"/>
  <c r="U176" i="1" s="1"/>
  <c r="O176" i="1"/>
  <c r="Q176" i="1" s="1"/>
  <c r="J176" i="1"/>
  <c r="I176" i="1"/>
  <c r="H176" i="1"/>
  <c r="K176" i="1" s="1"/>
  <c r="G176" i="1"/>
  <c r="F176" i="1"/>
  <c r="A176" i="1"/>
  <c r="T175" i="1"/>
  <c r="U175" i="1" s="1"/>
  <c r="O175" i="1"/>
  <c r="V175" i="1" s="1"/>
  <c r="H175" i="1"/>
  <c r="K175" i="1" s="1"/>
  <c r="G175" i="1"/>
  <c r="J175" i="1" s="1"/>
  <c r="F175" i="1"/>
  <c r="I175" i="1" s="1"/>
  <c r="A175" i="1"/>
  <c r="T174" i="1"/>
  <c r="O174" i="1"/>
  <c r="K174" i="1"/>
  <c r="H174" i="1"/>
  <c r="G174" i="1"/>
  <c r="J174" i="1" s="1"/>
  <c r="F174" i="1"/>
  <c r="I174" i="1" s="1"/>
  <c r="A174" i="1"/>
  <c r="T173" i="1"/>
  <c r="O173" i="1"/>
  <c r="K173" i="1"/>
  <c r="J173" i="1"/>
  <c r="I173" i="1"/>
  <c r="H173" i="1"/>
  <c r="G173" i="1"/>
  <c r="F173" i="1"/>
  <c r="A173" i="1"/>
  <c r="T172" i="1"/>
  <c r="O172" i="1"/>
  <c r="Q172" i="1" s="1"/>
  <c r="R172" i="1" s="1"/>
  <c r="H172" i="1"/>
  <c r="K172" i="1" s="1"/>
  <c r="G172" i="1"/>
  <c r="J172" i="1" s="1"/>
  <c r="F172" i="1"/>
  <c r="I172" i="1" s="1"/>
  <c r="A172" i="1"/>
  <c r="T171" i="1"/>
  <c r="O171" i="1"/>
  <c r="V171" i="1" s="1"/>
  <c r="K171" i="1"/>
  <c r="J171" i="1"/>
  <c r="H171" i="1"/>
  <c r="G171" i="1"/>
  <c r="F171" i="1"/>
  <c r="I171" i="1" s="1"/>
  <c r="A171" i="1"/>
  <c r="T170" i="1"/>
  <c r="O170" i="1"/>
  <c r="Q170" i="1" s="1"/>
  <c r="R170" i="1" s="1"/>
  <c r="I170" i="1"/>
  <c r="H170" i="1"/>
  <c r="K170" i="1" s="1"/>
  <c r="G170" i="1"/>
  <c r="J170" i="1" s="1"/>
  <c r="F170" i="1"/>
  <c r="A170" i="1"/>
  <c r="U169" i="1"/>
  <c r="T169" i="1"/>
  <c r="O169" i="1"/>
  <c r="V169" i="1" s="1"/>
  <c r="K169" i="1"/>
  <c r="H169" i="1"/>
  <c r="G169" i="1"/>
  <c r="J169" i="1" s="1"/>
  <c r="F169" i="1"/>
  <c r="I169" i="1" s="1"/>
  <c r="A169" i="1"/>
  <c r="T168" i="1"/>
  <c r="U168" i="1" s="1"/>
  <c r="O168" i="1"/>
  <c r="Q168" i="1" s="1"/>
  <c r="R168" i="1" s="1"/>
  <c r="H168" i="1"/>
  <c r="K168" i="1" s="1"/>
  <c r="G168" i="1"/>
  <c r="J168" i="1" s="1"/>
  <c r="F168" i="1"/>
  <c r="I168" i="1" s="1"/>
  <c r="A168" i="1"/>
  <c r="T167" i="1"/>
  <c r="O167" i="1"/>
  <c r="V167" i="1" s="1"/>
  <c r="H167" i="1"/>
  <c r="K167" i="1" s="1"/>
  <c r="G167" i="1"/>
  <c r="J167" i="1" s="1"/>
  <c r="F167" i="1"/>
  <c r="I167" i="1" s="1"/>
  <c r="A167" i="1"/>
  <c r="V166" i="1"/>
  <c r="W166" i="1" s="1"/>
  <c r="T166" i="1"/>
  <c r="U166" i="1" s="1"/>
  <c r="R166" i="1"/>
  <c r="O166" i="1"/>
  <c r="Q166" i="1" s="1"/>
  <c r="I166" i="1"/>
  <c r="H166" i="1"/>
  <c r="K166" i="1" s="1"/>
  <c r="G166" i="1"/>
  <c r="J166" i="1" s="1"/>
  <c r="F166" i="1"/>
  <c r="A166" i="1"/>
  <c r="T165" i="1"/>
  <c r="O165" i="1"/>
  <c r="I165" i="1"/>
  <c r="H165" i="1"/>
  <c r="K165" i="1" s="1"/>
  <c r="G165" i="1"/>
  <c r="J165" i="1" s="1"/>
  <c r="F165" i="1"/>
  <c r="A165" i="1"/>
  <c r="T164" i="1"/>
  <c r="O164" i="1"/>
  <c r="H164" i="1"/>
  <c r="K164" i="1" s="1"/>
  <c r="G164" i="1"/>
  <c r="J164" i="1" s="1"/>
  <c r="F164" i="1"/>
  <c r="I164" i="1" s="1"/>
  <c r="A164" i="1"/>
  <c r="T163" i="1"/>
  <c r="Q163" i="1"/>
  <c r="R163" i="1" s="1"/>
  <c r="O163" i="1"/>
  <c r="H163" i="1"/>
  <c r="K163" i="1" s="1"/>
  <c r="G163" i="1"/>
  <c r="J163" i="1" s="1"/>
  <c r="F163" i="1"/>
  <c r="I163" i="1" s="1"/>
  <c r="A163" i="1"/>
  <c r="T162" i="1"/>
  <c r="O162" i="1"/>
  <c r="H162" i="1"/>
  <c r="K162" i="1" s="1"/>
  <c r="G162" i="1"/>
  <c r="J162" i="1" s="1"/>
  <c r="F162" i="1"/>
  <c r="I162" i="1" s="1"/>
  <c r="A162" i="1"/>
  <c r="T161" i="1"/>
  <c r="O161" i="1"/>
  <c r="I161" i="1"/>
  <c r="H161" i="1"/>
  <c r="K161" i="1" s="1"/>
  <c r="G161" i="1"/>
  <c r="J161" i="1" s="1"/>
  <c r="F161" i="1"/>
  <c r="A161" i="1"/>
  <c r="T160" i="1"/>
  <c r="O160" i="1"/>
  <c r="H160" i="1"/>
  <c r="K160" i="1" s="1"/>
  <c r="G160" i="1"/>
  <c r="J160" i="1" s="1"/>
  <c r="F160" i="1"/>
  <c r="I160" i="1" s="1"/>
  <c r="A160" i="1"/>
  <c r="T159" i="1"/>
  <c r="Q159" i="1"/>
  <c r="R159" i="1" s="1"/>
  <c r="O159" i="1"/>
  <c r="J159" i="1"/>
  <c r="I159" i="1"/>
  <c r="H159" i="1"/>
  <c r="K159" i="1" s="1"/>
  <c r="G159" i="1"/>
  <c r="F159" i="1"/>
  <c r="A159" i="1"/>
  <c r="U158" i="1"/>
  <c r="T158" i="1"/>
  <c r="Q158" i="1"/>
  <c r="R158" i="1" s="1"/>
  <c r="O158" i="1"/>
  <c r="V158" i="1" s="1"/>
  <c r="W158" i="1" s="1"/>
  <c r="H158" i="1"/>
  <c r="K158" i="1" s="1"/>
  <c r="G158" i="1"/>
  <c r="J158" i="1" s="1"/>
  <c r="F158" i="1"/>
  <c r="I158" i="1" s="1"/>
  <c r="A158" i="1"/>
  <c r="T157" i="1"/>
  <c r="O157" i="1"/>
  <c r="Q157" i="1" s="1"/>
  <c r="R157" i="1" s="1"/>
  <c r="J157" i="1"/>
  <c r="H157" i="1"/>
  <c r="K157" i="1" s="1"/>
  <c r="G157" i="1"/>
  <c r="F157" i="1"/>
  <c r="I157" i="1" s="1"/>
  <c r="A157" i="1"/>
  <c r="T156" i="1"/>
  <c r="O156" i="1"/>
  <c r="V156" i="1" s="1"/>
  <c r="H156" i="1"/>
  <c r="K156" i="1" s="1"/>
  <c r="G156" i="1"/>
  <c r="J156" i="1" s="1"/>
  <c r="F156" i="1"/>
  <c r="I156" i="1" s="1"/>
  <c r="A156" i="1"/>
  <c r="T155" i="1"/>
  <c r="O155" i="1"/>
  <c r="Q155" i="1" s="1"/>
  <c r="R155" i="1" s="1"/>
  <c r="K155" i="1"/>
  <c r="J155" i="1"/>
  <c r="H155" i="1"/>
  <c r="G155" i="1"/>
  <c r="F155" i="1"/>
  <c r="I155" i="1" s="1"/>
  <c r="A155" i="1"/>
  <c r="W154" i="1"/>
  <c r="V154" i="1"/>
  <c r="T154" i="1"/>
  <c r="U154" i="1" s="1"/>
  <c r="R154" i="1"/>
  <c r="Q154" i="1"/>
  <c r="O154" i="1"/>
  <c r="H154" i="1"/>
  <c r="K154" i="1" s="1"/>
  <c r="G154" i="1"/>
  <c r="J154" i="1" s="1"/>
  <c r="F154" i="1"/>
  <c r="I154" i="1" s="1"/>
  <c r="A154" i="1"/>
  <c r="T153" i="1"/>
  <c r="Q153" i="1"/>
  <c r="R153" i="1" s="1"/>
  <c r="O153" i="1"/>
  <c r="I153" i="1"/>
  <c r="H153" i="1"/>
  <c r="K153" i="1" s="1"/>
  <c r="G153" i="1"/>
  <c r="J153" i="1" s="1"/>
  <c r="F153" i="1"/>
  <c r="A153" i="1"/>
  <c r="V152" i="1"/>
  <c r="T152" i="1"/>
  <c r="U152" i="1" s="1"/>
  <c r="Q152" i="1"/>
  <c r="R152" i="1" s="1"/>
  <c r="O152" i="1"/>
  <c r="H152" i="1"/>
  <c r="K152" i="1" s="1"/>
  <c r="G152" i="1"/>
  <c r="J152" i="1" s="1"/>
  <c r="F152" i="1"/>
  <c r="I152" i="1" s="1"/>
  <c r="A152" i="1"/>
  <c r="T151" i="1"/>
  <c r="O151" i="1"/>
  <c r="K151" i="1"/>
  <c r="I151" i="1"/>
  <c r="H151" i="1"/>
  <c r="G151" i="1"/>
  <c r="J151" i="1" s="1"/>
  <c r="F151" i="1"/>
  <c r="A151" i="1"/>
  <c r="V150" i="1"/>
  <c r="W150" i="1" s="1"/>
  <c r="T150" i="1"/>
  <c r="U150" i="1" s="1"/>
  <c r="R150" i="1"/>
  <c r="Q150" i="1"/>
  <c r="O150" i="1"/>
  <c r="H150" i="1"/>
  <c r="K150" i="1" s="1"/>
  <c r="G150" i="1"/>
  <c r="J150" i="1" s="1"/>
  <c r="F150" i="1"/>
  <c r="I150" i="1" s="1"/>
  <c r="A150" i="1"/>
  <c r="T149" i="1"/>
  <c r="Q149" i="1"/>
  <c r="R149" i="1" s="1"/>
  <c r="O149" i="1"/>
  <c r="J149" i="1"/>
  <c r="I149" i="1"/>
  <c r="H149" i="1"/>
  <c r="K149" i="1" s="1"/>
  <c r="G149" i="1"/>
  <c r="F149" i="1"/>
  <c r="A149" i="1"/>
  <c r="V148" i="1"/>
  <c r="W148" i="1" s="1"/>
  <c r="U148" i="1"/>
  <c r="T148" i="1"/>
  <c r="Q148" i="1"/>
  <c r="R148" i="1" s="1"/>
  <c r="O148" i="1"/>
  <c r="H148" i="1"/>
  <c r="K148" i="1" s="1"/>
  <c r="G148" i="1"/>
  <c r="J148" i="1" s="1"/>
  <c r="F148" i="1"/>
  <c r="I148" i="1" s="1"/>
  <c r="A148" i="1"/>
  <c r="T147" i="1"/>
  <c r="O147" i="1"/>
  <c r="Q147" i="1" s="1"/>
  <c r="R147" i="1" s="1"/>
  <c r="H147" i="1"/>
  <c r="K147" i="1" s="1"/>
  <c r="G147" i="1"/>
  <c r="J147" i="1" s="1"/>
  <c r="F147" i="1"/>
  <c r="I147" i="1" s="1"/>
  <c r="A147" i="1"/>
  <c r="T146" i="1"/>
  <c r="O146" i="1"/>
  <c r="V146" i="1" s="1"/>
  <c r="H146" i="1"/>
  <c r="K146" i="1" s="1"/>
  <c r="G146" i="1"/>
  <c r="J146" i="1" s="1"/>
  <c r="F146" i="1"/>
  <c r="I146" i="1" s="1"/>
  <c r="A146" i="1"/>
  <c r="T145" i="1"/>
  <c r="O145" i="1"/>
  <c r="V145" i="1" s="1"/>
  <c r="J145" i="1"/>
  <c r="H145" i="1"/>
  <c r="K145" i="1" s="1"/>
  <c r="G145" i="1"/>
  <c r="F145" i="1"/>
  <c r="I145" i="1" s="1"/>
  <c r="A145" i="1"/>
  <c r="V144" i="1"/>
  <c r="T144" i="1"/>
  <c r="O144" i="1"/>
  <c r="Q144" i="1" s="1"/>
  <c r="R144" i="1" s="1"/>
  <c r="H144" i="1"/>
  <c r="K144" i="1" s="1"/>
  <c r="G144" i="1"/>
  <c r="J144" i="1" s="1"/>
  <c r="F144" i="1"/>
  <c r="I144" i="1" s="1"/>
  <c r="A144" i="1"/>
  <c r="T143" i="1"/>
  <c r="U143" i="1" s="1"/>
  <c r="Q143" i="1"/>
  <c r="R143" i="1" s="1"/>
  <c r="O143" i="1"/>
  <c r="V143" i="1" s="1"/>
  <c r="H143" i="1"/>
  <c r="K143" i="1" s="1"/>
  <c r="G143" i="1"/>
  <c r="J143" i="1" s="1"/>
  <c r="F143" i="1"/>
  <c r="I143" i="1" s="1"/>
  <c r="A143" i="1"/>
  <c r="T142" i="1"/>
  <c r="U142" i="1" s="1"/>
  <c r="Q142" i="1"/>
  <c r="R142" i="1" s="1"/>
  <c r="O142" i="1"/>
  <c r="V142" i="1" s="1"/>
  <c r="W142" i="1" s="1"/>
  <c r="H142" i="1"/>
  <c r="K142" i="1" s="1"/>
  <c r="G142" i="1"/>
  <c r="J142" i="1" s="1"/>
  <c r="F142" i="1"/>
  <c r="I142" i="1" s="1"/>
  <c r="A142" i="1"/>
  <c r="T141" i="1"/>
  <c r="O141" i="1"/>
  <c r="K141" i="1"/>
  <c r="H141" i="1"/>
  <c r="G141" i="1"/>
  <c r="J141" i="1" s="1"/>
  <c r="F141" i="1"/>
  <c r="I141" i="1" s="1"/>
  <c r="A141" i="1"/>
  <c r="T140" i="1"/>
  <c r="O140" i="1"/>
  <c r="Q140" i="1" s="1"/>
  <c r="R140" i="1" s="1"/>
  <c r="H140" i="1"/>
  <c r="K140" i="1" s="1"/>
  <c r="G140" i="1"/>
  <c r="J140" i="1" s="1"/>
  <c r="F140" i="1"/>
  <c r="I140" i="1" s="1"/>
  <c r="A140" i="1"/>
  <c r="V139" i="1"/>
  <c r="W139" i="1" s="1"/>
  <c r="T139" i="1"/>
  <c r="U139" i="1" s="1"/>
  <c r="O139" i="1"/>
  <c r="Q139" i="1" s="1"/>
  <c r="R139" i="1" s="1"/>
  <c r="I139" i="1"/>
  <c r="H139" i="1"/>
  <c r="K139" i="1" s="1"/>
  <c r="G139" i="1"/>
  <c r="J139" i="1" s="1"/>
  <c r="F139" i="1"/>
  <c r="A139" i="1"/>
  <c r="T138" i="1"/>
  <c r="O138" i="1"/>
  <c r="H138" i="1"/>
  <c r="K138" i="1" s="1"/>
  <c r="G138" i="1"/>
  <c r="J138" i="1" s="1"/>
  <c r="F138" i="1"/>
  <c r="I138" i="1" s="1"/>
  <c r="A138" i="1"/>
  <c r="T137" i="1"/>
  <c r="O137" i="1"/>
  <c r="I137" i="1"/>
  <c r="H137" i="1"/>
  <c r="K137" i="1" s="1"/>
  <c r="G137" i="1"/>
  <c r="J137" i="1" s="1"/>
  <c r="F137" i="1"/>
  <c r="A137" i="1"/>
  <c r="V136" i="1"/>
  <c r="T136" i="1"/>
  <c r="O136" i="1"/>
  <c r="Q136" i="1" s="1"/>
  <c r="R136" i="1" s="1"/>
  <c r="H136" i="1"/>
  <c r="K136" i="1" s="1"/>
  <c r="G136" i="1"/>
  <c r="J136" i="1" s="1"/>
  <c r="F136" i="1"/>
  <c r="I136" i="1" s="1"/>
  <c r="A136" i="1"/>
  <c r="T135" i="1"/>
  <c r="O135" i="1"/>
  <c r="V135" i="1" s="1"/>
  <c r="K135" i="1"/>
  <c r="H135" i="1"/>
  <c r="G135" i="1"/>
  <c r="J135" i="1" s="1"/>
  <c r="F135" i="1"/>
  <c r="I135" i="1" s="1"/>
  <c r="A135" i="1"/>
  <c r="T134" i="1"/>
  <c r="O134" i="1"/>
  <c r="I134" i="1"/>
  <c r="H134" i="1"/>
  <c r="K134" i="1" s="1"/>
  <c r="G134" i="1"/>
  <c r="J134" i="1" s="1"/>
  <c r="F134" i="1"/>
  <c r="A134" i="1"/>
  <c r="T133" i="1"/>
  <c r="O133" i="1"/>
  <c r="V133" i="1" s="1"/>
  <c r="I133" i="1"/>
  <c r="H133" i="1"/>
  <c r="K133" i="1" s="1"/>
  <c r="G133" i="1"/>
  <c r="J133" i="1" s="1"/>
  <c r="F133" i="1"/>
  <c r="A133" i="1"/>
  <c r="V132" i="1"/>
  <c r="U132" i="1"/>
  <c r="T132" i="1"/>
  <c r="O132" i="1"/>
  <c r="Q132" i="1" s="1"/>
  <c r="R132" i="1" s="1"/>
  <c r="H132" i="1"/>
  <c r="K132" i="1" s="1"/>
  <c r="G132" i="1"/>
  <c r="J132" i="1" s="1"/>
  <c r="F132" i="1"/>
  <c r="I132" i="1" s="1"/>
  <c r="A132" i="1"/>
  <c r="T131" i="1"/>
  <c r="O131" i="1"/>
  <c r="Q131" i="1" s="1"/>
  <c r="R131" i="1" s="1"/>
  <c r="K131" i="1"/>
  <c r="H131" i="1"/>
  <c r="G131" i="1"/>
  <c r="J131" i="1" s="1"/>
  <c r="F131" i="1"/>
  <c r="I131" i="1" s="1"/>
  <c r="A131" i="1"/>
  <c r="T130" i="1"/>
  <c r="U130" i="1" s="1"/>
  <c r="O130" i="1"/>
  <c r="V130" i="1" s="1"/>
  <c r="I130" i="1"/>
  <c r="H130" i="1"/>
  <c r="K130" i="1" s="1"/>
  <c r="G130" i="1"/>
  <c r="J130" i="1" s="1"/>
  <c r="F130" i="1"/>
  <c r="A130" i="1"/>
  <c r="V129" i="1"/>
  <c r="W129" i="1" s="1"/>
  <c r="T129" i="1"/>
  <c r="O129" i="1"/>
  <c r="Q129" i="1" s="1"/>
  <c r="R129" i="1" s="1"/>
  <c r="H129" i="1"/>
  <c r="K129" i="1" s="1"/>
  <c r="G129" i="1"/>
  <c r="J129" i="1" s="1"/>
  <c r="F129" i="1"/>
  <c r="I129" i="1" s="1"/>
  <c r="A129" i="1"/>
  <c r="T128" i="1"/>
  <c r="O128" i="1"/>
  <c r="H128" i="1"/>
  <c r="K128" i="1" s="1"/>
  <c r="G128" i="1"/>
  <c r="J128" i="1" s="1"/>
  <c r="F128" i="1"/>
  <c r="I128" i="1" s="1"/>
  <c r="A128" i="1"/>
  <c r="T127" i="1"/>
  <c r="O127" i="1"/>
  <c r="V127" i="1" s="1"/>
  <c r="K127" i="1"/>
  <c r="J127" i="1"/>
  <c r="H127" i="1"/>
  <c r="G127" i="1"/>
  <c r="F127" i="1"/>
  <c r="I127" i="1" s="1"/>
  <c r="A127" i="1"/>
  <c r="V126" i="1"/>
  <c r="W126" i="1" s="1"/>
  <c r="T126" i="1"/>
  <c r="U126" i="1" s="1"/>
  <c r="R126" i="1"/>
  <c r="Q126" i="1"/>
  <c r="O126" i="1"/>
  <c r="H126" i="1"/>
  <c r="K126" i="1" s="1"/>
  <c r="G126" i="1"/>
  <c r="J126" i="1" s="1"/>
  <c r="F126" i="1"/>
  <c r="I126" i="1" s="1"/>
  <c r="A126" i="1"/>
  <c r="T125" i="1"/>
  <c r="O125" i="1"/>
  <c r="K125" i="1"/>
  <c r="J125" i="1"/>
  <c r="H125" i="1"/>
  <c r="G125" i="1"/>
  <c r="F125" i="1"/>
  <c r="I125" i="1" s="1"/>
  <c r="A125" i="1"/>
  <c r="V124" i="1"/>
  <c r="T124" i="1"/>
  <c r="U124" i="1" s="1"/>
  <c r="R124" i="1"/>
  <c r="Q124" i="1"/>
  <c r="O124" i="1"/>
  <c r="H124" i="1"/>
  <c r="K124" i="1" s="1"/>
  <c r="G124" i="1"/>
  <c r="J124" i="1" s="1"/>
  <c r="F124" i="1"/>
  <c r="I124" i="1" s="1"/>
  <c r="A124" i="1"/>
  <c r="V123" i="1"/>
  <c r="W123" i="1" s="1"/>
  <c r="T123" i="1"/>
  <c r="U123" i="1" s="1"/>
  <c r="O123" i="1"/>
  <c r="Q123" i="1" s="1"/>
  <c r="R123" i="1" s="1"/>
  <c r="H123" i="1"/>
  <c r="K123" i="1" s="1"/>
  <c r="G123" i="1"/>
  <c r="J123" i="1" s="1"/>
  <c r="F123" i="1"/>
  <c r="I123" i="1" s="1"/>
  <c r="A123" i="1"/>
  <c r="T122" i="1"/>
  <c r="O122" i="1"/>
  <c r="V122" i="1" s="1"/>
  <c r="H122" i="1"/>
  <c r="K122" i="1" s="1"/>
  <c r="G122" i="1"/>
  <c r="J122" i="1" s="1"/>
  <c r="F122" i="1"/>
  <c r="I122" i="1" s="1"/>
  <c r="A122" i="1"/>
  <c r="V121" i="1"/>
  <c r="T121" i="1"/>
  <c r="U121" i="1" s="1"/>
  <c r="O121" i="1"/>
  <c r="Q121" i="1" s="1"/>
  <c r="H121" i="1"/>
  <c r="K121" i="1" s="1"/>
  <c r="G121" i="1"/>
  <c r="J121" i="1" s="1"/>
  <c r="F121" i="1"/>
  <c r="I121" i="1" s="1"/>
  <c r="A121" i="1"/>
  <c r="T120" i="1"/>
  <c r="Q120" i="1"/>
  <c r="R120" i="1" s="1"/>
  <c r="O120" i="1"/>
  <c r="H120" i="1"/>
  <c r="K120" i="1" s="1"/>
  <c r="G120" i="1"/>
  <c r="J120" i="1" s="1"/>
  <c r="F120" i="1"/>
  <c r="I120" i="1" s="1"/>
  <c r="A120" i="1"/>
  <c r="T119" i="1"/>
  <c r="U119" i="1" s="1"/>
  <c r="O119" i="1"/>
  <c r="V119" i="1" s="1"/>
  <c r="H119" i="1"/>
  <c r="K119" i="1" s="1"/>
  <c r="G119" i="1"/>
  <c r="J119" i="1" s="1"/>
  <c r="F119" i="1"/>
  <c r="I119" i="1" s="1"/>
  <c r="A119" i="1"/>
  <c r="V118" i="1"/>
  <c r="W118" i="1" s="1"/>
  <c r="U118" i="1"/>
  <c r="T118" i="1"/>
  <c r="O118" i="1"/>
  <c r="Q118" i="1" s="1"/>
  <c r="R118" i="1" s="1"/>
  <c r="H118" i="1"/>
  <c r="K118" i="1" s="1"/>
  <c r="G118" i="1"/>
  <c r="J118" i="1" s="1"/>
  <c r="F118" i="1"/>
  <c r="I118" i="1" s="1"/>
  <c r="A118" i="1"/>
  <c r="T117" i="1"/>
  <c r="O117" i="1"/>
  <c r="V117" i="1" s="1"/>
  <c r="H117" i="1"/>
  <c r="K117" i="1" s="1"/>
  <c r="G117" i="1"/>
  <c r="J117" i="1" s="1"/>
  <c r="F117" i="1"/>
  <c r="I117" i="1" s="1"/>
  <c r="A117" i="1"/>
  <c r="V116" i="1"/>
  <c r="T116" i="1"/>
  <c r="O116" i="1"/>
  <c r="Q116" i="1" s="1"/>
  <c r="R116" i="1" s="1"/>
  <c r="H116" i="1"/>
  <c r="K116" i="1" s="1"/>
  <c r="G116" i="1"/>
  <c r="J116" i="1" s="1"/>
  <c r="F116" i="1"/>
  <c r="I116" i="1" s="1"/>
  <c r="A116" i="1"/>
  <c r="T115" i="1"/>
  <c r="O115" i="1"/>
  <c r="J115" i="1"/>
  <c r="H115" i="1"/>
  <c r="K115" i="1" s="1"/>
  <c r="G115" i="1"/>
  <c r="F115" i="1"/>
  <c r="I115" i="1" s="1"/>
  <c r="A115" i="1"/>
  <c r="V114" i="1"/>
  <c r="T114" i="1"/>
  <c r="U114" i="1" s="1"/>
  <c r="Q114" i="1"/>
  <c r="R114" i="1" s="1"/>
  <c r="O114" i="1"/>
  <c r="H114" i="1"/>
  <c r="K114" i="1" s="1"/>
  <c r="G114" i="1"/>
  <c r="J114" i="1" s="1"/>
  <c r="F114" i="1"/>
  <c r="I114" i="1" s="1"/>
  <c r="A114" i="1"/>
  <c r="T113" i="1"/>
  <c r="Q113" i="1"/>
  <c r="R113" i="1" s="1"/>
  <c r="O113" i="1"/>
  <c r="V113" i="1" s="1"/>
  <c r="H113" i="1"/>
  <c r="K113" i="1" s="1"/>
  <c r="G113" i="1"/>
  <c r="J113" i="1" s="1"/>
  <c r="F113" i="1"/>
  <c r="I113" i="1" s="1"/>
  <c r="A113" i="1"/>
  <c r="T112" i="1"/>
  <c r="O112" i="1"/>
  <c r="V112" i="1" s="1"/>
  <c r="J112" i="1"/>
  <c r="H112" i="1"/>
  <c r="K112" i="1" s="1"/>
  <c r="G112" i="1"/>
  <c r="F112" i="1"/>
  <c r="I112" i="1" s="1"/>
  <c r="A112" i="1"/>
  <c r="T111" i="1"/>
  <c r="O111" i="1"/>
  <c r="V111" i="1" s="1"/>
  <c r="I111" i="1"/>
  <c r="H111" i="1"/>
  <c r="K111" i="1" s="1"/>
  <c r="G111" i="1"/>
  <c r="J111" i="1" s="1"/>
  <c r="F111" i="1"/>
  <c r="A111" i="1"/>
  <c r="T110" i="1"/>
  <c r="O110" i="1"/>
  <c r="J110" i="1"/>
  <c r="I110" i="1"/>
  <c r="H110" i="1"/>
  <c r="K110" i="1" s="1"/>
  <c r="G110" i="1"/>
  <c r="F110" i="1"/>
  <c r="A110" i="1"/>
  <c r="T109" i="1"/>
  <c r="O109" i="1"/>
  <c r="V109" i="1" s="1"/>
  <c r="K109" i="1"/>
  <c r="J109" i="1"/>
  <c r="I109" i="1"/>
  <c r="H109" i="1"/>
  <c r="G109" i="1"/>
  <c r="F109" i="1"/>
  <c r="A109" i="1"/>
  <c r="T108" i="1"/>
  <c r="O108" i="1"/>
  <c r="Q108" i="1" s="1"/>
  <c r="R108" i="1" s="1"/>
  <c r="H108" i="1"/>
  <c r="K108" i="1" s="1"/>
  <c r="G108" i="1"/>
  <c r="J108" i="1" s="1"/>
  <c r="F108" i="1"/>
  <c r="I108" i="1" s="1"/>
  <c r="A108" i="1"/>
  <c r="T107" i="1"/>
  <c r="O107" i="1"/>
  <c r="V107" i="1" s="1"/>
  <c r="H107" i="1"/>
  <c r="K107" i="1" s="1"/>
  <c r="G107" i="1"/>
  <c r="J107" i="1" s="1"/>
  <c r="F107" i="1"/>
  <c r="I107" i="1" s="1"/>
  <c r="A107" i="1"/>
  <c r="T106" i="1"/>
  <c r="O106" i="1"/>
  <c r="V106" i="1" s="1"/>
  <c r="H106" i="1"/>
  <c r="K106" i="1" s="1"/>
  <c r="G106" i="1"/>
  <c r="J106" i="1" s="1"/>
  <c r="F106" i="1"/>
  <c r="I106" i="1" s="1"/>
  <c r="A106" i="1"/>
  <c r="T105" i="1"/>
  <c r="O105" i="1"/>
  <c r="H105" i="1"/>
  <c r="K105" i="1" s="1"/>
  <c r="G105" i="1"/>
  <c r="J105" i="1" s="1"/>
  <c r="F105" i="1"/>
  <c r="I105" i="1" s="1"/>
  <c r="A105" i="1"/>
  <c r="T104" i="1"/>
  <c r="O104" i="1"/>
  <c r="V104" i="1" s="1"/>
  <c r="H104" i="1"/>
  <c r="K104" i="1" s="1"/>
  <c r="G104" i="1"/>
  <c r="J104" i="1" s="1"/>
  <c r="F104" i="1"/>
  <c r="I104" i="1" s="1"/>
  <c r="A104" i="1"/>
  <c r="T103" i="1"/>
  <c r="O103" i="1"/>
  <c r="V103" i="1" s="1"/>
  <c r="I103" i="1"/>
  <c r="H103" i="1"/>
  <c r="K103" i="1" s="1"/>
  <c r="G103" i="1"/>
  <c r="J103" i="1" s="1"/>
  <c r="F103" i="1"/>
  <c r="A103" i="1"/>
  <c r="T102" i="1"/>
  <c r="O102" i="1"/>
  <c r="V102" i="1" s="1"/>
  <c r="H102" i="1"/>
  <c r="K102" i="1" s="1"/>
  <c r="G102" i="1"/>
  <c r="J102" i="1" s="1"/>
  <c r="F102" i="1"/>
  <c r="I102" i="1" s="1"/>
  <c r="A102" i="1"/>
  <c r="V101" i="1"/>
  <c r="T101" i="1"/>
  <c r="U101" i="1" s="1"/>
  <c r="Q101" i="1"/>
  <c r="R101" i="1" s="1"/>
  <c r="O101" i="1"/>
  <c r="H101" i="1"/>
  <c r="K101" i="1" s="1"/>
  <c r="G101" i="1"/>
  <c r="J101" i="1" s="1"/>
  <c r="F101" i="1"/>
  <c r="I101" i="1" s="1"/>
  <c r="A101" i="1"/>
  <c r="T100" i="1"/>
  <c r="O100" i="1"/>
  <c r="H100" i="1"/>
  <c r="K100" i="1" s="1"/>
  <c r="G100" i="1"/>
  <c r="J100" i="1" s="1"/>
  <c r="F100" i="1"/>
  <c r="I100" i="1" s="1"/>
  <c r="A100" i="1"/>
  <c r="T99" i="1"/>
  <c r="Q99" i="1"/>
  <c r="R99" i="1" s="1"/>
  <c r="O99" i="1"/>
  <c r="V99" i="1" s="1"/>
  <c r="H99" i="1"/>
  <c r="K99" i="1" s="1"/>
  <c r="G99" i="1"/>
  <c r="J99" i="1" s="1"/>
  <c r="F99" i="1"/>
  <c r="I99" i="1" s="1"/>
  <c r="A99" i="1"/>
  <c r="T98" i="1"/>
  <c r="O98" i="1"/>
  <c r="Q98" i="1" s="1"/>
  <c r="R98" i="1" s="1"/>
  <c r="H98" i="1"/>
  <c r="K98" i="1" s="1"/>
  <c r="G98" i="1"/>
  <c r="J98" i="1" s="1"/>
  <c r="F98" i="1"/>
  <c r="I98" i="1" s="1"/>
  <c r="A98" i="1"/>
  <c r="T97" i="1"/>
  <c r="Q97" i="1"/>
  <c r="R97" i="1" s="1"/>
  <c r="O97" i="1"/>
  <c r="V97" i="1" s="1"/>
  <c r="J97" i="1"/>
  <c r="I97" i="1"/>
  <c r="H97" i="1"/>
  <c r="K97" i="1" s="1"/>
  <c r="G97" i="1"/>
  <c r="F97" i="1"/>
  <c r="A97" i="1"/>
  <c r="T96" i="1"/>
  <c r="U96" i="1" s="1"/>
  <c r="Q96" i="1"/>
  <c r="R96" i="1" s="1"/>
  <c r="O96" i="1"/>
  <c r="V96" i="1" s="1"/>
  <c r="W96" i="1" s="1"/>
  <c r="H96" i="1"/>
  <c r="K96" i="1" s="1"/>
  <c r="G96" i="1"/>
  <c r="J96" i="1" s="1"/>
  <c r="F96" i="1"/>
  <c r="I96" i="1" s="1"/>
  <c r="A96" i="1"/>
  <c r="T95" i="1"/>
  <c r="O95" i="1"/>
  <c r="J95" i="1"/>
  <c r="I95" i="1"/>
  <c r="H95" i="1"/>
  <c r="K95" i="1" s="1"/>
  <c r="G95" i="1"/>
  <c r="F95" i="1"/>
  <c r="A95" i="1"/>
  <c r="T94" i="1"/>
  <c r="O94" i="1"/>
  <c r="V94" i="1" s="1"/>
  <c r="H94" i="1"/>
  <c r="K94" i="1" s="1"/>
  <c r="G94" i="1"/>
  <c r="J94" i="1" s="1"/>
  <c r="F94" i="1"/>
  <c r="I94" i="1" s="1"/>
  <c r="A94" i="1"/>
  <c r="T93" i="1"/>
  <c r="O93" i="1"/>
  <c r="V93" i="1" s="1"/>
  <c r="I93" i="1"/>
  <c r="H93" i="1"/>
  <c r="K93" i="1" s="1"/>
  <c r="G93" i="1"/>
  <c r="J93" i="1" s="1"/>
  <c r="F93" i="1"/>
  <c r="A93" i="1"/>
  <c r="T92" i="1"/>
  <c r="O92" i="1"/>
  <c r="V92" i="1" s="1"/>
  <c r="J92" i="1"/>
  <c r="I92" i="1"/>
  <c r="H92" i="1"/>
  <c r="K92" i="1" s="1"/>
  <c r="G92" i="1"/>
  <c r="F92" i="1"/>
  <c r="A92" i="1"/>
  <c r="T91" i="1"/>
  <c r="O91" i="1"/>
  <c r="Q91" i="1" s="1"/>
  <c r="R91" i="1" s="1"/>
  <c r="I91" i="1"/>
  <c r="H91" i="1"/>
  <c r="K91" i="1" s="1"/>
  <c r="G91" i="1"/>
  <c r="J91" i="1" s="1"/>
  <c r="F91" i="1"/>
  <c r="A91" i="1"/>
  <c r="T90" i="1"/>
  <c r="O90" i="1"/>
  <c r="I90" i="1"/>
  <c r="H90" i="1"/>
  <c r="K90" i="1" s="1"/>
  <c r="G90" i="1"/>
  <c r="J90" i="1" s="1"/>
  <c r="F90" i="1"/>
  <c r="A90" i="1"/>
  <c r="T89" i="1"/>
  <c r="O89" i="1"/>
  <c r="V89" i="1" s="1"/>
  <c r="J89" i="1"/>
  <c r="I89" i="1"/>
  <c r="H89" i="1"/>
  <c r="K89" i="1" s="1"/>
  <c r="G89" i="1"/>
  <c r="F89" i="1"/>
  <c r="A89" i="1"/>
  <c r="T88" i="1"/>
  <c r="U88" i="1" s="1"/>
  <c r="O88" i="1"/>
  <c r="Q88" i="1" s="1"/>
  <c r="R88" i="1" s="1"/>
  <c r="J88" i="1"/>
  <c r="H88" i="1"/>
  <c r="K88" i="1" s="1"/>
  <c r="G88" i="1"/>
  <c r="F88" i="1"/>
  <c r="I88" i="1" s="1"/>
  <c r="A88" i="1"/>
  <c r="T87" i="1"/>
  <c r="O87" i="1"/>
  <c r="V87" i="1" s="1"/>
  <c r="K87" i="1"/>
  <c r="J87" i="1"/>
  <c r="I87" i="1"/>
  <c r="H87" i="1"/>
  <c r="G87" i="1"/>
  <c r="F87" i="1"/>
  <c r="A87" i="1"/>
  <c r="V86" i="1"/>
  <c r="W86" i="1" s="1"/>
  <c r="T86" i="1"/>
  <c r="U86" i="1" s="1"/>
  <c r="Q86" i="1"/>
  <c r="R86" i="1" s="1"/>
  <c r="O86" i="1"/>
  <c r="H86" i="1"/>
  <c r="K86" i="1" s="1"/>
  <c r="G86" i="1"/>
  <c r="J86" i="1" s="1"/>
  <c r="F86" i="1"/>
  <c r="I86" i="1" s="1"/>
  <c r="A86" i="1"/>
  <c r="T85" i="1"/>
  <c r="O85" i="1"/>
  <c r="J85" i="1"/>
  <c r="I85" i="1"/>
  <c r="H85" i="1"/>
  <c r="K85" i="1" s="1"/>
  <c r="G85" i="1"/>
  <c r="F85" i="1"/>
  <c r="A85" i="1"/>
  <c r="T84" i="1"/>
  <c r="O84" i="1"/>
  <c r="Q84" i="1" s="1"/>
  <c r="R84" i="1" s="1"/>
  <c r="H84" i="1"/>
  <c r="K84" i="1" s="1"/>
  <c r="G84" i="1"/>
  <c r="J84" i="1" s="1"/>
  <c r="F84" i="1"/>
  <c r="I84" i="1" s="1"/>
  <c r="A84" i="1"/>
  <c r="T83" i="1"/>
  <c r="O83" i="1"/>
  <c r="J83" i="1"/>
  <c r="I83" i="1"/>
  <c r="H83" i="1"/>
  <c r="K83" i="1" s="1"/>
  <c r="G83" i="1"/>
  <c r="F83" i="1"/>
  <c r="A83" i="1"/>
  <c r="T82" i="1"/>
  <c r="U82" i="1" s="1"/>
  <c r="O82" i="1"/>
  <c r="V82" i="1" s="1"/>
  <c r="H82" i="1"/>
  <c r="K82" i="1" s="1"/>
  <c r="G82" i="1"/>
  <c r="J82" i="1" s="1"/>
  <c r="F82" i="1"/>
  <c r="I82" i="1" s="1"/>
  <c r="A82" i="1"/>
  <c r="T81" i="1"/>
  <c r="O81" i="1"/>
  <c r="I81" i="1"/>
  <c r="H81" i="1"/>
  <c r="K81" i="1" s="1"/>
  <c r="G81" i="1"/>
  <c r="J81" i="1" s="1"/>
  <c r="F81" i="1"/>
  <c r="A81" i="1"/>
  <c r="T80" i="1"/>
  <c r="O80" i="1"/>
  <c r="V80" i="1" s="1"/>
  <c r="H80" i="1"/>
  <c r="K80" i="1" s="1"/>
  <c r="G80" i="1"/>
  <c r="J80" i="1" s="1"/>
  <c r="F80" i="1"/>
  <c r="I80" i="1" s="1"/>
  <c r="A80" i="1"/>
  <c r="T79" i="1"/>
  <c r="O79" i="1"/>
  <c r="H79" i="1"/>
  <c r="K79" i="1" s="1"/>
  <c r="G79" i="1"/>
  <c r="J79" i="1" s="1"/>
  <c r="F79" i="1"/>
  <c r="I79" i="1" s="1"/>
  <c r="A79" i="1"/>
  <c r="T78" i="1"/>
  <c r="O78" i="1"/>
  <c r="V78" i="1" s="1"/>
  <c r="H78" i="1"/>
  <c r="K78" i="1" s="1"/>
  <c r="G78" i="1"/>
  <c r="J78" i="1" s="1"/>
  <c r="F78" i="1"/>
  <c r="I78" i="1" s="1"/>
  <c r="A78" i="1"/>
  <c r="T77" i="1"/>
  <c r="Q77" i="1"/>
  <c r="R77" i="1" s="1"/>
  <c r="O77" i="1"/>
  <c r="H77" i="1"/>
  <c r="K77" i="1" s="1"/>
  <c r="G77" i="1"/>
  <c r="J77" i="1" s="1"/>
  <c r="F77" i="1"/>
  <c r="I77" i="1" s="1"/>
  <c r="A77" i="1"/>
  <c r="T76" i="1"/>
  <c r="O76" i="1"/>
  <c r="V76" i="1" s="1"/>
  <c r="H76" i="1"/>
  <c r="K76" i="1" s="1"/>
  <c r="G76" i="1"/>
  <c r="J76" i="1" s="1"/>
  <c r="F76" i="1"/>
  <c r="I76" i="1" s="1"/>
  <c r="A76" i="1"/>
  <c r="T75" i="1"/>
  <c r="O75" i="1"/>
  <c r="H75" i="1"/>
  <c r="K75" i="1" s="1"/>
  <c r="G75" i="1"/>
  <c r="J75" i="1" s="1"/>
  <c r="F75" i="1"/>
  <c r="I75" i="1" s="1"/>
  <c r="A75" i="1"/>
  <c r="V74" i="1"/>
  <c r="W74" i="1" s="1"/>
  <c r="T74" i="1"/>
  <c r="U74" i="1" s="1"/>
  <c r="Q74" i="1"/>
  <c r="R74" i="1" s="1"/>
  <c r="O74" i="1"/>
  <c r="H74" i="1"/>
  <c r="K74" i="1" s="1"/>
  <c r="G74" i="1"/>
  <c r="J74" i="1" s="1"/>
  <c r="F74" i="1"/>
  <c r="I74" i="1" s="1"/>
  <c r="A74" i="1"/>
  <c r="T73" i="1"/>
  <c r="O73" i="1"/>
  <c r="K73" i="1"/>
  <c r="H73" i="1"/>
  <c r="G73" i="1"/>
  <c r="J73" i="1" s="1"/>
  <c r="F73" i="1"/>
  <c r="I73" i="1" s="1"/>
  <c r="A73" i="1"/>
  <c r="V72" i="1"/>
  <c r="W72" i="1" s="1"/>
  <c r="T72" i="1"/>
  <c r="U72" i="1" s="1"/>
  <c r="Q72" i="1"/>
  <c r="R72" i="1" s="1"/>
  <c r="O72" i="1"/>
  <c r="H72" i="1"/>
  <c r="K72" i="1" s="1"/>
  <c r="G72" i="1"/>
  <c r="J72" i="1" s="1"/>
  <c r="F72" i="1"/>
  <c r="I72" i="1" s="1"/>
  <c r="A72" i="1"/>
  <c r="T71" i="1"/>
  <c r="O71" i="1"/>
  <c r="J71" i="1"/>
  <c r="H71" i="1"/>
  <c r="K71" i="1" s="1"/>
  <c r="G71" i="1"/>
  <c r="F71" i="1"/>
  <c r="I71" i="1" s="1"/>
  <c r="A71" i="1"/>
  <c r="V70" i="1"/>
  <c r="T70" i="1"/>
  <c r="U70" i="1" s="1"/>
  <c r="O70" i="1"/>
  <c r="Q70" i="1" s="1"/>
  <c r="R70" i="1" s="1"/>
  <c r="H70" i="1"/>
  <c r="K70" i="1" s="1"/>
  <c r="G70" i="1"/>
  <c r="J70" i="1" s="1"/>
  <c r="F70" i="1"/>
  <c r="I70" i="1" s="1"/>
  <c r="A70" i="1"/>
  <c r="T69" i="1"/>
  <c r="O69" i="1"/>
  <c r="K69" i="1"/>
  <c r="J69" i="1"/>
  <c r="I69" i="1"/>
  <c r="H69" i="1"/>
  <c r="G69" i="1"/>
  <c r="F69" i="1"/>
  <c r="A69" i="1"/>
  <c r="V68" i="1"/>
  <c r="T68" i="1"/>
  <c r="U68" i="1" s="1"/>
  <c r="O68" i="1"/>
  <c r="Q68" i="1" s="1"/>
  <c r="R68" i="1" s="1"/>
  <c r="H68" i="1"/>
  <c r="K68" i="1" s="1"/>
  <c r="G68" i="1"/>
  <c r="J68" i="1" s="1"/>
  <c r="F68" i="1"/>
  <c r="I68" i="1" s="1"/>
  <c r="A68" i="1"/>
  <c r="T67" i="1"/>
  <c r="Q67" i="1"/>
  <c r="R67" i="1" s="1"/>
  <c r="O67" i="1"/>
  <c r="J67" i="1"/>
  <c r="I67" i="1"/>
  <c r="H67" i="1"/>
  <c r="K67" i="1" s="1"/>
  <c r="G67" i="1"/>
  <c r="F67" i="1"/>
  <c r="A67" i="1"/>
  <c r="V66" i="1"/>
  <c r="T66" i="1"/>
  <c r="U66" i="1" s="1"/>
  <c r="O66" i="1"/>
  <c r="Q66" i="1" s="1"/>
  <c r="R66" i="1" s="1"/>
  <c r="H66" i="1"/>
  <c r="K66" i="1" s="1"/>
  <c r="G66" i="1"/>
  <c r="J66" i="1" s="1"/>
  <c r="F66" i="1"/>
  <c r="I66" i="1" s="1"/>
  <c r="A66" i="1"/>
  <c r="T65" i="1"/>
  <c r="O65" i="1"/>
  <c r="Q65" i="1" s="1"/>
  <c r="R65" i="1" s="1"/>
  <c r="J65" i="1"/>
  <c r="I65" i="1"/>
  <c r="H65" i="1"/>
  <c r="K65" i="1" s="1"/>
  <c r="G65" i="1"/>
  <c r="F65" i="1"/>
  <c r="A65" i="1"/>
  <c r="V64" i="1"/>
  <c r="T64" i="1"/>
  <c r="U64" i="1" s="1"/>
  <c r="Q64" i="1"/>
  <c r="R64" i="1" s="1"/>
  <c r="O64" i="1"/>
  <c r="H64" i="1"/>
  <c r="K64" i="1" s="1"/>
  <c r="G64" i="1"/>
  <c r="J64" i="1" s="1"/>
  <c r="F64" i="1"/>
  <c r="I64" i="1" s="1"/>
  <c r="A64" i="1"/>
  <c r="T63" i="1"/>
  <c r="O63" i="1"/>
  <c r="K63" i="1"/>
  <c r="J63" i="1"/>
  <c r="I63" i="1"/>
  <c r="H63" i="1"/>
  <c r="G63" i="1"/>
  <c r="F63" i="1"/>
  <c r="A63" i="1"/>
  <c r="V62" i="1"/>
  <c r="T62" i="1"/>
  <c r="U62" i="1" s="1"/>
  <c r="Q62" i="1"/>
  <c r="R62" i="1" s="1"/>
  <c r="O62" i="1"/>
  <c r="H62" i="1"/>
  <c r="K62" i="1" s="1"/>
  <c r="G62" i="1"/>
  <c r="J62" i="1" s="1"/>
  <c r="F62" i="1"/>
  <c r="I62" i="1" s="1"/>
  <c r="A62" i="1"/>
  <c r="T61" i="1"/>
  <c r="O61" i="1"/>
  <c r="V61" i="1" s="1"/>
  <c r="J61" i="1"/>
  <c r="I61" i="1"/>
  <c r="H61" i="1"/>
  <c r="K61" i="1" s="1"/>
  <c r="G61" i="1"/>
  <c r="F61" i="1"/>
  <c r="A61" i="1"/>
  <c r="T60" i="1"/>
  <c r="O60" i="1"/>
  <c r="Q60" i="1" s="1"/>
  <c r="R60" i="1" s="1"/>
  <c r="H60" i="1"/>
  <c r="K60" i="1" s="1"/>
  <c r="G60" i="1"/>
  <c r="J60" i="1" s="1"/>
  <c r="F60" i="1"/>
  <c r="I60" i="1" s="1"/>
  <c r="A60" i="1"/>
  <c r="T59" i="1"/>
  <c r="O59" i="1"/>
  <c r="V59" i="1" s="1"/>
  <c r="J59" i="1"/>
  <c r="I59" i="1"/>
  <c r="H59" i="1"/>
  <c r="K59" i="1" s="1"/>
  <c r="G59" i="1"/>
  <c r="F59" i="1"/>
  <c r="A59" i="1"/>
  <c r="T58" i="1"/>
  <c r="O58" i="1"/>
  <c r="Q58" i="1" s="1"/>
  <c r="R58" i="1" s="1"/>
  <c r="H58" i="1"/>
  <c r="K58" i="1" s="1"/>
  <c r="G58" i="1"/>
  <c r="J58" i="1" s="1"/>
  <c r="F58" i="1"/>
  <c r="I58" i="1" s="1"/>
  <c r="A58" i="1"/>
  <c r="T57" i="1"/>
  <c r="O57" i="1"/>
  <c r="V57" i="1" s="1"/>
  <c r="J57" i="1"/>
  <c r="I57" i="1"/>
  <c r="H57" i="1"/>
  <c r="K57" i="1" s="1"/>
  <c r="G57" i="1"/>
  <c r="F57" i="1"/>
  <c r="A57" i="1"/>
  <c r="T56" i="1"/>
  <c r="O56" i="1"/>
  <c r="Q56" i="1" s="1"/>
  <c r="R56" i="1" s="1"/>
  <c r="H56" i="1"/>
  <c r="K56" i="1" s="1"/>
  <c r="G56" i="1"/>
  <c r="J56" i="1" s="1"/>
  <c r="F56" i="1"/>
  <c r="I56" i="1" s="1"/>
  <c r="A56" i="1"/>
  <c r="T55" i="1"/>
  <c r="O55" i="1"/>
  <c r="V55" i="1" s="1"/>
  <c r="I55" i="1"/>
  <c r="H55" i="1"/>
  <c r="K55" i="1" s="1"/>
  <c r="G55" i="1"/>
  <c r="J55" i="1" s="1"/>
  <c r="F55" i="1"/>
  <c r="A55" i="1"/>
  <c r="T54" i="1"/>
  <c r="O54" i="1"/>
  <c r="V54" i="1" s="1"/>
  <c r="H54" i="1"/>
  <c r="K54" i="1" s="1"/>
  <c r="G54" i="1"/>
  <c r="J54" i="1" s="1"/>
  <c r="F54" i="1"/>
  <c r="I54" i="1" s="1"/>
  <c r="A54" i="1"/>
  <c r="T53" i="1"/>
  <c r="U53" i="1" s="1"/>
  <c r="O53" i="1"/>
  <c r="V53" i="1" s="1"/>
  <c r="H53" i="1"/>
  <c r="K53" i="1" s="1"/>
  <c r="G53" i="1"/>
  <c r="J53" i="1" s="1"/>
  <c r="F53" i="1"/>
  <c r="I53" i="1" s="1"/>
  <c r="A53" i="1"/>
  <c r="T52" i="1"/>
  <c r="O52" i="1"/>
  <c r="V52" i="1" s="1"/>
  <c r="H52" i="1"/>
  <c r="K52" i="1" s="1"/>
  <c r="G52" i="1"/>
  <c r="J52" i="1" s="1"/>
  <c r="F52" i="1"/>
  <c r="I52" i="1" s="1"/>
  <c r="A52" i="1"/>
  <c r="T51" i="1"/>
  <c r="U51" i="1" s="1"/>
  <c r="O51" i="1"/>
  <c r="V51" i="1" s="1"/>
  <c r="H51" i="1"/>
  <c r="K51" i="1" s="1"/>
  <c r="G51" i="1"/>
  <c r="J51" i="1" s="1"/>
  <c r="F51" i="1"/>
  <c r="I51" i="1" s="1"/>
  <c r="A51" i="1"/>
  <c r="V50" i="1"/>
  <c r="W50" i="1" s="1"/>
  <c r="T50" i="1"/>
  <c r="U50" i="1" s="1"/>
  <c r="Q50" i="1"/>
  <c r="R50" i="1" s="1"/>
  <c r="O50" i="1"/>
  <c r="H50" i="1"/>
  <c r="K50" i="1" s="1"/>
  <c r="G50" i="1"/>
  <c r="J50" i="1" s="1"/>
  <c r="F50" i="1"/>
  <c r="I50" i="1" s="1"/>
  <c r="A50" i="1"/>
  <c r="T49" i="1"/>
  <c r="O49" i="1"/>
  <c r="V49" i="1" s="1"/>
  <c r="K49" i="1"/>
  <c r="H49" i="1"/>
  <c r="G49" i="1"/>
  <c r="J49" i="1" s="1"/>
  <c r="F49" i="1"/>
  <c r="I49" i="1" s="1"/>
  <c r="A49" i="1"/>
  <c r="V48" i="1"/>
  <c r="W48" i="1" s="1"/>
  <c r="T48" i="1"/>
  <c r="U48" i="1" s="1"/>
  <c r="R48" i="1"/>
  <c r="Q48" i="1"/>
  <c r="O48" i="1"/>
  <c r="H48" i="1"/>
  <c r="K48" i="1" s="1"/>
  <c r="G48" i="1"/>
  <c r="J48" i="1" s="1"/>
  <c r="F48" i="1"/>
  <c r="I48" i="1" s="1"/>
  <c r="A48" i="1"/>
  <c r="T47" i="1"/>
  <c r="U47" i="1" s="1"/>
  <c r="O47" i="1"/>
  <c r="V47" i="1" s="1"/>
  <c r="H47" i="1"/>
  <c r="K47" i="1" s="1"/>
  <c r="G47" i="1"/>
  <c r="J47" i="1" s="1"/>
  <c r="F47" i="1"/>
  <c r="I47" i="1" s="1"/>
  <c r="A47" i="1"/>
  <c r="W46" i="1"/>
  <c r="V46" i="1"/>
  <c r="T46" i="1"/>
  <c r="U46" i="1" s="1"/>
  <c r="Q46" i="1"/>
  <c r="R46" i="1" s="1"/>
  <c r="O46" i="1"/>
  <c r="H46" i="1"/>
  <c r="K46" i="1" s="1"/>
  <c r="G46" i="1"/>
  <c r="J46" i="1" s="1"/>
  <c r="F46" i="1"/>
  <c r="I46" i="1" s="1"/>
  <c r="A46" i="1"/>
  <c r="T45" i="1"/>
  <c r="O45" i="1"/>
  <c r="V45" i="1" s="1"/>
  <c r="J45" i="1"/>
  <c r="H45" i="1"/>
  <c r="K45" i="1" s="1"/>
  <c r="G45" i="1"/>
  <c r="F45" i="1"/>
  <c r="I45" i="1" s="1"/>
  <c r="A45" i="1"/>
  <c r="V44" i="1"/>
  <c r="T44" i="1"/>
  <c r="U44" i="1" s="1"/>
  <c r="O44" i="1"/>
  <c r="Q44" i="1" s="1"/>
  <c r="R44" i="1" s="1"/>
  <c r="H44" i="1"/>
  <c r="K44" i="1" s="1"/>
  <c r="G44" i="1"/>
  <c r="J44" i="1" s="1"/>
  <c r="F44" i="1"/>
  <c r="I44" i="1" s="1"/>
  <c r="A44" i="1"/>
  <c r="T43" i="1"/>
  <c r="O43" i="1"/>
  <c r="V43" i="1" s="1"/>
  <c r="K43" i="1"/>
  <c r="J43" i="1"/>
  <c r="I43" i="1"/>
  <c r="H43" i="1"/>
  <c r="G43" i="1"/>
  <c r="F43" i="1"/>
  <c r="A43" i="1"/>
  <c r="V42" i="1"/>
  <c r="U42" i="1"/>
  <c r="T42" i="1"/>
  <c r="O42" i="1"/>
  <c r="Q42" i="1" s="1"/>
  <c r="R42" i="1" s="1"/>
  <c r="H42" i="1"/>
  <c r="K42" i="1" s="1"/>
  <c r="G42" i="1"/>
  <c r="J42" i="1" s="1"/>
  <c r="F42" i="1"/>
  <c r="I42" i="1" s="1"/>
  <c r="A42" i="1"/>
  <c r="T41" i="1"/>
  <c r="O41" i="1"/>
  <c r="V41" i="1" s="1"/>
  <c r="J41" i="1"/>
  <c r="I41" i="1"/>
  <c r="H41" i="1"/>
  <c r="K41" i="1" s="1"/>
  <c r="G41" i="1"/>
  <c r="F41" i="1"/>
  <c r="A41" i="1"/>
  <c r="T40" i="1"/>
  <c r="Q40" i="1"/>
  <c r="R40" i="1" s="1"/>
  <c r="O40" i="1"/>
  <c r="V40" i="1" s="1"/>
  <c r="W40" i="1" s="1"/>
  <c r="H40" i="1"/>
  <c r="K40" i="1" s="1"/>
  <c r="G40" i="1"/>
  <c r="J40" i="1" s="1"/>
  <c r="F40" i="1"/>
  <c r="I40" i="1" s="1"/>
  <c r="A40" i="1"/>
  <c r="T39" i="1"/>
  <c r="O39" i="1"/>
  <c r="V39" i="1" s="1"/>
  <c r="K39" i="1"/>
  <c r="J39" i="1"/>
  <c r="I39" i="1"/>
  <c r="H39" i="1"/>
  <c r="G39" i="1"/>
  <c r="F39" i="1"/>
  <c r="A39" i="1"/>
  <c r="T38" i="1"/>
  <c r="Q38" i="1"/>
  <c r="R38" i="1" s="1"/>
  <c r="O38" i="1"/>
  <c r="V38" i="1" s="1"/>
  <c r="W38" i="1" s="1"/>
  <c r="H38" i="1"/>
  <c r="K38" i="1" s="1"/>
  <c r="G38" i="1"/>
  <c r="J38" i="1" s="1"/>
  <c r="F38" i="1"/>
  <c r="I38" i="1" s="1"/>
  <c r="A38" i="1"/>
  <c r="T37" i="1"/>
  <c r="O37" i="1"/>
  <c r="V37" i="1" s="1"/>
  <c r="J37" i="1"/>
  <c r="I37" i="1"/>
  <c r="H37" i="1"/>
  <c r="K37" i="1" s="1"/>
  <c r="G37" i="1"/>
  <c r="F37" i="1"/>
  <c r="A37" i="1"/>
  <c r="T36" i="1"/>
  <c r="Q36" i="1"/>
  <c r="R36" i="1" s="1"/>
  <c r="O36" i="1"/>
  <c r="V36" i="1" s="1"/>
  <c r="W36" i="1" s="1"/>
  <c r="H36" i="1"/>
  <c r="K36" i="1" s="1"/>
  <c r="G36" i="1"/>
  <c r="J36" i="1" s="1"/>
  <c r="F36" i="1"/>
  <c r="I36" i="1" s="1"/>
  <c r="A36" i="1"/>
  <c r="T35" i="1"/>
  <c r="O35" i="1"/>
  <c r="V35" i="1" s="1"/>
  <c r="J35" i="1"/>
  <c r="I35" i="1"/>
  <c r="H35" i="1"/>
  <c r="K35" i="1" s="1"/>
  <c r="G35" i="1"/>
  <c r="F35" i="1"/>
  <c r="A35" i="1"/>
  <c r="T34" i="1"/>
  <c r="O34" i="1"/>
  <c r="Q34" i="1" s="1"/>
  <c r="R34" i="1" s="1"/>
  <c r="H34" i="1"/>
  <c r="K34" i="1" s="1"/>
  <c r="G34" i="1"/>
  <c r="J34" i="1" s="1"/>
  <c r="F34" i="1"/>
  <c r="I34" i="1" s="1"/>
  <c r="A34" i="1"/>
  <c r="T33" i="1"/>
  <c r="U33" i="1" s="1"/>
  <c r="O33" i="1"/>
  <c r="V33" i="1" s="1"/>
  <c r="I33" i="1"/>
  <c r="H33" i="1"/>
  <c r="K33" i="1" s="1"/>
  <c r="G33" i="1"/>
  <c r="J33" i="1" s="1"/>
  <c r="F33" i="1"/>
  <c r="A33" i="1"/>
  <c r="T32" i="1"/>
  <c r="U32" i="1" s="1"/>
  <c r="O32" i="1"/>
  <c r="V32" i="1" s="1"/>
  <c r="H32" i="1"/>
  <c r="K32" i="1" s="1"/>
  <c r="G32" i="1"/>
  <c r="J32" i="1" s="1"/>
  <c r="F32" i="1"/>
  <c r="I32" i="1" s="1"/>
  <c r="A32" i="1"/>
  <c r="T31" i="1"/>
  <c r="U31" i="1" s="1"/>
  <c r="O31" i="1"/>
  <c r="V31" i="1" s="1"/>
  <c r="H31" i="1"/>
  <c r="K31" i="1" s="1"/>
  <c r="G31" i="1"/>
  <c r="J31" i="1" s="1"/>
  <c r="F31" i="1"/>
  <c r="I31" i="1" s="1"/>
  <c r="A31" i="1"/>
  <c r="T30" i="1"/>
  <c r="O30" i="1"/>
  <c r="V30" i="1" s="1"/>
  <c r="H30" i="1"/>
  <c r="K30" i="1" s="1"/>
  <c r="G30" i="1"/>
  <c r="J30" i="1" s="1"/>
  <c r="F30" i="1"/>
  <c r="I30" i="1" s="1"/>
  <c r="A30" i="1"/>
  <c r="T29" i="1"/>
  <c r="O29" i="1"/>
  <c r="V29" i="1" s="1"/>
  <c r="H29" i="1"/>
  <c r="K29" i="1" s="1"/>
  <c r="G29" i="1"/>
  <c r="J29" i="1" s="1"/>
  <c r="F29" i="1"/>
  <c r="I29" i="1" s="1"/>
  <c r="A29" i="1"/>
  <c r="T28" i="1"/>
  <c r="O28" i="1"/>
  <c r="V28" i="1" s="1"/>
  <c r="H28" i="1"/>
  <c r="K28" i="1" s="1"/>
  <c r="G28" i="1"/>
  <c r="J28" i="1" s="1"/>
  <c r="F28" i="1"/>
  <c r="I28" i="1" s="1"/>
  <c r="A28" i="1"/>
  <c r="T27" i="1"/>
  <c r="U27" i="1" s="1"/>
  <c r="Q27" i="1"/>
  <c r="R27" i="1" s="1"/>
  <c r="O27" i="1"/>
  <c r="V27" i="1" s="1"/>
  <c r="H27" i="1"/>
  <c r="K27" i="1" s="1"/>
  <c r="G27" i="1"/>
  <c r="J27" i="1" s="1"/>
  <c r="F27" i="1"/>
  <c r="I27" i="1" s="1"/>
  <c r="A27" i="1"/>
  <c r="T26" i="1"/>
  <c r="O26" i="1"/>
  <c r="V26" i="1" s="1"/>
  <c r="H26" i="1"/>
  <c r="K26" i="1" s="1"/>
  <c r="G26" i="1"/>
  <c r="J26" i="1" s="1"/>
  <c r="F26" i="1"/>
  <c r="I26" i="1" s="1"/>
  <c r="A26" i="1"/>
  <c r="T25" i="1"/>
  <c r="O25" i="1"/>
  <c r="V25" i="1" s="1"/>
  <c r="H25" i="1"/>
  <c r="K25" i="1" s="1"/>
  <c r="G25" i="1"/>
  <c r="J25" i="1" s="1"/>
  <c r="F25" i="1"/>
  <c r="I25" i="1" s="1"/>
  <c r="A25" i="1"/>
  <c r="V24" i="1"/>
  <c r="W24" i="1" s="1"/>
  <c r="T24" i="1"/>
  <c r="U24" i="1" s="1"/>
  <c r="Q24" i="1"/>
  <c r="R24" i="1" s="1"/>
  <c r="O24" i="1"/>
  <c r="H24" i="1"/>
  <c r="K24" i="1" s="1"/>
  <c r="G24" i="1"/>
  <c r="J24" i="1" s="1"/>
  <c r="F24" i="1"/>
  <c r="I24" i="1" s="1"/>
  <c r="A24" i="1"/>
  <c r="T23" i="1"/>
  <c r="U23" i="1" s="1"/>
  <c r="O23" i="1"/>
  <c r="V23" i="1" s="1"/>
  <c r="K23" i="1"/>
  <c r="H23" i="1"/>
  <c r="G23" i="1"/>
  <c r="J23" i="1" s="1"/>
  <c r="F23" i="1"/>
  <c r="I23" i="1" s="1"/>
  <c r="A23" i="1"/>
  <c r="V22" i="1"/>
  <c r="W22" i="1" s="1"/>
  <c r="U22" i="1"/>
  <c r="T22" i="1"/>
  <c r="Q22" i="1"/>
  <c r="R22" i="1" s="1"/>
  <c r="O22" i="1"/>
  <c r="H22" i="1"/>
  <c r="K22" i="1" s="1"/>
  <c r="G22" i="1"/>
  <c r="J22" i="1" s="1"/>
  <c r="F22" i="1"/>
  <c r="I22" i="1" s="1"/>
  <c r="A22" i="1"/>
  <c r="T21" i="1"/>
  <c r="U21" i="1" s="1"/>
  <c r="O21" i="1"/>
  <c r="V21" i="1" s="1"/>
  <c r="J21" i="1"/>
  <c r="H21" i="1"/>
  <c r="K21" i="1" s="1"/>
  <c r="G21" i="1"/>
  <c r="F21" i="1"/>
  <c r="I21" i="1" s="1"/>
  <c r="A21" i="1"/>
  <c r="V20" i="1"/>
  <c r="W20" i="1" s="1"/>
  <c r="T20" i="1"/>
  <c r="U20" i="1" s="1"/>
  <c r="Q20" i="1"/>
  <c r="R20" i="1" s="1"/>
  <c r="O20" i="1"/>
  <c r="H20" i="1"/>
  <c r="K20" i="1" s="1"/>
  <c r="G20" i="1"/>
  <c r="J20" i="1" s="1"/>
  <c r="F20" i="1"/>
  <c r="I20" i="1" s="1"/>
  <c r="A20" i="1"/>
  <c r="T19" i="1"/>
  <c r="O19" i="1"/>
  <c r="V19" i="1" s="1"/>
  <c r="K19" i="1"/>
  <c r="J19" i="1"/>
  <c r="I19" i="1"/>
  <c r="H19" i="1"/>
  <c r="G19" i="1"/>
  <c r="F19" i="1"/>
  <c r="A19" i="1"/>
  <c r="V18" i="1"/>
  <c r="W18" i="1" s="1"/>
  <c r="T18" i="1"/>
  <c r="U18" i="1" s="1"/>
  <c r="R18" i="1"/>
  <c r="Q18" i="1"/>
  <c r="O18" i="1"/>
  <c r="H18" i="1"/>
  <c r="K18" i="1" s="1"/>
  <c r="G18" i="1"/>
  <c r="J18" i="1" s="1"/>
  <c r="F18" i="1"/>
  <c r="I18" i="1" s="1"/>
  <c r="A18" i="1"/>
  <c r="T17" i="1"/>
  <c r="Q17" i="1"/>
  <c r="R17" i="1" s="1"/>
  <c r="O17" i="1"/>
  <c r="V17" i="1" s="1"/>
  <c r="J17" i="1"/>
  <c r="I17" i="1"/>
  <c r="H17" i="1"/>
  <c r="K17" i="1" s="1"/>
  <c r="G17" i="1"/>
  <c r="F17" i="1"/>
  <c r="A17" i="1"/>
  <c r="V16" i="1"/>
  <c r="W16" i="1" s="1"/>
  <c r="T16" i="1"/>
  <c r="U16" i="1" s="1"/>
  <c r="Q16" i="1"/>
  <c r="R16" i="1" s="1"/>
  <c r="O16" i="1"/>
  <c r="H16" i="1"/>
  <c r="K16" i="1" s="1"/>
  <c r="G16" i="1"/>
  <c r="J16" i="1" s="1"/>
  <c r="F16" i="1"/>
  <c r="I16" i="1" s="1"/>
  <c r="A16" i="1"/>
  <c r="T15" i="1"/>
  <c r="O15" i="1"/>
  <c r="V15" i="1" s="1"/>
  <c r="J15" i="1"/>
  <c r="I15" i="1"/>
  <c r="H15" i="1"/>
  <c r="K15" i="1" s="1"/>
  <c r="G15" i="1"/>
  <c r="F15" i="1"/>
  <c r="A15" i="1"/>
  <c r="T14" i="1"/>
  <c r="Q14" i="1"/>
  <c r="R14" i="1" s="1"/>
  <c r="O14" i="1"/>
  <c r="V14" i="1" s="1"/>
  <c r="W14" i="1" s="1"/>
  <c r="H14" i="1"/>
  <c r="K14" i="1" s="1"/>
  <c r="G14" i="1"/>
  <c r="J14" i="1" s="1"/>
  <c r="F14" i="1"/>
  <c r="I14" i="1" s="1"/>
  <c r="A14" i="1"/>
  <c r="T13" i="1"/>
  <c r="O13" i="1"/>
  <c r="V13" i="1" s="1"/>
  <c r="K13" i="1"/>
  <c r="J13" i="1"/>
  <c r="I13" i="1"/>
  <c r="H13" i="1"/>
  <c r="G13" i="1"/>
  <c r="F13" i="1"/>
  <c r="A13" i="1"/>
  <c r="T12" i="1"/>
  <c r="U12" i="1" s="1"/>
  <c r="Q12" i="1"/>
  <c r="R12" i="1" s="1"/>
  <c r="O12" i="1"/>
  <c r="V12" i="1" s="1"/>
  <c r="W12" i="1" s="1"/>
  <c r="H12" i="1"/>
  <c r="K12" i="1" s="1"/>
  <c r="G12" i="1"/>
  <c r="J12" i="1" s="1"/>
  <c r="F12" i="1"/>
  <c r="I12" i="1" s="1"/>
  <c r="A12" i="1"/>
  <c r="T11" i="1"/>
  <c r="O11" i="1"/>
  <c r="V11" i="1" s="1"/>
  <c r="J11" i="1"/>
  <c r="I11" i="1"/>
  <c r="H11" i="1"/>
  <c r="K11" i="1" s="1"/>
  <c r="G11" i="1"/>
  <c r="F11" i="1"/>
  <c r="A11" i="1"/>
  <c r="T10" i="1"/>
  <c r="O10" i="1"/>
  <c r="Q10" i="1" s="1"/>
  <c r="R10" i="1" s="1"/>
  <c r="J10" i="1"/>
  <c r="I10" i="1"/>
  <c r="H10" i="1"/>
  <c r="K10" i="1" s="1"/>
  <c r="G10" i="1"/>
  <c r="F10" i="1"/>
  <c r="A10" i="1"/>
  <c r="T9" i="1"/>
  <c r="U9" i="1" s="1"/>
  <c r="R9" i="1"/>
  <c r="Q9" i="1"/>
  <c r="W9" i="1" s="1"/>
  <c r="O9" i="1"/>
  <c r="V9" i="1" s="1"/>
  <c r="H9" i="1"/>
  <c r="K9" i="1" s="1"/>
  <c r="G9" i="1"/>
  <c r="J9" i="1" s="1"/>
  <c r="F9" i="1"/>
  <c r="I9" i="1" s="1"/>
  <c r="A9" i="1"/>
  <c r="W8" i="1"/>
  <c r="V8" i="1"/>
  <c r="T8" i="1"/>
  <c r="U8" i="1" s="1"/>
  <c r="Q8" i="1"/>
  <c r="R8" i="1" s="1"/>
  <c r="O8" i="1"/>
  <c r="H8" i="1"/>
  <c r="K8" i="1" s="1"/>
  <c r="G8" i="1"/>
  <c r="J8" i="1" s="1"/>
  <c r="F8" i="1"/>
  <c r="I8" i="1" s="1"/>
  <c r="A8" i="1"/>
  <c r="T7" i="1"/>
  <c r="Q7" i="1"/>
  <c r="R7" i="1" s="1"/>
  <c r="O7" i="1"/>
  <c r="V7" i="1" s="1"/>
  <c r="H7" i="1"/>
  <c r="K7" i="1" s="1"/>
  <c r="G7" i="1"/>
  <c r="J7" i="1" s="1"/>
  <c r="F7" i="1"/>
  <c r="I7" i="1" s="1"/>
  <c r="A7" i="1"/>
  <c r="T6" i="1"/>
  <c r="O6" i="1"/>
  <c r="U6" i="1" s="1"/>
  <c r="H6" i="1"/>
  <c r="K6" i="1" s="1"/>
  <c r="G6" i="1"/>
  <c r="J6" i="1" s="1"/>
  <c r="F6" i="1"/>
  <c r="I6" i="1" s="1"/>
  <c r="A6" i="1"/>
  <c r="T5" i="1"/>
  <c r="O5" i="1"/>
  <c r="V5" i="1" s="1"/>
  <c r="H5" i="1"/>
  <c r="K5" i="1" s="1"/>
  <c r="G5" i="1"/>
  <c r="J5" i="1" s="1"/>
  <c r="F5" i="1"/>
  <c r="I5" i="1" s="1"/>
  <c r="A5" i="1"/>
  <c r="T4" i="1"/>
  <c r="O4" i="1"/>
  <c r="V4" i="1" s="1"/>
  <c r="H4" i="1"/>
  <c r="K4" i="1" s="1"/>
  <c r="G4" i="1"/>
  <c r="J4" i="1" s="1"/>
  <c r="F4" i="1"/>
  <c r="I4" i="1" s="1"/>
  <c r="A4" i="1"/>
  <c r="T3" i="1"/>
  <c r="O3" i="1"/>
  <c r="V3" i="1" s="1"/>
  <c r="J3" i="1"/>
  <c r="I3" i="1"/>
  <c r="H3" i="1"/>
  <c r="K3" i="1" s="1"/>
  <c r="G3" i="1"/>
  <c r="F3" i="1"/>
  <c r="A3" i="1"/>
  <c r="T2" i="1"/>
  <c r="U2" i="1" s="1"/>
  <c r="O2" i="1"/>
  <c r="Q2" i="1" s="1"/>
  <c r="R2" i="1" s="1"/>
  <c r="J2" i="1"/>
  <c r="I2" i="1"/>
  <c r="H2" i="1"/>
  <c r="K2" i="1" s="1"/>
  <c r="G2" i="1"/>
  <c r="F2" i="1"/>
  <c r="A2" i="1"/>
  <c r="U304" i="1" l="1"/>
  <c r="Q71" i="3"/>
  <c r="R71" i="3" s="1"/>
  <c r="W40" i="3"/>
  <c r="W45" i="3"/>
  <c r="W50" i="3"/>
  <c r="R6" i="3"/>
  <c r="W6" i="3"/>
  <c r="W15" i="3"/>
  <c r="W68" i="3"/>
  <c r="V3" i="3"/>
  <c r="W3" i="3" s="1"/>
  <c r="V8" i="3"/>
  <c r="W8" i="3" s="1"/>
  <c r="V13" i="3"/>
  <c r="W13" i="3" s="1"/>
  <c r="V18" i="3"/>
  <c r="W18" i="3" s="1"/>
  <c r="V23" i="3"/>
  <c r="W23" i="3" s="1"/>
  <c r="V28" i="3"/>
  <c r="W28" i="3" s="1"/>
  <c r="V33" i="3"/>
  <c r="W33" i="3" s="1"/>
  <c r="V38" i="3"/>
  <c r="W38" i="3" s="1"/>
  <c r="V43" i="3"/>
  <c r="W43" i="3" s="1"/>
  <c r="V48" i="3"/>
  <c r="W48" i="3" s="1"/>
  <c r="V53" i="3"/>
  <c r="W53" i="3" s="1"/>
  <c r="R54" i="3"/>
  <c r="R59" i="3"/>
  <c r="R64" i="3"/>
  <c r="Q5" i="3"/>
  <c r="R5" i="3" s="1"/>
  <c r="Q10" i="3"/>
  <c r="R10" i="3" s="1"/>
  <c r="Q15" i="3"/>
  <c r="R15" i="3" s="1"/>
  <c r="Q20" i="3"/>
  <c r="R20" i="3" s="1"/>
  <c r="Q25" i="3"/>
  <c r="R25" i="3" s="1"/>
  <c r="Q30" i="3"/>
  <c r="R30" i="3" s="1"/>
  <c r="Q35" i="3"/>
  <c r="R35" i="3" s="1"/>
  <c r="Q40" i="3"/>
  <c r="R40" i="3" s="1"/>
  <c r="Q45" i="3"/>
  <c r="R45" i="3" s="1"/>
  <c r="Q50" i="3"/>
  <c r="R50" i="3" s="1"/>
  <c r="Q55" i="3"/>
  <c r="R55" i="3" s="1"/>
  <c r="Q60" i="3"/>
  <c r="R60" i="3" s="1"/>
  <c r="Q65" i="3"/>
  <c r="R65" i="3" s="1"/>
  <c r="Q70" i="3"/>
  <c r="R70" i="3" s="1"/>
  <c r="Q75" i="3"/>
  <c r="R75" i="3" s="1"/>
  <c r="Q80" i="3"/>
  <c r="R80" i="3" s="1"/>
  <c r="W10" i="2"/>
  <c r="Q17" i="2"/>
  <c r="R17" i="2" s="1"/>
  <c r="W19" i="2"/>
  <c r="Q27" i="2"/>
  <c r="R27" i="2" s="1"/>
  <c r="W29" i="2"/>
  <c r="Q37" i="2"/>
  <c r="R37" i="2" s="1"/>
  <c r="W39" i="2"/>
  <c r="U20" i="2"/>
  <c r="Q20" i="2"/>
  <c r="R20" i="2" s="1"/>
  <c r="V20" i="2"/>
  <c r="W20" i="2" s="1"/>
  <c r="U30" i="2"/>
  <c r="Q30" i="2"/>
  <c r="R30" i="2" s="1"/>
  <c r="V30" i="2"/>
  <c r="W30" i="2" s="1"/>
  <c r="W32" i="2"/>
  <c r="U40" i="2"/>
  <c r="Q40" i="2"/>
  <c r="R40" i="2" s="1"/>
  <c r="V40" i="2"/>
  <c r="W42" i="2"/>
  <c r="W2" i="2"/>
  <c r="W12" i="2"/>
  <c r="Q22" i="2"/>
  <c r="R22" i="2" s="1"/>
  <c r="Q32" i="2"/>
  <c r="R32" i="2" s="1"/>
  <c r="W52" i="2"/>
  <c r="W59" i="2"/>
  <c r="U2" i="2"/>
  <c r="Q4" i="2"/>
  <c r="R4" i="2" s="1"/>
  <c r="U12" i="2"/>
  <c r="Q47" i="2"/>
  <c r="R47" i="2" s="1"/>
  <c r="V47" i="2"/>
  <c r="W47" i="2" s="1"/>
  <c r="Q49" i="2"/>
  <c r="R49" i="2" s="1"/>
  <c r="Q52" i="2"/>
  <c r="R52" i="2" s="1"/>
  <c r="Q59" i="2"/>
  <c r="R59" i="2" s="1"/>
  <c r="V77" i="2"/>
  <c r="Q77" i="2"/>
  <c r="R77" i="2" s="1"/>
  <c r="W6" i="2"/>
  <c r="W44" i="2"/>
  <c r="W45" i="2"/>
  <c r="W51" i="2"/>
  <c r="U52" i="2"/>
  <c r="V57" i="2"/>
  <c r="Q57" i="2"/>
  <c r="R57" i="2" s="1"/>
  <c r="U22" i="2"/>
  <c r="U32" i="2"/>
  <c r="W49" i="2"/>
  <c r="U4" i="2"/>
  <c r="W54" i="2"/>
  <c r="W55" i="2"/>
  <c r="W60" i="2"/>
  <c r="V71" i="2"/>
  <c r="Q71" i="2"/>
  <c r="R71" i="2" s="1"/>
  <c r="W4" i="2"/>
  <c r="W5" i="2"/>
  <c r="W8" i="2"/>
  <c r="W14" i="2"/>
  <c r="W24" i="2"/>
  <c r="W34" i="2"/>
  <c r="V50" i="2"/>
  <c r="W50" i="2" s="1"/>
  <c r="V83" i="2"/>
  <c r="Q83" i="2"/>
  <c r="R83" i="2" s="1"/>
  <c r="W95" i="2"/>
  <c r="V139" i="2"/>
  <c r="Q139" i="2"/>
  <c r="R139" i="2" s="1"/>
  <c r="V61" i="2"/>
  <c r="W61" i="2" s="1"/>
  <c r="W64" i="2"/>
  <c r="Q69" i="2"/>
  <c r="R69" i="2" s="1"/>
  <c r="W82" i="2"/>
  <c r="W88" i="2"/>
  <c r="W91" i="2"/>
  <c r="Q95" i="2"/>
  <c r="R95" i="2" s="1"/>
  <c r="R132" i="2"/>
  <c r="W113" i="2"/>
  <c r="V121" i="2"/>
  <c r="Q121" i="2"/>
  <c r="R121" i="2" s="1"/>
  <c r="V85" i="2"/>
  <c r="Q85" i="2"/>
  <c r="R85" i="2" s="1"/>
  <c r="Q113" i="2"/>
  <c r="R113" i="2" s="1"/>
  <c r="V115" i="2"/>
  <c r="Q115" i="2"/>
  <c r="R115" i="2" s="1"/>
  <c r="Q127" i="2"/>
  <c r="R127" i="2" s="1"/>
  <c r="W135" i="2"/>
  <c r="V79" i="2"/>
  <c r="Q79" i="2"/>
  <c r="R79" i="2" s="1"/>
  <c r="V97" i="2"/>
  <c r="Q97" i="2"/>
  <c r="R97" i="2" s="1"/>
  <c r="W109" i="2"/>
  <c r="W114" i="2"/>
  <c r="W123" i="2"/>
  <c r="U127" i="2"/>
  <c r="U17" i="2"/>
  <c r="U27" i="2"/>
  <c r="U37" i="2"/>
  <c r="U47" i="2"/>
  <c r="U57" i="2"/>
  <c r="U73" i="2"/>
  <c r="U79" i="2"/>
  <c r="Q87" i="2"/>
  <c r="R87" i="2" s="1"/>
  <c r="U97" i="2"/>
  <c r="W117" i="2"/>
  <c r="W87" i="2"/>
  <c r="V72" i="2"/>
  <c r="V73" i="2"/>
  <c r="W73" i="2" s="1"/>
  <c r="Q74" i="2"/>
  <c r="R74" i="2" s="1"/>
  <c r="V99" i="2"/>
  <c r="W99" i="2" s="1"/>
  <c r="Q99" i="2"/>
  <c r="R99" i="2" s="1"/>
  <c r="W105" i="2"/>
  <c r="Q117" i="2"/>
  <c r="R117" i="2" s="1"/>
  <c r="U123" i="2"/>
  <c r="U49" i="2"/>
  <c r="U71" i="2"/>
  <c r="Q72" i="2"/>
  <c r="R72" i="2" s="1"/>
  <c r="W78" i="2"/>
  <c r="U115" i="2"/>
  <c r="U15" i="2"/>
  <c r="U25" i="2"/>
  <c r="U35" i="2"/>
  <c r="U45" i="2"/>
  <c r="U55" i="2"/>
  <c r="W66" i="2"/>
  <c r="Q81" i="2"/>
  <c r="R81" i="2" s="1"/>
  <c r="U87" i="2"/>
  <c r="V119" i="2"/>
  <c r="Q119" i="2"/>
  <c r="R119" i="2" s="1"/>
  <c r="W131" i="2"/>
  <c r="W101" i="2"/>
  <c r="W141" i="2"/>
  <c r="W143" i="2"/>
  <c r="U59" i="2"/>
  <c r="U69" i="2"/>
  <c r="W89" i="2"/>
  <c r="U95" i="2"/>
  <c r="U109" i="2"/>
  <c r="U131" i="2"/>
  <c r="U135" i="2"/>
  <c r="Q143" i="2"/>
  <c r="R143" i="2" s="1"/>
  <c r="U77" i="2"/>
  <c r="U81" i="2"/>
  <c r="Q89" i="2"/>
  <c r="R89" i="2" s="1"/>
  <c r="W93" i="2"/>
  <c r="Q103" i="2"/>
  <c r="R103" i="2" s="1"/>
  <c r="W107" i="2"/>
  <c r="U113" i="2"/>
  <c r="U117" i="2"/>
  <c r="W125" i="2"/>
  <c r="U139" i="2"/>
  <c r="U67" i="2"/>
  <c r="U85" i="2"/>
  <c r="U99" i="2"/>
  <c r="W111" i="2"/>
  <c r="U121" i="2"/>
  <c r="W129" i="2"/>
  <c r="W133" i="2"/>
  <c r="W137" i="2"/>
  <c r="U143" i="2"/>
  <c r="W52" i="1"/>
  <c r="W82" i="1"/>
  <c r="W116" i="1"/>
  <c r="W66" i="1"/>
  <c r="W103" i="1"/>
  <c r="W70" i="1"/>
  <c r="Q318" i="1"/>
  <c r="R318" i="1" s="1"/>
  <c r="V318" i="1"/>
  <c r="W318" i="1" s="1"/>
  <c r="V459" i="1"/>
  <c r="Q459" i="1"/>
  <c r="R459" i="1" s="1"/>
  <c r="U14" i="1"/>
  <c r="U17" i="1"/>
  <c r="W68" i="1"/>
  <c r="Q174" i="1"/>
  <c r="R174" i="1" s="1"/>
  <c r="V174" i="1"/>
  <c r="W174" i="1" s="1"/>
  <c r="U174" i="1"/>
  <c r="Q6" i="1"/>
  <c r="R6" i="1" s="1"/>
  <c r="Q32" i="1"/>
  <c r="R32" i="1" s="1"/>
  <c r="Q37" i="1"/>
  <c r="R37" i="1" s="1"/>
  <c r="V160" i="1"/>
  <c r="U160" i="1"/>
  <c r="V208" i="1"/>
  <c r="U208" i="1"/>
  <c r="W407" i="1"/>
  <c r="Q3" i="1"/>
  <c r="R3" i="1" s="1"/>
  <c r="Q93" i="1"/>
  <c r="R93" i="1" s="1"/>
  <c r="Q208" i="1"/>
  <c r="R208" i="1" s="1"/>
  <c r="W210" i="1"/>
  <c r="Q310" i="1"/>
  <c r="R310" i="1" s="1"/>
  <c r="V310" i="1"/>
  <c r="W310" i="1" s="1"/>
  <c r="V2" i="1"/>
  <c r="Q4" i="1"/>
  <c r="R4" i="1" s="1"/>
  <c r="V10" i="1"/>
  <c r="W10" i="1" s="1"/>
  <c r="Q26" i="1"/>
  <c r="R26" i="1" s="1"/>
  <c r="Q28" i="1"/>
  <c r="R28" i="1" s="1"/>
  <c r="Q30" i="1"/>
  <c r="R30" i="1" s="1"/>
  <c r="V34" i="1"/>
  <c r="W34" i="1" s="1"/>
  <c r="Q52" i="1"/>
  <c r="R52" i="1" s="1"/>
  <c r="Q54" i="1"/>
  <c r="R54" i="1" s="1"/>
  <c r="V56" i="1"/>
  <c r="W56" i="1" s="1"/>
  <c r="Q57" i="1"/>
  <c r="R57" i="1" s="1"/>
  <c r="U58" i="1"/>
  <c r="V60" i="1"/>
  <c r="W60" i="1" s="1"/>
  <c r="Q76" i="1"/>
  <c r="R76" i="1" s="1"/>
  <c r="Q78" i="1"/>
  <c r="R78" i="1" s="1"/>
  <c r="Q80" i="1"/>
  <c r="R80" i="1" s="1"/>
  <c r="V84" i="1"/>
  <c r="W84" i="1" s="1"/>
  <c r="Q87" i="1"/>
  <c r="R87" i="1" s="1"/>
  <c r="U94" i="1"/>
  <c r="Q103" i="1"/>
  <c r="R103" i="1" s="1"/>
  <c r="Q106" i="1"/>
  <c r="R106" i="1" s="1"/>
  <c r="V108" i="1"/>
  <c r="W108" i="1" s="1"/>
  <c r="Q156" i="1"/>
  <c r="W156" i="1" s="1"/>
  <c r="V164" i="1"/>
  <c r="Q164" i="1"/>
  <c r="R164" i="1" s="1"/>
  <c r="V172" i="1"/>
  <c r="W172" i="1" s="1"/>
  <c r="Q186" i="1"/>
  <c r="R186" i="1" s="1"/>
  <c r="V186" i="1"/>
  <c r="U217" i="1"/>
  <c r="W232" i="1"/>
  <c r="W234" i="1"/>
  <c r="W260" i="1"/>
  <c r="W264" i="1"/>
  <c r="U310" i="1"/>
  <c r="U362" i="1"/>
  <c r="W533" i="1"/>
  <c r="V541" i="1"/>
  <c r="W541" i="1" s="1"/>
  <c r="Q541" i="1"/>
  <c r="R541" i="1" s="1"/>
  <c r="W42" i="1"/>
  <c r="V218" i="1"/>
  <c r="U218" i="1"/>
  <c r="U228" i="1"/>
  <c r="Q82" i="1"/>
  <c r="R82" i="1" s="1"/>
  <c r="U91" i="1"/>
  <c r="V91" i="1"/>
  <c r="W91" i="1" s="1"/>
  <c r="U108" i="1"/>
  <c r="Q160" i="1"/>
  <c r="R160" i="1" s="1"/>
  <c r="V173" i="1"/>
  <c r="Q173" i="1"/>
  <c r="R173" i="1" s="1"/>
  <c r="Q226" i="1"/>
  <c r="R226" i="1" s="1"/>
  <c r="U26" i="1"/>
  <c r="U30" i="1"/>
  <c r="U54" i="1"/>
  <c r="U57" i="1"/>
  <c r="V58" i="1"/>
  <c r="W58" i="1" s="1"/>
  <c r="U76" i="1"/>
  <c r="U80" i="1"/>
  <c r="V88" i="1"/>
  <c r="W88" i="1" s="1"/>
  <c r="U92" i="1"/>
  <c r="U93" i="1"/>
  <c r="U98" i="1"/>
  <c r="W144" i="1"/>
  <c r="U156" i="1"/>
  <c r="U170" i="1"/>
  <c r="U171" i="1"/>
  <c r="U194" i="1"/>
  <c r="W216" i="1"/>
  <c r="W222" i="1"/>
  <c r="Q308" i="1"/>
  <c r="R308" i="1" s="1"/>
  <c r="V308" i="1"/>
  <c r="W308" i="1" s="1"/>
  <c r="V362" i="1"/>
  <c r="W362" i="1" s="1"/>
  <c r="V538" i="1"/>
  <c r="Q538" i="1"/>
  <c r="R538" i="1" s="1"/>
  <c r="Q328" i="1"/>
  <c r="R328" i="1" s="1"/>
  <c r="V328" i="1"/>
  <c r="W328" i="1" s="1"/>
  <c r="U36" i="1"/>
  <c r="U41" i="1"/>
  <c r="Q111" i="1"/>
  <c r="R111" i="1" s="1"/>
  <c r="U38" i="1"/>
  <c r="Q218" i="1"/>
  <c r="R218" i="1" s="1"/>
  <c r="W226" i="1"/>
  <c r="U318" i="1"/>
  <c r="Q371" i="1"/>
  <c r="R371" i="1" s="1"/>
  <c r="V371" i="1"/>
  <c r="W371" i="1" s="1"/>
  <c r="U34" i="1"/>
  <c r="U37" i="1"/>
  <c r="U56" i="1"/>
  <c r="U60" i="1"/>
  <c r="U61" i="1"/>
  <c r="W62" i="1"/>
  <c r="Q92" i="1"/>
  <c r="R92" i="1" s="1"/>
  <c r="Q194" i="1"/>
  <c r="R194" i="1" s="1"/>
  <c r="U211" i="1"/>
  <c r="U4" i="1"/>
  <c r="V6" i="1"/>
  <c r="W6" i="1" s="1"/>
  <c r="W7" i="1"/>
  <c r="U28" i="1"/>
  <c r="U52" i="1"/>
  <c r="U78" i="1"/>
  <c r="V98" i="1"/>
  <c r="W98" i="1" s="1"/>
  <c r="W99" i="1"/>
  <c r="U102" i="1"/>
  <c r="U103" i="1"/>
  <c r="Q104" i="1"/>
  <c r="R104" i="1" s="1"/>
  <c r="U106" i="1"/>
  <c r="V170" i="1"/>
  <c r="W170" i="1" s="1"/>
  <c r="U264" i="1"/>
  <c r="V298" i="1"/>
  <c r="U298" i="1"/>
  <c r="Q298" i="1"/>
  <c r="R298" i="1" s="1"/>
  <c r="V301" i="1"/>
  <c r="U301" i="1"/>
  <c r="V309" i="1"/>
  <c r="W309" i="1" s="1"/>
  <c r="Q309" i="1"/>
  <c r="R309" i="1" s="1"/>
  <c r="W343" i="1"/>
  <c r="V415" i="1"/>
  <c r="W415" i="1" s="1"/>
  <c r="W44" i="1"/>
  <c r="V228" i="1"/>
  <c r="Q228" i="1"/>
  <c r="R228" i="1" s="1"/>
  <c r="U40" i="1"/>
  <c r="W64" i="1"/>
  <c r="U111" i="1"/>
  <c r="Q207" i="1"/>
  <c r="R207" i="1" s="1"/>
  <c r="V211" i="1"/>
  <c r="W211" i="1" s="1"/>
  <c r="Q211" i="1"/>
  <c r="R211" i="1" s="1"/>
  <c r="U84" i="1"/>
  <c r="Q272" i="1"/>
  <c r="R272" i="1" s="1"/>
  <c r="U3" i="1"/>
  <c r="U104" i="1"/>
  <c r="V185" i="1"/>
  <c r="U185" i="1"/>
  <c r="U260" i="1"/>
  <c r="U308" i="1"/>
  <c r="Q338" i="1"/>
  <c r="R338" i="1" s="1"/>
  <c r="V338" i="1"/>
  <c r="W338" i="1" s="1"/>
  <c r="V469" i="1"/>
  <c r="W469" i="1" s="1"/>
  <c r="U469" i="1"/>
  <c r="Q469" i="1"/>
  <c r="R469" i="1" s="1"/>
  <c r="W111" i="1"/>
  <c r="U43" i="1"/>
  <c r="Q112" i="1"/>
  <c r="R112" i="1" s="1"/>
  <c r="W543" i="1"/>
  <c r="W194" i="1"/>
  <c r="U10" i="1"/>
  <c r="U11" i="1"/>
  <c r="U13" i="1"/>
  <c r="U172" i="1"/>
  <c r="Q217" i="1"/>
  <c r="R217" i="1" s="1"/>
  <c r="U371" i="1"/>
  <c r="Q47" i="1"/>
  <c r="R47" i="1" s="1"/>
  <c r="Q117" i="1"/>
  <c r="R117" i="1" s="1"/>
  <c r="W124" i="1"/>
  <c r="W132" i="1"/>
  <c r="V162" i="1"/>
  <c r="W162" i="1" s="1"/>
  <c r="U162" i="1"/>
  <c r="Q162" i="1"/>
  <c r="R162" i="1" s="1"/>
  <c r="Q184" i="1"/>
  <c r="R184" i="1" s="1"/>
  <c r="V184" i="1"/>
  <c r="V202" i="1"/>
  <c r="Q202" i="1"/>
  <c r="R202" i="1" s="1"/>
  <c r="Q241" i="1"/>
  <c r="R241" i="1" s="1"/>
  <c r="W242" i="1"/>
  <c r="W256" i="1"/>
  <c r="W258" i="1"/>
  <c r="Q300" i="1"/>
  <c r="R300" i="1" s="1"/>
  <c r="Q467" i="1"/>
  <c r="W113" i="1"/>
  <c r="W121" i="1"/>
  <c r="U300" i="1"/>
  <c r="V305" i="1"/>
  <c r="Q305" i="1"/>
  <c r="R305" i="1" s="1"/>
  <c r="Q320" i="1"/>
  <c r="R320" i="1" s="1"/>
  <c r="V320" i="1"/>
  <c r="W320" i="1" s="1"/>
  <c r="U320" i="1"/>
  <c r="Q456" i="1"/>
  <c r="R456" i="1" s="1"/>
  <c r="V456" i="1"/>
  <c r="W456" i="1" s="1"/>
  <c r="Q468" i="1"/>
  <c r="R468" i="1" s="1"/>
  <c r="U232" i="1"/>
  <c r="U241" i="1"/>
  <c r="U242" i="1"/>
  <c r="W282" i="1"/>
  <c r="U306" i="1"/>
  <c r="W333" i="1"/>
  <c r="V433" i="1"/>
  <c r="W433" i="1" s="1"/>
  <c r="U433" i="1"/>
  <c r="Q433" i="1"/>
  <c r="R433" i="1" s="1"/>
  <c r="V455" i="1"/>
  <c r="Q455" i="1"/>
  <c r="R455" i="1" s="1"/>
  <c r="U459" i="1"/>
  <c r="Q463" i="1"/>
  <c r="R463" i="1" s="1"/>
  <c r="V463" i="1"/>
  <c r="W463" i="1" s="1"/>
  <c r="W515" i="1"/>
  <c r="W176" i="1"/>
  <c r="U201" i="1"/>
  <c r="U226" i="1"/>
  <c r="U234" i="1"/>
  <c r="Q282" i="1"/>
  <c r="R282" i="1" s="1"/>
  <c r="V443" i="1"/>
  <c r="U443" i="1"/>
  <c r="Q443" i="1"/>
  <c r="R443" i="1" s="1"/>
  <c r="W453" i="1"/>
  <c r="U164" i="1"/>
  <c r="U173" i="1"/>
  <c r="U202" i="1"/>
  <c r="U305" i="1"/>
  <c r="Q315" i="1"/>
  <c r="R315" i="1" s="1"/>
  <c r="V315" i="1"/>
  <c r="W315" i="1" s="1"/>
  <c r="U315" i="1"/>
  <c r="V323" i="1"/>
  <c r="U323" i="1"/>
  <c r="Q323" i="1"/>
  <c r="R323" i="1" s="1"/>
  <c r="Q426" i="1"/>
  <c r="R426" i="1" s="1"/>
  <c r="V426" i="1"/>
  <c r="W426" i="1" s="1"/>
  <c r="Q428" i="1"/>
  <c r="R428" i="1" s="1"/>
  <c r="V428" i="1"/>
  <c r="W428" i="1" s="1"/>
  <c r="Q146" i="1"/>
  <c r="W146" i="1" s="1"/>
  <c r="Q209" i="1"/>
  <c r="R209" i="1" s="1"/>
  <c r="U236" i="1"/>
  <c r="W238" i="1"/>
  <c r="W250" i="1"/>
  <c r="Q313" i="1"/>
  <c r="R313" i="1" s="1"/>
  <c r="U352" i="1"/>
  <c r="Q375" i="1"/>
  <c r="R375" i="1" s="1"/>
  <c r="V375" i="1"/>
  <c r="Q407" i="1"/>
  <c r="R407" i="1" s="1"/>
  <c r="W503" i="1"/>
  <c r="Q523" i="1"/>
  <c r="R523" i="1" s="1"/>
  <c r="U112" i="1"/>
  <c r="U113" i="1"/>
  <c r="U131" i="1"/>
  <c r="U140" i="1"/>
  <c r="U146" i="1"/>
  <c r="U167" i="1"/>
  <c r="V168" i="1"/>
  <c r="W168" i="1" s="1"/>
  <c r="Q169" i="1"/>
  <c r="R169" i="1" s="1"/>
  <c r="U177" i="1"/>
  <c r="V178" i="1"/>
  <c r="W178" i="1" s="1"/>
  <c r="U190" i="1"/>
  <c r="U212" i="1"/>
  <c r="U214" i="1"/>
  <c r="U229" i="1"/>
  <c r="Q238" i="1"/>
  <c r="R238" i="1" s="1"/>
  <c r="V239" i="1"/>
  <c r="Q239" i="1"/>
  <c r="R239" i="1" s="1"/>
  <c r="W246" i="1"/>
  <c r="W248" i="1"/>
  <c r="Q250" i="1"/>
  <c r="R250" i="1" s="1"/>
  <c r="Q279" i="1"/>
  <c r="R279" i="1" s="1"/>
  <c r="W280" i="1"/>
  <c r="W288" i="1"/>
  <c r="W294" i="1"/>
  <c r="U375" i="1"/>
  <c r="V405" i="1"/>
  <c r="U405" i="1"/>
  <c r="U407" i="1"/>
  <c r="Q421" i="1"/>
  <c r="R421" i="1" s="1"/>
  <c r="Q422" i="1"/>
  <c r="R422" i="1" s="1"/>
  <c r="U426" i="1"/>
  <c r="Q489" i="1"/>
  <c r="R489" i="1" s="1"/>
  <c r="Q492" i="1"/>
  <c r="R492" i="1" s="1"/>
  <c r="Q503" i="1"/>
  <c r="R503" i="1" s="1"/>
  <c r="W509" i="1"/>
  <c r="Q522" i="1"/>
  <c r="R522" i="1" s="1"/>
  <c r="U116" i="1"/>
  <c r="U129" i="1"/>
  <c r="V131" i="1"/>
  <c r="W131" i="1" s="1"/>
  <c r="V140" i="1"/>
  <c r="W140" i="1" s="1"/>
  <c r="U144" i="1"/>
  <c r="U180" i="1"/>
  <c r="U206" i="1"/>
  <c r="U213" i="1"/>
  <c r="U216" i="1"/>
  <c r="V244" i="1"/>
  <c r="Q244" i="1"/>
  <c r="R244" i="1" s="1"/>
  <c r="U250" i="1"/>
  <c r="W262" i="1"/>
  <c r="W276" i="1"/>
  <c r="W290" i="1"/>
  <c r="U313" i="1"/>
  <c r="Q372" i="1"/>
  <c r="R372" i="1" s="1"/>
  <c r="V372" i="1"/>
  <c r="W372" i="1" s="1"/>
  <c r="Q405" i="1"/>
  <c r="R405" i="1" s="1"/>
  <c r="U492" i="1"/>
  <c r="Q497" i="1"/>
  <c r="R497" i="1" s="1"/>
  <c r="U272" i="1"/>
  <c r="U279" i="1"/>
  <c r="U297" i="1"/>
  <c r="U328" i="1"/>
  <c r="U372" i="1"/>
  <c r="U376" i="1"/>
  <c r="U421" i="1"/>
  <c r="U422" i="1"/>
  <c r="Q454" i="1"/>
  <c r="R454" i="1" s="1"/>
  <c r="V454" i="1"/>
  <c r="W454" i="1" s="1"/>
  <c r="W529" i="1"/>
  <c r="U538" i="1"/>
  <c r="W539" i="1"/>
  <c r="U282" i="1"/>
  <c r="W302" i="1"/>
  <c r="U338" i="1"/>
  <c r="W417" i="1"/>
  <c r="W437" i="1"/>
  <c r="Q452" i="1"/>
  <c r="R452" i="1" s="1"/>
  <c r="V452" i="1"/>
  <c r="W452" i="1" s="1"/>
  <c r="U453" i="1"/>
  <c r="W517" i="1"/>
  <c r="W545" i="1"/>
  <c r="Q265" i="1"/>
  <c r="R265" i="1" s="1"/>
  <c r="Q283" i="1"/>
  <c r="R283" i="1" s="1"/>
  <c r="R302" i="1"/>
  <c r="U309" i="1"/>
  <c r="U321" i="1"/>
  <c r="Q329" i="1"/>
  <c r="R329" i="1" s="1"/>
  <c r="Q343" i="1"/>
  <c r="R343" i="1" s="1"/>
  <c r="U348" i="1"/>
  <c r="V401" i="1"/>
  <c r="W401" i="1" s="1"/>
  <c r="U452" i="1"/>
  <c r="Q462" i="1"/>
  <c r="R462" i="1" s="1"/>
  <c r="V462" i="1"/>
  <c r="W462" i="1" s="1"/>
  <c r="V511" i="1"/>
  <c r="U511" i="1"/>
  <c r="Q511" i="1"/>
  <c r="R511" i="1" s="1"/>
  <c r="Q516" i="1"/>
  <c r="R516" i="1" s="1"/>
  <c r="Q517" i="1"/>
  <c r="R517" i="1" s="1"/>
  <c r="Q251" i="1"/>
  <c r="R251" i="1" s="1"/>
  <c r="U319" i="1"/>
  <c r="U325" i="1"/>
  <c r="V330" i="1"/>
  <c r="W330" i="1" s="1"/>
  <c r="Q339" i="1"/>
  <c r="R339" i="1" s="1"/>
  <c r="Q341" i="1"/>
  <c r="R341" i="1" s="1"/>
  <c r="V348" i="1"/>
  <c r="W348" i="1" s="1"/>
  <c r="U360" i="1"/>
  <c r="U367" i="1"/>
  <c r="U369" i="1"/>
  <c r="U383" i="1"/>
  <c r="V411" i="1"/>
  <c r="W411" i="1" s="1"/>
  <c r="Q411" i="1"/>
  <c r="R411" i="1" s="1"/>
  <c r="U412" i="1"/>
  <c r="U462" i="1"/>
  <c r="W475" i="1"/>
  <c r="V479" i="1"/>
  <c r="W479" i="1" s="1"/>
  <c r="U479" i="1"/>
  <c r="Q510" i="1"/>
  <c r="R510" i="1" s="1"/>
  <c r="W527" i="1"/>
  <c r="W535" i="1"/>
  <c r="U265" i="1"/>
  <c r="U274" i="1"/>
  <c r="U283" i="1"/>
  <c r="V325" i="1"/>
  <c r="U329" i="1"/>
  <c r="V335" i="1"/>
  <c r="W335" i="1" s="1"/>
  <c r="V340" i="1"/>
  <c r="W340" i="1" s="1"/>
  <c r="V360" i="1"/>
  <c r="W360" i="1" s="1"/>
  <c r="V367" i="1"/>
  <c r="V383" i="1"/>
  <c r="V412" i="1"/>
  <c r="W412" i="1" s="1"/>
  <c r="W429" i="1"/>
  <c r="V457" i="1"/>
  <c r="W457" i="1" s="1"/>
  <c r="U457" i="1"/>
  <c r="Q457" i="1"/>
  <c r="R457" i="1" s="1"/>
  <c r="W476" i="1"/>
  <c r="Q525" i="1"/>
  <c r="R525" i="1" s="1"/>
  <c r="W274" i="1"/>
  <c r="Q387" i="1"/>
  <c r="R387" i="1" s="1"/>
  <c r="V387" i="1"/>
  <c r="W387" i="1" s="1"/>
  <c r="W495" i="1"/>
  <c r="Q505" i="1"/>
  <c r="R505" i="1" s="1"/>
  <c r="U525" i="1"/>
  <c r="U428" i="1"/>
  <c r="U454" i="1"/>
  <c r="U456" i="1"/>
  <c r="U488" i="1"/>
  <c r="U541" i="1"/>
  <c r="U429" i="1"/>
  <c r="U468" i="1"/>
  <c r="U497" i="1"/>
  <c r="U503" i="1"/>
  <c r="U517" i="1"/>
  <c r="U522" i="1"/>
  <c r="U523" i="1"/>
  <c r="Q532" i="1"/>
  <c r="R532" i="1" s="1"/>
  <c r="Q533" i="1"/>
  <c r="R533" i="1" s="1"/>
  <c r="Q543" i="1"/>
  <c r="R543" i="1" s="1"/>
  <c r="Q545" i="1"/>
  <c r="R545" i="1" s="1"/>
  <c r="U403" i="1"/>
  <c r="V432" i="1"/>
  <c r="W432" i="1" s="1"/>
  <c r="U455" i="1"/>
  <c r="Q473" i="1"/>
  <c r="R473" i="1" s="1"/>
  <c r="Q490" i="1"/>
  <c r="R490" i="1" s="1"/>
  <c r="U502" i="1"/>
  <c r="Q535" i="1"/>
  <c r="R535" i="1" s="1"/>
  <c r="Q542" i="1"/>
  <c r="R542" i="1" s="1"/>
  <c r="U430" i="1"/>
  <c r="U473" i="1"/>
  <c r="U532" i="1"/>
  <c r="U533" i="1"/>
  <c r="U542" i="1"/>
  <c r="U543" i="1"/>
  <c r="U415" i="1"/>
  <c r="V430" i="1"/>
  <c r="W430" i="1" s="1"/>
  <c r="U434" i="1"/>
  <c r="U436" i="1"/>
  <c r="U439" i="1"/>
  <c r="U444" i="1"/>
  <c r="U446" i="1"/>
  <c r="U450" i="1"/>
  <c r="W471" i="1"/>
  <c r="Q474" i="1"/>
  <c r="U507" i="1"/>
  <c r="U527" i="1"/>
  <c r="U545" i="1"/>
  <c r="W519" i="1"/>
  <c r="U547" i="1"/>
  <c r="W89" i="1"/>
  <c r="W109" i="1"/>
  <c r="W25" i="1"/>
  <c r="W15" i="1"/>
  <c r="U39" i="1"/>
  <c r="W2" i="1"/>
  <c r="U67" i="1"/>
  <c r="V67" i="1"/>
  <c r="W67" i="1" s="1"/>
  <c r="U77" i="1"/>
  <c r="V77" i="1"/>
  <c r="W77" i="1" s="1"/>
  <c r="W87" i="1"/>
  <c r="W101" i="1"/>
  <c r="U136" i="1"/>
  <c r="V137" i="1"/>
  <c r="Q137" i="1"/>
  <c r="R137" i="1" s="1"/>
  <c r="U149" i="1"/>
  <c r="V149" i="1"/>
  <c r="W149" i="1" s="1"/>
  <c r="W207" i="1"/>
  <c r="W136" i="1"/>
  <c r="U159" i="1"/>
  <c r="V159" i="1"/>
  <c r="W159" i="1" s="1"/>
  <c r="V229" i="1"/>
  <c r="Q229" i="1"/>
  <c r="R229" i="1" s="1"/>
  <c r="U63" i="1"/>
  <c r="V63" i="1"/>
  <c r="U73" i="1"/>
  <c r="V73" i="1"/>
  <c r="W73" i="1" s="1"/>
  <c r="U83" i="1"/>
  <c r="V83" i="1"/>
  <c r="W83" i="1" s="1"/>
  <c r="Q119" i="1"/>
  <c r="R119" i="1" s="1"/>
  <c r="V141" i="1"/>
  <c r="Q141" i="1"/>
  <c r="R141" i="1" s="1"/>
  <c r="Q13" i="1"/>
  <c r="R13" i="1" s="1"/>
  <c r="W17" i="1"/>
  <c r="Q23" i="1"/>
  <c r="R23" i="1" s="1"/>
  <c r="W27" i="1"/>
  <c r="Q33" i="1"/>
  <c r="R33" i="1" s="1"/>
  <c r="W37" i="1"/>
  <c r="Q43" i="1"/>
  <c r="R43" i="1" s="1"/>
  <c r="W47" i="1"/>
  <c r="Q53" i="1"/>
  <c r="R53" i="1" s="1"/>
  <c r="W57" i="1"/>
  <c r="Q63" i="1"/>
  <c r="R63" i="1" s="1"/>
  <c r="Q73" i="1"/>
  <c r="R73" i="1" s="1"/>
  <c r="Q83" i="1"/>
  <c r="R83" i="1" s="1"/>
  <c r="Q94" i="1"/>
  <c r="R94" i="1" s="1"/>
  <c r="Q109" i="1"/>
  <c r="R109" i="1" s="1"/>
  <c r="U120" i="1"/>
  <c r="V120" i="1"/>
  <c r="W120" i="1" s="1"/>
  <c r="Q125" i="1"/>
  <c r="R125" i="1" s="1"/>
  <c r="V125" i="1"/>
  <c r="W125" i="1" s="1"/>
  <c r="U151" i="1"/>
  <c r="V151" i="1"/>
  <c r="W151" i="1" s="1"/>
  <c r="Q151" i="1"/>
  <c r="R151" i="1" s="1"/>
  <c r="U69" i="1"/>
  <c r="V69" i="1"/>
  <c r="W69" i="1" s="1"/>
  <c r="U79" i="1"/>
  <c r="V79" i="1"/>
  <c r="W79" i="1" s="1"/>
  <c r="U110" i="1"/>
  <c r="V110" i="1"/>
  <c r="Q115" i="1"/>
  <c r="R115" i="1" s="1"/>
  <c r="V115" i="1"/>
  <c r="U161" i="1"/>
  <c r="V161" i="1"/>
  <c r="Q161" i="1"/>
  <c r="R161" i="1" s="1"/>
  <c r="Q19" i="1"/>
  <c r="R19" i="1" s="1"/>
  <c r="Q29" i="1"/>
  <c r="R29" i="1" s="1"/>
  <c r="Q39" i="1"/>
  <c r="R39" i="1" s="1"/>
  <c r="Q49" i="1"/>
  <c r="R49" i="1" s="1"/>
  <c r="Q59" i="1"/>
  <c r="R59" i="1" s="1"/>
  <c r="Q69" i="1"/>
  <c r="R69" i="1" s="1"/>
  <c r="Q79" i="1"/>
  <c r="R79" i="1" s="1"/>
  <c r="Q89" i="1"/>
  <c r="R89" i="1" s="1"/>
  <c r="U100" i="1"/>
  <c r="V100" i="1"/>
  <c r="Q105" i="1"/>
  <c r="R105" i="1" s="1"/>
  <c r="V105" i="1"/>
  <c r="W105" i="1" s="1"/>
  <c r="U109" i="1"/>
  <c r="Q110" i="1"/>
  <c r="R110" i="1" s="1"/>
  <c r="W114" i="1"/>
  <c r="R121" i="1"/>
  <c r="Q134" i="1"/>
  <c r="R134" i="1" s="1"/>
  <c r="U134" i="1"/>
  <c r="W143" i="1"/>
  <c r="W152" i="1"/>
  <c r="Q199" i="1"/>
  <c r="R199" i="1" s="1"/>
  <c r="U75" i="1"/>
  <c r="V75" i="1"/>
  <c r="W75" i="1" s="1"/>
  <c r="U85" i="1"/>
  <c r="V85" i="1"/>
  <c r="U90" i="1"/>
  <c r="V90" i="1"/>
  <c r="W90" i="1" s="1"/>
  <c r="Q95" i="1"/>
  <c r="R95" i="1" s="1"/>
  <c r="V95" i="1"/>
  <c r="W95" i="1" s="1"/>
  <c r="U99" i="1"/>
  <c r="Q100" i="1"/>
  <c r="R100" i="1" s="1"/>
  <c r="W122" i="1"/>
  <c r="W127" i="1"/>
  <c r="U128" i="1"/>
  <c r="V128" i="1"/>
  <c r="Q133" i="1"/>
  <c r="R133" i="1" s="1"/>
  <c r="W145" i="1"/>
  <c r="R146" i="1"/>
  <c r="V179" i="1"/>
  <c r="U179" i="1"/>
  <c r="W187" i="1"/>
  <c r="V225" i="1"/>
  <c r="W225" i="1" s="1"/>
  <c r="U225" i="1"/>
  <c r="U7" i="1"/>
  <c r="Q5" i="1"/>
  <c r="R5" i="1" s="1"/>
  <c r="Q15" i="1"/>
  <c r="R15" i="1" s="1"/>
  <c r="Q25" i="1"/>
  <c r="R25" i="1" s="1"/>
  <c r="Q35" i="1"/>
  <c r="R35" i="1" s="1"/>
  <c r="Q45" i="1"/>
  <c r="R45" i="1" s="1"/>
  <c r="Q55" i="1"/>
  <c r="R55" i="1" s="1"/>
  <c r="Q75" i="1"/>
  <c r="R75" i="1" s="1"/>
  <c r="Q85" i="1"/>
  <c r="R85" i="1" s="1"/>
  <c r="U89" i="1"/>
  <c r="Q90" i="1"/>
  <c r="R90" i="1" s="1"/>
  <c r="W112" i="1"/>
  <c r="W117" i="1"/>
  <c r="Q122" i="1"/>
  <c r="R122" i="1" s="1"/>
  <c r="Q127" i="1"/>
  <c r="R127" i="1" s="1"/>
  <c r="Q128" i="1"/>
  <c r="R128" i="1" s="1"/>
  <c r="V134" i="1"/>
  <c r="W134" i="1" s="1"/>
  <c r="Q135" i="1"/>
  <c r="R135" i="1" s="1"/>
  <c r="Q138" i="1"/>
  <c r="R138" i="1" s="1"/>
  <c r="U138" i="1"/>
  <c r="Q145" i="1"/>
  <c r="R145" i="1" s="1"/>
  <c r="U155" i="1"/>
  <c r="V155" i="1"/>
  <c r="W155" i="1" s="1"/>
  <c r="R156" i="1"/>
  <c r="Q179" i="1"/>
  <c r="R179" i="1" s="1"/>
  <c r="Q187" i="1"/>
  <c r="R187" i="1" s="1"/>
  <c r="U199" i="1"/>
  <c r="Q225" i="1"/>
  <c r="R225" i="1" s="1"/>
  <c r="V247" i="1"/>
  <c r="Q247" i="1"/>
  <c r="R247" i="1" s="1"/>
  <c r="U19" i="1"/>
  <c r="U29" i="1"/>
  <c r="U49" i="1"/>
  <c r="Q11" i="1"/>
  <c r="U15" i="1"/>
  <c r="U25" i="1"/>
  <c r="U35" i="1"/>
  <c r="U45" i="1"/>
  <c r="U55" i="1"/>
  <c r="U71" i="1"/>
  <c r="V71" i="1"/>
  <c r="U81" i="1"/>
  <c r="V81" i="1"/>
  <c r="U135" i="1"/>
  <c r="U145" i="1"/>
  <c r="U165" i="1"/>
  <c r="V165" i="1"/>
  <c r="U59" i="1"/>
  <c r="U65" i="1"/>
  <c r="V65" i="1"/>
  <c r="W65" i="1" s="1"/>
  <c r="U5" i="1"/>
  <c r="Q21" i="1"/>
  <c r="Q31" i="1"/>
  <c r="Q41" i="1"/>
  <c r="Q51" i="1"/>
  <c r="Q61" i="1"/>
  <c r="Q71" i="1"/>
  <c r="R71" i="1" s="1"/>
  <c r="Q81" i="1"/>
  <c r="R81" i="1" s="1"/>
  <c r="W92" i="1"/>
  <c r="W97" i="1"/>
  <c r="Q102" i="1"/>
  <c r="R102" i="1" s="1"/>
  <c r="Q107" i="1"/>
  <c r="R107" i="1" s="1"/>
  <c r="U122" i="1"/>
  <c r="U127" i="1"/>
  <c r="Q130" i="1"/>
  <c r="R130" i="1" s="1"/>
  <c r="V138" i="1"/>
  <c r="Q165" i="1"/>
  <c r="R165" i="1" s="1"/>
  <c r="Q175" i="1"/>
  <c r="R175" i="1" s="1"/>
  <c r="U187" i="1"/>
  <c r="V189" i="1"/>
  <c r="U189" i="1"/>
  <c r="Q189" i="1"/>
  <c r="R189" i="1" s="1"/>
  <c r="V195" i="1"/>
  <c r="W195" i="1" s="1"/>
  <c r="U195" i="1"/>
  <c r="V215" i="1"/>
  <c r="U215" i="1"/>
  <c r="Q215" i="1"/>
  <c r="R215" i="1" s="1"/>
  <c r="U153" i="1"/>
  <c r="V153" i="1"/>
  <c r="W153" i="1" s="1"/>
  <c r="U163" i="1"/>
  <c r="V163" i="1"/>
  <c r="W163" i="1" s="1"/>
  <c r="U181" i="1"/>
  <c r="W184" i="1"/>
  <c r="W217" i="1"/>
  <c r="U219" i="1"/>
  <c r="W239" i="1"/>
  <c r="W297" i="1"/>
  <c r="W321" i="1"/>
  <c r="W341" i="1"/>
  <c r="W263" i="1"/>
  <c r="V275" i="1"/>
  <c r="U275" i="1"/>
  <c r="Q306" i="1"/>
  <c r="R306" i="1" s="1"/>
  <c r="V306" i="1"/>
  <c r="Q263" i="1"/>
  <c r="R263" i="1" s="1"/>
  <c r="Q271" i="1"/>
  <c r="R271" i="1" s="1"/>
  <c r="Q275" i="1"/>
  <c r="R275" i="1" s="1"/>
  <c r="V255" i="1"/>
  <c r="W255" i="1" s="1"/>
  <c r="U255" i="1"/>
  <c r="Q289" i="1"/>
  <c r="R289" i="1" s="1"/>
  <c r="Q326" i="1"/>
  <c r="R326" i="1" s="1"/>
  <c r="V326" i="1"/>
  <c r="Q346" i="1"/>
  <c r="R346" i="1" s="1"/>
  <c r="V346" i="1"/>
  <c r="W346" i="1" s="1"/>
  <c r="W237" i="1"/>
  <c r="U247" i="1"/>
  <c r="U263" i="1"/>
  <c r="W311" i="1"/>
  <c r="U271" i="1"/>
  <c r="U289" i="1"/>
  <c r="U207" i="1"/>
  <c r="V245" i="1"/>
  <c r="U245" i="1"/>
  <c r="Q269" i="1"/>
  <c r="R269" i="1" s="1"/>
  <c r="Q277" i="1"/>
  <c r="R277" i="1" s="1"/>
  <c r="W325" i="1"/>
  <c r="U326" i="1"/>
  <c r="Q331" i="1"/>
  <c r="R331" i="1" s="1"/>
  <c r="W345" i="1"/>
  <c r="U346" i="1"/>
  <c r="Q358" i="1"/>
  <c r="R358" i="1" s="1"/>
  <c r="V358" i="1"/>
  <c r="W358" i="1" s="1"/>
  <c r="U87" i="1"/>
  <c r="U97" i="1"/>
  <c r="U107" i="1"/>
  <c r="U117" i="1"/>
  <c r="U133" i="1"/>
  <c r="R176" i="1"/>
  <c r="Q181" i="1"/>
  <c r="R181" i="1" s="1"/>
  <c r="Q197" i="1"/>
  <c r="R197" i="1" s="1"/>
  <c r="Q219" i="1"/>
  <c r="R219" i="1" s="1"/>
  <c r="U237" i="1"/>
  <c r="Q245" i="1"/>
  <c r="R245" i="1" s="1"/>
  <c r="W257" i="1"/>
  <c r="V281" i="1"/>
  <c r="Q281" i="1"/>
  <c r="R281" i="1" s="1"/>
  <c r="U281" i="1"/>
  <c r="U311" i="1"/>
  <c r="U331" i="1"/>
  <c r="U358" i="1"/>
  <c r="U137" i="1"/>
  <c r="U141" i="1"/>
  <c r="U147" i="1"/>
  <c r="V147" i="1"/>
  <c r="W147" i="1" s="1"/>
  <c r="U157" i="1"/>
  <c r="V157" i="1"/>
  <c r="W157" i="1" s="1"/>
  <c r="Q167" i="1"/>
  <c r="R167" i="1" s="1"/>
  <c r="V205" i="1"/>
  <c r="W205" i="1" s="1"/>
  <c r="U205" i="1"/>
  <c r="Q227" i="1"/>
  <c r="R227" i="1" s="1"/>
  <c r="Q249" i="1"/>
  <c r="R249" i="1" s="1"/>
  <c r="Q257" i="1"/>
  <c r="R257" i="1" s="1"/>
  <c r="U269" i="1"/>
  <c r="V295" i="1"/>
  <c r="U295" i="1"/>
  <c r="Q295" i="1"/>
  <c r="R295" i="1" s="1"/>
  <c r="Q316" i="1"/>
  <c r="R316" i="1" s="1"/>
  <c r="V316" i="1"/>
  <c r="W316" i="1" s="1"/>
  <c r="Q336" i="1"/>
  <c r="R336" i="1" s="1"/>
  <c r="V336" i="1"/>
  <c r="U363" i="1"/>
  <c r="V363" i="1"/>
  <c r="Q363" i="1"/>
  <c r="R363" i="1" s="1"/>
  <c r="U95" i="1"/>
  <c r="U105" i="1"/>
  <c r="U115" i="1"/>
  <c r="U125" i="1"/>
  <c r="W173" i="1"/>
  <c r="U197" i="1"/>
  <c r="W209" i="1"/>
  <c r="V235" i="1"/>
  <c r="W235" i="1" s="1"/>
  <c r="U235" i="1"/>
  <c r="V261" i="1"/>
  <c r="Q261" i="1"/>
  <c r="R261" i="1" s="1"/>
  <c r="U261" i="1"/>
  <c r="Q291" i="1"/>
  <c r="R291" i="1" s="1"/>
  <c r="W169" i="1"/>
  <c r="W183" i="1"/>
  <c r="W285" i="1"/>
  <c r="W301" i="1"/>
  <c r="Q314" i="1"/>
  <c r="R314" i="1" s="1"/>
  <c r="V314" i="1"/>
  <c r="Q324" i="1"/>
  <c r="R324" i="1" s="1"/>
  <c r="V324" i="1"/>
  <c r="Q334" i="1"/>
  <c r="R334" i="1" s="1"/>
  <c r="V334" i="1"/>
  <c r="W334" i="1" s="1"/>
  <c r="Q344" i="1"/>
  <c r="R344" i="1" s="1"/>
  <c r="V344" i="1"/>
  <c r="Q370" i="1"/>
  <c r="R370" i="1" s="1"/>
  <c r="V370" i="1"/>
  <c r="W370" i="1" s="1"/>
  <c r="W379" i="1"/>
  <c r="V380" i="1"/>
  <c r="W380" i="1" s="1"/>
  <c r="W399" i="1"/>
  <c r="U427" i="1"/>
  <c r="Q448" i="1"/>
  <c r="R448" i="1" s="1"/>
  <c r="V448" i="1"/>
  <c r="W448" i="1" s="1"/>
  <c r="Q398" i="1"/>
  <c r="R398" i="1" s="1"/>
  <c r="U398" i="1"/>
  <c r="Q356" i="1"/>
  <c r="R356" i="1" s="1"/>
  <c r="V356" i="1"/>
  <c r="W356" i="1" s="1"/>
  <c r="Q373" i="1"/>
  <c r="R373" i="1" s="1"/>
  <c r="Q382" i="1"/>
  <c r="R382" i="1" s="1"/>
  <c r="V382" i="1"/>
  <c r="W382" i="1" s="1"/>
  <c r="W355" i="1"/>
  <c r="U356" i="1"/>
  <c r="Q365" i="1"/>
  <c r="R365" i="1" s="1"/>
  <c r="U384" i="1"/>
  <c r="V398" i="1"/>
  <c r="W398" i="1" s="1"/>
  <c r="Q404" i="1"/>
  <c r="R404" i="1" s="1"/>
  <c r="V404" i="1"/>
  <c r="W404" i="1" s="1"/>
  <c r="V423" i="1"/>
  <c r="U423" i="1"/>
  <c r="V461" i="1"/>
  <c r="W461" i="1" s="1"/>
  <c r="Q461" i="1"/>
  <c r="R461" i="1" s="1"/>
  <c r="W357" i="1"/>
  <c r="Q359" i="1"/>
  <c r="R359" i="1" s="1"/>
  <c r="Q374" i="1"/>
  <c r="R374" i="1" s="1"/>
  <c r="V374" i="1"/>
  <c r="W374" i="1" s="1"/>
  <c r="W383" i="1"/>
  <c r="V384" i="1"/>
  <c r="W384" i="1" s="1"/>
  <c r="Q385" i="1"/>
  <c r="R385" i="1" s="1"/>
  <c r="V418" i="1"/>
  <c r="Q418" i="1"/>
  <c r="R418" i="1" s="1"/>
  <c r="Q423" i="1"/>
  <c r="R423" i="1" s="1"/>
  <c r="U373" i="1"/>
  <c r="Q386" i="1"/>
  <c r="R386" i="1" s="1"/>
  <c r="V386" i="1"/>
  <c r="W386" i="1" s="1"/>
  <c r="W389" i="1"/>
  <c r="Q391" i="1"/>
  <c r="R391" i="1" s="1"/>
  <c r="U391" i="1"/>
  <c r="U307" i="1"/>
  <c r="V307" i="1"/>
  <c r="Q312" i="1"/>
  <c r="R312" i="1" s="1"/>
  <c r="V312" i="1"/>
  <c r="U317" i="1"/>
  <c r="V317" i="1"/>
  <c r="Q322" i="1"/>
  <c r="R322" i="1" s="1"/>
  <c r="V322" i="1"/>
  <c r="W322" i="1" s="1"/>
  <c r="U327" i="1"/>
  <c r="V327" i="1"/>
  <c r="W327" i="1" s="1"/>
  <c r="Q332" i="1"/>
  <c r="R332" i="1" s="1"/>
  <c r="V332" i="1"/>
  <c r="W332" i="1" s="1"/>
  <c r="U337" i="1"/>
  <c r="V337" i="1"/>
  <c r="Q342" i="1"/>
  <c r="R342" i="1" s="1"/>
  <c r="V342" i="1"/>
  <c r="W342" i="1" s="1"/>
  <c r="U347" i="1"/>
  <c r="V347" i="1"/>
  <c r="W347" i="1" s="1"/>
  <c r="U359" i="1"/>
  <c r="Q366" i="1"/>
  <c r="R366" i="1" s="1"/>
  <c r="V366" i="1"/>
  <c r="W375" i="1"/>
  <c r="V376" i="1"/>
  <c r="W376" i="1" s="1"/>
  <c r="Q377" i="1"/>
  <c r="R377" i="1" s="1"/>
  <c r="V388" i="1"/>
  <c r="W388" i="1" s="1"/>
  <c r="Q389" i="1"/>
  <c r="R389" i="1" s="1"/>
  <c r="Q458" i="1"/>
  <c r="R458" i="1" s="1"/>
  <c r="V458" i="1"/>
  <c r="W458" i="1" s="1"/>
  <c r="W171" i="1"/>
  <c r="Q307" i="1"/>
  <c r="R307" i="1" s="1"/>
  <c r="Q317" i="1"/>
  <c r="R317" i="1" s="1"/>
  <c r="Q327" i="1"/>
  <c r="R327" i="1" s="1"/>
  <c r="Q337" i="1"/>
  <c r="R337" i="1" s="1"/>
  <c r="Q347" i="1"/>
  <c r="R347" i="1" s="1"/>
  <c r="U353" i="1"/>
  <c r="V353" i="1"/>
  <c r="U366" i="1"/>
  <c r="U368" i="1"/>
  <c r="U385" i="1"/>
  <c r="Q390" i="1"/>
  <c r="R390" i="1" s="1"/>
  <c r="V390" i="1"/>
  <c r="V391" i="1"/>
  <c r="V395" i="1"/>
  <c r="Q395" i="1"/>
  <c r="R395" i="1" s="1"/>
  <c r="Q408" i="1"/>
  <c r="R408" i="1" s="1"/>
  <c r="W427" i="1"/>
  <c r="Q171" i="1"/>
  <c r="R171" i="1" s="1"/>
  <c r="W177" i="1"/>
  <c r="Q185" i="1"/>
  <c r="R185" i="1" s="1"/>
  <c r="Q193" i="1"/>
  <c r="R193" i="1" s="1"/>
  <c r="Q203" i="1"/>
  <c r="R203" i="1" s="1"/>
  <c r="Q213" i="1"/>
  <c r="R213" i="1" s="1"/>
  <c r="Q223" i="1"/>
  <c r="R223" i="1" s="1"/>
  <c r="Q233" i="1"/>
  <c r="R233" i="1" s="1"/>
  <c r="Q243" i="1"/>
  <c r="R243" i="1" s="1"/>
  <c r="Q253" i="1"/>
  <c r="R253" i="1" s="1"/>
  <c r="Q267" i="1"/>
  <c r="R267" i="1" s="1"/>
  <c r="W273" i="1"/>
  <c r="Q287" i="1"/>
  <c r="R287" i="1" s="1"/>
  <c r="W293" i="1"/>
  <c r="U312" i="1"/>
  <c r="U322" i="1"/>
  <c r="U332" i="1"/>
  <c r="U342" i="1"/>
  <c r="Q353" i="1"/>
  <c r="R353" i="1" s="1"/>
  <c r="W367" i="1"/>
  <c r="V368" i="1"/>
  <c r="W368" i="1" s="1"/>
  <c r="Q369" i="1"/>
  <c r="R369" i="1" s="1"/>
  <c r="Q378" i="1"/>
  <c r="R378" i="1" s="1"/>
  <c r="V378" i="1"/>
  <c r="Q427" i="1"/>
  <c r="R427" i="1" s="1"/>
  <c r="V449" i="1"/>
  <c r="Q449" i="1"/>
  <c r="R449" i="1" s="1"/>
  <c r="W191" i="1"/>
  <c r="W201" i="1"/>
  <c r="W221" i="1"/>
  <c r="W231" i="1"/>
  <c r="W241" i="1"/>
  <c r="W251" i="1"/>
  <c r="W259" i="1"/>
  <c r="W319" i="1"/>
  <c r="W329" i="1"/>
  <c r="W349" i="1"/>
  <c r="V352" i="1"/>
  <c r="W352" i="1" s="1"/>
  <c r="U380" i="1"/>
  <c r="W381" i="1"/>
  <c r="U389" i="1"/>
  <c r="U395" i="1"/>
  <c r="Q413" i="1"/>
  <c r="R413" i="1" s="1"/>
  <c r="U449" i="1"/>
  <c r="U401" i="1"/>
  <c r="Q402" i="1"/>
  <c r="R402" i="1" s="1"/>
  <c r="U402" i="1"/>
  <c r="W410" i="1"/>
  <c r="W435" i="1"/>
  <c r="V439" i="1"/>
  <c r="W439" i="1" s="1"/>
  <c r="Q506" i="1"/>
  <c r="R506" i="1" s="1"/>
  <c r="U458" i="1"/>
  <c r="V478" i="1"/>
  <c r="Q478" i="1"/>
  <c r="R478" i="1" s="1"/>
  <c r="W393" i="1"/>
  <c r="U394" i="1"/>
  <c r="W403" i="1"/>
  <c r="U409" i="1"/>
  <c r="V409" i="1"/>
  <c r="W409" i="1" s="1"/>
  <c r="Q414" i="1"/>
  <c r="R414" i="1" s="1"/>
  <c r="V414" i="1"/>
  <c r="W414" i="1" s="1"/>
  <c r="U448" i="1"/>
  <c r="Q466" i="1"/>
  <c r="R466" i="1" s="1"/>
  <c r="W472" i="1"/>
  <c r="W477" i="1"/>
  <c r="Q496" i="1"/>
  <c r="R496" i="1" s="1"/>
  <c r="V524" i="1"/>
  <c r="Q524" i="1"/>
  <c r="R524" i="1" s="1"/>
  <c r="Q400" i="1"/>
  <c r="R400" i="1" s="1"/>
  <c r="U400" i="1"/>
  <c r="U408" i="1"/>
  <c r="U419" i="1"/>
  <c r="V419" i="1"/>
  <c r="Q424" i="1"/>
  <c r="R424" i="1" s="1"/>
  <c r="V424" i="1"/>
  <c r="U451" i="1"/>
  <c r="V451" i="1"/>
  <c r="Q460" i="1"/>
  <c r="R460" i="1" s="1"/>
  <c r="V460" i="1"/>
  <c r="W460" i="1" s="1"/>
  <c r="U461" i="1"/>
  <c r="R467" i="1"/>
  <c r="W467" i="1"/>
  <c r="Q472" i="1"/>
  <c r="R472" i="1" s="1"/>
  <c r="V526" i="1"/>
  <c r="Q526" i="1"/>
  <c r="R526" i="1" s="1"/>
  <c r="U370" i="1"/>
  <c r="U374" i="1"/>
  <c r="U378" i="1"/>
  <c r="U382" i="1"/>
  <c r="U386" i="1"/>
  <c r="U390" i="1"/>
  <c r="W406" i="1"/>
  <c r="U418" i="1"/>
  <c r="Q419" i="1"/>
  <c r="R419" i="1" s="1"/>
  <c r="V438" i="1"/>
  <c r="W438" i="1" s="1"/>
  <c r="U441" i="1"/>
  <c r="V441" i="1"/>
  <c r="W441" i="1" s="1"/>
  <c r="Q451" i="1"/>
  <c r="R451" i="1" s="1"/>
  <c r="W459" i="1"/>
  <c r="U460" i="1"/>
  <c r="U466" i="1"/>
  <c r="Q486" i="1"/>
  <c r="R486" i="1" s="1"/>
  <c r="U496" i="1"/>
  <c r="Q520" i="1"/>
  <c r="R520" i="1" s="1"/>
  <c r="Q396" i="1"/>
  <c r="U396" i="1"/>
  <c r="V400" i="1"/>
  <c r="Q406" i="1"/>
  <c r="R406" i="1" s="1"/>
  <c r="W416" i="1"/>
  <c r="U431" i="1"/>
  <c r="V431" i="1"/>
  <c r="W431" i="1" s="1"/>
  <c r="Q450" i="1"/>
  <c r="R450" i="1" s="1"/>
  <c r="V450" i="1"/>
  <c r="W455" i="1"/>
  <c r="W421" i="1"/>
  <c r="Q440" i="1"/>
  <c r="R440" i="1" s="1"/>
  <c r="V440" i="1"/>
  <c r="W440" i="1" s="1"/>
  <c r="W445" i="1"/>
  <c r="U486" i="1"/>
  <c r="W510" i="1"/>
  <c r="W516" i="1"/>
  <c r="U463" i="1"/>
  <c r="V464" i="1"/>
  <c r="Q464" i="1"/>
  <c r="R464" i="1" s="1"/>
  <c r="W500" i="1"/>
  <c r="V514" i="1"/>
  <c r="Q514" i="1"/>
  <c r="R514" i="1" s="1"/>
  <c r="V530" i="1"/>
  <c r="Q530" i="1"/>
  <c r="R530" i="1" s="1"/>
  <c r="W481" i="1"/>
  <c r="U506" i="1"/>
  <c r="U406" i="1"/>
  <c r="U416" i="1"/>
  <c r="U424" i="1"/>
  <c r="V484" i="1"/>
  <c r="Q484" i="1"/>
  <c r="R484" i="1" s="1"/>
  <c r="U516" i="1"/>
  <c r="W483" i="1"/>
  <c r="V494" i="1"/>
  <c r="Q494" i="1"/>
  <c r="R494" i="1" s="1"/>
  <c r="U404" i="1"/>
  <c r="U414" i="1"/>
  <c r="W490" i="1"/>
  <c r="V504" i="1"/>
  <c r="Q504" i="1"/>
  <c r="R504" i="1" s="1"/>
  <c r="U470" i="1"/>
  <c r="Q482" i="1"/>
  <c r="W502" i="1"/>
  <c r="W512" i="1"/>
  <c r="W522" i="1"/>
  <c r="W532" i="1"/>
  <c r="W542" i="1"/>
  <c r="Q536" i="1"/>
  <c r="R536" i="1" s="1"/>
  <c r="Q546" i="1"/>
  <c r="R546" i="1" s="1"/>
  <c r="U526" i="1"/>
  <c r="U536" i="1"/>
  <c r="Q540" i="1"/>
  <c r="R540" i="1" s="1"/>
  <c r="U546" i="1"/>
  <c r="U472" i="1"/>
  <c r="U490" i="1"/>
  <c r="U500" i="1"/>
  <c r="U510" i="1"/>
  <c r="U520" i="1"/>
  <c r="U530" i="1"/>
  <c r="Q534" i="1"/>
  <c r="R534" i="1" s="1"/>
  <c r="U540" i="1"/>
  <c r="Q544" i="1"/>
  <c r="R544" i="1" s="1"/>
  <c r="Q548" i="1"/>
  <c r="R548" i="1" s="1"/>
  <c r="Q470" i="1"/>
  <c r="U478" i="1"/>
  <c r="W488" i="1"/>
  <c r="W498" i="1"/>
  <c r="W508" i="1"/>
  <c r="W518" i="1"/>
  <c r="W528" i="1"/>
  <c r="U464" i="1"/>
  <c r="U484" i="1"/>
  <c r="U494" i="1"/>
  <c r="U504" i="1"/>
  <c r="U514" i="1"/>
  <c r="U524" i="1"/>
  <c r="U534" i="1"/>
  <c r="U544" i="1"/>
  <c r="U548" i="1"/>
  <c r="W71" i="3" l="1"/>
  <c r="W75" i="3"/>
  <c r="W80" i="3"/>
  <c r="W10" i="3"/>
  <c r="W35" i="3"/>
  <c r="W65" i="3"/>
  <c r="W30" i="3"/>
  <c r="W60" i="3"/>
  <c r="W5" i="3"/>
  <c r="W70" i="3"/>
  <c r="W25" i="3"/>
  <c r="W55" i="3"/>
  <c r="W20" i="3"/>
  <c r="W139" i="2"/>
  <c r="W81" i="2"/>
  <c r="W103" i="2"/>
  <c r="W119" i="2"/>
  <c r="W97" i="2"/>
  <c r="W85" i="2"/>
  <c r="W72" i="2"/>
  <c r="W77" i="2"/>
  <c r="W22" i="2"/>
  <c r="W115" i="2"/>
  <c r="W83" i="2"/>
  <c r="W71" i="2"/>
  <c r="W37" i="2"/>
  <c r="W57" i="2"/>
  <c r="W127" i="2"/>
  <c r="W69" i="2"/>
  <c r="W27" i="2"/>
  <c r="W79" i="2"/>
  <c r="W121" i="2"/>
  <c r="W74" i="2"/>
  <c r="W40" i="2"/>
  <c r="W17" i="2"/>
  <c r="W247" i="1"/>
  <c r="W265" i="1"/>
  <c r="W227" i="1"/>
  <c r="W419" i="1"/>
  <c r="W496" i="1"/>
  <c r="W365" i="1"/>
  <c r="W179" i="1"/>
  <c r="W160" i="1"/>
  <c r="W323" i="1"/>
  <c r="W305" i="1"/>
  <c r="W538" i="1"/>
  <c r="W272" i="1"/>
  <c r="W93" i="1"/>
  <c r="W165" i="1"/>
  <c r="W28" i="1"/>
  <c r="W359" i="1"/>
  <c r="W245" i="1"/>
  <c r="W300" i="1"/>
  <c r="W215" i="1"/>
  <c r="W525" i="1"/>
  <c r="W489" i="1"/>
  <c r="W104" i="1"/>
  <c r="W30" i="1"/>
  <c r="W3" i="1"/>
  <c r="W32" i="1"/>
  <c r="W402" i="1"/>
  <c r="W505" i="1"/>
  <c r="W244" i="1"/>
  <c r="W422" i="1"/>
  <c r="W443" i="1"/>
  <c r="W202" i="1"/>
  <c r="W208" i="1"/>
  <c r="W4" i="1"/>
  <c r="W76" i="1"/>
  <c r="W520" i="1"/>
  <c r="W164" i="1"/>
  <c r="W492" i="1"/>
  <c r="W279" i="1"/>
  <c r="W324" i="1"/>
  <c r="W283" i="1"/>
  <c r="W81" i="1"/>
  <c r="W13" i="1"/>
  <c r="W405" i="1"/>
  <c r="W523" i="1"/>
  <c r="W473" i="1"/>
  <c r="W218" i="1"/>
  <c r="W106" i="1"/>
  <c r="W339" i="1"/>
  <c r="W275" i="1"/>
  <c r="W43" i="1"/>
  <c r="W313" i="1"/>
  <c r="W468" i="1"/>
  <c r="W228" i="1"/>
  <c r="W298" i="1"/>
  <c r="W78" i="1"/>
  <c r="W80" i="1"/>
  <c r="W400" i="1"/>
  <c r="W366" i="1"/>
  <c r="W423" i="1"/>
  <c r="W314" i="1"/>
  <c r="W271" i="1"/>
  <c r="W229" i="1"/>
  <c r="W19" i="1"/>
  <c r="R474" i="1"/>
  <c r="W474" i="1"/>
  <c r="W511" i="1"/>
  <c r="W497" i="1"/>
  <c r="W186" i="1"/>
  <c r="W54" i="1"/>
  <c r="W26" i="1"/>
  <c r="W277" i="1"/>
  <c r="W287" i="1"/>
  <c r="W530" i="1"/>
  <c r="W478" i="1"/>
  <c r="W353" i="1"/>
  <c r="W107" i="1"/>
  <c r="W424" i="1"/>
  <c r="W378" i="1"/>
  <c r="W193" i="1"/>
  <c r="W373" i="1"/>
  <c r="W326" i="1"/>
  <c r="W138" i="1"/>
  <c r="R61" i="1"/>
  <c r="W61" i="1"/>
  <c r="W115" i="1"/>
  <c r="W35" i="1"/>
  <c r="W29" i="1"/>
  <c r="W486" i="1"/>
  <c r="W307" i="1"/>
  <c r="W369" i="1"/>
  <c r="W110" i="1"/>
  <c r="W141" i="1"/>
  <c r="W494" i="1"/>
  <c r="W269" i="1"/>
  <c r="W540" i="1"/>
  <c r="W130" i="1"/>
  <c r="W408" i="1"/>
  <c r="W49" i="1"/>
  <c r="R470" i="1"/>
  <c r="W470" i="1"/>
  <c r="W261" i="1"/>
  <c r="W291" i="1"/>
  <c r="W281" i="1"/>
  <c r="W167" i="1"/>
  <c r="W189" i="1"/>
  <c r="W102" i="1"/>
  <c r="R11" i="1"/>
  <c r="W11" i="1"/>
  <c r="W199" i="1"/>
  <c r="W45" i="1"/>
  <c r="W546" i="1"/>
  <c r="W484" i="1"/>
  <c r="W449" i="1"/>
  <c r="W395" i="1"/>
  <c r="W223" i="1"/>
  <c r="W317" i="1"/>
  <c r="W385" i="1"/>
  <c r="W363" i="1"/>
  <c r="W197" i="1"/>
  <c r="W23" i="1"/>
  <c r="W33" i="1"/>
  <c r="W185" i="1"/>
  <c r="R21" i="1"/>
  <c r="W21" i="1"/>
  <c r="W482" i="1"/>
  <c r="R482" i="1"/>
  <c r="W466" i="1"/>
  <c r="W243" i="1"/>
  <c r="W295" i="1"/>
  <c r="W289" i="1"/>
  <c r="W59" i="1"/>
  <c r="W544" i="1"/>
  <c r="W536" i="1"/>
  <c r="W504" i="1"/>
  <c r="R396" i="1"/>
  <c r="W396" i="1"/>
  <c r="W451" i="1"/>
  <c r="W524" i="1"/>
  <c r="W506" i="1"/>
  <c r="W391" i="1"/>
  <c r="W213" i="1"/>
  <c r="W377" i="1"/>
  <c r="W249" i="1"/>
  <c r="W181" i="1"/>
  <c r="W161" i="1"/>
  <c r="W63" i="1"/>
  <c r="W119" i="1"/>
  <c r="W5" i="1"/>
  <c r="R51" i="1"/>
  <c r="W51" i="1"/>
  <c r="W418" i="1"/>
  <c r="R41" i="1"/>
  <c r="W41" i="1"/>
  <c r="W267" i="1"/>
  <c r="R31" i="1"/>
  <c r="W31" i="1"/>
  <c r="W135" i="1"/>
  <c r="W253" i="1"/>
  <c r="W219" i="1"/>
  <c r="W514" i="1"/>
  <c r="W233" i="1"/>
  <c r="W100" i="1"/>
  <c r="W55" i="1"/>
  <c r="W548" i="1"/>
  <c r="W534" i="1"/>
  <c r="W464" i="1"/>
  <c r="W450" i="1"/>
  <c r="W526" i="1"/>
  <c r="W413" i="1"/>
  <c r="W390" i="1"/>
  <c r="W203" i="1"/>
  <c r="W337" i="1"/>
  <c r="W312" i="1"/>
  <c r="W344" i="1"/>
  <c r="W336" i="1"/>
  <c r="W331" i="1"/>
  <c r="W306" i="1"/>
  <c r="W175" i="1"/>
  <c r="W71" i="1"/>
  <c r="W128" i="1"/>
  <c r="W85" i="1"/>
  <c r="W133" i="1"/>
  <c r="W137" i="1"/>
  <c r="W39" i="1"/>
  <c r="W53" i="1"/>
  <c r="W94" i="1"/>
  <c r="C5" i="3" l="1"/>
  <c r="C12" i="3"/>
  <c r="C20" i="3"/>
  <c r="C24" i="3"/>
  <c r="C42" i="3"/>
  <c r="C43" i="3"/>
  <c r="C47" i="3"/>
  <c r="C55" i="3"/>
  <c r="C62" i="3"/>
  <c r="C64" i="3"/>
  <c r="C82" i="3"/>
  <c r="C87" i="3"/>
  <c r="C88" i="3"/>
  <c r="C89" i="3"/>
  <c r="C75" i="3" l="1"/>
  <c r="C73" i="3"/>
  <c r="C67" i="3"/>
  <c r="C66" i="3"/>
  <c r="C84" i="3"/>
  <c r="C70" i="3"/>
  <c r="C56" i="3"/>
  <c r="C6" i="2"/>
  <c r="C13" i="2"/>
  <c r="C14" i="2"/>
  <c r="C36" i="2"/>
  <c r="C39" i="2"/>
  <c r="C41" i="2"/>
  <c r="C49" i="2"/>
  <c r="C58" i="2"/>
  <c r="C87" i="2"/>
  <c r="C99" i="2"/>
  <c r="C103" i="2"/>
  <c r="C86" i="2" l="1"/>
  <c r="C82" i="2"/>
  <c r="C55" i="2"/>
  <c r="C57" i="2"/>
  <c r="C59" i="2"/>
  <c r="C62" i="2"/>
  <c r="C142" i="2"/>
  <c r="C136" i="2"/>
  <c r="C106" i="2"/>
  <c r="C117" i="2"/>
  <c r="C105" i="2"/>
  <c r="C110" i="2"/>
  <c r="C104" i="2"/>
  <c r="C102" i="2"/>
  <c r="C108" i="2"/>
  <c r="C133" i="2"/>
  <c r="C122" i="2"/>
  <c r="C100" i="2"/>
  <c r="C28" i="2"/>
  <c r="C26" i="2"/>
  <c r="C29" i="2"/>
  <c r="C85" i="2"/>
  <c r="C84" i="2"/>
  <c r="C24" i="2"/>
  <c r="C63" i="2"/>
  <c r="C71" i="2"/>
  <c r="C50" i="2"/>
  <c r="C115" i="2"/>
  <c r="C22" i="2"/>
  <c r="C21" i="2"/>
  <c r="C19" i="2"/>
  <c r="C45" i="2"/>
  <c r="C72" i="2"/>
  <c r="C63" i="3"/>
  <c r="C69" i="3"/>
  <c r="C61" i="3"/>
  <c r="C60" i="2"/>
  <c r="C9" i="1" l="1"/>
  <c r="C11" i="1"/>
  <c r="C14" i="1"/>
  <c r="C24" i="1"/>
  <c r="C25" i="1"/>
  <c r="C26" i="1"/>
  <c r="C34" i="1"/>
  <c r="C40" i="1"/>
  <c r="C41" i="1"/>
  <c r="C55" i="1"/>
  <c r="C67" i="1"/>
  <c r="C77" i="1"/>
  <c r="C80" i="1"/>
  <c r="C82" i="1"/>
  <c r="C83" i="1"/>
  <c r="C88" i="1"/>
  <c r="C93" i="1"/>
  <c r="C97" i="1"/>
  <c r="C115" i="1"/>
  <c r="C140" i="1"/>
  <c r="C148" i="1"/>
  <c r="C175" i="1"/>
  <c r="C194" i="1"/>
  <c r="C210" i="1"/>
  <c r="C230" i="1"/>
  <c r="C232" i="1"/>
  <c r="C235" i="1"/>
  <c r="C241" i="1"/>
  <c r="C299" i="1"/>
  <c r="C300" i="1"/>
  <c r="C303" i="1"/>
  <c r="C305" i="1"/>
  <c r="C330" i="1"/>
  <c r="C335" i="1"/>
  <c r="C343" i="1"/>
  <c r="C347" i="1"/>
  <c r="C355" i="1"/>
  <c r="C357" i="1"/>
  <c r="C365" i="1"/>
  <c r="C371" i="1"/>
  <c r="C379" i="1"/>
  <c r="C383" i="1"/>
  <c r="C384" i="1"/>
  <c r="C386" i="1"/>
  <c r="C415" i="1"/>
  <c r="C418" i="1"/>
  <c r="C421" i="1"/>
  <c r="C433" i="1"/>
  <c r="C435" i="1"/>
  <c r="C470" i="1"/>
  <c r="C495" i="1"/>
  <c r="C502" i="1"/>
  <c r="C508" i="1"/>
  <c r="C520" i="1"/>
  <c r="C521" i="1"/>
  <c r="C525" i="1"/>
  <c r="C526" i="1"/>
  <c r="C528" i="1"/>
  <c r="C530" i="1"/>
  <c r="C534" i="1"/>
  <c r="C517" i="1" l="1"/>
  <c r="C471" i="1"/>
  <c r="C434" i="1"/>
  <c r="C449" i="1"/>
  <c r="C377" i="1"/>
  <c r="C83" i="3"/>
  <c r="C372" i="1"/>
  <c r="C236" i="1"/>
  <c r="C402" i="1"/>
  <c r="C169" i="1"/>
  <c r="C288" i="1"/>
  <c r="C271" i="1"/>
  <c r="C80" i="3"/>
  <c r="C244" i="1"/>
  <c r="C114" i="1"/>
  <c r="C81" i="3"/>
  <c r="C216" i="1"/>
  <c r="C116" i="2"/>
  <c r="C217" i="1"/>
  <c r="C185" i="1"/>
  <c r="C113" i="2"/>
  <c r="C112" i="2"/>
  <c r="C56" i="2"/>
  <c r="C453" i="1"/>
  <c r="C442" i="1"/>
  <c r="C120" i="1"/>
  <c r="C134" i="2"/>
  <c r="C132" i="2"/>
  <c r="C187" i="1"/>
  <c r="C401" i="1"/>
  <c r="C426" i="1"/>
  <c r="C121" i="1"/>
  <c r="C72" i="1"/>
  <c r="C108" i="1"/>
  <c r="C18" i="1"/>
  <c r="C79" i="3"/>
  <c r="C78" i="3"/>
  <c r="C388" i="1"/>
  <c r="C77" i="3"/>
  <c r="C385" i="1"/>
  <c r="C351" i="1"/>
  <c r="C48" i="2"/>
  <c r="C302" i="1"/>
  <c r="C314" i="1"/>
  <c r="C309" i="1"/>
  <c r="C317" i="1"/>
  <c r="C104" i="1"/>
  <c r="C243" i="1"/>
  <c r="C212" i="1"/>
  <c r="C20" i="2"/>
  <c r="C23" i="2"/>
  <c r="C69" i="2"/>
  <c r="C43" i="2"/>
  <c r="C33" i="2"/>
  <c r="C70" i="2"/>
  <c r="C189" i="1"/>
  <c r="C398" i="1"/>
  <c r="C93" i="2"/>
  <c r="C66" i="2"/>
  <c r="C64" i="2"/>
  <c r="C46" i="3"/>
  <c r="C39" i="1"/>
  <c r="C181" i="1"/>
  <c r="C155" i="1"/>
  <c r="C113" i="1"/>
  <c r="C16" i="1"/>
  <c r="C140" i="2"/>
  <c r="C143" i="2"/>
  <c r="C394" i="1"/>
  <c r="C159" i="1"/>
  <c r="C147" i="1"/>
  <c r="C103" i="1"/>
  <c r="C98" i="1"/>
  <c r="C190" i="1"/>
  <c r="C62" i="1"/>
  <c r="C363" i="1"/>
  <c r="C145" i="1"/>
  <c r="C248" i="1"/>
  <c r="C44" i="1"/>
  <c r="C368" i="1"/>
  <c r="C167" i="1"/>
  <c r="C36" i="1"/>
  <c r="C509" i="1"/>
  <c r="C259" i="1"/>
  <c r="C205" i="1"/>
  <c r="C50" i="1"/>
  <c r="C188" i="1"/>
  <c r="C76" i="1"/>
  <c r="C143" i="1"/>
  <c r="C49" i="1"/>
  <c r="C362" i="1"/>
  <c r="C35" i="1"/>
  <c r="C45" i="1"/>
  <c r="C13" i="1"/>
  <c r="C29" i="1"/>
  <c r="C298" i="1"/>
  <c r="C409" i="1"/>
  <c r="C326" i="1"/>
  <c r="C135" i="1"/>
  <c r="C494" i="1"/>
  <c r="C493" i="1"/>
  <c r="C423" i="1"/>
  <c r="C209" i="1"/>
  <c r="C51" i="2"/>
  <c r="C184" i="1"/>
  <c r="C100" i="1"/>
  <c r="C51" i="1"/>
  <c r="C536" i="1"/>
  <c r="C503" i="1"/>
  <c r="C469" i="1"/>
  <c r="C436" i="1"/>
  <c r="C407" i="1"/>
  <c r="C256" i="1"/>
  <c r="C146" i="1"/>
  <c r="C131" i="1"/>
  <c r="C545" i="1"/>
  <c r="C462" i="1"/>
  <c r="C427" i="1"/>
  <c r="C269" i="1"/>
  <c r="C268" i="1"/>
  <c r="C252" i="1"/>
  <c r="C218" i="1"/>
  <c r="C213" i="1"/>
  <c r="C101" i="1"/>
  <c r="C533" i="1"/>
  <c r="C504" i="1"/>
  <c r="C428" i="1"/>
  <c r="C539" i="1"/>
  <c r="C511" i="1"/>
  <c r="C490" i="1"/>
  <c r="C444" i="1"/>
  <c r="C430" i="1"/>
  <c r="C527" i="1"/>
  <c r="C513" i="1"/>
  <c r="C478" i="1"/>
  <c r="C464" i="1"/>
  <c r="C422" i="1"/>
  <c r="C414" i="1"/>
  <c r="C440" i="1"/>
  <c r="C295" i="1"/>
  <c r="C201" i="1"/>
  <c r="C193" i="1"/>
  <c r="C191" i="1"/>
  <c r="C501" i="1"/>
  <c r="C91" i="1"/>
  <c r="C57" i="1"/>
  <c r="C112" i="1"/>
  <c r="C412" i="1"/>
  <c r="C266" i="1"/>
  <c r="C260" i="1"/>
  <c r="C207" i="1"/>
  <c r="C437" i="1"/>
  <c r="C287" i="1"/>
  <c r="C286" i="1"/>
  <c r="C416" i="1"/>
  <c r="C254" i="1"/>
  <c r="C253" i="1"/>
  <c r="C214" i="1"/>
  <c r="C56" i="1"/>
  <c r="C221" i="1"/>
  <c r="C215" i="1"/>
  <c r="C432" i="1"/>
  <c r="C52" i="1"/>
  <c r="C234" i="1"/>
  <c r="C28" i="1"/>
  <c r="C12" i="1"/>
  <c r="C52" i="2"/>
  <c r="C85" i="3"/>
  <c r="C86" i="3"/>
  <c r="C90" i="3"/>
  <c r="C51" i="3"/>
  <c r="C81" i="1"/>
  <c r="C73" i="1"/>
  <c r="C30" i="1"/>
  <c r="C64" i="1"/>
  <c r="C224" i="1"/>
  <c r="C83" i="2"/>
  <c r="C81" i="2"/>
  <c r="C53" i="2"/>
  <c r="C10" i="3"/>
  <c r="C54" i="2"/>
  <c r="C425" i="1"/>
  <c r="C89" i="2"/>
  <c r="C88" i="2"/>
  <c r="C452" i="1"/>
  <c r="C211" i="1"/>
  <c r="C138" i="2"/>
  <c r="C131" i="2"/>
  <c r="C419" i="1"/>
  <c r="C459" i="1"/>
  <c r="C413" i="1"/>
  <c r="C375" i="1"/>
  <c r="C76" i="3"/>
  <c r="C284" i="1"/>
  <c r="C202" i="1"/>
  <c r="C134" i="1"/>
  <c r="C349" i="1"/>
  <c r="C118" i="1"/>
  <c r="C392" i="1"/>
  <c r="C352" i="1"/>
  <c r="C510" i="1"/>
  <c r="C290" i="1"/>
  <c r="C170" i="1"/>
  <c r="C342" i="1"/>
  <c r="C149" i="1"/>
  <c r="C70" i="1"/>
  <c r="C60" i="1"/>
  <c r="C48" i="1"/>
  <c r="C74" i="3"/>
  <c r="C161" i="1"/>
  <c r="C72" i="3"/>
  <c r="C7" i="3"/>
  <c r="C68" i="3"/>
  <c r="C65" i="3"/>
  <c r="C59" i="3"/>
  <c r="C53" i="3"/>
  <c r="C52" i="3"/>
  <c r="C37" i="1"/>
  <c r="C38" i="1"/>
  <c r="C32" i="1"/>
  <c r="C518" i="1"/>
  <c r="C429" i="1"/>
  <c r="C523" i="1"/>
  <c r="C378" i="1"/>
  <c r="C381" i="1"/>
  <c r="C373" i="1"/>
  <c r="C376" i="1"/>
  <c r="C27" i="2"/>
  <c r="C327" i="1"/>
  <c r="C308" i="1"/>
  <c r="C312" i="1"/>
  <c r="C281" i="1"/>
  <c r="C316" i="1"/>
  <c r="C292" i="1"/>
  <c r="C208" i="1"/>
  <c r="C345" i="1"/>
  <c r="C285" i="1"/>
  <c r="C129" i="1"/>
  <c r="C291" i="1"/>
  <c r="C206" i="1"/>
  <c r="C47" i="1"/>
  <c r="C547" i="1"/>
  <c r="C297" i="1"/>
  <c r="C177" i="1"/>
  <c r="C315" i="1"/>
  <c r="C172" i="1"/>
  <c r="C541" i="1"/>
  <c r="C515" i="1"/>
  <c r="C27" i="1"/>
  <c r="C196" i="1"/>
  <c r="C321" i="1"/>
  <c r="C180" i="1"/>
  <c r="C329" i="1"/>
  <c r="C277" i="1"/>
  <c r="C278" i="1"/>
  <c r="C46" i="2"/>
  <c r="C44" i="2"/>
  <c r="C42" i="2"/>
  <c r="C10" i="1"/>
  <c r="C245" i="1"/>
  <c r="C331" i="1"/>
  <c r="C400" i="1"/>
  <c r="C267" i="1"/>
  <c r="C313" i="1"/>
  <c r="C229" i="1"/>
  <c r="C125" i="1"/>
  <c r="C43" i="1"/>
  <c r="C4" i="2"/>
  <c r="C5" i="2"/>
  <c r="C35" i="2"/>
  <c r="C532" i="1"/>
  <c r="C486" i="1"/>
  <c r="C477" i="1"/>
  <c r="C512" i="1"/>
  <c r="C522" i="1"/>
  <c r="C514" i="1"/>
  <c r="C479" i="1"/>
  <c r="C107" i="2"/>
  <c r="C95" i="2"/>
  <c r="C476" i="1"/>
  <c r="C92" i="2"/>
  <c r="C67" i="2"/>
  <c r="C65" i="2"/>
  <c r="C34" i="2"/>
  <c r="C47" i="2"/>
  <c r="C323" i="1"/>
  <c r="C54" i="3"/>
  <c r="C396" i="1"/>
  <c r="C397" i="1"/>
  <c r="C411" i="1"/>
  <c r="C548" i="1"/>
  <c r="C276" i="1"/>
  <c r="C249" i="1"/>
  <c r="C498" i="1"/>
  <c r="C50" i="3"/>
  <c r="C48" i="3"/>
  <c r="C403" i="1"/>
  <c r="C39" i="3"/>
  <c r="C410" i="1"/>
  <c r="C391" i="1"/>
  <c r="C293" i="1"/>
  <c r="C390" i="1"/>
  <c r="C282" i="1"/>
  <c r="C178" i="1"/>
  <c r="C179" i="1"/>
  <c r="C123" i="1"/>
  <c r="C152" i="1"/>
  <c r="C238" i="1"/>
  <c r="C151" i="1"/>
  <c r="C204" i="1"/>
  <c r="C237" i="1"/>
  <c r="C186" i="1"/>
  <c r="C42" i="1"/>
  <c r="C233" i="1"/>
  <c r="C60" i="3"/>
  <c r="C387" i="1"/>
  <c r="C122" i="1"/>
  <c r="C97" i="2"/>
  <c r="C8" i="1"/>
  <c r="C325" i="1"/>
  <c r="C307" i="1"/>
  <c r="C328" i="1"/>
  <c r="C304" i="1"/>
  <c r="C324" i="1"/>
  <c r="C358" i="1" l="1"/>
  <c r="C25" i="3"/>
  <c r="C483" i="1"/>
  <c r="C529" i="1"/>
  <c r="C448" i="1"/>
  <c r="C506" i="1"/>
  <c r="C492" i="1"/>
  <c r="C182" i="1"/>
  <c r="C499" i="1"/>
  <c r="C458" i="1"/>
  <c r="C137" i="1"/>
  <c r="C360" i="1"/>
  <c r="C3" i="3" l="1"/>
  <c r="C28" i="3"/>
  <c r="C11" i="3"/>
  <c r="C119" i="1"/>
  <c r="C9" i="3"/>
  <c r="C95" i="1"/>
  <c r="C2" i="2" l="1"/>
  <c r="C3" i="2"/>
  <c r="C7" i="2"/>
  <c r="C18" i="2"/>
  <c r="C17" i="2"/>
  <c r="C16" i="2"/>
  <c r="C15" i="2"/>
  <c r="C9" i="2"/>
  <c r="C8" i="2"/>
  <c r="C12" i="2"/>
  <c r="C11" i="2"/>
  <c r="C10" i="2"/>
  <c r="C20" i="1"/>
  <c r="C21" i="1"/>
  <c r="C457" i="1"/>
  <c r="C399" i="1"/>
  <c r="C176" i="1"/>
  <c r="C484" i="1"/>
  <c r="C468" i="1"/>
  <c r="C461" i="1"/>
  <c r="C519" i="1"/>
  <c r="C500" i="1"/>
  <c r="C132" i="1"/>
  <c r="C463" i="1"/>
  <c r="C369" i="1"/>
  <c r="C354" i="1"/>
  <c r="C30" i="2"/>
  <c r="C25" i="2"/>
  <c r="C505" i="1"/>
  <c r="C487" i="1"/>
  <c r="C61" i="2"/>
  <c r="C456" i="1"/>
  <c r="C465" i="1"/>
  <c r="C367" i="1"/>
  <c r="C5" i="1"/>
  <c r="C3" i="1"/>
  <c r="C370" i="1"/>
  <c r="C356" i="1"/>
  <c r="C2" i="1"/>
  <c r="C144" i="1"/>
  <c r="C4" i="1"/>
  <c r="C71" i="1"/>
  <c r="C4" i="3"/>
  <c r="C2" i="3"/>
  <c r="C22" i="1"/>
  <c r="C37" i="3"/>
  <c r="C34" i="3"/>
  <c r="C30" i="3"/>
  <c r="C524" i="1"/>
  <c r="C361" i="1"/>
  <c r="C265" i="1"/>
  <c r="C183" i="1"/>
  <c r="C153" i="1"/>
  <c r="C36" i="3"/>
  <c r="C32" i="3"/>
  <c r="C29" i="3"/>
  <c r="C23" i="3"/>
  <c r="C544" i="1"/>
  <c r="C497" i="1"/>
  <c r="C496" i="1"/>
  <c r="C447" i="1"/>
  <c r="C350" i="1"/>
  <c r="C239" i="1"/>
  <c r="C156" i="1"/>
  <c r="C31" i="3"/>
  <c r="C27" i="3"/>
  <c r="C18" i="3"/>
  <c r="C96" i="2"/>
  <c r="C250" i="1"/>
  <c r="C240" i="1"/>
  <c r="C26" i="3"/>
  <c r="C22" i="3"/>
  <c r="C15" i="3"/>
  <c r="C13" i="3"/>
  <c r="C21" i="3"/>
  <c r="C17" i="3"/>
  <c r="C14" i="3"/>
  <c r="C359" i="1"/>
  <c r="C157" i="1"/>
  <c r="C58" i="3"/>
  <c r="C16" i="3"/>
  <c r="C454" i="1"/>
  <c r="C57" i="3"/>
  <c r="C49" i="3"/>
  <c r="C45" i="3"/>
  <c r="C71" i="3"/>
  <c r="C44" i="3"/>
  <c r="C40" i="3"/>
  <c r="C38" i="3"/>
  <c r="C491" i="1"/>
  <c r="C35" i="3"/>
  <c r="C33" i="3"/>
  <c r="C460" i="1"/>
  <c r="C306" i="1"/>
  <c r="C275" i="1"/>
  <c r="C107" i="1"/>
  <c r="C86" i="1"/>
  <c r="C65" i="1"/>
  <c r="C31" i="1"/>
  <c r="C404" i="1"/>
  <c r="C258" i="1"/>
  <c r="C84" i="1"/>
  <c r="C61" i="1"/>
  <c r="C111" i="1"/>
  <c r="C85" i="1"/>
  <c r="C79" i="1"/>
  <c r="C195" i="1"/>
  <c r="C15" i="1"/>
  <c r="C124" i="1"/>
  <c r="C117" i="1"/>
  <c r="C374" i="1"/>
  <c r="C255" i="1"/>
  <c r="C247" i="1"/>
  <c r="C272" i="1"/>
  <c r="C231" i="1"/>
  <c r="C279" i="1"/>
  <c r="C274" i="1"/>
  <c r="C222" i="1"/>
  <c r="C263" i="1"/>
  <c r="C226" i="1"/>
  <c r="C225" i="1"/>
  <c r="C130" i="1"/>
  <c r="C78" i="1"/>
  <c r="C23" i="1"/>
  <c r="C406" i="1"/>
  <c r="C283" i="1"/>
  <c r="C227" i="1"/>
  <c r="C74" i="1"/>
  <c r="C251" i="1"/>
  <c r="C141" i="1"/>
  <c r="C68" i="1"/>
  <c r="C59" i="1"/>
  <c r="C126" i="1"/>
  <c r="C280" i="1"/>
  <c r="C538" i="1"/>
  <c r="C438" i="1"/>
  <c r="C546" i="1"/>
  <c r="C540" i="1"/>
  <c r="C439" i="1"/>
  <c r="C542" i="1"/>
  <c r="C543" i="1"/>
  <c r="C99" i="1"/>
  <c r="C219" i="1"/>
  <c r="C106" i="1"/>
  <c r="C138" i="1"/>
  <c r="C220" i="1"/>
  <c r="C109" i="1"/>
  <c r="C133" i="1"/>
  <c r="C69" i="1"/>
  <c r="C150" i="1"/>
  <c r="C116" i="1"/>
  <c r="C262" i="1"/>
  <c r="C46" i="1"/>
  <c r="C199" i="1"/>
  <c r="C382" i="1"/>
  <c r="C105" i="1"/>
  <c r="C102" i="1"/>
  <c r="C164" i="1"/>
  <c r="C17" i="1"/>
  <c r="C228" i="1"/>
  <c r="C19" i="3"/>
  <c r="C6" i="3"/>
  <c r="C8" i="3"/>
  <c r="C41" i="3"/>
  <c r="C68" i="2"/>
  <c r="C473" i="1"/>
  <c r="C89" i="1"/>
  <c r="C75" i="1"/>
  <c r="C485" i="1"/>
  <c r="C488" i="1"/>
  <c r="C455" i="1"/>
  <c r="C450" i="1"/>
  <c r="C482" i="1"/>
  <c r="C472" i="1"/>
  <c r="C63" i="1"/>
  <c r="C158" i="1"/>
  <c r="C467" i="1"/>
  <c r="C203" i="1"/>
  <c r="C165" i="1"/>
  <c r="C171" i="1"/>
  <c r="C127" i="1"/>
  <c r="C420" i="1"/>
  <c r="C197" i="1"/>
  <c r="C173" i="1"/>
  <c r="C380" i="1"/>
  <c r="C163" i="1"/>
  <c r="C353" i="1"/>
  <c r="C6" i="1"/>
  <c r="C480" i="1"/>
  <c r="C7" i="1"/>
  <c r="C198" i="1"/>
  <c r="C139" i="1"/>
  <c r="C87" i="1"/>
  <c r="C135" i="2"/>
  <c r="C98" i="2"/>
  <c r="C535" i="1"/>
  <c r="C516" i="1"/>
  <c r="C431" i="1"/>
  <c r="C337" i="1"/>
  <c r="C128" i="2"/>
  <c r="C127" i="2"/>
  <c r="C126" i="2"/>
  <c r="C120" i="2"/>
  <c r="C119" i="2"/>
  <c r="C118" i="2"/>
  <c r="C80" i="2"/>
  <c r="C79" i="2"/>
  <c r="C73" i="2"/>
  <c r="C441" i="1"/>
  <c r="C341" i="1"/>
  <c r="C319" i="1"/>
  <c r="C94" i="2"/>
  <c r="C78" i="2"/>
  <c r="C77" i="2"/>
  <c r="C424" i="1"/>
  <c r="C76" i="2"/>
  <c r="C74" i="2"/>
  <c r="C141" i="2"/>
  <c r="C125" i="2"/>
  <c r="C114" i="2"/>
  <c r="C111" i="2"/>
  <c r="C75" i="2"/>
  <c r="C531" i="1"/>
  <c r="C474" i="1"/>
  <c r="C417" i="1"/>
  <c r="C537" i="1"/>
  <c r="C408" i="1"/>
  <c r="C139" i="2"/>
  <c r="C124" i="2"/>
  <c r="C109" i="2"/>
  <c r="C123" i="2"/>
  <c r="C38" i="2"/>
  <c r="C32" i="2"/>
  <c r="C31" i="2"/>
  <c r="C137" i="2"/>
  <c r="C130" i="2"/>
  <c r="C91" i="2"/>
  <c r="C90" i="2"/>
  <c r="C405" i="1"/>
  <c r="C129" i="2"/>
  <c r="C121" i="2"/>
  <c r="C101" i="2"/>
  <c r="C466" i="1"/>
  <c r="C445" i="1"/>
  <c r="C66" i="1"/>
  <c r="C395" i="1"/>
  <c r="C393" i="1"/>
  <c r="C311" i="1"/>
  <c r="C168" i="1"/>
  <c r="C33" i="1"/>
  <c r="C96" i="1"/>
  <c r="C339" i="1"/>
  <c r="C322" i="1"/>
  <c r="C340" i="1"/>
  <c r="C344" i="1"/>
  <c r="C389" i="1"/>
  <c r="C334" i="1"/>
  <c r="C128" i="1"/>
  <c r="C301" i="1"/>
  <c r="C294" i="1"/>
  <c r="C320" i="1"/>
  <c r="C54" i="1"/>
  <c r="C333" i="1"/>
  <c r="C264" i="1"/>
  <c r="C154" i="1"/>
  <c r="C364" i="1"/>
  <c r="C257" i="1"/>
  <c r="C142" i="1"/>
  <c r="C223" i="1"/>
  <c r="C110" i="1"/>
  <c r="C92" i="1"/>
  <c r="C261" i="1"/>
  <c r="C289" i="1"/>
  <c r="C273" i="1"/>
  <c r="C53" i="1"/>
  <c r="C366" i="1"/>
  <c r="C296" i="1"/>
  <c r="C446" i="1"/>
  <c r="C242" i="1"/>
  <c r="C136" i="1"/>
  <c r="C507" i="1"/>
  <c r="C346" i="1"/>
  <c r="C166" i="1"/>
  <c r="C162" i="1"/>
  <c r="C489" i="1"/>
  <c r="C443" i="1"/>
  <c r="C310" i="1"/>
  <c r="C40" i="2"/>
  <c r="C37" i="2"/>
  <c r="C475" i="1"/>
  <c r="C481" i="1"/>
  <c r="C451" i="1"/>
  <c r="C332" i="1"/>
  <c r="C200" i="1"/>
  <c r="C192" i="1"/>
  <c r="C58" i="1"/>
  <c r="C94" i="1"/>
  <c r="C338" i="1"/>
  <c r="C174" i="1"/>
  <c r="C90" i="1"/>
  <c r="C336" i="1"/>
  <c r="C318" i="1"/>
  <c r="C246" i="1"/>
  <c r="C270" i="1"/>
  <c r="C160" i="1"/>
  <c r="C19" i="1"/>
  <c r="C348" i="1"/>
</calcChain>
</file>

<file path=xl/sharedStrings.xml><?xml version="1.0" encoding="utf-8"?>
<sst xmlns="http://schemas.openxmlformats.org/spreadsheetml/2006/main" count="6346" uniqueCount="660">
  <si>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</si>
  <si>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</si>
  <si>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</si>
  <si>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</si>
  <si>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</si>
  <si>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</si>
  <si>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</si>
  <si>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</si>
  <si>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</si>
  <si>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</si>
  <si>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</si>
  <si>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</si>
  <si>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</si>
  <si>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</si>
  <si>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</si>
  <si>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</si>
  <si>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</si>
  <si>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</si>
  <si>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</si>
  <si>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</si>
  <si>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</si>
  <si>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</si>
  <si>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</si>
  <si>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</si>
  <si>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</si>
  <si>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Nitin Prasad</t>
  </si>
  <si>
    <t>Anshu</t>
  </si>
  <si>
    <t>Marshi School</t>
  </si>
  <si>
    <t>Hyva</t>
  </si>
  <si>
    <t>White Sand</t>
  </si>
  <si>
    <t>Ravi</t>
  </si>
  <si>
    <t>Chetan</t>
  </si>
  <si>
    <t xml:space="preserve">Ravi </t>
  </si>
  <si>
    <t>Kosara</t>
  </si>
  <si>
    <t>Haveli Garden</t>
  </si>
  <si>
    <t>Abhay Adgurwar</t>
  </si>
  <si>
    <t>Mada Colony</t>
  </si>
  <si>
    <t>Yuvraj Thakur</t>
  </si>
  <si>
    <t xml:space="preserve">Akash </t>
  </si>
  <si>
    <t>Yashwant nagar</t>
  </si>
  <si>
    <t>Nagapure</t>
  </si>
  <si>
    <t>Ghodpet</t>
  </si>
  <si>
    <t>Mehul Bhaiya</t>
  </si>
  <si>
    <t>Thakkar Tiles</t>
  </si>
  <si>
    <t>Irfan</t>
  </si>
  <si>
    <t>Khanda Nagri</t>
  </si>
  <si>
    <t>Mahendra Order</t>
  </si>
  <si>
    <t>Sai Mandir</t>
  </si>
  <si>
    <t>Sunil Balki</t>
  </si>
  <si>
    <t>Near Burger Company</t>
  </si>
  <si>
    <t>Jhenthe</t>
  </si>
  <si>
    <t>Saurabh Vidhate</t>
  </si>
  <si>
    <t>Tadali ( Chaman )</t>
  </si>
  <si>
    <t>Sachin Gawande</t>
  </si>
  <si>
    <t>Malli Bhaiya</t>
  </si>
  <si>
    <t>Gaju Bhau</t>
  </si>
  <si>
    <t>Rundawan</t>
  </si>
  <si>
    <t>Ramtake</t>
  </si>
  <si>
    <t>Preet Bhaiya</t>
  </si>
  <si>
    <t>Tadali ( Mahindra Showroom )</t>
  </si>
  <si>
    <t>Patel</t>
  </si>
  <si>
    <t>MIDC</t>
  </si>
  <si>
    <t>Toyota</t>
  </si>
  <si>
    <t>Morwa</t>
  </si>
  <si>
    <t>Thackery Wadi</t>
  </si>
  <si>
    <t>Ankit Milmile</t>
  </si>
  <si>
    <t>Pawan (Friend)</t>
  </si>
  <si>
    <t>Siavan</t>
  </si>
  <si>
    <t>Hitesh Bhau</t>
  </si>
  <si>
    <t>Atul Bhaiya</t>
  </si>
  <si>
    <t>Padoli (D-Mart)</t>
  </si>
  <si>
    <t xml:space="preserve">Sai Mandir </t>
  </si>
  <si>
    <t>Chaman</t>
  </si>
  <si>
    <t>Gurjit Saini</t>
  </si>
  <si>
    <t>Ravi / Gaju Bhau</t>
  </si>
  <si>
    <t>Raj Sir</t>
  </si>
  <si>
    <t>New Vidarbha</t>
  </si>
  <si>
    <t>Sharukh Bhaiya</t>
  </si>
  <si>
    <t>Urjanagar</t>
  </si>
  <si>
    <t>Madhu Zanke ( Papa Order )</t>
  </si>
  <si>
    <t>Anshu / Ravi</t>
  </si>
  <si>
    <t>Chinchada</t>
  </si>
  <si>
    <t>Ashwin</t>
  </si>
  <si>
    <t xml:space="preserve">Poly College </t>
  </si>
  <si>
    <t>Bappya Mama</t>
  </si>
  <si>
    <t>Sardar Colony</t>
  </si>
  <si>
    <t>Sanjeet Police</t>
  </si>
  <si>
    <t xml:space="preserve">Bandu ( Papa Order) </t>
  </si>
  <si>
    <t>Sharif Mistri</t>
  </si>
  <si>
    <t>Tadali</t>
  </si>
  <si>
    <t>Pravin</t>
  </si>
  <si>
    <t>MIDC ( HP)</t>
  </si>
  <si>
    <t>Mathhe Colony</t>
  </si>
  <si>
    <t>Chicnchada</t>
  </si>
  <si>
    <t>Raj Dad Order</t>
  </si>
  <si>
    <t>Sau Thekedar</t>
  </si>
  <si>
    <t>Shiv Nagar</t>
  </si>
  <si>
    <t xml:space="preserve">Rastrawadi </t>
  </si>
  <si>
    <t>Bhapat Nagar</t>
  </si>
  <si>
    <t>Ankush P</t>
  </si>
  <si>
    <t>Kosara ( Hunuman Nagar</t>
  </si>
  <si>
    <t>Sadar Colony</t>
  </si>
  <si>
    <t>Vishal Singh</t>
  </si>
  <si>
    <t>Near Nayra Petrol Pump</t>
  </si>
  <si>
    <t>Backside  Narayana School</t>
  </si>
  <si>
    <t>Tiushal Chawda</t>
  </si>
  <si>
    <t>Near Sainik Petrol Pump</t>
  </si>
  <si>
    <t>Janta College</t>
  </si>
  <si>
    <t>T-Point</t>
  </si>
  <si>
    <t>Worora Naka</t>
  </si>
  <si>
    <t>Prakash Kale</t>
  </si>
  <si>
    <t>Ravi / Anshu</t>
  </si>
  <si>
    <t>Vishal Prasad</t>
  </si>
  <si>
    <t>Madarsa</t>
  </si>
  <si>
    <t>Khutada</t>
  </si>
  <si>
    <t>Chaman ( Tadali )</t>
  </si>
  <si>
    <t>Devada</t>
  </si>
  <si>
    <t>Shiva Korewar</t>
  </si>
  <si>
    <t xml:space="preserve">Shiva Driver </t>
  </si>
  <si>
    <t>Loading</t>
  </si>
  <si>
    <t>Padoli</t>
  </si>
  <si>
    <t>Tulsi nagar</t>
  </si>
  <si>
    <t>Hari Bhau</t>
  </si>
  <si>
    <t>Villa Hotel</t>
  </si>
  <si>
    <t>Rastrawadi</t>
  </si>
  <si>
    <t>Nagada</t>
  </si>
  <si>
    <t>Datada</t>
  </si>
  <si>
    <t>Surr</t>
  </si>
  <si>
    <t>Thackrey Wadi</t>
  </si>
  <si>
    <t>Stadium</t>
  </si>
  <si>
    <t>Aau</t>
  </si>
  <si>
    <t>Thakkar Colony</t>
  </si>
  <si>
    <t>Ram Nagar</t>
  </si>
  <si>
    <t>Githe Saheb</t>
  </si>
  <si>
    <t>Beside Villa Hotel</t>
  </si>
  <si>
    <t>Balki</t>
  </si>
  <si>
    <t>Beside Burger Company</t>
  </si>
  <si>
    <t>Anshu / Gaju Bhau</t>
  </si>
  <si>
    <t>Izhar</t>
  </si>
  <si>
    <t>Lakhan</t>
  </si>
  <si>
    <t>Aryan Dhabba Khutada</t>
  </si>
  <si>
    <t>Yash Bhaiya</t>
  </si>
  <si>
    <t>Tulsi Nagar</t>
  </si>
  <si>
    <t>Customer Unknown</t>
  </si>
  <si>
    <t>Mursa</t>
  </si>
  <si>
    <t>Azad Transport</t>
  </si>
  <si>
    <t>Ajay Mobile Shop</t>
  </si>
  <si>
    <t>Ambedkar Sabhagruha</t>
  </si>
  <si>
    <t>Raj Order</t>
  </si>
  <si>
    <t>Ramnagar</t>
  </si>
  <si>
    <t>Juni Padoli</t>
  </si>
  <si>
    <t>Akash</t>
  </si>
  <si>
    <t>Yashwant Nagar</t>
  </si>
  <si>
    <t>Dyaneshwar Sau</t>
  </si>
  <si>
    <t>Warora Naka</t>
  </si>
  <si>
    <t>Kundan Plaza</t>
  </si>
  <si>
    <t>Mahesh P</t>
  </si>
  <si>
    <t>Tukum</t>
  </si>
  <si>
    <t>Nitin Bhoyar</t>
  </si>
  <si>
    <t>Mahesh Thekedar</t>
  </si>
  <si>
    <t>Venli</t>
  </si>
  <si>
    <t>Janata College</t>
  </si>
  <si>
    <t>Gaju Bhau / Anshu / Ravi</t>
  </si>
  <si>
    <t>Near Auja Garage ( JST )</t>
  </si>
  <si>
    <t>Gaju Bhau / Anshu</t>
  </si>
  <si>
    <t>Mada</t>
  </si>
  <si>
    <t>Nishan Bhatter Order</t>
  </si>
  <si>
    <t>Indira Nagar</t>
  </si>
  <si>
    <t>Santosh Bhaiya</t>
  </si>
  <si>
    <t>Rayetwari Colony</t>
  </si>
  <si>
    <t>Morwa ( Nirmal Nagri )</t>
  </si>
  <si>
    <t>Rishab Dupare</t>
  </si>
  <si>
    <t>Vichoda</t>
  </si>
  <si>
    <t>Anshu  / Gaju Bhau / Ravi</t>
  </si>
  <si>
    <t>Harshal Murgane</t>
  </si>
  <si>
    <t>Ambedkar Sabhagruah</t>
  </si>
  <si>
    <t>Mathhe Colony1</t>
  </si>
  <si>
    <t>Tejas Pawar</t>
  </si>
  <si>
    <t>Caupati</t>
  </si>
  <si>
    <t>Ali Bhaiya</t>
  </si>
  <si>
    <t>Wandri Fhata</t>
  </si>
  <si>
    <t>Nanaji Nagar</t>
  </si>
  <si>
    <t>Chaupati</t>
  </si>
  <si>
    <t>Near Zade Hospital ( City )</t>
  </si>
  <si>
    <t>T-point</t>
  </si>
  <si>
    <t>Wadgaon</t>
  </si>
  <si>
    <t>Sakarwahi</t>
  </si>
  <si>
    <t>Shena Nagar</t>
  </si>
  <si>
    <t>Rajura Thekedar</t>
  </si>
  <si>
    <t>Sarkarwahi</t>
  </si>
  <si>
    <t>D-mart</t>
  </si>
  <si>
    <t>Chandraban</t>
  </si>
  <si>
    <t>Near Bandobas Bar</t>
  </si>
  <si>
    <t>Lokhande</t>
  </si>
  <si>
    <t>D-Mart</t>
  </si>
  <si>
    <t>Chota Nagpur</t>
  </si>
  <si>
    <t>Gaju Bhau / Ravi</t>
  </si>
  <si>
    <t>Human Mandir</t>
  </si>
  <si>
    <t>Nirmal Nagri</t>
  </si>
  <si>
    <t>Hanuman Manir</t>
  </si>
  <si>
    <t>Anshu / Gaju Bhau / Ravi</t>
  </si>
  <si>
    <t>Padoli narayana School</t>
  </si>
  <si>
    <t>Kosara DSK Home</t>
  </si>
  <si>
    <t>Tadali Nexa Showroom</t>
  </si>
  <si>
    <t xml:space="preserve">Ashwin </t>
  </si>
  <si>
    <t>Padoli ( Matthe Colony )</t>
  </si>
  <si>
    <t xml:space="preserve">Padoli ( D Mart ) </t>
  </si>
  <si>
    <t xml:space="preserve"> Gaju Bhau / Anshu / Ravi</t>
  </si>
  <si>
    <t>Pathanpura</t>
  </si>
  <si>
    <t>Nayra Petrol Pump</t>
  </si>
  <si>
    <t>Indra nagar</t>
  </si>
  <si>
    <t>Saivan</t>
  </si>
  <si>
    <t>Ambedkar Sabhagurh</t>
  </si>
  <si>
    <t>Hari Bhau Order</t>
  </si>
  <si>
    <t>Back Side Narayana School</t>
  </si>
  <si>
    <t>Chetan B</t>
  </si>
  <si>
    <t>Balaji Kaka</t>
  </si>
  <si>
    <t>Lakhmapur</t>
  </si>
  <si>
    <t>Gurjit</t>
  </si>
  <si>
    <t>Jhangid</t>
  </si>
  <si>
    <t>Nayara Pump</t>
  </si>
  <si>
    <t>Krishna United</t>
  </si>
  <si>
    <t>Raju Sangarthi</t>
  </si>
  <si>
    <t>Aalam Bhaiya</t>
  </si>
  <si>
    <t>Suresh Pachare ( Papa  Order )</t>
  </si>
  <si>
    <t>Aayapa Mandir</t>
  </si>
  <si>
    <t>Guru</t>
  </si>
  <si>
    <t>Anshu / Vithal Bhau</t>
  </si>
  <si>
    <t>Vithal Bhau</t>
  </si>
  <si>
    <t>Mitra Nagar</t>
  </si>
  <si>
    <t>Urjagram</t>
  </si>
  <si>
    <t>Aggrawal</t>
  </si>
  <si>
    <t>Lakhmapur Mandir</t>
  </si>
  <si>
    <t>Chorada</t>
  </si>
  <si>
    <t>Thakkar Tiles'</t>
  </si>
  <si>
    <t>Bhadravati ( Thekedar )</t>
  </si>
  <si>
    <t>Rawal Bhaiya</t>
  </si>
  <si>
    <t>Gup Chup</t>
  </si>
  <si>
    <t>Salim</t>
  </si>
  <si>
    <t>Ayapa Mandir</t>
  </si>
  <si>
    <t>Padoli D Mart</t>
  </si>
  <si>
    <t>Ravi Morey</t>
  </si>
  <si>
    <t>Ravi / Vithal Bhau</t>
  </si>
  <si>
    <t>Jadish Yadav</t>
  </si>
  <si>
    <t>Santosh Bonwar</t>
  </si>
  <si>
    <t>Amritsar Haveli</t>
  </si>
  <si>
    <t>Vicky ( Padoli Sarpanch )</t>
  </si>
  <si>
    <t>Cement Pipe ( Raj Order )</t>
  </si>
  <si>
    <t>Sainik Petrol Pump</t>
  </si>
  <si>
    <t>Raj Stock</t>
  </si>
  <si>
    <t>Stock</t>
  </si>
  <si>
    <t>Pawan Order</t>
  </si>
  <si>
    <t>Bhadravati (Thekedar )</t>
  </si>
  <si>
    <t>D-Mart Padoli</t>
  </si>
  <si>
    <t>Rajesh Kade</t>
  </si>
  <si>
    <t>Kosara Stock</t>
  </si>
  <si>
    <t>Krishna</t>
  </si>
  <si>
    <t>Raj Nagar</t>
  </si>
  <si>
    <t>Sammer</t>
  </si>
  <si>
    <t>Rahul</t>
  </si>
  <si>
    <t>Railway Station</t>
  </si>
  <si>
    <t xml:space="preserve">T-point </t>
  </si>
  <si>
    <t>Shidur</t>
  </si>
  <si>
    <t>Dhote</t>
  </si>
  <si>
    <t>Matthe Colony</t>
  </si>
  <si>
    <t>Pravin Sapate</t>
  </si>
  <si>
    <t>Gaju Bhau / Vithal Bhau</t>
  </si>
  <si>
    <t>Manish Raikunde</t>
  </si>
  <si>
    <t>Anna</t>
  </si>
  <si>
    <t>Marda</t>
  </si>
  <si>
    <t>Police Wala Saheb</t>
  </si>
  <si>
    <t>BGM Carmel Near</t>
  </si>
  <si>
    <t>Tadali ( Thackrey )</t>
  </si>
  <si>
    <t>Lalit Nimkar</t>
  </si>
  <si>
    <t>Balaj Polytechnique</t>
  </si>
  <si>
    <t xml:space="preserve">Nitin Prasad </t>
  </si>
  <si>
    <t>Datada ( Jay Bhim Chowk )</t>
  </si>
  <si>
    <t>Nitin Prasad ( Gandhare )</t>
  </si>
  <si>
    <t>Golu</t>
  </si>
  <si>
    <t>Janta  College</t>
  </si>
  <si>
    <t>Bhadravati</t>
  </si>
  <si>
    <t>Mitra nagar</t>
  </si>
  <si>
    <t>Pyaar Resuce Foundation</t>
  </si>
  <si>
    <t>Kotkar</t>
  </si>
  <si>
    <t>Durgapur</t>
  </si>
  <si>
    <t>Sonegaon</t>
  </si>
  <si>
    <t>Rahul Kode</t>
  </si>
  <si>
    <t>Ganesh Residency</t>
  </si>
  <si>
    <t xml:space="preserve">Surana </t>
  </si>
  <si>
    <t>Wandri ( Bricks Company )</t>
  </si>
  <si>
    <t>Kakaji</t>
  </si>
  <si>
    <t>Backside Narayana School</t>
  </si>
  <si>
    <t>Aakashwani</t>
  </si>
  <si>
    <t>Pramod Mistri</t>
  </si>
  <si>
    <t>Ravi / Santosh</t>
  </si>
  <si>
    <t>Naryana Uncle Friend</t>
  </si>
  <si>
    <t>Shailja Enterprise</t>
  </si>
  <si>
    <t>Ghuguss</t>
  </si>
  <si>
    <t>Sandeep</t>
  </si>
  <si>
    <t>Vishwakarma</t>
  </si>
  <si>
    <t>Sumthana</t>
  </si>
  <si>
    <t>Rahul Dada</t>
  </si>
  <si>
    <t xml:space="preserve">Mada </t>
  </si>
  <si>
    <t xml:space="preserve">Guru </t>
  </si>
  <si>
    <t>Shegaon</t>
  </si>
  <si>
    <t>Lauji Nagar</t>
  </si>
  <si>
    <t>Santosh / Ravi</t>
  </si>
  <si>
    <t>Dhanraj</t>
  </si>
  <si>
    <t>Musra</t>
  </si>
  <si>
    <t>Santosh</t>
  </si>
  <si>
    <t>Lonara</t>
  </si>
  <si>
    <t>Rashtrawadi</t>
  </si>
  <si>
    <t>MBA College Backside</t>
  </si>
  <si>
    <t>Anshu / Santosh</t>
  </si>
  <si>
    <t>Ashtapuja</t>
  </si>
  <si>
    <t>Amit Gawande</t>
  </si>
  <si>
    <t>Tukum Pani Filter</t>
  </si>
  <si>
    <t>Aawari</t>
  </si>
  <si>
    <t>Aanya</t>
  </si>
  <si>
    <t>Gajanan Chowk</t>
  </si>
  <si>
    <t xml:space="preserve">Rajesh Kade </t>
  </si>
  <si>
    <t>Khutada ( Dewang Side )</t>
  </si>
  <si>
    <t>Raj Farms</t>
  </si>
  <si>
    <t>Ravi Mama</t>
  </si>
  <si>
    <t>Gajanan</t>
  </si>
  <si>
    <t>Raj Traders</t>
  </si>
  <si>
    <t>Mangesh</t>
  </si>
  <si>
    <t>Aashish</t>
  </si>
  <si>
    <t>Janta College ( Jain )</t>
  </si>
  <si>
    <t>Rashtrawadi ( Dewang )</t>
  </si>
  <si>
    <t>Tirvanja</t>
  </si>
  <si>
    <t xml:space="preserve">Bypass </t>
  </si>
  <si>
    <t>Backside Inspire</t>
  </si>
  <si>
    <t>Ashoka College</t>
  </si>
  <si>
    <t>Matar Devi Mandir</t>
  </si>
  <si>
    <t>Yerur</t>
  </si>
  <si>
    <t>ST Workshop</t>
  </si>
  <si>
    <t>Janta College ( KFC )</t>
  </si>
  <si>
    <t>Bajaj Poly</t>
  </si>
  <si>
    <t>Yash Thipe</t>
  </si>
  <si>
    <t>Wandri</t>
  </si>
  <si>
    <t>Rahim Bhaiya</t>
  </si>
  <si>
    <t>Arnav</t>
  </si>
  <si>
    <t xml:space="preserve">Aakashwani </t>
  </si>
  <si>
    <t>Chargaon</t>
  </si>
  <si>
    <t>Balaji Bricks Side</t>
  </si>
  <si>
    <t>Bandobass Bar</t>
  </si>
  <si>
    <t>Sister Colony</t>
  </si>
  <si>
    <t>Kosara Hanuman Mandir</t>
  </si>
  <si>
    <t>Kosara Dhumne Side</t>
  </si>
  <si>
    <t>Wadgaon Near Kunbi Samaj</t>
  </si>
  <si>
    <t>Seat Wala</t>
  </si>
  <si>
    <t>Jannya Bhau</t>
  </si>
  <si>
    <t>Nrayana School Tukum</t>
  </si>
  <si>
    <t>Janta College dewang</t>
  </si>
  <si>
    <t>Santra Market</t>
  </si>
  <si>
    <t>Sashikant ( Raj )</t>
  </si>
  <si>
    <t>Santosh / Dhanraj</t>
  </si>
  <si>
    <t>Chaudhary Side</t>
  </si>
  <si>
    <t>Narayana Backside</t>
  </si>
  <si>
    <t xml:space="preserve">Matthe </t>
  </si>
  <si>
    <t xml:space="preserve">Khobragade </t>
  </si>
  <si>
    <t>Dhanraj / Ravi</t>
  </si>
  <si>
    <t>Rashtrawadi ( Khobragade )</t>
  </si>
  <si>
    <t>Shubhash</t>
  </si>
  <si>
    <t>Kailash Bhaiya</t>
  </si>
  <si>
    <t>Lalpeth</t>
  </si>
  <si>
    <t>Gajendra</t>
  </si>
  <si>
    <t>Ravi / Dhanraj</t>
  </si>
  <si>
    <t>Rajesh Thakur</t>
  </si>
  <si>
    <t>Fly Ash | Hyva</t>
  </si>
  <si>
    <t>Khutada / Bharran</t>
  </si>
  <si>
    <t>Vansh Nikose</t>
  </si>
  <si>
    <t>Rundawan / Bharran</t>
  </si>
  <si>
    <t>Atul Ukade</t>
  </si>
  <si>
    <t>Futada</t>
  </si>
  <si>
    <t>Ravi Wandhare</t>
  </si>
  <si>
    <t>Vineet Ramteke</t>
  </si>
  <si>
    <t>Customer Unkown</t>
  </si>
  <si>
    <t>Bazar Padoli</t>
  </si>
  <si>
    <t>Bharat Rone</t>
  </si>
  <si>
    <t>Kaale</t>
  </si>
  <si>
    <t>Pradip Chitade</t>
  </si>
  <si>
    <t>Chips Wala</t>
  </si>
  <si>
    <t xml:space="preserve">Narayana School </t>
  </si>
  <si>
    <t>Near High Tech College</t>
  </si>
  <si>
    <t>Karan</t>
  </si>
  <si>
    <t>Car Washing ( Sadium)</t>
  </si>
  <si>
    <t>Bhaaran 1</t>
  </si>
  <si>
    <t>Yogesh Bhandare</t>
  </si>
  <si>
    <t>Amol</t>
  </si>
  <si>
    <t>Backside Narayana</t>
  </si>
  <si>
    <t>Naresh kaka</t>
  </si>
  <si>
    <t>Chichpalli</t>
  </si>
  <si>
    <t>Near Ram Setu</t>
  </si>
  <si>
    <t>Sakarwahi Fhata</t>
  </si>
  <si>
    <t>Sachin K</t>
  </si>
  <si>
    <t>Raj Shifting To Rundawan</t>
  </si>
  <si>
    <t>vasanda</t>
  </si>
  <si>
    <t>Naresh Kaka</t>
  </si>
  <si>
    <t>Ajaypur</t>
  </si>
  <si>
    <t xml:space="preserve">Lakhmapur </t>
  </si>
  <si>
    <t>Rishab Driver</t>
  </si>
  <si>
    <t>Unkown</t>
  </si>
  <si>
    <t>Ravi / Rishab Driver</t>
  </si>
  <si>
    <t xml:space="preserve">Raj Farms Dumb </t>
  </si>
  <si>
    <t>National</t>
  </si>
  <si>
    <t>Near Hotel Al-Zam-Zam</t>
  </si>
  <si>
    <t>Sagar Ghorade</t>
  </si>
  <si>
    <t>Human Nagar</t>
  </si>
  <si>
    <t>Near Ambedkar Sabhagraugh</t>
  </si>
  <si>
    <t>Babupeth</t>
  </si>
  <si>
    <t>Yashwant Nagar ( Halfton )</t>
  </si>
  <si>
    <t xml:space="preserve">Kaale </t>
  </si>
  <si>
    <t xml:space="preserve">Kosara </t>
  </si>
  <si>
    <t>Madarsha</t>
  </si>
  <si>
    <t>Narayana Kakaji</t>
  </si>
  <si>
    <t xml:space="preserve">Ravi / Dhanraj </t>
  </si>
  <si>
    <t>Ravi  / Dhanraj</t>
  </si>
  <si>
    <t xml:space="preserve">Dhanraj  / Ravi </t>
  </si>
  <si>
    <t xml:space="preserve">Ravi  / Dhanraj </t>
  </si>
  <si>
    <t>Chauhan</t>
  </si>
  <si>
    <t>Halfton</t>
  </si>
  <si>
    <t>Shubham</t>
  </si>
  <si>
    <t>Nacika Kaka</t>
  </si>
  <si>
    <t>Shubham Sakarkar</t>
  </si>
  <si>
    <t>Lalit</t>
  </si>
  <si>
    <t>Sharma Chowk</t>
  </si>
  <si>
    <t xml:space="preserve">Pachare Stock </t>
  </si>
  <si>
    <t>Bobby Bhaiya</t>
  </si>
  <si>
    <t>Sheshrao Zhilte</t>
  </si>
  <si>
    <t>Jilte</t>
  </si>
  <si>
    <t>Jadish More</t>
  </si>
  <si>
    <t>Hanuman Mandir Lakhmapur</t>
  </si>
  <si>
    <t>Akshu Dada</t>
  </si>
  <si>
    <t>Datta Nagar</t>
  </si>
  <si>
    <t>Ghodpet ( Samarth )</t>
  </si>
  <si>
    <t>Ghodpet ( Jani )</t>
  </si>
  <si>
    <t>Tadali ( Thekedar )</t>
  </si>
  <si>
    <t>Ghodpet ( Thekedar )</t>
  </si>
  <si>
    <t>Tadali( Thekedar )</t>
  </si>
  <si>
    <t>Saurabh</t>
  </si>
  <si>
    <t>Tadali ( Aadbale )</t>
  </si>
  <si>
    <t>Rundawan  ( Rakad )</t>
  </si>
  <si>
    <t>Jagdish Yadav</t>
  </si>
  <si>
    <t>Salam Kalam</t>
  </si>
  <si>
    <t>Kosara ( Bharran )</t>
  </si>
  <si>
    <t>haveli Garden ( Arbaz )</t>
  </si>
  <si>
    <t>Tadali ( Topii Thekedar )</t>
  </si>
  <si>
    <t>Lalita Sangarti</t>
  </si>
  <si>
    <t>Gaju  Bhau</t>
  </si>
  <si>
    <t>Mental School</t>
  </si>
  <si>
    <t>Atul Aatram</t>
  </si>
  <si>
    <t>Faizan Bhaiya</t>
  </si>
  <si>
    <t>Shri Talkies City</t>
  </si>
  <si>
    <t>Ghodpet ( Thekedar Takla )</t>
  </si>
  <si>
    <t>Tadali ( Deva )</t>
  </si>
  <si>
    <t xml:space="preserve">Suraj Sasra </t>
  </si>
  <si>
    <t>Chalbardi ( Ghodpet )</t>
  </si>
  <si>
    <t>Vivek Tankar</t>
  </si>
  <si>
    <t>Bawane</t>
  </si>
  <si>
    <t>Chalbardi</t>
  </si>
  <si>
    <t>Bimba Gate</t>
  </si>
  <si>
    <t>Wagade</t>
  </si>
  <si>
    <t>Yashwant Nagar ( Rakad )</t>
  </si>
  <si>
    <t>Ashish Nagpure</t>
  </si>
  <si>
    <t>Mitra Nagar ( Lanchu )</t>
  </si>
  <si>
    <t>Bablu Bhaiya</t>
  </si>
  <si>
    <t>Manish Raykunde</t>
  </si>
  <si>
    <t xml:space="preserve">Naryana School </t>
  </si>
  <si>
    <t>Sanjay Waghade</t>
  </si>
  <si>
    <t>Chal Bardi</t>
  </si>
  <si>
    <t>Transaction Type</t>
  </si>
  <si>
    <t>Hemendra  ( Raj Dad )</t>
  </si>
  <si>
    <t>Yashwant Nagar,  Raj Dad</t>
  </si>
  <si>
    <t>CUSTOMER DELIVERY</t>
  </si>
  <si>
    <t>Tractor</t>
  </si>
  <si>
    <t>Ramtake Farms</t>
  </si>
  <si>
    <t>Vichoda, Roshan Order</t>
  </si>
  <si>
    <t>Kirmire ( Raj Dad )</t>
  </si>
  <si>
    <t>Rakad :-  Kosara, Raj Dad</t>
  </si>
  <si>
    <t>Rohankar ( Raj Dad )</t>
  </si>
  <si>
    <t>Dev Kumar</t>
  </si>
  <si>
    <t>Bharran :- Padoli</t>
  </si>
  <si>
    <t>Bandu</t>
  </si>
  <si>
    <t>Jivan Sao</t>
  </si>
  <si>
    <t>Rakesh Ramteke</t>
  </si>
  <si>
    <t>Road ( Raj Dad )</t>
  </si>
  <si>
    <t>Shubham Bonde</t>
  </si>
  <si>
    <t xml:space="preserve">Ataullah </t>
  </si>
  <si>
    <t>Roshan Order</t>
  </si>
  <si>
    <t>Desi Ramteke ( Roshan Order )</t>
  </si>
  <si>
    <t>Sudha Hotel</t>
  </si>
  <si>
    <t>Shayam Kulmete</t>
  </si>
  <si>
    <t>Vicoda</t>
  </si>
  <si>
    <t>Ataullah</t>
  </si>
  <si>
    <t>Yete</t>
  </si>
  <si>
    <t>Narayan Tiles</t>
  </si>
  <si>
    <t>Dutt Nagar</t>
  </si>
  <si>
    <t>Padoli ( Bharran )</t>
  </si>
  <si>
    <t>Gandfade ( Raj Dad )</t>
  </si>
  <si>
    <t>Ramnagar:- Reti</t>
  </si>
  <si>
    <t>Ramnagar Gitti</t>
  </si>
  <si>
    <t>Zamare</t>
  </si>
  <si>
    <t>Ramnagar:- Bricks</t>
  </si>
  <si>
    <t>Sau</t>
  </si>
  <si>
    <t>Ghorpade ( Roshan )</t>
  </si>
  <si>
    <t>Hitesh Zamare ( Raj Dad )</t>
  </si>
  <si>
    <t>Bondhare</t>
  </si>
  <si>
    <t>Vichoda ( Raj Order )</t>
  </si>
  <si>
    <t>Gaurav</t>
  </si>
  <si>
    <t>IMSR ( Raj Order )</t>
  </si>
  <si>
    <t>Duttnagar ( Raj Dad Order )</t>
  </si>
  <si>
    <t>Gautre</t>
  </si>
  <si>
    <t>Yashwant Nagar ( Raj Dad Order )</t>
  </si>
  <si>
    <t>Chiwande</t>
  </si>
  <si>
    <t>Kosara ( Raj Dad Order )</t>
  </si>
  <si>
    <t>Chambhare</t>
  </si>
  <si>
    <t>Chowki / Vichoda ( Raj Dad Order )</t>
  </si>
  <si>
    <t xml:space="preserve">Gaju Panthela </t>
  </si>
  <si>
    <t>Sakdev</t>
  </si>
  <si>
    <t>Borkute</t>
  </si>
  <si>
    <t>Rachna Ramteke</t>
  </si>
  <si>
    <t>Vichoda ( Roshan Order )</t>
  </si>
  <si>
    <t>Vichoda ( Raj Dad Order )</t>
  </si>
  <si>
    <t>Kosara ( Raj Order )</t>
  </si>
  <si>
    <t>Devanand Sav</t>
  </si>
  <si>
    <t>Shrisagar</t>
  </si>
  <si>
    <t>Rundawan ( Raj Dad Order )</t>
  </si>
  <si>
    <t>2 Trip Rakad Yashwant Nagar</t>
  </si>
  <si>
    <t>Yashwant Nagar ( Raj Dad Order )]</t>
  </si>
  <si>
    <t>Ravi Electrician</t>
  </si>
  <si>
    <t>Padoli ( Raj Dad Order )</t>
  </si>
  <si>
    <t>Balu Khokle</t>
  </si>
  <si>
    <t>Anil Khokle</t>
  </si>
  <si>
    <t>Vichoda (Raj Order )</t>
  </si>
  <si>
    <t>Nagendra Gadge</t>
  </si>
  <si>
    <t>Padoli ( Raj Dad Order)</t>
  </si>
  <si>
    <t>Raju Manusmare</t>
  </si>
  <si>
    <t>Datada ( Raj Dad Order )</t>
  </si>
  <si>
    <t xml:space="preserve">Sandeep Borkute </t>
  </si>
  <si>
    <t>Vichoda ( Mahendra Order )</t>
  </si>
  <si>
    <t>Daru Ramtake</t>
  </si>
  <si>
    <t>Kamlakar Ramteke</t>
  </si>
  <si>
    <t>Nitesh</t>
  </si>
  <si>
    <t>Rahul Dhaba ( Raj Order )</t>
  </si>
  <si>
    <t>Nishan Bhattar</t>
  </si>
  <si>
    <t>Prem Meshram</t>
  </si>
  <si>
    <t>Ramchandra Dongre</t>
  </si>
  <si>
    <t>Saija Bai</t>
  </si>
  <si>
    <t>Sonalika Ramtake ( Raj Order )</t>
  </si>
  <si>
    <t>Jay Amte</t>
  </si>
  <si>
    <t>Awde</t>
  </si>
  <si>
    <t>Prajwal Kasaute (Ashay Jal )</t>
  </si>
  <si>
    <t>Rakad:- Kosara 1</t>
  </si>
  <si>
    <t>Bhimrao Padwekar ( Raj )</t>
  </si>
  <si>
    <t>Santosh Parde ( Raj Dad )</t>
  </si>
  <si>
    <t>Shubhash Mistri ( Raj Dad )</t>
  </si>
  <si>
    <t>Padoli ( 5 Rakad Trip )</t>
  </si>
  <si>
    <t>Backside Narayana School ( 1 Rakad Trip )</t>
  </si>
  <si>
    <t>Ankit Khokle</t>
  </si>
  <si>
    <t>Manoj Khokle</t>
  </si>
  <si>
    <t>Washing Center</t>
  </si>
  <si>
    <t>Kalam ( Raj Dad )</t>
  </si>
  <si>
    <t>Near Sachin Hotel, Padoli Road</t>
  </si>
  <si>
    <t>Dayarkar</t>
  </si>
  <si>
    <t>Narendra Chiwande ( Roshan )</t>
  </si>
  <si>
    <t>Bhangar Katta , Sharma Chowk</t>
  </si>
  <si>
    <t>Shyam Kulmethe ( Roshan )</t>
  </si>
  <si>
    <t>Aatram</t>
  </si>
  <si>
    <t>Akshu</t>
  </si>
  <si>
    <t>Padoli ( 2 Rakad Trip )</t>
  </si>
  <si>
    <t>Rahul Borkute</t>
  </si>
  <si>
    <t>Chetan Bobde</t>
  </si>
  <si>
    <t>Giratkar ( Raj Dad )</t>
  </si>
  <si>
    <t>Girtkar Farm Pipe Line ( Bharran 1 Trip)</t>
  </si>
  <si>
    <t xml:space="preserve">Joyti Dhote ( Raj Dad) </t>
  </si>
  <si>
    <t>Masirkar</t>
  </si>
  <si>
    <t>Rashtrawadi ( Raj )</t>
  </si>
  <si>
    <t>Kiran</t>
  </si>
  <si>
    <t>Mohan Lonbole ( Raj Dad )</t>
  </si>
  <si>
    <t xml:space="preserve">Padoli Majid </t>
  </si>
  <si>
    <t>Jagannath Chukre ( Mahendra )</t>
  </si>
  <si>
    <t>Vedant Wargane ( Raj )</t>
  </si>
  <si>
    <t xml:space="preserve">From JCB Shiftinng to MIDC </t>
  </si>
  <si>
    <t>1 Gitti Tulsi</t>
  </si>
  <si>
    <t>Sachin ( Raj )</t>
  </si>
  <si>
    <t>39 Rakad Shifting</t>
  </si>
  <si>
    <t>8  Rakad Shifting</t>
  </si>
  <si>
    <t>9  Rakad Shifting</t>
  </si>
  <si>
    <t>Shri Sai ( Raj Dad )</t>
  </si>
  <si>
    <t>Sharmachowk</t>
  </si>
  <si>
    <t>Chabu Sahare</t>
  </si>
  <si>
    <t>Lonbole</t>
  </si>
  <si>
    <t>Chaudhary</t>
  </si>
  <si>
    <t xml:space="preserve">Rajesh ( Ravi Mama </t>
  </si>
  <si>
    <t>Lauji nagar</t>
  </si>
  <si>
    <t xml:space="preserve">Gitti Tractor </t>
  </si>
  <si>
    <t>Sonteke</t>
  </si>
  <si>
    <t>Rakad Padoli</t>
  </si>
  <si>
    <t>Arjun Chinchurwar</t>
  </si>
  <si>
    <t>Sagar Morey ( Mahendra )</t>
  </si>
  <si>
    <t>Prakash Nagarkar ( Raj Dad )</t>
  </si>
  <si>
    <t>Rishab ( Raj )</t>
  </si>
  <si>
    <t>Vilas Tonge ( Raj )</t>
  </si>
  <si>
    <t>Tulsi nagar ( Rakad )</t>
  </si>
  <si>
    <t>Thackery ( Raj )</t>
  </si>
  <si>
    <t>Chetan U ( Raj )</t>
  </si>
  <si>
    <t>Sanju Sonwane ( Mahendra )</t>
  </si>
  <si>
    <t>Sumit Meshram</t>
  </si>
  <si>
    <t>Pramod Mistri ( Raj Dad )</t>
  </si>
  <si>
    <t>Anil Shukdev ( Mahendra )</t>
  </si>
  <si>
    <t>Aniket Chaudhary ( Raj )</t>
  </si>
  <si>
    <t>Mada Road</t>
  </si>
  <si>
    <t>Tulsi Nagar ( Rakad )</t>
  </si>
  <si>
    <t>Santosh Sinha</t>
  </si>
  <si>
    <t>Pratap Yard ( Raj Dad )</t>
  </si>
  <si>
    <t xml:space="preserve">Juni Padoli Road </t>
  </si>
  <si>
    <t>Tulsi Nagar Rakad Trip</t>
  </si>
  <si>
    <t>Nana ( Raj Dad )</t>
  </si>
  <si>
    <t>Bandobas Bar MIDC</t>
  </si>
  <si>
    <t>Rohan Nagarkar ( Mahendra )</t>
  </si>
  <si>
    <t>Vijayendra Selokar ( Raj Order )</t>
  </si>
  <si>
    <t>Vasanda</t>
  </si>
  <si>
    <t>Pipe Line Road</t>
  </si>
  <si>
    <t>Ganesh LCB. ( Raj Order</t>
  </si>
  <si>
    <t>Madarsa Padoli</t>
  </si>
  <si>
    <t>Sunny Dad ( Raj Order )</t>
  </si>
  <si>
    <t>Gurudwara</t>
  </si>
  <si>
    <t xml:space="preserve">Yashwant Nagar </t>
  </si>
  <si>
    <t>Amtha ( Raj )</t>
  </si>
  <si>
    <t>Fish Wala</t>
  </si>
  <si>
    <t>Nitesh Khandarkar ( Mahendra )</t>
  </si>
  <si>
    <t>Parchake ( Raj )</t>
  </si>
  <si>
    <t>Prajwal ( Mahendra )</t>
  </si>
  <si>
    <t>Raju Mistri ( Mahendra )</t>
  </si>
  <si>
    <t>Ramteke</t>
  </si>
  <si>
    <t>Rohan ( Mahendra )</t>
  </si>
  <si>
    <t>Sonaware</t>
  </si>
  <si>
    <t>Arvind Gupta ( raj)</t>
  </si>
  <si>
    <t>Ghopal ( Mahendra )</t>
  </si>
  <si>
    <t>Mandir ( Raj Dad )</t>
  </si>
  <si>
    <t>Nattu Meshram</t>
  </si>
  <si>
    <t>Rahul Dhaba</t>
  </si>
  <si>
    <t>Gurudwara Mada Colony</t>
  </si>
  <si>
    <t>Vishal Chawarre ( Raj Dad )</t>
  </si>
  <si>
    <t>Near Pyaar Foundation</t>
  </si>
  <si>
    <t>INTERNAL STOCK</t>
  </si>
  <si>
    <t>Pachare Stock :- JCB Shifting</t>
  </si>
  <si>
    <t>From Pachare Stock To Farm :- JCB Shifting</t>
  </si>
  <si>
    <t xml:space="preserve">2 Bricks To Raj Farms </t>
  </si>
  <si>
    <t>Raj Home ( Stock ) JCB Shifting</t>
  </si>
  <si>
    <t>Raj Home ( Stock )</t>
  </si>
  <si>
    <t>Raj ( Lakhmapur Stock )</t>
  </si>
  <si>
    <t>Pachare ( Stock )</t>
  </si>
  <si>
    <t>Raj ( Pachare Stock )</t>
  </si>
  <si>
    <t>Grampanchayat Stock</t>
  </si>
  <si>
    <t>Raj ( Gram Panchayat Stock )</t>
  </si>
  <si>
    <t>Raj ( Farms )</t>
  </si>
  <si>
    <t>Raj ( Farms )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</si>
</sst>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#,##0.00_);[Red]\(&quot;₹&quot;#,##0.00\)"/>
    <numFmt numFmtId="164" formatCode="[$-F800]dddd\,\ mmmm\ dd\,\ yyyy"/>
    <numFmt numFmtId="165" formatCode="&quot;₹&quot;\ #,##0.00"/>
    <numFmt numFmtId="166" formatCode="&quot;₹&quot;#,##0.00"/>
    <numFmt numFmtId="167" formatCode="[$₹-4009]\ #,##0.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6" fontId="3" fillId="0" borderId="0" xfId="0" applyNumberFormat="1" applyFont="1"/>
    <xf numFmtId="166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165" fontId="3" fillId="0" borderId="0" xfId="0" applyNumberFormat="1" applyFont="1"/>
    <xf numFmtId="0" fontId="5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2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166" fontId="3" fillId="0" borderId="0" xfId="1" applyNumberFormat="1" applyFont="1" applyAlignment="1">
      <alignment horizontal="left"/>
    </xf>
    <xf numFmtId="0" fontId="7" fillId="0" borderId="0" xfId="0" applyFont="1"/>
  </cellXfs>
  <cellStyles count="2">
    <cellStyle name="Normal" xfId="0" builtinId="0"/>
    <cellStyle name="Normal 2" xfId="1" xr:uid="{442B29FA-32FF-5243-BF95-00756F752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 ( Raj Dad )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 ( Raj Dad )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Dayarkar ( Raj Dad )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 ( Roshan )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 xml:space="preserve">Saija Bai 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</sheetData>
      <sheetData sheetId="1"/>
      <sheetData sheetId="2"/>
      <sheetData sheetId="3"/>
      <sheetData sheetId="4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651E-860E-D048-8DE5-3BBFC279BA83}">
  <dimension ref="A1:Y549"/>
  <sheetViews>
    <sheetView workbookViewId="0">
      <selection activeCell="F305" sqref="F305"/>
    </sheetView>
  </sheetViews>
  <sheetFormatPr baseColWidth="10" defaultRowHeight="16" x14ac:dyDescent="0.2"/>
  <cols>
    <col min="2" max="2" width="31" customWidth="1"/>
    <col min="3" max="3" width="19.83203125" customWidth="1"/>
    <col min="4" max="4" width="23" customWidth="1"/>
    <col min="5" max="5" width="25.83203125" customWidth="1"/>
    <col min="6" max="6" width="26.6640625" customWidth="1"/>
    <col min="7" max="7" width="24.6640625" customWidth="1"/>
    <col min="9" max="9" width="26.6640625" customWidth="1"/>
    <col min="10" max="10" width="20.6640625" customWidth="1"/>
    <col min="11" max="11" width="21.83203125" customWidth="1"/>
    <col min="12" max="12" width="24.6640625" customWidth="1"/>
    <col min="14" max="14" width="20.83203125" customWidth="1"/>
    <col min="15" max="15" width="23.5" customWidth="1"/>
    <col min="16" max="16" width="21.5" customWidth="1"/>
    <col min="17" max="17" width="11.83203125" bestFit="1" customWidth="1"/>
    <col min="18" max="18" width="27.5" customWidth="1"/>
    <col min="20" max="20" width="23.83203125" customWidth="1"/>
    <col min="21" max="21" width="27.6640625" customWidth="1"/>
    <col min="22" max="22" width="20.1640625" customWidth="1"/>
    <col min="23" max="23" width="24.5" customWidth="1"/>
    <col min="24" max="24" width="16.83203125" customWidth="1"/>
    <col min="25" max="25" width="22.1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tr">
        <f>"TRIP-"&amp;TEXT(ROW()+48,"000")</f>
        <v>TRIP-050</v>
      </c>
      <c r="B2" s="2">
        <v>45689</v>
      </c>
      <c r="C2" s="3" t="str">
        <f>_xlfn.XLOOKUP(D2,'[1]Jan Customer Duplicate Hyva'!$B:$B,'[1]Jan Customer Duplicate Hyva'!$A:$A,"NOT FOUND")</f>
        <v>CUST-207</v>
      </c>
      <c r="D2" s="4" t="s">
        <v>25</v>
      </c>
      <c r="E2" s="4" t="s">
        <v>26</v>
      </c>
      <c r="F2" s="5" t="str">
        <f>TRIM(_xlfn.TEXTBEFORE(E2&amp;" / "," / "))</f>
        <v>Anshu</v>
      </c>
      <c r="G2" s="5" t="str">
        <f>IFERROR(TRIM(_xlfn.TEXTBEFORE(_xlfn.TEXTAFTER(E2," / ")&amp;" / "," / ")),"")</f>
        <v/>
      </c>
      <c r="H2" s="5" t="str">
        <f>IFERROR(TRIM(_xlfn.TEXTAFTER(E2," / ","2")),"")</f>
        <v/>
      </c>
      <c r="I2" s="5" t="str">
        <f>_xlfn.XLOOKUP(F2,'[1]Jan Labour Nd Drivers Hyva'!$B:$B,'[2]Jan Labour Nd Drivers Hyva'!$A:$A,"NOT FOUND")</f>
        <v>LAB-002</v>
      </c>
      <c r="J2" s="5" t="str">
        <f>IF(G2="","",_xlfn.XLOOKUP(G2,'[3]Jan Labour Nd Drivers Hyva'!$B:$B,'[2]Jan Labour Nd Drivers Hyva'!$A:$A,"NOT FOUND"))</f>
        <v/>
      </c>
      <c r="K2" s="5" t="str">
        <f>IF(H2="","",_xlfn.XLOOKUP(H2,'[2]Jan Labour Nd Drivers Hyva'!$B:$B,'[2]Jan Labour Nd Drivers Hyva'!$A:$A,"NOT FOUND"))</f>
        <v/>
      </c>
      <c r="L2" s="4" t="s">
        <v>27</v>
      </c>
      <c r="M2" s="6">
        <v>2</v>
      </c>
      <c r="N2" s="7">
        <v>31000</v>
      </c>
      <c r="O2" s="8">
        <f>N2*M2</f>
        <v>62000</v>
      </c>
      <c r="P2" s="7">
        <v>62000</v>
      </c>
      <c r="Q2" s="7">
        <f>O2-P2</f>
        <v>0</v>
      </c>
      <c r="R2" t="str">
        <f>IF(Q2=0,"PAID",IF(P2=0,"UNPAID","PARTIAL"))</f>
        <v>PAID</v>
      </c>
      <c r="S2" s="3"/>
      <c r="T2" s="9">
        <f>M2*N2</f>
        <v>62000</v>
      </c>
      <c r="U2" t="str">
        <f>IF(ROUND(T2,2)=ROUND(O2,2),"OK","CHECK")</f>
        <v>OK</v>
      </c>
      <c r="V2" s="10">
        <f>O2-P2</f>
        <v>0</v>
      </c>
      <c r="W2" t="str">
        <f>IF(ROUND(V2,2)=ROUND(Q2,2),"OK","CHECK")</f>
        <v>OK</v>
      </c>
      <c r="X2" s="3" t="s">
        <v>28</v>
      </c>
      <c r="Y2" t="s">
        <v>29</v>
      </c>
    </row>
    <row r="3" spans="1:25" x14ac:dyDescent="0.2">
      <c r="A3" t="str">
        <f t="shared" ref="A3:A66" si="0">"TRIP-"&amp;TEXT(ROW()+48,"000")</f>
        <v>TRIP-051</v>
      </c>
      <c r="B3" s="2">
        <v>45689</v>
      </c>
      <c r="C3" s="3" t="str">
        <f>_xlfn.XLOOKUP(D3,'[1]Jan Customer Duplicate Hyva'!$B:$B,'[1]Jan Customer Duplicate Hyva'!$A:$A,"NOT FOUND")</f>
        <v>CUST-207</v>
      </c>
      <c r="D3" s="4" t="s">
        <v>25</v>
      </c>
      <c r="E3" s="4" t="s">
        <v>30</v>
      </c>
      <c r="F3" s="5" t="str">
        <f t="shared" ref="F3:F66" si="1">TRIM(_xlfn.TEXTBEFORE(E3&amp;" / "," / "))</f>
        <v>Ravi</v>
      </c>
      <c r="G3" s="5" t="str">
        <f t="shared" ref="G3:G66" si="2">IFERROR(TRIM(_xlfn.TEXTBEFORE(_xlfn.TEXTAFTER(E3," / ")&amp;" / "," / ")),"")</f>
        <v/>
      </c>
      <c r="H3" s="5" t="str">
        <f t="shared" ref="H3:H66" si="3">IFERROR(TRIM(_xlfn.TEXTAFTER(E3," / ","2")),"")</f>
        <v/>
      </c>
      <c r="I3" s="5" t="str">
        <f>_xlfn.XLOOKUP(F3,'[1]Jan Labour Nd Drivers Hyva'!$B:$B,'[2]Jan Labour Nd Drivers Hyva'!$A:$A,"NOT FOUND")</f>
        <v>LAB-003</v>
      </c>
      <c r="J3" s="5" t="str">
        <f>IF(G3="","",_xlfn.XLOOKUP(G3,'[3]Jan Labour Nd Drivers Hyva'!$B:$B,'[2]Jan Labour Nd Drivers Hyva'!$A:$A,"NOT FOUND"))</f>
        <v/>
      </c>
      <c r="K3" s="5" t="str">
        <f>IF(H3="","",_xlfn.XLOOKUP(H3,'[2]Jan Labour Nd Drivers Hyva'!$B:$B,'[2]Jan Labour Nd Drivers Hyva'!$A:$A,"NOT FOUND"))</f>
        <v/>
      </c>
      <c r="L3" s="4" t="s">
        <v>27</v>
      </c>
      <c r="M3" s="6">
        <v>2</v>
      </c>
      <c r="N3" s="7">
        <v>31000</v>
      </c>
      <c r="O3" s="8">
        <f t="shared" ref="O3:O66" si="4">N3*M3</f>
        <v>62000</v>
      </c>
      <c r="P3" s="7">
        <v>62000</v>
      </c>
      <c r="Q3" s="7">
        <f t="shared" ref="Q3:Q33" si="5">O3-P3</f>
        <v>0</v>
      </c>
      <c r="R3" t="str">
        <f t="shared" ref="R3:R66" si="6">IF(Q3=0,"PAID",IF(P3=0,"UNPAID","PARTIAL"))</f>
        <v>PAID</v>
      </c>
      <c r="S3" s="3"/>
      <c r="T3" s="9">
        <f t="shared" ref="T3:T66" si="7">M3*N3</f>
        <v>62000</v>
      </c>
      <c r="U3" t="str">
        <f t="shared" ref="U3:U66" si="8">IF(ROUND(T3,2)=ROUND(O3,2),"OK","CHECK")</f>
        <v>OK</v>
      </c>
      <c r="V3" s="10">
        <f t="shared" ref="V3:V66" si="9">O3-P3</f>
        <v>0</v>
      </c>
      <c r="W3" t="str">
        <f t="shared" ref="W3:W66" si="10">IF(ROUND(V3,2)=ROUND(Q3,2),"OK","CHECK")</f>
        <v>OK</v>
      </c>
      <c r="X3" s="3" t="s">
        <v>28</v>
      </c>
      <c r="Y3" t="s">
        <v>29</v>
      </c>
    </row>
    <row r="4" spans="1:25" x14ac:dyDescent="0.2">
      <c r="A4" t="str">
        <f t="shared" si="0"/>
        <v>TRIP-052</v>
      </c>
      <c r="B4" s="2">
        <v>45690</v>
      </c>
      <c r="C4" s="3" t="str">
        <f>_xlfn.XLOOKUP(D4,'[1]Jan Customer Duplicate Hyva'!$B:$B,'[1]Jan Customer Duplicate Hyva'!$A:$A,"NOT FOUND")</f>
        <v>CUST-075</v>
      </c>
      <c r="D4" s="11" t="s">
        <v>31</v>
      </c>
      <c r="E4" s="11" t="s">
        <v>32</v>
      </c>
      <c r="F4" s="5" t="str">
        <f t="shared" si="1"/>
        <v>Ravi</v>
      </c>
      <c r="G4" s="5" t="str">
        <f t="shared" si="2"/>
        <v/>
      </c>
      <c r="H4" s="5" t="str">
        <f t="shared" si="3"/>
        <v/>
      </c>
      <c r="I4" s="5" t="str">
        <f>_xlfn.XLOOKUP(F4,'[1]Jan Labour Nd Drivers Hyva'!$B:$B,'[2]Jan Labour Nd Drivers Hyva'!$A:$A,"NOT FOUND")</f>
        <v>LAB-003</v>
      </c>
      <c r="J4" s="5" t="str">
        <f>IF(G4="","",_xlfn.XLOOKUP(G4,'[3]Jan Labour Nd Drivers Hyva'!$B:$B,'[2]Jan Labour Nd Drivers Hyva'!$A:$A,"NOT FOUND"))</f>
        <v/>
      </c>
      <c r="K4" s="5" t="str">
        <f>IF(H4="","",_xlfn.XLOOKUP(H4,'[2]Jan Labour Nd Drivers Hyva'!$B:$B,'[2]Jan Labour Nd Drivers Hyva'!$A:$A,"NOT FOUND"))</f>
        <v/>
      </c>
      <c r="L4" s="11" t="s">
        <v>33</v>
      </c>
      <c r="M4" s="12">
        <v>1</v>
      </c>
      <c r="N4" s="13">
        <v>32000</v>
      </c>
      <c r="O4" s="8">
        <f t="shared" si="4"/>
        <v>32000</v>
      </c>
      <c r="P4" s="13">
        <v>32000</v>
      </c>
      <c r="Q4" s="7">
        <f t="shared" si="5"/>
        <v>0</v>
      </c>
      <c r="R4" t="str">
        <f t="shared" si="6"/>
        <v>PAID</v>
      </c>
      <c r="S4" s="3"/>
      <c r="T4" s="9">
        <f t="shared" si="7"/>
        <v>32000</v>
      </c>
      <c r="U4" t="str">
        <f t="shared" si="8"/>
        <v>OK</v>
      </c>
      <c r="V4" s="10">
        <f t="shared" si="9"/>
        <v>0</v>
      </c>
      <c r="W4" t="str">
        <f t="shared" si="10"/>
        <v>OK</v>
      </c>
      <c r="X4" s="3" t="s">
        <v>28</v>
      </c>
      <c r="Y4" t="s">
        <v>29</v>
      </c>
    </row>
    <row r="5" spans="1:25" x14ac:dyDescent="0.2">
      <c r="A5" t="str">
        <f t="shared" si="0"/>
        <v>TRIP-053</v>
      </c>
      <c r="B5" s="2">
        <v>45690</v>
      </c>
      <c r="C5" s="3" t="str">
        <f>_xlfn.XLOOKUP(D5,'[1]Jan Customer Duplicate Hyva'!$B:$B,'[1]Jan Customer Duplicate Hyva'!$A:$A,"NOT FOUND")</f>
        <v>CUST-207</v>
      </c>
      <c r="D5" s="11" t="s">
        <v>25</v>
      </c>
      <c r="E5" s="11" t="s">
        <v>32</v>
      </c>
      <c r="F5" s="5" t="str">
        <f t="shared" si="1"/>
        <v>Ravi</v>
      </c>
      <c r="G5" s="5" t="str">
        <f t="shared" si="2"/>
        <v/>
      </c>
      <c r="H5" s="5" t="str">
        <f t="shared" si="3"/>
        <v/>
      </c>
      <c r="I5" s="5" t="str">
        <f>_xlfn.XLOOKUP(F5,'[1]Jan Labour Nd Drivers Hyva'!$B:$B,'[2]Jan Labour Nd Drivers Hyva'!$A:$A,"NOT FOUND")</f>
        <v>LAB-003</v>
      </c>
      <c r="J5" s="5" t="str">
        <f>IF(G5="","",_xlfn.XLOOKUP(G5,'[3]Jan Labour Nd Drivers Hyva'!$B:$B,'[2]Jan Labour Nd Drivers Hyva'!$A:$A,"NOT FOUND"))</f>
        <v/>
      </c>
      <c r="K5" s="5" t="str">
        <f>IF(H5="","",_xlfn.XLOOKUP(H5,'[2]Jan Labour Nd Drivers Hyva'!$B:$B,'[2]Jan Labour Nd Drivers Hyva'!$A:$A,"NOT FOUND"))</f>
        <v/>
      </c>
      <c r="L5" s="11" t="s">
        <v>34</v>
      </c>
      <c r="M5" s="12">
        <v>1</v>
      </c>
      <c r="N5" s="13">
        <v>31000</v>
      </c>
      <c r="O5" s="8">
        <f t="shared" si="4"/>
        <v>31000</v>
      </c>
      <c r="P5" s="13">
        <v>31000</v>
      </c>
      <c r="Q5" s="7">
        <f t="shared" si="5"/>
        <v>0</v>
      </c>
      <c r="R5" t="str">
        <f t="shared" si="6"/>
        <v>PAID</v>
      </c>
      <c r="S5" s="3"/>
      <c r="T5" s="9">
        <f t="shared" si="7"/>
        <v>31000</v>
      </c>
      <c r="U5" t="str">
        <f t="shared" si="8"/>
        <v>OK</v>
      </c>
      <c r="V5" s="10">
        <f t="shared" si="9"/>
        <v>0</v>
      </c>
      <c r="W5" t="str">
        <f t="shared" si="10"/>
        <v>OK</v>
      </c>
      <c r="X5" s="3" t="s">
        <v>28</v>
      </c>
      <c r="Y5" t="s">
        <v>29</v>
      </c>
    </row>
    <row r="6" spans="1:25" x14ac:dyDescent="0.2">
      <c r="A6" t="str">
        <f t="shared" si="0"/>
        <v>TRIP-054</v>
      </c>
      <c r="B6" s="2">
        <v>45691</v>
      </c>
      <c r="C6" s="3" t="str">
        <f>_xlfn.XLOOKUP(D6,'[1]Jan Customer Duplicate Hyva'!$B:$B,'[1]Jan Customer Duplicate Hyva'!$A:$A,"NOT FOUND")</f>
        <v>CUST-011</v>
      </c>
      <c r="D6" s="11" t="s">
        <v>35</v>
      </c>
      <c r="E6" s="11" t="s">
        <v>26</v>
      </c>
      <c r="F6" s="5" t="str">
        <f t="shared" si="1"/>
        <v>Anshu</v>
      </c>
      <c r="G6" s="5" t="str">
        <f t="shared" si="2"/>
        <v/>
      </c>
      <c r="H6" s="5" t="str">
        <f t="shared" si="3"/>
        <v/>
      </c>
      <c r="I6" s="5" t="str">
        <f>_xlfn.XLOOKUP(F6,'[1]Jan Labour Nd Drivers Hyva'!$B:$B,'[2]Jan Labour Nd Drivers Hyva'!$A:$A,"NOT FOUND")</f>
        <v>LAB-002</v>
      </c>
      <c r="J6" s="5" t="str">
        <f>IF(G6="","",_xlfn.XLOOKUP(G6,'[3]Jan Labour Nd Drivers Hyva'!$B:$B,'[2]Jan Labour Nd Drivers Hyva'!$A:$A,"NOT FOUND"))</f>
        <v/>
      </c>
      <c r="K6" s="5" t="str">
        <f>IF(H6="","",_xlfn.XLOOKUP(H6,'[2]Jan Labour Nd Drivers Hyva'!$B:$B,'[2]Jan Labour Nd Drivers Hyva'!$A:$A,"NOT FOUND"))</f>
        <v/>
      </c>
      <c r="L6" s="11" t="s">
        <v>36</v>
      </c>
      <c r="M6" s="12">
        <v>1</v>
      </c>
      <c r="N6" s="13">
        <v>32000</v>
      </c>
      <c r="O6" s="8">
        <f t="shared" si="4"/>
        <v>32000</v>
      </c>
      <c r="P6" s="13">
        <v>32000</v>
      </c>
      <c r="Q6" s="7">
        <f t="shared" si="5"/>
        <v>0</v>
      </c>
      <c r="R6" t="str">
        <f t="shared" si="6"/>
        <v>PAID</v>
      </c>
      <c r="S6" s="3"/>
      <c r="T6" s="9">
        <f t="shared" si="7"/>
        <v>32000</v>
      </c>
      <c r="U6" t="str">
        <f t="shared" si="8"/>
        <v>OK</v>
      </c>
      <c r="V6" s="10">
        <f t="shared" si="9"/>
        <v>0</v>
      </c>
      <c r="W6" t="str">
        <f t="shared" si="10"/>
        <v>OK</v>
      </c>
      <c r="X6" s="3" t="s">
        <v>28</v>
      </c>
      <c r="Y6" t="s">
        <v>29</v>
      </c>
    </row>
    <row r="7" spans="1:25" x14ac:dyDescent="0.2">
      <c r="A7" t="str">
        <f t="shared" si="0"/>
        <v>TRIP-055</v>
      </c>
      <c r="B7" s="2">
        <v>45691</v>
      </c>
      <c r="C7" s="3" t="str">
        <f>_xlfn.XLOOKUP(D7,'[1]Jan Customer Duplicate Hyva'!$B:$B,'[1]Jan Customer Duplicate Hyva'!$A:$A,"NOT FOUND")</f>
        <v>CUST-392</v>
      </c>
      <c r="D7" s="11" t="s">
        <v>37</v>
      </c>
      <c r="E7" s="11" t="s">
        <v>30</v>
      </c>
      <c r="F7" s="5" t="str">
        <f t="shared" si="1"/>
        <v>Ravi</v>
      </c>
      <c r="G7" s="5" t="str">
        <f t="shared" si="2"/>
        <v/>
      </c>
      <c r="H7" s="5" t="str">
        <f t="shared" si="3"/>
        <v/>
      </c>
      <c r="I7" s="5" t="str">
        <f>_xlfn.XLOOKUP(F7,'[1]Jan Labour Nd Drivers Hyva'!$B:$B,'[2]Jan Labour Nd Drivers Hyva'!$A:$A,"NOT FOUND")</f>
        <v>LAB-003</v>
      </c>
      <c r="J7" s="5" t="str">
        <f>IF(G7="","",_xlfn.XLOOKUP(G7,'[3]Jan Labour Nd Drivers Hyva'!$B:$B,'[2]Jan Labour Nd Drivers Hyva'!$A:$A,"NOT FOUND"))</f>
        <v/>
      </c>
      <c r="K7" s="5" t="str">
        <f>IF(H7="","",_xlfn.XLOOKUP(H7,'[2]Jan Labour Nd Drivers Hyva'!$B:$B,'[2]Jan Labour Nd Drivers Hyva'!$A:$A,"NOT FOUND"))</f>
        <v/>
      </c>
      <c r="L7" s="11" t="s">
        <v>33</v>
      </c>
      <c r="M7" s="12">
        <v>1</v>
      </c>
      <c r="N7" s="13">
        <v>30000</v>
      </c>
      <c r="O7" s="8">
        <f t="shared" si="4"/>
        <v>30000</v>
      </c>
      <c r="P7" s="13">
        <v>30000</v>
      </c>
      <c r="Q7" s="7">
        <f t="shared" si="5"/>
        <v>0</v>
      </c>
      <c r="R7" t="str">
        <f t="shared" si="6"/>
        <v>PAID</v>
      </c>
      <c r="S7" s="3"/>
      <c r="T7" s="9">
        <f t="shared" si="7"/>
        <v>30000</v>
      </c>
      <c r="U7" t="str">
        <f t="shared" si="8"/>
        <v>OK</v>
      </c>
      <c r="V7" s="10">
        <f t="shared" si="9"/>
        <v>0</v>
      </c>
      <c r="W7" t="str">
        <f t="shared" si="10"/>
        <v>OK</v>
      </c>
      <c r="X7" s="3" t="s">
        <v>28</v>
      </c>
      <c r="Y7" t="s">
        <v>29</v>
      </c>
    </row>
    <row r="8" spans="1:25" x14ac:dyDescent="0.2">
      <c r="A8" t="str">
        <f t="shared" si="0"/>
        <v>TRIP-056</v>
      </c>
      <c r="B8" s="2">
        <v>45692</v>
      </c>
      <c r="C8" s="3" t="str">
        <f>_xlfn.XLOOKUP(D8,'[1]Jan Customer Duplicate Hyva'!$B:$B,'[1]Jan Customer Duplicate Hyva'!$A:$A,"NOT FOUND")</f>
        <v>CUST-018</v>
      </c>
      <c r="D8" s="11" t="s">
        <v>38</v>
      </c>
      <c r="E8" s="11" t="s">
        <v>26</v>
      </c>
      <c r="F8" s="5" t="str">
        <f t="shared" si="1"/>
        <v>Anshu</v>
      </c>
      <c r="G8" s="5" t="str">
        <f t="shared" si="2"/>
        <v/>
      </c>
      <c r="H8" s="5" t="str">
        <f t="shared" si="3"/>
        <v/>
      </c>
      <c r="I8" s="5" t="str">
        <f>_xlfn.XLOOKUP(F8,'[1]Jan Labour Nd Drivers Hyva'!$B:$B,'[2]Jan Labour Nd Drivers Hyva'!$A:$A,"NOT FOUND")</f>
        <v>LAB-002</v>
      </c>
      <c r="J8" s="5" t="str">
        <f>IF(G8="","",_xlfn.XLOOKUP(G8,'[3]Jan Labour Nd Drivers Hyva'!$B:$B,'[2]Jan Labour Nd Drivers Hyva'!$A:$A,"NOT FOUND"))</f>
        <v/>
      </c>
      <c r="K8" s="5" t="str">
        <f>IF(H8="","",_xlfn.XLOOKUP(H8,'[2]Jan Labour Nd Drivers Hyva'!$B:$B,'[2]Jan Labour Nd Drivers Hyva'!$A:$A,"NOT FOUND"))</f>
        <v/>
      </c>
      <c r="L8" s="11" t="s">
        <v>39</v>
      </c>
      <c r="M8" s="12">
        <v>1</v>
      </c>
      <c r="N8" s="13">
        <v>33000</v>
      </c>
      <c r="O8" s="8">
        <f t="shared" si="4"/>
        <v>33000</v>
      </c>
      <c r="P8" s="13">
        <v>33000</v>
      </c>
      <c r="Q8" s="7">
        <f t="shared" si="5"/>
        <v>0</v>
      </c>
      <c r="R8" t="str">
        <f t="shared" si="6"/>
        <v>PAID</v>
      </c>
      <c r="S8" s="3"/>
      <c r="T8" s="9">
        <f t="shared" si="7"/>
        <v>33000</v>
      </c>
      <c r="U8" t="str">
        <f t="shared" si="8"/>
        <v>OK</v>
      </c>
      <c r="V8" s="10">
        <f t="shared" si="9"/>
        <v>0</v>
      </c>
      <c r="W8" t="str">
        <f t="shared" si="10"/>
        <v>OK</v>
      </c>
      <c r="X8" s="3" t="s">
        <v>28</v>
      </c>
      <c r="Y8" t="s">
        <v>29</v>
      </c>
    </row>
    <row r="9" spans="1:25" x14ac:dyDescent="0.2">
      <c r="A9" t="str">
        <f t="shared" si="0"/>
        <v>TRIP-057</v>
      </c>
      <c r="B9" s="2">
        <v>45692</v>
      </c>
      <c r="C9" s="3" t="str">
        <f>_xlfn.XLOOKUP(D9,'[1]Jan Customer Duplicate Hyva'!$B:$B,'[1]Jan Customer Duplicate Hyva'!$A:$A,"NOT FOUND")</f>
        <v>CUST-186</v>
      </c>
      <c r="D9" s="11" t="s">
        <v>40</v>
      </c>
      <c r="E9" s="11" t="s">
        <v>26</v>
      </c>
      <c r="F9" s="5" t="str">
        <f t="shared" si="1"/>
        <v>Anshu</v>
      </c>
      <c r="G9" s="5" t="str">
        <f t="shared" si="2"/>
        <v/>
      </c>
      <c r="H9" s="5" t="str">
        <f t="shared" si="3"/>
        <v/>
      </c>
      <c r="I9" s="5" t="str">
        <f>_xlfn.XLOOKUP(F9,'[1]Jan Labour Nd Drivers Hyva'!$B:$B,'[2]Jan Labour Nd Drivers Hyva'!$A:$A,"NOT FOUND")</f>
        <v>LAB-002</v>
      </c>
      <c r="J9" s="5" t="str">
        <f>IF(G9="","",_xlfn.XLOOKUP(G9,'[3]Jan Labour Nd Drivers Hyva'!$B:$B,'[2]Jan Labour Nd Drivers Hyva'!$A:$A,"NOT FOUND"))</f>
        <v/>
      </c>
      <c r="K9" s="5" t="str">
        <f>IF(H9="","",_xlfn.XLOOKUP(H9,'[2]Jan Labour Nd Drivers Hyva'!$B:$B,'[2]Jan Labour Nd Drivers Hyva'!$A:$A,"NOT FOUND"))</f>
        <v/>
      </c>
      <c r="L9" s="11" t="s">
        <v>41</v>
      </c>
      <c r="M9" s="12">
        <v>1</v>
      </c>
      <c r="N9" s="13">
        <v>34000</v>
      </c>
      <c r="O9" s="8">
        <f t="shared" si="4"/>
        <v>34000</v>
      </c>
      <c r="P9" s="13">
        <v>34000</v>
      </c>
      <c r="Q9" s="7">
        <f t="shared" si="5"/>
        <v>0</v>
      </c>
      <c r="R9" t="str">
        <f t="shared" si="6"/>
        <v>PAID</v>
      </c>
      <c r="S9" s="3"/>
      <c r="T9" s="9">
        <f t="shared" si="7"/>
        <v>34000</v>
      </c>
      <c r="U9" t="str">
        <f t="shared" si="8"/>
        <v>OK</v>
      </c>
      <c r="V9" s="10">
        <f t="shared" si="9"/>
        <v>0</v>
      </c>
      <c r="W9" t="str">
        <f t="shared" si="10"/>
        <v>OK</v>
      </c>
      <c r="X9" s="3" t="s">
        <v>28</v>
      </c>
      <c r="Y9" t="s">
        <v>29</v>
      </c>
    </row>
    <row r="10" spans="1:25" x14ac:dyDescent="0.2">
      <c r="A10" t="str">
        <f t="shared" si="0"/>
        <v>TRIP-058</v>
      </c>
      <c r="B10" s="2">
        <v>45694</v>
      </c>
      <c r="C10" s="3" t="str">
        <f>_xlfn.XLOOKUP(D10,'[1]Jan Customer Duplicate Hyva'!$B:$B,'[1]Jan Customer Duplicate Hyva'!$A:$A,"NOT FOUND")</f>
        <v>CUST-180</v>
      </c>
      <c r="D10" s="11" t="s">
        <v>42</v>
      </c>
      <c r="E10" s="11" t="s">
        <v>30</v>
      </c>
      <c r="F10" s="5" t="str">
        <f t="shared" si="1"/>
        <v>Ravi</v>
      </c>
      <c r="G10" s="5" t="str">
        <f t="shared" si="2"/>
        <v/>
      </c>
      <c r="H10" s="5" t="str">
        <f t="shared" si="3"/>
        <v/>
      </c>
      <c r="I10" s="5" t="str">
        <f>_xlfn.XLOOKUP(F10,'[1]Jan Labour Nd Drivers Hyva'!$B:$B,'[2]Jan Labour Nd Drivers Hyva'!$A:$A,"NOT FOUND")</f>
        <v>LAB-003</v>
      </c>
      <c r="J10" s="5" t="str">
        <f>IF(G10="","",_xlfn.XLOOKUP(G10,'[3]Jan Labour Nd Drivers Hyva'!$B:$B,'[2]Jan Labour Nd Drivers Hyva'!$A:$A,"NOT FOUND"))</f>
        <v/>
      </c>
      <c r="K10" s="5" t="str">
        <f>IF(H10="","",_xlfn.XLOOKUP(H10,'[2]Jan Labour Nd Drivers Hyva'!$B:$B,'[2]Jan Labour Nd Drivers Hyva'!$A:$A,"NOT FOUND"))</f>
        <v/>
      </c>
      <c r="L10" s="11" t="s">
        <v>43</v>
      </c>
      <c r="M10" s="12">
        <v>1</v>
      </c>
      <c r="N10" s="13">
        <v>34000</v>
      </c>
      <c r="O10" s="8">
        <f t="shared" si="4"/>
        <v>34000</v>
      </c>
      <c r="P10" s="13">
        <v>34000</v>
      </c>
      <c r="Q10" s="7">
        <f t="shared" si="5"/>
        <v>0</v>
      </c>
      <c r="R10" t="str">
        <f t="shared" si="6"/>
        <v>PAID</v>
      </c>
      <c r="S10" s="3"/>
      <c r="T10" s="9">
        <f t="shared" si="7"/>
        <v>34000</v>
      </c>
      <c r="U10" t="str">
        <f t="shared" si="8"/>
        <v>OK</v>
      </c>
      <c r="V10" s="10">
        <f t="shared" si="9"/>
        <v>0</v>
      </c>
      <c r="W10" t="str">
        <f t="shared" si="10"/>
        <v>OK</v>
      </c>
      <c r="X10" s="3" t="s">
        <v>28</v>
      </c>
      <c r="Y10" t="s">
        <v>29</v>
      </c>
    </row>
    <row r="11" spans="1:25" x14ac:dyDescent="0.2">
      <c r="A11" t="str">
        <f t="shared" si="0"/>
        <v>TRIP-059</v>
      </c>
      <c r="B11" s="2">
        <v>45695</v>
      </c>
      <c r="C11" s="3" t="str">
        <f>_xlfn.XLOOKUP(D11,'[1]Jan Customer Duplicate Hyva'!$B:$B,'[1]Jan Customer Duplicate Hyva'!$A:$A,"NOT FOUND")</f>
        <v>CUST-127</v>
      </c>
      <c r="D11" s="11" t="s">
        <v>44</v>
      </c>
      <c r="E11" s="11" t="s">
        <v>30</v>
      </c>
      <c r="F11" s="5" t="str">
        <f>TRIM(_xlfn.TEXTBEFORE(E11&amp;" / "," / "))</f>
        <v>Ravi</v>
      </c>
      <c r="G11" s="5" t="str">
        <f t="shared" si="2"/>
        <v/>
      </c>
      <c r="H11" s="5" t="str">
        <f t="shared" si="3"/>
        <v/>
      </c>
      <c r="I11" s="5" t="str">
        <f>_xlfn.XLOOKUP(F11,'[1]Jan Labour Nd Drivers Hyva'!$B:$B,'[2]Jan Labour Nd Drivers Hyva'!$A:$A,"NOT FOUND")</f>
        <v>LAB-003</v>
      </c>
      <c r="J11" s="5" t="str">
        <f>IF(G11="","",_xlfn.XLOOKUP(G11,'[3]Jan Labour Nd Drivers Hyva'!$B:$B,'[2]Jan Labour Nd Drivers Hyva'!$A:$A,"NOT FOUND"))</f>
        <v/>
      </c>
      <c r="K11" s="5" t="str">
        <f>IF(H11="","",_xlfn.XLOOKUP(H11,'[2]Jan Labour Nd Drivers Hyva'!$B:$B,'[2]Jan Labour Nd Drivers Hyva'!$A:$A,"NOT FOUND"))</f>
        <v/>
      </c>
      <c r="L11" s="11" t="s">
        <v>45</v>
      </c>
      <c r="M11" s="12">
        <v>1</v>
      </c>
      <c r="N11" s="13">
        <v>32000</v>
      </c>
      <c r="O11" s="8">
        <f t="shared" si="4"/>
        <v>32000</v>
      </c>
      <c r="P11" s="13">
        <v>32000</v>
      </c>
      <c r="Q11" s="7">
        <f t="shared" si="5"/>
        <v>0</v>
      </c>
      <c r="R11" t="str">
        <f t="shared" si="6"/>
        <v>PAID</v>
      </c>
      <c r="S11" s="3"/>
      <c r="T11" s="9">
        <f t="shared" si="7"/>
        <v>32000</v>
      </c>
      <c r="U11" t="str">
        <f t="shared" si="8"/>
        <v>OK</v>
      </c>
      <c r="V11" s="10">
        <f t="shared" si="9"/>
        <v>0</v>
      </c>
      <c r="W11" t="str">
        <f t="shared" si="10"/>
        <v>OK</v>
      </c>
      <c r="X11" s="3" t="s">
        <v>28</v>
      </c>
      <c r="Y11" t="s">
        <v>29</v>
      </c>
    </row>
    <row r="12" spans="1:25" x14ac:dyDescent="0.2">
      <c r="A12" t="str">
        <f t="shared" si="0"/>
        <v>TRIP-060</v>
      </c>
      <c r="B12" s="2">
        <v>45697</v>
      </c>
      <c r="C12" s="3" t="str">
        <f>_xlfn.XLOOKUP(D12,'[1]Jan Customer Duplicate Hyva'!$B:$B,'[1]Jan Customer Duplicate Hyva'!$A:$A,"NOT FOUND")</f>
        <v>CUST-169</v>
      </c>
      <c r="D12" s="11" t="s">
        <v>46</v>
      </c>
      <c r="E12" s="11" t="s">
        <v>30</v>
      </c>
      <c r="F12" s="5" t="str">
        <f t="shared" si="1"/>
        <v>Ravi</v>
      </c>
      <c r="G12" s="5" t="str">
        <f t="shared" si="2"/>
        <v/>
      </c>
      <c r="H12" s="5" t="str">
        <f t="shared" si="3"/>
        <v/>
      </c>
      <c r="I12" s="5" t="str">
        <f>_xlfn.XLOOKUP(F12,'[1]Jan Labour Nd Drivers Hyva'!$B:$B,'[2]Jan Labour Nd Drivers Hyva'!$A:$A,"NOT FOUND")</f>
        <v>LAB-003</v>
      </c>
      <c r="J12" s="5" t="str">
        <f>IF(G12="","",_xlfn.XLOOKUP(G12,'[3]Jan Labour Nd Drivers Hyva'!$B:$B,'[2]Jan Labour Nd Drivers Hyva'!$A:$A,"NOT FOUND"))</f>
        <v/>
      </c>
      <c r="K12" s="5" t="str">
        <f>IF(H12="","",_xlfn.XLOOKUP(H12,'[2]Jan Labour Nd Drivers Hyva'!$B:$B,'[2]Jan Labour Nd Drivers Hyva'!$A:$A,"NOT FOUND"))</f>
        <v/>
      </c>
      <c r="L12" s="11" t="s">
        <v>47</v>
      </c>
      <c r="M12" s="12">
        <v>1</v>
      </c>
      <c r="N12" s="13">
        <v>40000</v>
      </c>
      <c r="O12" s="8">
        <f t="shared" si="4"/>
        <v>40000</v>
      </c>
      <c r="P12" s="13">
        <v>40000</v>
      </c>
      <c r="Q12" s="7">
        <f t="shared" si="5"/>
        <v>0</v>
      </c>
      <c r="R12" t="str">
        <f t="shared" si="6"/>
        <v>PAID</v>
      </c>
      <c r="S12" s="3"/>
      <c r="T12" s="9">
        <f t="shared" si="7"/>
        <v>40000</v>
      </c>
      <c r="U12" t="str">
        <f t="shared" si="8"/>
        <v>OK</v>
      </c>
      <c r="V12" s="10">
        <f t="shared" si="9"/>
        <v>0</v>
      </c>
      <c r="W12" t="str">
        <f t="shared" si="10"/>
        <v>OK</v>
      </c>
      <c r="X12" s="3" t="s">
        <v>28</v>
      </c>
      <c r="Y12" t="s">
        <v>29</v>
      </c>
    </row>
    <row r="13" spans="1:25" x14ac:dyDescent="0.2">
      <c r="A13" t="str">
        <f t="shared" si="0"/>
        <v>TRIP-061</v>
      </c>
      <c r="B13" s="2">
        <v>45697</v>
      </c>
      <c r="C13" s="3" t="str">
        <f>_xlfn.XLOOKUP(D13,'[1]Jan Customer Duplicate Hyva'!$B:$B,'[1]Jan Customer Duplicate Hyva'!$A:$A,"NOT FOUND")</f>
        <v>CUST-353</v>
      </c>
      <c r="D13" s="11" t="s">
        <v>48</v>
      </c>
      <c r="E13" s="11" t="s">
        <v>30</v>
      </c>
      <c r="F13" s="5" t="str">
        <f t="shared" si="1"/>
        <v>Ravi</v>
      </c>
      <c r="G13" s="5" t="str">
        <f t="shared" si="2"/>
        <v/>
      </c>
      <c r="H13" s="5" t="str">
        <f t="shared" si="3"/>
        <v/>
      </c>
      <c r="I13" s="5" t="str">
        <f>_xlfn.XLOOKUP(F13,'[1]Jan Labour Nd Drivers Hyva'!$B:$B,'[2]Jan Labour Nd Drivers Hyva'!$A:$A,"NOT FOUND")</f>
        <v>LAB-003</v>
      </c>
      <c r="J13" s="5" t="str">
        <f>IF(G13="","",_xlfn.XLOOKUP(G13,'[3]Jan Labour Nd Drivers Hyva'!$B:$B,'[2]Jan Labour Nd Drivers Hyva'!$A:$A,"NOT FOUND"))</f>
        <v/>
      </c>
      <c r="K13" s="5" t="str">
        <f>IF(H13="","",_xlfn.XLOOKUP(H13,'[2]Jan Labour Nd Drivers Hyva'!$B:$B,'[2]Jan Labour Nd Drivers Hyva'!$A:$A,"NOT FOUND"))</f>
        <v/>
      </c>
      <c r="L13" s="11" t="s">
        <v>49</v>
      </c>
      <c r="M13" s="12">
        <v>1</v>
      </c>
      <c r="N13" s="13">
        <v>32000</v>
      </c>
      <c r="O13" s="8">
        <f t="shared" si="4"/>
        <v>32000</v>
      </c>
      <c r="P13" s="13">
        <v>32000</v>
      </c>
      <c r="Q13" s="7">
        <f t="shared" si="5"/>
        <v>0</v>
      </c>
      <c r="R13" t="str">
        <f t="shared" si="6"/>
        <v>PAID</v>
      </c>
      <c r="S13" s="3"/>
      <c r="T13" s="9">
        <f t="shared" si="7"/>
        <v>32000</v>
      </c>
      <c r="U13" t="str">
        <f t="shared" si="8"/>
        <v>OK</v>
      </c>
      <c r="V13" s="10">
        <f t="shared" si="9"/>
        <v>0</v>
      </c>
      <c r="W13" t="str">
        <f t="shared" si="10"/>
        <v>OK</v>
      </c>
      <c r="X13" s="3" t="s">
        <v>28</v>
      </c>
      <c r="Y13" t="s">
        <v>29</v>
      </c>
    </row>
    <row r="14" spans="1:25" x14ac:dyDescent="0.2">
      <c r="A14" t="str">
        <f t="shared" si="0"/>
        <v>TRIP-062</v>
      </c>
      <c r="B14" s="2">
        <v>45697</v>
      </c>
      <c r="C14" s="3" t="str">
        <f>_xlfn.XLOOKUP(D14,'[1]Jan Customer Duplicate Hyva'!$B:$B,'[1]Jan Customer Duplicate Hyva'!$A:$A,"NOT FOUND")</f>
        <v>CUST-136</v>
      </c>
      <c r="D14" s="11" t="s">
        <v>50</v>
      </c>
      <c r="E14" s="11" t="s">
        <v>30</v>
      </c>
      <c r="F14" s="5" t="str">
        <f t="shared" si="1"/>
        <v>Ravi</v>
      </c>
      <c r="G14" s="5" t="str">
        <f t="shared" si="2"/>
        <v/>
      </c>
      <c r="H14" s="5" t="str">
        <f t="shared" si="3"/>
        <v/>
      </c>
      <c r="I14" s="5" t="str">
        <f>_xlfn.XLOOKUP(F14,'[1]Jan Labour Nd Drivers Hyva'!$B:$B,'[2]Jan Labour Nd Drivers Hyva'!$A:$A,"NOT FOUND")</f>
        <v>LAB-003</v>
      </c>
      <c r="J14" s="5" t="str">
        <f>IF(G14="","",_xlfn.XLOOKUP(G14,'[3]Jan Labour Nd Drivers Hyva'!$B:$B,'[2]Jan Labour Nd Drivers Hyva'!$A:$A,"NOT FOUND"))</f>
        <v/>
      </c>
      <c r="K14" s="5" t="str">
        <f>IF(H14="","",_xlfn.XLOOKUP(H14,'[2]Jan Labour Nd Drivers Hyva'!$B:$B,'[2]Jan Labour Nd Drivers Hyva'!$A:$A,"NOT FOUND"))</f>
        <v/>
      </c>
      <c r="L14" s="11" t="s">
        <v>33</v>
      </c>
      <c r="M14" s="12">
        <v>1</v>
      </c>
      <c r="N14" s="13">
        <v>35000</v>
      </c>
      <c r="O14" s="8">
        <f t="shared" si="4"/>
        <v>35000</v>
      </c>
      <c r="P14" s="13">
        <v>35000</v>
      </c>
      <c r="Q14" s="7">
        <f t="shared" si="5"/>
        <v>0</v>
      </c>
      <c r="R14" t="str">
        <f t="shared" si="6"/>
        <v>PAID</v>
      </c>
      <c r="S14" s="3"/>
      <c r="T14" s="9">
        <f t="shared" si="7"/>
        <v>35000</v>
      </c>
      <c r="U14" t="str">
        <f t="shared" si="8"/>
        <v>OK</v>
      </c>
      <c r="V14" s="10">
        <f t="shared" si="9"/>
        <v>0</v>
      </c>
      <c r="W14" t="str">
        <f t="shared" si="10"/>
        <v>OK</v>
      </c>
      <c r="X14" s="3" t="s">
        <v>28</v>
      </c>
      <c r="Y14" t="s">
        <v>29</v>
      </c>
    </row>
    <row r="15" spans="1:25" x14ac:dyDescent="0.2">
      <c r="A15" t="str">
        <f t="shared" si="0"/>
        <v>TRIP-063</v>
      </c>
      <c r="B15" s="2">
        <v>45697</v>
      </c>
      <c r="C15" s="3" t="str">
        <f>_xlfn.XLOOKUP(D15,'[1]Jan Customer Duplicate Hyva'!$B:$B,'[1]Jan Customer Duplicate Hyva'!$A:$A,"NOT FOUND")</f>
        <v>CUST-323</v>
      </c>
      <c r="D15" s="3" t="s">
        <v>51</v>
      </c>
      <c r="E15" s="11" t="s">
        <v>26</v>
      </c>
      <c r="F15" s="5" t="str">
        <f t="shared" si="1"/>
        <v>Anshu</v>
      </c>
      <c r="G15" s="5" t="str">
        <f t="shared" si="2"/>
        <v/>
      </c>
      <c r="H15" s="5" t="str">
        <f t="shared" si="3"/>
        <v/>
      </c>
      <c r="I15" s="5" t="str">
        <f>_xlfn.XLOOKUP(F15,'[1]Jan Labour Nd Drivers Hyva'!$B:$B,'[2]Jan Labour Nd Drivers Hyva'!$A:$A,"NOT FOUND")</f>
        <v>LAB-002</v>
      </c>
      <c r="J15" s="5" t="str">
        <f>IF(G15="","",_xlfn.XLOOKUP(G15,'[3]Jan Labour Nd Drivers Hyva'!$B:$B,'[2]Jan Labour Nd Drivers Hyva'!$A:$A,"NOT FOUND"))</f>
        <v/>
      </c>
      <c r="K15" s="5" t="str">
        <f>IF(H15="","",_xlfn.XLOOKUP(H15,'[2]Jan Labour Nd Drivers Hyva'!$B:$B,'[2]Jan Labour Nd Drivers Hyva'!$A:$A,"NOT FOUND"))</f>
        <v/>
      </c>
      <c r="L15" s="11" t="s">
        <v>52</v>
      </c>
      <c r="M15" s="12">
        <v>1</v>
      </c>
      <c r="N15" s="13">
        <v>35000</v>
      </c>
      <c r="O15" s="8">
        <f t="shared" si="4"/>
        <v>35000</v>
      </c>
      <c r="P15" s="13"/>
      <c r="Q15" s="7">
        <f t="shared" si="5"/>
        <v>35000</v>
      </c>
      <c r="R15" t="str">
        <f t="shared" si="6"/>
        <v>UNPAID</v>
      </c>
      <c r="S15" s="3"/>
      <c r="T15" s="9">
        <f t="shared" si="7"/>
        <v>35000</v>
      </c>
      <c r="U15" t="str">
        <f t="shared" si="8"/>
        <v>OK</v>
      </c>
      <c r="V15" s="10">
        <f t="shared" si="9"/>
        <v>35000</v>
      </c>
      <c r="W15" t="str">
        <f t="shared" si="10"/>
        <v>OK</v>
      </c>
      <c r="X15" s="3" t="s">
        <v>28</v>
      </c>
      <c r="Y15" t="s">
        <v>29</v>
      </c>
    </row>
    <row r="16" spans="1:25" x14ac:dyDescent="0.2">
      <c r="A16" t="str">
        <f t="shared" si="0"/>
        <v>TRIP-064</v>
      </c>
      <c r="B16" s="2">
        <v>45698</v>
      </c>
      <c r="C16" s="3" t="str">
        <f>_xlfn.XLOOKUP(D16,'[1]Jan Customer Duplicate Hyva'!$B:$B,'[1]Jan Customer Duplicate Hyva'!$A:$A,"NOT FOUND")</f>
        <v>CUST-294</v>
      </c>
      <c r="D16" s="11" t="s">
        <v>53</v>
      </c>
      <c r="E16" s="11" t="s">
        <v>26</v>
      </c>
      <c r="F16" s="5" t="str">
        <f t="shared" si="1"/>
        <v>Anshu</v>
      </c>
      <c r="G16" s="5" t="str">
        <f t="shared" si="2"/>
        <v/>
      </c>
      <c r="H16" s="5" t="str">
        <f t="shared" si="3"/>
        <v/>
      </c>
      <c r="I16" s="5" t="str">
        <f>_xlfn.XLOOKUP(F16,'[1]Jan Labour Nd Drivers Hyva'!$B:$B,'[2]Jan Labour Nd Drivers Hyva'!$A:$A,"NOT FOUND")</f>
        <v>LAB-002</v>
      </c>
      <c r="J16" s="5" t="str">
        <f>IF(G16="","",_xlfn.XLOOKUP(G16,'[3]Jan Labour Nd Drivers Hyva'!$B:$B,'[2]Jan Labour Nd Drivers Hyva'!$A:$A,"NOT FOUND"))</f>
        <v/>
      </c>
      <c r="K16" s="5" t="str">
        <f>IF(H16="","",_xlfn.XLOOKUP(H16,'[2]Jan Labour Nd Drivers Hyva'!$B:$B,'[2]Jan Labour Nd Drivers Hyva'!$A:$A,"NOT FOUND"))</f>
        <v/>
      </c>
      <c r="L16" s="11" t="s">
        <v>33</v>
      </c>
      <c r="M16" s="12">
        <v>1</v>
      </c>
      <c r="N16" s="13">
        <v>32000</v>
      </c>
      <c r="O16" s="8">
        <f t="shared" si="4"/>
        <v>32000</v>
      </c>
      <c r="P16" s="13">
        <v>30000</v>
      </c>
      <c r="Q16" s="7">
        <f t="shared" si="5"/>
        <v>2000</v>
      </c>
      <c r="R16" t="str">
        <f t="shared" si="6"/>
        <v>PARTIAL</v>
      </c>
      <c r="S16" s="3"/>
      <c r="T16" s="9">
        <f t="shared" si="7"/>
        <v>32000</v>
      </c>
      <c r="U16" t="str">
        <f t="shared" si="8"/>
        <v>OK</v>
      </c>
      <c r="V16" s="10">
        <f t="shared" si="9"/>
        <v>2000</v>
      </c>
      <c r="W16" t="str">
        <f t="shared" si="10"/>
        <v>OK</v>
      </c>
      <c r="X16" s="3" t="s">
        <v>28</v>
      </c>
      <c r="Y16" t="s">
        <v>29</v>
      </c>
    </row>
    <row r="17" spans="1:25" x14ac:dyDescent="0.2">
      <c r="A17" t="str">
        <f t="shared" si="0"/>
        <v>TRIP-065</v>
      </c>
      <c r="B17" s="2">
        <v>45698</v>
      </c>
      <c r="C17" s="3" t="str">
        <f>_xlfn.XLOOKUP(D17,'[1]Jan Customer Duplicate Hyva'!$B:$B,'[1]Jan Customer Duplicate Hyva'!$A:$A,"NOT FOUND")</f>
        <v>CUST-172</v>
      </c>
      <c r="D17" s="3" t="s">
        <v>54</v>
      </c>
      <c r="E17" s="11" t="s">
        <v>55</v>
      </c>
      <c r="F17" s="5" t="str">
        <f t="shared" si="1"/>
        <v>Gaju Bhau</v>
      </c>
      <c r="G17" s="5" t="str">
        <f t="shared" si="2"/>
        <v/>
      </c>
      <c r="H17" s="5" t="str">
        <f t="shared" si="3"/>
        <v/>
      </c>
      <c r="I17" s="5" t="str">
        <f>_xlfn.XLOOKUP(F17,'[1]Jan Labour Nd Drivers Hyva'!$B:$B,'[2]Jan Labour Nd Drivers Hyva'!$A:$A,"NOT FOUND")</f>
        <v>LAB-001</v>
      </c>
      <c r="J17" s="5" t="str">
        <f>IF(G17="","",_xlfn.XLOOKUP(G17,'[3]Jan Labour Nd Drivers Hyva'!$B:$B,'[2]Jan Labour Nd Drivers Hyva'!$A:$A,"NOT FOUND"))</f>
        <v/>
      </c>
      <c r="K17" s="5" t="str">
        <f>IF(H17="","",_xlfn.XLOOKUP(H17,'[2]Jan Labour Nd Drivers Hyva'!$B:$B,'[2]Jan Labour Nd Drivers Hyva'!$A:$A,"NOT FOUND"))</f>
        <v/>
      </c>
      <c r="L17" s="11" t="s">
        <v>56</v>
      </c>
      <c r="M17" s="12">
        <v>1</v>
      </c>
      <c r="N17" s="13">
        <v>31000</v>
      </c>
      <c r="O17" s="8">
        <f t="shared" si="4"/>
        <v>31000</v>
      </c>
      <c r="P17" s="13">
        <v>31000</v>
      </c>
      <c r="Q17" s="7">
        <f t="shared" si="5"/>
        <v>0</v>
      </c>
      <c r="R17" t="str">
        <f t="shared" si="6"/>
        <v>PAID</v>
      </c>
      <c r="S17" s="3"/>
      <c r="T17" s="9">
        <f t="shared" si="7"/>
        <v>31000</v>
      </c>
      <c r="U17" t="str">
        <f t="shared" si="8"/>
        <v>OK</v>
      </c>
      <c r="V17" s="10">
        <f t="shared" si="9"/>
        <v>0</v>
      </c>
      <c r="W17" t="str">
        <f t="shared" si="10"/>
        <v>OK</v>
      </c>
      <c r="X17" s="3" t="s">
        <v>28</v>
      </c>
      <c r="Y17" t="s">
        <v>29</v>
      </c>
    </row>
    <row r="18" spans="1:25" x14ac:dyDescent="0.2">
      <c r="A18" t="str">
        <f t="shared" si="0"/>
        <v>TRIP-066</v>
      </c>
      <c r="B18" s="2">
        <v>45698</v>
      </c>
      <c r="C18" s="3" t="str">
        <f>_xlfn.XLOOKUP(D18,'[1]Jan Customer Duplicate Hyva'!$B:$B,'[1]Jan Customer Duplicate Hyva'!$A:$A,"NOT FOUND")</f>
        <v>NOT FOUND</v>
      </c>
      <c r="D18" s="11" t="s">
        <v>57</v>
      </c>
      <c r="E18" s="11" t="s">
        <v>30</v>
      </c>
      <c r="F18" s="5" t="str">
        <f t="shared" si="1"/>
        <v>Ravi</v>
      </c>
      <c r="G18" s="5" t="str">
        <f t="shared" si="2"/>
        <v/>
      </c>
      <c r="H18" s="5" t="str">
        <f t="shared" si="3"/>
        <v/>
      </c>
      <c r="I18" s="5" t="str">
        <f>_xlfn.XLOOKUP(F18,'[1]Jan Labour Nd Drivers Hyva'!$B:$B,'[2]Jan Labour Nd Drivers Hyva'!$A:$A,"NOT FOUND")</f>
        <v>LAB-003</v>
      </c>
      <c r="J18" s="5" t="str">
        <f>IF(G18="","",_xlfn.XLOOKUP(G18,'[3]Jan Labour Nd Drivers Hyva'!$B:$B,'[2]Jan Labour Nd Drivers Hyva'!$A:$A,"NOT FOUND"))</f>
        <v/>
      </c>
      <c r="K18" s="5" t="str">
        <f>IF(H18="","",_xlfn.XLOOKUP(H18,'[2]Jan Labour Nd Drivers Hyva'!$B:$B,'[2]Jan Labour Nd Drivers Hyva'!$A:$A,"NOT FOUND"))</f>
        <v/>
      </c>
      <c r="L18" s="11" t="s">
        <v>56</v>
      </c>
      <c r="M18" s="12">
        <v>1</v>
      </c>
      <c r="N18" s="13">
        <v>35000</v>
      </c>
      <c r="O18" s="8">
        <f t="shared" si="4"/>
        <v>35000</v>
      </c>
      <c r="P18" s="13">
        <v>35000</v>
      </c>
      <c r="Q18" s="7">
        <f t="shared" si="5"/>
        <v>0</v>
      </c>
      <c r="R18" t="str">
        <f t="shared" si="6"/>
        <v>PAID</v>
      </c>
      <c r="S18" s="3"/>
      <c r="T18" s="9">
        <f t="shared" si="7"/>
        <v>35000</v>
      </c>
      <c r="U18" t="str">
        <f t="shared" si="8"/>
        <v>OK</v>
      </c>
      <c r="V18" s="10">
        <f t="shared" si="9"/>
        <v>0</v>
      </c>
      <c r="W18" t="str">
        <f t="shared" si="10"/>
        <v>OK</v>
      </c>
      <c r="X18" s="3" t="s">
        <v>28</v>
      </c>
      <c r="Y18" t="s">
        <v>29</v>
      </c>
    </row>
    <row r="19" spans="1:25" x14ac:dyDescent="0.2">
      <c r="A19" t="str">
        <f t="shared" si="0"/>
        <v>TRIP-067</v>
      </c>
      <c r="B19" s="2">
        <v>45699</v>
      </c>
      <c r="C19" s="3" t="str">
        <f>_xlfn.XLOOKUP(D19,'[1]Jan Customer Duplicate Hyva'!$B:$B,'[1]Jan Customer Duplicate Hyva'!$A:$A,"NOT FOUND")</f>
        <v>CUST-236</v>
      </c>
      <c r="D19" s="11" t="s">
        <v>58</v>
      </c>
      <c r="E19" s="11" t="s">
        <v>26</v>
      </c>
      <c r="F19" s="5" t="str">
        <f t="shared" si="1"/>
        <v>Anshu</v>
      </c>
      <c r="G19" s="5" t="str">
        <f t="shared" si="2"/>
        <v/>
      </c>
      <c r="H19" s="5" t="str">
        <f t="shared" si="3"/>
        <v/>
      </c>
      <c r="I19" s="5" t="str">
        <f>_xlfn.XLOOKUP(F19,'[1]Jan Labour Nd Drivers Hyva'!$B:$B,'[2]Jan Labour Nd Drivers Hyva'!$A:$A,"NOT FOUND")</f>
        <v>LAB-002</v>
      </c>
      <c r="J19" s="5" t="str">
        <f>IF(G19="","",_xlfn.XLOOKUP(G19,'[3]Jan Labour Nd Drivers Hyva'!$B:$B,'[2]Jan Labour Nd Drivers Hyva'!$A:$A,"NOT FOUND"))</f>
        <v/>
      </c>
      <c r="K19" s="5" t="str">
        <f>IF(H19="","",_xlfn.XLOOKUP(H19,'[2]Jan Labour Nd Drivers Hyva'!$B:$B,'[2]Jan Labour Nd Drivers Hyva'!$A:$A,"NOT FOUND"))</f>
        <v/>
      </c>
      <c r="L19" s="11" t="s">
        <v>59</v>
      </c>
      <c r="M19" s="12">
        <v>1</v>
      </c>
      <c r="N19" s="13">
        <v>32000</v>
      </c>
      <c r="O19" s="8">
        <f t="shared" si="4"/>
        <v>32000</v>
      </c>
      <c r="P19" s="13">
        <v>32000</v>
      </c>
      <c r="Q19" s="7">
        <f t="shared" si="5"/>
        <v>0</v>
      </c>
      <c r="R19" t="str">
        <f t="shared" si="6"/>
        <v>PAID</v>
      </c>
      <c r="S19" s="3"/>
      <c r="T19" s="9">
        <f t="shared" si="7"/>
        <v>32000</v>
      </c>
      <c r="U19" t="str">
        <f t="shared" si="8"/>
        <v>OK</v>
      </c>
      <c r="V19" s="10">
        <f t="shared" si="9"/>
        <v>0</v>
      </c>
      <c r="W19" t="str">
        <f t="shared" si="10"/>
        <v>OK</v>
      </c>
      <c r="X19" s="3" t="s">
        <v>28</v>
      </c>
      <c r="Y19" t="s">
        <v>29</v>
      </c>
    </row>
    <row r="20" spans="1:25" x14ac:dyDescent="0.2">
      <c r="A20" t="str">
        <f t="shared" si="0"/>
        <v>TRIP-068</v>
      </c>
      <c r="B20" s="2">
        <v>45699</v>
      </c>
      <c r="C20" s="3" t="str">
        <f>_xlfn.XLOOKUP(D20,'[1]Jan Customer Duplicate Hyva'!$B:$B,'[1]Jan Customer Duplicate Hyva'!$A:$A,"NOT FOUND")</f>
        <v>CUST-218</v>
      </c>
      <c r="D20" s="11" t="s">
        <v>60</v>
      </c>
      <c r="E20" s="11" t="s">
        <v>26</v>
      </c>
      <c r="F20" s="5" t="str">
        <f>TRIM(_xlfn.TEXTBEFORE(E20&amp;" / "," / "))</f>
        <v>Anshu</v>
      </c>
      <c r="G20" s="5" t="str">
        <f t="shared" si="2"/>
        <v/>
      </c>
      <c r="H20" s="5" t="str">
        <f t="shared" si="3"/>
        <v/>
      </c>
      <c r="I20" s="5" t="str">
        <f>_xlfn.XLOOKUP(F20,'[1]Jan Labour Nd Drivers Hyva'!$B:$B,'[2]Jan Labour Nd Drivers Hyva'!$A:$A,"NOT FOUND")</f>
        <v>LAB-002</v>
      </c>
      <c r="J20" s="5" t="str">
        <f>IF(G20="","",_xlfn.XLOOKUP(G20,'[3]Jan Labour Nd Drivers Hyva'!$B:$B,'[2]Jan Labour Nd Drivers Hyva'!$A:$A,"NOT FOUND"))</f>
        <v/>
      </c>
      <c r="K20" s="5" t="str">
        <f>IF(H20="","",_xlfn.XLOOKUP(H20,'[2]Jan Labour Nd Drivers Hyva'!$B:$B,'[2]Jan Labour Nd Drivers Hyva'!$A:$A,"NOT FOUND"))</f>
        <v/>
      </c>
      <c r="L20" s="11" t="s">
        <v>61</v>
      </c>
      <c r="M20" s="12">
        <v>1</v>
      </c>
      <c r="N20" s="13">
        <v>32500</v>
      </c>
      <c r="O20" s="8">
        <f t="shared" si="4"/>
        <v>32500</v>
      </c>
      <c r="P20" s="13">
        <v>32500</v>
      </c>
      <c r="Q20" s="7">
        <f t="shared" si="5"/>
        <v>0</v>
      </c>
      <c r="R20" t="str">
        <f t="shared" si="6"/>
        <v>PAID</v>
      </c>
      <c r="S20" s="3"/>
      <c r="T20" s="9">
        <f t="shared" si="7"/>
        <v>32500</v>
      </c>
      <c r="U20" t="str">
        <f t="shared" si="8"/>
        <v>OK</v>
      </c>
      <c r="V20" s="10">
        <f t="shared" si="9"/>
        <v>0</v>
      </c>
      <c r="W20" t="str">
        <f t="shared" si="10"/>
        <v>OK</v>
      </c>
      <c r="X20" s="3" t="s">
        <v>28</v>
      </c>
      <c r="Y20" t="s">
        <v>29</v>
      </c>
    </row>
    <row r="21" spans="1:25" x14ac:dyDescent="0.2">
      <c r="A21" t="str">
        <f t="shared" si="0"/>
        <v>TRIP-069</v>
      </c>
      <c r="B21" s="2">
        <v>45701</v>
      </c>
      <c r="C21" s="3" t="str">
        <f>_xlfn.XLOOKUP(D21,'[1]Jan Customer Duplicate Hyva'!$B:$B,'[1]Jan Customer Duplicate Hyva'!$A:$A,"NOT FOUND")</f>
        <v>CUST-218</v>
      </c>
      <c r="D21" s="11" t="s">
        <v>60</v>
      </c>
      <c r="E21" s="11" t="s">
        <v>30</v>
      </c>
      <c r="F21" s="5" t="str">
        <f t="shared" si="1"/>
        <v>Ravi</v>
      </c>
      <c r="G21" s="5" t="str">
        <f t="shared" si="2"/>
        <v/>
      </c>
      <c r="H21" s="5" t="str">
        <f t="shared" si="3"/>
        <v/>
      </c>
      <c r="I21" s="5" t="str">
        <f>_xlfn.XLOOKUP(F21,'[1]Jan Labour Nd Drivers Hyva'!$B:$B,'[2]Jan Labour Nd Drivers Hyva'!$A:$A,"NOT FOUND")</f>
        <v>LAB-003</v>
      </c>
      <c r="J21" s="5" t="str">
        <f>IF(G21="","",_xlfn.XLOOKUP(G21,'[3]Jan Labour Nd Drivers Hyva'!$B:$B,'[2]Jan Labour Nd Drivers Hyva'!$A:$A,"NOT FOUND"))</f>
        <v/>
      </c>
      <c r="K21" s="5" t="str">
        <f>IF(H21="","",_xlfn.XLOOKUP(H21,'[2]Jan Labour Nd Drivers Hyva'!$B:$B,'[2]Jan Labour Nd Drivers Hyva'!$A:$A,"NOT FOUND"))</f>
        <v/>
      </c>
      <c r="L21" s="11" t="s">
        <v>61</v>
      </c>
      <c r="M21" s="12">
        <v>1</v>
      </c>
      <c r="N21" s="13">
        <v>32500</v>
      </c>
      <c r="O21" s="8">
        <f t="shared" si="4"/>
        <v>32500</v>
      </c>
      <c r="P21" s="13">
        <v>32500</v>
      </c>
      <c r="Q21" s="7">
        <f t="shared" si="5"/>
        <v>0</v>
      </c>
      <c r="R21" t="str">
        <f t="shared" si="6"/>
        <v>PAID</v>
      </c>
      <c r="S21" s="3"/>
      <c r="T21" s="9">
        <f t="shared" si="7"/>
        <v>32500</v>
      </c>
      <c r="U21" t="str">
        <f t="shared" si="8"/>
        <v>OK</v>
      </c>
      <c r="V21" s="10">
        <f t="shared" si="9"/>
        <v>0</v>
      </c>
      <c r="W21" t="str">
        <f t="shared" si="10"/>
        <v>OK</v>
      </c>
      <c r="X21" s="3" t="s">
        <v>28</v>
      </c>
      <c r="Y21" t="s">
        <v>29</v>
      </c>
    </row>
    <row r="22" spans="1:25" x14ac:dyDescent="0.2">
      <c r="A22" t="str">
        <f t="shared" si="0"/>
        <v>TRIP-070</v>
      </c>
      <c r="B22" s="2">
        <v>45701</v>
      </c>
      <c r="C22" s="3" t="str">
        <f>_xlfn.XLOOKUP(D22,'[1]Jan Customer Duplicate Hyva'!$B:$B,'[1]Jan Customer Duplicate Hyva'!$A:$A,"NOT FOUND")</f>
        <v>CUST-363</v>
      </c>
      <c r="D22" s="11" t="s">
        <v>62</v>
      </c>
      <c r="E22" s="11" t="s">
        <v>30</v>
      </c>
      <c r="F22" s="5" t="str">
        <f t="shared" si="1"/>
        <v>Ravi</v>
      </c>
      <c r="G22" s="5" t="str">
        <f t="shared" si="2"/>
        <v/>
      </c>
      <c r="H22" s="5" t="str">
        <f t="shared" si="3"/>
        <v/>
      </c>
      <c r="I22" s="5" t="str">
        <f>_xlfn.XLOOKUP(F22,'[1]Jan Labour Nd Drivers Hyva'!$B:$B,'[2]Jan Labour Nd Drivers Hyva'!$A:$A,"NOT FOUND")</f>
        <v>LAB-003</v>
      </c>
      <c r="J22" s="5" t="str">
        <f>IF(G22="","",_xlfn.XLOOKUP(G22,'[3]Jan Labour Nd Drivers Hyva'!$B:$B,'[2]Jan Labour Nd Drivers Hyva'!$A:$A,"NOT FOUND"))</f>
        <v/>
      </c>
      <c r="K22" s="5" t="str">
        <f>IF(H22="","",_xlfn.XLOOKUP(H22,'[2]Jan Labour Nd Drivers Hyva'!$B:$B,'[2]Jan Labour Nd Drivers Hyva'!$A:$A,"NOT FOUND"))</f>
        <v/>
      </c>
      <c r="L22" s="11" t="s">
        <v>63</v>
      </c>
      <c r="M22" s="12">
        <v>1</v>
      </c>
      <c r="N22" s="13">
        <v>38000</v>
      </c>
      <c r="O22" s="8">
        <f t="shared" si="4"/>
        <v>38000</v>
      </c>
      <c r="P22" s="13">
        <v>38000</v>
      </c>
      <c r="Q22" s="7">
        <f t="shared" si="5"/>
        <v>0</v>
      </c>
      <c r="R22" t="str">
        <f t="shared" si="6"/>
        <v>PAID</v>
      </c>
      <c r="S22" s="3"/>
      <c r="T22" s="9">
        <f t="shared" si="7"/>
        <v>38000</v>
      </c>
      <c r="U22" t="str">
        <f t="shared" si="8"/>
        <v>OK</v>
      </c>
      <c r="V22" s="10">
        <f t="shared" si="9"/>
        <v>0</v>
      </c>
      <c r="W22" t="str">
        <f t="shared" si="10"/>
        <v>OK</v>
      </c>
      <c r="X22" s="3" t="s">
        <v>28</v>
      </c>
      <c r="Y22" t="s">
        <v>29</v>
      </c>
    </row>
    <row r="23" spans="1:25" x14ac:dyDescent="0.2">
      <c r="A23" t="str">
        <f t="shared" si="0"/>
        <v>TRIP-071</v>
      </c>
      <c r="B23" s="2">
        <v>45701</v>
      </c>
      <c r="C23" s="3" t="str">
        <f>_xlfn.XLOOKUP(D23,'[1]Jan Customer Duplicate Hyva'!$B:$B,'[1]Jan Customer Duplicate Hyva'!$A:$A,"NOT FOUND")</f>
        <v>CUST-172</v>
      </c>
      <c r="D23" s="3" t="s">
        <v>54</v>
      </c>
      <c r="E23" s="11" t="s">
        <v>30</v>
      </c>
      <c r="F23" s="5" t="str">
        <f t="shared" si="1"/>
        <v>Ravi</v>
      </c>
      <c r="G23" s="5" t="str">
        <f t="shared" si="2"/>
        <v/>
      </c>
      <c r="H23" s="5" t="str">
        <f t="shared" si="3"/>
        <v/>
      </c>
      <c r="I23" s="5" t="str">
        <f>_xlfn.XLOOKUP(F23,'[1]Jan Labour Nd Drivers Hyva'!$B:$B,'[2]Jan Labour Nd Drivers Hyva'!$A:$A,"NOT FOUND")</f>
        <v>LAB-003</v>
      </c>
      <c r="J23" s="5" t="str">
        <f>IF(G23="","",_xlfn.XLOOKUP(G23,'[3]Jan Labour Nd Drivers Hyva'!$B:$B,'[2]Jan Labour Nd Drivers Hyva'!$A:$A,"NOT FOUND"))</f>
        <v/>
      </c>
      <c r="K23" s="5" t="str">
        <f>IF(H23="","",_xlfn.XLOOKUP(H23,'[2]Jan Labour Nd Drivers Hyva'!$B:$B,'[2]Jan Labour Nd Drivers Hyva'!$A:$A,"NOT FOUND"))</f>
        <v/>
      </c>
      <c r="L23" s="11" t="s">
        <v>64</v>
      </c>
      <c r="M23" s="12">
        <v>1</v>
      </c>
      <c r="N23" s="13">
        <v>32500</v>
      </c>
      <c r="O23" s="8">
        <f t="shared" si="4"/>
        <v>32500</v>
      </c>
      <c r="P23" s="13">
        <v>32500</v>
      </c>
      <c r="Q23" s="7">
        <f t="shared" si="5"/>
        <v>0</v>
      </c>
      <c r="R23" t="str">
        <f t="shared" si="6"/>
        <v>PAID</v>
      </c>
      <c r="S23" s="3"/>
      <c r="T23" s="9">
        <f t="shared" si="7"/>
        <v>32500</v>
      </c>
      <c r="U23" t="str">
        <f t="shared" si="8"/>
        <v>OK</v>
      </c>
      <c r="V23" s="10">
        <f t="shared" si="9"/>
        <v>0</v>
      </c>
      <c r="W23" t="str">
        <f t="shared" si="10"/>
        <v>OK</v>
      </c>
      <c r="X23" s="3" t="s">
        <v>28</v>
      </c>
      <c r="Y23" t="s">
        <v>29</v>
      </c>
    </row>
    <row r="24" spans="1:25" x14ac:dyDescent="0.2">
      <c r="A24" t="str">
        <f t="shared" si="0"/>
        <v>TRIP-072</v>
      </c>
      <c r="B24" s="2">
        <v>45701</v>
      </c>
      <c r="C24" s="3" t="str">
        <f>_xlfn.XLOOKUP(D24,'[1]Jan Customer Duplicate Hyva'!$B:$B,'[1]Jan Customer Duplicate Hyva'!$A:$A,"NOT FOUND")</f>
        <v>CUST-035</v>
      </c>
      <c r="D24" s="11" t="s">
        <v>65</v>
      </c>
      <c r="E24" s="11" t="s">
        <v>30</v>
      </c>
      <c r="F24" s="5" t="str">
        <f t="shared" si="1"/>
        <v>Ravi</v>
      </c>
      <c r="G24" s="5" t="str">
        <f t="shared" si="2"/>
        <v/>
      </c>
      <c r="H24" s="5" t="str">
        <f t="shared" si="3"/>
        <v/>
      </c>
      <c r="I24" s="5" t="str">
        <f>_xlfn.XLOOKUP(F24,'[1]Jan Labour Nd Drivers Hyva'!$B:$B,'[2]Jan Labour Nd Drivers Hyva'!$A:$A,"NOT FOUND")</f>
        <v>LAB-003</v>
      </c>
      <c r="J24" s="5" t="str">
        <f>IF(G24="","",_xlfn.XLOOKUP(G24,'[3]Jan Labour Nd Drivers Hyva'!$B:$B,'[2]Jan Labour Nd Drivers Hyva'!$A:$A,"NOT FOUND"))</f>
        <v/>
      </c>
      <c r="K24" s="5" t="str">
        <f>IF(H24="","",_xlfn.XLOOKUP(H24,'[2]Jan Labour Nd Drivers Hyva'!$B:$B,'[2]Jan Labour Nd Drivers Hyva'!$A:$A,"NOT FOUND"))</f>
        <v/>
      </c>
      <c r="L24" s="11" t="s">
        <v>61</v>
      </c>
      <c r="M24" s="12">
        <v>1</v>
      </c>
      <c r="N24" s="13">
        <v>35000</v>
      </c>
      <c r="O24" s="8">
        <f t="shared" si="4"/>
        <v>35000</v>
      </c>
      <c r="P24" s="13">
        <v>35000</v>
      </c>
      <c r="Q24" s="7">
        <f t="shared" si="5"/>
        <v>0</v>
      </c>
      <c r="R24" t="str">
        <f t="shared" si="6"/>
        <v>PAID</v>
      </c>
      <c r="S24" s="3"/>
      <c r="T24" s="9">
        <f t="shared" si="7"/>
        <v>35000</v>
      </c>
      <c r="U24" t="str">
        <f t="shared" si="8"/>
        <v>OK</v>
      </c>
      <c r="V24" s="10">
        <f t="shared" si="9"/>
        <v>0</v>
      </c>
      <c r="W24" t="str">
        <f t="shared" si="10"/>
        <v>OK</v>
      </c>
      <c r="X24" s="3" t="s">
        <v>28</v>
      </c>
      <c r="Y24" t="s">
        <v>29</v>
      </c>
    </row>
    <row r="25" spans="1:25" x14ac:dyDescent="0.2">
      <c r="A25" t="str">
        <f t="shared" si="0"/>
        <v>TRIP-073</v>
      </c>
      <c r="B25" s="2">
        <v>45701</v>
      </c>
      <c r="C25" s="3" t="str">
        <f>_xlfn.XLOOKUP(D25,'[1]Jan Customer Duplicate Hyva'!$B:$B,'[1]Jan Customer Duplicate Hyva'!$A:$A,"NOT FOUND")</f>
        <v>CUST-219</v>
      </c>
      <c r="D25" s="11" t="s">
        <v>66</v>
      </c>
      <c r="E25" s="11" t="s">
        <v>26</v>
      </c>
      <c r="F25" s="5" t="str">
        <f t="shared" si="1"/>
        <v>Anshu</v>
      </c>
      <c r="G25" s="5" t="str">
        <f t="shared" si="2"/>
        <v/>
      </c>
      <c r="H25" s="5" t="str">
        <f t="shared" si="3"/>
        <v/>
      </c>
      <c r="I25" s="5" t="str">
        <f>_xlfn.XLOOKUP(F25,'[1]Jan Labour Nd Drivers Hyva'!$B:$B,'[2]Jan Labour Nd Drivers Hyva'!$A:$A,"NOT FOUND")</f>
        <v>LAB-002</v>
      </c>
      <c r="J25" s="5" t="str">
        <f>IF(G25="","",_xlfn.XLOOKUP(G25,'[3]Jan Labour Nd Drivers Hyva'!$B:$B,'[2]Jan Labour Nd Drivers Hyva'!$A:$A,"NOT FOUND"))</f>
        <v/>
      </c>
      <c r="K25" s="5" t="str">
        <f>IF(H25="","",_xlfn.XLOOKUP(H25,'[2]Jan Labour Nd Drivers Hyva'!$B:$B,'[2]Jan Labour Nd Drivers Hyva'!$A:$A,"NOT FOUND"))</f>
        <v/>
      </c>
      <c r="L25" s="11" t="s">
        <v>67</v>
      </c>
      <c r="M25" s="12">
        <v>1</v>
      </c>
      <c r="N25" s="13">
        <v>35000</v>
      </c>
      <c r="O25" s="8">
        <f t="shared" si="4"/>
        <v>35000</v>
      </c>
      <c r="P25" s="13">
        <v>35000</v>
      </c>
      <c r="Q25" s="7">
        <f t="shared" si="5"/>
        <v>0</v>
      </c>
      <c r="R25" t="str">
        <f t="shared" si="6"/>
        <v>PAID</v>
      </c>
      <c r="S25" s="3"/>
      <c r="T25" s="9">
        <f t="shared" si="7"/>
        <v>35000</v>
      </c>
      <c r="U25" t="str">
        <f t="shared" si="8"/>
        <v>OK</v>
      </c>
      <c r="V25" s="10">
        <f t="shared" si="9"/>
        <v>0</v>
      </c>
      <c r="W25" t="str">
        <f t="shared" si="10"/>
        <v>OK</v>
      </c>
      <c r="X25" s="3" t="s">
        <v>28</v>
      </c>
      <c r="Y25" t="s">
        <v>29</v>
      </c>
    </row>
    <row r="26" spans="1:25" x14ac:dyDescent="0.2">
      <c r="A26" t="str">
        <f t="shared" si="0"/>
        <v>TRIP-074</v>
      </c>
      <c r="B26" s="2">
        <v>45711</v>
      </c>
      <c r="C26" s="3" t="str">
        <f>_xlfn.XLOOKUP(D26,'[1]Jan Customer Duplicate Hyva'!$B:$B,'[1]Jan Customer Duplicate Hyva'!$A:$A,"NOT FOUND")</f>
        <v>NOT FOUND</v>
      </c>
      <c r="D26" s="11" t="s">
        <v>68</v>
      </c>
      <c r="E26" s="11" t="s">
        <v>30</v>
      </c>
      <c r="F26" s="5" t="str">
        <f t="shared" si="1"/>
        <v>Ravi</v>
      </c>
      <c r="G26" s="5" t="str">
        <f t="shared" si="2"/>
        <v/>
      </c>
      <c r="H26" s="5" t="str">
        <f t="shared" si="3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/>
      </c>
      <c r="K26" s="5" t="str">
        <f>IF(H26="","",_xlfn.XLOOKUP(H26,'[2]Jan Labour Nd Drivers Hyva'!$B:$B,'[2]Jan Labour Nd Drivers Hyva'!$A:$A,"NOT FOUND"))</f>
        <v/>
      </c>
      <c r="L26" s="11" t="s">
        <v>33</v>
      </c>
      <c r="M26" s="12">
        <v>1</v>
      </c>
      <c r="N26" s="13">
        <v>30000</v>
      </c>
      <c r="O26" s="8">
        <f t="shared" si="4"/>
        <v>30000</v>
      </c>
      <c r="P26" s="13">
        <v>30000</v>
      </c>
      <c r="Q26" s="7">
        <f t="shared" si="5"/>
        <v>0</v>
      </c>
      <c r="R26" t="str">
        <f t="shared" si="6"/>
        <v>PAID</v>
      </c>
      <c r="S26" s="3"/>
      <c r="T26" s="9">
        <f t="shared" si="7"/>
        <v>30000</v>
      </c>
      <c r="U26" t="str">
        <f t="shared" si="8"/>
        <v>OK</v>
      </c>
      <c r="V26" s="10">
        <f t="shared" si="9"/>
        <v>0</v>
      </c>
      <c r="W26" t="str">
        <f t="shared" si="10"/>
        <v>OK</v>
      </c>
      <c r="X26" s="3" t="s">
        <v>28</v>
      </c>
      <c r="Y26" t="s">
        <v>29</v>
      </c>
    </row>
    <row r="27" spans="1:25" x14ac:dyDescent="0.2">
      <c r="A27" t="str">
        <f t="shared" si="0"/>
        <v>TRIP-075</v>
      </c>
      <c r="B27" s="2">
        <v>45711</v>
      </c>
      <c r="C27" s="3" t="str">
        <f>_xlfn.XLOOKUP(D27,'[1]Jan Customer Duplicate Hyva'!$B:$B,'[1]Jan Customer Duplicate Hyva'!$A:$A,"NOT FOUND")</f>
        <v>CUST-050</v>
      </c>
      <c r="D27" s="11" t="s">
        <v>69</v>
      </c>
      <c r="E27" s="11" t="s">
        <v>30</v>
      </c>
      <c r="F27" s="5" t="str">
        <f t="shared" si="1"/>
        <v>Ravi</v>
      </c>
      <c r="G27" s="5" t="str">
        <f t="shared" si="2"/>
        <v/>
      </c>
      <c r="H27" s="5" t="str">
        <f t="shared" si="3"/>
        <v/>
      </c>
      <c r="I27" s="5" t="str">
        <f>_xlfn.XLOOKUP(F27,'[1]Jan Labour Nd Drivers Hyva'!$B:$B,'[2]Jan Labour Nd Drivers Hyva'!$A:$A,"NOT FOUND")</f>
        <v>LAB-003</v>
      </c>
      <c r="J27" s="5" t="str">
        <f>IF(G27="","",_xlfn.XLOOKUP(G27,'[3]Jan Labour Nd Drivers Hyva'!$B:$B,'[2]Jan Labour Nd Drivers Hyva'!$A:$A,"NOT FOUND"))</f>
        <v/>
      </c>
      <c r="K27" s="5" t="str">
        <f>IF(H27="","",_xlfn.XLOOKUP(H27,'[2]Jan Labour Nd Drivers Hyva'!$B:$B,'[2]Jan Labour Nd Drivers Hyva'!$A:$A,"NOT FOUND"))</f>
        <v/>
      </c>
      <c r="L27" s="11" t="s">
        <v>70</v>
      </c>
      <c r="M27" s="12">
        <v>1</v>
      </c>
      <c r="N27" s="13">
        <v>35000</v>
      </c>
      <c r="O27" s="8">
        <f t="shared" si="4"/>
        <v>35000</v>
      </c>
      <c r="P27" s="13">
        <v>35000</v>
      </c>
      <c r="Q27" s="7">
        <f t="shared" si="5"/>
        <v>0</v>
      </c>
      <c r="R27" t="str">
        <f t="shared" si="6"/>
        <v>PAID</v>
      </c>
      <c r="S27" s="3"/>
      <c r="T27" s="9">
        <f t="shared" si="7"/>
        <v>35000</v>
      </c>
      <c r="U27" t="str">
        <f t="shared" si="8"/>
        <v>OK</v>
      </c>
      <c r="V27" s="10">
        <f t="shared" si="9"/>
        <v>0</v>
      </c>
      <c r="W27" t="str">
        <f t="shared" si="10"/>
        <v>OK</v>
      </c>
      <c r="X27" s="3" t="s">
        <v>28</v>
      </c>
      <c r="Y27" t="s">
        <v>29</v>
      </c>
    </row>
    <row r="28" spans="1:25" x14ac:dyDescent="0.2">
      <c r="A28" t="str">
        <f t="shared" si="0"/>
        <v>TRIP-076</v>
      </c>
      <c r="B28" s="2">
        <v>45711</v>
      </c>
      <c r="C28" s="3" t="str">
        <f>_xlfn.XLOOKUP(D28,'[1]Jan Customer Duplicate Hyva'!$B:$B,'[1]Jan Customer Duplicate Hyva'!$A:$A,"NOT FOUND")</f>
        <v>CUST-169</v>
      </c>
      <c r="D28" s="11" t="s">
        <v>46</v>
      </c>
      <c r="E28" s="11" t="s">
        <v>30</v>
      </c>
      <c r="F28" s="5" t="str">
        <f t="shared" si="1"/>
        <v>Ravi</v>
      </c>
      <c r="G28" s="5" t="str">
        <f t="shared" si="2"/>
        <v/>
      </c>
      <c r="H28" s="5" t="str">
        <f t="shared" si="3"/>
        <v/>
      </c>
      <c r="I28" s="5" t="str">
        <f>_xlfn.XLOOKUP(F28,'[1]Jan Labour Nd Drivers Hyva'!$B:$B,'[2]Jan Labour Nd Drivers Hyva'!$A:$A,"NOT FOUND")</f>
        <v>LAB-003</v>
      </c>
      <c r="J28" s="5" t="str">
        <f>IF(G28="","",_xlfn.XLOOKUP(G28,'[3]Jan Labour Nd Drivers Hyva'!$B:$B,'[2]Jan Labour Nd Drivers Hyva'!$A:$A,"NOT FOUND"))</f>
        <v/>
      </c>
      <c r="K28" s="5" t="str">
        <f>IF(H28="","",_xlfn.XLOOKUP(H28,'[2]Jan Labour Nd Drivers Hyva'!$B:$B,'[2]Jan Labour Nd Drivers Hyva'!$A:$A,"NOT FOUND"))</f>
        <v/>
      </c>
      <c r="L28" s="11" t="s">
        <v>71</v>
      </c>
      <c r="M28" s="12">
        <v>1</v>
      </c>
      <c r="N28" s="13">
        <v>40000</v>
      </c>
      <c r="O28" s="8">
        <f t="shared" si="4"/>
        <v>40000</v>
      </c>
      <c r="P28" s="13">
        <v>40000</v>
      </c>
      <c r="Q28" s="7">
        <f t="shared" si="5"/>
        <v>0</v>
      </c>
      <c r="R28" t="str">
        <f t="shared" si="6"/>
        <v>PAID</v>
      </c>
      <c r="S28" s="3"/>
      <c r="T28" s="9">
        <f t="shared" si="7"/>
        <v>40000</v>
      </c>
      <c r="U28" t="str">
        <f t="shared" si="8"/>
        <v>OK</v>
      </c>
      <c r="V28" s="10">
        <f t="shared" si="9"/>
        <v>0</v>
      </c>
      <c r="W28" t="str">
        <f t="shared" si="10"/>
        <v>OK</v>
      </c>
      <c r="X28" s="3" t="s">
        <v>28</v>
      </c>
      <c r="Y28" t="s">
        <v>29</v>
      </c>
    </row>
    <row r="29" spans="1:25" x14ac:dyDescent="0.2">
      <c r="A29" t="str">
        <f t="shared" si="0"/>
        <v>TRIP-077</v>
      </c>
      <c r="B29" s="2">
        <v>45711</v>
      </c>
      <c r="C29" s="3" t="str">
        <f>_xlfn.XLOOKUP(D29,'[1]Jan Customer Duplicate Hyva'!$B:$B,'[1]Jan Customer Duplicate Hyva'!$A:$A,"NOT FOUND")</f>
        <v>CUST-353</v>
      </c>
      <c r="D29" s="11" t="s">
        <v>48</v>
      </c>
      <c r="E29" s="11" t="s">
        <v>55</v>
      </c>
      <c r="F29" s="5" t="str">
        <f t="shared" si="1"/>
        <v>Gaju Bhau</v>
      </c>
      <c r="G29" s="5" t="str">
        <f t="shared" si="2"/>
        <v/>
      </c>
      <c r="H29" s="5" t="str">
        <f t="shared" si="3"/>
        <v/>
      </c>
      <c r="I29" s="5" t="str">
        <f>_xlfn.XLOOKUP(F29,'[1]Jan Labour Nd Drivers Hyva'!$B:$B,'[2]Jan Labour Nd Drivers Hyva'!$A:$A,"NOT FOUND")</f>
        <v>LAB-001</v>
      </c>
      <c r="J29" s="5" t="str">
        <f>IF(G29="","",_xlfn.XLOOKUP(G29,'[3]Jan Labour Nd Drivers Hyva'!$B:$B,'[2]Jan Labour Nd Drivers Hyva'!$A:$A,"NOT FOUND"))</f>
        <v/>
      </c>
      <c r="K29" s="5" t="str">
        <f>IF(H29="","",_xlfn.XLOOKUP(H29,'[2]Jan Labour Nd Drivers Hyva'!$B:$B,'[2]Jan Labour Nd Drivers Hyva'!$A:$A,"NOT FOUND"))</f>
        <v/>
      </c>
      <c r="L29" s="11" t="s">
        <v>49</v>
      </c>
      <c r="M29" s="12">
        <v>1</v>
      </c>
      <c r="N29" s="13">
        <v>33000</v>
      </c>
      <c r="O29" s="8">
        <f t="shared" si="4"/>
        <v>33000</v>
      </c>
      <c r="P29" s="13">
        <v>33000</v>
      </c>
      <c r="Q29" s="7">
        <f t="shared" si="5"/>
        <v>0</v>
      </c>
      <c r="R29" t="str">
        <f t="shared" si="6"/>
        <v>PAID</v>
      </c>
      <c r="S29" s="3"/>
      <c r="T29" s="9">
        <f t="shared" si="7"/>
        <v>33000</v>
      </c>
      <c r="U29" t="str">
        <f t="shared" si="8"/>
        <v>OK</v>
      </c>
      <c r="V29" s="10">
        <f t="shared" si="9"/>
        <v>0</v>
      </c>
      <c r="W29" t="str">
        <f t="shared" si="10"/>
        <v>OK</v>
      </c>
      <c r="X29" s="3" t="s">
        <v>28</v>
      </c>
      <c r="Y29" t="s">
        <v>29</v>
      </c>
    </row>
    <row r="30" spans="1:25" x14ac:dyDescent="0.2">
      <c r="A30" t="str">
        <f t="shared" si="0"/>
        <v>TRIP-078</v>
      </c>
      <c r="B30" s="2">
        <v>45711</v>
      </c>
      <c r="C30" s="3" t="str">
        <f>_xlfn.XLOOKUP(D30,'[1]Jan Customer Duplicate Hyva'!$B:$B,'[1]Jan Customer Duplicate Hyva'!$A:$A,"NOT FOUND")</f>
        <v>CUST-169</v>
      </c>
      <c r="D30" s="11" t="s">
        <v>46</v>
      </c>
      <c r="E30" s="11" t="s">
        <v>55</v>
      </c>
      <c r="F30" s="5" t="str">
        <f t="shared" si="1"/>
        <v>Gaju Bhau</v>
      </c>
      <c r="G30" s="5" t="str">
        <f t="shared" si="2"/>
        <v/>
      </c>
      <c r="H30" s="5" t="str">
        <f t="shared" si="3"/>
        <v/>
      </c>
      <c r="I30" s="5" t="str">
        <f>_xlfn.XLOOKUP(F30,'[1]Jan Labour Nd Drivers Hyva'!$B:$B,'[2]Jan Labour Nd Drivers Hyva'!$A:$A,"NOT FOUND")</f>
        <v>LAB-001</v>
      </c>
      <c r="J30" s="5" t="str">
        <f>IF(G30="","",_xlfn.XLOOKUP(G30,'[3]Jan Labour Nd Drivers Hyva'!$B:$B,'[2]Jan Labour Nd Drivers Hyva'!$A:$A,"NOT FOUND"))</f>
        <v/>
      </c>
      <c r="K30" s="5" t="str">
        <f>IF(H30="","",_xlfn.XLOOKUP(H30,'[2]Jan Labour Nd Drivers Hyva'!$B:$B,'[2]Jan Labour Nd Drivers Hyva'!$A:$A,"NOT FOUND"))</f>
        <v/>
      </c>
      <c r="L30" s="11" t="s">
        <v>45</v>
      </c>
      <c r="M30" s="12">
        <v>1</v>
      </c>
      <c r="N30" s="13">
        <v>35000</v>
      </c>
      <c r="O30" s="8">
        <f t="shared" si="4"/>
        <v>35000</v>
      </c>
      <c r="P30" s="13">
        <v>35000</v>
      </c>
      <c r="Q30" s="7">
        <f t="shared" si="5"/>
        <v>0</v>
      </c>
      <c r="R30" t="str">
        <f t="shared" si="6"/>
        <v>PAID</v>
      </c>
      <c r="S30" s="3"/>
      <c r="T30" s="9">
        <f t="shared" si="7"/>
        <v>35000</v>
      </c>
      <c r="U30" t="str">
        <f t="shared" si="8"/>
        <v>OK</v>
      </c>
      <c r="V30" s="10">
        <f t="shared" si="9"/>
        <v>0</v>
      </c>
      <c r="W30" t="str">
        <f t="shared" si="10"/>
        <v>OK</v>
      </c>
      <c r="X30" s="3" t="s">
        <v>28</v>
      </c>
      <c r="Y30" t="s">
        <v>29</v>
      </c>
    </row>
    <row r="31" spans="1:25" x14ac:dyDescent="0.2">
      <c r="A31" t="str">
        <f t="shared" si="0"/>
        <v>TRIP-079</v>
      </c>
      <c r="B31" s="2">
        <v>45711</v>
      </c>
      <c r="C31" s="3" t="str">
        <f>_xlfn.XLOOKUP(D31,'[1]Jan Customer Duplicate Hyva'!$B:$B,'[1]Jan Customer Duplicate Hyva'!$A:$A,"NOT FOUND")</f>
        <v>CUST-323</v>
      </c>
      <c r="D31" s="3" t="s">
        <v>51</v>
      </c>
      <c r="E31" s="11" t="s">
        <v>55</v>
      </c>
      <c r="F31" s="5" t="str">
        <f t="shared" si="1"/>
        <v>Gaju Bhau</v>
      </c>
      <c r="G31" s="5" t="str">
        <f t="shared" si="2"/>
        <v/>
      </c>
      <c r="H31" s="5" t="str">
        <f t="shared" si="3"/>
        <v/>
      </c>
      <c r="I31" s="5" t="str">
        <f>_xlfn.XLOOKUP(F31,'[1]Jan Labour Nd Drivers Hyva'!$B:$B,'[2]Jan Labour Nd Drivers Hyva'!$A:$A,"NOT FOUND")</f>
        <v>LAB-001</v>
      </c>
      <c r="J31" s="5" t="str">
        <f>IF(G31="","",_xlfn.XLOOKUP(G31,'[3]Jan Labour Nd Drivers Hyva'!$B:$B,'[2]Jan Labour Nd Drivers Hyva'!$A:$A,"NOT FOUND"))</f>
        <v/>
      </c>
      <c r="K31" s="5" t="str">
        <f>IF(H31="","",_xlfn.XLOOKUP(H31,'[2]Jan Labour Nd Drivers Hyva'!$B:$B,'[2]Jan Labour Nd Drivers Hyva'!$A:$A,"NOT FOUND"))</f>
        <v/>
      </c>
      <c r="L31" s="11" t="s">
        <v>72</v>
      </c>
      <c r="M31" s="12">
        <v>1</v>
      </c>
      <c r="N31" s="13">
        <v>35000</v>
      </c>
      <c r="O31" s="8">
        <f t="shared" si="4"/>
        <v>35000</v>
      </c>
      <c r="P31" s="13"/>
      <c r="Q31" s="7">
        <f t="shared" si="5"/>
        <v>35000</v>
      </c>
      <c r="R31" t="str">
        <f t="shared" si="6"/>
        <v>UNPAID</v>
      </c>
      <c r="S31" s="3"/>
      <c r="T31" s="9">
        <f t="shared" si="7"/>
        <v>35000</v>
      </c>
      <c r="U31" t="str">
        <f t="shared" si="8"/>
        <v>OK</v>
      </c>
      <c r="V31" s="10">
        <f t="shared" si="9"/>
        <v>35000</v>
      </c>
      <c r="W31" t="str">
        <f t="shared" si="10"/>
        <v>OK</v>
      </c>
      <c r="X31" s="3" t="s">
        <v>28</v>
      </c>
      <c r="Y31" t="s">
        <v>29</v>
      </c>
    </row>
    <row r="32" spans="1:25" x14ac:dyDescent="0.2">
      <c r="A32" t="str">
        <f t="shared" si="0"/>
        <v>TRIP-080</v>
      </c>
      <c r="B32" s="2">
        <v>45712</v>
      </c>
      <c r="C32" s="3" t="str">
        <f>_xlfn.XLOOKUP(D32,'[1]Jan Customer Duplicate Hyva'!$B:$B,'[1]Jan Customer Duplicate Hyva'!$A:$A,"NOT FOUND")</f>
        <v>CUST-117</v>
      </c>
      <c r="D32" s="11" t="s">
        <v>73</v>
      </c>
      <c r="E32" s="11" t="s">
        <v>74</v>
      </c>
      <c r="F32" s="5" t="str">
        <f t="shared" si="1"/>
        <v>Ravi</v>
      </c>
      <c r="G32" s="5" t="str">
        <f t="shared" si="2"/>
        <v>Gaju Bhau</v>
      </c>
      <c r="H32" s="5" t="str">
        <f t="shared" si="3"/>
        <v/>
      </c>
      <c r="I32" s="5" t="str">
        <f>_xlfn.XLOOKUP(F32,'[1]Jan Labour Nd Drivers Hyva'!$B:$B,'[2]Jan Labour Nd Drivers Hyva'!$A:$A,"NOT FOUND")</f>
        <v>LAB-003</v>
      </c>
      <c r="J32" s="5" t="str">
        <f>IF(G32="","",_xlfn.XLOOKUP(G32,'[3]Jan Labour Nd Drivers Hyva'!$B:$B,'[2]Jan Labour Nd Drivers Hyva'!$A:$A,"NOT FOUND"))</f>
        <v>LAB-001</v>
      </c>
      <c r="K32" s="5" t="str">
        <f>IF(H32="","",_xlfn.XLOOKUP(H32,'[2]Jan Labour Nd Drivers Hyva'!$B:$B,'[2]Jan Labour Nd Drivers Hyva'!$A:$A,"NOT FOUND"))</f>
        <v/>
      </c>
      <c r="L32" s="11" t="s">
        <v>61</v>
      </c>
      <c r="M32" s="12">
        <v>2</v>
      </c>
      <c r="N32" s="13">
        <v>34000</v>
      </c>
      <c r="O32" s="8">
        <f t="shared" si="4"/>
        <v>68000</v>
      </c>
      <c r="P32" s="13">
        <v>68000</v>
      </c>
      <c r="Q32" s="7">
        <f t="shared" si="5"/>
        <v>0</v>
      </c>
      <c r="R32" t="str">
        <f t="shared" si="6"/>
        <v>PAID</v>
      </c>
      <c r="S32" s="3"/>
      <c r="T32" s="9">
        <f t="shared" si="7"/>
        <v>68000</v>
      </c>
      <c r="U32" t="str">
        <f t="shared" si="8"/>
        <v>OK</v>
      </c>
      <c r="V32" s="10">
        <f t="shared" si="9"/>
        <v>0</v>
      </c>
      <c r="W32" t="str">
        <f t="shared" si="10"/>
        <v>OK</v>
      </c>
      <c r="X32" s="3" t="s">
        <v>28</v>
      </c>
      <c r="Y32" t="s">
        <v>29</v>
      </c>
    </row>
    <row r="33" spans="1:25" x14ac:dyDescent="0.2">
      <c r="A33" t="str">
        <f t="shared" si="0"/>
        <v>TRIP-081</v>
      </c>
      <c r="B33" s="2">
        <v>45712</v>
      </c>
      <c r="C33" s="3" t="str">
        <f>_xlfn.XLOOKUP(D33,'[1]Jan Customer Duplicate Hyva'!$B:$B,'[1]Jan Customer Duplicate Hyva'!$A:$A,"NOT FOUND")</f>
        <v>CUST-255</v>
      </c>
      <c r="D33" s="11" t="s">
        <v>75</v>
      </c>
      <c r="E33" s="11" t="s">
        <v>74</v>
      </c>
      <c r="F33" s="5" t="str">
        <f t="shared" si="1"/>
        <v>Ravi</v>
      </c>
      <c r="G33" s="5" t="str">
        <f t="shared" si="2"/>
        <v>Gaju Bhau</v>
      </c>
      <c r="H33" s="5" t="str">
        <f t="shared" si="3"/>
        <v/>
      </c>
      <c r="I33" s="5" t="str">
        <f>_xlfn.XLOOKUP(F33,'[1]Jan Labour Nd Drivers Hyva'!$B:$B,'[2]Jan Labour Nd Drivers Hyva'!$A:$A,"NOT FOUND")</f>
        <v>LAB-003</v>
      </c>
      <c r="J33" s="5" t="str">
        <f>IF(G33="","",_xlfn.XLOOKUP(G33,'[3]Jan Labour Nd Drivers Hyva'!$B:$B,'[2]Jan Labour Nd Drivers Hyva'!$A:$A,"NOT FOUND"))</f>
        <v>LAB-001</v>
      </c>
      <c r="K33" s="5" t="str">
        <f>IF(H33="","",_xlfn.XLOOKUP(H33,'[2]Jan Labour Nd Drivers Hyva'!$B:$B,'[2]Jan Labour Nd Drivers Hyva'!$A:$A,"NOT FOUND"))</f>
        <v/>
      </c>
      <c r="L33" s="11" t="s">
        <v>76</v>
      </c>
      <c r="M33" s="12">
        <v>2</v>
      </c>
      <c r="N33" s="13">
        <v>40000</v>
      </c>
      <c r="O33" s="8">
        <f t="shared" si="4"/>
        <v>80000</v>
      </c>
      <c r="P33" s="13">
        <v>80000</v>
      </c>
      <c r="Q33" s="7">
        <f t="shared" si="5"/>
        <v>0</v>
      </c>
      <c r="R33" t="str">
        <f t="shared" si="6"/>
        <v>PAID</v>
      </c>
      <c r="S33" s="3"/>
      <c r="T33" s="9">
        <f t="shared" si="7"/>
        <v>80000</v>
      </c>
      <c r="U33" t="str">
        <f t="shared" si="8"/>
        <v>OK</v>
      </c>
      <c r="V33" s="10">
        <f t="shared" si="9"/>
        <v>0</v>
      </c>
      <c r="W33" t="str">
        <f t="shared" si="10"/>
        <v>OK</v>
      </c>
      <c r="X33" s="3" t="s">
        <v>28</v>
      </c>
      <c r="Y33" t="s">
        <v>29</v>
      </c>
    </row>
    <row r="34" spans="1:25" x14ac:dyDescent="0.2">
      <c r="A34" t="str">
        <f t="shared" si="0"/>
        <v>TRIP-082</v>
      </c>
      <c r="B34" s="2">
        <v>45717</v>
      </c>
      <c r="C34" s="3" t="str">
        <f>_xlfn.XLOOKUP(D34,'[1]Jan Customer Duplicate Hyva'!$B:$B,'[1]Jan Customer Duplicate Hyva'!$A:$A,"NOT FOUND")</f>
        <v>CUST-332</v>
      </c>
      <c r="D34" s="4" t="s">
        <v>77</v>
      </c>
      <c r="E34" s="4" t="s">
        <v>26</v>
      </c>
      <c r="F34" s="5" t="str">
        <f t="shared" si="1"/>
        <v>Anshu</v>
      </c>
      <c r="G34" s="5" t="str">
        <f t="shared" si="2"/>
        <v/>
      </c>
      <c r="H34" s="5" t="str">
        <f t="shared" si="3"/>
        <v/>
      </c>
      <c r="I34" s="5" t="str">
        <f>_xlfn.XLOOKUP(F34,'[1]Jan Labour Nd Drivers Hyva'!$B:$B,'[2]Jan Labour Nd Drivers Hyva'!$A:$A,"NOT FOUND")</f>
        <v>LAB-002</v>
      </c>
      <c r="J34" s="5" t="str">
        <f>IF(G34="","",_xlfn.XLOOKUP(G34,'[3]Jan Labour Nd Drivers Hyva'!$B:$B,'[2]Jan Labour Nd Drivers Hyva'!$A:$A,"NOT FOUND"))</f>
        <v/>
      </c>
      <c r="K34" s="5" t="str">
        <f>IF(H34="","",_xlfn.XLOOKUP(H34,'[2]Jan Labour Nd Drivers Hyva'!$B:$B,'[2]Jan Labour Nd Drivers Hyva'!$A:$A,"NOT FOUND"))</f>
        <v/>
      </c>
      <c r="L34" s="4" t="s">
        <v>78</v>
      </c>
      <c r="M34" s="6">
        <v>1</v>
      </c>
      <c r="N34" s="7">
        <v>36000</v>
      </c>
      <c r="O34" s="8">
        <f t="shared" si="4"/>
        <v>36000</v>
      </c>
      <c r="P34" s="7">
        <v>36000</v>
      </c>
      <c r="Q34" s="7">
        <f t="shared" ref="Q34:Q97" si="11">O34-P34</f>
        <v>0</v>
      </c>
      <c r="R34" t="str">
        <f t="shared" si="6"/>
        <v>PAID</v>
      </c>
      <c r="S34" s="3"/>
      <c r="T34" s="9">
        <f t="shared" si="7"/>
        <v>36000</v>
      </c>
      <c r="U34" t="str">
        <f t="shared" si="8"/>
        <v>OK</v>
      </c>
      <c r="V34" s="10">
        <f t="shared" si="9"/>
        <v>0</v>
      </c>
      <c r="W34" t="str">
        <f t="shared" si="10"/>
        <v>OK</v>
      </c>
      <c r="X34" s="3" t="s">
        <v>28</v>
      </c>
      <c r="Y34" t="s">
        <v>29</v>
      </c>
    </row>
    <row r="35" spans="1:25" x14ac:dyDescent="0.2">
      <c r="A35" t="str">
        <f t="shared" si="0"/>
        <v>TRIP-083</v>
      </c>
      <c r="B35" s="2">
        <v>45718</v>
      </c>
      <c r="C35" s="3" t="str">
        <f>_xlfn.XLOOKUP(D35,'[1]Jan Customer Duplicate Hyva'!$B:$B,'[1]Jan Customer Duplicate Hyva'!$A:$A,"NOT FOUND")</f>
        <v>CUST-167</v>
      </c>
      <c r="D35" s="4" t="s">
        <v>79</v>
      </c>
      <c r="E35" s="4" t="s">
        <v>80</v>
      </c>
      <c r="F35" s="5" t="str">
        <f t="shared" si="1"/>
        <v>Anshu</v>
      </c>
      <c r="G35" s="5" t="str">
        <f t="shared" si="2"/>
        <v>Ravi</v>
      </c>
      <c r="H35" s="5" t="str">
        <f t="shared" si="3"/>
        <v/>
      </c>
      <c r="I35" s="5" t="str">
        <f>_xlfn.XLOOKUP(F35,'[1]Jan Labour Nd Drivers Hyva'!$B:$B,'[2]Jan Labour Nd Drivers Hyva'!$A:$A,"NOT FOUND")</f>
        <v>LAB-002</v>
      </c>
      <c r="J35" s="5" t="str">
        <f>IF(G35="","",_xlfn.XLOOKUP(G35,'[3]Jan Labour Nd Drivers Hyva'!$B:$B,'[2]Jan Labour Nd Drivers Hyva'!$A:$A,"NOT FOUND"))</f>
        <v>LAB-003</v>
      </c>
      <c r="K35" s="5" t="str">
        <f>IF(H35="","",_xlfn.XLOOKUP(H35,'[2]Jan Labour Nd Drivers Hyva'!$B:$B,'[2]Jan Labour Nd Drivers Hyva'!$A:$A,"NOT FOUND"))</f>
        <v/>
      </c>
      <c r="L35" s="4" t="s">
        <v>81</v>
      </c>
      <c r="M35" s="6">
        <v>2</v>
      </c>
      <c r="N35" s="7">
        <v>35000</v>
      </c>
      <c r="O35" s="8">
        <f t="shared" si="4"/>
        <v>70000</v>
      </c>
      <c r="P35" s="7">
        <v>70000</v>
      </c>
      <c r="Q35" s="7">
        <f t="shared" si="11"/>
        <v>0</v>
      </c>
      <c r="R35" t="str">
        <f t="shared" si="6"/>
        <v>PAID</v>
      </c>
      <c r="S35" s="3"/>
      <c r="T35" s="9">
        <f t="shared" si="7"/>
        <v>70000</v>
      </c>
      <c r="U35" t="str">
        <f t="shared" si="8"/>
        <v>OK</v>
      </c>
      <c r="V35" s="10">
        <f t="shared" si="9"/>
        <v>0</v>
      </c>
      <c r="W35" t="str">
        <f t="shared" si="10"/>
        <v>OK</v>
      </c>
      <c r="X35" s="3" t="s">
        <v>28</v>
      </c>
      <c r="Y35" t="s">
        <v>29</v>
      </c>
    </row>
    <row r="36" spans="1:25" x14ac:dyDescent="0.2">
      <c r="A36" t="str">
        <f t="shared" si="0"/>
        <v>TRIP-084</v>
      </c>
      <c r="B36" s="2">
        <v>45718</v>
      </c>
      <c r="C36" s="3" t="str">
        <f>_xlfn.XLOOKUP(D36,'[1]Jan Customer Duplicate Hyva'!$B:$B,'[1]Jan Customer Duplicate Hyva'!$A:$A,"NOT FOUND")</f>
        <v>CUST-045</v>
      </c>
      <c r="D36" s="4" t="s">
        <v>82</v>
      </c>
      <c r="E36" s="4" t="s">
        <v>26</v>
      </c>
      <c r="F36" s="5" t="str">
        <f t="shared" si="1"/>
        <v>Anshu</v>
      </c>
      <c r="G36" s="5" t="str">
        <f t="shared" si="2"/>
        <v/>
      </c>
      <c r="H36" s="5" t="str">
        <f t="shared" si="3"/>
        <v/>
      </c>
      <c r="I36" s="5" t="str">
        <f>_xlfn.XLOOKUP(F36,'[1]Jan Labour Nd Drivers Hyva'!$B:$B,'[2]Jan Labour Nd Drivers Hyva'!$A:$A,"NOT FOUND")</f>
        <v>LAB-002</v>
      </c>
      <c r="J36" s="5" t="str">
        <f>IF(G36="","",_xlfn.XLOOKUP(G36,'[3]Jan Labour Nd Drivers Hyva'!$B:$B,'[2]Jan Labour Nd Drivers Hyva'!$A:$A,"NOT FOUND"))</f>
        <v/>
      </c>
      <c r="K36" s="5" t="str">
        <f>IF(H36="","",_xlfn.XLOOKUP(H36,'[2]Jan Labour Nd Drivers Hyva'!$B:$B,'[2]Jan Labour Nd Drivers Hyva'!$A:$A,"NOT FOUND"))</f>
        <v/>
      </c>
      <c r="L36" s="4" t="s">
        <v>83</v>
      </c>
      <c r="M36" s="6">
        <v>1</v>
      </c>
      <c r="N36" s="7">
        <v>39000</v>
      </c>
      <c r="O36" s="8">
        <f t="shared" si="4"/>
        <v>39000</v>
      </c>
      <c r="P36" s="7">
        <v>39000</v>
      </c>
      <c r="Q36" s="7">
        <f t="shared" si="11"/>
        <v>0</v>
      </c>
      <c r="R36" t="str">
        <f t="shared" si="6"/>
        <v>PAID</v>
      </c>
      <c r="S36" s="3"/>
      <c r="T36" s="9">
        <f t="shared" si="7"/>
        <v>39000</v>
      </c>
      <c r="U36" t="str">
        <f t="shared" si="8"/>
        <v>OK</v>
      </c>
      <c r="V36" s="10">
        <f t="shared" si="9"/>
        <v>0</v>
      </c>
      <c r="W36" t="str">
        <f t="shared" si="10"/>
        <v>OK</v>
      </c>
      <c r="X36" s="3" t="s">
        <v>28</v>
      </c>
      <c r="Y36" t="s">
        <v>29</v>
      </c>
    </row>
    <row r="37" spans="1:25" x14ac:dyDescent="0.2">
      <c r="A37" t="str">
        <f t="shared" si="0"/>
        <v>TRIP-085</v>
      </c>
      <c r="B37" s="2">
        <v>45718</v>
      </c>
      <c r="C37" s="3" t="str">
        <f>_xlfn.XLOOKUP(D37,'[1]Jan Customer Duplicate Hyva'!$B:$B,'[1]Jan Customer Duplicate Hyva'!$A:$A,"NOT FOUND")</f>
        <v>CUST-117</v>
      </c>
      <c r="D37" s="11" t="s">
        <v>73</v>
      </c>
      <c r="E37" s="4" t="s">
        <v>26</v>
      </c>
      <c r="F37" s="5" t="str">
        <f t="shared" si="1"/>
        <v>Anshu</v>
      </c>
      <c r="G37" s="5" t="str">
        <f t="shared" si="2"/>
        <v/>
      </c>
      <c r="H37" s="5" t="str">
        <f t="shared" si="3"/>
        <v/>
      </c>
      <c r="I37" s="5" t="str">
        <f>_xlfn.XLOOKUP(F37,'[1]Jan Labour Nd Drivers Hyva'!$B:$B,'[2]Jan Labour Nd Drivers Hyva'!$A:$A,"NOT FOUND")</f>
        <v>LAB-002</v>
      </c>
      <c r="J37" s="5" t="str">
        <f>IF(G37="","",_xlfn.XLOOKUP(G37,'[3]Jan Labour Nd Drivers Hyva'!$B:$B,'[2]Jan Labour Nd Drivers Hyva'!$A:$A,"NOT FOUND"))</f>
        <v/>
      </c>
      <c r="K37" s="5" t="str">
        <f>IF(H37="","",_xlfn.XLOOKUP(H37,'[2]Jan Labour Nd Drivers Hyva'!$B:$B,'[2]Jan Labour Nd Drivers Hyva'!$A:$A,"NOT FOUND"))</f>
        <v/>
      </c>
      <c r="L37" s="4" t="s">
        <v>61</v>
      </c>
      <c r="M37" s="6">
        <v>1</v>
      </c>
      <c r="N37" s="7">
        <v>38000</v>
      </c>
      <c r="O37" s="8">
        <f t="shared" si="4"/>
        <v>38000</v>
      </c>
      <c r="P37" s="7">
        <v>33000</v>
      </c>
      <c r="Q37" s="7">
        <f t="shared" si="11"/>
        <v>5000</v>
      </c>
      <c r="R37" t="str">
        <f t="shared" si="6"/>
        <v>PARTIAL</v>
      </c>
      <c r="S37" s="3"/>
      <c r="T37" s="9">
        <f t="shared" si="7"/>
        <v>38000</v>
      </c>
      <c r="U37" t="str">
        <f t="shared" si="8"/>
        <v>OK</v>
      </c>
      <c r="V37" s="10">
        <f t="shared" si="9"/>
        <v>5000</v>
      </c>
      <c r="W37" t="str">
        <f t="shared" si="10"/>
        <v>OK</v>
      </c>
      <c r="X37" s="3" t="s">
        <v>28</v>
      </c>
      <c r="Y37" t="s">
        <v>29</v>
      </c>
    </row>
    <row r="38" spans="1:25" x14ac:dyDescent="0.2">
      <c r="A38" t="str">
        <f t="shared" si="0"/>
        <v>TRIP-086</v>
      </c>
      <c r="B38" s="2">
        <v>45718</v>
      </c>
      <c r="C38" s="3" t="str">
        <f>_xlfn.XLOOKUP(D38,'[1]Jan Customer Duplicate Hyva'!$B:$B,'[1]Jan Customer Duplicate Hyva'!$A:$A,"NOT FOUND")</f>
        <v>CUST-117</v>
      </c>
      <c r="D38" s="11" t="s">
        <v>73</v>
      </c>
      <c r="E38" s="4" t="s">
        <v>26</v>
      </c>
      <c r="F38" s="5" t="str">
        <f t="shared" si="1"/>
        <v>Anshu</v>
      </c>
      <c r="G38" s="5" t="str">
        <f t="shared" si="2"/>
        <v/>
      </c>
      <c r="H38" s="5" t="str">
        <f t="shared" si="3"/>
        <v/>
      </c>
      <c r="I38" s="5" t="str">
        <f>_xlfn.XLOOKUP(F38,'[1]Jan Labour Nd Drivers Hyva'!$B:$B,'[2]Jan Labour Nd Drivers Hyva'!$A:$A,"NOT FOUND")</f>
        <v>LAB-002</v>
      </c>
      <c r="J38" s="5" t="str">
        <f>IF(G38="","",_xlfn.XLOOKUP(G38,'[3]Jan Labour Nd Drivers Hyva'!$B:$B,'[2]Jan Labour Nd Drivers Hyva'!$A:$A,"NOT FOUND"))</f>
        <v/>
      </c>
      <c r="K38" s="5" t="str">
        <f>IF(H38="","",_xlfn.XLOOKUP(H38,'[2]Jan Labour Nd Drivers Hyva'!$B:$B,'[2]Jan Labour Nd Drivers Hyva'!$A:$A,"NOT FOUND"))</f>
        <v/>
      </c>
      <c r="L38" s="4" t="s">
        <v>33</v>
      </c>
      <c r="M38" s="6">
        <v>2</v>
      </c>
      <c r="N38" s="7">
        <v>38000</v>
      </c>
      <c r="O38" s="8">
        <f t="shared" si="4"/>
        <v>76000</v>
      </c>
      <c r="P38" s="7">
        <v>74000</v>
      </c>
      <c r="Q38" s="7">
        <f t="shared" si="11"/>
        <v>2000</v>
      </c>
      <c r="R38" t="str">
        <f t="shared" si="6"/>
        <v>PARTIAL</v>
      </c>
      <c r="S38" s="3"/>
      <c r="T38" s="9">
        <f t="shared" si="7"/>
        <v>76000</v>
      </c>
      <c r="U38" t="str">
        <f t="shared" si="8"/>
        <v>OK</v>
      </c>
      <c r="V38" s="10">
        <f t="shared" si="9"/>
        <v>2000</v>
      </c>
      <c r="W38" t="str">
        <f t="shared" si="10"/>
        <v>OK</v>
      </c>
      <c r="X38" s="3" t="s">
        <v>28</v>
      </c>
      <c r="Y38" t="s">
        <v>29</v>
      </c>
    </row>
    <row r="39" spans="1:25" x14ac:dyDescent="0.2">
      <c r="A39" t="str">
        <f t="shared" si="0"/>
        <v>TRIP-087</v>
      </c>
      <c r="B39" s="2">
        <v>45718</v>
      </c>
      <c r="C39" s="3" t="str">
        <f>_xlfn.XLOOKUP(D39,'[1]Jan Customer Duplicate Hyva'!$B:$B,'[1]Jan Customer Duplicate Hyva'!$A:$A,"NOT FOUND")</f>
        <v>CUST-059</v>
      </c>
      <c r="D39" s="4" t="s">
        <v>84</v>
      </c>
      <c r="E39" s="4" t="s">
        <v>26</v>
      </c>
      <c r="F39" s="5" t="str">
        <f t="shared" si="1"/>
        <v>Anshu</v>
      </c>
      <c r="G39" s="5" t="str">
        <f t="shared" si="2"/>
        <v/>
      </c>
      <c r="H39" s="5" t="str">
        <f t="shared" si="3"/>
        <v/>
      </c>
      <c r="I39" s="5" t="str">
        <f>_xlfn.XLOOKUP(F39,'[1]Jan Labour Nd Drivers Hyva'!$B:$B,'[2]Jan Labour Nd Drivers Hyva'!$A:$A,"NOT FOUND")</f>
        <v>LAB-002</v>
      </c>
      <c r="J39" s="5" t="str">
        <f>IF(G39="","",_xlfn.XLOOKUP(G39,'[3]Jan Labour Nd Drivers Hyva'!$B:$B,'[2]Jan Labour Nd Drivers Hyva'!$A:$A,"NOT FOUND"))</f>
        <v/>
      </c>
      <c r="K39" s="5" t="str">
        <f>IF(H39="","",_xlfn.XLOOKUP(H39,'[2]Jan Labour Nd Drivers Hyva'!$B:$B,'[2]Jan Labour Nd Drivers Hyva'!$A:$A,"NOT FOUND"))</f>
        <v/>
      </c>
      <c r="L39" s="4" t="s">
        <v>85</v>
      </c>
      <c r="M39" s="6">
        <v>1</v>
      </c>
      <c r="N39" s="7">
        <v>38000</v>
      </c>
      <c r="O39" s="8">
        <f t="shared" si="4"/>
        <v>38000</v>
      </c>
      <c r="P39" s="7">
        <v>38000</v>
      </c>
      <c r="Q39" s="7">
        <f t="shared" si="11"/>
        <v>0</v>
      </c>
      <c r="R39" t="str">
        <f t="shared" si="6"/>
        <v>PAID</v>
      </c>
      <c r="S39" s="3"/>
      <c r="T39" s="9">
        <f t="shared" si="7"/>
        <v>38000</v>
      </c>
      <c r="U39" t="str">
        <f t="shared" si="8"/>
        <v>OK</v>
      </c>
      <c r="V39" s="10">
        <f t="shared" si="9"/>
        <v>0</v>
      </c>
      <c r="W39" t="str">
        <f t="shared" si="10"/>
        <v>OK</v>
      </c>
      <c r="X39" s="3" t="s">
        <v>28</v>
      </c>
      <c r="Y39" t="s">
        <v>29</v>
      </c>
    </row>
    <row r="40" spans="1:25" x14ac:dyDescent="0.2">
      <c r="A40" t="str">
        <f t="shared" si="0"/>
        <v>TRIP-088</v>
      </c>
      <c r="B40" s="2">
        <v>45718</v>
      </c>
      <c r="C40" s="3" t="str">
        <f>_xlfn.XLOOKUP(D40,'[1]Jan Customer Duplicate Hyva'!$B:$B,'[1]Jan Customer Duplicate Hyva'!$A:$A,"NOT FOUND")</f>
        <v>CUST-307</v>
      </c>
      <c r="D40" s="4" t="s">
        <v>86</v>
      </c>
      <c r="E40" s="4" t="s">
        <v>30</v>
      </c>
      <c r="F40" s="5" t="str">
        <f t="shared" si="1"/>
        <v>Ravi</v>
      </c>
      <c r="G40" s="5" t="str">
        <f t="shared" si="2"/>
        <v/>
      </c>
      <c r="H40" s="5" t="str">
        <f t="shared" si="3"/>
        <v/>
      </c>
      <c r="I40" s="5" t="str">
        <f>_xlfn.XLOOKUP(F40,'[1]Jan Labour Nd Drivers Hyva'!$B:$B,'[2]Jan Labour Nd Drivers Hyva'!$A:$A,"NOT FOUND")</f>
        <v>LAB-003</v>
      </c>
      <c r="J40" s="5" t="str">
        <f>IF(G40="","",_xlfn.XLOOKUP(G40,'[3]Jan Labour Nd Drivers Hyva'!$B:$B,'[2]Jan Labour Nd Drivers Hyva'!$A:$A,"NOT FOUND"))</f>
        <v/>
      </c>
      <c r="K40" s="5" t="str">
        <f>IF(H40="","",_xlfn.XLOOKUP(H40,'[2]Jan Labour Nd Drivers Hyva'!$B:$B,'[2]Jan Labour Nd Drivers Hyva'!$A:$A,"NOT FOUND"))</f>
        <v/>
      </c>
      <c r="L40" s="4" t="s">
        <v>33</v>
      </c>
      <c r="M40" s="6">
        <v>1</v>
      </c>
      <c r="N40" s="7">
        <v>36000</v>
      </c>
      <c r="O40" s="8">
        <f t="shared" si="4"/>
        <v>36000</v>
      </c>
      <c r="P40" s="7">
        <v>36000</v>
      </c>
      <c r="Q40" s="7">
        <f t="shared" si="11"/>
        <v>0</v>
      </c>
      <c r="R40" t="str">
        <f t="shared" si="6"/>
        <v>PAID</v>
      </c>
      <c r="S40" s="3"/>
      <c r="T40" s="9">
        <f t="shared" si="7"/>
        <v>36000</v>
      </c>
      <c r="U40" t="str">
        <f t="shared" si="8"/>
        <v>OK</v>
      </c>
      <c r="V40" s="10">
        <f t="shared" si="9"/>
        <v>0</v>
      </c>
      <c r="W40" t="str">
        <f t="shared" si="10"/>
        <v>OK</v>
      </c>
      <c r="X40" s="3" t="s">
        <v>28</v>
      </c>
      <c r="Y40" t="s">
        <v>29</v>
      </c>
    </row>
    <row r="41" spans="1:25" x14ac:dyDescent="0.2">
      <c r="A41" t="str">
        <f t="shared" si="0"/>
        <v>TRIP-089</v>
      </c>
      <c r="B41" s="2">
        <v>45718</v>
      </c>
      <c r="C41" s="3" t="str">
        <f>_xlfn.XLOOKUP(D41,'[1]Jan Customer Duplicate Hyva'!$B:$B,'[1]Jan Customer Duplicate Hyva'!$A:$A,"NOT FOUND")</f>
        <v>NOT FOUND</v>
      </c>
      <c r="D41" s="4" t="s">
        <v>87</v>
      </c>
      <c r="E41" s="4" t="s">
        <v>30</v>
      </c>
      <c r="F41" s="5" t="str">
        <f t="shared" si="1"/>
        <v>Ravi</v>
      </c>
      <c r="G41" s="5" t="str">
        <f t="shared" si="2"/>
        <v/>
      </c>
      <c r="H41" s="5" t="str">
        <f t="shared" si="3"/>
        <v/>
      </c>
      <c r="I41" s="5" t="str">
        <f>_xlfn.XLOOKUP(F41,'[1]Jan Labour Nd Drivers Hyva'!$B:$B,'[2]Jan Labour Nd Drivers Hyva'!$A:$A,"NOT FOUND")</f>
        <v>LAB-003</v>
      </c>
      <c r="J41" s="5" t="str">
        <f>IF(G41="","",_xlfn.XLOOKUP(G41,'[3]Jan Labour Nd Drivers Hyva'!$B:$B,'[2]Jan Labour Nd Drivers Hyva'!$A:$A,"NOT FOUND"))</f>
        <v/>
      </c>
      <c r="K41" s="5" t="str">
        <f>IF(H41="","",_xlfn.XLOOKUP(H41,'[2]Jan Labour Nd Drivers Hyva'!$B:$B,'[2]Jan Labour Nd Drivers Hyva'!$A:$A,"NOT FOUND"))</f>
        <v/>
      </c>
      <c r="L41" s="4" t="s">
        <v>33</v>
      </c>
      <c r="M41" s="6">
        <v>1</v>
      </c>
      <c r="N41" s="7">
        <v>32000</v>
      </c>
      <c r="O41" s="8">
        <f t="shared" si="4"/>
        <v>32000</v>
      </c>
      <c r="P41" s="7">
        <v>32000</v>
      </c>
      <c r="Q41" s="7">
        <f t="shared" si="11"/>
        <v>0</v>
      </c>
      <c r="R41" t="str">
        <f t="shared" si="6"/>
        <v>PAID</v>
      </c>
      <c r="S41" s="3"/>
      <c r="T41" s="9">
        <f t="shared" si="7"/>
        <v>32000</v>
      </c>
      <c r="U41" t="str">
        <f t="shared" si="8"/>
        <v>OK</v>
      </c>
      <c r="V41" s="10">
        <f t="shared" si="9"/>
        <v>0</v>
      </c>
      <c r="W41" t="str">
        <f t="shared" si="10"/>
        <v>OK</v>
      </c>
      <c r="X41" s="3" t="s">
        <v>28</v>
      </c>
      <c r="Y41" t="s">
        <v>29</v>
      </c>
    </row>
    <row r="42" spans="1:25" x14ac:dyDescent="0.2">
      <c r="A42" t="str">
        <f t="shared" si="0"/>
        <v>TRIP-090</v>
      </c>
      <c r="B42" s="2">
        <v>45718</v>
      </c>
      <c r="C42" s="3" t="str">
        <f>_xlfn.XLOOKUP(D42,'[1]Jan Customer Duplicate Hyva'!$B:$B,'[1]Jan Customer Duplicate Hyva'!$A:$A,"NOT FOUND")</f>
        <v>CUST-328</v>
      </c>
      <c r="D42" s="11" t="s">
        <v>88</v>
      </c>
      <c r="E42" s="4" t="s">
        <v>30</v>
      </c>
      <c r="F42" s="5" t="str">
        <f t="shared" si="1"/>
        <v>Ravi</v>
      </c>
      <c r="G42" s="5" t="str">
        <f t="shared" si="2"/>
        <v/>
      </c>
      <c r="H42" s="5" t="str">
        <f t="shared" si="3"/>
        <v/>
      </c>
      <c r="I42" s="5" t="str">
        <f>_xlfn.XLOOKUP(F42,'[1]Jan Labour Nd Drivers Hyva'!$B:$B,'[2]Jan Labour Nd Drivers Hyva'!$A:$A,"NOT FOUND")</f>
        <v>LAB-003</v>
      </c>
      <c r="J42" s="5" t="str">
        <f>IF(G42="","",_xlfn.XLOOKUP(G42,'[3]Jan Labour Nd Drivers Hyva'!$B:$B,'[2]Jan Labour Nd Drivers Hyva'!$A:$A,"NOT FOUND"))</f>
        <v/>
      </c>
      <c r="K42" s="5" t="str">
        <f>IF(H42="","",_xlfn.XLOOKUP(H42,'[2]Jan Labour Nd Drivers Hyva'!$B:$B,'[2]Jan Labour Nd Drivers Hyva'!$A:$A,"NOT FOUND"))</f>
        <v/>
      </c>
      <c r="L42" s="4" t="s">
        <v>89</v>
      </c>
      <c r="M42" s="6">
        <v>1</v>
      </c>
      <c r="N42" s="7">
        <v>32000</v>
      </c>
      <c r="O42" s="8">
        <f t="shared" si="4"/>
        <v>32000</v>
      </c>
      <c r="P42" s="7">
        <v>32000</v>
      </c>
      <c r="Q42" s="7">
        <f t="shared" si="11"/>
        <v>0</v>
      </c>
      <c r="R42" t="str">
        <f t="shared" si="6"/>
        <v>PAID</v>
      </c>
      <c r="S42" s="3"/>
      <c r="T42" s="9">
        <f t="shared" si="7"/>
        <v>32000</v>
      </c>
      <c r="U42" t="str">
        <f t="shared" si="8"/>
        <v>OK</v>
      </c>
      <c r="V42" s="10">
        <f t="shared" si="9"/>
        <v>0</v>
      </c>
      <c r="W42" t="str">
        <f t="shared" si="10"/>
        <v>OK</v>
      </c>
      <c r="X42" s="3" t="s">
        <v>28</v>
      </c>
      <c r="Y42" t="s">
        <v>29</v>
      </c>
    </row>
    <row r="43" spans="1:25" x14ac:dyDescent="0.2">
      <c r="A43" t="str">
        <f t="shared" si="0"/>
        <v>TRIP-091</v>
      </c>
      <c r="B43" s="2">
        <v>45718</v>
      </c>
      <c r="C43" s="3" t="str">
        <f>_xlfn.XLOOKUP(D43,'[1]Jan Customer Duplicate Hyva'!$B:$B,'[1]Jan Customer Duplicate Hyva'!$A:$A,"NOT FOUND")</f>
        <v>NOT FOUND</v>
      </c>
      <c r="D43" s="4" t="s">
        <v>90</v>
      </c>
      <c r="E43" s="4" t="s">
        <v>30</v>
      </c>
      <c r="F43" s="5" t="str">
        <f t="shared" si="1"/>
        <v>Ravi</v>
      </c>
      <c r="G43" s="5" t="str">
        <f t="shared" si="2"/>
        <v/>
      </c>
      <c r="H43" s="5" t="str">
        <f t="shared" si="3"/>
        <v/>
      </c>
      <c r="I43" s="5" t="str">
        <f>_xlfn.XLOOKUP(F43,'[1]Jan Labour Nd Drivers Hyva'!$B:$B,'[2]Jan Labour Nd Drivers Hyva'!$A:$A,"NOT FOUND")</f>
        <v>LAB-003</v>
      </c>
      <c r="J43" s="5" t="str">
        <f>IF(G43="","",_xlfn.XLOOKUP(G43,'[3]Jan Labour Nd Drivers Hyva'!$B:$B,'[2]Jan Labour Nd Drivers Hyva'!$A:$A,"NOT FOUND"))</f>
        <v/>
      </c>
      <c r="K43" s="5" t="str">
        <f>IF(H43="","",_xlfn.XLOOKUP(H43,'[2]Jan Labour Nd Drivers Hyva'!$B:$B,'[2]Jan Labour Nd Drivers Hyva'!$A:$A,"NOT FOUND"))</f>
        <v/>
      </c>
      <c r="L43" s="4" t="s">
        <v>91</v>
      </c>
      <c r="M43" s="6">
        <v>1</v>
      </c>
      <c r="N43" s="7">
        <v>38500</v>
      </c>
      <c r="O43" s="8">
        <f t="shared" si="4"/>
        <v>38500</v>
      </c>
      <c r="P43" s="7">
        <v>38500</v>
      </c>
      <c r="Q43" s="7">
        <f t="shared" si="11"/>
        <v>0</v>
      </c>
      <c r="R43" t="str">
        <f t="shared" si="6"/>
        <v>PAID</v>
      </c>
      <c r="S43" s="3"/>
      <c r="T43" s="9">
        <f t="shared" si="7"/>
        <v>38500</v>
      </c>
      <c r="U43" t="str">
        <f t="shared" si="8"/>
        <v>OK</v>
      </c>
      <c r="V43" s="10">
        <f t="shared" si="9"/>
        <v>0</v>
      </c>
      <c r="W43" t="str">
        <f t="shared" si="10"/>
        <v>OK</v>
      </c>
      <c r="X43" s="3" t="s">
        <v>28</v>
      </c>
      <c r="Y43" t="s">
        <v>29</v>
      </c>
    </row>
    <row r="44" spans="1:25" x14ac:dyDescent="0.2">
      <c r="A44" t="str">
        <f t="shared" si="0"/>
        <v>TRIP-092</v>
      </c>
      <c r="B44" s="2">
        <v>45721</v>
      </c>
      <c r="C44" s="3" t="str">
        <f>_xlfn.XLOOKUP(D44,'[1]Jan Customer Duplicate Hyva'!$B:$B,'[1]Jan Customer Duplicate Hyva'!$A:$A,"NOT FOUND")</f>
        <v>CUST-045</v>
      </c>
      <c r="D44" s="11" t="s">
        <v>82</v>
      </c>
      <c r="E44" s="11" t="s">
        <v>55</v>
      </c>
      <c r="F44" s="5" t="str">
        <f t="shared" si="1"/>
        <v>Gaju Bhau</v>
      </c>
      <c r="G44" s="5" t="str">
        <f t="shared" si="2"/>
        <v/>
      </c>
      <c r="H44" s="5" t="str">
        <f t="shared" si="3"/>
        <v/>
      </c>
      <c r="I44" s="5" t="str">
        <f>_xlfn.XLOOKUP(F44,'[1]Jan Labour Nd Drivers Hyva'!$B:$B,'[2]Jan Labour Nd Drivers Hyva'!$A:$A,"NOT FOUND")</f>
        <v>LAB-001</v>
      </c>
      <c r="J44" s="5" t="str">
        <f>IF(G44="","",_xlfn.XLOOKUP(G44,'[3]Jan Labour Nd Drivers Hyva'!$B:$B,'[2]Jan Labour Nd Drivers Hyva'!$A:$A,"NOT FOUND"))</f>
        <v/>
      </c>
      <c r="K44" s="5" t="str">
        <f>IF(H44="","",_xlfn.XLOOKUP(H44,'[2]Jan Labour Nd Drivers Hyva'!$B:$B,'[2]Jan Labour Nd Drivers Hyva'!$A:$A,"NOT FOUND"))</f>
        <v/>
      </c>
      <c r="L44" s="11" t="s">
        <v>92</v>
      </c>
      <c r="M44" s="12">
        <v>1</v>
      </c>
      <c r="N44" s="13">
        <v>38000</v>
      </c>
      <c r="O44" s="8">
        <f t="shared" si="4"/>
        <v>38000</v>
      </c>
      <c r="P44" s="13">
        <v>38000</v>
      </c>
      <c r="Q44" s="7">
        <f t="shared" si="11"/>
        <v>0</v>
      </c>
      <c r="R44" t="str">
        <f t="shared" si="6"/>
        <v>PAID</v>
      </c>
      <c r="S44" s="3"/>
      <c r="T44" s="9">
        <f t="shared" si="7"/>
        <v>38000</v>
      </c>
      <c r="U44" t="str">
        <f t="shared" si="8"/>
        <v>OK</v>
      </c>
      <c r="V44" s="10">
        <f t="shared" si="9"/>
        <v>0</v>
      </c>
      <c r="W44" t="str">
        <f t="shared" si="10"/>
        <v>OK</v>
      </c>
      <c r="X44" s="3" t="s">
        <v>28</v>
      </c>
      <c r="Y44" t="s">
        <v>29</v>
      </c>
    </row>
    <row r="45" spans="1:25" x14ac:dyDescent="0.2">
      <c r="A45" t="str">
        <f t="shared" si="0"/>
        <v>TRIP-093</v>
      </c>
      <c r="B45" s="2">
        <v>45721</v>
      </c>
      <c r="C45" s="3" t="str">
        <f>_xlfn.XLOOKUP(D45,'[1]Jan Customer Duplicate Hyva'!$B:$B,'[1]Jan Customer Duplicate Hyva'!$A:$A,"NOT FOUND")</f>
        <v>CUST-167</v>
      </c>
      <c r="D45" s="11" t="s">
        <v>79</v>
      </c>
      <c r="E45" s="11" t="s">
        <v>80</v>
      </c>
      <c r="F45" s="5" t="str">
        <f t="shared" si="1"/>
        <v>Anshu</v>
      </c>
      <c r="G45" s="5" t="str">
        <f t="shared" si="2"/>
        <v>Ravi</v>
      </c>
      <c r="H45" s="5" t="str">
        <f t="shared" si="3"/>
        <v/>
      </c>
      <c r="I45" s="5" t="str">
        <f>_xlfn.XLOOKUP(F45,'[1]Jan Labour Nd Drivers Hyva'!$B:$B,'[2]Jan Labour Nd Drivers Hyva'!$A:$A,"NOT FOUND")</f>
        <v>LAB-002</v>
      </c>
      <c r="J45" s="5" t="str">
        <f>IF(G45="","",_xlfn.XLOOKUP(G45,'[3]Jan Labour Nd Drivers Hyva'!$B:$B,'[2]Jan Labour Nd Drivers Hyva'!$A:$A,"NOT FOUND"))</f>
        <v>LAB-003</v>
      </c>
      <c r="K45" s="5" t="str">
        <f>IF(H45="","",_xlfn.XLOOKUP(H45,'[2]Jan Labour Nd Drivers Hyva'!$B:$B,'[2]Jan Labour Nd Drivers Hyva'!$A:$A,"NOT FOUND"))</f>
        <v/>
      </c>
      <c r="L45" s="11" t="s">
        <v>93</v>
      </c>
      <c r="M45" s="12">
        <v>4</v>
      </c>
      <c r="N45" s="13">
        <v>35000</v>
      </c>
      <c r="O45" s="8">
        <f t="shared" si="4"/>
        <v>140000</v>
      </c>
      <c r="P45" s="13">
        <v>140000</v>
      </c>
      <c r="Q45" s="7">
        <f t="shared" si="11"/>
        <v>0</v>
      </c>
      <c r="R45" t="str">
        <f t="shared" si="6"/>
        <v>PAID</v>
      </c>
      <c r="S45" s="3"/>
      <c r="T45" s="9">
        <f t="shared" si="7"/>
        <v>140000</v>
      </c>
      <c r="U45" t="str">
        <f t="shared" si="8"/>
        <v>OK</v>
      </c>
      <c r="V45" s="10">
        <f t="shared" si="9"/>
        <v>0</v>
      </c>
      <c r="W45" t="str">
        <f t="shared" si="10"/>
        <v>OK</v>
      </c>
      <c r="X45" s="3" t="s">
        <v>28</v>
      </c>
      <c r="Y45" t="s">
        <v>29</v>
      </c>
    </row>
    <row r="46" spans="1:25" x14ac:dyDescent="0.2">
      <c r="A46" t="str">
        <f t="shared" si="0"/>
        <v>TRIP-094</v>
      </c>
      <c r="B46" s="2">
        <v>45721</v>
      </c>
      <c r="C46" s="3" t="str">
        <f>_xlfn.XLOOKUP(D46,'[1]Jan Customer Duplicate Hyva'!$B:$B,'[1]Jan Customer Duplicate Hyva'!$A:$A,"NOT FOUND")</f>
        <v>CUST-172</v>
      </c>
      <c r="D46" s="3" t="s">
        <v>54</v>
      </c>
      <c r="E46" s="11" t="s">
        <v>26</v>
      </c>
      <c r="F46" s="5" t="str">
        <f t="shared" si="1"/>
        <v>Anshu</v>
      </c>
      <c r="G46" s="5" t="str">
        <f t="shared" si="2"/>
        <v/>
      </c>
      <c r="H46" s="5" t="str">
        <f t="shared" si="3"/>
        <v/>
      </c>
      <c r="I46" s="5" t="str">
        <f>_xlfn.XLOOKUP(F46,'[1]Jan Labour Nd Drivers Hyva'!$B:$B,'[2]Jan Labour Nd Drivers Hyva'!$A:$A,"NOT FOUND")</f>
        <v>LAB-002</v>
      </c>
      <c r="J46" s="5" t="str">
        <f>IF(G46="","",_xlfn.XLOOKUP(G46,'[3]Jan Labour Nd Drivers Hyva'!$B:$B,'[2]Jan Labour Nd Drivers Hyva'!$A:$A,"NOT FOUND"))</f>
        <v/>
      </c>
      <c r="K46" s="5" t="str">
        <f>IF(H46="","",_xlfn.XLOOKUP(H46,'[2]Jan Labour Nd Drivers Hyva'!$B:$B,'[2]Jan Labour Nd Drivers Hyva'!$A:$A,"NOT FOUND"))</f>
        <v/>
      </c>
      <c r="L46" s="11" t="s">
        <v>56</v>
      </c>
      <c r="M46" s="12">
        <v>1</v>
      </c>
      <c r="N46" s="13">
        <v>38000</v>
      </c>
      <c r="O46" s="8">
        <f t="shared" si="4"/>
        <v>38000</v>
      </c>
      <c r="P46" s="13">
        <v>38000</v>
      </c>
      <c r="Q46" s="7">
        <f t="shared" si="11"/>
        <v>0</v>
      </c>
      <c r="R46" t="str">
        <f t="shared" si="6"/>
        <v>PAID</v>
      </c>
      <c r="S46" s="3"/>
      <c r="T46" s="9">
        <f t="shared" si="7"/>
        <v>38000</v>
      </c>
      <c r="U46" t="str">
        <f t="shared" si="8"/>
        <v>OK</v>
      </c>
      <c r="V46" s="10">
        <f t="shared" si="9"/>
        <v>0</v>
      </c>
      <c r="W46" t="str">
        <f t="shared" si="10"/>
        <v>OK</v>
      </c>
      <c r="X46" s="3" t="s">
        <v>28</v>
      </c>
      <c r="Y46" t="s">
        <v>29</v>
      </c>
    </row>
    <row r="47" spans="1:25" x14ac:dyDescent="0.2">
      <c r="A47" t="str">
        <f t="shared" si="0"/>
        <v>TRIP-095</v>
      </c>
      <c r="B47" s="2">
        <v>45721</v>
      </c>
      <c r="C47" s="3" t="str">
        <f>_xlfn.XLOOKUP(D47,'[1]Jan Customer Duplicate Hyva'!$B:$B,'[1]Jan Customer Duplicate Hyva'!$A:$A,"NOT FOUND")</f>
        <v>CUST-252</v>
      </c>
      <c r="D47" s="11" t="s">
        <v>94</v>
      </c>
      <c r="E47" s="11" t="s">
        <v>26</v>
      </c>
      <c r="F47" s="5" t="str">
        <f t="shared" si="1"/>
        <v>Anshu</v>
      </c>
      <c r="G47" s="5" t="str">
        <f t="shared" si="2"/>
        <v/>
      </c>
      <c r="H47" s="5" t="str">
        <f t="shared" si="3"/>
        <v/>
      </c>
      <c r="I47" s="5" t="str">
        <f>_xlfn.XLOOKUP(F47,'[1]Jan Labour Nd Drivers Hyva'!$B:$B,'[2]Jan Labour Nd Drivers Hyva'!$A:$A,"NOT FOUND")</f>
        <v>LAB-002</v>
      </c>
      <c r="J47" s="5" t="str">
        <f>IF(G47="","",_xlfn.XLOOKUP(G47,'[3]Jan Labour Nd Drivers Hyva'!$B:$B,'[2]Jan Labour Nd Drivers Hyva'!$A:$A,"NOT FOUND"))</f>
        <v/>
      </c>
      <c r="K47" s="5" t="str">
        <f>IF(H47="","",_xlfn.XLOOKUP(H47,'[2]Jan Labour Nd Drivers Hyva'!$B:$B,'[2]Jan Labour Nd Drivers Hyva'!$A:$A,"NOT FOUND"))</f>
        <v/>
      </c>
      <c r="L47" s="11" t="s">
        <v>33</v>
      </c>
      <c r="M47" s="12">
        <v>1</v>
      </c>
      <c r="N47" s="13">
        <v>36000</v>
      </c>
      <c r="O47" s="8">
        <f t="shared" si="4"/>
        <v>36000</v>
      </c>
      <c r="P47" s="13">
        <v>36000</v>
      </c>
      <c r="Q47" s="7">
        <f t="shared" si="11"/>
        <v>0</v>
      </c>
      <c r="R47" t="str">
        <f t="shared" si="6"/>
        <v>PAID</v>
      </c>
      <c r="S47" s="3"/>
      <c r="T47" s="9">
        <f t="shared" si="7"/>
        <v>36000</v>
      </c>
      <c r="U47" t="str">
        <f t="shared" si="8"/>
        <v>OK</v>
      </c>
      <c r="V47" s="10">
        <f t="shared" si="9"/>
        <v>0</v>
      </c>
      <c r="W47" t="str">
        <f t="shared" si="10"/>
        <v>OK</v>
      </c>
      <c r="X47" s="3" t="s">
        <v>28</v>
      </c>
      <c r="Y47" t="s">
        <v>29</v>
      </c>
    </row>
    <row r="48" spans="1:25" x14ac:dyDescent="0.2">
      <c r="A48" t="str">
        <f t="shared" si="0"/>
        <v>TRIP-096</v>
      </c>
      <c r="B48" s="2">
        <v>45721</v>
      </c>
      <c r="C48" s="3" t="str">
        <f>_xlfn.XLOOKUP(D48,'[1]Jan Customer Duplicate Hyva'!$B:$B,'[1]Jan Customer Duplicate Hyva'!$A:$A,"NOT FOUND")</f>
        <v>CUST-321</v>
      </c>
      <c r="D48" s="11" t="s">
        <v>95</v>
      </c>
      <c r="E48" s="11" t="s">
        <v>26</v>
      </c>
      <c r="F48" s="5" t="str">
        <f t="shared" si="1"/>
        <v>Anshu</v>
      </c>
      <c r="G48" s="5" t="str">
        <f t="shared" si="2"/>
        <v/>
      </c>
      <c r="H48" s="5" t="str">
        <f t="shared" si="3"/>
        <v/>
      </c>
      <c r="I48" s="5" t="str">
        <f>_xlfn.XLOOKUP(F48,'[1]Jan Labour Nd Drivers Hyva'!$B:$B,'[2]Jan Labour Nd Drivers Hyva'!$A:$A,"NOT FOUND")</f>
        <v>LAB-002</v>
      </c>
      <c r="J48" s="5" t="str">
        <f>IF(G48="","",_xlfn.XLOOKUP(G48,'[3]Jan Labour Nd Drivers Hyva'!$B:$B,'[2]Jan Labour Nd Drivers Hyva'!$A:$A,"NOT FOUND"))</f>
        <v/>
      </c>
      <c r="K48" s="5" t="str">
        <f>IF(H48="","",_xlfn.XLOOKUP(H48,'[2]Jan Labour Nd Drivers Hyva'!$B:$B,'[2]Jan Labour Nd Drivers Hyva'!$A:$A,"NOT FOUND"))</f>
        <v/>
      </c>
      <c r="L48" s="11" t="s">
        <v>96</v>
      </c>
      <c r="M48" s="12">
        <v>1</v>
      </c>
      <c r="N48" s="13">
        <v>38000</v>
      </c>
      <c r="O48" s="8">
        <f t="shared" si="4"/>
        <v>38000</v>
      </c>
      <c r="P48" s="13">
        <v>38000</v>
      </c>
      <c r="Q48" s="7">
        <f t="shared" si="11"/>
        <v>0</v>
      </c>
      <c r="R48" t="str">
        <f t="shared" si="6"/>
        <v>PAID</v>
      </c>
      <c r="S48" s="3"/>
      <c r="T48" s="9">
        <f t="shared" si="7"/>
        <v>38000</v>
      </c>
      <c r="U48" t="str">
        <f t="shared" si="8"/>
        <v>OK</v>
      </c>
      <c r="V48" s="10">
        <f t="shared" si="9"/>
        <v>0</v>
      </c>
      <c r="W48" t="str">
        <f t="shared" si="10"/>
        <v>OK</v>
      </c>
      <c r="X48" s="3" t="s">
        <v>28</v>
      </c>
      <c r="Y48" t="s">
        <v>29</v>
      </c>
    </row>
    <row r="49" spans="1:25" x14ac:dyDescent="0.2">
      <c r="A49" t="str">
        <f t="shared" si="0"/>
        <v>TRIP-097</v>
      </c>
      <c r="B49" s="2">
        <v>45721</v>
      </c>
      <c r="C49" s="3" t="str">
        <f>_xlfn.XLOOKUP(D49,'[1]Jan Customer Duplicate Hyva'!$B:$B,'[1]Jan Customer Duplicate Hyva'!$A:$A,"NOT FOUND")</f>
        <v>CUST-045</v>
      </c>
      <c r="D49" s="11" t="s">
        <v>82</v>
      </c>
      <c r="E49" s="11" t="s">
        <v>30</v>
      </c>
      <c r="F49" s="5" t="str">
        <f t="shared" si="1"/>
        <v>Ravi</v>
      </c>
      <c r="G49" s="5" t="str">
        <f t="shared" si="2"/>
        <v/>
      </c>
      <c r="H49" s="5" t="str">
        <f t="shared" si="3"/>
        <v/>
      </c>
      <c r="I49" s="5" t="str">
        <f>_xlfn.XLOOKUP(F49,'[1]Jan Labour Nd Drivers Hyva'!$B:$B,'[2]Jan Labour Nd Drivers Hyva'!$A:$A,"NOT FOUND")</f>
        <v>LAB-003</v>
      </c>
      <c r="J49" s="5" t="str">
        <f>IF(G49="","",_xlfn.XLOOKUP(G49,'[3]Jan Labour Nd Drivers Hyva'!$B:$B,'[2]Jan Labour Nd Drivers Hyva'!$A:$A,"NOT FOUND"))</f>
        <v/>
      </c>
      <c r="K49" s="5" t="str">
        <f>IF(H49="","",_xlfn.XLOOKUP(H49,'[2]Jan Labour Nd Drivers Hyva'!$B:$B,'[2]Jan Labour Nd Drivers Hyva'!$A:$A,"NOT FOUND"))</f>
        <v/>
      </c>
      <c r="L49" s="11" t="s">
        <v>97</v>
      </c>
      <c r="M49" s="12">
        <v>1</v>
      </c>
      <c r="N49" s="13">
        <v>38000</v>
      </c>
      <c r="O49" s="8">
        <f t="shared" si="4"/>
        <v>38000</v>
      </c>
      <c r="P49" s="13">
        <v>38000</v>
      </c>
      <c r="Q49" s="7">
        <f t="shared" si="11"/>
        <v>0</v>
      </c>
      <c r="R49" t="str">
        <f t="shared" si="6"/>
        <v>PAID</v>
      </c>
      <c r="S49" s="3"/>
      <c r="T49" s="9">
        <f t="shared" si="7"/>
        <v>38000</v>
      </c>
      <c r="U49" t="str">
        <f t="shared" si="8"/>
        <v>OK</v>
      </c>
      <c r="V49" s="10">
        <f t="shared" si="9"/>
        <v>0</v>
      </c>
      <c r="W49" t="str">
        <f t="shared" si="10"/>
        <v>OK</v>
      </c>
      <c r="X49" s="3" t="s">
        <v>28</v>
      </c>
      <c r="Y49" t="s">
        <v>29</v>
      </c>
    </row>
    <row r="50" spans="1:25" x14ac:dyDescent="0.2">
      <c r="A50" t="str">
        <f t="shared" si="0"/>
        <v>TRIP-098</v>
      </c>
      <c r="B50" s="2">
        <v>45721</v>
      </c>
      <c r="C50" s="3" t="str">
        <f>_xlfn.XLOOKUP(D50,'[1]Jan Customer Duplicate Hyva'!$B:$B,'[1]Jan Customer Duplicate Hyva'!$A:$A,"NOT FOUND")</f>
        <v>CUST-045</v>
      </c>
      <c r="D50" s="11" t="s">
        <v>82</v>
      </c>
      <c r="E50" s="11" t="s">
        <v>30</v>
      </c>
      <c r="F50" s="5" t="str">
        <f t="shared" si="1"/>
        <v>Ravi</v>
      </c>
      <c r="G50" s="5" t="str">
        <f t="shared" si="2"/>
        <v/>
      </c>
      <c r="H50" s="5" t="str">
        <f t="shared" si="3"/>
        <v/>
      </c>
      <c r="I50" s="5" t="str">
        <f>_xlfn.XLOOKUP(F50,'[1]Jan Labour Nd Drivers Hyva'!$B:$B,'[2]Jan Labour Nd Drivers Hyva'!$A:$A,"NOT FOUND")</f>
        <v>LAB-003</v>
      </c>
      <c r="J50" s="5" t="str">
        <f>IF(G50="","",_xlfn.XLOOKUP(G50,'[3]Jan Labour Nd Drivers Hyva'!$B:$B,'[2]Jan Labour Nd Drivers Hyva'!$A:$A,"NOT FOUND"))</f>
        <v/>
      </c>
      <c r="K50" s="5" t="str">
        <f>IF(H50="","",_xlfn.XLOOKUP(H50,'[2]Jan Labour Nd Drivers Hyva'!$B:$B,'[2]Jan Labour Nd Drivers Hyva'!$A:$A,"NOT FOUND"))</f>
        <v/>
      </c>
      <c r="L50" s="11" t="s">
        <v>98</v>
      </c>
      <c r="M50" s="12">
        <v>1</v>
      </c>
      <c r="N50" s="13">
        <v>38000</v>
      </c>
      <c r="O50" s="8">
        <f t="shared" si="4"/>
        <v>38000</v>
      </c>
      <c r="P50" s="13">
        <v>38000</v>
      </c>
      <c r="Q50" s="7">
        <f t="shared" si="11"/>
        <v>0</v>
      </c>
      <c r="R50" t="str">
        <f t="shared" si="6"/>
        <v>PAID</v>
      </c>
      <c r="S50" s="3"/>
      <c r="T50" s="9">
        <f t="shared" si="7"/>
        <v>38000</v>
      </c>
      <c r="U50" t="str">
        <f t="shared" si="8"/>
        <v>OK</v>
      </c>
      <c r="V50" s="10">
        <f t="shared" si="9"/>
        <v>0</v>
      </c>
      <c r="W50" t="str">
        <f t="shared" si="10"/>
        <v>OK</v>
      </c>
      <c r="X50" s="3" t="s">
        <v>28</v>
      </c>
      <c r="Y50" t="s">
        <v>29</v>
      </c>
    </row>
    <row r="51" spans="1:25" x14ac:dyDescent="0.2">
      <c r="A51" t="str">
        <f t="shared" si="0"/>
        <v>TRIP-099</v>
      </c>
      <c r="B51" s="2">
        <v>45722</v>
      </c>
      <c r="C51" s="3" t="str">
        <f>_xlfn.XLOOKUP(D51,'[1]Jan Customer Duplicate Hyva'!$B:$B,'[1]Jan Customer Duplicate Hyva'!$A:$A,"NOT FOUND")</f>
        <v>CUST-037</v>
      </c>
      <c r="D51" s="11" t="s">
        <v>99</v>
      </c>
      <c r="E51" s="11" t="s">
        <v>30</v>
      </c>
      <c r="F51" s="5" t="str">
        <f t="shared" si="1"/>
        <v>Ravi</v>
      </c>
      <c r="G51" s="5" t="str">
        <f t="shared" si="2"/>
        <v/>
      </c>
      <c r="H51" s="5" t="str">
        <f t="shared" si="3"/>
        <v/>
      </c>
      <c r="I51" s="5" t="str">
        <f>_xlfn.XLOOKUP(F51,'[1]Jan Labour Nd Drivers Hyva'!$B:$B,'[2]Jan Labour Nd Drivers Hyva'!$A:$A,"NOT FOUND")</f>
        <v>LAB-003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11" t="s">
        <v>100</v>
      </c>
      <c r="M51" s="12">
        <v>2</v>
      </c>
      <c r="N51" s="13">
        <v>38000</v>
      </c>
      <c r="O51" s="8">
        <f t="shared" si="4"/>
        <v>76000</v>
      </c>
      <c r="P51" s="13">
        <v>76000</v>
      </c>
      <c r="Q51" s="7">
        <f t="shared" si="11"/>
        <v>0</v>
      </c>
      <c r="R51" t="str">
        <f t="shared" si="6"/>
        <v>PAID</v>
      </c>
      <c r="S51" s="3"/>
      <c r="T51" s="9">
        <f t="shared" si="7"/>
        <v>76000</v>
      </c>
      <c r="U51" t="str">
        <f t="shared" si="8"/>
        <v>OK</v>
      </c>
      <c r="V51" s="10">
        <f t="shared" si="9"/>
        <v>0</v>
      </c>
      <c r="W51" t="str">
        <f t="shared" si="10"/>
        <v>OK</v>
      </c>
      <c r="X51" s="3" t="s">
        <v>28</v>
      </c>
      <c r="Y51" t="s">
        <v>29</v>
      </c>
    </row>
    <row r="52" spans="1:25" x14ac:dyDescent="0.2">
      <c r="A52" t="str">
        <f t="shared" si="0"/>
        <v>TRIP-100</v>
      </c>
      <c r="B52" s="2">
        <v>45722</v>
      </c>
      <c r="C52" s="3" t="str">
        <f>_xlfn.XLOOKUP(D52,'[1]Jan Customer Duplicate Hyva'!$B:$B,'[1]Jan Customer Duplicate Hyva'!$A:$A,"NOT FOUND")</f>
        <v>CUST-037</v>
      </c>
      <c r="D52" s="11" t="s">
        <v>99</v>
      </c>
      <c r="E52" s="11" t="s">
        <v>30</v>
      </c>
      <c r="F52" s="5" t="str">
        <f t="shared" si="1"/>
        <v>Ravi</v>
      </c>
      <c r="G52" s="5" t="str">
        <f t="shared" si="2"/>
        <v/>
      </c>
      <c r="H52" s="5" t="str">
        <f t="shared" si="3"/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11" t="s">
        <v>101</v>
      </c>
      <c r="M52" s="12">
        <v>1</v>
      </c>
      <c r="N52" s="13">
        <v>38000</v>
      </c>
      <c r="O52" s="8">
        <f t="shared" si="4"/>
        <v>38000</v>
      </c>
      <c r="P52" s="13">
        <v>38000</v>
      </c>
      <c r="Q52" s="7">
        <f t="shared" si="11"/>
        <v>0</v>
      </c>
      <c r="R52" t="str">
        <f t="shared" si="6"/>
        <v>PAID</v>
      </c>
      <c r="S52" s="3"/>
      <c r="T52" s="9">
        <f t="shared" si="7"/>
        <v>38000</v>
      </c>
      <c r="U52" t="str">
        <f t="shared" si="8"/>
        <v>OK</v>
      </c>
      <c r="V52" s="10">
        <f t="shared" si="9"/>
        <v>0</v>
      </c>
      <c r="W52" t="str">
        <f t="shared" si="10"/>
        <v>OK</v>
      </c>
      <c r="X52" s="3" t="s">
        <v>28</v>
      </c>
      <c r="Y52" t="s">
        <v>29</v>
      </c>
    </row>
    <row r="53" spans="1:25" x14ac:dyDescent="0.2">
      <c r="A53" t="str">
        <f t="shared" si="0"/>
        <v>TRIP-101</v>
      </c>
      <c r="B53" s="2">
        <v>45722</v>
      </c>
      <c r="C53" s="3" t="str">
        <f>_xlfn.XLOOKUP(D53,'[1]Jan Customer Duplicate Hyva'!$B:$B,'[1]Jan Customer Duplicate Hyva'!$A:$A,"NOT FOUND")</f>
        <v>CUST-382</v>
      </c>
      <c r="D53" s="11" t="s">
        <v>102</v>
      </c>
      <c r="E53" s="11" t="s">
        <v>26</v>
      </c>
      <c r="F53" s="5" t="str">
        <f t="shared" si="1"/>
        <v>Anshu</v>
      </c>
      <c r="G53" s="5" t="str">
        <f t="shared" si="2"/>
        <v/>
      </c>
      <c r="H53" s="5" t="str">
        <f t="shared" si="3"/>
        <v/>
      </c>
      <c r="I53" s="5" t="str">
        <f>_xlfn.XLOOKUP(F53,'[1]Jan Labour Nd Drivers Hyva'!$B:$B,'[2]Jan Labour Nd Drivers Hyva'!$A:$A,"NOT FOUND")</f>
        <v>LAB-002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11" t="s">
        <v>103</v>
      </c>
      <c r="M53" s="12">
        <v>1</v>
      </c>
      <c r="N53" s="13">
        <v>38000</v>
      </c>
      <c r="O53" s="8">
        <f t="shared" si="4"/>
        <v>38000</v>
      </c>
      <c r="P53" s="13">
        <v>38000</v>
      </c>
      <c r="Q53" s="7">
        <f t="shared" si="11"/>
        <v>0</v>
      </c>
      <c r="R53" t="str">
        <f t="shared" si="6"/>
        <v>PAID</v>
      </c>
      <c r="S53" s="3"/>
      <c r="T53" s="9">
        <f t="shared" si="7"/>
        <v>38000</v>
      </c>
      <c r="U53" t="str">
        <f t="shared" si="8"/>
        <v>OK</v>
      </c>
      <c r="V53" s="10">
        <f t="shared" si="9"/>
        <v>0</v>
      </c>
      <c r="W53" t="str">
        <f t="shared" si="10"/>
        <v>OK</v>
      </c>
      <c r="X53" s="3" t="s">
        <v>28</v>
      </c>
      <c r="Y53" t="s">
        <v>29</v>
      </c>
    </row>
    <row r="54" spans="1:25" x14ac:dyDescent="0.2">
      <c r="A54" t="str">
        <f t="shared" si="0"/>
        <v>TRIP-102</v>
      </c>
      <c r="B54" s="2">
        <v>45722</v>
      </c>
      <c r="C54" s="3" t="str">
        <f>_xlfn.XLOOKUP(D54,'[1]Jan Customer Duplicate Hyva'!$B:$B,'[1]Jan Customer Duplicate Hyva'!$A:$A,"NOT FOUND")</f>
        <v>CUST-382</v>
      </c>
      <c r="D54" s="11" t="s">
        <v>102</v>
      </c>
      <c r="E54" s="11" t="s">
        <v>26</v>
      </c>
      <c r="F54" s="5" t="str">
        <f t="shared" si="1"/>
        <v>Anshu</v>
      </c>
      <c r="G54" s="5" t="str">
        <f t="shared" si="2"/>
        <v/>
      </c>
      <c r="H54" s="5" t="str">
        <f t="shared" si="3"/>
        <v/>
      </c>
      <c r="I54" s="5" t="str">
        <f>_xlfn.XLOOKUP(F54,'[1]Jan Labour Nd Drivers Hyva'!$B:$B,'[2]Jan Labour Nd Drivers Hyva'!$A:$A,"NOT FOUND")</f>
        <v>LAB-002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11" t="s">
        <v>104</v>
      </c>
      <c r="M54" s="12">
        <v>1</v>
      </c>
      <c r="N54" s="13">
        <v>38000</v>
      </c>
      <c r="O54" s="8">
        <f t="shared" si="4"/>
        <v>38000</v>
      </c>
      <c r="P54" s="13">
        <v>38000</v>
      </c>
      <c r="Q54" s="7">
        <f t="shared" si="11"/>
        <v>0</v>
      </c>
      <c r="R54" t="str">
        <f t="shared" si="6"/>
        <v>PAID</v>
      </c>
      <c r="S54" s="3"/>
      <c r="T54" s="9">
        <f t="shared" si="7"/>
        <v>38000</v>
      </c>
      <c r="U54" t="str">
        <f t="shared" si="8"/>
        <v>OK</v>
      </c>
      <c r="V54" s="10">
        <f t="shared" si="9"/>
        <v>0</v>
      </c>
      <c r="W54" t="str">
        <f t="shared" si="10"/>
        <v>OK</v>
      </c>
      <c r="X54" s="3" t="s">
        <v>28</v>
      </c>
      <c r="Y54" t="s">
        <v>29</v>
      </c>
    </row>
    <row r="55" spans="1:25" x14ac:dyDescent="0.2">
      <c r="A55" t="str">
        <f t="shared" si="0"/>
        <v>TRIP-103</v>
      </c>
      <c r="B55" s="2">
        <v>45722</v>
      </c>
      <c r="C55" s="3" t="str">
        <f>_xlfn.XLOOKUP(D55,'[1]Jan Customer Duplicate Hyva'!$B:$B,'[1]Jan Customer Duplicate Hyva'!$A:$A,"NOT FOUND")</f>
        <v>CUST-362</v>
      </c>
      <c r="D55" s="11" t="s">
        <v>105</v>
      </c>
      <c r="E55" s="11" t="s">
        <v>26</v>
      </c>
      <c r="F55" s="5" t="str">
        <f t="shared" si="1"/>
        <v>Anshu</v>
      </c>
      <c r="G55" s="5" t="str">
        <f t="shared" si="2"/>
        <v/>
      </c>
      <c r="H55" s="5" t="str">
        <f t="shared" si="3"/>
        <v/>
      </c>
      <c r="I55" s="5" t="str">
        <f>_xlfn.XLOOKUP(F55,'[1]Jan Labour Nd Drivers Hyva'!$B:$B,'[2]Jan Labour Nd Drivers Hyva'!$A:$A,"NOT FOUND")</f>
        <v>LAB-002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11" t="s">
        <v>106</v>
      </c>
      <c r="M55" s="12">
        <v>1</v>
      </c>
      <c r="N55" s="13">
        <v>38000</v>
      </c>
      <c r="O55" s="8">
        <f t="shared" si="4"/>
        <v>38000</v>
      </c>
      <c r="P55" s="13">
        <v>38000</v>
      </c>
      <c r="Q55" s="7">
        <f t="shared" si="11"/>
        <v>0</v>
      </c>
      <c r="R55" t="str">
        <f t="shared" si="6"/>
        <v>PAID</v>
      </c>
      <c r="S55" s="3"/>
      <c r="T55" s="9">
        <f t="shared" si="7"/>
        <v>38000</v>
      </c>
      <c r="U55" t="str">
        <f t="shared" si="8"/>
        <v>OK</v>
      </c>
      <c r="V55" s="10">
        <f t="shared" si="9"/>
        <v>0</v>
      </c>
      <c r="W55" t="str">
        <f t="shared" si="10"/>
        <v>OK</v>
      </c>
      <c r="X55" s="3" t="s">
        <v>28</v>
      </c>
      <c r="Y55" t="s">
        <v>29</v>
      </c>
    </row>
    <row r="56" spans="1:25" x14ac:dyDescent="0.2">
      <c r="A56" t="str">
        <f t="shared" si="0"/>
        <v>TRIP-104</v>
      </c>
      <c r="B56" s="2">
        <v>45723</v>
      </c>
      <c r="C56" s="3" t="str">
        <f>_xlfn.XLOOKUP(D56,'[1]Jan Customer Duplicate Hyva'!$B:$B,'[1]Jan Customer Duplicate Hyva'!$A:$A,"NOT FOUND")</f>
        <v>CUST-037</v>
      </c>
      <c r="D56" s="11" t="s">
        <v>99</v>
      </c>
      <c r="E56" s="11" t="s">
        <v>55</v>
      </c>
      <c r="F56" s="5" t="str">
        <f t="shared" si="1"/>
        <v>Gaju Bhau</v>
      </c>
      <c r="G56" s="5" t="str">
        <f t="shared" si="2"/>
        <v/>
      </c>
      <c r="H56" s="5" t="str">
        <f t="shared" si="3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11" t="s">
        <v>56</v>
      </c>
      <c r="M56" s="12">
        <v>4</v>
      </c>
      <c r="N56" s="13">
        <v>38000</v>
      </c>
      <c r="O56" s="8">
        <f t="shared" si="4"/>
        <v>152000</v>
      </c>
      <c r="P56" s="13">
        <v>152000</v>
      </c>
      <c r="Q56" s="7">
        <f t="shared" si="11"/>
        <v>0</v>
      </c>
      <c r="R56" t="str">
        <f t="shared" si="6"/>
        <v>PAID</v>
      </c>
      <c r="S56" s="3"/>
      <c r="T56" s="9">
        <f t="shared" si="7"/>
        <v>152000</v>
      </c>
      <c r="U56" t="str">
        <f t="shared" si="8"/>
        <v>OK</v>
      </c>
      <c r="V56" s="10">
        <f t="shared" si="9"/>
        <v>0</v>
      </c>
      <c r="W56" t="str">
        <f t="shared" si="10"/>
        <v>OK</v>
      </c>
      <c r="X56" s="3" t="s">
        <v>28</v>
      </c>
      <c r="Y56" t="s">
        <v>29</v>
      </c>
    </row>
    <row r="57" spans="1:25" x14ac:dyDescent="0.2">
      <c r="A57" t="str">
        <f t="shared" si="0"/>
        <v>TRIP-105</v>
      </c>
      <c r="B57" s="2">
        <v>45723</v>
      </c>
      <c r="C57" s="3" t="str">
        <f>_xlfn.XLOOKUP(D57,'[1]Jan Customer Duplicate Hyva'!$B:$B,'[1]Jan Customer Duplicate Hyva'!$A:$A,"NOT FOUND")</f>
        <v>CUST-037</v>
      </c>
      <c r="D57" s="11" t="s">
        <v>99</v>
      </c>
      <c r="E57" s="11" t="s">
        <v>55</v>
      </c>
      <c r="F57" s="5" t="str">
        <f t="shared" si="1"/>
        <v>Gaju Bhau</v>
      </c>
      <c r="G57" s="5" t="str">
        <f t="shared" si="2"/>
        <v/>
      </c>
      <c r="H57" s="5" t="str">
        <f t="shared" si="3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11" t="s">
        <v>107</v>
      </c>
      <c r="M57" s="12">
        <v>1</v>
      </c>
      <c r="N57" s="13">
        <v>38000</v>
      </c>
      <c r="O57" s="8">
        <f t="shared" si="4"/>
        <v>38000</v>
      </c>
      <c r="P57" s="13">
        <v>38000</v>
      </c>
      <c r="Q57" s="7">
        <f t="shared" si="11"/>
        <v>0</v>
      </c>
      <c r="R57" t="str">
        <f t="shared" si="6"/>
        <v>PAID</v>
      </c>
      <c r="S57" s="3"/>
      <c r="T57" s="9">
        <f t="shared" si="7"/>
        <v>38000</v>
      </c>
      <c r="U57" t="str">
        <f t="shared" si="8"/>
        <v>OK</v>
      </c>
      <c r="V57" s="10">
        <f t="shared" si="9"/>
        <v>0</v>
      </c>
      <c r="W57" t="str">
        <f t="shared" si="10"/>
        <v>OK</v>
      </c>
      <c r="X57" s="3" t="s">
        <v>28</v>
      </c>
      <c r="Y57" t="s">
        <v>29</v>
      </c>
    </row>
    <row r="58" spans="1:25" x14ac:dyDescent="0.2">
      <c r="A58" t="str">
        <f t="shared" si="0"/>
        <v>TRIP-106</v>
      </c>
      <c r="B58" s="2">
        <v>45723</v>
      </c>
      <c r="C58" s="3" t="str">
        <f>_xlfn.XLOOKUP(D58,'[1]Jan Customer Duplicate Hyva'!$B:$B,'[1]Jan Customer Duplicate Hyva'!$A:$A,"NOT FOUND")</f>
        <v>CUST-236</v>
      </c>
      <c r="D58" s="11" t="s">
        <v>58</v>
      </c>
      <c r="E58" s="11" t="s">
        <v>55</v>
      </c>
      <c r="F58" s="5" t="str">
        <f t="shared" si="1"/>
        <v>Gaju Bhau</v>
      </c>
      <c r="G58" s="5" t="str">
        <f t="shared" si="2"/>
        <v/>
      </c>
      <c r="H58" s="5" t="str">
        <f t="shared" si="3"/>
        <v/>
      </c>
      <c r="I58" s="5" t="str">
        <f>_xlfn.XLOOKUP(F58,'[1]Jan Labour Nd Drivers Hyva'!$B:$B,'[2]Jan Labour Nd Drivers Hyva'!$A:$A,"NOT FOUND")</f>
        <v>LAB-001</v>
      </c>
      <c r="J58" s="5" t="str">
        <f>IF(G58="","",_xlfn.XLOOKUP(G58,'[3]Jan Labour Nd Drivers Hyva'!$B:$B,'[2]Jan Labour Nd Drivers Hyva'!$A:$A,"NOT FOUND"))</f>
        <v/>
      </c>
      <c r="K58" s="5" t="str">
        <f>IF(H58="","",_xlfn.XLOOKUP(H58,'[2]Jan Labour Nd Drivers Hyva'!$B:$B,'[2]Jan Labour Nd Drivers Hyva'!$A:$A,"NOT FOUND"))</f>
        <v/>
      </c>
      <c r="L58" s="11" t="s">
        <v>108</v>
      </c>
      <c r="M58" s="12">
        <v>1</v>
      </c>
      <c r="N58" s="13">
        <v>40000</v>
      </c>
      <c r="O58" s="8">
        <f t="shared" si="4"/>
        <v>40000</v>
      </c>
      <c r="P58" s="13">
        <v>40000</v>
      </c>
      <c r="Q58" s="7">
        <f t="shared" si="11"/>
        <v>0</v>
      </c>
      <c r="R58" t="str">
        <f t="shared" si="6"/>
        <v>PAID</v>
      </c>
      <c r="S58" s="3"/>
      <c r="T58" s="9">
        <f t="shared" si="7"/>
        <v>40000</v>
      </c>
      <c r="U58" t="str">
        <f t="shared" si="8"/>
        <v>OK</v>
      </c>
      <c r="V58" s="10">
        <f t="shared" si="9"/>
        <v>0</v>
      </c>
      <c r="W58" t="str">
        <f t="shared" si="10"/>
        <v>OK</v>
      </c>
      <c r="X58" s="3" t="s">
        <v>28</v>
      </c>
      <c r="Y58" t="s">
        <v>29</v>
      </c>
    </row>
    <row r="59" spans="1:25" x14ac:dyDescent="0.2">
      <c r="A59" t="str">
        <f t="shared" si="0"/>
        <v>TRIP-107</v>
      </c>
      <c r="B59" s="2">
        <v>45723</v>
      </c>
      <c r="C59" s="3" t="str">
        <f>_xlfn.XLOOKUP(D59,'[1]Jan Customer Duplicate Hyva'!$B:$B,'[1]Jan Customer Duplicate Hyva'!$A:$A,"NOT FOUND")</f>
        <v>CUST-172</v>
      </c>
      <c r="D59" s="3" t="s">
        <v>54</v>
      </c>
      <c r="E59" s="11" t="s">
        <v>30</v>
      </c>
      <c r="F59" s="5" t="str">
        <f t="shared" si="1"/>
        <v>Ravi</v>
      </c>
      <c r="G59" s="5" t="str">
        <f t="shared" si="2"/>
        <v/>
      </c>
      <c r="H59" s="5" t="str">
        <f t="shared" si="3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/>
      </c>
      <c r="K59" s="5" t="str">
        <f>IF(H59="","",_xlfn.XLOOKUP(H59,'[2]Jan Labour Nd Drivers Hyva'!$B:$B,'[2]Jan Labour Nd Drivers Hyva'!$A:$A,"NOT FOUND"))</f>
        <v/>
      </c>
      <c r="L59" s="11" t="s">
        <v>56</v>
      </c>
      <c r="M59" s="12">
        <v>2</v>
      </c>
      <c r="N59" s="13">
        <v>38000</v>
      </c>
      <c r="O59" s="8">
        <f t="shared" si="4"/>
        <v>76000</v>
      </c>
      <c r="P59" s="13">
        <v>76000</v>
      </c>
      <c r="Q59" s="7">
        <f t="shared" si="11"/>
        <v>0</v>
      </c>
      <c r="R59" t="str">
        <f t="shared" si="6"/>
        <v>PAID</v>
      </c>
      <c r="S59" s="3"/>
      <c r="T59" s="9">
        <f t="shared" si="7"/>
        <v>76000</v>
      </c>
      <c r="U59" t="str">
        <f t="shared" si="8"/>
        <v>OK</v>
      </c>
      <c r="V59" s="10">
        <f t="shared" si="9"/>
        <v>0</v>
      </c>
      <c r="W59" t="str">
        <f t="shared" si="10"/>
        <v>OK</v>
      </c>
      <c r="X59" s="3" t="s">
        <v>28</v>
      </c>
      <c r="Y59" t="s">
        <v>29</v>
      </c>
    </row>
    <row r="60" spans="1:25" x14ac:dyDescent="0.2">
      <c r="A60" t="str">
        <f t="shared" si="0"/>
        <v>TRIP-108</v>
      </c>
      <c r="B60" s="2">
        <v>45723</v>
      </c>
      <c r="C60" s="3" t="str">
        <f>_xlfn.XLOOKUP(D60,'[1]Jan Customer Duplicate Hyva'!$B:$B,'[1]Jan Customer Duplicate Hyva'!$A:$A,"NOT FOUND")</f>
        <v>CUST-321</v>
      </c>
      <c r="D60" s="11" t="s">
        <v>95</v>
      </c>
      <c r="E60" s="11" t="s">
        <v>30</v>
      </c>
      <c r="F60" s="5" t="str">
        <f t="shared" si="1"/>
        <v>Ravi</v>
      </c>
      <c r="G60" s="5" t="str">
        <f t="shared" si="2"/>
        <v/>
      </c>
      <c r="H60" s="5" t="str">
        <f t="shared" si="3"/>
        <v/>
      </c>
      <c r="I60" s="5" t="str">
        <f>_xlfn.XLOOKUP(F60,'[1]Jan Labour Nd Drivers Hyva'!$B:$B,'[2]Jan Labour Nd Drivers Hyva'!$A:$A,"NOT FOUND")</f>
        <v>LAB-003</v>
      </c>
      <c r="J60" s="5" t="str">
        <f>IF(G60="","",_xlfn.XLOOKUP(G60,'[3]Jan Labour Nd Drivers Hyva'!$B:$B,'[2]Jan Labour Nd Drivers Hyva'!$A:$A,"NOT FOUND"))</f>
        <v/>
      </c>
      <c r="K60" s="5" t="str">
        <f>IF(H60="","",_xlfn.XLOOKUP(H60,'[2]Jan Labour Nd Drivers Hyva'!$B:$B,'[2]Jan Labour Nd Drivers Hyva'!$A:$A,"NOT FOUND"))</f>
        <v/>
      </c>
      <c r="L60" s="11" t="s">
        <v>109</v>
      </c>
      <c r="M60" s="12">
        <v>1</v>
      </c>
      <c r="N60" s="13">
        <v>38000</v>
      </c>
      <c r="O60" s="8">
        <f t="shared" si="4"/>
        <v>38000</v>
      </c>
      <c r="P60" s="13">
        <v>38000</v>
      </c>
      <c r="Q60" s="7">
        <f t="shared" si="11"/>
        <v>0</v>
      </c>
      <c r="R60" t="str">
        <f t="shared" si="6"/>
        <v>PAID</v>
      </c>
      <c r="S60" s="3"/>
      <c r="T60" s="9">
        <f t="shared" si="7"/>
        <v>38000</v>
      </c>
      <c r="U60" t="str">
        <f t="shared" si="8"/>
        <v>OK</v>
      </c>
      <c r="V60" s="10">
        <f t="shared" si="9"/>
        <v>0</v>
      </c>
      <c r="W60" t="str">
        <f t="shared" si="10"/>
        <v>OK</v>
      </c>
      <c r="X60" s="3" t="s">
        <v>28</v>
      </c>
      <c r="Y60" t="s">
        <v>29</v>
      </c>
    </row>
    <row r="61" spans="1:25" x14ac:dyDescent="0.2">
      <c r="A61" t="str">
        <f t="shared" si="0"/>
        <v>TRIP-109</v>
      </c>
      <c r="B61" s="2">
        <v>45723</v>
      </c>
      <c r="C61" s="3" t="str">
        <f>_xlfn.XLOOKUP(D61,'[1]Jan Customer Duplicate Hyva'!$B:$B,'[1]Jan Customer Duplicate Hyva'!$A:$A,"NOT FOUND")</f>
        <v>CUST-323</v>
      </c>
      <c r="D61" s="3" t="s">
        <v>51</v>
      </c>
      <c r="E61" s="11" t="s">
        <v>30</v>
      </c>
      <c r="F61" s="5" t="str">
        <f t="shared" si="1"/>
        <v>Ravi</v>
      </c>
      <c r="G61" s="5" t="str">
        <f t="shared" si="2"/>
        <v/>
      </c>
      <c r="H61" s="5" t="str">
        <f t="shared" si="3"/>
        <v/>
      </c>
      <c r="I61" s="5" t="str">
        <f>_xlfn.XLOOKUP(F61,'[1]Jan Labour Nd Drivers Hyva'!$B:$B,'[2]Jan Labour Nd Drivers Hyva'!$A:$A,"NOT FOUND")</f>
        <v>LAB-003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11" t="s">
        <v>89</v>
      </c>
      <c r="M61" s="12">
        <v>1</v>
      </c>
      <c r="N61" s="13">
        <v>38000</v>
      </c>
      <c r="O61" s="8">
        <f t="shared" si="4"/>
        <v>38000</v>
      </c>
      <c r="P61" s="13">
        <v>38000</v>
      </c>
      <c r="Q61" s="7">
        <f t="shared" si="11"/>
        <v>0</v>
      </c>
      <c r="R61" t="str">
        <f t="shared" si="6"/>
        <v>PAID</v>
      </c>
      <c r="S61" s="3"/>
      <c r="T61" s="9">
        <f t="shared" si="7"/>
        <v>38000</v>
      </c>
      <c r="U61" t="str">
        <f t="shared" si="8"/>
        <v>OK</v>
      </c>
      <c r="V61" s="10">
        <f t="shared" si="9"/>
        <v>0</v>
      </c>
      <c r="W61" t="str">
        <f t="shared" si="10"/>
        <v>OK</v>
      </c>
      <c r="X61" s="3" t="s">
        <v>28</v>
      </c>
      <c r="Y61" t="s">
        <v>29</v>
      </c>
    </row>
    <row r="62" spans="1:25" x14ac:dyDescent="0.2">
      <c r="A62" t="str">
        <f t="shared" si="0"/>
        <v>TRIP-110</v>
      </c>
      <c r="B62" s="2">
        <v>45725</v>
      </c>
      <c r="C62" s="3" t="str">
        <f>_xlfn.XLOOKUP(D62,'[1]Jan Customer Duplicate Hyva'!$B:$B,'[1]Jan Customer Duplicate Hyva'!$A:$A,"NOT FOUND")</f>
        <v>CUST-229</v>
      </c>
      <c r="D62" s="11" t="s">
        <v>110</v>
      </c>
      <c r="E62" s="11" t="s">
        <v>111</v>
      </c>
      <c r="F62" s="5" t="str">
        <f>TRIM(_xlfn.TEXTBEFORE(E62&amp;" / "," / "))</f>
        <v>Ravi</v>
      </c>
      <c r="G62" s="5" t="str">
        <f t="shared" si="2"/>
        <v>Anshu</v>
      </c>
      <c r="H62" s="5" t="str">
        <f t="shared" si="3"/>
        <v/>
      </c>
      <c r="I62" s="5" t="str">
        <f>_xlfn.XLOOKUP(F62,'[1]Jan Labour Nd Drivers Hyva'!$B:$B,'[2]Jan Labour Nd Drivers Hyva'!$A:$A,"NOT FOUND")</f>
        <v>LAB-003</v>
      </c>
      <c r="J62" s="5" t="str">
        <f>IF(G62="","",_xlfn.XLOOKUP(G62,'[3]Jan Labour Nd Drivers Hyva'!$B:$B,'[2]Jan Labour Nd Drivers Hyva'!$A:$A,"NOT FOUND"))</f>
        <v>LAB-002</v>
      </c>
      <c r="K62" s="5" t="str">
        <f>IF(H62="","",_xlfn.XLOOKUP(H62,'[2]Jan Labour Nd Drivers Hyva'!$B:$B,'[2]Jan Labour Nd Drivers Hyva'!$A:$A,"NOT FOUND"))</f>
        <v/>
      </c>
      <c r="L62" s="11" t="s">
        <v>33</v>
      </c>
      <c r="M62" s="12">
        <v>3</v>
      </c>
      <c r="N62" s="13">
        <v>38000</v>
      </c>
      <c r="O62" s="8">
        <f t="shared" si="4"/>
        <v>114000</v>
      </c>
      <c r="P62" s="13">
        <v>114000</v>
      </c>
      <c r="Q62" s="7">
        <f t="shared" si="11"/>
        <v>0</v>
      </c>
      <c r="R62" t="str">
        <f t="shared" si="6"/>
        <v>PAID</v>
      </c>
      <c r="S62" s="3"/>
      <c r="T62" s="9">
        <f t="shared" si="7"/>
        <v>114000</v>
      </c>
      <c r="U62" t="str">
        <f t="shared" si="8"/>
        <v>OK</v>
      </c>
      <c r="V62" s="10">
        <f t="shared" si="9"/>
        <v>0</v>
      </c>
      <c r="W62" t="str">
        <f t="shared" si="10"/>
        <v>OK</v>
      </c>
      <c r="X62" s="3" t="s">
        <v>28</v>
      </c>
      <c r="Y62" t="s">
        <v>29</v>
      </c>
    </row>
    <row r="63" spans="1:25" x14ac:dyDescent="0.2">
      <c r="A63" t="str">
        <f t="shared" si="0"/>
        <v>TRIP-111</v>
      </c>
      <c r="B63" s="2">
        <v>45725</v>
      </c>
      <c r="C63" s="3" t="str">
        <f>_xlfn.XLOOKUP(D63,'[1]Jan Customer Duplicate Hyva'!$B:$B,'[1]Jan Customer Duplicate Hyva'!$A:$A,"NOT FOUND")</f>
        <v>CUST-380</v>
      </c>
      <c r="D63" s="11" t="s">
        <v>112</v>
      </c>
      <c r="E63" s="11" t="s">
        <v>30</v>
      </c>
      <c r="F63" s="5" t="str">
        <f t="shared" si="1"/>
        <v>Ravi</v>
      </c>
      <c r="G63" s="5" t="str">
        <f t="shared" si="2"/>
        <v/>
      </c>
      <c r="H63" s="5" t="str">
        <f t="shared" si="3"/>
        <v/>
      </c>
      <c r="I63" s="5" t="str">
        <f>_xlfn.XLOOKUP(F63,'[1]Jan Labour Nd Drivers Hyva'!$B:$B,'[2]Jan Labour Nd Drivers Hyva'!$A:$A,"NOT FOUND")</f>
        <v>LAB-003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11" t="s">
        <v>113</v>
      </c>
      <c r="M63" s="12">
        <v>1</v>
      </c>
      <c r="N63" s="13">
        <v>38000</v>
      </c>
      <c r="O63" s="8">
        <f t="shared" si="4"/>
        <v>38000</v>
      </c>
      <c r="P63" s="13">
        <v>38000</v>
      </c>
      <c r="Q63" s="7">
        <f t="shared" si="11"/>
        <v>0</v>
      </c>
      <c r="R63" t="str">
        <f t="shared" si="6"/>
        <v>PAID</v>
      </c>
      <c r="S63" s="3"/>
      <c r="T63" s="9">
        <f t="shared" si="7"/>
        <v>38000</v>
      </c>
      <c r="U63" t="str">
        <f t="shared" si="8"/>
        <v>OK</v>
      </c>
      <c r="V63" s="10">
        <f t="shared" si="9"/>
        <v>0</v>
      </c>
      <c r="W63" t="str">
        <f t="shared" si="10"/>
        <v>OK</v>
      </c>
      <c r="X63" s="3" t="s">
        <v>28</v>
      </c>
      <c r="Y63" t="s">
        <v>29</v>
      </c>
    </row>
    <row r="64" spans="1:25" x14ac:dyDescent="0.2">
      <c r="A64" t="str">
        <f t="shared" si="0"/>
        <v>TRIP-112</v>
      </c>
      <c r="B64" s="2">
        <v>45725</v>
      </c>
      <c r="C64" s="3" t="str">
        <f>_xlfn.XLOOKUP(D64,'[1]Jan Customer Duplicate Hyva'!$B:$B,'[1]Jan Customer Duplicate Hyva'!$A:$A,"NOT FOUND")</f>
        <v>CUST-169</v>
      </c>
      <c r="D64" s="11" t="s">
        <v>46</v>
      </c>
      <c r="E64" s="11" t="s">
        <v>111</v>
      </c>
      <c r="F64" s="5" t="str">
        <f t="shared" si="1"/>
        <v>Ravi</v>
      </c>
      <c r="G64" s="5" t="str">
        <f t="shared" si="2"/>
        <v>Anshu</v>
      </c>
      <c r="H64" s="5" t="str">
        <f t="shared" si="3"/>
        <v/>
      </c>
      <c r="I64" s="5" t="str">
        <f>_xlfn.XLOOKUP(F64,'[1]Jan Labour Nd Drivers Hyva'!$B:$B,'[2]Jan Labour Nd Drivers Hyva'!$A:$A,"NOT FOUND")</f>
        <v>LAB-003</v>
      </c>
      <c r="J64" s="5" t="str">
        <f>IF(G64="","",_xlfn.XLOOKUP(G64,'[3]Jan Labour Nd Drivers Hyva'!$B:$B,'[2]Jan Labour Nd Drivers Hyva'!$A:$A,"NOT FOUND"))</f>
        <v>LAB-002</v>
      </c>
      <c r="K64" s="5" t="str">
        <f>IF(H64="","",_xlfn.XLOOKUP(H64,'[2]Jan Labour Nd Drivers Hyva'!$B:$B,'[2]Jan Labour Nd Drivers Hyva'!$A:$A,"NOT FOUND"))</f>
        <v/>
      </c>
      <c r="L64" s="11" t="s">
        <v>114</v>
      </c>
      <c r="M64" s="12">
        <v>2</v>
      </c>
      <c r="N64" s="13">
        <v>37000</v>
      </c>
      <c r="O64" s="8">
        <f t="shared" si="4"/>
        <v>74000</v>
      </c>
      <c r="P64" s="13">
        <v>74000</v>
      </c>
      <c r="Q64" s="7">
        <f t="shared" si="11"/>
        <v>0</v>
      </c>
      <c r="R64" t="str">
        <f t="shared" si="6"/>
        <v>PAID</v>
      </c>
      <c r="S64" s="3"/>
      <c r="T64" s="9">
        <f t="shared" si="7"/>
        <v>74000</v>
      </c>
      <c r="U64" t="str">
        <f t="shared" si="8"/>
        <v>OK</v>
      </c>
      <c r="V64" s="10">
        <f t="shared" si="9"/>
        <v>0</v>
      </c>
      <c r="W64" t="str">
        <f t="shared" si="10"/>
        <v>OK</v>
      </c>
      <c r="X64" s="3" t="s">
        <v>28</v>
      </c>
      <c r="Y64" t="s">
        <v>29</v>
      </c>
    </row>
    <row r="65" spans="1:25" x14ac:dyDescent="0.2">
      <c r="A65" t="str">
        <f t="shared" si="0"/>
        <v>TRIP-113</v>
      </c>
      <c r="B65" s="2">
        <v>45725</v>
      </c>
      <c r="C65" s="3" t="str">
        <f>_xlfn.XLOOKUP(D65,'[1]Jan Customer Duplicate Hyva'!$B:$B,'[1]Jan Customer Duplicate Hyva'!$A:$A,"NOT FOUND")</f>
        <v>CUST-323</v>
      </c>
      <c r="D65" s="3" t="s">
        <v>51</v>
      </c>
      <c r="E65" s="11" t="s">
        <v>26</v>
      </c>
      <c r="F65" s="5" t="str">
        <f t="shared" si="1"/>
        <v>Anshu</v>
      </c>
      <c r="G65" s="5" t="str">
        <f t="shared" si="2"/>
        <v/>
      </c>
      <c r="H65" s="5" t="str">
        <f t="shared" si="3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11" t="s">
        <v>115</v>
      </c>
      <c r="M65" s="12">
        <v>1</v>
      </c>
      <c r="N65" s="13">
        <v>40000</v>
      </c>
      <c r="O65" s="8">
        <f t="shared" si="4"/>
        <v>40000</v>
      </c>
      <c r="P65" s="13">
        <v>35000</v>
      </c>
      <c r="Q65" s="7">
        <f t="shared" si="11"/>
        <v>5000</v>
      </c>
      <c r="R65" t="str">
        <f t="shared" si="6"/>
        <v>PARTIAL</v>
      </c>
      <c r="S65" s="3"/>
      <c r="T65" s="9">
        <f t="shared" si="7"/>
        <v>40000</v>
      </c>
      <c r="U65" t="str">
        <f t="shared" si="8"/>
        <v>OK</v>
      </c>
      <c r="V65" s="10">
        <f t="shared" si="9"/>
        <v>5000</v>
      </c>
      <c r="W65" t="str">
        <f t="shared" si="10"/>
        <v>OK</v>
      </c>
      <c r="X65" s="3" t="s">
        <v>28</v>
      </c>
      <c r="Y65" t="s">
        <v>29</v>
      </c>
    </row>
    <row r="66" spans="1:25" x14ac:dyDescent="0.2">
      <c r="A66" t="str">
        <f t="shared" si="0"/>
        <v>TRIP-114</v>
      </c>
      <c r="B66" s="2">
        <v>45725</v>
      </c>
      <c r="C66" s="3" t="str">
        <f>_xlfn.XLOOKUP(D66,'[1]Jan Customer Duplicate Hyva'!$B:$B,'[1]Jan Customer Duplicate Hyva'!$A:$A,"NOT FOUND")</f>
        <v>CUST-255</v>
      </c>
      <c r="D66" s="11" t="s">
        <v>75</v>
      </c>
      <c r="E66" s="11" t="s">
        <v>30</v>
      </c>
      <c r="F66" s="5" t="str">
        <f t="shared" si="1"/>
        <v>Ravi</v>
      </c>
      <c r="G66" s="5" t="str">
        <f t="shared" si="2"/>
        <v/>
      </c>
      <c r="H66" s="5" t="str">
        <f t="shared" si="3"/>
        <v/>
      </c>
      <c r="I66" s="5" t="str">
        <f>_xlfn.XLOOKUP(F66,'[1]Jan Labour Nd Drivers Hyva'!$B:$B,'[2]Jan Labour Nd Drivers Hyva'!$A:$A,"NOT FOUND")</f>
        <v>LAB-003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11" t="s">
        <v>116</v>
      </c>
      <c r="M66" s="12">
        <v>1</v>
      </c>
      <c r="N66" s="13">
        <v>40000</v>
      </c>
      <c r="O66" s="8">
        <f t="shared" si="4"/>
        <v>40000</v>
      </c>
      <c r="P66" s="13">
        <v>40000</v>
      </c>
      <c r="Q66" s="7">
        <f t="shared" si="11"/>
        <v>0</v>
      </c>
      <c r="R66" t="str">
        <f t="shared" si="6"/>
        <v>PAID</v>
      </c>
      <c r="S66" s="3"/>
      <c r="T66" s="9">
        <f t="shared" si="7"/>
        <v>40000</v>
      </c>
      <c r="U66" t="str">
        <f t="shared" si="8"/>
        <v>OK</v>
      </c>
      <c r="V66" s="10">
        <f t="shared" si="9"/>
        <v>0</v>
      </c>
      <c r="W66" t="str">
        <f t="shared" si="10"/>
        <v>OK</v>
      </c>
      <c r="X66" s="3" t="s">
        <v>28</v>
      </c>
      <c r="Y66" t="s">
        <v>29</v>
      </c>
    </row>
    <row r="67" spans="1:25" x14ac:dyDescent="0.2">
      <c r="A67" t="str">
        <f t="shared" ref="A67:A130" si="12">"TRIP-"&amp;TEXT(ROW()+48,"000")</f>
        <v>TRIP-115</v>
      </c>
      <c r="B67" s="2">
        <v>45725</v>
      </c>
      <c r="C67" s="3" t="str">
        <f>_xlfn.XLOOKUP(D67,'[1]Jan Customer Duplicate Hyva'!$B:$B,'[1]Jan Customer Duplicate Hyva'!$A:$A,"NOT FOUND")</f>
        <v>CUST-336</v>
      </c>
      <c r="D67" s="11" t="s">
        <v>117</v>
      </c>
      <c r="E67" s="11" t="s">
        <v>118</v>
      </c>
      <c r="F67" s="5" t="str">
        <f t="shared" ref="F67:F130" si="13">TRIM(_xlfn.TEXTBEFORE(E67&amp;" / "," / "))</f>
        <v>Shiva Driver</v>
      </c>
      <c r="G67" s="5" t="str">
        <f t="shared" ref="G67:G130" si="14">IFERROR(TRIM(_xlfn.TEXTBEFORE(_xlfn.TEXTAFTER(E67," / ")&amp;" / "," / ")),"")</f>
        <v/>
      </c>
      <c r="H67" s="5" t="str">
        <f t="shared" ref="H67:H130" si="15">IFERROR(TRIM(_xlfn.TEXTAFTER(E67," / ","2")),"")</f>
        <v/>
      </c>
      <c r="I67" s="5" t="str">
        <f>_xlfn.XLOOKUP(F67,'[1]Jan Labour Nd Drivers Hyva'!$B:$B,'[2]Jan Labour Nd Drivers Hyva'!$A:$A,"NOT FOUND")</f>
        <v>LAB-006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11" t="s">
        <v>119</v>
      </c>
      <c r="M67" s="12">
        <v>1</v>
      </c>
      <c r="N67" s="13">
        <v>20000</v>
      </c>
      <c r="O67" s="8">
        <f t="shared" ref="O67:O130" si="16">N67*M67</f>
        <v>20000</v>
      </c>
      <c r="P67" s="13"/>
      <c r="Q67" s="7">
        <f t="shared" si="11"/>
        <v>20000</v>
      </c>
      <c r="R67" t="str">
        <f t="shared" ref="R67:R130" si="17">IF(Q67=0,"PAID",IF(P67=0,"UNPAID","PARTIAL"))</f>
        <v>UNPAID</v>
      </c>
      <c r="S67" s="3"/>
      <c r="T67" s="9">
        <f t="shared" ref="T67:T130" si="18">M67*N67</f>
        <v>20000</v>
      </c>
      <c r="U67" t="str">
        <f t="shared" ref="U67:U130" si="19">IF(ROUND(T67,2)=ROUND(O67,2),"OK","CHECK")</f>
        <v>OK</v>
      </c>
      <c r="V67" s="10">
        <f t="shared" ref="V67:V130" si="20">O67-P67</f>
        <v>20000</v>
      </c>
      <c r="W67" t="str">
        <f t="shared" ref="W67:W130" si="21">IF(ROUND(V67,2)=ROUND(Q67,2),"OK","CHECK")</f>
        <v>OK</v>
      </c>
      <c r="X67" s="3" t="s">
        <v>28</v>
      </c>
      <c r="Y67" t="s">
        <v>29</v>
      </c>
    </row>
    <row r="68" spans="1:25" x14ac:dyDescent="0.2">
      <c r="A68" t="str">
        <f t="shared" si="12"/>
        <v>TRIP-116</v>
      </c>
      <c r="B68" s="2">
        <v>45727</v>
      </c>
      <c r="C68" s="3" t="str">
        <f>_xlfn.XLOOKUP(D68,'[1]Jan Customer Duplicate Hyva'!$B:$B,'[1]Jan Customer Duplicate Hyva'!$A:$A,"NOT FOUND")</f>
        <v>CUST-172</v>
      </c>
      <c r="D68" s="3" t="s">
        <v>54</v>
      </c>
      <c r="E68" s="11" t="s">
        <v>26</v>
      </c>
      <c r="F68" s="5" t="str">
        <f t="shared" si="13"/>
        <v>Anshu</v>
      </c>
      <c r="G68" s="5" t="str">
        <f t="shared" si="14"/>
        <v/>
      </c>
      <c r="H68" s="5" t="str">
        <f t="shared" si="15"/>
        <v/>
      </c>
      <c r="I68" s="5" t="str">
        <f>_xlfn.XLOOKUP(F68,'[1]Jan Labour Nd Drivers Hyva'!$B:$B,'[2]Jan Labour Nd Drivers Hyva'!$A:$A,"NOT FOUND")</f>
        <v>LAB-002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11" t="s">
        <v>56</v>
      </c>
      <c r="M68" s="12">
        <v>1</v>
      </c>
      <c r="N68" s="13">
        <v>38000</v>
      </c>
      <c r="O68" s="8">
        <f t="shared" si="16"/>
        <v>38000</v>
      </c>
      <c r="P68" s="13">
        <v>38000</v>
      </c>
      <c r="Q68" s="7">
        <f t="shared" si="11"/>
        <v>0</v>
      </c>
      <c r="R68" t="str">
        <f t="shared" si="17"/>
        <v>PAID</v>
      </c>
      <c r="S68" s="3"/>
      <c r="T68" s="9">
        <f t="shared" si="18"/>
        <v>38000</v>
      </c>
      <c r="U68" t="str">
        <f t="shared" si="19"/>
        <v>OK</v>
      </c>
      <c r="V68" s="10">
        <f t="shared" si="20"/>
        <v>0</v>
      </c>
      <c r="W68" t="str">
        <f t="shared" si="21"/>
        <v>OK</v>
      </c>
      <c r="X68" s="3" t="s">
        <v>28</v>
      </c>
      <c r="Y68" t="s">
        <v>29</v>
      </c>
    </row>
    <row r="69" spans="1:25" x14ac:dyDescent="0.2">
      <c r="A69" t="str">
        <f t="shared" si="12"/>
        <v>TRIP-117</v>
      </c>
      <c r="B69" s="2">
        <v>45727</v>
      </c>
      <c r="C69" s="3" t="str">
        <f>_xlfn.XLOOKUP(D69,'[1]Jan Customer Duplicate Hyva'!$B:$B,'[1]Jan Customer Duplicate Hyva'!$A:$A,"NOT FOUND")</f>
        <v>CUST-172</v>
      </c>
      <c r="D69" s="3" t="s">
        <v>54</v>
      </c>
      <c r="E69" s="11" t="s">
        <v>55</v>
      </c>
      <c r="F69" s="5" t="str">
        <f t="shared" si="13"/>
        <v>Gaju Bhau</v>
      </c>
      <c r="G69" s="5" t="str">
        <f t="shared" si="14"/>
        <v/>
      </c>
      <c r="H69" s="5" t="str">
        <f t="shared" si="15"/>
        <v/>
      </c>
      <c r="I69" s="5" t="str">
        <f>_xlfn.XLOOKUP(F69,'[1]Jan Labour Nd Drivers Hyva'!$B:$B,'[2]Jan Labour Nd Drivers Hyva'!$A:$A,"NOT FOUND")</f>
        <v>LAB-001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11" t="s">
        <v>120</v>
      </c>
      <c r="M69" s="12">
        <v>1</v>
      </c>
      <c r="N69" s="13">
        <v>38000</v>
      </c>
      <c r="O69" s="8">
        <f t="shared" si="16"/>
        <v>38000</v>
      </c>
      <c r="P69" s="13">
        <v>38000</v>
      </c>
      <c r="Q69" s="7">
        <f t="shared" si="11"/>
        <v>0</v>
      </c>
      <c r="R69" t="str">
        <f t="shared" si="17"/>
        <v>PAID</v>
      </c>
      <c r="S69" s="3"/>
      <c r="T69" s="9">
        <f t="shared" si="18"/>
        <v>38000</v>
      </c>
      <c r="U69" t="str">
        <f t="shared" si="19"/>
        <v>OK</v>
      </c>
      <c r="V69" s="10">
        <f t="shared" si="20"/>
        <v>0</v>
      </c>
      <c r="W69" t="str">
        <f t="shared" si="21"/>
        <v>OK</v>
      </c>
      <c r="X69" s="3" t="s">
        <v>28</v>
      </c>
      <c r="Y69" t="s">
        <v>29</v>
      </c>
    </row>
    <row r="70" spans="1:25" x14ac:dyDescent="0.2">
      <c r="A70" t="str">
        <f t="shared" si="12"/>
        <v>TRIP-118</v>
      </c>
      <c r="B70" s="2">
        <v>45727</v>
      </c>
      <c r="C70" s="3" t="str">
        <f>_xlfn.XLOOKUP(D70,'[1]Jan Customer Duplicate Hyva'!$B:$B,'[1]Jan Customer Duplicate Hyva'!$A:$A,"NOT FOUND")</f>
        <v>CUST-321</v>
      </c>
      <c r="D70" s="11" t="s">
        <v>95</v>
      </c>
      <c r="E70" s="11" t="s">
        <v>55</v>
      </c>
      <c r="F70" s="5" t="str">
        <f t="shared" si="13"/>
        <v>Gaju Bhau</v>
      </c>
      <c r="G70" s="5" t="str">
        <f t="shared" si="14"/>
        <v/>
      </c>
      <c r="H70" s="5" t="str">
        <f t="shared" si="15"/>
        <v/>
      </c>
      <c r="I70" s="5" t="str">
        <f>_xlfn.XLOOKUP(F70,'[1]Jan Labour Nd Drivers Hyva'!$B:$B,'[2]Jan Labour Nd Drivers Hyva'!$A:$A,"NOT FOUND")</f>
        <v>LAB-001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11" t="s">
        <v>121</v>
      </c>
      <c r="M70" s="12">
        <v>1</v>
      </c>
      <c r="N70" s="13">
        <v>37000</v>
      </c>
      <c r="O70" s="8">
        <f t="shared" si="16"/>
        <v>37000</v>
      </c>
      <c r="P70" s="13">
        <v>37000</v>
      </c>
      <c r="Q70" s="7">
        <f t="shared" si="11"/>
        <v>0</v>
      </c>
      <c r="R70" t="str">
        <f t="shared" si="17"/>
        <v>PAID</v>
      </c>
      <c r="S70" s="3"/>
      <c r="T70" s="9">
        <f t="shared" si="18"/>
        <v>37000</v>
      </c>
      <c r="U70" t="str">
        <f t="shared" si="19"/>
        <v>OK</v>
      </c>
      <c r="V70" s="10">
        <f t="shared" si="20"/>
        <v>0</v>
      </c>
      <c r="W70" t="str">
        <f t="shared" si="21"/>
        <v>OK</v>
      </c>
      <c r="X70" s="3" t="s">
        <v>28</v>
      </c>
      <c r="Y70" t="s">
        <v>29</v>
      </c>
    </row>
    <row r="71" spans="1:25" x14ac:dyDescent="0.2">
      <c r="A71" t="str">
        <f t="shared" si="12"/>
        <v>TRIP-119</v>
      </c>
      <c r="B71" s="2">
        <v>45727</v>
      </c>
      <c r="C71" s="3" t="str">
        <f>_xlfn.XLOOKUP(D71,'[1]Jan Customer Duplicate Hyva'!$B:$B,'[1]Jan Customer Duplicate Hyva'!$A:$A,"NOT FOUND")</f>
        <v>CUST-075</v>
      </c>
      <c r="D71" s="11" t="s">
        <v>31</v>
      </c>
      <c r="E71" s="11" t="s">
        <v>30</v>
      </c>
      <c r="F71" s="5" t="str">
        <f t="shared" si="13"/>
        <v>Ravi</v>
      </c>
      <c r="G71" s="5" t="str">
        <f t="shared" si="14"/>
        <v/>
      </c>
      <c r="H71" s="5" t="str">
        <f t="shared" si="15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11" t="s">
        <v>36</v>
      </c>
      <c r="M71" s="12">
        <v>1</v>
      </c>
      <c r="N71" s="13">
        <v>39000</v>
      </c>
      <c r="O71" s="8">
        <f t="shared" si="16"/>
        <v>39000</v>
      </c>
      <c r="P71" s="13">
        <v>39000</v>
      </c>
      <c r="Q71" s="7">
        <f t="shared" si="11"/>
        <v>0</v>
      </c>
      <c r="R71" t="str">
        <f t="shared" si="17"/>
        <v>PAID</v>
      </c>
      <c r="S71" s="3"/>
      <c r="T71" s="9">
        <f t="shared" si="18"/>
        <v>39000</v>
      </c>
      <c r="U71" t="str">
        <f t="shared" si="19"/>
        <v>OK</v>
      </c>
      <c r="V71" s="10">
        <f t="shared" si="20"/>
        <v>0</v>
      </c>
      <c r="W71" t="str">
        <f t="shared" si="21"/>
        <v>OK</v>
      </c>
      <c r="X71" s="3" t="s">
        <v>28</v>
      </c>
      <c r="Y71" t="s">
        <v>29</v>
      </c>
    </row>
    <row r="72" spans="1:25" x14ac:dyDescent="0.2">
      <c r="A72" t="str">
        <f t="shared" si="12"/>
        <v>TRIP-120</v>
      </c>
      <c r="B72" s="2">
        <v>45727</v>
      </c>
      <c r="C72" s="3" t="str">
        <f>_xlfn.XLOOKUP(D72,'[1]Jan Customer Duplicate Hyva'!$B:$B,'[1]Jan Customer Duplicate Hyva'!$A:$A,"NOT FOUND")</f>
        <v>CUST-120</v>
      </c>
      <c r="D72" s="11" t="s">
        <v>122</v>
      </c>
      <c r="E72" s="11" t="s">
        <v>30</v>
      </c>
      <c r="F72" s="5" t="str">
        <f t="shared" si="13"/>
        <v>Ravi</v>
      </c>
      <c r="G72" s="5" t="str">
        <f t="shared" si="14"/>
        <v/>
      </c>
      <c r="H72" s="5" t="str">
        <f t="shared" si="15"/>
        <v/>
      </c>
      <c r="I72" s="5" t="str">
        <f>_xlfn.XLOOKUP(F72,'[1]Jan Labour Nd Drivers Hyva'!$B:$B,'[2]Jan Labour Nd Drivers Hyva'!$A:$A,"NOT FOUND")</f>
        <v>LAB-003</v>
      </c>
      <c r="J72" s="5" t="str">
        <f>IF(G72="","",_xlfn.XLOOKUP(G72,'[3]Jan Labour Nd Drivers Hyva'!$B:$B,'[2]Jan Labour Nd Drivers Hyva'!$A:$A,"NOT FOUND"))</f>
        <v/>
      </c>
      <c r="K72" s="5" t="str">
        <f>IF(H72="","",_xlfn.XLOOKUP(H72,'[2]Jan Labour Nd Drivers Hyva'!$B:$B,'[2]Jan Labour Nd Drivers Hyva'!$A:$A,"NOT FOUND"))</f>
        <v/>
      </c>
      <c r="L72" s="11" t="s">
        <v>123</v>
      </c>
      <c r="M72" s="12">
        <v>1</v>
      </c>
      <c r="N72" s="13">
        <v>39000</v>
      </c>
      <c r="O72" s="8">
        <f t="shared" si="16"/>
        <v>39000</v>
      </c>
      <c r="P72" s="13">
        <v>39000</v>
      </c>
      <c r="Q72" s="7">
        <f t="shared" si="11"/>
        <v>0</v>
      </c>
      <c r="R72" t="str">
        <f t="shared" si="17"/>
        <v>PAID</v>
      </c>
      <c r="S72" s="3"/>
      <c r="T72" s="9">
        <f t="shared" si="18"/>
        <v>39000</v>
      </c>
      <c r="U72" t="str">
        <f t="shared" si="19"/>
        <v>OK</v>
      </c>
      <c r="V72" s="10">
        <f t="shared" si="20"/>
        <v>0</v>
      </c>
      <c r="W72" t="str">
        <f t="shared" si="21"/>
        <v>OK</v>
      </c>
      <c r="X72" s="3" t="s">
        <v>28</v>
      </c>
      <c r="Y72" t="s">
        <v>29</v>
      </c>
    </row>
    <row r="73" spans="1:25" x14ac:dyDescent="0.2">
      <c r="A73" t="str">
        <f t="shared" si="12"/>
        <v>TRIP-121</v>
      </c>
      <c r="B73" s="2">
        <v>45728</v>
      </c>
      <c r="C73" s="3" t="str">
        <f>_xlfn.XLOOKUP(D73,'[1]Jan Customer Duplicate Hyva'!$B:$B,'[1]Jan Customer Duplicate Hyva'!$A:$A,"NOT FOUND")</f>
        <v>CUST-169</v>
      </c>
      <c r="D73" s="11" t="s">
        <v>46</v>
      </c>
      <c r="E73" s="11" t="s">
        <v>26</v>
      </c>
      <c r="F73" s="5" t="str">
        <f t="shared" si="13"/>
        <v>Anshu</v>
      </c>
      <c r="G73" s="5" t="str">
        <f t="shared" si="14"/>
        <v/>
      </c>
      <c r="H73" s="5" t="str">
        <f t="shared" si="15"/>
        <v/>
      </c>
      <c r="I73" s="5" t="str">
        <f>_xlfn.XLOOKUP(F73,'[1]Jan Labour Nd Drivers Hyva'!$B:$B,'[2]Jan Labour Nd Drivers Hyva'!$A:$A,"NOT FOUND")</f>
        <v>LAB-002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11" t="s">
        <v>124</v>
      </c>
      <c r="M73" s="12">
        <v>1</v>
      </c>
      <c r="N73" s="13">
        <v>38000</v>
      </c>
      <c r="O73" s="8">
        <f t="shared" si="16"/>
        <v>38000</v>
      </c>
      <c r="P73" s="13">
        <v>38000</v>
      </c>
      <c r="Q73" s="7">
        <f t="shared" si="11"/>
        <v>0</v>
      </c>
      <c r="R73" t="str">
        <f t="shared" si="17"/>
        <v>PAID</v>
      </c>
      <c r="S73" s="3"/>
      <c r="T73" s="9">
        <f t="shared" si="18"/>
        <v>38000</v>
      </c>
      <c r="U73" t="str">
        <f t="shared" si="19"/>
        <v>OK</v>
      </c>
      <c r="V73" s="10">
        <f t="shared" si="20"/>
        <v>0</v>
      </c>
      <c r="W73" t="str">
        <f t="shared" si="21"/>
        <v>OK</v>
      </c>
      <c r="X73" s="3" t="s">
        <v>28</v>
      </c>
      <c r="Y73" t="s">
        <v>29</v>
      </c>
    </row>
    <row r="74" spans="1:25" x14ac:dyDescent="0.2">
      <c r="A74" t="str">
        <f t="shared" si="12"/>
        <v>TRIP-122</v>
      </c>
      <c r="B74" s="2">
        <v>45728</v>
      </c>
      <c r="C74" s="3" t="str">
        <f>_xlfn.XLOOKUP(D74,'[1]Jan Customer Duplicate Hyva'!$B:$B,'[1]Jan Customer Duplicate Hyva'!$A:$A,"NOT FOUND")</f>
        <v>CUST-172</v>
      </c>
      <c r="D74" s="3" t="s">
        <v>54</v>
      </c>
      <c r="E74" s="11" t="s">
        <v>26</v>
      </c>
      <c r="F74" s="5" t="str">
        <f t="shared" si="13"/>
        <v>Anshu</v>
      </c>
      <c r="G74" s="5" t="str">
        <f t="shared" si="14"/>
        <v/>
      </c>
      <c r="H74" s="5" t="str">
        <f t="shared" si="15"/>
        <v/>
      </c>
      <c r="I74" s="5" t="str">
        <f>_xlfn.XLOOKUP(F74,'[1]Jan Labour Nd Drivers Hyva'!$B:$B,'[2]Jan Labour Nd Drivers Hyva'!$A:$A,"NOT FOUND")</f>
        <v>LAB-002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11" t="s">
        <v>56</v>
      </c>
      <c r="M74" s="12">
        <v>1</v>
      </c>
      <c r="N74" s="13">
        <v>38000</v>
      </c>
      <c r="O74" s="8">
        <f t="shared" si="16"/>
        <v>38000</v>
      </c>
      <c r="P74" s="13">
        <v>38000</v>
      </c>
      <c r="Q74" s="7">
        <f t="shared" si="11"/>
        <v>0</v>
      </c>
      <c r="R74" t="str">
        <f t="shared" si="17"/>
        <v>PAID</v>
      </c>
      <c r="S74" s="3"/>
      <c r="T74" s="9">
        <f t="shared" si="18"/>
        <v>38000</v>
      </c>
      <c r="U74" t="str">
        <f t="shared" si="19"/>
        <v>OK</v>
      </c>
      <c r="V74" s="10">
        <f t="shared" si="20"/>
        <v>0</v>
      </c>
      <c r="W74" t="str">
        <f t="shared" si="21"/>
        <v>OK</v>
      </c>
      <c r="X74" s="3" t="s">
        <v>28</v>
      </c>
      <c r="Y74" t="s">
        <v>29</v>
      </c>
    </row>
    <row r="75" spans="1:25" x14ac:dyDescent="0.2">
      <c r="A75" t="str">
        <f t="shared" si="12"/>
        <v>TRIP-123</v>
      </c>
      <c r="B75" s="2">
        <v>45728</v>
      </c>
      <c r="C75" s="3" t="str">
        <f>_xlfn.XLOOKUP(D75,'[1]Jan Customer Duplicate Hyva'!$B:$B,'[1]Jan Customer Duplicate Hyva'!$A:$A,"NOT FOUND")</f>
        <v>CUST-380</v>
      </c>
      <c r="D75" s="11" t="s">
        <v>112</v>
      </c>
      <c r="E75" s="11" t="s">
        <v>30</v>
      </c>
      <c r="F75" s="5" t="str">
        <f t="shared" si="13"/>
        <v>Ravi</v>
      </c>
      <c r="G75" s="5" t="str">
        <f t="shared" si="14"/>
        <v/>
      </c>
      <c r="H75" s="5" t="str">
        <f t="shared" si="15"/>
        <v/>
      </c>
      <c r="I75" s="5" t="str">
        <f>_xlfn.XLOOKUP(F75,'[1]Jan Labour Nd Drivers Hyva'!$B:$B,'[2]Jan Labour Nd Drivers Hyva'!$A:$A,"NOT FOUND")</f>
        <v>LAB-003</v>
      </c>
      <c r="J75" s="5" t="str">
        <f>IF(G75="","",_xlfn.XLOOKUP(G75,'[3]Jan Labour Nd Drivers Hyva'!$B:$B,'[2]Jan Labour Nd Drivers Hyva'!$A:$A,"NOT FOUND"))</f>
        <v/>
      </c>
      <c r="K75" s="5" t="str">
        <f>IF(H75="","",_xlfn.XLOOKUP(H75,'[2]Jan Labour Nd Drivers Hyva'!$B:$B,'[2]Jan Labour Nd Drivers Hyva'!$A:$A,"NOT FOUND"))</f>
        <v/>
      </c>
      <c r="L75" s="11" t="s">
        <v>125</v>
      </c>
      <c r="M75" s="12">
        <v>1</v>
      </c>
      <c r="N75" s="13">
        <v>38000</v>
      </c>
      <c r="O75" s="8">
        <f t="shared" si="16"/>
        <v>38000</v>
      </c>
      <c r="P75" s="13">
        <v>38000</v>
      </c>
      <c r="Q75" s="7">
        <f t="shared" si="11"/>
        <v>0</v>
      </c>
      <c r="R75" t="str">
        <f t="shared" si="17"/>
        <v>PAID</v>
      </c>
      <c r="S75" s="3"/>
      <c r="T75" s="9">
        <f t="shared" si="18"/>
        <v>38000</v>
      </c>
      <c r="U75" t="str">
        <f t="shared" si="19"/>
        <v>OK</v>
      </c>
      <c r="V75" s="10">
        <f t="shared" si="20"/>
        <v>0</v>
      </c>
      <c r="W75" t="str">
        <f t="shared" si="21"/>
        <v>OK</v>
      </c>
      <c r="X75" s="3" t="s">
        <v>28</v>
      </c>
      <c r="Y75" t="s">
        <v>29</v>
      </c>
    </row>
    <row r="76" spans="1:25" x14ac:dyDescent="0.2">
      <c r="A76" t="str">
        <f t="shared" si="12"/>
        <v>TRIP-124</v>
      </c>
      <c r="B76" s="2">
        <v>45728</v>
      </c>
      <c r="C76" s="3" t="str">
        <f>_xlfn.XLOOKUP(D76,'[1]Jan Customer Duplicate Hyva'!$B:$B,'[1]Jan Customer Duplicate Hyva'!$A:$A,"NOT FOUND")</f>
        <v>CUST-045</v>
      </c>
      <c r="D76" s="11" t="s">
        <v>82</v>
      </c>
      <c r="E76" s="11" t="s">
        <v>30</v>
      </c>
      <c r="F76" s="5" t="str">
        <f t="shared" si="13"/>
        <v>Ravi</v>
      </c>
      <c r="G76" s="5" t="str">
        <f t="shared" si="14"/>
        <v/>
      </c>
      <c r="H76" s="5" t="str">
        <f t="shared" si="15"/>
        <v/>
      </c>
      <c r="I76" s="5" t="str">
        <f>_xlfn.XLOOKUP(F76,'[1]Jan Labour Nd Drivers Hyva'!$B:$B,'[2]Jan Labour Nd Drivers Hyva'!$A:$A,"NOT FOUND")</f>
        <v>LAB-003</v>
      </c>
      <c r="J76" s="5" t="str">
        <f>IF(G76="","",_xlfn.XLOOKUP(G76,'[3]Jan Labour Nd Drivers Hyva'!$B:$B,'[2]Jan Labour Nd Drivers Hyva'!$A:$A,"NOT FOUND"))</f>
        <v/>
      </c>
      <c r="K76" s="5" t="str">
        <f>IF(H76="","",_xlfn.XLOOKUP(H76,'[2]Jan Labour Nd Drivers Hyva'!$B:$B,'[2]Jan Labour Nd Drivers Hyva'!$A:$A,"NOT FOUND"))</f>
        <v/>
      </c>
      <c r="L76" s="11" t="s">
        <v>126</v>
      </c>
      <c r="M76" s="12">
        <v>1</v>
      </c>
      <c r="N76" s="13">
        <v>38000</v>
      </c>
      <c r="O76" s="8">
        <f t="shared" si="16"/>
        <v>38000</v>
      </c>
      <c r="P76" s="13">
        <v>38000</v>
      </c>
      <c r="Q76" s="7">
        <f t="shared" si="11"/>
        <v>0</v>
      </c>
      <c r="R76" t="str">
        <f t="shared" si="17"/>
        <v>PAID</v>
      </c>
      <c r="S76" s="3"/>
      <c r="T76" s="9">
        <f t="shared" si="18"/>
        <v>38000</v>
      </c>
      <c r="U76" t="str">
        <f t="shared" si="19"/>
        <v>OK</v>
      </c>
      <c r="V76" s="10">
        <f t="shared" si="20"/>
        <v>0</v>
      </c>
      <c r="W76" t="str">
        <f t="shared" si="21"/>
        <v>OK</v>
      </c>
      <c r="X76" s="3" t="s">
        <v>28</v>
      </c>
      <c r="Y76" t="s">
        <v>29</v>
      </c>
    </row>
    <row r="77" spans="1:25" x14ac:dyDescent="0.2">
      <c r="A77" t="str">
        <f t="shared" si="12"/>
        <v>TRIP-125</v>
      </c>
      <c r="B77" s="2">
        <v>45728</v>
      </c>
      <c r="C77" s="3" t="str">
        <f>_xlfn.XLOOKUP(D77,'[1]Jan Customer Duplicate Hyva'!$B:$B,'[1]Jan Customer Duplicate Hyva'!$A:$A,"NOT FOUND")</f>
        <v>CUST-359</v>
      </c>
      <c r="D77" s="11" t="s">
        <v>127</v>
      </c>
      <c r="E77" s="11" t="s">
        <v>30</v>
      </c>
      <c r="F77" s="5" t="str">
        <f t="shared" si="13"/>
        <v>Ravi</v>
      </c>
      <c r="G77" s="5" t="str">
        <f t="shared" si="14"/>
        <v/>
      </c>
      <c r="H77" s="5" t="str">
        <f t="shared" si="15"/>
        <v/>
      </c>
      <c r="I77" s="5" t="str">
        <f>_xlfn.XLOOKUP(F77,'[1]Jan Labour Nd Drivers Hyva'!$B:$B,'[2]Jan Labour Nd Drivers Hyva'!$A:$A,"NOT FOUND")</f>
        <v>LAB-003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11" t="s">
        <v>33</v>
      </c>
      <c r="M77" s="12">
        <v>1</v>
      </c>
      <c r="N77" s="13">
        <v>38000</v>
      </c>
      <c r="O77" s="8">
        <f t="shared" si="16"/>
        <v>38000</v>
      </c>
      <c r="P77" s="13">
        <v>38000</v>
      </c>
      <c r="Q77" s="7">
        <f t="shared" si="11"/>
        <v>0</v>
      </c>
      <c r="R77" t="str">
        <f t="shared" si="17"/>
        <v>PAID</v>
      </c>
      <c r="S77" s="3"/>
      <c r="T77" s="9">
        <f t="shared" si="18"/>
        <v>38000</v>
      </c>
      <c r="U77" t="str">
        <f t="shared" si="19"/>
        <v>OK</v>
      </c>
      <c r="V77" s="10">
        <f t="shared" si="20"/>
        <v>0</v>
      </c>
      <c r="W77" t="str">
        <f t="shared" si="21"/>
        <v>OK</v>
      </c>
      <c r="X77" s="3" t="s">
        <v>28</v>
      </c>
      <c r="Y77" t="s">
        <v>29</v>
      </c>
    </row>
    <row r="78" spans="1:25" x14ac:dyDescent="0.2">
      <c r="A78" t="str">
        <f t="shared" si="12"/>
        <v>TRIP-126</v>
      </c>
      <c r="B78" s="2">
        <v>45729</v>
      </c>
      <c r="C78" s="3" t="str">
        <f>_xlfn.XLOOKUP(D78,'[1]Jan Customer Duplicate Hyva'!$B:$B,'[1]Jan Customer Duplicate Hyva'!$A:$A,"NOT FOUND")</f>
        <v>CUST-172</v>
      </c>
      <c r="D78" s="3" t="s">
        <v>54</v>
      </c>
      <c r="E78" s="11" t="s">
        <v>26</v>
      </c>
      <c r="F78" s="5" t="str">
        <f t="shared" si="13"/>
        <v>Anshu</v>
      </c>
      <c r="G78" s="5" t="str">
        <f t="shared" si="14"/>
        <v/>
      </c>
      <c r="H78" s="5" t="str">
        <f t="shared" si="15"/>
        <v/>
      </c>
      <c r="I78" s="5" t="str">
        <f>_xlfn.XLOOKUP(F78,'[1]Jan Labour Nd Drivers Hyva'!$B:$B,'[2]Jan Labour Nd Drivers Hyva'!$A:$A,"NOT FOUND")</f>
        <v>LAB-002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11" t="s">
        <v>128</v>
      </c>
      <c r="M78" s="12">
        <v>1</v>
      </c>
      <c r="N78" s="13">
        <v>38000</v>
      </c>
      <c r="O78" s="8">
        <f t="shared" si="16"/>
        <v>38000</v>
      </c>
      <c r="P78" s="13">
        <v>38000</v>
      </c>
      <c r="Q78" s="7">
        <f t="shared" si="11"/>
        <v>0</v>
      </c>
      <c r="R78" t="str">
        <f t="shared" si="17"/>
        <v>PAID</v>
      </c>
      <c r="S78" s="3"/>
      <c r="T78" s="9">
        <f t="shared" si="18"/>
        <v>38000</v>
      </c>
      <c r="U78" t="str">
        <f t="shared" si="19"/>
        <v>OK</v>
      </c>
      <c r="V78" s="10">
        <f t="shared" si="20"/>
        <v>0</v>
      </c>
      <c r="W78" t="str">
        <f t="shared" si="21"/>
        <v>OK</v>
      </c>
      <c r="X78" s="3" t="s">
        <v>28</v>
      </c>
      <c r="Y78" t="s">
        <v>29</v>
      </c>
    </row>
    <row r="79" spans="1:25" x14ac:dyDescent="0.2">
      <c r="A79" t="str">
        <f t="shared" si="12"/>
        <v>TRIP-127</v>
      </c>
      <c r="B79" s="2">
        <v>45729</v>
      </c>
      <c r="C79" s="3" t="str">
        <f>_xlfn.XLOOKUP(D79,'[1]Jan Customer Duplicate Hyva'!$B:$B,'[1]Jan Customer Duplicate Hyva'!$A:$A,"NOT FOUND")</f>
        <v>CUST-323</v>
      </c>
      <c r="D79" s="3" t="s">
        <v>51</v>
      </c>
      <c r="E79" s="11" t="s">
        <v>111</v>
      </c>
      <c r="F79" s="5" t="str">
        <f t="shared" si="13"/>
        <v>Ravi</v>
      </c>
      <c r="G79" s="5" t="str">
        <f t="shared" si="14"/>
        <v>Anshu</v>
      </c>
      <c r="H79" s="5" t="str">
        <f t="shared" si="15"/>
        <v/>
      </c>
      <c r="I79" s="5" t="str">
        <f>_xlfn.XLOOKUP(F79,'[1]Jan Labour Nd Drivers Hyva'!$B:$B,'[2]Jan Labour Nd Drivers Hyva'!$A:$A,"NOT FOUND")</f>
        <v>LAB-003</v>
      </c>
      <c r="J79" s="5" t="str">
        <f>IF(G79="","",_xlfn.XLOOKUP(G79,'[3]Jan Labour Nd Drivers Hyva'!$B:$B,'[2]Jan Labour Nd Drivers Hyva'!$A:$A,"NOT FOUND"))</f>
        <v>LAB-002</v>
      </c>
      <c r="K79" s="5" t="str">
        <f>IF(H79="","",_xlfn.XLOOKUP(H79,'[2]Jan Labour Nd Drivers Hyva'!$B:$B,'[2]Jan Labour Nd Drivers Hyva'!$A:$A,"NOT FOUND"))</f>
        <v/>
      </c>
      <c r="L79" s="11" t="s">
        <v>129</v>
      </c>
      <c r="M79" s="12">
        <v>1</v>
      </c>
      <c r="N79" s="13">
        <v>35000</v>
      </c>
      <c r="O79" s="8">
        <f t="shared" si="16"/>
        <v>35000</v>
      </c>
      <c r="P79" s="13">
        <v>35000</v>
      </c>
      <c r="Q79" s="7">
        <f t="shared" si="11"/>
        <v>0</v>
      </c>
      <c r="R79" t="str">
        <f t="shared" si="17"/>
        <v>PAID</v>
      </c>
      <c r="S79" s="3"/>
      <c r="T79" s="9">
        <f t="shared" si="18"/>
        <v>35000</v>
      </c>
      <c r="U79" t="str">
        <f t="shared" si="19"/>
        <v>OK</v>
      </c>
      <c r="V79" s="10">
        <f t="shared" si="20"/>
        <v>0</v>
      </c>
      <c r="W79" t="str">
        <f t="shared" si="21"/>
        <v>OK</v>
      </c>
      <c r="X79" s="3" t="s">
        <v>28</v>
      </c>
      <c r="Y79" t="s">
        <v>29</v>
      </c>
    </row>
    <row r="80" spans="1:25" x14ac:dyDescent="0.2">
      <c r="A80" t="str">
        <f t="shared" si="12"/>
        <v>TRIP-128</v>
      </c>
      <c r="B80" s="2">
        <v>45729</v>
      </c>
      <c r="C80" s="3" t="str">
        <f>_xlfn.XLOOKUP(D80,'[1]Jan Customer Duplicate Hyva'!$B:$B,'[1]Jan Customer Duplicate Hyva'!$A:$A,"NOT FOUND")</f>
        <v>CUST-008</v>
      </c>
      <c r="D80" s="11" t="s">
        <v>130</v>
      </c>
      <c r="E80" s="11" t="s">
        <v>30</v>
      </c>
      <c r="F80" s="5" t="str">
        <f t="shared" si="13"/>
        <v>Ravi</v>
      </c>
      <c r="G80" s="5" t="str">
        <f t="shared" si="14"/>
        <v/>
      </c>
      <c r="H80" s="5" t="str">
        <f t="shared" si="15"/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/>
      </c>
      <c r="K80" s="5" t="str">
        <f>IF(H80="","",_xlfn.XLOOKUP(H80,'[2]Jan Labour Nd Drivers Hyva'!$B:$B,'[2]Jan Labour Nd Drivers Hyva'!$A:$A,"NOT FOUND"))</f>
        <v/>
      </c>
      <c r="L80" s="11" t="s">
        <v>131</v>
      </c>
      <c r="M80" s="12">
        <v>2</v>
      </c>
      <c r="N80" s="13">
        <v>38000</v>
      </c>
      <c r="O80" s="8">
        <f t="shared" si="16"/>
        <v>76000</v>
      </c>
      <c r="P80" s="13">
        <v>50000</v>
      </c>
      <c r="Q80" s="7">
        <f t="shared" si="11"/>
        <v>26000</v>
      </c>
      <c r="R80" t="str">
        <f t="shared" si="17"/>
        <v>PARTIAL</v>
      </c>
      <c r="S80" s="3"/>
      <c r="T80" s="9">
        <f t="shared" si="18"/>
        <v>76000</v>
      </c>
      <c r="U80" t="str">
        <f t="shared" si="19"/>
        <v>OK</v>
      </c>
      <c r="V80" s="10">
        <f t="shared" si="20"/>
        <v>26000</v>
      </c>
      <c r="W80" t="str">
        <f t="shared" si="21"/>
        <v>OK</v>
      </c>
      <c r="X80" s="3" t="s">
        <v>28</v>
      </c>
      <c r="Y80" t="s">
        <v>29</v>
      </c>
    </row>
    <row r="81" spans="1:25" x14ac:dyDescent="0.2">
      <c r="A81" t="str">
        <f t="shared" si="12"/>
        <v>TRIP-129</v>
      </c>
      <c r="B81" s="2">
        <v>45729</v>
      </c>
      <c r="C81" s="3" t="str">
        <f>_xlfn.XLOOKUP(D81,'[1]Jan Customer Duplicate Hyva'!$B:$B,'[1]Jan Customer Duplicate Hyva'!$A:$A,"NOT FOUND")</f>
        <v>CUST-169</v>
      </c>
      <c r="D81" s="11" t="s">
        <v>46</v>
      </c>
      <c r="E81" s="11" t="s">
        <v>26</v>
      </c>
      <c r="F81" s="5" t="str">
        <f t="shared" si="13"/>
        <v>Anshu</v>
      </c>
      <c r="G81" s="5" t="str">
        <f t="shared" si="14"/>
        <v/>
      </c>
      <c r="H81" s="5" t="str">
        <f t="shared" si="15"/>
        <v/>
      </c>
      <c r="I81" s="5" t="str">
        <f>_xlfn.XLOOKUP(F81,'[1]Jan Labour Nd Drivers Hyva'!$B:$B,'[2]Jan Labour Nd Drivers Hyva'!$A:$A,"NOT FOUND")</f>
        <v>LAB-002</v>
      </c>
      <c r="J81" s="5" t="str">
        <f>IF(G81="","",_xlfn.XLOOKUP(G81,'[3]Jan Labour Nd Drivers Hyva'!$B:$B,'[2]Jan Labour Nd Drivers Hyva'!$A:$A,"NOT FOUND"))</f>
        <v/>
      </c>
      <c r="K81" s="5" t="str">
        <f>IF(H81="","",_xlfn.XLOOKUP(H81,'[2]Jan Labour Nd Drivers Hyva'!$B:$B,'[2]Jan Labour Nd Drivers Hyva'!$A:$A,"NOT FOUND"))</f>
        <v/>
      </c>
      <c r="L81" s="11" t="s">
        <v>132</v>
      </c>
      <c r="M81" s="12">
        <v>1</v>
      </c>
      <c r="N81" s="13">
        <v>39000</v>
      </c>
      <c r="O81" s="8">
        <f t="shared" si="16"/>
        <v>39000</v>
      </c>
      <c r="P81" s="13">
        <v>39000</v>
      </c>
      <c r="Q81" s="7">
        <f t="shared" si="11"/>
        <v>0</v>
      </c>
      <c r="R81" t="str">
        <f t="shared" si="17"/>
        <v>PAID</v>
      </c>
      <c r="S81" s="3"/>
      <c r="T81" s="9">
        <f t="shared" si="18"/>
        <v>39000</v>
      </c>
      <c r="U81" t="str">
        <f t="shared" si="19"/>
        <v>OK</v>
      </c>
      <c r="V81" s="10">
        <f t="shared" si="20"/>
        <v>0</v>
      </c>
      <c r="W81" t="str">
        <f t="shared" si="21"/>
        <v>OK</v>
      </c>
      <c r="X81" s="3" t="s">
        <v>28</v>
      </c>
      <c r="Y81" t="s">
        <v>29</v>
      </c>
    </row>
    <row r="82" spans="1:25" x14ac:dyDescent="0.2">
      <c r="A82" t="str">
        <f t="shared" si="12"/>
        <v>TRIP-130</v>
      </c>
      <c r="B82" s="2">
        <v>45729</v>
      </c>
      <c r="C82" s="3" t="str">
        <f>_xlfn.XLOOKUP(D82,'[1]Jan Customer Duplicate Hyva'!$B:$B,'[1]Jan Customer Duplicate Hyva'!$A:$A,"NOT FOUND")</f>
        <v>CUST-113</v>
      </c>
      <c r="D82" s="11" t="s">
        <v>133</v>
      </c>
      <c r="E82" s="11" t="s">
        <v>30</v>
      </c>
      <c r="F82" s="5" t="str">
        <f t="shared" si="13"/>
        <v>Ravi</v>
      </c>
      <c r="G82" s="5" t="str">
        <f t="shared" si="14"/>
        <v/>
      </c>
      <c r="H82" s="5" t="str">
        <f t="shared" si="15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5" t="str">
        <f>IF(H82="","",_xlfn.XLOOKUP(H82,'[2]Jan Labour Nd Drivers Hyva'!$B:$B,'[2]Jan Labour Nd Drivers Hyva'!$A:$A,"NOT FOUND"))</f>
        <v/>
      </c>
      <c r="L82" s="11" t="s">
        <v>134</v>
      </c>
      <c r="M82" s="12">
        <v>1</v>
      </c>
      <c r="N82" s="13">
        <v>0</v>
      </c>
      <c r="O82" s="8">
        <f t="shared" si="16"/>
        <v>0</v>
      </c>
      <c r="P82" s="13"/>
      <c r="Q82" s="7">
        <f t="shared" si="11"/>
        <v>0</v>
      </c>
      <c r="R82" t="str">
        <f t="shared" si="17"/>
        <v>PAID</v>
      </c>
      <c r="S82" s="3"/>
      <c r="T82" s="9">
        <f t="shared" si="18"/>
        <v>0</v>
      </c>
      <c r="U82" t="str">
        <f t="shared" si="19"/>
        <v>OK</v>
      </c>
      <c r="V82" s="10">
        <f t="shared" si="20"/>
        <v>0</v>
      </c>
      <c r="W82" t="str">
        <f t="shared" si="21"/>
        <v>OK</v>
      </c>
      <c r="X82" s="3" t="s">
        <v>28</v>
      </c>
      <c r="Y82" t="s">
        <v>29</v>
      </c>
    </row>
    <row r="83" spans="1:25" x14ac:dyDescent="0.2">
      <c r="A83" t="str">
        <f t="shared" si="12"/>
        <v>TRIP-131</v>
      </c>
      <c r="B83" s="2">
        <v>45729</v>
      </c>
      <c r="C83" s="3" t="str">
        <f>_xlfn.XLOOKUP(D83,'[1]Jan Customer Duplicate Hyva'!$B:$B,'[1]Jan Customer Duplicate Hyva'!$A:$A,"NOT FOUND")</f>
        <v>CUST-055</v>
      </c>
      <c r="D83" s="11" t="s">
        <v>135</v>
      </c>
      <c r="E83" s="11" t="s">
        <v>30</v>
      </c>
      <c r="F83" s="5" t="str">
        <f t="shared" si="13"/>
        <v>Ravi</v>
      </c>
      <c r="G83" s="5" t="str">
        <f t="shared" si="14"/>
        <v/>
      </c>
      <c r="H83" s="5" t="str">
        <f t="shared" si="15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5" t="str">
        <f>IF(H83="","",_xlfn.XLOOKUP(H83,'[2]Jan Labour Nd Drivers Hyva'!$B:$B,'[2]Jan Labour Nd Drivers Hyva'!$A:$A,"NOT FOUND"))</f>
        <v/>
      </c>
      <c r="L83" s="11" t="s">
        <v>136</v>
      </c>
      <c r="M83" s="12">
        <v>1</v>
      </c>
      <c r="N83" s="13">
        <v>35000</v>
      </c>
      <c r="O83" s="8">
        <f t="shared" si="16"/>
        <v>35000</v>
      </c>
      <c r="P83" s="13">
        <v>35000</v>
      </c>
      <c r="Q83" s="7">
        <f t="shared" si="11"/>
        <v>0</v>
      </c>
      <c r="R83" t="str">
        <f t="shared" si="17"/>
        <v>PAID</v>
      </c>
      <c r="S83" s="3"/>
      <c r="T83" s="9">
        <f t="shared" si="18"/>
        <v>35000</v>
      </c>
      <c r="U83" t="str">
        <f t="shared" si="19"/>
        <v>OK</v>
      </c>
      <c r="V83" s="10">
        <f t="shared" si="20"/>
        <v>0</v>
      </c>
      <c r="W83" t="str">
        <f t="shared" si="21"/>
        <v>OK</v>
      </c>
      <c r="X83" s="3" t="s">
        <v>28</v>
      </c>
      <c r="Y83" t="s">
        <v>29</v>
      </c>
    </row>
    <row r="84" spans="1:25" x14ac:dyDescent="0.2">
      <c r="A84" t="str">
        <f t="shared" si="12"/>
        <v>TRIP-132</v>
      </c>
      <c r="B84" s="2">
        <v>45731</v>
      </c>
      <c r="C84" s="3" t="str">
        <f>_xlfn.XLOOKUP(D84,'[1]Jan Customer Duplicate Hyva'!$B:$B,'[1]Jan Customer Duplicate Hyva'!$A:$A,"NOT FOUND")</f>
        <v>CUST-323</v>
      </c>
      <c r="D84" s="3" t="s">
        <v>51</v>
      </c>
      <c r="E84" s="11" t="s">
        <v>137</v>
      </c>
      <c r="F84" s="5" t="str">
        <f t="shared" si="13"/>
        <v>Anshu</v>
      </c>
      <c r="G84" s="5" t="str">
        <f t="shared" si="14"/>
        <v>Gaju Bhau</v>
      </c>
      <c r="H84" s="5" t="str">
        <f t="shared" si="15"/>
        <v/>
      </c>
      <c r="I84" s="5" t="str">
        <f>_xlfn.XLOOKUP(F84,'[1]Jan Labour Nd Drivers Hyva'!$B:$B,'[2]Jan Labour Nd Drivers Hyva'!$A:$A,"NOT FOUND")</f>
        <v>LAB-002</v>
      </c>
      <c r="J84" s="5" t="str">
        <f>IF(G84="","",_xlfn.XLOOKUP(G84,'[3]Jan Labour Nd Drivers Hyva'!$B:$B,'[2]Jan Labour Nd Drivers Hyva'!$A:$A,"NOT FOUND"))</f>
        <v>LAB-001</v>
      </c>
      <c r="K84" s="5" t="str">
        <f>IF(H84="","",_xlfn.XLOOKUP(H84,'[2]Jan Labour Nd Drivers Hyva'!$B:$B,'[2]Jan Labour Nd Drivers Hyva'!$A:$A,"NOT FOUND"))</f>
        <v/>
      </c>
      <c r="L84" s="11" t="s">
        <v>129</v>
      </c>
      <c r="M84" s="12">
        <v>2</v>
      </c>
      <c r="N84" s="13">
        <v>35000</v>
      </c>
      <c r="O84" s="8">
        <f t="shared" si="16"/>
        <v>70000</v>
      </c>
      <c r="P84" s="13">
        <v>70000</v>
      </c>
      <c r="Q84" s="7">
        <f t="shared" si="11"/>
        <v>0</v>
      </c>
      <c r="R84" t="str">
        <f t="shared" si="17"/>
        <v>PAID</v>
      </c>
      <c r="S84" s="3"/>
      <c r="T84" s="9">
        <f t="shared" si="18"/>
        <v>70000</v>
      </c>
      <c r="U84" t="str">
        <f t="shared" si="19"/>
        <v>OK</v>
      </c>
      <c r="V84" s="10">
        <f t="shared" si="20"/>
        <v>0</v>
      </c>
      <c r="W84" t="str">
        <f t="shared" si="21"/>
        <v>OK</v>
      </c>
      <c r="X84" s="3" t="s">
        <v>28</v>
      </c>
      <c r="Y84" t="s">
        <v>29</v>
      </c>
    </row>
    <row r="85" spans="1:25" x14ac:dyDescent="0.2">
      <c r="A85" t="str">
        <f t="shared" si="12"/>
        <v>TRIP-133</v>
      </c>
      <c r="B85" s="2">
        <v>45731</v>
      </c>
      <c r="C85" s="3" t="str">
        <f>_xlfn.XLOOKUP(D85,'[1]Jan Customer Duplicate Hyva'!$B:$B,'[1]Jan Customer Duplicate Hyva'!$A:$A,"NOT FOUND")</f>
        <v>CUST-323</v>
      </c>
      <c r="D85" s="3" t="s">
        <v>51</v>
      </c>
      <c r="E85" s="11" t="s">
        <v>55</v>
      </c>
      <c r="F85" s="5" t="str">
        <f t="shared" si="13"/>
        <v>Gaju Bhau</v>
      </c>
      <c r="G85" s="5" t="str">
        <f t="shared" si="14"/>
        <v/>
      </c>
      <c r="H85" s="5" t="str">
        <f t="shared" si="15"/>
        <v/>
      </c>
      <c r="I85" s="5" t="str">
        <f>_xlfn.XLOOKUP(F85,'[1]Jan Labour Nd Drivers Hyva'!$B:$B,'[2]Jan Labour Nd Drivers Hyva'!$A:$A,"NOT FOUND")</f>
        <v>LAB-001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11" t="s">
        <v>120</v>
      </c>
      <c r="M85" s="12">
        <v>1</v>
      </c>
      <c r="N85" s="13">
        <v>36000</v>
      </c>
      <c r="O85" s="8">
        <f t="shared" si="16"/>
        <v>36000</v>
      </c>
      <c r="P85" s="13">
        <v>36000</v>
      </c>
      <c r="Q85" s="7">
        <f t="shared" si="11"/>
        <v>0</v>
      </c>
      <c r="R85" t="str">
        <f t="shared" si="17"/>
        <v>PAID</v>
      </c>
      <c r="S85" s="3"/>
      <c r="T85" s="9">
        <f t="shared" si="18"/>
        <v>36000</v>
      </c>
      <c r="U85" t="str">
        <f t="shared" si="19"/>
        <v>OK</v>
      </c>
      <c r="V85" s="10">
        <f t="shared" si="20"/>
        <v>0</v>
      </c>
      <c r="W85" t="str">
        <f t="shared" si="21"/>
        <v>OK</v>
      </c>
      <c r="X85" s="3" t="s">
        <v>28</v>
      </c>
      <c r="Y85" t="s">
        <v>29</v>
      </c>
    </row>
    <row r="86" spans="1:25" x14ac:dyDescent="0.2">
      <c r="A86" t="str">
        <f t="shared" si="12"/>
        <v>TRIP-134</v>
      </c>
      <c r="B86" s="2">
        <v>45731</v>
      </c>
      <c r="C86" s="3" t="str">
        <f>_xlfn.XLOOKUP(D86,'[1]Jan Customer Duplicate Hyva'!$B:$B,'[1]Jan Customer Duplicate Hyva'!$A:$A,"NOT FOUND")</f>
        <v>CUST-323</v>
      </c>
      <c r="D86" s="3" t="s">
        <v>51</v>
      </c>
      <c r="E86" s="11" t="s">
        <v>55</v>
      </c>
      <c r="F86" s="5" t="str">
        <f t="shared" si="13"/>
        <v>Gaju Bhau</v>
      </c>
      <c r="G86" s="5" t="str">
        <f t="shared" si="14"/>
        <v/>
      </c>
      <c r="H86" s="5" t="str">
        <f t="shared" si="15"/>
        <v/>
      </c>
      <c r="I86" s="5" t="str">
        <f>_xlfn.XLOOKUP(F86,'[1]Jan Labour Nd Drivers Hyva'!$B:$B,'[2]Jan Labour Nd Drivers Hyva'!$A:$A,"NOT FOUND")</f>
        <v>LAB-001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11" t="s">
        <v>89</v>
      </c>
      <c r="M86" s="12">
        <v>1</v>
      </c>
      <c r="N86" s="13">
        <v>37000</v>
      </c>
      <c r="O86" s="8">
        <f t="shared" si="16"/>
        <v>37000</v>
      </c>
      <c r="P86" s="13">
        <v>37000</v>
      </c>
      <c r="Q86" s="7">
        <f t="shared" si="11"/>
        <v>0</v>
      </c>
      <c r="R86" t="str">
        <f t="shared" si="17"/>
        <v>PAID</v>
      </c>
      <c r="S86" s="3"/>
      <c r="T86" s="9">
        <f t="shared" si="18"/>
        <v>37000</v>
      </c>
      <c r="U86" t="str">
        <f t="shared" si="19"/>
        <v>OK</v>
      </c>
      <c r="V86" s="10">
        <f t="shared" si="20"/>
        <v>0</v>
      </c>
      <c r="W86" t="str">
        <f t="shared" si="21"/>
        <v>OK</v>
      </c>
      <c r="X86" s="3" t="s">
        <v>28</v>
      </c>
      <c r="Y86" t="s">
        <v>29</v>
      </c>
    </row>
    <row r="87" spans="1:25" x14ac:dyDescent="0.2">
      <c r="A87" t="str">
        <f t="shared" si="12"/>
        <v>TRIP-135</v>
      </c>
      <c r="B87" s="2">
        <v>45732</v>
      </c>
      <c r="C87" s="3" t="str">
        <f>_xlfn.XLOOKUP(D87,'[1]Jan Customer Duplicate Hyva'!$B:$B,'[1]Jan Customer Duplicate Hyva'!$A:$A,"NOT FOUND")</f>
        <v>CUST-128</v>
      </c>
      <c r="D87" s="11" t="s">
        <v>138</v>
      </c>
      <c r="E87" s="11" t="s">
        <v>26</v>
      </c>
      <c r="F87" s="5" t="str">
        <f t="shared" si="13"/>
        <v>Anshu</v>
      </c>
      <c r="G87" s="5" t="str">
        <f t="shared" si="14"/>
        <v/>
      </c>
      <c r="H87" s="5" t="str">
        <f t="shared" si="15"/>
        <v/>
      </c>
      <c r="I87" s="5" t="str">
        <f>_xlfn.XLOOKUP(F87,'[1]Jan Labour Nd Drivers Hyva'!$B:$B,'[2]Jan Labour Nd Drivers Hyva'!$A:$A,"NOT FOUND")</f>
        <v>LAB-002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11" t="s">
        <v>89</v>
      </c>
      <c r="M87" s="12">
        <v>1</v>
      </c>
      <c r="N87" s="13">
        <v>40000</v>
      </c>
      <c r="O87" s="8">
        <f t="shared" si="16"/>
        <v>40000</v>
      </c>
      <c r="P87" s="13"/>
      <c r="Q87" s="7">
        <f t="shared" si="11"/>
        <v>40000</v>
      </c>
      <c r="R87" t="str">
        <f t="shared" si="17"/>
        <v>UNPAID</v>
      </c>
      <c r="S87" s="3"/>
      <c r="T87" s="9">
        <f t="shared" si="18"/>
        <v>40000</v>
      </c>
      <c r="U87" t="str">
        <f t="shared" si="19"/>
        <v>OK</v>
      </c>
      <c r="V87" s="10">
        <f t="shared" si="20"/>
        <v>40000</v>
      </c>
      <c r="W87" t="str">
        <f t="shared" si="21"/>
        <v>OK</v>
      </c>
      <c r="X87" s="3" t="s">
        <v>28</v>
      </c>
      <c r="Y87" t="s">
        <v>29</v>
      </c>
    </row>
    <row r="88" spans="1:25" x14ac:dyDescent="0.2">
      <c r="A88" t="str">
        <f t="shared" si="12"/>
        <v>TRIP-136</v>
      </c>
      <c r="B88" s="2">
        <v>45732</v>
      </c>
      <c r="C88" s="3" t="str">
        <f>_xlfn.XLOOKUP(D88,'[1]Jan Customer Duplicate Hyva'!$B:$B,'[1]Jan Customer Duplicate Hyva'!$A:$A,"NOT FOUND")</f>
        <v>CUST-160</v>
      </c>
      <c r="D88" s="11" t="s">
        <v>139</v>
      </c>
      <c r="E88" s="11" t="s">
        <v>26</v>
      </c>
      <c r="F88" s="5" t="str">
        <f t="shared" si="13"/>
        <v>Anshu</v>
      </c>
      <c r="G88" s="5" t="str">
        <f t="shared" si="14"/>
        <v/>
      </c>
      <c r="H88" s="5" t="str">
        <f t="shared" si="15"/>
        <v/>
      </c>
      <c r="I88" s="5" t="str">
        <f>_xlfn.XLOOKUP(F88,'[1]Jan Labour Nd Drivers Hyva'!$B:$B,'[2]Jan Labour Nd Drivers Hyva'!$A:$A,"NOT FOUND")</f>
        <v>LAB-002</v>
      </c>
      <c r="J88" s="5" t="str">
        <f>IF(G88="","",_xlfn.XLOOKUP(G88,'[3]Jan Labour Nd Drivers Hyva'!$B:$B,'[2]Jan Labour Nd Drivers Hyva'!$A:$A,"NOT FOUND"))</f>
        <v/>
      </c>
      <c r="K88" s="5" t="str">
        <f>IF(H88="","",_xlfn.XLOOKUP(H88,'[2]Jan Labour Nd Drivers Hyva'!$B:$B,'[2]Jan Labour Nd Drivers Hyva'!$A:$A,"NOT FOUND"))</f>
        <v/>
      </c>
      <c r="L88" s="11" t="s">
        <v>125</v>
      </c>
      <c r="M88" s="12">
        <v>1</v>
      </c>
      <c r="N88" s="13">
        <v>38000</v>
      </c>
      <c r="O88" s="8">
        <f t="shared" si="16"/>
        <v>38000</v>
      </c>
      <c r="P88" s="13">
        <v>38000</v>
      </c>
      <c r="Q88" s="7">
        <f t="shared" si="11"/>
        <v>0</v>
      </c>
      <c r="R88" t="str">
        <f t="shared" si="17"/>
        <v>PAID</v>
      </c>
      <c r="S88" s="3"/>
      <c r="T88" s="9">
        <f t="shared" si="18"/>
        <v>38000</v>
      </c>
      <c r="U88" t="str">
        <f t="shared" si="19"/>
        <v>OK</v>
      </c>
      <c r="V88" s="10">
        <f t="shared" si="20"/>
        <v>0</v>
      </c>
      <c r="W88" t="str">
        <f t="shared" si="21"/>
        <v>OK</v>
      </c>
      <c r="X88" s="3" t="s">
        <v>28</v>
      </c>
      <c r="Y88" t="s">
        <v>29</v>
      </c>
    </row>
    <row r="89" spans="1:25" x14ac:dyDescent="0.2">
      <c r="A89" t="str">
        <f t="shared" si="12"/>
        <v>TRIP-137</v>
      </c>
      <c r="B89" s="2">
        <v>45732</v>
      </c>
      <c r="C89" s="3" t="str">
        <f>_xlfn.XLOOKUP(D89,'[1]Jan Customer Duplicate Hyva'!$B:$B,'[1]Jan Customer Duplicate Hyva'!$A:$A,"NOT FOUND")</f>
        <v>CUST-380</v>
      </c>
      <c r="D89" s="11" t="s">
        <v>112</v>
      </c>
      <c r="E89" s="11" t="s">
        <v>26</v>
      </c>
      <c r="F89" s="5" t="str">
        <f t="shared" si="13"/>
        <v>Anshu</v>
      </c>
      <c r="G89" s="5" t="str">
        <f t="shared" si="14"/>
        <v/>
      </c>
      <c r="H89" s="5" t="str">
        <f t="shared" si="15"/>
        <v/>
      </c>
      <c r="I89" s="5" t="str">
        <f>_xlfn.XLOOKUP(F89,'[1]Jan Labour Nd Drivers Hyva'!$B:$B,'[2]Jan Labour Nd Drivers Hyva'!$A:$A,"NOT FOUND")</f>
        <v>LAB-002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11" t="s">
        <v>140</v>
      </c>
      <c r="M89" s="12">
        <v>1</v>
      </c>
      <c r="N89" s="13">
        <v>37000</v>
      </c>
      <c r="O89" s="8">
        <f t="shared" si="16"/>
        <v>37000</v>
      </c>
      <c r="P89" s="13">
        <v>37000</v>
      </c>
      <c r="Q89" s="7">
        <f t="shared" si="11"/>
        <v>0</v>
      </c>
      <c r="R89" t="str">
        <f t="shared" si="17"/>
        <v>PAID</v>
      </c>
      <c r="S89" s="3"/>
      <c r="T89" s="9">
        <f t="shared" si="18"/>
        <v>37000</v>
      </c>
      <c r="U89" t="str">
        <f t="shared" si="19"/>
        <v>OK</v>
      </c>
      <c r="V89" s="10">
        <f t="shared" si="20"/>
        <v>0</v>
      </c>
      <c r="W89" t="str">
        <f t="shared" si="21"/>
        <v>OK</v>
      </c>
      <c r="X89" s="3" t="s">
        <v>28</v>
      </c>
      <c r="Y89" t="s">
        <v>29</v>
      </c>
    </row>
    <row r="90" spans="1:25" x14ac:dyDescent="0.2">
      <c r="A90" t="str">
        <f t="shared" si="12"/>
        <v>TRIP-138</v>
      </c>
      <c r="B90" s="2">
        <v>45733</v>
      </c>
      <c r="C90" s="3" t="str">
        <f>_xlfn.XLOOKUP(D90,'[1]Jan Customer Duplicate Hyva'!$B:$B,'[1]Jan Customer Duplicate Hyva'!$A:$A,"NOT FOUND")</f>
        <v>CUST-236</v>
      </c>
      <c r="D90" s="11" t="s">
        <v>58</v>
      </c>
      <c r="E90" s="11" t="s">
        <v>26</v>
      </c>
      <c r="F90" s="5" t="str">
        <f t="shared" si="13"/>
        <v>Anshu</v>
      </c>
      <c r="G90" s="5" t="str">
        <f t="shared" si="14"/>
        <v/>
      </c>
      <c r="H90" s="5" t="str">
        <f t="shared" si="15"/>
        <v/>
      </c>
      <c r="I90" s="5" t="str">
        <f>_xlfn.XLOOKUP(F90,'[1]Jan Labour Nd Drivers Hyva'!$B:$B,'[2]Jan Labour Nd Drivers Hyva'!$A:$A,"NOT FOUND")</f>
        <v>LAB-002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11" t="s">
        <v>89</v>
      </c>
      <c r="M90" s="12">
        <v>1</v>
      </c>
      <c r="N90" s="13">
        <v>40000</v>
      </c>
      <c r="O90" s="8">
        <f t="shared" si="16"/>
        <v>40000</v>
      </c>
      <c r="P90" s="13">
        <v>40000</v>
      </c>
      <c r="Q90" s="7">
        <f t="shared" si="11"/>
        <v>0</v>
      </c>
      <c r="R90" t="str">
        <f t="shared" si="17"/>
        <v>PAID</v>
      </c>
      <c r="S90" s="3"/>
      <c r="T90" s="9">
        <f t="shared" si="18"/>
        <v>40000</v>
      </c>
      <c r="U90" t="str">
        <f t="shared" si="19"/>
        <v>OK</v>
      </c>
      <c r="V90" s="10">
        <f t="shared" si="20"/>
        <v>0</v>
      </c>
      <c r="W90" t="str">
        <f t="shared" si="21"/>
        <v>OK</v>
      </c>
      <c r="X90" s="3" t="s">
        <v>28</v>
      </c>
      <c r="Y90" t="s">
        <v>29</v>
      </c>
    </row>
    <row r="91" spans="1:25" x14ac:dyDescent="0.2">
      <c r="A91" t="str">
        <f t="shared" si="12"/>
        <v>TRIP-139</v>
      </c>
      <c r="B91" s="2">
        <v>45733</v>
      </c>
      <c r="C91" s="3" t="str">
        <f>_xlfn.XLOOKUP(D91,'[1]Jan Customer Duplicate Hyva'!$B:$B,'[1]Jan Customer Duplicate Hyva'!$A:$A,"NOT FOUND")</f>
        <v>CUST-037</v>
      </c>
      <c r="D91" s="11" t="s">
        <v>99</v>
      </c>
      <c r="E91" s="11" t="s">
        <v>26</v>
      </c>
      <c r="F91" s="5" t="str">
        <f t="shared" si="13"/>
        <v>Anshu</v>
      </c>
      <c r="G91" s="5" t="str">
        <f t="shared" si="14"/>
        <v/>
      </c>
      <c r="H91" s="5" t="str">
        <f t="shared" si="15"/>
        <v/>
      </c>
      <c r="I91" s="5" t="str">
        <f>_xlfn.XLOOKUP(F91,'[1]Jan Labour Nd Drivers Hyva'!$B:$B,'[2]Jan Labour Nd Drivers Hyva'!$A:$A,"NOT FOUND")</f>
        <v>LAB-002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11" t="s">
        <v>33</v>
      </c>
      <c r="M91" s="12">
        <v>1</v>
      </c>
      <c r="N91" s="13">
        <v>37000</v>
      </c>
      <c r="O91" s="8">
        <f t="shared" si="16"/>
        <v>37000</v>
      </c>
      <c r="P91" s="13"/>
      <c r="Q91" s="7">
        <f t="shared" si="11"/>
        <v>37000</v>
      </c>
      <c r="R91" t="str">
        <f t="shared" si="17"/>
        <v>UNPAID</v>
      </c>
      <c r="S91" s="3"/>
      <c r="T91" s="9">
        <f t="shared" si="18"/>
        <v>37000</v>
      </c>
      <c r="U91" t="str">
        <f t="shared" si="19"/>
        <v>OK</v>
      </c>
      <c r="V91" s="10">
        <f t="shared" si="20"/>
        <v>37000</v>
      </c>
      <c r="W91" t="str">
        <f t="shared" si="21"/>
        <v>OK</v>
      </c>
      <c r="X91" s="3" t="s">
        <v>28</v>
      </c>
      <c r="Y91" t="s">
        <v>29</v>
      </c>
    </row>
    <row r="92" spans="1:25" x14ac:dyDescent="0.2">
      <c r="A92" t="str">
        <f t="shared" si="12"/>
        <v>TRIP-140</v>
      </c>
      <c r="B92" s="2">
        <v>45733</v>
      </c>
      <c r="C92" s="3" t="str">
        <f>_xlfn.XLOOKUP(D92,'[1]Jan Customer Duplicate Hyva'!$B:$B,'[1]Jan Customer Duplicate Hyva'!$A:$A,"NOT FOUND")</f>
        <v>CUST-382</v>
      </c>
      <c r="D92" s="11" t="s">
        <v>102</v>
      </c>
      <c r="E92" s="11" t="s">
        <v>26</v>
      </c>
      <c r="F92" s="5" t="str">
        <f t="shared" si="13"/>
        <v>Anshu</v>
      </c>
      <c r="G92" s="5" t="str">
        <f t="shared" si="14"/>
        <v/>
      </c>
      <c r="H92" s="5" t="str">
        <f t="shared" si="15"/>
        <v/>
      </c>
      <c r="I92" s="5" t="str">
        <f>_xlfn.XLOOKUP(F92,'[1]Jan Labour Nd Drivers Hyva'!$B:$B,'[2]Jan Labour Nd Drivers Hyva'!$A:$A,"NOT FOUND")</f>
        <v>LAB-002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11" t="s">
        <v>56</v>
      </c>
      <c r="M92" s="12">
        <v>1</v>
      </c>
      <c r="N92" s="13">
        <v>38000</v>
      </c>
      <c r="O92" s="8">
        <f t="shared" si="16"/>
        <v>38000</v>
      </c>
      <c r="P92" s="13">
        <v>38000</v>
      </c>
      <c r="Q92" s="7">
        <f t="shared" si="11"/>
        <v>0</v>
      </c>
      <c r="R92" t="str">
        <f t="shared" si="17"/>
        <v>PAID</v>
      </c>
      <c r="S92" s="3"/>
      <c r="T92" s="9">
        <f t="shared" si="18"/>
        <v>38000</v>
      </c>
      <c r="U92" t="str">
        <f t="shared" si="19"/>
        <v>OK</v>
      </c>
      <c r="V92" s="10">
        <f t="shared" si="20"/>
        <v>0</v>
      </c>
      <c r="W92" t="str">
        <f t="shared" si="21"/>
        <v>OK</v>
      </c>
      <c r="X92" s="3" t="s">
        <v>28</v>
      </c>
      <c r="Y92" t="s">
        <v>29</v>
      </c>
    </row>
    <row r="93" spans="1:25" x14ac:dyDescent="0.2">
      <c r="A93" t="str">
        <f t="shared" si="12"/>
        <v>TRIP-141</v>
      </c>
      <c r="B93" s="2">
        <v>45735</v>
      </c>
      <c r="C93" s="3" t="str">
        <f>_xlfn.XLOOKUP(D93,'[1]Jan Customer Duplicate Hyva'!$B:$B,'[1]Jan Customer Duplicate Hyva'!$A:$A,"NOT FOUND")</f>
        <v>CUST-387</v>
      </c>
      <c r="D93" s="11" t="s">
        <v>141</v>
      </c>
      <c r="E93" s="11" t="s">
        <v>30</v>
      </c>
      <c r="F93" s="5" t="str">
        <f t="shared" si="13"/>
        <v>Ravi</v>
      </c>
      <c r="G93" s="5" t="str">
        <f t="shared" si="14"/>
        <v/>
      </c>
      <c r="H93" s="5" t="str">
        <f t="shared" si="15"/>
        <v/>
      </c>
      <c r="I93" s="5" t="str">
        <f>_xlfn.XLOOKUP(F93,'[1]Jan Labour Nd Drivers Hyva'!$B:$B,'[2]Jan Labour Nd Drivers Hyva'!$A:$A,"NOT FOUND")</f>
        <v>LAB-003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11" t="s">
        <v>142</v>
      </c>
      <c r="M93" s="12">
        <v>1</v>
      </c>
      <c r="N93" s="13">
        <v>38000</v>
      </c>
      <c r="O93" s="8">
        <f t="shared" si="16"/>
        <v>38000</v>
      </c>
      <c r="P93" s="13">
        <v>38000</v>
      </c>
      <c r="Q93" s="7">
        <f t="shared" si="11"/>
        <v>0</v>
      </c>
      <c r="R93" t="str">
        <f t="shared" si="17"/>
        <v>PAID</v>
      </c>
      <c r="S93" s="3"/>
      <c r="T93" s="9">
        <f t="shared" si="18"/>
        <v>38000</v>
      </c>
      <c r="U93" t="str">
        <f t="shared" si="19"/>
        <v>OK</v>
      </c>
      <c r="V93" s="10">
        <f t="shared" si="20"/>
        <v>0</v>
      </c>
      <c r="W93" t="str">
        <f t="shared" si="21"/>
        <v>OK</v>
      </c>
      <c r="X93" s="3" t="s">
        <v>28</v>
      </c>
      <c r="Y93" t="s">
        <v>29</v>
      </c>
    </row>
    <row r="94" spans="1:25" x14ac:dyDescent="0.2">
      <c r="A94" t="str">
        <f t="shared" si="12"/>
        <v>TRIP-142</v>
      </c>
      <c r="B94" s="2">
        <v>45735</v>
      </c>
      <c r="C94" s="3" t="str">
        <f>_xlfn.XLOOKUP(D94,'[1]Jan Customer Duplicate Hyva'!$B:$B,'[1]Jan Customer Duplicate Hyva'!$A:$A,"NOT FOUND")</f>
        <v>CUST-236</v>
      </c>
      <c r="D94" s="11" t="s">
        <v>58</v>
      </c>
      <c r="E94" s="11" t="s">
        <v>26</v>
      </c>
      <c r="F94" s="5" t="str">
        <f t="shared" si="13"/>
        <v>Anshu</v>
      </c>
      <c r="G94" s="5" t="str">
        <f t="shared" si="14"/>
        <v/>
      </c>
      <c r="H94" s="5" t="str">
        <f t="shared" si="15"/>
        <v/>
      </c>
      <c r="I94" s="5" t="str">
        <f>_xlfn.XLOOKUP(F94,'[1]Jan Labour Nd Drivers Hyva'!$B:$B,'[2]Jan Labour Nd Drivers Hyva'!$A:$A,"NOT FOUND")</f>
        <v>LAB-002</v>
      </c>
      <c r="J94" s="5" t="str">
        <f>IF(G94="","",_xlfn.XLOOKUP(G94,'[3]Jan Labour Nd Drivers Hyva'!$B:$B,'[2]Jan Labour Nd Drivers Hyva'!$A:$A,"NOT FOUND"))</f>
        <v/>
      </c>
      <c r="K94" s="5" t="str">
        <f>IF(H94="","",_xlfn.XLOOKUP(H94,'[2]Jan Labour Nd Drivers Hyva'!$B:$B,'[2]Jan Labour Nd Drivers Hyva'!$A:$A,"NOT FOUND"))</f>
        <v/>
      </c>
      <c r="L94" s="11" t="s">
        <v>89</v>
      </c>
      <c r="M94" s="12">
        <v>1</v>
      </c>
      <c r="N94" s="13">
        <v>40000</v>
      </c>
      <c r="O94" s="8">
        <f t="shared" si="16"/>
        <v>40000</v>
      </c>
      <c r="P94" s="13"/>
      <c r="Q94" s="7">
        <f t="shared" si="11"/>
        <v>40000</v>
      </c>
      <c r="R94" t="str">
        <f t="shared" si="17"/>
        <v>UNPAID</v>
      </c>
      <c r="S94" s="3"/>
      <c r="T94" s="9">
        <f t="shared" si="18"/>
        <v>40000</v>
      </c>
      <c r="U94" t="str">
        <f t="shared" si="19"/>
        <v>OK</v>
      </c>
      <c r="V94" s="10">
        <f t="shared" si="20"/>
        <v>40000</v>
      </c>
      <c r="W94" t="str">
        <f t="shared" si="21"/>
        <v>OK</v>
      </c>
      <c r="X94" s="3" t="s">
        <v>28</v>
      </c>
      <c r="Y94" t="s">
        <v>29</v>
      </c>
    </row>
    <row r="95" spans="1:25" x14ac:dyDescent="0.2">
      <c r="A95" t="str">
        <f t="shared" si="12"/>
        <v>TRIP-143</v>
      </c>
      <c r="B95" s="2">
        <v>45735</v>
      </c>
      <c r="C95" s="3" t="str">
        <f>_xlfn.XLOOKUP(D95,'[1]Jan Customer Duplicate Hyva'!$B:$B,'[1]Jan Customer Duplicate Hyva'!$A:$A,"NOT FOUND")</f>
        <v>NOT FOUND</v>
      </c>
      <c r="D95" s="11" t="s">
        <v>143</v>
      </c>
      <c r="E95" s="11" t="s">
        <v>26</v>
      </c>
      <c r="F95" s="5" t="str">
        <f t="shared" si="13"/>
        <v>Anshu</v>
      </c>
      <c r="G95" s="5" t="str">
        <f t="shared" si="14"/>
        <v/>
      </c>
      <c r="H95" s="5" t="str">
        <f t="shared" si="15"/>
        <v/>
      </c>
      <c r="I95" s="5" t="str">
        <f>_xlfn.XLOOKUP(F95,'[1]Jan Labour Nd Drivers Hyva'!$B:$B,'[2]Jan Labour Nd Drivers Hyva'!$A:$A,"NOT FOUND")</f>
        <v>LAB-002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11" t="s">
        <v>144</v>
      </c>
      <c r="M95" s="12">
        <v>1</v>
      </c>
      <c r="N95" s="13">
        <v>42000</v>
      </c>
      <c r="O95" s="8">
        <f t="shared" si="16"/>
        <v>42000</v>
      </c>
      <c r="P95" s="13">
        <v>42000</v>
      </c>
      <c r="Q95" s="7">
        <f t="shared" si="11"/>
        <v>0</v>
      </c>
      <c r="R95" t="str">
        <f t="shared" si="17"/>
        <v>PAID</v>
      </c>
      <c r="S95" s="3"/>
      <c r="T95" s="9">
        <f t="shared" si="18"/>
        <v>42000</v>
      </c>
      <c r="U95" t="str">
        <f t="shared" si="19"/>
        <v>OK</v>
      </c>
      <c r="V95" s="10">
        <f t="shared" si="20"/>
        <v>0</v>
      </c>
      <c r="W95" t="str">
        <f t="shared" si="21"/>
        <v>OK</v>
      </c>
      <c r="X95" s="3" t="s">
        <v>28</v>
      </c>
      <c r="Y95" t="s">
        <v>29</v>
      </c>
    </row>
    <row r="96" spans="1:25" x14ac:dyDescent="0.2">
      <c r="A96" t="str">
        <f t="shared" si="12"/>
        <v>TRIP-144</v>
      </c>
      <c r="B96" s="2">
        <v>45735</v>
      </c>
      <c r="C96" s="3" t="str">
        <f>_xlfn.XLOOKUP(D96,'[1]Jan Customer Duplicate Hyva'!$B:$B,'[1]Jan Customer Duplicate Hyva'!$A:$A,"NOT FOUND")</f>
        <v>CUST-255</v>
      </c>
      <c r="D96" s="11" t="s">
        <v>75</v>
      </c>
      <c r="E96" s="11" t="s">
        <v>30</v>
      </c>
      <c r="F96" s="5" t="str">
        <f t="shared" si="13"/>
        <v>Ravi</v>
      </c>
      <c r="G96" s="5" t="str">
        <f t="shared" si="14"/>
        <v/>
      </c>
      <c r="H96" s="5" t="str">
        <f t="shared" si="15"/>
        <v/>
      </c>
      <c r="I96" s="5" t="str">
        <f>_xlfn.XLOOKUP(F96,'[1]Jan Labour Nd Drivers Hyva'!$B:$B,'[2]Jan Labour Nd Drivers Hyva'!$A:$A,"NOT FOUND")</f>
        <v>LAB-003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11" t="s">
        <v>76</v>
      </c>
      <c r="M96" s="12">
        <v>1</v>
      </c>
      <c r="N96" s="13">
        <v>40000</v>
      </c>
      <c r="O96" s="8">
        <f t="shared" si="16"/>
        <v>40000</v>
      </c>
      <c r="P96" s="13">
        <v>40000</v>
      </c>
      <c r="Q96" s="7">
        <f t="shared" si="11"/>
        <v>0</v>
      </c>
      <c r="R96" t="str">
        <f t="shared" si="17"/>
        <v>PAID</v>
      </c>
      <c r="S96" s="3"/>
      <c r="T96" s="9">
        <f t="shared" si="18"/>
        <v>40000</v>
      </c>
      <c r="U96" t="str">
        <f t="shared" si="19"/>
        <v>OK</v>
      </c>
      <c r="V96" s="10">
        <f t="shared" si="20"/>
        <v>0</v>
      </c>
      <c r="W96" t="str">
        <f t="shared" si="21"/>
        <v>OK</v>
      </c>
      <c r="X96" s="3" t="s">
        <v>28</v>
      </c>
      <c r="Y96" t="s">
        <v>29</v>
      </c>
    </row>
    <row r="97" spans="1:25" x14ac:dyDescent="0.2">
      <c r="A97" t="str">
        <f t="shared" si="12"/>
        <v>TRIP-145</v>
      </c>
      <c r="B97" s="2">
        <v>45735</v>
      </c>
      <c r="C97" s="3" t="str">
        <f>_xlfn.XLOOKUP(D97,'[1]Jan Customer Duplicate Hyva'!$B:$B,'[1]Jan Customer Duplicate Hyva'!$A:$A,"NOT FOUND")</f>
        <v>CUST-052</v>
      </c>
      <c r="D97" s="11" t="s">
        <v>145</v>
      </c>
      <c r="E97" s="11" t="s">
        <v>30</v>
      </c>
      <c r="F97" s="5" t="str">
        <f t="shared" si="13"/>
        <v>Ravi</v>
      </c>
      <c r="G97" s="5" t="str">
        <f t="shared" si="14"/>
        <v/>
      </c>
      <c r="H97" s="5" t="str">
        <f t="shared" si="15"/>
        <v/>
      </c>
      <c r="I97" s="5" t="str">
        <f>_xlfn.XLOOKUP(F97,'[1]Jan Labour Nd Drivers Hyva'!$B:$B,'[2]Jan Labour Nd Drivers Hyva'!$A:$A,"NOT FOUND")</f>
        <v>LAB-003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11" t="s">
        <v>114</v>
      </c>
      <c r="M97" s="12">
        <v>1</v>
      </c>
      <c r="N97" s="13">
        <v>38000</v>
      </c>
      <c r="O97" s="8">
        <f t="shared" si="16"/>
        <v>38000</v>
      </c>
      <c r="P97" s="13">
        <v>38000</v>
      </c>
      <c r="Q97" s="7">
        <f t="shared" si="11"/>
        <v>0</v>
      </c>
      <c r="R97" t="str">
        <f t="shared" si="17"/>
        <v>PAID</v>
      </c>
      <c r="S97" s="3"/>
      <c r="T97" s="9">
        <f t="shared" si="18"/>
        <v>38000</v>
      </c>
      <c r="U97" t="str">
        <f t="shared" si="19"/>
        <v>OK</v>
      </c>
      <c r="V97" s="10">
        <f t="shared" si="20"/>
        <v>0</v>
      </c>
      <c r="W97" t="str">
        <f t="shared" si="21"/>
        <v>OK</v>
      </c>
      <c r="X97" s="3" t="s">
        <v>28</v>
      </c>
      <c r="Y97" t="s">
        <v>29</v>
      </c>
    </row>
    <row r="98" spans="1:25" x14ac:dyDescent="0.2">
      <c r="A98" t="str">
        <f t="shared" si="12"/>
        <v>TRIP-146</v>
      </c>
      <c r="B98" s="2">
        <v>45736</v>
      </c>
      <c r="C98" s="3" t="str">
        <f>_xlfn.XLOOKUP(D98,'[1]Jan Customer Duplicate Hyva'!$B:$B,'[1]Jan Customer Duplicate Hyva'!$A:$A,"NOT FOUND")</f>
        <v>CUST-014</v>
      </c>
      <c r="D98" s="11" t="s">
        <v>146</v>
      </c>
      <c r="E98" s="11" t="s">
        <v>80</v>
      </c>
      <c r="F98" s="5" t="str">
        <f t="shared" si="13"/>
        <v>Anshu</v>
      </c>
      <c r="G98" s="5" t="str">
        <f t="shared" si="14"/>
        <v>Ravi</v>
      </c>
      <c r="H98" s="5" t="str">
        <f t="shared" si="15"/>
        <v/>
      </c>
      <c r="I98" s="5" t="str">
        <f>_xlfn.XLOOKUP(F98,'[1]Jan Labour Nd Drivers Hyva'!$B:$B,'[2]Jan Labour Nd Drivers Hyva'!$A:$A,"NOT FOUND")</f>
        <v>LAB-002</v>
      </c>
      <c r="J98" s="5" t="str">
        <f>IF(G98="","",_xlfn.XLOOKUP(G98,'[3]Jan Labour Nd Drivers Hyva'!$B:$B,'[2]Jan Labour Nd Drivers Hyva'!$A:$A,"NOT FOUND"))</f>
        <v>LAB-003</v>
      </c>
      <c r="K98" s="5" t="str">
        <f>IF(H98="","",_xlfn.XLOOKUP(H98,'[2]Jan Labour Nd Drivers Hyva'!$B:$B,'[2]Jan Labour Nd Drivers Hyva'!$A:$A,"NOT FOUND"))</f>
        <v/>
      </c>
      <c r="L98" s="11" t="s">
        <v>114</v>
      </c>
      <c r="M98" s="12">
        <v>2</v>
      </c>
      <c r="N98" s="13">
        <v>38000</v>
      </c>
      <c r="O98" s="8">
        <f t="shared" si="16"/>
        <v>76000</v>
      </c>
      <c r="P98" s="13">
        <v>76000</v>
      </c>
      <c r="Q98" s="7">
        <f t="shared" ref="Q98:Q161" si="22">O98-P98</f>
        <v>0</v>
      </c>
      <c r="R98" t="str">
        <f t="shared" si="17"/>
        <v>PAID</v>
      </c>
      <c r="S98" s="3"/>
      <c r="T98" s="9">
        <f t="shared" si="18"/>
        <v>76000</v>
      </c>
      <c r="U98" t="str">
        <f t="shared" si="19"/>
        <v>OK</v>
      </c>
      <c r="V98" s="10">
        <f t="shared" si="20"/>
        <v>0</v>
      </c>
      <c r="W98" t="str">
        <f t="shared" si="21"/>
        <v>OK</v>
      </c>
      <c r="X98" s="3" t="s">
        <v>28</v>
      </c>
      <c r="Y98" t="s">
        <v>29</v>
      </c>
    </row>
    <row r="99" spans="1:25" x14ac:dyDescent="0.2">
      <c r="A99" t="str">
        <f t="shared" si="12"/>
        <v>TRIP-147</v>
      </c>
      <c r="B99" s="2">
        <v>45736</v>
      </c>
      <c r="C99" s="3" t="str">
        <f>_xlfn.XLOOKUP(D99,'[1]Jan Customer Duplicate Hyva'!$B:$B,'[1]Jan Customer Duplicate Hyva'!$A:$A,"NOT FOUND")</f>
        <v>CUST-172</v>
      </c>
      <c r="D99" s="3" t="s">
        <v>54</v>
      </c>
      <c r="E99" s="11" t="s">
        <v>26</v>
      </c>
      <c r="F99" s="5" t="str">
        <f t="shared" si="13"/>
        <v>Anshu</v>
      </c>
      <c r="G99" s="5" t="str">
        <f t="shared" si="14"/>
        <v/>
      </c>
      <c r="H99" s="5" t="str">
        <f t="shared" si="15"/>
        <v/>
      </c>
      <c r="I99" s="5" t="str">
        <f>_xlfn.XLOOKUP(F99,'[1]Jan Labour Nd Drivers Hyva'!$B:$B,'[2]Jan Labour Nd Drivers Hyva'!$A:$A,"NOT FOUND")</f>
        <v>LAB-002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11" t="s">
        <v>56</v>
      </c>
      <c r="M99" s="12">
        <v>1</v>
      </c>
      <c r="N99" s="13">
        <v>37000</v>
      </c>
      <c r="O99" s="8">
        <f t="shared" si="16"/>
        <v>37000</v>
      </c>
      <c r="P99" s="13">
        <v>37000</v>
      </c>
      <c r="Q99" s="7">
        <f t="shared" si="22"/>
        <v>0</v>
      </c>
      <c r="R99" t="str">
        <f t="shared" si="17"/>
        <v>PAID</v>
      </c>
      <c r="S99" s="3"/>
      <c r="T99" s="9">
        <f t="shared" si="18"/>
        <v>37000</v>
      </c>
      <c r="U99" t="str">
        <f t="shared" si="19"/>
        <v>OK</v>
      </c>
      <c r="V99" s="10">
        <f t="shared" si="20"/>
        <v>0</v>
      </c>
      <c r="W99" t="str">
        <f t="shared" si="21"/>
        <v>OK</v>
      </c>
      <c r="X99" s="3" t="s">
        <v>28</v>
      </c>
      <c r="Y99" t="s">
        <v>29</v>
      </c>
    </row>
    <row r="100" spans="1:25" x14ac:dyDescent="0.2">
      <c r="A100" t="str">
        <f t="shared" si="12"/>
        <v>TRIP-148</v>
      </c>
      <c r="B100" s="2">
        <v>45736</v>
      </c>
      <c r="C100" s="3" t="str">
        <f>_xlfn.XLOOKUP(D100,'[1]Jan Customer Duplicate Hyva'!$B:$B,'[1]Jan Customer Duplicate Hyva'!$A:$A,"NOT FOUND")</f>
        <v>CUST-037</v>
      </c>
      <c r="D100" s="11" t="s">
        <v>99</v>
      </c>
      <c r="E100" s="11" t="s">
        <v>30</v>
      </c>
      <c r="F100" s="5" t="str">
        <f t="shared" si="13"/>
        <v>Ravi</v>
      </c>
      <c r="G100" s="5" t="str">
        <f t="shared" si="14"/>
        <v/>
      </c>
      <c r="H100" s="5" t="str">
        <f t="shared" si="15"/>
        <v/>
      </c>
      <c r="I100" s="5" t="str">
        <f>_xlfn.XLOOKUP(F100,'[1]Jan Labour Nd Drivers Hyva'!$B:$B,'[2]Jan Labour Nd Drivers Hyva'!$A:$A,"NOT FOUND")</f>
        <v>LAB-003</v>
      </c>
      <c r="J100" s="5" t="str">
        <f>IF(G100="","",_xlfn.XLOOKUP(G100,'[3]Jan Labour Nd Drivers Hyva'!$B:$B,'[2]Jan Labour Nd Drivers Hyva'!$A:$A,"NOT FOUND"))</f>
        <v/>
      </c>
      <c r="K100" s="5" t="str">
        <f>IF(H100="","",_xlfn.XLOOKUP(H100,'[2]Jan Labour Nd Drivers Hyva'!$B:$B,'[2]Jan Labour Nd Drivers Hyva'!$A:$A,"NOT FOUND"))</f>
        <v/>
      </c>
      <c r="L100" s="11" t="s">
        <v>147</v>
      </c>
      <c r="M100" s="12">
        <v>1</v>
      </c>
      <c r="N100" s="13">
        <v>37000</v>
      </c>
      <c r="O100" s="8">
        <f t="shared" si="16"/>
        <v>37000</v>
      </c>
      <c r="P100" s="13"/>
      <c r="Q100" s="7">
        <f t="shared" si="22"/>
        <v>37000</v>
      </c>
      <c r="R100" t="str">
        <f t="shared" si="17"/>
        <v>UNPAID</v>
      </c>
      <c r="S100" s="3"/>
      <c r="T100" s="9">
        <f t="shared" si="18"/>
        <v>37000</v>
      </c>
      <c r="U100" t="str">
        <f t="shared" si="19"/>
        <v>OK</v>
      </c>
      <c r="V100" s="10">
        <f t="shared" si="20"/>
        <v>37000</v>
      </c>
      <c r="W100" t="str">
        <f t="shared" si="21"/>
        <v>OK</v>
      </c>
      <c r="X100" s="3" t="s">
        <v>28</v>
      </c>
      <c r="Y100" t="s">
        <v>29</v>
      </c>
    </row>
    <row r="101" spans="1:25" x14ac:dyDescent="0.2">
      <c r="A101" t="str">
        <f t="shared" si="12"/>
        <v>TRIP-149</v>
      </c>
      <c r="B101" s="2">
        <v>45737</v>
      </c>
      <c r="C101" s="3" t="str">
        <f>_xlfn.XLOOKUP(D101,'[1]Jan Customer Duplicate Hyva'!$B:$B,'[1]Jan Customer Duplicate Hyva'!$A:$A,"NOT FOUND")</f>
        <v>CUST-037</v>
      </c>
      <c r="D101" s="11" t="s">
        <v>99</v>
      </c>
      <c r="E101" s="11" t="s">
        <v>26</v>
      </c>
      <c r="F101" s="5" t="str">
        <f t="shared" si="13"/>
        <v>Anshu</v>
      </c>
      <c r="G101" s="5" t="str">
        <f t="shared" si="14"/>
        <v/>
      </c>
      <c r="H101" s="5" t="str">
        <f t="shared" si="15"/>
        <v/>
      </c>
      <c r="I101" s="5" t="str">
        <f>_xlfn.XLOOKUP(F101,'[1]Jan Labour Nd Drivers Hyva'!$B:$B,'[2]Jan Labour Nd Drivers Hyva'!$A:$A,"NOT FOUND")</f>
        <v>LAB-002</v>
      </c>
      <c r="J101" s="5" t="str">
        <f>IF(G101="","",_xlfn.XLOOKUP(G101,'[3]Jan Labour Nd Drivers Hyva'!$B:$B,'[2]Jan Labour Nd Drivers Hyva'!$A:$A,"NOT FOUND"))</f>
        <v/>
      </c>
      <c r="K101" s="5" t="str">
        <f>IF(H101="","",_xlfn.XLOOKUP(H101,'[2]Jan Labour Nd Drivers Hyva'!$B:$B,'[2]Jan Labour Nd Drivers Hyva'!$A:$A,"NOT FOUND"))</f>
        <v/>
      </c>
      <c r="L101" s="11" t="s">
        <v>128</v>
      </c>
      <c r="M101" s="12">
        <v>1</v>
      </c>
      <c r="N101" s="13">
        <v>37000</v>
      </c>
      <c r="O101" s="8">
        <f t="shared" si="16"/>
        <v>37000</v>
      </c>
      <c r="P101" s="13"/>
      <c r="Q101" s="7">
        <f t="shared" si="22"/>
        <v>37000</v>
      </c>
      <c r="R101" t="str">
        <f t="shared" si="17"/>
        <v>UNPAID</v>
      </c>
      <c r="S101" s="3"/>
      <c r="T101" s="9">
        <f t="shared" si="18"/>
        <v>37000</v>
      </c>
      <c r="U101" t="str">
        <f t="shared" si="19"/>
        <v>OK</v>
      </c>
      <c r="V101" s="10">
        <f t="shared" si="20"/>
        <v>37000</v>
      </c>
      <c r="W101" t="str">
        <f t="shared" si="21"/>
        <v>OK</v>
      </c>
      <c r="X101" s="3" t="s">
        <v>28</v>
      </c>
      <c r="Y101" t="s">
        <v>29</v>
      </c>
    </row>
    <row r="102" spans="1:25" x14ac:dyDescent="0.2">
      <c r="A102" t="str">
        <f t="shared" si="12"/>
        <v>TRIP-150</v>
      </c>
      <c r="B102" s="2">
        <v>45737</v>
      </c>
      <c r="C102" s="3" t="str">
        <f>_xlfn.XLOOKUP(D102,'[1]Jan Customer Duplicate Hyva'!$B:$B,'[1]Jan Customer Duplicate Hyva'!$A:$A,"NOT FOUND")</f>
        <v>CUST-172</v>
      </c>
      <c r="D102" s="3" t="s">
        <v>54</v>
      </c>
      <c r="E102" s="11" t="s">
        <v>26</v>
      </c>
      <c r="F102" s="5" t="str">
        <f t="shared" si="13"/>
        <v>Anshu</v>
      </c>
      <c r="G102" s="5" t="str">
        <f t="shared" si="14"/>
        <v/>
      </c>
      <c r="H102" s="5" t="str">
        <f t="shared" si="15"/>
        <v/>
      </c>
      <c r="I102" s="5" t="str">
        <f>_xlfn.XLOOKUP(F102,'[1]Jan Labour Nd Drivers Hyva'!$B:$B,'[2]Jan Labour Nd Drivers Hyva'!$A:$A,"NOT FOUND")</f>
        <v>LAB-002</v>
      </c>
      <c r="J102" s="5" t="str">
        <f>IF(G102="","",_xlfn.XLOOKUP(G102,'[3]Jan Labour Nd Drivers Hyva'!$B:$B,'[2]Jan Labour Nd Drivers Hyva'!$A:$A,"NOT FOUND"))</f>
        <v/>
      </c>
      <c r="K102" s="5" t="str">
        <f>IF(H102="","",_xlfn.XLOOKUP(H102,'[2]Jan Labour Nd Drivers Hyva'!$B:$B,'[2]Jan Labour Nd Drivers Hyva'!$A:$A,"NOT FOUND"))</f>
        <v/>
      </c>
      <c r="L102" s="11" t="s">
        <v>56</v>
      </c>
      <c r="M102" s="12">
        <v>1</v>
      </c>
      <c r="N102" s="13">
        <v>37000</v>
      </c>
      <c r="O102" s="8">
        <f t="shared" si="16"/>
        <v>37000</v>
      </c>
      <c r="P102" s="13">
        <v>37000</v>
      </c>
      <c r="Q102" s="7">
        <f t="shared" si="22"/>
        <v>0</v>
      </c>
      <c r="R102" t="str">
        <f t="shared" si="17"/>
        <v>PAID</v>
      </c>
      <c r="S102" s="3"/>
      <c r="T102" s="9">
        <f t="shared" si="18"/>
        <v>37000</v>
      </c>
      <c r="U102" t="str">
        <f t="shared" si="19"/>
        <v>OK</v>
      </c>
      <c r="V102" s="10">
        <f t="shared" si="20"/>
        <v>0</v>
      </c>
      <c r="W102" t="str">
        <f t="shared" si="21"/>
        <v>OK</v>
      </c>
      <c r="X102" s="3" t="s">
        <v>28</v>
      </c>
      <c r="Y102" t="s">
        <v>29</v>
      </c>
    </row>
    <row r="103" spans="1:25" x14ac:dyDescent="0.2">
      <c r="A103" t="str">
        <f t="shared" si="12"/>
        <v>TRIP-151</v>
      </c>
      <c r="B103" s="2">
        <v>45738</v>
      </c>
      <c r="C103" s="3" t="str">
        <f>_xlfn.XLOOKUP(D103,'[1]Jan Customer Duplicate Hyva'!$B:$B,'[1]Jan Customer Duplicate Hyva'!$A:$A,"NOT FOUND")</f>
        <v>CUST-014</v>
      </c>
      <c r="D103" s="11" t="s">
        <v>146</v>
      </c>
      <c r="E103" s="11" t="s">
        <v>80</v>
      </c>
      <c r="F103" s="5" t="str">
        <f t="shared" si="13"/>
        <v>Anshu</v>
      </c>
      <c r="G103" s="5" t="str">
        <f t="shared" si="14"/>
        <v>Ravi</v>
      </c>
      <c r="H103" s="5" t="str">
        <f t="shared" si="15"/>
        <v/>
      </c>
      <c r="I103" s="5" t="str">
        <f>_xlfn.XLOOKUP(F103,'[1]Jan Labour Nd Drivers Hyva'!$B:$B,'[2]Jan Labour Nd Drivers Hyva'!$A:$A,"NOT FOUND")</f>
        <v>LAB-002</v>
      </c>
      <c r="J103" s="5" t="str">
        <f>IF(G103="","",_xlfn.XLOOKUP(G103,'[3]Jan Labour Nd Drivers Hyva'!$B:$B,'[2]Jan Labour Nd Drivers Hyva'!$A:$A,"NOT FOUND"))</f>
        <v>LAB-003</v>
      </c>
      <c r="K103" s="5" t="str">
        <f>IF(H103="","",_xlfn.XLOOKUP(H103,'[2]Jan Labour Nd Drivers Hyva'!$B:$B,'[2]Jan Labour Nd Drivers Hyva'!$A:$A,"NOT FOUND"))</f>
        <v/>
      </c>
      <c r="L103" s="11" t="s">
        <v>114</v>
      </c>
      <c r="M103" s="12">
        <v>2</v>
      </c>
      <c r="N103" s="13">
        <v>38000</v>
      </c>
      <c r="O103" s="8">
        <f t="shared" si="16"/>
        <v>76000</v>
      </c>
      <c r="P103" s="13">
        <v>76000</v>
      </c>
      <c r="Q103" s="7">
        <f t="shared" si="22"/>
        <v>0</v>
      </c>
      <c r="R103" t="str">
        <f t="shared" si="17"/>
        <v>PAID</v>
      </c>
      <c r="S103" s="3"/>
      <c r="T103" s="9">
        <f t="shared" si="18"/>
        <v>76000</v>
      </c>
      <c r="U103" t="str">
        <f t="shared" si="19"/>
        <v>OK</v>
      </c>
      <c r="V103" s="10">
        <f t="shared" si="20"/>
        <v>0</v>
      </c>
      <c r="W103" t="str">
        <f t="shared" si="21"/>
        <v>OK</v>
      </c>
      <c r="X103" s="3" t="s">
        <v>28</v>
      </c>
      <c r="Y103" t="s">
        <v>29</v>
      </c>
    </row>
    <row r="104" spans="1:25" x14ac:dyDescent="0.2">
      <c r="A104" t="str">
        <f t="shared" si="12"/>
        <v>TRIP-152</v>
      </c>
      <c r="B104" s="2">
        <v>45738</v>
      </c>
      <c r="C104" s="3" t="str">
        <f>_xlfn.XLOOKUP(D104,'[1]Jan Customer Duplicate Hyva'!$B:$B,'[1]Jan Customer Duplicate Hyva'!$A:$A,"NOT FOUND")</f>
        <v>CUST-253</v>
      </c>
      <c r="D104" s="11" t="s">
        <v>148</v>
      </c>
      <c r="E104" s="11" t="s">
        <v>80</v>
      </c>
      <c r="F104" s="5" t="str">
        <f t="shared" si="13"/>
        <v>Anshu</v>
      </c>
      <c r="G104" s="5" t="str">
        <f t="shared" si="14"/>
        <v>Ravi</v>
      </c>
      <c r="H104" s="5" t="str">
        <f t="shared" si="15"/>
        <v/>
      </c>
      <c r="I104" s="5" t="str">
        <f>_xlfn.XLOOKUP(F104,'[1]Jan Labour Nd Drivers Hyva'!$B:$B,'[2]Jan Labour Nd Drivers Hyva'!$A:$A,"NOT FOUND")</f>
        <v>LAB-002</v>
      </c>
      <c r="J104" s="5" t="str">
        <f>IF(G104="","",_xlfn.XLOOKUP(G104,'[3]Jan Labour Nd Drivers Hyva'!$B:$B,'[2]Jan Labour Nd Drivers Hyva'!$A:$A,"NOT FOUND"))</f>
        <v>LAB-003</v>
      </c>
      <c r="K104" s="5" t="str">
        <f>IF(H104="","",_xlfn.XLOOKUP(H104,'[2]Jan Labour Nd Drivers Hyva'!$B:$B,'[2]Jan Labour Nd Drivers Hyva'!$A:$A,"NOT FOUND"))</f>
        <v/>
      </c>
      <c r="L104" s="11" t="s">
        <v>116</v>
      </c>
      <c r="M104" s="12">
        <v>2</v>
      </c>
      <c r="N104" s="13">
        <v>38000</v>
      </c>
      <c r="O104" s="8">
        <f t="shared" si="16"/>
        <v>76000</v>
      </c>
      <c r="P104" s="13">
        <v>76000</v>
      </c>
      <c r="Q104" s="7">
        <f t="shared" si="22"/>
        <v>0</v>
      </c>
      <c r="R104" t="str">
        <f t="shared" si="17"/>
        <v>PAID</v>
      </c>
      <c r="S104" s="3"/>
      <c r="T104" s="9">
        <f t="shared" si="18"/>
        <v>76000</v>
      </c>
      <c r="U104" t="str">
        <f t="shared" si="19"/>
        <v>OK</v>
      </c>
      <c r="V104" s="10">
        <f t="shared" si="20"/>
        <v>0</v>
      </c>
      <c r="W104" t="str">
        <f t="shared" si="21"/>
        <v>OK</v>
      </c>
      <c r="X104" s="3" t="s">
        <v>28</v>
      </c>
      <c r="Y104" t="s">
        <v>29</v>
      </c>
    </row>
    <row r="105" spans="1:25" x14ac:dyDescent="0.2">
      <c r="A105" t="str">
        <f t="shared" si="12"/>
        <v>TRIP-153</v>
      </c>
      <c r="B105" s="2">
        <v>45738</v>
      </c>
      <c r="C105" s="3" t="str">
        <f>_xlfn.XLOOKUP(D105,'[1]Jan Customer Duplicate Hyva'!$B:$B,'[1]Jan Customer Duplicate Hyva'!$A:$A,"NOT FOUND")</f>
        <v>CUST-172</v>
      </c>
      <c r="D105" s="3" t="s">
        <v>54</v>
      </c>
      <c r="E105" s="11" t="s">
        <v>26</v>
      </c>
      <c r="F105" s="5" t="str">
        <f t="shared" si="13"/>
        <v>Anshu</v>
      </c>
      <c r="G105" s="5" t="str">
        <f t="shared" si="14"/>
        <v/>
      </c>
      <c r="H105" s="5" t="str">
        <f t="shared" si="15"/>
        <v/>
      </c>
      <c r="I105" s="5" t="str">
        <f>_xlfn.XLOOKUP(F105,'[1]Jan Labour Nd Drivers Hyva'!$B:$B,'[2]Jan Labour Nd Drivers Hyva'!$A:$A,"NOT FOUND")</f>
        <v>LAB-002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11" t="s">
        <v>142</v>
      </c>
      <c r="M105" s="12">
        <v>1</v>
      </c>
      <c r="N105" s="13">
        <v>37000</v>
      </c>
      <c r="O105" s="8">
        <f t="shared" si="16"/>
        <v>37000</v>
      </c>
      <c r="P105" s="13">
        <v>37000</v>
      </c>
      <c r="Q105" s="7">
        <f t="shared" si="22"/>
        <v>0</v>
      </c>
      <c r="R105" t="str">
        <f t="shared" si="17"/>
        <v>PAID</v>
      </c>
      <c r="S105" s="3"/>
      <c r="T105" s="9">
        <f t="shared" si="18"/>
        <v>37000</v>
      </c>
      <c r="U105" t="str">
        <f t="shared" si="19"/>
        <v>OK</v>
      </c>
      <c r="V105" s="10">
        <f t="shared" si="20"/>
        <v>0</v>
      </c>
      <c r="W105" t="str">
        <f t="shared" si="21"/>
        <v>OK</v>
      </c>
      <c r="X105" s="3" t="s">
        <v>28</v>
      </c>
      <c r="Y105" t="s">
        <v>29</v>
      </c>
    </row>
    <row r="106" spans="1:25" x14ac:dyDescent="0.2">
      <c r="A106" t="str">
        <f t="shared" si="12"/>
        <v>TRIP-154</v>
      </c>
      <c r="B106" s="2">
        <v>45738</v>
      </c>
      <c r="C106" s="3" t="str">
        <f>_xlfn.XLOOKUP(D106,'[1]Jan Customer Duplicate Hyva'!$B:$B,'[1]Jan Customer Duplicate Hyva'!$A:$A,"NOT FOUND")</f>
        <v>CUST-172</v>
      </c>
      <c r="D106" s="3" t="s">
        <v>54</v>
      </c>
      <c r="E106" s="11" t="s">
        <v>30</v>
      </c>
      <c r="F106" s="5" t="str">
        <f t="shared" si="13"/>
        <v>Ravi</v>
      </c>
      <c r="G106" s="5" t="str">
        <f t="shared" si="14"/>
        <v/>
      </c>
      <c r="H106" s="5" t="str">
        <f t="shared" si="15"/>
        <v/>
      </c>
      <c r="I106" s="5" t="str">
        <f>_xlfn.XLOOKUP(F106,'[1]Jan Labour Nd Drivers Hyva'!$B:$B,'[2]Jan Labour Nd Drivers Hyva'!$A:$A,"NOT FOUND")</f>
        <v>LAB-003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11" t="s">
        <v>56</v>
      </c>
      <c r="M106" s="12">
        <v>1</v>
      </c>
      <c r="N106" s="13">
        <v>37000</v>
      </c>
      <c r="O106" s="8">
        <f t="shared" si="16"/>
        <v>37000</v>
      </c>
      <c r="P106" s="13">
        <v>37000</v>
      </c>
      <c r="Q106" s="7">
        <f t="shared" si="22"/>
        <v>0</v>
      </c>
      <c r="R106" t="str">
        <f t="shared" si="17"/>
        <v>PAID</v>
      </c>
      <c r="S106" s="3"/>
      <c r="T106" s="9">
        <f t="shared" si="18"/>
        <v>37000</v>
      </c>
      <c r="U106" t="str">
        <f t="shared" si="19"/>
        <v>OK</v>
      </c>
      <c r="V106" s="10">
        <f t="shared" si="20"/>
        <v>0</v>
      </c>
      <c r="W106" t="str">
        <f t="shared" si="21"/>
        <v>OK</v>
      </c>
      <c r="X106" s="3" t="s">
        <v>28</v>
      </c>
      <c r="Y106" t="s">
        <v>29</v>
      </c>
    </row>
    <row r="107" spans="1:25" x14ac:dyDescent="0.2">
      <c r="A107" t="str">
        <f t="shared" si="12"/>
        <v>TRIP-155</v>
      </c>
      <c r="B107" s="2">
        <v>45739</v>
      </c>
      <c r="C107" s="3" t="str">
        <f>_xlfn.XLOOKUP(D107,'[1]Jan Customer Duplicate Hyva'!$B:$B,'[1]Jan Customer Duplicate Hyva'!$A:$A,"NOT FOUND")</f>
        <v>CUST-323</v>
      </c>
      <c r="D107" s="3" t="s">
        <v>51</v>
      </c>
      <c r="E107" s="11" t="s">
        <v>111</v>
      </c>
      <c r="F107" s="5" t="str">
        <f t="shared" si="13"/>
        <v>Ravi</v>
      </c>
      <c r="G107" s="5" t="str">
        <f t="shared" si="14"/>
        <v>Anshu</v>
      </c>
      <c r="H107" s="5" t="str">
        <f t="shared" si="15"/>
        <v/>
      </c>
      <c r="I107" s="5" t="str">
        <f>_xlfn.XLOOKUP(F107,'[1]Jan Labour Nd Drivers Hyva'!$B:$B,'[2]Jan Labour Nd Drivers Hyva'!$A:$A,"NOT FOUND")</f>
        <v>LAB-003</v>
      </c>
      <c r="J107" s="5" t="str">
        <f>IF(G107="","",_xlfn.XLOOKUP(G107,'[3]Jan Labour Nd Drivers Hyva'!$B:$B,'[2]Jan Labour Nd Drivers Hyva'!$A:$A,"NOT FOUND"))</f>
        <v>LAB-002</v>
      </c>
      <c r="K107" s="5" t="str">
        <f>IF(H107="","",_xlfn.XLOOKUP(H107,'[2]Jan Labour Nd Drivers Hyva'!$B:$B,'[2]Jan Labour Nd Drivers Hyva'!$A:$A,"NOT FOUND"))</f>
        <v/>
      </c>
      <c r="L107" s="11" t="s">
        <v>41</v>
      </c>
      <c r="M107" s="12">
        <v>2</v>
      </c>
      <c r="N107" s="13">
        <v>40000</v>
      </c>
      <c r="O107" s="8">
        <f t="shared" si="16"/>
        <v>80000</v>
      </c>
      <c r="P107" s="13"/>
      <c r="Q107" s="7">
        <f t="shared" si="22"/>
        <v>80000</v>
      </c>
      <c r="R107" t="str">
        <f t="shared" si="17"/>
        <v>UNPAID</v>
      </c>
      <c r="S107" s="3"/>
      <c r="T107" s="9">
        <f t="shared" si="18"/>
        <v>80000</v>
      </c>
      <c r="U107" t="str">
        <f t="shared" si="19"/>
        <v>OK</v>
      </c>
      <c r="V107" s="10">
        <f t="shared" si="20"/>
        <v>80000</v>
      </c>
      <c r="W107" t="str">
        <f t="shared" si="21"/>
        <v>OK</v>
      </c>
      <c r="X107" s="3" t="s">
        <v>28</v>
      </c>
      <c r="Y107" t="s">
        <v>29</v>
      </c>
    </row>
    <row r="108" spans="1:25" x14ac:dyDescent="0.2">
      <c r="A108" t="str">
        <f t="shared" si="12"/>
        <v>TRIP-156</v>
      </c>
      <c r="B108" s="2">
        <v>45739</v>
      </c>
      <c r="C108" s="3" t="str">
        <f>_xlfn.XLOOKUP(D108,'[1]Jan Customer Duplicate Hyva'!$B:$B,'[1]Jan Customer Duplicate Hyva'!$A:$A,"NOT FOUND")</f>
        <v>NOT FOUND</v>
      </c>
      <c r="D108" s="11" t="s">
        <v>57</v>
      </c>
      <c r="E108" s="11" t="s">
        <v>26</v>
      </c>
      <c r="F108" s="5" t="str">
        <f t="shared" si="13"/>
        <v>Anshu</v>
      </c>
      <c r="G108" s="5" t="str">
        <f t="shared" si="14"/>
        <v/>
      </c>
      <c r="H108" s="5" t="str">
        <f t="shared" si="15"/>
        <v/>
      </c>
      <c r="I108" s="5" t="str">
        <f>_xlfn.XLOOKUP(F108,'[1]Jan Labour Nd Drivers Hyva'!$B:$B,'[2]Jan Labour Nd Drivers Hyva'!$A:$A,"NOT FOUND")</f>
        <v>LAB-002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11" t="s">
        <v>56</v>
      </c>
      <c r="M108" s="12">
        <v>1</v>
      </c>
      <c r="N108" s="13">
        <v>38000</v>
      </c>
      <c r="O108" s="8">
        <f t="shared" si="16"/>
        <v>38000</v>
      </c>
      <c r="P108" s="13">
        <v>38000</v>
      </c>
      <c r="Q108" s="7">
        <f t="shared" si="22"/>
        <v>0</v>
      </c>
      <c r="R108" t="str">
        <f t="shared" si="17"/>
        <v>PAID</v>
      </c>
      <c r="S108" s="3"/>
      <c r="T108" s="9">
        <f t="shared" si="18"/>
        <v>38000</v>
      </c>
      <c r="U108" t="str">
        <f t="shared" si="19"/>
        <v>OK</v>
      </c>
      <c r="V108" s="10">
        <f t="shared" si="20"/>
        <v>0</v>
      </c>
      <c r="W108" t="str">
        <f t="shared" si="21"/>
        <v>OK</v>
      </c>
      <c r="X108" s="3" t="s">
        <v>28</v>
      </c>
      <c r="Y108" t="s">
        <v>29</v>
      </c>
    </row>
    <row r="109" spans="1:25" x14ac:dyDescent="0.2">
      <c r="A109" t="str">
        <f t="shared" si="12"/>
        <v>TRIP-157</v>
      </c>
      <c r="B109" s="2">
        <v>45739</v>
      </c>
      <c r="C109" s="3" t="str">
        <f>_xlfn.XLOOKUP(D109,'[1]Jan Customer Duplicate Hyva'!$B:$B,'[1]Jan Customer Duplicate Hyva'!$A:$A,"NOT FOUND")</f>
        <v>CUST-172</v>
      </c>
      <c r="D109" s="3" t="s">
        <v>54</v>
      </c>
      <c r="E109" s="11" t="s">
        <v>30</v>
      </c>
      <c r="F109" s="5" t="str">
        <f t="shared" si="13"/>
        <v>Ravi</v>
      </c>
      <c r="G109" s="5" t="str">
        <f t="shared" si="14"/>
        <v/>
      </c>
      <c r="H109" s="5" t="str">
        <f t="shared" si="15"/>
        <v/>
      </c>
      <c r="I109" s="5" t="str">
        <f>_xlfn.XLOOKUP(F109,'[1]Jan Labour Nd Drivers Hyva'!$B:$B,'[2]Jan Labour Nd Drivers Hyva'!$A:$A,"NOT FOUND")</f>
        <v>LAB-003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11" t="s">
        <v>142</v>
      </c>
      <c r="M109" s="12">
        <v>1</v>
      </c>
      <c r="N109" s="13">
        <v>37000</v>
      </c>
      <c r="O109" s="8">
        <f t="shared" si="16"/>
        <v>37000</v>
      </c>
      <c r="P109" s="13">
        <v>37000</v>
      </c>
      <c r="Q109" s="7">
        <f t="shared" si="22"/>
        <v>0</v>
      </c>
      <c r="R109" t="str">
        <f t="shared" si="17"/>
        <v>PAID</v>
      </c>
      <c r="S109" s="3"/>
      <c r="T109" s="9">
        <f t="shared" si="18"/>
        <v>37000</v>
      </c>
      <c r="U109" t="str">
        <f t="shared" si="19"/>
        <v>OK</v>
      </c>
      <c r="V109" s="10">
        <f t="shared" si="20"/>
        <v>0</v>
      </c>
      <c r="W109" t="str">
        <f t="shared" si="21"/>
        <v>OK</v>
      </c>
      <c r="X109" s="3" t="s">
        <v>28</v>
      </c>
      <c r="Y109" t="s">
        <v>29</v>
      </c>
    </row>
    <row r="110" spans="1:25" x14ac:dyDescent="0.2">
      <c r="A110" t="str">
        <f t="shared" si="12"/>
        <v>TRIP-158</v>
      </c>
      <c r="B110" s="2">
        <v>45739</v>
      </c>
      <c r="C110" s="3" t="str">
        <f>_xlfn.XLOOKUP(D110,'[1]Jan Customer Duplicate Hyva'!$B:$B,'[1]Jan Customer Duplicate Hyva'!$A:$A,"NOT FOUND")</f>
        <v>CUST-382</v>
      </c>
      <c r="D110" s="11" t="s">
        <v>102</v>
      </c>
      <c r="E110" s="11" t="s">
        <v>30</v>
      </c>
      <c r="F110" s="5" t="str">
        <f t="shared" si="13"/>
        <v>Ravi</v>
      </c>
      <c r="G110" s="5" t="str">
        <f t="shared" si="14"/>
        <v/>
      </c>
      <c r="H110" s="5" t="str">
        <f t="shared" si="15"/>
        <v/>
      </c>
      <c r="I110" s="5" t="str">
        <f>_xlfn.XLOOKUP(F110,'[1]Jan Labour Nd Drivers Hyva'!$B:$B,'[2]Jan Labour Nd Drivers Hyva'!$A:$A,"NOT FOUND")</f>
        <v>LAB-003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11" t="s">
        <v>149</v>
      </c>
      <c r="M110" s="12">
        <v>1</v>
      </c>
      <c r="N110" s="13">
        <v>37000</v>
      </c>
      <c r="O110" s="8">
        <f t="shared" si="16"/>
        <v>37000</v>
      </c>
      <c r="P110" s="13">
        <v>37000</v>
      </c>
      <c r="Q110" s="7">
        <f t="shared" si="22"/>
        <v>0</v>
      </c>
      <c r="R110" t="str">
        <f t="shared" si="17"/>
        <v>PAID</v>
      </c>
      <c r="S110" s="3"/>
      <c r="T110" s="9">
        <f t="shared" si="18"/>
        <v>37000</v>
      </c>
      <c r="U110" t="str">
        <f t="shared" si="19"/>
        <v>OK</v>
      </c>
      <c r="V110" s="10">
        <f t="shared" si="20"/>
        <v>0</v>
      </c>
      <c r="W110" t="str">
        <f t="shared" si="21"/>
        <v>OK</v>
      </c>
      <c r="X110" s="3" t="s">
        <v>28</v>
      </c>
      <c r="Y110" t="s">
        <v>29</v>
      </c>
    </row>
    <row r="111" spans="1:25" x14ac:dyDescent="0.2">
      <c r="A111" t="str">
        <f t="shared" si="12"/>
        <v>TRIP-159</v>
      </c>
      <c r="B111" s="2">
        <v>45740</v>
      </c>
      <c r="C111" s="3" t="str">
        <f>_xlfn.XLOOKUP(D111,'[1]Jan Customer Duplicate Hyva'!$B:$B,'[1]Jan Customer Duplicate Hyva'!$A:$A,"NOT FOUND")</f>
        <v>CUST-323</v>
      </c>
      <c r="D111" s="3" t="s">
        <v>51</v>
      </c>
      <c r="E111" s="11" t="s">
        <v>26</v>
      </c>
      <c r="F111" s="5" t="str">
        <f t="shared" si="13"/>
        <v>Anshu</v>
      </c>
      <c r="G111" s="5" t="str">
        <f t="shared" si="14"/>
        <v/>
      </c>
      <c r="H111" s="5" t="str">
        <f t="shared" si="15"/>
        <v/>
      </c>
      <c r="I111" s="5" t="str">
        <f>_xlfn.XLOOKUP(F111,'[1]Jan Labour Nd Drivers Hyva'!$B:$B,'[2]Jan Labour Nd Drivers Hyva'!$A:$A,"NOT FOUND")</f>
        <v>LAB-002</v>
      </c>
      <c r="J111" s="5" t="str">
        <f>IF(G111="","",_xlfn.XLOOKUP(G111,'[3]Jan Labour Nd Drivers Hyva'!$B:$B,'[2]Jan Labour Nd Drivers Hyva'!$A:$A,"NOT FOUND"))</f>
        <v/>
      </c>
      <c r="K111" s="5" t="str">
        <f>IF(H111="","",_xlfn.XLOOKUP(H111,'[2]Jan Labour Nd Drivers Hyva'!$B:$B,'[2]Jan Labour Nd Drivers Hyva'!$A:$A,"NOT FOUND"))</f>
        <v/>
      </c>
      <c r="L111" s="11" t="s">
        <v>120</v>
      </c>
      <c r="M111" s="12">
        <v>1</v>
      </c>
      <c r="N111" s="13">
        <v>35000</v>
      </c>
      <c r="O111" s="8">
        <f t="shared" si="16"/>
        <v>35000</v>
      </c>
      <c r="P111" s="13">
        <v>35000</v>
      </c>
      <c r="Q111" s="7">
        <f t="shared" si="22"/>
        <v>0</v>
      </c>
      <c r="R111" t="str">
        <f t="shared" si="17"/>
        <v>PAID</v>
      </c>
      <c r="S111" s="3"/>
      <c r="T111" s="9">
        <f t="shared" si="18"/>
        <v>35000</v>
      </c>
      <c r="U111" t="str">
        <f t="shared" si="19"/>
        <v>OK</v>
      </c>
      <c r="V111" s="10">
        <f t="shared" si="20"/>
        <v>0</v>
      </c>
      <c r="W111" t="str">
        <f t="shared" si="21"/>
        <v>OK</v>
      </c>
      <c r="X111" s="3" t="s">
        <v>28</v>
      </c>
      <c r="Y111" t="s">
        <v>29</v>
      </c>
    </row>
    <row r="112" spans="1:25" x14ac:dyDescent="0.2">
      <c r="A112" t="str">
        <f t="shared" si="12"/>
        <v>TRIP-160</v>
      </c>
      <c r="B112" s="2">
        <v>45740</v>
      </c>
      <c r="C112" s="3" t="str">
        <f>_xlfn.XLOOKUP(D112,'[1]Jan Customer Duplicate Hyva'!$B:$B,'[1]Jan Customer Duplicate Hyva'!$A:$A,"NOT FOUND")</f>
        <v>CUST-037</v>
      </c>
      <c r="D112" s="11" t="s">
        <v>99</v>
      </c>
      <c r="E112" s="11" t="s">
        <v>30</v>
      </c>
      <c r="F112" s="5" t="str">
        <f t="shared" si="13"/>
        <v>Ravi</v>
      </c>
      <c r="G112" s="5" t="str">
        <f t="shared" si="14"/>
        <v/>
      </c>
      <c r="H112" s="5" t="str">
        <f t="shared" si="15"/>
        <v/>
      </c>
      <c r="I112" s="5" t="str">
        <f>_xlfn.XLOOKUP(F112,'[1]Jan Labour Nd Drivers Hyva'!$B:$B,'[2]Jan Labour Nd Drivers Hyva'!$A:$A,"NOT FOUND")</f>
        <v>LAB-003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11" t="s">
        <v>101</v>
      </c>
      <c r="M112" s="12">
        <v>1</v>
      </c>
      <c r="N112" s="13">
        <v>37000</v>
      </c>
      <c r="O112" s="8">
        <f t="shared" si="16"/>
        <v>37000</v>
      </c>
      <c r="P112" s="13"/>
      <c r="Q112" s="7">
        <f t="shared" si="22"/>
        <v>37000</v>
      </c>
      <c r="R112" t="str">
        <f t="shared" si="17"/>
        <v>UNPAID</v>
      </c>
      <c r="S112" s="3"/>
      <c r="T112" s="9">
        <f t="shared" si="18"/>
        <v>37000</v>
      </c>
      <c r="U112" t="str">
        <f t="shared" si="19"/>
        <v>OK</v>
      </c>
      <c r="V112" s="10">
        <f t="shared" si="20"/>
        <v>37000</v>
      </c>
      <c r="W112" t="str">
        <f t="shared" si="21"/>
        <v>OK</v>
      </c>
      <c r="X112" s="3" t="s">
        <v>28</v>
      </c>
      <c r="Y112" t="s">
        <v>29</v>
      </c>
    </row>
    <row r="113" spans="1:25" x14ac:dyDescent="0.2">
      <c r="A113" t="str">
        <f t="shared" si="12"/>
        <v>TRIP-161</v>
      </c>
      <c r="B113" s="2">
        <v>45741</v>
      </c>
      <c r="C113" s="3" t="str">
        <f>_xlfn.XLOOKUP(D113,'[1]Jan Customer Duplicate Hyva'!$B:$B,'[1]Jan Customer Duplicate Hyva'!$A:$A,"NOT FOUND")</f>
        <v>CUST-294</v>
      </c>
      <c r="D113" s="11" t="s">
        <v>53</v>
      </c>
      <c r="E113" s="11" t="s">
        <v>26</v>
      </c>
      <c r="F113" s="5" t="str">
        <f t="shared" si="13"/>
        <v>Anshu</v>
      </c>
      <c r="G113" s="5" t="str">
        <f t="shared" si="14"/>
        <v/>
      </c>
      <c r="H113" s="5" t="str">
        <f t="shared" si="15"/>
        <v/>
      </c>
      <c r="I113" s="5" t="str">
        <f>_xlfn.XLOOKUP(F113,'[1]Jan Labour Nd Drivers Hyva'!$B:$B,'[2]Jan Labour Nd Drivers Hyva'!$A:$A,"NOT FOUND")</f>
        <v>LAB-002</v>
      </c>
      <c r="J113" s="5" t="str">
        <f>IF(G113="","",_xlfn.XLOOKUP(G113,'[3]Jan Labour Nd Drivers Hyva'!$B:$B,'[2]Jan Labour Nd Drivers Hyva'!$A:$A,"NOT FOUND"))</f>
        <v/>
      </c>
      <c r="K113" s="5" t="str">
        <f>IF(H113="","",_xlfn.XLOOKUP(H113,'[2]Jan Labour Nd Drivers Hyva'!$B:$B,'[2]Jan Labour Nd Drivers Hyva'!$A:$A,"NOT FOUND"))</f>
        <v/>
      </c>
      <c r="L113" s="11" t="s">
        <v>150</v>
      </c>
      <c r="M113" s="12">
        <v>1</v>
      </c>
      <c r="N113" s="13">
        <v>35000</v>
      </c>
      <c r="O113" s="8">
        <f t="shared" si="16"/>
        <v>35000</v>
      </c>
      <c r="P113" s="13">
        <v>35000</v>
      </c>
      <c r="Q113" s="7">
        <f t="shared" si="22"/>
        <v>0</v>
      </c>
      <c r="R113" t="str">
        <f t="shared" si="17"/>
        <v>PAID</v>
      </c>
      <c r="S113" s="3"/>
      <c r="T113" s="9">
        <f t="shared" si="18"/>
        <v>35000</v>
      </c>
      <c r="U113" t="str">
        <f t="shared" si="19"/>
        <v>OK</v>
      </c>
      <c r="V113" s="10">
        <f t="shared" si="20"/>
        <v>0</v>
      </c>
      <c r="W113" t="str">
        <f t="shared" si="21"/>
        <v>OK</v>
      </c>
      <c r="X113" s="3" t="s">
        <v>28</v>
      </c>
      <c r="Y113" t="s">
        <v>29</v>
      </c>
    </row>
    <row r="114" spans="1:25" x14ac:dyDescent="0.2">
      <c r="A114" t="str">
        <f t="shared" si="12"/>
        <v>TRIP-162</v>
      </c>
      <c r="B114" s="2">
        <v>45741</v>
      </c>
      <c r="C114" s="3" t="str">
        <f>_xlfn.XLOOKUP(D114,'[1]Jan Customer Duplicate Hyva'!$B:$B,'[1]Jan Customer Duplicate Hyva'!$A:$A,"NOT FOUND")</f>
        <v>CUST-017</v>
      </c>
      <c r="D114" s="11" t="s">
        <v>151</v>
      </c>
      <c r="E114" s="11" t="s">
        <v>26</v>
      </c>
      <c r="F114" s="5" t="str">
        <f t="shared" si="13"/>
        <v>Anshu</v>
      </c>
      <c r="G114" s="5" t="str">
        <f t="shared" si="14"/>
        <v/>
      </c>
      <c r="H114" s="5" t="str">
        <f t="shared" si="15"/>
        <v/>
      </c>
      <c r="I114" s="5" t="str">
        <f>_xlfn.XLOOKUP(F114,'[1]Jan Labour Nd Drivers Hyva'!$B:$B,'[2]Jan Labour Nd Drivers Hyva'!$A:$A,"NOT FOUND")</f>
        <v>LAB-002</v>
      </c>
      <c r="J114" s="5" t="str">
        <f>IF(G114="","",_xlfn.XLOOKUP(G114,'[3]Jan Labour Nd Drivers Hyva'!$B:$B,'[2]Jan Labour Nd Drivers Hyva'!$A:$A,"NOT FOUND"))</f>
        <v/>
      </c>
      <c r="K114" s="5" t="str">
        <f>IF(H114="","",_xlfn.XLOOKUP(H114,'[2]Jan Labour Nd Drivers Hyva'!$B:$B,'[2]Jan Labour Nd Drivers Hyva'!$A:$A,"NOT FOUND"))</f>
        <v/>
      </c>
      <c r="L114" s="11" t="s">
        <v>152</v>
      </c>
      <c r="M114" s="12">
        <v>1</v>
      </c>
      <c r="N114" s="13">
        <v>36000</v>
      </c>
      <c r="O114" s="8">
        <f t="shared" si="16"/>
        <v>36000</v>
      </c>
      <c r="P114" s="13">
        <v>36000</v>
      </c>
      <c r="Q114" s="7">
        <f t="shared" si="22"/>
        <v>0</v>
      </c>
      <c r="R114" t="str">
        <f t="shared" si="17"/>
        <v>PAID</v>
      </c>
      <c r="S114" s="3"/>
      <c r="T114" s="9">
        <f t="shared" si="18"/>
        <v>36000</v>
      </c>
      <c r="U114" t="str">
        <f t="shared" si="19"/>
        <v>OK</v>
      </c>
      <c r="V114" s="10">
        <f t="shared" si="20"/>
        <v>0</v>
      </c>
      <c r="W114" t="str">
        <f t="shared" si="21"/>
        <v>OK</v>
      </c>
      <c r="X114" s="3" t="s">
        <v>28</v>
      </c>
      <c r="Y114" t="s">
        <v>29</v>
      </c>
    </row>
    <row r="115" spans="1:25" x14ac:dyDescent="0.2">
      <c r="A115" t="str">
        <f t="shared" si="12"/>
        <v>TRIP-163</v>
      </c>
      <c r="B115" s="2">
        <v>45741</v>
      </c>
      <c r="C115" s="3" t="str">
        <f>_xlfn.XLOOKUP(D115,'[1]Jan Customer Duplicate Hyva'!$B:$B,'[1]Jan Customer Duplicate Hyva'!$A:$A,"NOT FOUND")</f>
        <v>CUST-096</v>
      </c>
      <c r="D115" s="11" t="s">
        <v>153</v>
      </c>
      <c r="E115" s="11" t="s">
        <v>26</v>
      </c>
      <c r="F115" s="5" t="str">
        <f t="shared" si="13"/>
        <v>Anshu</v>
      </c>
      <c r="G115" s="5" t="str">
        <f t="shared" si="14"/>
        <v/>
      </c>
      <c r="H115" s="5" t="str">
        <f t="shared" si="15"/>
        <v/>
      </c>
      <c r="I115" s="5" t="str">
        <f>_xlfn.XLOOKUP(F115,'[1]Jan Labour Nd Drivers Hyva'!$B:$B,'[2]Jan Labour Nd Drivers Hyva'!$A:$A,"NOT FOUND")</f>
        <v>LAB-002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11" t="s">
        <v>33</v>
      </c>
      <c r="M115" s="12">
        <v>1</v>
      </c>
      <c r="N115" s="13">
        <v>37000</v>
      </c>
      <c r="O115" s="8">
        <f t="shared" si="16"/>
        <v>37000</v>
      </c>
      <c r="P115" s="13">
        <v>37000</v>
      </c>
      <c r="Q115" s="7">
        <f t="shared" si="22"/>
        <v>0</v>
      </c>
      <c r="R115" t="str">
        <f t="shared" si="17"/>
        <v>PAID</v>
      </c>
      <c r="S115" s="3"/>
      <c r="T115" s="9">
        <f t="shared" si="18"/>
        <v>37000</v>
      </c>
      <c r="U115" t="str">
        <f t="shared" si="19"/>
        <v>OK</v>
      </c>
      <c r="V115" s="10">
        <f t="shared" si="20"/>
        <v>0</v>
      </c>
      <c r="W115" t="str">
        <f t="shared" si="21"/>
        <v>OK</v>
      </c>
      <c r="X115" s="3" t="s">
        <v>28</v>
      </c>
      <c r="Y115" t="s">
        <v>29</v>
      </c>
    </row>
    <row r="116" spans="1:25" x14ac:dyDescent="0.2">
      <c r="A116" t="str">
        <f t="shared" si="12"/>
        <v>TRIP-164</v>
      </c>
      <c r="B116" s="2">
        <v>45741</v>
      </c>
      <c r="C116" s="3" t="str">
        <f>_xlfn.XLOOKUP(D116,'[1]Jan Customer Duplicate Hyva'!$B:$B,'[1]Jan Customer Duplicate Hyva'!$A:$A,"NOT FOUND")</f>
        <v>CUST-172</v>
      </c>
      <c r="D116" s="3" t="s">
        <v>54</v>
      </c>
      <c r="E116" s="11" t="s">
        <v>30</v>
      </c>
      <c r="F116" s="5" t="str">
        <f t="shared" si="13"/>
        <v>Ravi</v>
      </c>
      <c r="G116" s="5" t="str">
        <f t="shared" si="14"/>
        <v/>
      </c>
      <c r="H116" s="5" t="str">
        <f t="shared" si="15"/>
        <v/>
      </c>
      <c r="I116" s="5" t="str">
        <f>_xlfn.XLOOKUP(F116,'[1]Jan Labour Nd Drivers Hyva'!$B:$B,'[2]Jan Labour Nd Drivers Hyva'!$A:$A,"NOT FOUND")</f>
        <v>LAB-003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11" t="s">
        <v>142</v>
      </c>
      <c r="M116" s="12">
        <v>1</v>
      </c>
      <c r="N116" s="13">
        <v>37000</v>
      </c>
      <c r="O116" s="8">
        <f t="shared" si="16"/>
        <v>37000</v>
      </c>
      <c r="P116" s="13">
        <v>37000</v>
      </c>
      <c r="Q116" s="7">
        <f t="shared" si="22"/>
        <v>0</v>
      </c>
      <c r="R116" t="str">
        <f t="shared" si="17"/>
        <v>PAID</v>
      </c>
      <c r="S116" s="3"/>
      <c r="T116" s="9">
        <f t="shared" si="18"/>
        <v>37000</v>
      </c>
      <c r="U116" t="str">
        <f t="shared" si="19"/>
        <v>OK</v>
      </c>
      <c r="V116" s="10">
        <f t="shared" si="20"/>
        <v>0</v>
      </c>
      <c r="W116" t="str">
        <f t="shared" si="21"/>
        <v>OK</v>
      </c>
      <c r="X116" s="3" t="s">
        <v>28</v>
      </c>
      <c r="Y116" t="s">
        <v>29</v>
      </c>
    </row>
    <row r="117" spans="1:25" x14ac:dyDescent="0.2">
      <c r="A117" t="str">
        <f t="shared" si="12"/>
        <v>TRIP-165</v>
      </c>
      <c r="B117" s="2">
        <v>45742</v>
      </c>
      <c r="C117" s="3" t="str">
        <f>_xlfn.XLOOKUP(D117,'[1]Jan Customer Duplicate Hyva'!$B:$B,'[1]Jan Customer Duplicate Hyva'!$A:$A,"NOT FOUND")</f>
        <v>CUST-323</v>
      </c>
      <c r="D117" s="3" t="s">
        <v>51</v>
      </c>
      <c r="E117" s="11" t="s">
        <v>111</v>
      </c>
      <c r="F117" s="5" t="str">
        <f t="shared" si="13"/>
        <v>Ravi</v>
      </c>
      <c r="G117" s="5" t="str">
        <f t="shared" si="14"/>
        <v>Anshu</v>
      </c>
      <c r="H117" s="5" t="str">
        <f t="shared" si="15"/>
        <v/>
      </c>
      <c r="I117" s="5" t="str">
        <f>_xlfn.XLOOKUP(F117,'[1]Jan Labour Nd Drivers Hyva'!$B:$B,'[2]Jan Labour Nd Drivers Hyva'!$A:$A,"NOT FOUND")</f>
        <v>LAB-003</v>
      </c>
      <c r="J117" s="5" t="str">
        <f>IF(G117="","",_xlfn.XLOOKUP(G117,'[3]Jan Labour Nd Drivers Hyva'!$B:$B,'[2]Jan Labour Nd Drivers Hyva'!$A:$A,"NOT FOUND"))</f>
        <v>LAB-002</v>
      </c>
      <c r="K117" s="5" t="str">
        <f>IF(H117="","",_xlfn.XLOOKUP(H117,'[2]Jan Labour Nd Drivers Hyva'!$B:$B,'[2]Jan Labour Nd Drivers Hyva'!$A:$A,"NOT FOUND"))</f>
        <v/>
      </c>
      <c r="L117" s="11" t="s">
        <v>108</v>
      </c>
      <c r="M117" s="12">
        <v>2</v>
      </c>
      <c r="N117" s="13">
        <v>38000</v>
      </c>
      <c r="O117" s="8">
        <f t="shared" si="16"/>
        <v>76000</v>
      </c>
      <c r="P117" s="13"/>
      <c r="Q117" s="7">
        <f t="shared" si="22"/>
        <v>76000</v>
      </c>
      <c r="R117" t="str">
        <f t="shared" si="17"/>
        <v>UNPAID</v>
      </c>
      <c r="S117" s="3"/>
      <c r="T117" s="9">
        <f t="shared" si="18"/>
        <v>76000</v>
      </c>
      <c r="U117" t="str">
        <f t="shared" si="19"/>
        <v>OK</v>
      </c>
      <c r="V117" s="10">
        <f t="shared" si="20"/>
        <v>76000</v>
      </c>
      <c r="W117" t="str">
        <f t="shared" si="21"/>
        <v>OK</v>
      </c>
      <c r="X117" s="3" t="s">
        <v>28</v>
      </c>
      <c r="Y117" t="s">
        <v>29</v>
      </c>
    </row>
    <row r="118" spans="1:25" x14ac:dyDescent="0.2">
      <c r="A118" t="str">
        <f t="shared" si="12"/>
        <v>TRIP-166</v>
      </c>
      <c r="B118" s="2">
        <v>45742</v>
      </c>
      <c r="C118" s="3" t="str">
        <f>_xlfn.XLOOKUP(D118,'[1]Jan Customer Duplicate Hyva'!$B:$B,'[1]Jan Customer Duplicate Hyva'!$A:$A,"NOT FOUND")</f>
        <v>CUST-321</v>
      </c>
      <c r="D118" s="11" t="s">
        <v>95</v>
      </c>
      <c r="E118" s="11" t="s">
        <v>30</v>
      </c>
      <c r="F118" s="5" t="str">
        <f t="shared" si="13"/>
        <v>Ravi</v>
      </c>
      <c r="G118" s="5" t="str">
        <f t="shared" si="14"/>
        <v/>
      </c>
      <c r="H118" s="5" t="str">
        <f t="shared" si="15"/>
        <v/>
      </c>
      <c r="I118" s="5" t="str">
        <f>_xlfn.XLOOKUP(F118,'[1]Jan Labour Nd Drivers Hyva'!$B:$B,'[2]Jan Labour Nd Drivers Hyva'!$A:$A,"NOT FOUND")</f>
        <v>LAB-003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11" t="s">
        <v>154</v>
      </c>
      <c r="M118" s="12">
        <v>1</v>
      </c>
      <c r="N118" s="13">
        <v>36000</v>
      </c>
      <c r="O118" s="8">
        <f t="shared" si="16"/>
        <v>36000</v>
      </c>
      <c r="P118" s="13">
        <v>36000</v>
      </c>
      <c r="Q118" s="7">
        <f t="shared" si="22"/>
        <v>0</v>
      </c>
      <c r="R118" t="str">
        <f t="shared" si="17"/>
        <v>PAID</v>
      </c>
      <c r="S118" s="3"/>
      <c r="T118" s="9">
        <f t="shared" si="18"/>
        <v>36000</v>
      </c>
      <c r="U118" t="str">
        <f t="shared" si="19"/>
        <v>OK</v>
      </c>
      <c r="V118" s="10">
        <f t="shared" si="20"/>
        <v>0</v>
      </c>
      <c r="W118" t="str">
        <f t="shared" si="21"/>
        <v>OK</v>
      </c>
      <c r="X118" s="3" t="s">
        <v>28</v>
      </c>
      <c r="Y118" t="s">
        <v>29</v>
      </c>
    </row>
    <row r="119" spans="1:25" x14ac:dyDescent="0.2">
      <c r="A119" t="str">
        <f t="shared" si="12"/>
        <v>TRIP-167</v>
      </c>
      <c r="B119" s="2">
        <v>45742</v>
      </c>
      <c r="C119" s="3" t="str">
        <f>_xlfn.XLOOKUP(D119,'[1]Jan Customer Duplicate Hyva'!$B:$B,'[1]Jan Customer Duplicate Hyva'!$A:$A,"NOT FOUND")</f>
        <v>NOT FOUND</v>
      </c>
      <c r="D119" s="11" t="s">
        <v>143</v>
      </c>
      <c r="E119" s="11" t="s">
        <v>30</v>
      </c>
      <c r="F119" s="5" t="str">
        <f t="shared" si="13"/>
        <v>Ravi</v>
      </c>
      <c r="G119" s="5" t="str">
        <f t="shared" si="14"/>
        <v/>
      </c>
      <c r="H119" s="5" t="str">
        <f t="shared" si="15"/>
        <v/>
      </c>
      <c r="I119" s="5" t="str">
        <f>_xlfn.XLOOKUP(F119,'[1]Jan Labour Nd Drivers Hyva'!$B:$B,'[2]Jan Labour Nd Drivers Hyva'!$A:$A,"NOT FOUND")</f>
        <v>LAB-003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11" t="s">
        <v>155</v>
      </c>
      <c r="M119" s="12">
        <v>1</v>
      </c>
      <c r="N119" s="13">
        <v>36000</v>
      </c>
      <c r="O119" s="8">
        <f t="shared" si="16"/>
        <v>36000</v>
      </c>
      <c r="P119" s="13">
        <v>36000</v>
      </c>
      <c r="Q119" s="7">
        <f t="shared" si="22"/>
        <v>0</v>
      </c>
      <c r="R119" t="str">
        <f t="shared" si="17"/>
        <v>PAID</v>
      </c>
      <c r="S119" s="3"/>
      <c r="T119" s="9">
        <f t="shared" si="18"/>
        <v>36000</v>
      </c>
      <c r="U119" t="str">
        <f t="shared" si="19"/>
        <v>OK</v>
      </c>
      <c r="V119" s="10">
        <f t="shared" si="20"/>
        <v>0</v>
      </c>
      <c r="W119" t="str">
        <f t="shared" si="21"/>
        <v>OK</v>
      </c>
      <c r="X119" s="3" t="s">
        <v>28</v>
      </c>
      <c r="Y119" t="s">
        <v>29</v>
      </c>
    </row>
    <row r="120" spans="1:25" x14ac:dyDescent="0.2">
      <c r="A120" t="str">
        <f t="shared" si="12"/>
        <v>TRIP-168</v>
      </c>
      <c r="B120" s="2">
        <v>45742</v>
      </c>
      <c r="C120" s="3" t="str">
        <f>_xlfn.XLOOKUP(D120,'[1]Jan Customer Duplicate Hyva'!$B:$B,'[1]Jan Customer Duplicate Hyva'!$A:$A,"NOT FOUND")</f>
        <v>CUST-120</v>
      </c>
      <c r="D120" s="11" t="s">
        <v>122</v>
      </c>
      <c r="E120" s="11" t="s">
        <v>26</v>
      </c>
      <c r="F120" s="5" t="str">
        <f t="shared" si="13"/>
        <v>Anshu</v>
      </c>
      <c r="G120" s="5" t="str">
        <f t="shared" si="14"/>
        <v/>
      </c>
      <c r="H120" s="5" t="str">
        <f t="shared" si="15"/>
        <v/>
      </c>
      <c r="I120" s="5" t="str">
        <f>_xlfn.XLOOKUP(F120,'[1]Jan Labour Nd Drivers Hyva'!$B:$B,'[2]Jan Labour Nd Drivers Hyva'!$A:$A,"NOT FOUND")</f>
        <v>LAB-002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11" t="s">
        <v>56</v>
      </c>
      <c r="M120" s="12">
        <v>1</v>
      </c>
      <c r="N120" s="13">
        <v>38000</v>
      </c>
      <c r="O120" s="8">
        <f t="shared" si="16"/>
        <v>38000</v>
      </c>
      <c r="P120" s="13">
        <v>38000</v>
      </c>
      <c r="Q120" s="7">
        <f t="shared" si="22"/>
        <v>0</v>
      </c>
      <c r="R120" t="str">
        <f t="shared" si="17"/>
        <v>PAID</v>
      </c>
      <c r="S120" s="3"/>
      <c r="T120" s="9">
        <f t="shared" si="18"/>
        <v>38000</v>
      </c>
      <c r="U120" t="str">
        <f t="shared" si="19"/>
        <v>OK</v>
      </c>
      <c r="V120" s="10">
        <f t="shared" si="20"/>
        <v>0</v>
      </c>
      <c r="W120" t="str">
        <f t="shared" si="21"/>
        <v>OK</v>
      </c>
      <c r="X120" s="3" t="s">
        <v>28</v>
      </c>
      <c r="Y120" t="s">
        <v>29</v>
      </c>
    </row>
    <row r="121" spans="1:25" x14ac:dyDescent="0.2">
      <c r="A121" t="str">
        <f t="shared" si="12"/>
        <v>TRIP-169</v>
      </c>
      <c r="B121" s="2">
        <v>45743</v>
      </c>
      <c r="C121" s="3" t="str">
        <f>_xlfn.XLOOKUP(D121,'[1]Jan Customer Duplicate Hyva'!$B:$B,'[1]Jan Customer Duplicate Hyva'!$A:$A,"NOT FOUND")</f>
        <v>CUST-120</v>
      </c>
      <c r="D121" s="11" t="s">
        <v>122</v>
      </c>
      <c r="E121" s="11" t="s">
        <v>30</v>
      </c>
      <c r="F121" s="5" t="str">
        <f t="shared" si="13"/>
        <v>Ravi</v>
      </c>
      <c r="G121" s="5" t="str">
        <f t="shared" si="14"/>
        <v/>
      </c>
      <c r="H121" s="5" t="str">
        <f t="shared" si="15"/>
        <v/>
      </c>
      <c r="I121" s="5" t="str">
        <f>_xlfn.XLOOKUP(F121,'[1]Jan Labour Nd Drivers Hyva'!$B:$B,'[2]Jan Labour Nd Drivers Hyva'!$A:$A,"NOT FOUND")</f>
        <v>LAB-003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11" t="s">
        <v>120</v>
      </c>
      <c r="M121" s="12">
        <v>1</v>
      </c>
      <c r="N121" s="13">
        <v>38000</v>
      </c>
      <c r="O121" s="8">
        <f t="shared" si="16"/>
        <v>38000</v>
      </c>
      <c r="P121" s="13">
        <v>38000</v>
      </c>
      <c r="Q121" s="7">
        <f t="shared" si="22"/>
        <v>0</v>
      </c>
      <c r="R121" t="str">
        <f t="shared" si="17"/>
        <v>PAID</v>
      </c>
      <c r="S121" s="3"/>
      <c r="T121" s="9">
        <f t="shared" si="18"/>
        <v>38000</v>
      </c>
      <c r="U121" t="str">
        <f t="shared" si="19"/>
        <v>OK</v>
      </c>
      <c r="V121" s="10">
        <f t="shared" si="20"/>
        <v>0</v>
      </c>
      <c r="W121" t="str">
        <f t="shared" si="21"/>
        <v>OK</v>
      </c>
      <c r="X121" s="3" t="s">
        <v>28</v>
      </c>
      <c r="Y121" t="s">
        <v>29</v>
      </c>
    </row>
    <row r="122" spans="1:25" x14ac:dyDescent="0.2">
      <c r="A122" t="str">
        <f t="shared" si="12"/>
        <v>TRIP-170</v>
      </c>
      <c r="B122" s="2">
        <v>45744</v>
      </c>
      <c r="C122" s="3" t="str">
        <f>_xlfn.XLOOKUP(D122,'[1]Jan Customer Duplicate Hyva'!$B:$B,'[1]Jan Customer Duplicate Hyva'!$A:$A,"NOT FOUND")</f>
        <v>CUST-328</v>
      </c>
      <c r="D122" s="11" t="s">
        <v>88</v>
      </c>
      <c r="E122" s="11" t="s">
        <v>26</v>
      </c>
      <c r="F122" s="5" t="str">
        <f t="shared" si="13"/>
        <v>Anshu</v>
      </c>
      <c r="G122" s="5" t="str">
        <f t="shared" si="14"/>
        <v/>
      </c>
      <c r="H122" s="5" t="str">
        <f t="shared" si="15"/>
        <v/>
      </c>
      <c r="I122" s="5" t="str">
        <f>_xlfn.XLOOKUP(F122,'[1]Jan Labour Nd Drivers Hyva'!$B:$B,'[2]Jan Labour Nd Drivers Hyva'!$A:$A,"NOT FOUND")</f>
        <v>LAB-002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11" t="s">
        <v>89</v>
      </c>
      <c r="M122" s="12">
        <v>1</v>
      </c>
      <c r="N122" s="13">
        <v>35000</v>
      </c>
      <c r="O122" s="8">
        <f t="shared" si="16"/>
        <v>35000</v>
      </c>
      <c r="P122" s="13">
        <v>35000</v>
      </c>
      <c r="Q122" s="7">
        <f t="shared" si="22"/>
        <v>0</v>
      </c>
      <c r="R122" t="str">
        <f t="shared" si="17"/>
        <v>PAID</v>
      </c>
      <c r="S122" s="3"/>
      <c r="T122" s="9">
        <f t="shared" si="18"/>
        <v>35000</v>
      </c>
      <c r="U122" t="str">
        <f t="shared" si="19"/>
        <v>OK</v>
      </c>
      <c r="V122" s="10">
        <f t="shared" si="20"/>
        <v>0</v>
      </c>
      <c r="W122" t="str">
        <f t="shared" si="21"/>
        <v>OK</v>
      </c>
      <c r="X122" s="3" t="s">
        <v>28</v>
      </c>
      <c r="Y122" t="s">
        <v>29</v>
      </c>
    </row>
    <row r="123" spans="1:25" x14ac:dyDescent="0.2">
      <c r="A123" t="str">
        <f t="shared" si="12"/>
        <v>TRIP-171</v>
      </c>
      <c r="B123" s="2">
        <v>45744</v>
      </c>
      <c r="C123" s="3" t="str">
        <f>_xlfn.XLOOKUP(D123,'[1]Jan Customer Duplicate Hyva'!$B:$B,'[1]Jan Customer Duplicate Hyva'!$A:$A,"NOT FOUND")</f>
        <v>CUST-170</v>
      </c>
      <c r="D123" s="11" t="s">
        <v>156</v>
      </c>
      <c r="E123" s="11" t="s">
        <v>26</v>
      </c>
      <c r="F123" s="5" t="str">
        <f t="shared" si="13"/>
        <v>Anshu</v>
      </c>
      <c r="G123" s="5" t="str">
        <f t="shared" si="14"/>
        <v/>
      </c>
      <c r="H123" s="5" t="str">
        <f t="shared" si="15"/>
        <v/>
      </c>
      <c r="I123" s="5" t="str">
        <f>_xlfn.XLOOKUP(F123,'[1]Jan Labour Nd Drivers Hyva'!$B:$B,'[2]Jan Labour Nd Drivers Hyva'!$A:$A,"NOT FOUND")</f>
        <v>LAB-002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11" t="s">
        <v>61</v>
      </c>
      <c r="M123" s="12">
        <v>1</v>
      </c>
      <c r="N123" s="13">
        <v>35000</v>
      </c>
      <c r="O123" s="8">
        <f t="shared" si="16"/>
        <v>35000</v>
      </c>
      <c r="P123" s="13">
        <v>35000</v>
      </c>
      <c r="Q123" s="7">
        <f t="shared" si="22"/>
        <v>0</v>
      </c>
      <c r="R123" t="str">
        <f t="shared" si="17"/>
        <v>PAID</v>
      </c>
      <c r="S123" s="3"/>
      <c r="T123" s="9">
        <f t="shared" si="18"/>
        <v>35000</v>
      </c>
      <c r="U123" t="str">
        <f t="shared" si="19"/>
        <v>OK</v>
      </c>
      <c r="V123" s="10">
        <f t="shared" si="20"/>
        <v>0</v>
      </c>
      <c r="W123" t="str">
        <f t="shared" si="21"/>
        <v>OK</v>
      </c>
      <c r="X123" s="3" t="s">
        <v>28</v>
      </c>
      <c r="Y123" t="s">
        <v>29</v>
      </c>
    </row>
    <row r="124" spans="1:25" x14ac:dyDescent="0.2">
      <c r="A124" t="str">
        <f t="shared" si="12"/>
        <v>TRIP-172</v>
      </c>
      <c r="B124" s="2">
        <v>45744</v>
      </c>
      <c r="C124" s="3" t="str">
        <f>_xlfn.XLOOKUP(D124,'[1]Jan Customer Duplicate Hyva'!$B:$B,'[1]Jan Customer Duplicate Hyva'!$A:$A,"NOT FOUND")</f>
        <v>CUST-323</v>
      </c>
      <c r="D124" s="3" t="s">
        <v>51</v>
      </c>
      <c r="E124" s="11" t="s">
        <v>26</v>
      </c>
      <c r="F124" s="5" t="str">
        <f t="shared" si="13"/>
        <v>Anshu</v>
      </c>
      <c r="G124" s="5" t="str">
        <f t="shared" si="14"/>
        <v/>
      </c>
      <c r="H124" s="5" t="str">
        <f t="shared" si="15"/>
        <v/>
      </c>
      <c r="I124" s="5" t="str">
        <f>_xlfn.XLOOKUP(F124,'[1]Jan Labour Nd Drivers Hyva'!$B:$B,'[2]Jan Labour Nd Drivers Hyva'!$A:$A,"NOT FOUND")</f>
        <v>LAB-002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11" t="s">
        <v>157</v>
      </c>
      <c r="M124" s="12">
        <v>1</v>
      </c>
      <c r="N124" s="13">
        <v>38000</v>
      </c>
      <c r="O124" s="8">
        <f t="shared" si="16"/>
        <v>38000</v>
      </c>
      <c r="P124" s="13"/>
      <c r="Q124" s="7">
        <f t="shared" si="22"/>
        <v>38000</v>
      </c>
      <c r="R124" t="str">
        <f t="shared" si="17"/>
        <v>UNPAID</v>
      </c>
      <c r="S124" s="3"/>
      <c r="T124" s="9">
        <f t="shared" si="18"/>
        <v>38000</v>
      </c>
      <c r="U124" t="str">
        <f t="shared" si="19"/>
        <v>OK</v>
      </c>
      <c r="V124" s="10">
        <f t="shared" si="20"/>
        <v>38000</v>
      </c>
      <c r="W124" t="str">
        <f t="shared" si="21"/>
        <v>OK</v>
      </c>
      <c r="X124" s="3" t="s">
        <v>28</v>
      </c>
      <c r="Y124" t="s">
        <v>29</v>
      </c>
    </row>
    <row r="125" spans="1:25" x14ac:dyDescent="0.2">
      <c r="A125" t="str">
        <f t="shared" si="12"/>
        <v>TRIP-173</v>
      </c>
      <c r="B125" s="2">
        <v>45745</v>
      </c>
      <c r="C125" s="3" t="str">
        <f>_xlfn.XLOOKUP(D125,'[1]Jan Customer Duplicate Hyva'!$B:$B,'[1]Jan Customer Duplicate Hyva'!$A:$A,"NOT FOUND")</f>
        <v>CUST-206</v>
      </c>
      <c r="D125" s="11" t="s">
        <v>158</v>
      </c>
      <c r="E125" s="11" t="s">
        <v>26</v>
      </c>
      <c r="F125" s="5" t="str">
        <f t="shared" si="13"/>
        <v>Anshu</v>
      </c>
      <c r="G125" s="5" t="str">
        <f t="shared" si="14"/>
        <v/>
      </c>
      <c r="H125" s="5" t="str">
        <f t="shared" si="15"/>
        <v/>
      </c>
      <c r="I125" s="5" t="str">
        <f>_xlfn.XLOOKUP(F125,'[1]Jan Labour Nd Drivers Hyva'!$B:$B,'[2]Jan Labour Nd Drivers Hyva'!$A:$A,"NOT FOUND")</f>
        <v>LAB-002</v>
      </c>
      <c r="J125" s="5" t="str">
        <f>IF(G125="","",_xlfn.XLOOKUP(G125,'[3]Jan Labour Nd Drivers Hyva'!$B:$B,'[2]Jan Labour Nd Drivers Hyva'!$A:$A,"NOT FOUND"))</f>
        <v/>
      </c>
      <c r="K125" s="5" t="str">
        <f>IF(H125="","",_xlfn.XLOOKUP(H125,'[2]Jan Labour Nd Drivers Hyva'!$B:$B,'[2]Jan Labour Nd Drivers Hyva'!$A:$A,"NOT FOUND"))</f>
        <v/>
      </c>
      <c r="L125" s="11" t="s">
        <v>142</v>
      </c>
      <c r="M125" s="12">
        <v>1</v>
      </c>
      <c r="N125" s="13">
        <v>37000</v>
      </c>
      <c r="O125" s="8">
        <f t="shared" si="16"/>
        <v>37000</v>
      </c>
      <c r="P125" s="13">
        <v>37000</v>
      </c>
      <c r="Q125" s="7">
        <f t="shared" si="22"/>
        <v>0</v>
      </c>
      <c r="R125" t="str">
        <f t="shared" si="17"/>
        <v>PAID</v>
      </c>
      <c r="S125" s="3"/>
      <c r="T125" s="9">
        <f t="shared" si="18"/>
        <v>37000</v>
      </c>
      <c r="U125" t="str">
        <f t="shared" si="19"/>
        <v>OK</v>
      </c>
      <c r="V125" s="10">
        <f t="shared" si="20"/>
        <v>0</v>
      </c>
      <c r="W125" t="str">
        <f t="shared" si="21"/>
        <v>OK</v>
      </c>
      <c r="X125" s="3" t="s">
        <v>28</v>
      </c>
      <c r="Y125" t="s">
        <v>29</v>
      </c>
    </row>
    <row r="126" spans="1:25" x14ac:dyDescent="0.2">
      <c r="A126" t="str">
        <f t="shared" si="12"/>
        <v>TRIP-174</v>
      </c>
      <c r="B126" s="2">
        <v>45745</v>
      </c>
      <c r="C126" s="3" t="str">
        <f>_xlfn.XLOOKUP(D126,'[1]Jan Customer Duplicate Hyva'!$B:$B,'[1]Jan Customer Duplicate Hyva'!$A:$A,"NOT FOUND")</f>
        <v>CUST-172</v>
      </c>
      <c r="D126" s="3" t="s">
        <v>54</v>
      </c>
      <c r="E126" s="11" t="s">
        <v>26</v>
      </c>
      <c r="F126" s="5" t="str">
        <f t="shared" si="13"/>
        <v>Anshu</v>
      </c>
      <c r="G126" s="5" t="str">
        <f t="shared" si="14"/>
        <v/>
      </c>
      <c r="H126" s="5" t="str">
        <f t="shared" si="15"/>
        <v/>
      </c>
      <c r="I126" s="5" t="str">
        <f>_xlfn.XLOOKUP(F126,'[1]Jan Labour Nd Drivers Hyva'!$B:$B,'[2]Jan Labour Nd Drivers Hyva'!$A:$A,"NOT FOUND")</f>
        <v>LAB-002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11" t="s">
        <v>56</v>
      </c>
      <c r="M126" s="12">
        <v>1</v>
      </c>
      <c r="N126" s="13">
        <v>37000</v>
      </c>
      <c r="O126" s="8">
        <f t="shared" si="16"/>
        <v>37000</v>
      </c>
      <c r="P126" s="13">
        <v>37000</v>
      </c>
      <c r="Q126" s="7">
        <f t="shared" si="22"/>
        <v>0</v>
      </c>
      <c r="R126" t="str">
        <f t="shared" si="17"/>
        <v>PAID</v>
      </c>
      <c r="S126" s="3"/>
      <c r="T126" s="9">
        <f t="shared" si="18"/>
        <v>37000</v>
      </c>
      <c r="U126" t="str">
        <f t="shared" si="19"/>
        <v>OK</v>
      </c>
      <c r="V126" s="10">
        <f t="shared" si="20"/>
        <v>0</v>
      </c>
      <c r="W126" t="str">
        <f t="shared" si="21"/>
        <v>OK</v>
      </c>
      <c r="X126" s="3" t="s">
        <v>28</v>
      </c>
      <c r="Y126" t="s">
        <v>29</v>
      </c>
    </row>
    <row r="127" spans="1:25" x14ac:dyDescent="0.2">
      <c r="A127" t="str">
        <f t="shared" si="12"/>
        <v>TRIP-175</v>
      </c>
      <c r="B127" s="2">
        <v>45746</v>
      </c>
      <c r="C127" s="3" t="str">
        <f>_xlfn.XLOOKUP(D127,'[1]Jan Customer Duplicate Hyva'!$B:$B,'[1]Jan Customer Duplicate Hyva'!$A:$A,"NOT FOUND")</f>
        <v>CUST-011</v>
      </c>
      <c r="D127" s="11" t="s">
        <v>35</v>
      </c>
      <c r="E127" s="11" t="s">
        <v>74</v>
      </c>
      <c r="F127" s="5" t="str">
        <f t="shared" si="13"/>
        <v>Ravi</v>
      </c>
      <c r="G127" s="5" t="str">
        <f t="shared" si="14"/>
        <v>Gaju Bhau</v>
      </c>
      <c r="H127" s="5" t="str">
        <f t="shared" si="15"/>
        <v/>
      </c>
      <c r="I127" s="5" t="str">
        <f>_xlfn.XLOOKUP(F127,'[1]Jan Labour Nd Drivers Hyva'!$B:$B,'[2]Jan Labour Nd Drivers Hyva'!$A:$A,"NOT FOUND")</f>
        <v>LAB-003</v>
      </c>
      <c r="J127" s="5" t="str">
        <f>IF(G127="","",_xlfn.XLOOKUP(G127,'[3]Jan Labour Nd Drivers Hyva'!$B:$B,'[2]Jan Labour Nd Drivers Hyva'!$A:$A,"NOT FOUND"))</f>
        <v>LAB-001</v>
      </c>
      <c r="K127" s="5" t="str">
        <f>IF(H127="","",_xlfn.XLOOKUP(H127,'[2]Jan Labour Nd Drivers Hyva'!$B:$B,'[2]Jan Labour Nd Drivers Hyva'!$A:$A,"NOT FOUND"))</f>
        <v/>
      </c>
      <c r="L127" s="11" t="s">
        <v>144</v>
      </c>
      <c r="M127" s="12">
        <v>3</v>
      </c>
      <c r="N127" s="13">
        <v>38000</v>
      </c>
      <c r="O127" s="8">
        <f t="shared" si="16"/>
        <v>114000</v>
      </c>
      <c r="P127" s="13"/>
      <c r="Q127" s="7">
        <f t="shared" si="22"/>
        <v>114000</v>
      </c>
      <c r="R127" t="str">
        <f t="shared" si="17"/>
        <v>UNPAID</v>
      </c>
      <c r="S127" s="3"/>
      <c r="T127" s="9">
        <f t="shared" si="18"/>
        <v>114000</v>
      </c>
      <c r="U127" t="str">
        <f t="shared" si="19"/>
        <v>OK</v>
      </c>
      <c r="V127" s="10">
        <f t="shared" si="20"/>
        <v>114000</v>
      </c>
      <c r="W127" t="str">
        <f t="shared" si="21"/>
        <v>OK</v>
      </c>
      <c r="X127" s="3" t="s">
        <v>28</v>
      </c>
      <c r="Y127" t="s">
        <v>29</v>
      </c>
    </row>
    <row r="128" spans="1:25" x14ac:dyDescent="0.2">
      <c r="A128" t="str">
        <f t="shared" si="12"/>
        <v>TRIP-176</v>
      </c>
      <c r="B128" s="2">
        <v>45746</v>
      </c>
      <c r="C128" s="3" t="str">
        <f>_xlfn.XLOOKUP(D128,'[1]Jan Customer Duplicate Hyva'!$B:$B,'[1]Jan Customer Duplicate Hyva'!$A:$A,"NOT FOUND")</f>
        <v>CUST-255</v>
      </c>
      <c r="D128" s="11" t="s">
        <v>75</v>
      </c>
      <c r="E128" s="11" t="s">
        <v>55</v>
      </c>
      <c r="F128" s="5" t="str">
        <f t="shared" si="13"/>
        <v>Gaju Bhau</v>
      </c>
      <c r="G128" s="5" t="str">
        <f t="shared" si="14"/>
        <v/>
      </c>
      <c r="H128" s="5" t="str">
        <f t="shared" si="15"/>
        <v/>
      </c>
      <c r="I128" s="5" t="str">
        <f>_xlfn.XLOOKUP(F128,'[1]Jan Labour Nd Drivers Hyva'!$B:$B,'[2]Jan Labour Nd Drivers Hyva'!$A:$A,"NOT FOUND")</f>
        <v>LAB-001</v>
      </c>
      <c r="J128" s="5" t="str">
        <f>IF(G128="","",_xlfn.XLOOKUP(G128,'[3]Jan Labour Nd Drivers Hyva'!$B:$B,'[2]Jan Labour Nd Drivers Hyva'!$A:$A,"NOT FOUND"))</f>
        <v/>
      </c>
      <c r="K128" s="5" t="str">
        <f>IF(H128="","",_xlfn.XLOOKUP(H128,'[2]Jan Labour Nd Drivers Hyva'!$B:$B,'[2]Jan Labour Nd Drivers Hyva'!$A:$A,"NOT FOUND"))</f>
        <v/>
      </c>
      <c r="L128" s="11" t="s">
        <v>76</v>
      </c>
      <c r="M128" s="12">
        <v>1</v>
      </c>
      <c r="N128" s="13">
        <v>38000</v>
      </c>
      <c r="O128" s="8">
        <f t="shared" si="16"/>
        <v>38000</v>
      </c>
      <c r="P128" s="13">
        <v>38000</v>
      </c>
      <c r="Q128" s="7">
        <f t="shared" si="22"/>
        <v>0</v>
      </c>
      <c r="R128" t="str">
        <f t="shared" si="17"/>
        <v>PAID</v>
      </c>
      <c r="S128" s="3"/>
      <c r="T128" s="9">
        <f t="shared" si="18"/>
        <v>38000</v>
      </c>
      <c r="U128" t="str">
        <f t="shared" si="19"/>
        <v>OK</v>
      </c>
      <c r="V128" s="10">
        <f t="shared" si="20"/>
        <v>0</v>
      </c>
      <c r="W128" t="str">
        <f t="shared" si="21"/>
        <v>OK</v>
      </c>
      <c r="X128" s="3" t="s">
        <v>28</v>
      </c>
      <c r="Y128" t="s">
        <v>29</v>
      </c>
    </row>
    <row r="129" spans="1:25" x14ac:dyDescent="0.2">
      <c r="A129" t="str">
        <f t="shared" si="12"/>
        <v>TRIP-177</v>
      </c>
      <c r="B129" s="2">
        <v>45746</v>
      </c>
      <c r="C129" s="3" t="str">
        <f>_xlfn.XLOOKUP(D129,'[1]Jan Customer Duplicate Hyva'!$B:$B,'[1]Jan Customer Duplicate Hyva'!$A:$A,"NOT FOUND")</f>
        <v>CUST-171</v>
      </c>
      <c r="D129" s="11" t="s">
        <v>159</v>
      </c>
      <c r="E129" s="11" t="s">
        <v>55</v>
      </c>
      <c r="F129" s="5" t="str">
        <f t="shared" si="13"/>
        <v>Gaju Bhau</v>
      </c>
      <c r="G129" s="5" t="str">
        <f t="shared" si="14"/>
        <v/>
      </c>
      <c r="H129" s="5" t="str">
        <f t="shared" si="15"/>
        <v/>
      </c>
      <c r="I129" s="5" t="str">
        <f>_xlfn.XLOOKUP(F129,'[1]Jan Labour Nd Drivers Hyva'!$B:$B,'[2]Jan Labour Nd Drivers Hyva'!$A:$A,"NOT FOUND")</f>
        <v>LAB-001</v>
      </c>
      <c r="J129" s="5" t="str">
        <f>IF(G129="","",_xlfn.XLOOKUP(G129,'[3]Jan Labour Nd Drivers Hyva'!$B:$B,'[2]Jan Labour Nd Drivers Hyva'!$A:$A,"NOT FOUND"))</f>
        <v/>
      </c>
      <c r="K129" s="5" t="str">
        <f>IF(H129="","",_xlfn.XLOOKUP(H129,'[2]Jan Labour Nd Drivers Hyva'!$B:$B,'[2]Jan Labour Nd Drivers Hyva'!$A:$A,"NOT FOUND"))</f>
        <v/>
      </c>
      <c r="L129" s="11" t="s">
        <v>160</v>
      </c>
      <c r="M129" s="12">
        <v>1</v>
      </c>
      <c r="N129" s="13">
        <v>36000</v>
      </c>
      <c r="O129" s="8">
        <f t="shared" si="16"/>
        <v>36000</v>
      </c>
      <c r="P129" s="13">
        <v>36000</v>
      </c>
      <c r="Q129" s="7">
        <f t="shared" si="22"/>
        <v>0</v>
      </c>
      <c r="R129" t="str">
        <f t="shared" si="17"/>
        <v>PAID</v>
      </c>
      <c r="S129" s="3"/>
      <c r="T129" s="9">
        <f t="shared" si="18"/>
        <v>36000</v>
      </c>
      <c r="U129" t="str">
        <f t="shared" si="19"/>
        <v>OK</v>
      </c>
      <c r="V129" s="10">
        <f t="shared" si="20"/>
        <v>0</v>
      </c>
      <c r="W129" t="str">
        <f t="shared" si="21"/>
        <v>OK</v>
      </c>
      <c r="X129" s="3" t="s">
        <v>28</v>
      </c>
      <c r="Y129" t="s">
        <v>29</v>
      </c>
    </row>
    <row r="130" spans="1:25" x14ac:dyDescent="0.2">
      <c r="A130" t="str">
        <f t="shared" si="12"/>
        <v>TRIP-178</v>
      </c>
      <c r="B130" s="2">
        <v>45746</v>
      </c>
      <c r="C130" s="3" t="str">
        <f>_xlfn.XLOOKUP(D130,'[1]Jan Customer Duplicate Hyva'!$B:$B,'[1]Jan Customer Duplicate Hyva'!$A:$A,"NOT FOUND")</f>
        <v>CUST-172</v>
      </c>
      <c r="D130" s="3" t="s">
        <v>54</v>
      </c>
      <c r="E130" s="11" t="s">
        <v>26</v>
      </c>
      <c r="F130" s="5" t="str">
        <f t="shared" si="13"/>
        <v>Anshu</v>
      </c>
      <c r="G130" s="5" t="str">
        <f t="shared" si="14"/>
        <v/>
      </c>
      <c r="H130" s="5" t="str">
        <f t="shared" si="15"/>
        <v/>
      </c>
      <c r="I130" s="5" t="str">
        <f>_xlfn.XLOOKUP(F130,'[1]Jan Labour Nd Drivers Hyva'!$B:$B,'[2]Jan Labour Nd Drivers Hyva'!$A:$A,"NOT FOUND")</f>
        <v>LAB-002</v>
      </c>
      <c r="J130" s="5" t="str">
        <f>IF(G130="","",_xlfn.XLOOKUP(G130,'[3]Jan Labour Nd Drivers Hyva'!$B:$B,'[2]Jan Labour Nd Drivers Hyva'!$A:$A,"NOT FOUND"))</f>
        <v/>
      </c>
      <c r="K130" s="5" t="str">
        <f>IF(H130="","",_xlfn.XLOOKUP(H130,'[2]Jan Labour Nd Drivers Hyva'!$B:$B,'[2]Jan Labour Nd Drivers Hyva'!$A:$A,"NOT FOUND"))</f>
        <v/>
      </c>
      <c r="L130" s="11" t="s">
        <v>56</v>
      </c>
      <c r="M130" s="12">
        <v>1</v>
      </c>
      <c r="N130" s="13">
        <v>37000</v>
      </c>
      <c r="O130" s="8">
        <f t="shared" si="16"/>
        <v>37000</v>
      </c>
      <c r="P130" s="13">
        <v>37000</v>
      </c>
      <c r="Q130" s="7">
        <f t="shared" si="22"/>
        <v>0</v>
      </c>
      <c r="R130" t="str">
        <f t="shared" si="17"/>
        <v>PAID</v>
      </c>
      <c r="S130" s="3"/>
      <c r="T130" s="9">
        <f t="shared" si="18"/>
        <v>37000</v>
      </c>
      <c r="U130" t="str">
        <f t="shared" si="19"/>
        <v>OK</v>
      </c>
      <c r="V130" s="10">
        <f t="shared" si="20"/>
        <v>0</v>
      </c>
      <c r="W130" t="str">
        <f t="shared" si="21"/>
        <v>OK</v>
      </c>
      <c r="X130" s="3" t="s">
        <v>28</v>
      </c>
      <c r="Y130" t="s">
        <v>29</v>
      </c>
    </row>
    <row r="131" spans="1:25" x14ac:dyDescent="0.2">
      <c r="A131" t="str">
        <f t="shared" ref="A131:A194" si="23">"TRIP-"&amp;TEXT(ROW()+48,"000")</f>
        <v>TRIP-179</v>
      </c>
      <c r="B131" s="2">
        <v>45747</v>
      </c>
      <c r="C131" s="3" t="str">
        <f>_xlfn.XLOOKUP(D131,'[1]Jan Customer Duplicate Hyva'!$B:$B,'[1]Jan Customer Duplicate Hyva'!$A:$A,"NOT FOUND")</f>
        <v>CUST-037</v>
      </c>
      <c r="D131" s="11" t="s">
        <v>99</v>
      </c>
      <c r="E131" s="11" t="s">
        <v>55</v>
      </c>
      <c r="F131" s="5" t="str">
        <f t="shared" ref="F131:F194" si="24">TRIM(_xlfn.TEXTBEFORE(E131&amp;" / "," / "))</f>
        <v>Gaju Bhau</v>
      </c>
      <c r="G131" s="5" t="str">
        <f t="shared" ref="G131:G194" si="25">IFERROR(TRIM(_xlfn.TEXTBEFORE(_xlfn.TEXTAFTER(E131," / ")&amp;" / "," / ")),"")</f>
        <v/>
      </c>
      <c r="H131" s="5" t="str">
        <f t="shared" ref="H131:H194" si="26">IFERROR(TRIM(_xlfn.TEXTAFTER(E131," / ","2")),"")</f>
        <v/>
      </c>
      <c r="I131" s="5" t="str">
        <f>_xlfn.XLOOKUP(F131,'[1]Jan Labour Nd Drivers Hyva'!$B:$B,'[2]Jan Labour Nd Drivers Hyva'!$A:$A,"NOT FOUND")</f>
        <v>LAB-001</v>
      </c>
      <c r="J131" s="5" t="str">
        <f>IF(G131="","",_xlfn.XLOOKUP(G131,'[3]Jan Labour Nd Drivers Hyva'!$B:$B,'[2]Jan Labour Nd Drivers Hyva'!$A:$A,"NOT FOUND"))</f>
        <v/>
      </c>
      <c r="K131" s="5" t="str">
        <f>IF(H131="","",_xlfn.XLOOKUP(H131,'[2]Jan Labour Nd Drivers Hyva'!$B:$B,'[2]Jan Labour Nd Drivers Hyva'!$A:$A,"NOT FOUND"))</f>
        <v/>
      </c>
      <c r="L131" s="11" t="s">
        <v>161</v>
      </c>
      <c r="M131" s="12">
        <v>1</v>
      </c>
      <c r="N131" s="13">
        <v>37000</v>
      </c>
      <c r="O131" s="8">
        <f t="shared" ref="O131:O194" si="27">N131*M131</f>
        <v>37000</v>
      </c>
      <c r="P131" s="13"/>
      <c r="Q131" s="7">
        <f t="shared" si="22"/>
        <v>37000</v>
      </c>
      <c r="R131" t="str">
        <f t="shared" ref="R131:R194" si="28">IF(Q131=0,"PAID",IF(P131=0,"UNPAID","PARTIAL"))</f>
        <v>UNPAID</v>
      </c>
      <c r="S131" s="3"/>
      <c r="T131" s="9">
        <f t="shared" ref="T131:T194" si="29">M131*N131</f>
        <v>37000</v>
      </c>
      <c r="U131" t="str">
        <f t="shared" ref="U131:U194" si="30">IF(ROUND(T131,2)=ROUND(O131,2),"OK","CHECK")</f>
        <v>OK</v>
      </c>
      <c r="V131" s="10">
        <f t="shared" ref="V131:V194" si="31">O131-P131</f>
        <v>37000</v>
      </c>
      <c r="W131" t="str">
        <f t="shared" ref="W131:W194" si="32">IF(ROUND(V131,2)=ROUND(Q131,2),"OK","CHECK")</f>
        <v>OK</v>
      </c>
      <c r="X131" s="3" t="s">
        <v>28</v>
      </c>
      <c r="Y131" t="s">
        <v>29</v>
      </c>
    </row>
    <row r="132" spans="1:25" x14ac:dyDescent="0.2">
      <c r="A132" t="str">
        <f t="shared" si="23"/>
        <v>TRIP-180</v>
      </c>
      <c r="B132" s="2">
        <v>45748</v>
      </c>
      <c r="C132" s="3" t="str">
        <f>_xlfn.XLOOKUP(D132,'[1]Jan Customer Duplicate Hyva'!$B:$B,'[1]Jan Customer Duplicate Hyva'!$A:$A,"NOT FOUND")</f>
        <v>CUST-207</v>
      </c>
      <c r="D132" s="11" t="s">
        <v>25</v>
      </c>
      <c r="E132" s="4" t="s">
        <v>162</v>
      </c>
      <c r="F132" s="5" t="str">
        <f t="shared" si="24"/>
        <v>Gaju Bhau</v>
      </c>
      <c r="G132" s="5" t="str">
        <f t="shared" si="25"/>
        <v>Anshu</v>
      </c>
      <c r="H132" s="5" t="str">
        <f t="shared" si="26"/>
        <v>Ravi</v>
      </c>
      <c r="I132" s="5" t="str">
        <f>_xlfn.XLOOKUP(F132,'[1]Jan Labour Nd Drivers Hyva'!$B:$B,'[2]Jan Labour Nd Drivers Hyva'!$A:$A,"NOT FOUND")</f>
        <v>LAB-001</v>
      </c>
      <c r="J132" s="5" t="str">
        <f>IF(G132="","",_xlfn.XLOOKUP(G132,'[3]Jan Labour Nd Drivers Hyva'!$B:$B,'[2]Jan Labour Nd Drivers Hyva'!$A:$A,"NOT FOUND"))</f>
        <v>LAB-002</v>
      </c>
      <c r="K132" s="5" t="str">
        <f>IF(H132="","",_xlfn.XLOOKUP(H132,'[2]Jan Labour Nd Drivers Hyva'!$B:$B,'[2]Jan Labour Nd Drivers Hyva'!$A:$A,"NOT FOUND"))</f>
        <v>LAB-003</v>
      </c>
      <c r="L132" s="4" t="s">
        <v>163</v>
      </c>
      <c r="M132" s="6">
        <v>3</v>
      </c>
      <c r="N132" s="7">
        <v>37000</v>
      </c>
      <c r="O132" s="8">
        <f t="shared" si="27"/>
        <v>111000</v>
      </c>
      <c r="P132" s="7">
        <v>111000</v>
      </c>
      <c r="Q132" s="7">
        <f t="shared" si="22"/>
        <v>0</v>
      </c>
      <c r="R132" t="str">
        <f t="shared" si="28"/>
        <v>PAID</v>
      </c>
      <c r="S132" s="3"/>
      <c r="T132" s="9">
        <f t="shared" si="29"/>
        <v>111000</v>
      </c>
      <c r="U132" t="str">
        <f t="shared" si="30"/>
        <v>OK</v>
      </c>
      <c r="V132" s="10">
        <f t="shared" si="31"/>
        <v>0</v>
      </c>
      <c r="W132" t="str">
        <f t="shared" si="32"/>
        <v>OK</v>
      </c>
      <c r="X132" s="3" t="s">
        <v>28</v>
      </c>
      <c r="Y132" t="s">
        <v>29</v>
      </c>
    </row>
    <row r="133" spans="1:25" x14ac:dyDescent="0.2">
      <c r="A133" t="str">
        <f t="shared" si="23"/>
        <v>TRIP-181</v>
      </c>
      <c r="B133" s="2">
        <v>45748</v>
      </c>
      <c r="C133" s="3" t="str">
        <f>_xlfn.XLOOKUP(D133,'[1]Jan Customer Duplicate Hyva'!$B:$B,'[1]Jan Customer Duplicate Hyva'!$A:$A,"NOT FOUND")</f>
        <v>CUST-172</v>
      </c>
      <c r="D133" s="3" t="s">
        <v>54</v>
      </c>
      <c r="E133" s="4" t="s">
        <v>164</v>
      </c>
      <c r="F133" s="5" t="str">
        <f t="shared" si="24"/>
        <v>Gaju Bhau</v>
      </c>
      <c r="G133" s="5" t="str">
        <f t="shared" si="25"/>
        <v>Anshu</v>
      </c>
      <c r="H133" s="5" t="str">
        <f t="shared" si="26"/>
        <v/>
      </c>
      <c r="I133" s="5" t="str">
        <f>_xlfn.XLOOKUP(F133,'[1]Jan Labour Nd Drivers Hyva'!$B:$B,'[2]Jan Labour Nd Drivers Hyva'!$A:$A,"NOT FOUND")</f>
        <v>LAB-001</v>
      </c>
      <c r="J133" s="5" t="str">
        <f>IF(G133="","",_xlfn.XLOOKUP(G133,'[3]Jan Labour Nd Drivers Hyva'!$B:$B,'[2]Jan Labour Nd Drivers Hyva'!$A:$A,"NOT FOUND"))</f>
        <v>LAB-002</v>
      </c>
      <c r="K133" s="5" t="str">
        <f>IF(H133="","",_xlfn.XLOOKUP(H133,'[2]Jan Labour Nd Drivers Hyva'!$B:$B,'[2]Jan Labour Nd Drivers Hyva'!$A:$A,"NOT FOUND"))</f>
        <v/>
      </c>
      <c r="L133" s="4" t="s">
        <v>165</v>
      </c>
      <c r="M133" s="6">
        <v>2</v>
      </c>
      <c r="N133" s="7">
        <v>37000</v>
      </c>
      <c r="O133" s="8">
        <f t="shared" si="27"/>
        <v>74000</v>
      </c>
      <c r="P133" s="7">
        <v>74000</v>
      </c>
      <c r="Q133" s="7">
        <f t="shared" si="22"/>
        <v>0</v>
      </c>
      <c r="R133" t="str">
        <f t="shared" si="28"/>
        <v>PAID</v>
      </c>
      <c r="S133" s="3"/>
      <c r="T133" s="9">
        <f t="shared" si="29"/>
        <v>74000</v>
      </c>
      <c r="U133" t="str">
        <f t="shared" si="30"/>
        <v>OK</v>
      </c>
      <c r="V133" s="10">
        <f t="shared" si="31"/>
        <v>0</v>
      </c>
      <c r="W133" t="str">
        <f t="shared" si="32"/>
        <v>OK</v>
      </c>
      <c r="X133" s="3" t="s">
        <v>28</v>
      </c>
      <c r="Y133" t="s">
        <v>29</v>
      </c>
    </row>
    <row r="134" spans="1:25" x14ac:dyDescent="0.2">
      <c r="A134" t="str">
        <f t="shared" si="23"/>
        <v>TRIP-182</v>
      </c>
      <c r="B134" s="2">
        <v>45748</v>
      </c>
      <c r="C134" s="3" t="str">
        <f>_xlfn.XLOOKUP(D134,'[1]Jan Customer Duplicate Hyva'!$B:$B,'[1]Jan Customer Duplicate Hyva'!$A:$A,"NOT FOUND")</f>
        <v>NOT FOUND</v>
      </c>
      <c r="D134" s="11" t="s">
        <v>166</v>
      </c>
      <c r="E134" s="11" t="s">
        <v>26</v>
      </c>
      <c r="F134" s="5" t="str">
        <f t="shared" si="24"/>
        <v>Anshu</v>
      </c>
      <c r="G134" s="5" t="str">
        <f t="shared" si="25"/>
        <v/>
      </c>
      <c r="H134" s="5" t="str">
        <f t="shared" si="26"/>
        <v/>
      </c>
      <c r="I134" s="5" t="str">
        <f>_xlfn.XLOOKUP(F134,'[1]Jan Labour Nd Drivers Hyva'!$B:$B,'[2]Jan Labour Nd Drivers Hyva'!$A:$A,"NOT FOUND")</f>
        <v>LAB-002</v>
      </c>
      <c r="J134" s="5" t="str">
        <f>IF(G134="","",_xlfn.XLOOKUP(G134,'[3]Jan Labour Nd Drivers Hyva'!$B:$B,'[2]Jan Labour Nd Drivers Hyva'!$A:$A,"NOT FOUND"))</f>
        <v/>
      </c>
      <c r="K134" s="5" t="str">
        <f>IF(H134="","",_xlfn.XLOOKUP(H134,'[2]Jan Labour Nd Drivers Hyva'!$B:$B,'[2]Jan Labour Nd Drivers Hyva'!$A:$A,"NOT FOUND"))</f>
        <v/>
      </c>
      <c r="L134" s="11" t="s">
        <v>167</v>
      </c>
      <c r="M134" s="12">
        <v>1</v>
      </c>
      <c r="N134" s="13">
        <v>38000</v>
      </c>
      <c r="O134" s="8">
        <f t="shared" si="27"/>
        <v>38000</v>
      </c>
      <c r="P134" s="13">
        <v>38000</v>
      </c>
      <c r="Q134" s="7">
        <f t="shared" si="22"/>
        <v>0</v>
      </c>
      <c r="R134" t="str">
        <f t="shared" si="28"/>
        <v>PAID</v>
      </c>
      <c r="S134" s="3"/>
      <c r="T134" s="9">
        <f t="shared" si="29"/>
        <v>38000</v>
      </c>
      <c r="U134" t="str">
        <f t="shared" si="30"/>
        <v>OK</v>
      </c>
      <c r="V134" s="10">
        <f t="shared" si="31"/>
        <v>0</v>
      </c>
      <c r="W134" t="str">
        <f t="shared" si="32"/>
        <v>OK</v>
      </c>
      <c r="X134" s="3" t="s">
        <v>28</v>
      </c>
      <c r="Y134" t="s">
        <v>29</v>
      </c>
    </row>
    <row r="135" spans="1:25" x14ac:dyDescent="0.2">
      <c r="A135" t="str">
        <f t="shared" si="23"/>
        <v>TRIP-183</v>
      </c>
      <c r="B135" s="2">
        <v>45748</v>
      </c>
      <c r="C135" s="3" t="str">
        <f>_xlfn.XLOOKUP(D135,'[1]Jan Customer Duplicate Hyva'!$B:$B,'[1]Jan Customer Duplicate Hyva'!$A:$A,"NOT FOUND")</f>
        <v>CUST-312</v>
      </c>
      <c r="D135" s="11" t="s">
        <v>168</v>
      </c>
      <c r="E135" s="11" t="s">
        <v>30</v>
      </c>
      <c r="F135" s="5" t="str">
        <f t="shared" si="24"/>
        <v>Ravi</v>
      </c>
      <c r="G135" s="5" t="str">
        <f t="shared" si="25"/>
        <v/>
      </c>
      <c r="H135" s="5" t="str">
        <f t="shared" si="26"/>
        <v/>
      </c>
      <c r="I135" s="5" t="str">
        <f>_xlfn.XLOOKUP(F135,'[1]Jan Labour Nd Drivers Hyva'!$B:$B,'[2]Jan Labour Nd Drivers Hyva'!$A:$A,"NOT FOUND")</f>
        <v>LAB-003</v>
      </c>
      <c r="J135" s="5" t="str">
        <f>IF(G135="","",_xlfn.XLOOKUP(G135,'[3]Jan Labour Nd Drivers Hyva'!$B:$B,'[2]Jan Labour Nd Drivers Hyva'!$A:$A,"NOT FOUND"))</f>
        <v/>
      </c>
      <c r="K135" s="5" t="str">
        <f>IF(H135="","",_xlfn.XLOOKUP(H135,'[2]Jan Labour Nd Drivers Hyva'!$B:$B,'[2]Jan Labour Nd Drivers Hyva'!$A:$A,"NOT FOUND"))</f>
        <v/>
      </c>
      <c r="L135" s="11" t="s">
        <v>169</v>
      </c>
      <c r="M135" s="12">
        <v>1</v>
      </c>
      <c r="N135" s="13">
        <v>39000</v>
      </c>
      <c r="O135" s="8">
        <f t="shared" si="27"/>
        <v>39000</v>
      </c>
      <c r="P135" s="13">
        <v>39000</v>
      </c>
      <c r="Q135" s="7">
        <f t="shared" si="22"/>
        <v>0</v>
      </c>
      <c r="R135" t="str">
        <f t="shared" si="28"/>
        <v>PAID</v>
      </c>
      <c r="S135" s="3"/>
      <c r="T135" s="9">
        <f t="shared" si="29"/>
        <v>39000</v>
      </c>
      <c r="U135" t="str">
        <f t="shared" si="30"/>
        <v>OK</v>
      </c>
      <c r="V135" s="10">
        <f t="shared" si="31"/>
        <v>0</v>
      </c>
      <c r="W135" t="str">
        <f t="shared" si="32"/>
        <v>OK</v>
      </c>
      <c r="X135" s="3" t="s">
        <v>28</v>
      </c>
      <c r="Y135" t="s">
        <v>29</v>
      </c>
    </row>
    <row r="136" spans="1:25" x14ac:dyDescent="0.2">
      <c r="A136" t="str">
        <f t="shared" si="23"/>
        <v>TRIP-184</v>
      </c>
      <c r="B136" s="2">
        <v>45748</v>
      </c>
      <c r="C136" s="3" t="str">
        <f>_xlfn.XLOOKUP(D136,'[1]Jan Customer Duplicate Hyva'!$B:$B,'[1]Jan Customer Duplicate Hyva'!$A:$A,"NOT FOUND")</f>
        <v>CUST-236</v>
      </c>
      <c r="D136" s="11" t="s">
        <v>58</v>
      </c>
      <c r="E136" s="11" t="s">
        <v>30</v>
      </c>
      <c r="F136" s="5" t="str">
        <f t="shared" si="24"/>
        <v>Ravi</v>
      </c>
      <c r="G136" s="5" t="str">
        <f t="shared" si="25"/>
        <v/>
      </c>
      <c r="H136" s="5" t="str">
        <f t="shared" si="26"/>
        <v/>
      </c>
      <c r="I136" s="5" t="str">
        <f>_xlfn.XLOOKUP(F136,'[1]Jan Labour Nd Drivers Hyva'!$B:$B,'[2]Jan Labour Nd Drivers Hyva'!$A:$A,"NOT FOUND")</f>
        <v>LAB-003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11" t="s">
        <v>170</v>
      </c>
      <c r="M136" s="12">
        <v>1</v>
      </c>
      <c r="N136" s="13">
        <v>37000</v>
      </c>
      <c r="O136" s="8">
        <f t="shared" si="27"/>
        <v>37000</v>
      </c>
      <c r="P136" s="13">
        <v>37000</v>
      </c>
      <c r="Q136" s="7">
        <f t="shared" si="22"/>
        <v>0</v>
      </c>
      <c r="R136" t="str">
        <f t="shared" si="28"/>
        <v>PAID</v>
      </c>
      <c r="S136" s="3"/>
      <c r="T136" s="9">
        <f t="shared" si="29"/>
        <v>37000</v>
      </c>
      <c r="U136" t="str">
        <f t="shared" si="30"/>
        <v>OK</v>
      </c>
      <c r="V136" s="10">
        <f t="shared" si="31"/>
        <v>0</v>
      </c>
      <c r="W136" t="str">
        <f t="shared" si="32"/>
        <v>OK</v>
      </c>
      <c r="X136" s="3" t="s">
        <v>28</v>
      </c>
      <c r="Y136" t="s">
        <v>29</v>
      </c>
    </row>
    <row r="137" spans="1:25" x14ac:dyDescent="0.2">
      <c r="A137" t="str">
        <f t="shared" si="23"/>
        <v>TRIP-185</v>
      </c>
      <c r="B137" s="2">
        <v>45749</v>
      </c>
      <c r="C137" s="3" t="str">
        <f>_xlfn.XLOOKUP(D137,'[1]Jan Customer Duplicate Hyva'!$B:$B,'[1]Jan Customer Duplicate Hyva'!$A:$A,"NOT FOUND")</f>
        <v>CUST-280</v>
      </c>
      <c r="D137" s="11" t="s">
        <v>171</v>
      </c>
      <c r="E137" s="11" t="s">
        <v>26</v>
      </c>
      <c r="F137" s="5" t="str">
        <f t="shared" si="24"/>
        <v>Anshu</v>
      </c>
      <c r="G137" s="5" t="str">
        <f t="shared" si="25"/>
        <v/>
      </c>
      <c r="H137" s="5" t="str">
        <f t="shared" si="26"/>
        <v/>
      </c>
      <c r="I137" s="5" t="str">
        <f>_xlfn.XLOOKUP(F137,'[1]Jan Labour Nd Drivers Hyva'!$B:$B,'[2]Jan Labour Nd Drivers Hyva'!$A:$A,"NOT FOUND")</f>
        <v>LAB-002</v>
      </c>
      <c r="J137" s="5" t="str">
        <f>IF(G137="","",_xlfn.XLOOKUP(G137,'[3]Jan Labour Nd Drivers Hyva'!$B:$B,'[2]Jan Labour Nd Drivers Hyva'!$A:$A,"NOT FOUND"))</f>
        <v/>
      </c>
      <c r="K137" s="5" t="str">
        <f>IF(H137="","",_xlfn.XLOOKUP(H137,'[2]Jan Labour Nd Drivers Hyva'!$B:$B,'[2]Jan Labour Nd Drivers Hyva'!$A:$A,"NOT FOUND"))</f>
        <v/>
      </c>
      <c r="L137" s="11" t="s">
        <v>172</v>
      </c>
      <c r="M137" s="12">
        <v>1</v>
      </c>
      <c r="N137" s="13">
        <v>28000</v>
      </c>
      <c r="O137" s="8">
        <f t="shared" si="27"/>
        <v>28000</v>
      </c>
      <c r="P137" s="13">
        <v>28000</v>
      </c>
      <c r="Q137" s="7">
        <f t="shared" si="22"/>
        <v>0</v>
      </c>
      <c r="R137" t="str">
        <f t="shared" si="28"/>
        <v>PAID</v>
      </c>
      <c r="S137" s="3"/>
      <c r="T137" s="9">
        <f t="shared" si="29"/>
        <v>28000</v>
      </c>
      <c r="U137" t="str">
        <f t="shared" si="30"/>
        <v>OK</v>
      </c>
      <c r="V137" s="10">
        <f t="shared" si="31"/>
        <v>0</v>
      </c>
      <c r="W137" t="str">
        <f t="shared" si="32"/>
        <v>OK</v>
      </c>
      <c r="X137" s="3" t="s">
        <v>28</v>
      </c>
      <c r="Y137" t="s">
        <v>29</v>
      </c>
    </row>
    <row r="138" spans="1:25" x14ac:dyDescent="0.2">
      <c r="A138" t="str">
        <f t="shared" si="23"/>
        <v>TRIP-186</v>
      </c>
      <c r="B138" s="2">
        <v>45749</v>
      </c>
      <c r="C138" s="3" t="str">
        <f>_xlfn.XLOOKUP(D138,'[1]Jan Customer Duplicate Hyva'!$B:$B,'[1]Jan Customer Duplicate Hyva'!$A:$A,"NOT FOUND")</f>
        <v>CUST-172</v>
      </c>
      <c r="D138" s="3" t="s">
        <v>54</v>
      </c>
      <c r="E138" s="11" t="s">
        <v>26</v>
      </c>
      <c r="F138" s="5" t="str">
        <f t="shared" si="24"/>
        <v>Anshu</v>
      </c>
      <c r="G138" s="5" t="str">
        <f t="shared" si="25"/>
        <v/>
      </c>
      <c r="H138" s="5" t="str">
        <f t="shared" si="26"/>
        <v/>
      </c>
      <c r="I138" s="5" t="str">
        <f>_xlfn.XLOOKUP(F138,'[1]Jan Labour Nd Drivers Hyva'!$B:$B,'[2]Jan Labour Nd Drivers Hyva'!$A:$A,"NOT FOUND")</f>
        <v>LAB-002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11" t="s">
        <v>56</v>
      </c>
      <c r="M138" s="12">
        <v>1</v>
      </c>
      <c r="N138" s="13">
        <v>37000</v>
      </c>
      <c r="O138" s="8">
        <f t="shared" si="27"/>
        <v>37000</v>
      </c>
      <c r="P138" s="13">
        <v>37000</v>
      </c>
      <c r="Q138" s="7">
        <f t="shared" si="22"/>
        <v>0</v>
      </c>
      <c r="R138" t="str">
        <f t="shared" si="28"/>
        <v>PAID</v>
      </c>
      <c r="S138" s="3"/>
      <c r="T138" s="9">
        <f t="shared" si="29"/>
        <v>37000</v>
      </c>
      <c r="U138" t="str">
        <f t="shared" si="30"/>
        <v>OK</v>
      </c>
      <c r="V138" s="10">
        <f t="shared" si="31"/>
        <v>0</v>
      </c>
      <c r="W138" t="str">
        <f t="shared" si="32"/>
        <v>OK</v>
      </c>
      <c r="X138" s="3" t="s">
        <v>28</v>
      </c>
      <c r="Y138" t="s">
        <v>29</v>
      </c>
    </row>
    <row r="139" spans="1:25" x14ac:dyDescent="0.2">
      <c r="A139" t="str">
        <f t="shared" si="23"/>
        <v>TRIP-187</v>
      </c>
      <c r="B139" s="2">
        <v>45750</v>
      </c>
      <c r="C139" s="3" t="str">
        <f>_xlfn.XLOOKUP(D139,'[1]Jan Customer Duplicate Hyva'!$B:$B,'[1]Jan Customer Duplicate Hyva'!$A:$A,"NOT FOUND")</f>
        <v>CUST-392</v>
      </c>
      <c r="D139" s="11" t="s">
        <v>37</v>
      </c>
      <c r="E139" s="11" t="s">
        <v>173</v>
      </c>
      <c r="F139" s="5" t="str">
        <f t="shared" si="24"/>
        <v>Anshu</v>
      </c>
      <c r="G139" s="5" t="str">
        <f t="shared" si="25"/>
        <v>Gaju Bhau</v>
      </c>
      <c r="H139" s="5" t="str">
        <f t="shared" si="26"/>
        <v>Ravi</v>
      </c>
      <c r="I139" s="5" t="str">
        <f>_xlfn.XLOOKUP(F139,'[1]Jan Labour Nd Drivers Hyva'!$B:$B,'[2]Jan Labour Nd Drivers Hyva'!$A:$A,"NOT FOUND")</f>
        <v>LAB-002</v>
      </c>
      <c r="J139" s="5" t="str">
        <f>IF(G139="","",_xlfn.XLOOKUP(G139,'[3]Jan Labour Nd Drivers Hyva'!$B:$B,'[2]Jan Labour Nd Drivers Hyva'!$A:$A,"NOT FOUND"))</f>
        <v>LAB-001</v>
      </c>
      <c r="K139" s="5" t="str">
        <f>IF(H139="","",_xlfn.XLOOKUP(H139,'[2]Jan Labour Nd Drivers Hyva'!$B:$B,'[2]Jan Labour Nd Drivers Hyva'!$A:$A,"NOT FOUND"))</f>
        <v>LAB-003</v>
      </c>
      <c r="L139" s="11" t="s">
        <v>157</v>
      </c>
      <c r="M139" s="12">
        <v>4</v>
      </c>
      <c r="N139" s="13">
        <v>34000</v>
      </c>
      <c r="O139" s="8">
        <f t="shared" si="27"/>
        <v>136000</v>
      </c>
      <c r="P139" s="13">
        <v>136000</v>
      </c>
      <c r="Q139" s="7">
        <f t="shared" si="22"/>
        <v>0</v>
      </c>
      <c r="R139" t="str">
        <f t="shared" si="28"/>
        <v>PAID</v>
      </c>
      <c r="S139" s="3"/>
      <c r="T139" s="9">
        <f t="shared" si="29"/>
        <v>136000</v>
      </c>
      <c r="U139" t="str">
        <f t="shared" si="30"/>
        <v>OK</v>
      </c>
      <c r="V139" s="10">
        <f t="shared" si="31"/>
        <v>0</v>
      </c>
      <c r="W139" t="str">
        <f t="shared" si="32"/>
        <v>OK</v>
      </c>
      <c r="X139" s="3" t="s">
        <v>28</v>
      </c>
      <c r="Y139" t="s">
        <v>29</v>
      </c>
    </row>
    <row r="140" spans="1:25" x14ac:dyDescent="0.2">
      <c r="A140" t="str">
        <f t="shared" si="23"/>
        <v>TRIP-188</v>
      </c>
      <c r="B140" s="2">
        <v>45750</v>
      </c>
      <c r="C140" s="3" t="str">
        <f>_xlfn.XLOOKUP(D140,'[1]Jan Customer Duplicate Hyva'!$B:$B,'[1]Jan Customer Duplicate Hyva'!$A:$A,"NOT FOUND")</f>
        <v>CUST-121</v>
      </c>
      <c r="D140" s="11" t="s">
        <v>174</v>
      </c>
      <c r="E140" s="11" t="s">
        <v>30</v>
      </c>
      <c r="F140" s="5" t="str">
        <f t="shared" si="24"/>
        <v>Ravi</v>
      </c>
      <c r="G140" s="5" t="str">
        <f t="shared" si="25"/>
        <v/>
      </c>
      <c r="H140" s="5" t="str">
        <f t="shared" si="26"/>
        <v/>
      </c>
      <c r="I140" s="5" t="str">
        <f>_xlfn.XLOOKUP(F140,'[1]Jan Labour Nd Drivers Hyva'!$B:$B,'[2]Jan Labour Nd Drivers Hyva'!$A:$A,"NOT FOUND")</f>
        <v>LAB-003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11" t="s">
        <v>175</v>
      </c>
      <c r="M140" s="12">
        <v>1</v>
      </c>
      <c r="N140" s="13">
        <v>35000</v>
      </c>
      <c r="O140" s="8">
        <f t="shared" si="27"/>
        <v>35000</v>
      </c>
      <c r="P140" s="13">
        <v>35000</v>
      </c>
      <c r="Q140" s="7">
        <f t="shared" si="22"/>
        <v>0</v>
      </c>
      <c r="R140" t="str">
        <f t="shared" si="28"/>
        <v>PAID</v>
      </c>
      <c r="S140" s="3"/>
      <c r="T140" s="9">
        <f t="shared" si="29"/>
        <v>35000</v>
      </c>
      <c r="U140" t="str">
        <f t="shared" si="30"/>
        <v>OK</v>
      </c>
      <c r="V140" s="10">
        <f t="shared" si="31"/>
        <v>0</v>
      </c>
      <c r="W140" t="str">
        <f t="shared" si="32"/>
        <v>OK</v>
      </c>
      <c r="X140" s="3" t="s">
        <v>28</v>
      </c>
      <c r="Y140" t="s">
        <v>29</v>
      </c>
    </row>
    <row r="141" spans="1:25" x14ac:dyDescent="0.2">
      <c r="A141" t="str">
        <f t="shared" si="23"/>
        <v>TRIP-189</v>
      </c>
      <c r="B141" s="2">
        <v>45750</v>
      </c>
      <c r="C141" s="3" t="str">
        <f>_xlfn.XLOOKUP(D141,'[1]Jan Customer Duplicate Hyva'!$B:$B,'[1]Jan Customer Duplicate Hyva'!$A:$A,"NOT FOUND")</f>
        <v>CUST-172</v>
      </c>
      <c r="D141" s="3" t="s">
        <v>54</v>
      </c>
      <c r="E141" s="11" t="s">
        <v>26</v>
      </c>
      <c r="F141" s="5" t="str">
        <f t="shared" si="24"/>
        <v>Anshu</v>
      </c>
      <c r="G141" s="5" t="str">
        <f t="shared" si="25"/>
        <v/>
      </c>
      <c r="H141" s="5" t="str">
        <f t="shared" si="26"/>
        <v/>
      </c>
      <c r="I141" s="5" t="str">
        <f>_xlfn.XLOOKUP(F141,'[1]Jan Labour Nd Drivers Hyva'!$B:$B,'[2]Jan Labour Nd Drivers Hyva'!$A:$A,"NOT FOUND")</f>
        <v>LAB-002</v>
      </c>
      <c r="J141" s="5" t="str">
        <f>IF(G141="","",_xlfn.XLOOKUP(G141,'[3]Jan Labour Nd Drivers Hyva'!$B:$B,'[2]Jan Labour Nd Drivers Hyva'!$A:$A,"NOT FOUND"))</f>
        <v/>
      </c>
      <c r="K141" s="5" t="str">
        <f>IF(H141="","",_xlfn.XLOOKUP(H141,'[2]Jan Labour Nd Drivers Hyva'!$B:$B,'[2]Jan Labour Nd Drivers Hyva'!$A:$A,"NOT FOUND"))</f>
        <v/>
      </c>
      <c r="L141" s="11" t="s">
        <v>56</v>
      </c>
      <c r="M141" s="12">
        <v>1</v>
      </c>
      <c r="N141" s="13">
        <v>37000</v>
      </c>
      <c r="O141" s="8">
        <f t="shared" si="27"/>
        <v>37000</v>
      </c>
      <c r="P141" s="13">
        <v>37000</v>
      </c>
      <c r="Q141" s="7">
        <f t="shared" si="22"/>
        <v>0</v>
      </c>
      <c r="R141" t="str">
        <f t="shared" si="28"/>
        <v>PAID</v>
      </c>
      <c r="S141" s="3"/>
      <c r="T141" s="9">
        <f t="shared" si="29"/>
        <v>37000</v>
      </c>
      <c r="U141" t="str">
        <f t="shared" si="30"/>
        <v>OK</v>
      </c>
      <c r="V141" s="10">
        <f t="shared" si="31"/>
        <v>0</v>
      </c>
      <c r="W141" t="str">
        <f t="shared" si="32"/>
        <v>OK</v>
      </c>
      <c r="X141" s="3" t="s">
        <v>28</v>
      </c>
      <c r="Y141" t="s">
        <v>29</v>
      </c>
    </row>
    <row r="142" spans="1:25" x14ac:dyDescent="0.2">
      <c r="A142" t="str">
        <f t="shared" si="23"/>
        <v>TRIP-190</v>
      </c>
      <c r="B142" s="2">
        <v>45751</v>
      </c>
      <c r="C142" s="3" t="str">
        <f>_xlfn.XLOOKUP(D142,'[1]Jan Customer Duplicate Hyva'!$B:$B,'[1]Jan Customer Duplicate Hyva'!$A:$A,"NOT FOUND")</f>
        <v>CUST-382</v>
      </c>
      <c r="D142" s="11" t="s">
        <v>102</v>
      </c>
      <c r="E142" s="11" t="s">
        <v>26</v>
      </c>
      <c r="F142" s="5" t="str">
        <f t="shared" si="24"/>
        <v>Anshu</v>
      </c>
      <c r="G142" s="5" t="str">
        <f t="shared" si="25"/>
        <v/>
      </c>
      <c r="H142" s="5" t="str">
        <f t="shared" si="26"/>
        <v/>
      </c>
      <c r="I142" s="5" t="str">
        <f>_xlfn.XLOOKUP(F142,'[1]Jan Labour Nd Drivers Hyva'!$B:$B,'[2]Jan Labour Nd Drivers Hyva'!$A:$A,"NOT FOUND")</f>
        <v>LAB-002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11" t="s">
        <v>120</v>
      </c>
      <c r="M142" s="12">
        <v>1</v>
      </c>
      <c r="N142" s="13">
        <v>37000</v>
      </c>
      <c r="O142" s="8">
        <f t="shared" si="27"/>
        <v>37000</v>
      </c>
      <c r="P142" s="13">
        <v>37000</v>
      </c>
      <c r="Q142" s="7">
        <f t="shared" si="22"/>
        <v>0</v>
      </c>
      <c r="R142" t="str">
        <f t="shared" si="28"/>
        <v>PAID</v>
      </c>
      <c r="S142" s="3"/>
      <c r="T142" s="9">
        <f t="shared" si="29"/>
        <v>37000</v>
      </c>
      <c r="U142" t="str">
        <f t="shared" si="30"/>
        <v>OK</v>
      </c>
      <c r="V142" s="10">
        <f t="shared" si="31"/>
        <v>0</v>
      </c>
      <c r="W142" t="str">
        <f t="shared" si="32"/>
        <v>OK</v>
      </c>
      <c r="X142" s="3" t="s">
        <v>28</v>
      </c>
      <c r="Y142" t="s">
        <v>29</v>
      </c>
    </row>
    <row r="143" spans="1:25" x14ac:dyDescent="0.2">
      <c r="A143" t="str">
        <f t="shared" si="23"/>
        <v>TRIP-191</v>
      </c>
      <c r="B143" s="2">
        <v>45751</v>
      </c>
      <c r="C143" s="3" t="str">
        <f>_xlfn.XLOOKUP(D143,'[1]Jan Customer Duplicate Hyva'!$B:$B,'[1]Jan Customer Duplicate Hyva'!$A:$A,"NOT FOUND")</f>
        <v>CUST-045</v>
      </c>
      <c r="D143" s="11" t="s">
        <v>82</v>
      </c>
      <c r="E143" s="11" t="s">
        <v>26</v>
      </c>
      <c r="F143" s="5" t="str">
        <f t="shared" si="24"/>
        <v>Anshu</v>
      </c>
      <c r="G143" s="5" t="str">
        <f t="shared" si="25"/>
        <v/>
      </c>
      <c r="H143" s="5" t="str">
        <f t="shared" si="26"/>
        <v/>
      </c>
      <c r="I143" s="5" t="str">
        <f>_xlfn.XLOOKUP(F143,'[1]Jan Labour Nd Drivers Hyva'!$B:$B,'[2]Jan Labour Nd Drivers Hyva'!$A:$A,"NOT FOUND")</f>
        <v>LAB-002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11" t="s">
        <v>61</v>
      </c>
      <c r="M143" s="12">
        <v>1</v>
      </c>
      <c r="N143" s="13">
        <v>36000</v>
      </c>
      <c r="O143" s="8">
        <f t="shared" si="27"/>
        <v>36000</v>
      </c>
      <c r="P143" s="13">
        <v>36000</v>
      </c>
      <c r="Q143" s="7">
        <f t="shared" si="22"/>
        <v>0</v>
      </c>
      <c r="R143" t="str">
        <f t="shared" si="28"/>
        <v>PAID</v>
      </c>
      <c r="S143" s="3"/>
      <c r="T143" s="9">
        <f t="shared" si="29"/>
        <v>36000</v>
      </c>
      <c r="U143" t="str">
        <f t="shared" si="30"/>
        <v>OK</v>
      </c>
      <c r="V143" s="10">
        <f t="shared" si="31"/>
        <v>0</v>
      </c>
      <c r="W143" t="str">
        <f t="shared" si="32"/>
        <v>OK</v>
      </c>
      <c r="X143" s="3" t="s">
        <v>28</v>
      </c>
      <c r="Y143" t="s">
        <v>29</v>
      </c>
    </row>
    <row r="144" spans="1:25" x14ac:dyDescent="0.2">
      <c r="A144" t="str">
        <f t="shared" si="23"/>
        <v>TRIP-192</v>
      </c>
      <c r="B144" s="2">
        <v>45751</v>
      </c>
      <c r="C144" s="3" t="str">
        <f>_xlfn.XLOOKUP(D144,'[1]Jan Customer Duplicate Hyva'!$B:$B,'[1]Jan Customer Duplicate Hyva'!$A:$A,"NOT FOUND")</f>
        <v>CUST-075</v>
      </c>
      <c r="D144" s="11" t="s">
        <v>31</v>
      </c>
      <c r="E144" s="11" t="s">
        <v>26</v>
      </c>
      <c r="F144" s="5" t="str">
        <f t="shared" si="24"/>
        <v>Anshu</v>
      </c>
      <c r="G144" s="5" t="str">
        <f t="shared" si="25"/>
        <v/>
      </c>
      <c r="H144" s="5" t="str">
        <f t="shared" si="26"/>
        <v/>
      </c>
      <c r="I144" s="5" t="str">
        <f>_xlfn.XLOOKUP(F144,'[1]Jan Labour Nd Drivers Hyva'!$B:$B,'[2]Jan Labour Nd Drivers Hyva'!$A:$A,"NOT FOUND")</f>
        <v>LAB-002</v>
      </c>
      <c r="J144" s="5" t="str">
        <f>IF(G144="","",_xlfn.XLOOKUP(G144,'[3]Jan Labour Nd Drivers Hyva'!$B:$B,'[2]Jan Labour Nd Drivers Hyva'!$A:$A,"NOT FOUND"))</f>
        <v/>
      </c>
      <c r="K144" s="5" t="str">
        <f>IF(H144="","",_xlfn.XLOOKUP(H144,'[2]Jan Labour Nd Drivers Hyva'!$B:$B,'[2]Jan Labour Nd Drivers Hyva'!$A:$A,"NOT FOUND"))</f>
        <v/>
      </c>
      <c r="L144" s="11" t="s">
        <v>165</v>
      </c>
      <c r="M144" s="12">
        <v>1</v>
      </c>
      <c r="N144" s="13">
        <v>36000</v>
      </c>
      <c r="O144" s="8">
        <f t="shared" si="27"/>
        <v>36000</v>
      </c>
      <c r="P144" s="13">
        <v>36000</v>
      </c>
      <c r="Q144" s="7">
        <f t="shared" si="22"/>
        <v>0</v>
      </c>
      <c r="R144" t="str">
        <f t="shared" si="28"/>
        <v>PAID</v>
      </c>
      <c r="S144" s="3"/>
      <c r="T144" s="9">
        <f t="shared" si="29"/>
        <v>36000</v>
      </c>
      <c r="U144" t="str">
        <f t="shared" si="30"/>
        <v>OK</v>
      </c>
      <c r="V144" s="10">
        <f t="shared" si="31"/>
        <v>0</v>
      </c>
      <c r="W144" t="str">
        <f t="shared" si="32"/>
        <v>OK</v>
      </c>
      <c r="X144" s="3" t="s">
        <v>28</v>
      </c>
      <c r="Y144" t="s">
        <v>29</v>
      </c>
    </row>
    <row r="145" spans="1:25" x14ac:dyDescent="0.2">
      <c r="A145" t="str">
        <f t="shared" si="23"/>
        <v>TRIP-193</v>
      </c>
      <c r="B145" s="2">
        <v>45751</v>
      </c>
      <c r="C145" s="3" t="str">
        <f>_xlfn.XLOOKUP(D145,'[1]Jan Customer Duplicate Hyva'!$B:$B,'[1]Jan Customer Duplicate Hyva'!$A:$A,"NOT FOUND")</f>
        <v>CUST-045</v>
      </c>
      <c r="D145" s="11" t="s">
        <v>82</v>
      </c>
      <c r="E145" s="11" t="s">
        <v>55</v>
      </c>
      <c r="F145" s="5" t="str">
        <f t="shared" si="24"/>
        <v>Gaju Bhau</v>
      </c>
      <c r="G145" s="5" t="str">
        <f t="shared" si="25"/>
        <v/>
      </c>
      <c r="H145" s="5" t="str">
        <f t="shared" si="26"/>
        <v/>
      </c>
      <c r="I145" s="5" t="str">
        <f>_xlfn.XLOOKUP(F145,'[1]Jan Labour Nd Drivers Hyva'!$B:$B,'[2]Jan Labour Nd Drivers Hyva'!$A:$A,"NOT FOUND")</f>
        <v>LAB-001</v>
      </c>
      <c r="J145" s="5" t="str">
        <f>IF(G145="","",_xlfn.XLOOKUP(G145,'[3]Jan Labour Nd Drivers Hyva'!$B:$B,'[2]Jan Labour Nd Drivers Hyva'!$A:$A,"NOT FOUND"))</f>
        <v/>
      </c>
      <c r="K145" s="5" t="str">
        <f>IF(H145="","",_xlfn.XLOOKUP(H145,'[2]Jan Labour Nd Drivers Hyva'!$B:$B,'[2]Jan Labour Nd Drivers Hyva'!$A:$A,"NOT FOUND"))</f>
        <v/>
      </c>
      <c r="L145" s="11" t="s">
        <v>176</v>
      </c>
      <c r="M145" s="12">
        <v>1</v>
      </c>
      <c r="N145" s="13">
        <v>36000</v>
      </c>
      <c r="O145" s="8">
        <f t="shared" si="27"/>
        <v>36000</v>
      </c>
      <c r="P145" s="13">
        <v>36000</v>
      </c>
      <c r="Q145" s="7">
        <f t="shared" si="22"/>
        <v>0</v>
      </c>
      <c r="R145" t="str">
        <f t="shared" si="28"/>
        <v>PAID</v>
      </c>
      <c r="S145" s="3"/>
      <c r="T145" s="9">
        <f t="shared" si="29"/>
        <v>36000</v>
      </c>
      <c r="U145" t="str">
        <f t="shared" si="30"/>
        <v>OK</v>
      </c>
      <c r="V145" s="10">
        <f t="shared" si="31"/>
        <v>0</v>
      </c>
      <c r="W145" t="str">
        <f t="shared" si="32"/>
        <v>OK</v>
      </c>
      <c r="X145" s="3" t="s">
        <v>28</v>
      </c>
      <c r="Y145" t="s">
        <v>29</v>
      </c>
    </row>
    <row r="146" spans="1:25" x14ac:dyDescent="0.2">
      <c r="A146" t="str">
        <f t="shared" si="23"/>
        <v>TRIP-194</v>
      </c>
      <c r="B146" s="2">
        <v>45751</v>
      </c>
      <c r="C146" s="3" t="str">
        <f>_xlfn.XLOOKUP(D146,'[1]Jan Customer Duplicate Hyva'!$B:$B,'[1]Jan Customer Duplicate Hyva'!$A:$A,"NOT FOUND")</f>
        <v>CUST-037</v>
      </c>
      <c r="D146" s="11" t="s">
        <v>99</v>
      </c>
      <c r="E146" s="11" t="s">
        <v>55</v>
      </c>
      <c r="F146" s="5" t="str">
        <f t="shared" si="24"/>
        <v>Gaju Bhau</v>
      </c>
      <c r="G146" s="5" t="str">
        <f t="shared" si="25"/>
        <v/>
      </c>
      <c r="H146" s="5" t="str">
        <f t="shared" si="26"/>
        <v/>
      </c>
      <c r="I146" s="5" t="str">
        <f>_xlfn.XLOOKUP(F146,'[1]Jan Labour Nd Drivers Hyva'!$B:$B,'[2]Jan Labour Nd Drivers Hyva'!$A:$A,"NOT FOUND")</f>
        <v>LAB-001</v>
      </c>
      <c r="J146" s="5" t="str">
        <f>IF(G146="","",_xlfn.XLOOKUP(G146,'[3]Jan Labour Nd Drivers Hyva'!$B:$B,'[2]Jan Labour Nd Drivers Hyva'!$A:$A,"NOT FOUND"))</f>
        <v/>
      </c>
      <c r="K146" s="5" t="str">
        <f>IF(H146="","",_xlfn.XLOOKUP(H146,'[2]Jan Labour Nd Drivers Hyva'!$B:$B,'[2]Jan Labour Nd Drivers Hyva'!$A:$A,"NOT FOUND"))</f>
        <v/>
      </c>
      <c r="L146" s="11" t="s">
        <v>107</v>
      </c>
      <c r="M146" s="12">
        <v>1</v>
      </c>
      <c r="N146" s="13">
        <v>35000</v>
      </c>
      <c r="O146" s="8">
        <f t="shared" si="27"/>
        <v>35000</v>
      </c>
      <c r="P146" s="13"/>
      <c r="Q146" s="7">
        <f t="shared" si="22"/>
        <v>35000</v>
      </c>
      <c r="R146" t="str">
        <f t="shared" si="28"/>
        <v>UNPAID</v>
      </c>
      <c r="S146" s="3"/>
      <c r="T146" s="9">
        <f t="shared" si="29"/>
        <v>35000</v>
      </c>
      <c r="U146" t="str">
        <f t="shared" si="30"/>
        <v>OK</v>
      </c>
      <c r="V146" s="10">
        <f t="shared" si="31"/>
        <v>35000</v>
      </c>
      <c r="W146" t="str">
        <f t="shared" si="32"/>
        <v>OK</v>
      </c>
      <c r="X146" s="3" t="s">
        <v>28</v>
      </c>
      <c r="Y146" t="s">
        <v>29</v>
      </c>
    </row>
    <row r="147" spans="1:25" x14ac:dyDescent="0.2">
      <c r="A147" t="str">
        <f t="shared" si="23"/>
        <v>TRIP-195</v>
      </c>
      <c r="B147" s="2">
        <v>45751</v>
      </c>
      <c r="C147" s="3" t="str">
        <f>_xlfn.XLOOKUP(D147,'[1]Jan Customer Duplicate Hyva'!$B:$B,'[1]Jan Customer Duplicate Hyva'!$A:$A,"NOT FOUND")</f>
        <v>CUST-360</v>
      </c>
      <c r="D147" s="11" t="s">
        <v>177</v>
      </c>
      <c r="E147" s="11" t="s">
        <v>55</v>
      </c>
      <c r="F147" s="5" t="str">
        <f t="shared" si="24"/>
        <v>Gaju Bhau</v>
      </c>
      <c r="G147" s="5" t="str">
        <f t="shared" si="25"/>
        <v/>
      </c>
      <c r="H147" s="5" t="str">
        <f t="shared" si="26"/>
        <v/>
      </c>
      <c r="I147" s="5" t="str">
        <f>_xlfn.XLOOKUP(F147,'[1]Jan Labour Nd Drivers Hyva'!$B:$B,'[2]Jan Labour Nd Drivers Hyva'!$A:$A,"NOT FOUND")</f>
        <v>LAB-001</v>
      </c>
      <c r="J147" s="5" t="str">
        <f>IF(G147="","",_xlfn.XLOOKUP(G147,'[3]Jan Labour Nd Drivers Hyva'!$B:$B,'[2]Jan Labour Nd Drivers Hyva'!$A:$A,"NOT FOUND"))</f>
        <v/>
      </c>
      <c r="K147" s="5" t="str">
        <f>IF(H147="","",_xlfn.XLOOKUP(H147,'[2]Jan Labour Nd Drivers Hyva'!$B:$B,'[2]Jan Labour Nd Drivers Hyva'!$A:$A,"NOT FOUND"))</f>
        <v/>
      </c>
      <c r="L147" s="11" t="s">
        <v>178</v>
      </c>
      <c r="M147" s="12">
        <v>1</v>
      </c>
      <c r="N147" s="13">
        <v>35000</v>
      </c>
      <c r="O147" s="8">
        <f t="shared" si="27"/>
        <v>35000</v>
      </c>
      <c r="P147" s="13">
        <v>30000</v>
      </c>
      <c r="Q147" s="7">
        <f t="shared" si="22"/>
        <v>5000</v>
      </c>
      <c r="R147" t="str">
        <f t="shared" si="28"/>
        <v>PARTIAL</v>
      </c>
      <c r="S147" s="3"/>
      <c r="T147" s="9">
        <f t="shared" si="29"/>
        <v>35000</v>
      </c>
      <c r="U147" t="str">
        <f t="shared" si="30"/>
        <v>OK</v>
      </c>
      <c r="V147" s="10">
        <f t="shared" si="31"/>
        <v>5000</v>
      </c>
      <c r="W147" t="str">
        <f t="shared" si="32"/>
        <v>OK</v>
      </c>
      <c r="X147" s="3" t="s">
        <v>28</v>
      </c>
      <c r="Y147" t="s">
        <v>29</v>
      </c>
    </row>
    <row r="148" spans="1:25" x14ac:dyDescent="0.2">
      <c r="A148" t="str">
        <f t="shared" si="23"/>
        <v>TRIP-196</v>
      </c>
      <c r="B148" s="2">
        <v>45752</v>
      </c>
      <c r="C148" s="3" t="str">
        <f>_xlfn.XLOOKUP(D148,'[1]Jan Customer Duplicate Hyva'!$B:$B,'[1]Jan Customer Duplicate Hyva'!$A:$A,"NOT FOUND")</f>
        <v>CUST-022</v>
      </c>
      <c r="D148" s="11" t="s">
        <v>179</v>
      </c>
      <c r="E148" s="11" t="s">
        <v>26</v>
      </c>
      <c r="F148" s="5" t="str">
        <f t="shared" si="24"/>
        <v>Anshu</v>
      </c>
      <c r="G148" s="5" t="str">
        <f t="shared" si="25"/>
        <v/>
      </c>
      <c r="H148" s="5" t="str">
        <f t="shared" si="26"/>
        <v/>
      </c>
      <c r="I148" s="5" t="str">
        <f>_xlfn.XLOOKUP(F148,'[1]Jan Labour Nd Drivers Hyva'!$B:$B,'[2]Jan Labour Nd Drivers Hyva'!$A:$A,"NOT FOUND")</f>
        <v>LAB-002</v>
      </c>
      <c r="J148" s="5" t="str">
        <f>IF(G148="","",_xlfn.XLOOKUP(G148,'[3]Jan Labour Nd Drivers Hyva'!$B:$B,'[2]Jan Labour Nd Drivers Hyva'!$A:$A,"NOT FOUND"))</f>
        <v/>
      </c>
      <c r="K148" s="5" t="str">
        <f>IF(H148="","",_xlfn.XLOOKUP(H148,'[2]Jan Labour Nd Drivers Hyva'!$B:$B,'[2]Jan Labour Nd Drivers Hyva'!$A:$A,"NOT FOUND"))</f>
        <v/>
      </c>
      <c r="L148" s="11" t="s">
        <v>33</v>
      </c>
      <c r="M148" s="12">
        <v>1</v>
      </c>
      <c r="N148" s="13">
        <v>35000</v>
      </c>
      <c r="O148" s="8">
        <f t="shared" si="27"/>
        <v>35000</v>
      </c>
      <c r="P148" s="13">
        <v>35000</v>
      </c>
      <c r="Q148" s="7">
        <f t="shared" si="22"/>
        <v>0</v>
      </c>
      <c r="R148" t="str">
        <f t="shared" si="28"/>
        <v>PAID</v>
      </c>
      <c r="S148" s="3"/>
      <c r="T148" s="9">
        <f t="shared" si="29"/>
        <v>35000</v>
      </c>
      <c r="U148" t="str">
        <f t="shared" si="30"/>
        <v>OK</v>
      </c>
      <c r="V148" s="10">
        <f t="shared" si="31"/>
        <v>0</v>
      </c>
      <c r="W148" t="str">
        <f t="shared" si="32"/>
        <v>OK</v>
      </c>
      <c r="X148" s="3" t="s">
        <v>28</v>
      </c>
      <c r="Y148" t="s">
        <v>29</v>
      </c>
    </row>
    <row r="149" spans="1:25" x14ac:dyDescent="0.2">
      <c r="A149" t="str">
        <f t="shared" si="23"/>
        <v>TRIP-197</v>
      </c>
      <c r="B149" s="2">
        <v>45752</v>
      </c>
      <c r="C149" s="3" t="str">
        <f>_xlfn.XLOOKUP(D149,'[1]Jan Customer Duplicate Hyva'!$B:$B,'[1]Jan Customer Duplicate Hyva'!$A:$A,"NOT FOUND")</f>
        <v>CUST-321</v>
      </c>
      <c r="D149" s="11" t="s">
        <v>95</v>
      </c>
      <c r="E149" s="11" t="s">
        <v>26</v>
      </c>
      <c r="F149" s="5" t="str">
        <f t="shared" si="24"/>
        <v>Anshu</v>
      </c>
      <c r="G149" s="5" t="str">
        <f t="shared" si="25"/>
        <v/>
      </c>
      <c r="H149" s="5" t="str">
        <f t="shared" si="26"/>
        <v/>
      </c>
      <c r="I149" s="5" t="str">
        <f>_xlfn.XLOOKUP(F149,'[1]Jan Labour Nd Drivers Hyva'!$B:$B,'[2]Jan Labour Nd Drivers Hyva'!$A:$A,"NOT FOUND")</f>
        <v>LAB-002</v>
      </c>
      <c r="J149" s="5" t="str">
        <f>IF(G149="","",_xlfn.XLOOKUP(G149,'[3]Jan Labour Nd Drivers Hyva'!$B:$B,'[2]Jan Labour Nd Drivers Hyva'!$A:$A,"NOT FOUND"))</f>
        <v/>
      </c>
      <c r="K149" s="5" t="str">
        <f>IF(H149="","",_xlfn.XLOOKUP(H149,'[2]Jan Labour Nd Drivers Hyva'!$B:$B,'[2]Jan Labour Nd Drivers Hyva'!$A:$A,"NOT FOUND"))</f>
        <v/>
      </c>
      <c r="L149" s="11" t="s">
        <v>33</v>
      </c>
      <c r="M149" s="12">
        <v>1</v>
      </c>
      <c r="N149" s="13">
        <v>36000</v>
      </c>
      <c r="O149" s="8">
        <f t="shared" si="27"/>
        <v>36000</v>
      </c>
      <c r="P149" s="13">
        <v>36000</v>
      </c>
      <c r="Q149" s="7">
        <f t="shared" si="22"/>
        <v>0</v>
      </c>
      <c r="R149" t="str">
        <f t="shared" si="28"/>
        <v>PAID</v>
      </c>
      <c r="S149" s="3"/>
      <c r="T149" s="9">
        <f t="shared" si="29"/>
        <v>36000</v>
      </c>
      <c r="U149" t="str">
        <f t="shared" si="30"/>
        <v>OK</v>
      </c>
      <c r="V149" s="10">
        <f t="shared" si="31"/>
        <v>0</v>
      </c>
      <c r="W149" t="str">
        <f t="shared" si="32"/>
        <v>OK</v>
      </c>
      <c r="X149" s="3" t="s">
        <v>28</v>
      </c>
      <c r="Y149" t="s">
        <v>29</v>
      </c>
    </row>
    <row r="150" spans="1:25" x14ac:dyDescent="0.2">
      <c r="A150" t="str">
        <f t="shared" si="23"/>
        <v>TRIP-198</v>
      </c>
      <c r="B150" s="2">
        <v>45753</v>
      </c>
      <c r="C150" s="3" t="str">
        <f>_xlfn.XLOOKUP(D150,'[1]Jan Customer Duplicate Hyva'!$B:$B,'[1]Jan Customer Duplicate Hyva'!$A:$A,"NOT FOUND")</f>
        <v>CUST-172</v>
      </c>
      <c r="D150" s="3" t="s">
        <v>54</v>
      </c>
      <c r="E150" s="11" t="s">
        <v>55</v>
      </c>
      <c r="F150" s="5" t="str">
        <f t="shared" si="24"/>
        <v>Gaju Bhau</v>
      </c>
      <c r="G150" s="5" t="str">
        <f t="shared" si="25"/>
        <v/>
      </c>
      <c r="H150" s="5" t="str">
        <f t="shared" si="26"/>
        <v/>
      </c>
      <c r="I150" s="5" t="str">
        <f>_xlfn.XLOOKUP(F150,'[1]Jan Labour Nd Drivers Hyva'!$B:$B,'[2]Jan Labour Nd Drivers Hyva'!$A:$A,"NOT FOUND")</f>
        <v>LAB-001</v>
      </c>
      <c r="J150" s="5" t="str">
        <f>IF(G150="","",_xlfn.XLOOKUP(G150,'[3]Jan Labour Nd Drivers Hyva'!$B:$B,'[2]Jan Labour Nd Drivers Hyva'!$A:$A,"NOT FOUND"))</f>
        <v/>
      </c>
      <c r="K150" s="5" t="str">
        <f>IF(H150="","",_xlfn.XLOOKUP(H150,'[2]Jan Labour Nd Drivers Hyva'!$B:$B,'[2]Jan Labour Nd Drivers Hyva'!$A:$A,"NOT FOUND"))</f>
        <v/>
      </c>
      <c r="L150" s="11" t="s">
        <v>56</v>
      </c>
      <c r="M150" s="12">
        <v>1</v>
      </c>
      <c r="N150" s="13">
        <v>37000</v>
      </c>
      <c r="O150" s="8">
        <f t="shared" si="27"/>
        <v>37000</v>
      </c>
      <c r="P150" s="13">
        <v>37000</v>
      </c>
      <c r="Q150" s="7">
        <f t="shared" si="22"/>
        <v>0</v>
      </c>
      <c r="R150" t="str">
        <f t="shared" si="28"/>
        <v>PAID</v>
      </c>
      <c r="S150" s="3"/>
      <c r="T150" s="9">
        <f t="shared" si="29"/>
        <v>37000</v>
      </c>
      <c r="U150" t="str">
        <f t="shared" si="30"/>
        <v>OK</v>
      </c>
      <c r="V150" s="10">
        <f t="shared" si="31"/>
        <v>0</v>
      </c>
      <c r="W150" t="str">
        <f t="shared" si="32"/>
        <v>OK</v>
      </c>
      <c r="X150" s="3" t="s">
        <v>28</v>
      </c>
      <c r="Y150" t="s">
        <v>29</v>
      </c>
    </row>
    <row r="151" spans="1:25" x14ac:dyDescent="0.2">
      <c r="A151" t="str">
        <f t="shared" si="23"/>
        <v>TRIP-199</v>
      </c>
      <c r="B151" s="2">
        <v>45753</v>
      </c>
      <c r="C151" s="3" t="str">
        <f>_xlfn.XLOOKUP(D151,'[1]Jan Customer Duplicate Hyva'!$B:$B,'[1]Jan Customer Duplicate Hyva'!$A:$A,"NOT FOUND")</f>
        <v>CUST-170</v>
      </c>
      <c r="D151" s="11" t="s">
        <v>156</v>
      </c>
      <c r="E151" s="11" t="s">
        <v>74</v>
      </c>
      <c r="F151" s="5" t="str">
        <f t="shared" si="24"/>
        <v>Ravi</v>
      </c>
      <c r="G151" s="5" t="str">
        <f t="shared" si="25"/>
        <v>Gaju Bhau</v>
      </c>
      <c r="H151" s="5" t="str">
        <f t="shared" si="26"/>
        <v/>
      </c>
      <c r="I151" s="5" t="str">
        <f>_xlfn.XLOOKUP(F151,'[1]Jan Labour Nd Drivers Hyva'!$B:$B,'[2]Jan Labour Nd Drivers Hyva'!$A:$A,"NOT FOUND")</f>
        <v>LAB-003</v>
      </c>
      <c r="J151" s="5" t="str">
        <f>IF(G151="","",_xlfn.XLOOKUP(G151,'[3]Jan Labour Nd Drivers Hyva'!$B:$B,'[2]Jan Labour Nd Drivers Hyva'!$A:$A,"NOT FOUND"))</f>
        <v>LAB-001</v>
      </c>
      <c r="K151" s="5" t="str">
        <f>IF(H151="","",_xlfn.XLOOKUP(H151,'[2]Jan Labour Nd Drivers Hyva'!$B:$B,'[2]Jan Labour Nd Drivers Hyva'!$A:$A,"NOT FOUND"))</f>
        <v/>
      </c>
      <c r="L151" s="11" t="s">
        <v>114</v>
      </c>
      <c r="M151" s="12">
        <v>2</v>
      </c>
      <c r="N151" s="13">
        <v>35000</v>
      </c>
      <c r="O151" s="8">
        <f t="shared" si="27"/>
        <v>70000</v>
      </c>
      <c r="P151" s="13">
        <v>70000</v>
      </c>
      <c r="Q151" s="7">
        <f t="shared" si="22"/>
        <v>0</v>
      </c>
      <c r="R151" t="str">
        <f t="shared" si="28"/>
        <v>PAID</v>
      </c>
      <c r="S151" s="3"/>
      <c r="T151" s="9">
        <f t="shared" si="29"/>
        <v>70000</v>
      </c>
      <c r="U151" t="str">
        <f t="shared" si="30"/>
        <v>OK</v>
      </c>
      <c r="V151" s="10">
        <f t="shared" si="31"/>
        <v>0</v>
      </c>
      <c r="W151" t="str">
        <f t="shared" si="32"/>
        <v>OK</v>
      </c>
      <c r="X151" s="3" t="s">
        <v>28</v>
      </c>
      <c r="Y151" t="s">
        <v>29</v>
      </c>
    </row>
    <row r="152" spans="1:25" x14ac:dyDescent="0.2">
      <c r="A152" t="str">
        <f t="shared" si="23"/>
        <v>TRIP-200</v>
      </c>
      <c r="B152" s="2">
        <v>45753</v>
      </c>
      <c r="C152" s="3" t="str">
        <f>_xlfn.XLOOKUP(D152,'[1]Jan Customer Duplicate Hyva'!$B:$B,'[1]Jan Customer Duplicate Hyva'!$A:$A,"NOT FOUND")</f>
        <v>CUST-170</v>
      </c>
      <c r="D152" s="11" t="s">
        <v>156</v>
      </c>
      <c r="E152" s="11" t="s">
        <v>74</v>
      </c>
      <c r="F152" s="5" t="str">
        <f t="shared" si="24"/>
        <v>Ravi</v>
      </c>
      <c r="G152" s="5" t="str">
        <f t="shared" si="25"/>
        <v>Gaju Bhau</v>
      </c>
      <c r="H152" s="5" t="str">
        <f t="shared" si="26"/>
        <v/>
      </c>
      <c r="I152" s="5" t="str">
        <f>_xlfn.XLOOKUP(F152,'[1]Jan Labour Nd Drivers Hyva'!$B:$B,'[2]Jan Labour Nd Drivers Hyva'!$A:$A,"NOT FOUND")</f>
        <v>LAB-003</v>
      </c>
      <c r="J152" s="5" t="str">
        <f>IF(G152="","",_xlfn.XLOOKUP(G152,'[3]Jan Labour Nd Drivers Hyva'!$B:$B,'[2]Jan Labour Nd Drivers Hyva'!$A:$A,"NOT FOUND"))</f>
        <v>LAB-001</v>
      </c>
      <c r="K152" s="5" t="str">
        <f>IF(H152="","",_xlfn.XLOOKUP(H152,'[2]Jan Labour Nd Drivers Hyva'!$B:$B,'[2]Jan Labour Nd Drivers Hyva'!$A:$A,"NOT FOUND"))</f>
        <v/>
      </c>
      <c r="L152" s="11" t="s">
        <v>180</v>
      </c>
      <c r="M152" s="12">
        <v>2</v>
      </c>
      <c r="N152" s="13">
        <v>35000</v>
      </c>
      <c r="O152" s="8">
        <f t="shared" si="27"/>
        <v>70000</v>
      </c>
      <c r="P152" s="13">
        <v>70000</v>
      </c>
      <c r="Q152" s="7">
        <f t="shared" si="22"/>
        <v>0</v>
      </c>
      <c r="R152" t="str">
        <f t="shared" si="28"/>
        <v>PAID</v>
      </c>
      <c r="S152" s="3"/>
      <c r="T152" s="9">
        <f t="shared" si="29"/>
        <v>70000</v>
      </c>
      <c r="U152" t="str">
        <f t="shared" si="30"/>
        <v>OK</v>
      </c>
      <c r="V152" s="10">
        <f t="shared" si="31"/>
        <v>0</v>
      </c>
      <c r="W152" t="str">
        <f t="shared" si="32"/>
        <v>OK</v>
      </c>
      <c r="X152" s="3" t="s">
        <v>28</v>
      </c>
      <c r="Y152" t="s">
        <v>29</v>
      </c>
    </row>
    <row r="153" spans="1:25" x14ac:dyDescent="0.2">
      <c r="A153" t="str">
        <f t="shared" si="23"/>
        <v>TRIP-201</v>
      </c>
      <c r="B153" s="2">
        <v>45753</v>
      </c>
      <c r="C153" s="3" t="str">
        <f>_xlfn.XLOOKUP(D153,'[1]Jan Customer Duplicate Hyva'!$B:$B,'[1]Jan Customer Duplicate Hyva'!$A:$A,"NOT FOUND")</f>
        <v>CUST-323</v>
      </c>
      <c r="D153" s="3" t="s">
        <v>51</v>
      </c>
      <c r="E153" s="11" t="s">
        <v>30</v>
      </c>
      <c r="F153" s="5" t="str">
        <f t="shared" si="24"/>
        <v>Ravi</v>
      </c>
      <c r="G153" s="5" t="str">
        <f t="shared" si="25"/>
        <v/>
      </c>
      <c r="H153" s="5" t="str">
        <f t="shared" si="26"/>
        <v/>
      </c>
      <c r="I153" s="5" t="str">
        <f>_xlfn.XLOOKUP(F153,'[1]Jan Labour Nd Drivers Hyva'!$B:$B,'[2]Jan Labour Nd Drivers Hyva'!$A:$A,"NOT FOUND")</f>
        <v>LAB-003</v>
      </c>
      <c r="J153" s="5" t="str">
        <f>IF(G153="","",_xlfn.XLOOKUP(G153,'[3]Jan Labour Nd Drivers Hyva'!$B:$B,'[2]Jan Labour Nd Drivers Hyva'!$A:$A,"NOT FOUND"))</f>
        <v/>
      </c>
      <c r="K153" s="5" t="str">
        <f>IF(H153="","",_xlfn.XLOOKUP(H153,'[2]Jan Labour Nd Drivers Hyva'!$B:$B,'[2]Jan Labour Nd Drivers Hyva'!$A:$A,"NOT FOUND"))</f>
        <v/>
      </c>
      <c r="L153" s="11" t="s">
        <v>181</v>
      </c>
      <c r="M153" s="12">
        <v>1</v>
      </c>
      <c r="N153" s="13">
        <v>36000</v>
      </c>
      <c r="O153" s="8">
        <f t="shared" si="27"/>
        <v>36000</v>
      </c>
      <c r="P153" s="13">
        <v>36000</v>
      </c>
      <c r="Q153" s="7">
        <f t="shared" si="22"/>
        <v>0</v>
      </c>
      <c r="R153" t="str">
        <f t="shared" si="28"/>
        <v>PAID</v>
      </c>
      <c r="S153" s="3"/>
      <c r="T153" s="9">
        <f t="shared" si="29"/>
        <v>36000</v>
      </c>
      <c r="U153" t="str">
        <f t="shared" si="30"/>
        <v>OK</v>
      </c>
      <c r="V153" s="10">
        <f t="shared" si="31"/>
        <v>0</v>
      </c>
      <c r="W153" t="str">
        <f t="shared" si="32"/>
        <v>OK</v>
      </c>
      <c r="X153" s="3" t="s">
        <v>28</v>
      </c>
      <c r="Y153" t="s">
        <v>29</v>
      </c>
    </row>
    <row r="154" spans="1:25" x14ac:dyDescent="0.2">
      <c r="A154" t="str">
        <f t="shared" si="23"/>
        <v>TRIP-202</v>
      </c>
      <c r="B154" s="2">
        <v>45754</v>
      </c>
      <c r="C154" s="3" t="str">
        <f>_xlfn.XLOOKUP(D154,'[1]Jan Customer Duplicate Hyva'!$B:$B,'[1]Jan Customer Duplicate Hyva'!$A:$A,"NOT FOUND")</f>
        <v>CUST-382</v>
      </c>
      <c r="D154" s="11" t="s">
        <v>102</v>
      </c>
      <c r="E154" s="11" t="s">
        <v>26</v>
      </c>
      <c r="F154" s="5" t="str">
        <f t="shared" si="24"/>
        <v>Anshu</v>
      </c>
      <c r="G154" s="5" t="str">
        <f t="shared" si="25"/>
        <v/>
      </c>
      <c r="H154" s="5" t="str">
        <f t="shared" si="26"/>
        <v/>
      </c>
      <c r="I154" s="5" t="str">
        <f>_xlfn.XLOOKUP(F154,'[1]Jan Labour Nd Drivers Hyva'!$B:$B,'[2]Jan Labour Nd Drivers Hyva'!$A:$A,"NOT FOUND")</f>
        <v>LAB-002</v>
      </c>
      <c r="J154" s="5" t="str">
        <f>IF(G154="","",_xlfn.XLOOKUP(G154,'[3]Jan Labour Nd Drivers Hyva'!$B:$B,'[2]Jan Labour Nd Drivers Hyva'!$A:$A,"NOT FOUND"))</f>
        <v/>
      </c>
      <c r="K154" s="5" t="str">
        <f>IF(H154="","",_xlfn.XLOOKUP(H154,'[2]Jan Labour Nd Drivers Hyva'!$B:$B,'[2]Jan Labour Nd Drivers Hyva'!$A:$A,"NOT FOUND"))</f>
        <v/>
      </c>
      <c r="L154" s="11" t="s">
        <v>56</v>
      </c>
      <c r="M154" s="12">
        <v>1</v>
      </c>
      <c r="N154" s="13">
        <v>37000</v>
      </c>
      <c r="O154" s="8">
        <f t="shared" si="27"/>
        <v>37000</v>
      </c>
      <c r="P154" s="13">
        <v>37000</v>
      </c>
      <c r="Q154" s="7">
        <f t="shared" si="22"/>
        <v>0</v>
      </c>
      <c r="R154" t="str">
        <f t="shared" si="28"/>
        <v>PAID</v>
      </c>
      <c r="S154" s="3"/>
      <c r="T154" s="9">
        <f t="shared" si="29"/>
        <v>37000</v>
      </c>
      <c r="U154" t="str">
        <f t="shared" si="30"/>
        <v>OK</v>
      </c>
      <c r="V154" s="10">
        <f t="shared" si="31"/>
        <v>0</v>
      </c>
      <c r="W154" t="str">
        <f t="shared" si="32"/>
        <v>OK</v>
      </c>
      <c r="X154" s="3" t="s">
        <v>28</v>
      </c>
      <c r="Y154" t="s">
        <v>29</v>
      </c>
    </row>
    <row r="155" spans="1:25" x14ac:dyDescent="0.2">
      <c r="A155" t="str">
        <f t="shared" si="23"/>
        <v>TRIP-203</v>
      </c>
      <c r="B155" s="2">
        <v>45754</v>
      </c>
      <c r="C155" s="3" t="str">
        <f>_xlfn.XLOOKUP(D155,'[1]Jan Customer Duplicate Hyva'!$B:$B,'[1]Jan Customer Duplicate Hyva'!$A:$A,"NOT FOUND")</f>
        <v>CUST-294</v>
      </c>
      <c r="D155" s="11" t="s">
        <v>53</v>
      </c>
      <c r="E155" s="11" t="s">
        <v>30</v>
      </c>
      <c r="F155" s="5" t="str">
        <f t="shared" si="24"/>
        <v>Ravi</v>
      </c>
      <c r="G155" s="5" t="str">
        <f t="shared" si="25"/>
        <v/>
      </c>
      <c r="H155" s="5" t="str">
        <f t="shared" si="26"/>
        <v/>
      </c>
      <c r="I155" s="5" t="str">
        <f>_xlfn.XLOOKUP(F155,'[1]Jan Labour Nd Drivers Hyva'!$B:$B,'[2]Jan Labour Nd Drivers Hyva'!$A:$A,"NOT FOUND")</f>
        <v>LAB-003</v>
      </c>
      <c r="J155" s="5" t="str">
        <f>IF(G155="","",_xlfn.XLOOKUP(G155,'[3]Jan Labour Nd Drivers Hyva'!$B:$B,'[2]Jan Labour Nd Drivers Hyva'!$A:$A,"NOT FOUND"))</f>
        <v/>
      </c>
      <c r="K155" s="5" t="str">
        <f>IF(H155="","",_xlfn.XLOOKUP(H155,'[2]Jan Labour Nd Drivers Hyva'!$B:$B,'[2]Jan Labour Nd Drivers Hyva'!$A:$A,"NOT FOUND"))</f>
        <v/>
      </c>
      <c r="L155" s="11" t="s">
        <v>89</v>
      </c>
      <c r="M155" s="12">
        <v>1</v>
      </c>
      <c r="N155" s="13">
        <v>35000</v>
      </c>
      <c r="O155" s="8">
        <f t="shared" si="27"/>
        <v>35000</v>
      </c>
      <c r="P155" s="13">
        <v>35000</v>
      </c>
      <c r="Q155" s="7">
        <f t="shared" si="22"/>
        <v>0</v>
      </c>
      <c r="R155" t="str">
        <f t="shared" si="28"/>
        <v>PAID</v>
      </c>
      <c r="S155" s="3"/>
      <c r="T155" s="9">
        <f t="shared" si="29"/>
        <v>35000</v>
      </c>
      <c r="U155" t="str">
        <f t="shared" si="30"/>
        <v>OK</v>
      </c>
      <c r="V155" s="10">
        <f t="shared" si="31"/>
        <v>0</v>
      </c>
      <c r="W155" t="str">
        <f t="shared" si="32"/>
        <v>OK</v>
      </c>
      <c r="X155" s="3" t="s">
        <v>28</v>
      </c>
      <c r="Y155" t="s">
        <v>29</v>
      </c>
    </row>
    <row r="156" spans="1:25" x14ac:dyDescent="0.2">
      <c r="A156" t="str">
        <f t="shared" si="23"/>
        <v>TRIP-204</v>
      </c>
      <c r="B156" s="2">
        <v>45755</v>
      </c>
      <c r="C156" s="3" t="str">
        <f>_xlfn.XLOOKUP(D156,'[1]Jan Customer Duplicate Hyva'!$B:$B,'[1]Jan Customer Duplicate Hyva'!$A:$A,"NOT FOUND")</f>
        <v>CUST-323</v>
      </c>
      <c r="D156" s="3" t="s">
        <v>51</v>
      </c>
      <c r="E156" s="11" t="s">
        <v>26</v>
      </c>
      <c r="F156" s="5" t="str">
        <f t="shared" si="24"/>
        <v>Anshu</v>
      </c>
      <c r="G156" s="5" t="str">
        <f t="shared" si="25"/>
        <v/>
      </c>
      <c r="H156" s="5" t="str">
        <f t="shared" si="26"/>
        <v/>
      </c>
      <c r="I156" s="5" t="str">
        <f>_xlfn.XLOOKUP(F156,'[1]Jan Labour Nd Drivers Hyva'!$B:$B,'[2]Jan Labour Nd Drivers Hyva'!$A:$A,"NOT FOUND")</f>
        <v>LAB-002</v>
      </c>
      <c r="J156" s="5" t="str">
        <f>IF(G156="","",_xlfn.XLOOKUP(G156,'[3]Jan Labour Nd Drivers Hyva'!$B:$B,'[2]Jan Labour Nd Drivers Hyva'!$A:$A,"NOT FOUND"))</f>
        <v/>
      </c>
      <c r="K156" s="5" t="str">
        <f>IF(H156="","",_xlfn.XLOOKUP(H156,'[2]Jan Labour Nd Drivers Hyva'!$B:$B,'[2]Jan Labour Nd Drivers Hyva'!$A:$A,"NOT FOUND"))</f>
        <v/>
      </c>
      <c r="L156" s="11" t="s">
        <v>120</v>
      </c>
      <c r="M156" s="12">
        <v>1</v>
      </c>
      <c r="N156" s="13">
        <v>35000</v>
      </c>
      <c r="O156" s="8">
        <f t="shared" si="27"/>
        <v>35000</v>
      </c>
      <c r="P156" s="13">
        <v>35000</v>
      </c>
      <c r="Q156" s="7">
        <f t="shared" si="22"/>
        <v>0</v>
      </c>
      <c r="R156" t="str">
        <f t="shared" si="28"/>
        <v>PAID</v>
      </c>
      <c r="S156" s="3"/>
      <c r="T156" s="9">
        <f t="shared" si="29"/>
        <v>35000</v>
      </c>
      <c r="U156" t="str">
        <f t="shared" si="30"/>
        <v>OK</v>
      </c>
      <c r="V156" s="10">
        <f t="shared" si="31"/>
        <v>0</v>
      </c>
      <c r="W156" t="str">
        <f t="shared" si="32"/>
        <v>OK</v>
      </c>
      <c r="X156" s="3" t="s">
        <v>28</v>
      </c>
      <c r="Y156" t="s">
        <v>29</v>
      </c>
    </row>
    <row r="157" spans="1:25" x14ac:dyDescent="0.2">
      <c r="A157" t="str">
        <f t="shared" si="23"/>
        <v>TRIP-205</v>
      </c>
      <c r="B157" s="2">
        <v>45756</v>
      </c>
      <c r="C157" s="3" t="str">
        <f>_xlfn.XLOOKUP(D157,'[1]Jan Customer Duplicate Hyva'!$B:$B,'[1]Jan Customer Duplicate Hyva'!$A:$A,"NOT FOUND")</f>
        <v>CUST-323</v>
      </c>
      <c r="D157" s="3" t="s">
        <v>51</v>
      </c>
      <c r="E157" s="11" t="s">
        <v>26</v>
      </c>
      <c r="F157" s="5" t="str">
        <f t="shared" si="24"/>
        <v>Anshu</v>
      </c>
      <c r="G157" s="5" t="str">
        <f t="shared" si="25"/>
        <v/>
      </c>
      <c r="H157" s="5" t="str">
        <f t="shared" si="26"/>
        <v/>
      </c>
      <c r="I157" s="5" t="str">
        <f>_xlfn.XLOOKUP(F157,'[1]Jan Labour Nd Drivers Hyva'!$B:$B,'[2]Jan Labour Nd Drivers Hyva'!$A:$A,"NOT FOUND")</f>
        <v>LAB-002</v>
      </c>
      <c r="J157" s="5" t="str">
        <f>IF(G157="","",_xlfn.XLOOKUP(G157,'[3]Jan Labour Nd Drivers Hyva'!$B:$B,'[2]Jan Labour Nd Drivers Hyva'!$A:$A,"NOT FOUND"))</f>
        <v/>
      </c>
      <c r="K157" s="5" t="str">
        <f>IF(H157="","",_xlfn.XLOOKUP(H157,'[2]Jan Labour Nd Drivers Hyva'!$B:$B,'[2]Jan Labour Nd Drivers Hyva'!$A:$A,"NOT FOUND"))</f>
        <v/>
      </c>
      <c r="L157" s="11" t="s">
        <v>113</v>
      </c>
      <c r="M157" s="12">
        <v>1</v>
      </c>
      <c r="N157" s="13">
        <v>35000</v>
      </c>
      <c r="O157" s="8">
        <f t="shared" si="27"/>
        <v>35000</v>
      </c>
      <c r="P157" s="13">
        <v>35000</v>
      </c>
      <c r="Q157" s="7">
        <f t="shared" si="22"/>
        <v>0</v>
      </c>
      <c r="R157" t="str">
        <f t="shared" si="28"/>
        <v>PAID</v>
      </c>
      <c r="S157" s="3"/>
      <c r="T157" s="9">
        <f t="shared" si="29"/>
        <v>35000</v>
      </c>
      <c r="U157" t="str">
        <f t="shared" si="30"/>
        <v>OK</v>
      </c>
      <c r="V157" s="10">
        <f t="shared" si="31"/>
        <v>0</v>
      </c>
      <c r="W157" t="str">
        <f t="shared" si="32"/>
        <v>OK</v>
      </c>
      <c r="X157" s="3" t="s">
        <v>28</v>
      </c>
      <c r="Y157" t="s">
        <v>29</v>
      </c>
    </row>
    <row r="158" spans="1:25" x14ac:dyDescent="0.2">
      <c r="A158" t="str">
        <f t="shared" si="23"/>
        <v>TRIP-206</v>
      </c>
      <c r="B158" s="2">
        <v>45756</v>
      </c>
      <c r="C158" s="3" t="str">
        <f>_xlfn.XLOOKUP(D158,'[1]Jan Customer Duplicate Hyva'!$B:$B,'[1]Jan Customer Duplicate Hyva'!$A:$A,"NOT FOUND")</f>
        <v>CUST-380</v>
      </c>
      <c r="D158" s="11" t="s">
        <v>112</v>
      </c>
      <c r="E158" s="11" t="s">
        <v>26</v>
      </c>
      <c r="F158" s="5" t="str">
        <f t="shared" si="24"/>
        <v>Anshu</v>
      </c>
      <c r="G158" s="5" t="str">
        <f t="shared" si="25"/>
        <v/>
      </c>
      <c r="H158" s="5" t="str">
        <f t="shared" si="26"/>
        <v/>
      </c>
      <c r="I158" s="5" t="str">
        <f>_xlfn.XLOOKUP(F158,'[1]Jan Labour Nd Drivers Hyva'!$B:$B,'[2]Jan Labour Nd Drivers Hyva'!$A:$A,"NOT FOUND")</f>
        <v>LAB-002</v>
      </c>
      <c r="J158" s="5" t="str">
        <f>IF(G158="","",_xlfn.XLOOKUP(G158,'[3]Jan Labour Nd Drivers Hyva'!$B:$B,'[2]Jan Labour Nd Drivers Hyva'!$A:$A,"NOT FOUND"))</f>
        <v/>
      </c>
      <c r="K158" s="5" t="str">
        <f>IF(H158="","",_xlfn.XLOOKUP(H158,'[2]Jan Labour Nd Drivers Hyva'!$B:$B,'[2]Jan Labour Nd Drivers Hyva'!$A:$A,"NOT FOUND"))</f>
        <v/>
      </c>
      <c r="L158" s="11" t="s">
        <v>125</v>
      </c>
      <c r="M158" s="12">
        <v>1</v>
      </c>
      <c r="N158" s="13">
        <v>35000</v>
      </c>
      <c r="O158" s="8">
        <f t="shared" si="27"/>
        <v>35000</v>
      </c>
      <c r="P158" s="13">
        <v>35000</v>
      </c>
      <c r="Q158" s="7">
        <f t="shared" si="22"/>
        <v>0</v>
      </c>
      <c r="R158" t="str">
        <f t="shared" si="28"/>
        <v>PAID</v>
      </c>
      <c r="S158" s="3"/>
      <c r="T158" s="9">
        <f t="shared" si="29"/>
        <v>35000</v>
      </c>
      <c r="U158" t="str">
        <f t="shared" si="30"/>
        <v>OK</v>
      </c>
      <c r="V158" s="10">
        <f t="shared" si="31"/>
        <v>0</v>
      </c>
      <c r="W158" t="str">
        <f t="shared" si="32"/>
        <v>OK</v>
      </c>
      <c r="X158" s="3" t="s">
        <v>28</v>
      </c>
      <c r="Y158" t="s">
        <v>29</v>
      </c>
    </row>
    <row r="159" spans="1:25" x14ac:dyDescent="0.2">
      <c r="A159" t="str">
        <f t="shared" si="23"/>
        <v>TRIP-207</v>
      </c>
      <c r="B159" s="2">
        <v>45756</v>
      </c>
      <c r="C159" s="3" t="str">
        <f>_xlfn.XLOOKUP(D159,'[1]Jan Customer Duplicate Hyva'!$B:$B,'[1]Jan Customer Duplicate Hyva'!$A:$A,"NOT FOUND")</f>
        <v>CUST-360</v>
      </c>
      <c r="D159" s="11" t="s">
        <v>177</v>
      </c>
      <c r="E159" s="11" t="s">
        <v>111</v>
      </c>
      <c r="F159" s="5" t="str">
        <f t="shared" si="24"/>
        <v>Ravi</v>
      </c>
      <c r="G159" s="5" t="str">
        <f t="shared" si="25"/>
        <v>Anshu</v>
      </c>
      <c r="H159" s="5" t="str">
        <f t="shared" si="26"/>
        <v/>
      </c>
      <c r="I159" s="5" t="str">
        <f>_xlfn.XLOOKUP(F159,'[1]Jan Labour Nd Drivers Hyva'!$B:$B,'[2]Jan Labour Nd Drivers Hyva'!$A:$A,"NOT FOUND")</f>
        <v>LAB-003</v>
      </c>
      <c r="J159" s="5" t="str">
        <f>IF(G159="","",_xlfn.XLOOKUP(G159,'[3]Jan Labour Nd Drivers Hyva'!$B:$B,'[2]Jan Labour Nd Drivers Hyva'!$A:$A,"NOT FOUND"))</f>
        <v>LAB-002</v>
      </c>
      <c r="K159" s="5" t="str">
        <f>IF(H159="","",_xlfn.XLOOKUP(H159,'[2]Jan Labour Nd Drivers Hyva'!$B:$B,'[2]Jan Labour Nd Drivers Hyva'!$A:$A,"NOT FOUND"))</f>
        <v/>
      </c>
      <c r="L159" s="11" t="s">
        <v>182</v>
      </c>
      <c r="M159" s="12">
        <v>2</v>
      </c>
      <c r="N159" s="13">
        <v>35000</v>
      </c>
      <c r="O159" s="8">
        <f t="shared" si="27"/>
        <v>70000</v>
      </c>
      <c r="P159" s="13">
        <v>70000</v>
      </c>
      <c r="Q159" s="7">
        <f t="shared" si="22"/>
        <v>0</v>
      </c>
      <c r="R159" t="str">
        <f t="shared" si="28"/>
        <v>PAID</v>
      </c>
      <c r="S159" s="3"/>
      <c r="T159" s="9">
        <f t="shared" si="29"/>
        <v>70000</v>
      </c>
      <c r="U159" t="str">
        <f t="shared" si="30"/>
        <v>OK</v>
      </c>
      <c r="V159" s="10">
        <f t="shared" si="31"/>
        <v>0</v>
      </c>
      <c r="W159" t="str">
        <f t="shared" si="32"/>
        <v>OK</v>
      </c>
      <c r="X159" s="3" t="s">
        <v>28</v>
      </c>
      <c r="Y159" t="s">
        <v>29</v>
      </c>
    </row>
    <row r="160" spans="1:25" x14ac:dyDescent="0.2">
      <c r="A160" t="str">
        <f t="shared" si="23"/>
        <v>TRIP-208</v>
      </c>
      <c r="B160" s="2">
        <v>45756</v>
      </c>
      <c r="C160" s="3" t="str">
        <f>_xlfn.XLOOKUP(D160,'[1]Jan Customer Duplicate Hyva'!$B:$B,'[1]Jan Customer Duplicate Hyva'!$A:$A,"NOT FOUND")</f>
        <v>CUST-236</v>
      </c>
      <c r="D160" s="11" t="s">
        <v>58</v>
      </c>
      <c r="E160" s="11" t="s">
        <v>30</v>
      </c>
      <c r="F160" s="5" t="str">
        <f t="shared" si="24"/>
        <v>Ravi</v>
      </c>
      <c r="G160" s="5" t="str">
        <f t="shared" si="25"/>
        <v/>
      </c>
      <c r="H160" s="5" t="str">
        <f t="shared" si="26"/>
        <v/>
      </c>
      <c r="I160" s="5" t="str">
        <f>_xlfn.XLOOKUP(F160,'[1]Jan Labour Nd Drivers Hyva'!$B:$B,'[2]Jan Labour Nd Drivers Hyva'!$A:$A,"NOT FOUND")</f>
        <v>LAB-003</v>
      </c>
      <c r="J160" s="5" t="str">
        <f>IF(G160="","",_xlfn.XLOOKUP(G160,'[3]Jan Labour Nd Drivers Hyva'!$B:$B,'[2]Jan Labour Nd Drivers Hyva'!$A:$A,"NOT FOUND"))</f>
        <v/>
      </c>
      <c r="K160" s="5" t="str">
        <f>IF(H160="","",_xlfn.XLOOKUP(H160,'[2]Jan Labour Nd Drivers Hyva'!$B:$B,'[2]Jan Labour Nd Drivers Hyva'!$A:$A,"NOT FOUND"))</f>
        <v/>
      </c>
      <c r="L160" s="11" t="s">
        <v>120</v>
      </c>
      <c r="M160" s="12">
        <v>1</v>
      </c>
      <c r="N160" s="13">
        <v>35000</v>
      </c>
      <c r="O160" s="8">
        <f t="shared" si="27"/>
        <v>35000</v>
      </c>
      <c r="P160" s="13">
        <v>35000</v>
      </c>
      <c r="Q160" s="7">
        <f t="shared" si="22"/>
        <v>0</v>
      </c>
      <c r="R160" t="str">
        <f t="shared" si="28"/>
        <v>PAID</v>
      </c>
      <c r="S160" s="3"/>
      <c r="T160" s="9">
        <f t="shared" si="29"/>
        <v>35000</v>
      </c>
      <c r="U160" t="str">
        <f t="shared" si="30"/>
        <v>OK</v>
      </c>
      <c r="V160" s="10">
        <f t="shared" si="31"/>
        <v>0</v>
      </c>
      <c r="W160" t="str">
        <f t="shared" si="32"/>
        <v>OK</v>
      </c>
      <c r="X160" s="3" t="s">
        <v>28</v>
      </c>
      <c r="Y160" t="s">
        <v>29</v>
      </c>
    </row>
    <row r="161" spans="1:25" x14ac:dyDescent="0.2">
      <c r="A161" t="str">
        <f t="shared" si="23"/>
        <v>TRIP-209</v>
      </c>
      <c r="B161" s="2">
        <v>45757</v>
      </c>
      <c r="C161" s="3" t="str">
        <f>_xlfn.XLOOKUP(D161,'[1]Jan Customer Duplicate Hyva'!$B:$B,'[1]Jan Customer Duplicate Hyva'!$A:$A,"NOT FOUND")</f>
        <v>CUST-117</v>
      </c>
      <c r="D161" s="11" t="s">
        <v>73</v>
      </c>
      <c r="E161" s="11" t="s">
        <v>55</v>
      </c>
      <c r="F161" s="5" t="str">
        <f t="shared" si="24"/>
        <v>Gaju Bhau</v>
      </c>
      <c r="G161" s="5" t="str">
        <f t="shared" si="25"/>
        <v/>
      </c>
      <c r="H161" s="5" t="str">
        <f t="shared" si="26"/>
        <v/>
      </c>
      <c r="I161" s="5" t="str">
        <f>_xlfn.XLOOKUP(F161,'[1]Jan Labour Nd Drivers Hyva'!$B:$B,'[2]Jan Labour Nd Drivers Hyva'!$A:$A,"NOT FOUND")</f>
        <v>LAB-001</v>
      </c>
      <c r="J161" s="5" t="str">
        <f>IF(G161="","",_xlfn.XLOOKUP(G161,'[3]Jan Labour Nd Drivers Hyva'!$B:$B,'[2]Jan Labour Nd Drivers Hyva'!$A:$A,"NOT FOUND"))</f>
        <v/>
      </c>
      <c r="K161" s="5" t="str">
        <f>IF(H161="","",_xlfn.XLOOKUP(H161,'[2]Jan Labour Nd Drivers Hyva'!$B:$B,'[2]Jan Labour Nd Drivers Hyva'!$A:$A,"NOT FOUND"))</f>
        <v/>
      </c>
      <c r="L161" s="11" t="s">
        <v>183</v>
      </c>
      <c r="M161" s="12">
        <v>1</v>
      </c>
      <c r="N161" s="13">
        <v>38000</v>
      </c>
      <c r="O161" s="8">
        <f t="shared" si="27"/>
        <v>38000</v>
      </c>
      <c r="P161" s="13">
        <v>38000</v>
      </c>
      <c r="Q161" s="7">
        <f t="shared" si="22"/>
        <v>0</v>
      </c>
      <c r="R161" t="str">
        <f t="shared" si="28"/>
        <v>PAID</v>
      </c>
      <c r="S161" s="3"/>
      <c r="T161" s="9">
        <f t="shared" si="29"/>
        <v>38000</v>
      </c>
      <c r="U161" t="str">
        <f t="shared" si="30"/>
        <v>OK</v>
      </c>
      <c r="V161" s="10">
        <f t="shared" si="31"/>
        <v>0</v>
      </c>
      <c r="W161" t="str">
        <f t="shared" si="32"/>
        <v>OK</v>
      </c>
      <c r="X161" s="3" t="s">
        <v>28</v>
      </c>
      <c r="Y161" t="s">
        <v>29</v>
      </c>
    </row>
    <row r="162" spans="1:25" x14ac:dyDescent="0.2">
      <c r="A162" t="str">
        <f t="shared" si="23"/>
        <v>TRIP-210</v>
      </c>
      <c r="B162" s="2">
        <v>45757</v>
      </c>
      <c r="C162" s="3" t="str">
        <f>_xlfn.XLOOKUP(D162,'[1]Jan Customer Duplicate Hyva'!$B:$B,'[1]Jan Customer Duplicate Hyva'!$A:$A,"NOT FOUND")</f>
        <v>CUST-236</v>
      </c>
      <c r="D162" s="11" t="s">
        <v>58</v>
      </c>
      <c r="E162" s="11" t="s">
        <v>26</v>
      </c>
      <c r="F162" s="5" t="str">
        <f t="shared" si="24"/>
        <v>Anshu</v>
      </c>
      <c r="G162" s="5" t="str">
        <f t="shared" si="25"/>
        <v/>
      </c>
      <c r="H162" s="5" t="str">
        <f t="shared" si="26"/>
        <v/>
      </c>
      <c r="I162" s="5" t="str">
        <f>_xlfn.XLOOKUP(F162,'[1]Jan Labour Nd Drivers Hyva'!$B:$B,'[2]Jan Labour Nd Drivers Hyva'!$A:$A,"NOT FOUND")</f>
        <v>LAB-002</v>
      </c>
      <c r="J162" s="5" t="str">
        <f>IF(G162="","",_xlfn.XLOOKUP(G162,'[3]Jan Labour Nd Drivers Hyva'!$B:$B,'[2]Jan Labour Nd Drivers Hyva'!$A:$A,"NOT FOUND"))</f>
        <v/>
      </c>
      <c r="K162" s="5" t="str">
        <f>IF(H162="","",_xlfn.XLOOKUP(H162,'[2]Jan Labour Nd Drivers Hyva'!$B:$B,'[2]Jan Labour Nd Drivers Hyva'!$A:$A,"NOT FOUND"))</f>
        <v/>
      </c>
      <c r="L162" s="11" t="s">
        <v>184</v>
      </c>
      <c r="M162" s="12">
        <v>1</v>
      </c>
      <c r="N162" s="13">
        <v>36000</v>
      </c>
      <c r="O162" s="8">
        <f t="shared" si="27"/>
        <v>36000</v>
      </c>
      <c r="P162" s="13">
        <v>36000</v>
      </c>
      <c r="Q162" s="7">
        <f t="shared" ref="Q162:Q225" si="33">O162-P162</f>
        <v>0</v>
      </c>
      <c r="R162" t="str">
        <f t="shared" si="28"/>
        <v>PAID</v>
      </c>
      <c r="S162" s="3"/>
      <c r="T162" s="9">
        <f t="shared" si="29"/>
        <v>36000</v>
      </c>
      <c r="U162" t="str">
        <f t="shared" si="30"/>
        <v>OK</v>
      </c>
      <c r="V162" s="10">
        <f t="shared" si="31"/>
        <v>0</v>
      </c>
      <c r="W162" t="str">
        <f t="shared" si="32"/>
        <v>OK</v>
      </c>
      <c r="X162" s="3" t="s">
        <v>28</v>
      </c>
      <c r="Y162" t="s">
        <v>29</v>
      </c>
    </row>
    <row r="163" spans="1:25" x14ac:dyDescent="0.2">
      <c r="A163" t="str">
        <f t="shared" si="23"/>
        <v>TRIP-211</v>
      </c>
      <c r="B163" s="2">
        <v>45758</v>
      </c>
      <c r="C163" s="3" t="str">
        <f>_xlfn.XLOOKUP(D163,'[1]Jan Customer Duplicate Hyva'!$B:$B,'[1]Jan Customer Duplicate Hyva'!$A:$A,"NOT FOUND")</f>
        <v>CUST-011</v>
      </c>
      <c r="D163" s="11" t="s">
        <v>35</v>
      </c>
      <c r="E163" s="11" t="s">
        <v>30</v>
      </c>
      <c r="F163" s="5" t="str">
        <f t="shared" si="24"/>
        <v>Ravi</v>
      </c>
      <c r="G163" s="5" t="str">
        <f t="shared" si="25"/>
        <v/>
      </c>
      <c r="H163" s="5" t="str">
        <f t="shared" si="26"/>
        <v/>
      </c>
      <c r="I163" s="5" t="str">
        <f>_xlfn.XLOOKUP(F163,'[1]Jan Labour Nd Drivers Hyva'!$B:$B,'[2]Jan Labour Nd Drivers Hyva'!$A:$A,"NOT FOUND")</f>
        <v>LAB-003</v>
      </c>
      <c r="J163" s="5" t="str">
        <f>IF(G163="","",_xlfn.XLOOKUP(G163,'[3]Jan Labour Nd Drivers Hyva'!$B:$B,'[2]Jan Labour Nd Drivers Hyva'!$A:$A,"NOT FOUND"))</f>
        <v/>
      </c>
      <c r="K163" s="5" t="str">
        <f>IF(H163="","",_xlfn.XLOOKUP(H163,'[2]Jan Labour Nd Drivers Hyva'!$B:$B,'[2]Jan Labour Nd Drivers Hyva'!$A:$A,"NOT FOUND"))</f>
        <v/>
      </c>
      <c r="L163" s="11" t="s">
        <v>157</v>
      </c>
      <c r="M163" s="12">
        <v>1</v>
      </c>
      <c r="N163" s="13">
        <v>38000</v>
      </c>
      <c r="O163" s="8">
        <f t="shared" si="27"/>
        <v>38000</v>
      </c>
      <c r="P163" s="13">
        <v>38000</v>
      </c>
      <c r="Q163" s="7">
        <f t="shared" si="33"/>
        <v>0</v>
      </c>
      <c r="R163" t="str">
        <f t="shared" si="28"/>
        <v>PAID</v>
      </c>
      <c r="S163" s="3"/>
      <c r="T163" s="9">
        <f t="shared" si="29"/>
        <v>38000</v>
      </c>
      <c r="U163" t="str">
        <f t="shared" si="30"/>
        <v>OK</v>
      </c>
      <c r="V163" s="10">
        <f t="shared" si="31"/>
        <v>0</v>
      </c>
      <c r="W163" t="str">
        <f t="shared" si="32"/>
        <v>OK</v>
      </c>
      <c r="X163" s="3" t="s">
        <v>28</v>
      </c>
      <c r="Y163" t="s">
        <v>29</v>
      </c>
    </row>
    <row r="164" spans="1:25" x14ac:dyDescent="0.2">
      <c r="A164" t="str">
        <f t="shared" si="23"/>
        <v>TRIP-212</v>
      </c>
      <c r="B164" s="2">
        <v>45758</v>
      </c>
      <c r="C164" s="3" t="str">
        <f>_xlfn.XLOOKUP(D164,'[1]Jan Customer Duplicate Hyva'!$B:$B,'[1]Jan Customer Duplicate Hyva'!$A:$A,"NOT FOUND")</f>
        <v>CUST-172</v>
      </c>
      <c r="D164" s="3" t="s">
        <v>54</v>
      </c>
      <c r="E164" s="11" t="s">
        <v>30</v>
      </c>
      <c r="F164" s="5" t="str">
        <f t="shared" si="24"/>
        <v>Ravi</v>
      </c>
      <c r="G164" s="5" t="str">
        <f t="shared" si="25"/>
        <v/>
      </c>
      <c r="H164" s="5" t="str">
        <f t="shared" si="26"/>
        <v/>
      </c>
      <c r="I164" s="5" t="str">
        <f>_xlfn.XLOOKUP(F164,'[1]Jan Labour Nd Drivers Hyva'!$B:$B,'[2]Jan Labour Nd Drivers Hyva'!$A:$A,"NOT FOUND")</f>
        <v>LAB-003</v>
      </c>
      <c r="J164" s="5" t="str">
        <f>IF(G164="","",_xlfn.XLOOKUP(G164,'[3]Jan Labour Nd Drivers Hyva'!$B:$B,'[2]Jan Labour Nd Drivers Hyva'!$A:$A,"NOT FOUND"))</f>
        <v/>
      </c>
      <c r="K164" s="5" t="str">
        <f>IF(H164="","",_xlfn.XLOOKUP(H164,'[2]Jan Labour Nd Drivers Hyva'!$B:$B,'[2]Jan Labour Nd Drivers Hyva'!$A:$A,"NOT FOUND"))</f>
        <v/>
      </c>
      <c r="L164" s="11" t="s">
        <v>185</v>
      </c>
      <c r="M164" s="12">
        <v>1</v>
      </c>
      <c r="N164" s="13">
        <v>36000</v>
      </c>
      <c r="O164" s="8">
        <f t="shared" si="27"/>
        <v>36000</v>
      </c>
      <c r="P164" s="13">
        <v>36000</v>
      </c>
      <c r="Q164" s="7">
        <f t="shared" si="33"/>
        <v>0</v>
      </c>
      <c r="R164" t="str">
        <f t="shared" si="28"/>
        <v>PAID</v>
      </c>
      <c r="S164" s="3"/>
      <c r="T164" s="9">
        <f t="shared" si="29"/>
        <v>36000</v>
      </c>
      <c r="U164" t="str">
        <f t="shared" si="30"/>
        <v>OK</v>
      </c>
      <c r="V164" s="10">
        <f t="shared" si="31"/>
        <v>0</v>
      </c>
      <c r="W164" t="str">
        <f t="shared" si="32"/>
        <v>OK</v>
      </c>
      <c r="X164" s="3" t="s">
        <v>28</v>
      </c>
      <c r="Y164" t="s">
        <v>29</v>
      </c>
    </row>
    <row r="165" spans="1:25" x14ac:dyDescent="0.2">
      <c r="A165" t="str">
        <f t="shared" si="23"/>
        <v>TRIP-213</v>
      </c>
      <c r="B165" s="2">
        <v>45758</v>
      </c>
      <c r="C165" s="3" t="str">
        <f>_xlfn.XLOOKUP(D165,'[1]Jan Customer Duplicate Hyva'!$B:$B,'[1]Jan Customer Duplicate Hyva'!$A:$A,"NOT FOUND")</f>
        <v>CUST-011</v>
      </c>
      <c r="D165" s="11" t="s">
        <v>35</v>
      </c>
      <c r="E165" s="11" t="s">
        <v>111</v>
      </c>
      <c r="F165" s="5" t="str">
        <f t="shared" si="24"/>
        <v>Ravi</v>
      </c>
      <c r="G165" s="5" t="str">
        <f t="shared" si="25"/>
        <v>Anshu</v>
      </c>
      <c r="H165" s="5" t="str">
        <f t="shared" si="26"/>
        <v/>
      </c>
      <c r="I165" s="5" t="str">
        <f>_xlfn.XLOOKUP(F165,'[1]Jan Labour Nd Drivers Hyva'!$B:$B,'[2]Jan Labour Nd Drivers Hyva'!$A:$A,"NOT FOUND")</f>
        <v>LAB-003</v>
      </c>
      <c r="J165" s="5" t="str">
        <f>IF(G165="","",_xlfn.XLOOKUP(G165,'[3]Jan Labour Nd Drivers Hyva'!$B:$B,'[2]Jan Labour Nd Drivers Hyva'!$A:$A,"NOT FOUND"))</f>
        <v>LAB-002</v>
      </c>
      <c r="K165" s="5" t="str">
        <f>IF(H165="","",_xlfn.XLOOKUP(H165,'[2]Jan Labour Nd Drivers Hyva'!$B:$B,'[2]Jan Labour Nd Drivers Hyva'!$A:$A,"NOT FOUND"))</f>
        <v/>
      </c>
      <c r="L165" s="11" t="s">
        <v>186</v>
      </c>
      <c r="M165" s="12">
        <v>2</v>
      </c>
      <c r="N165" s="13">
        <v>37000</v>
      </c>
      <c r="O165" s="8">
        <f t="shared" si="27"/>
        <v>74000</v>
      </c>
      <c r="P165" s="13">
        <v>74000</v>
      </c>
      <c r="Q165" s="7">
        <f t="shared" si="33"/>
        <v>0</v>
      </c>
      <c r="R165" t="str">
        <f t="shared" si="28"/>
        <v>PAID</v>
      </c>
      <c r="S165" s="3"/>
      <c r="T165" s="9">
        <f t="shared" si="29"/>
        <v>74000</v>
      </c>
      <c r="U165" t="str">
        <f t="shared" si="30"/>
        <v>OK</v>
      </c>
      <c r="V165" s="10">
        <f t="shared" si="31"/>
        <v>0</v>
      </c>
      <c r="W165" t="str">
        <f t="shared" si="32"/>
        <v>OK</v>
      </c>
      <c r="X165" s="3" t="s">
        <v>28</v>
      </c>
      <c r="Y165" t="s">
        <v>29</v>
      </c>
    </row>
    <row r="166" spans="1:25" x14ac:dyDescent="0.2">
      <c r="A166" t="str">
        <f t="shared" si="23"/>
        <v>TRIP-214</v>
      </c>
      <c r="B166" s="2">
        <v>45758</v>
      </c>
      <c r="C166" s="3" t="str">
        <f>_xlfn.XLOOKUP(D166,'[1]Jan Customer Duplicate Hyva'!$B:$B,'[1]Jan Customer Duplicate Hyva'!$A:$A,"NOT FOUND")</f>
        <v>CUST-236</v>
      </c>
      <c r="D166" s="11" t="s">
        <v>58</v>
      </c>
      <c r="E166" s="11" t="s">
        <v>30</v>
      </c>
      <c r="F166" s="5" t="str">
        <f t="shared" si="24"/>
        <v>Ravi</v>
      </c>
      <c r="G166" s="5" t="str">
        <f t="shared" si="25"/>
        <v/>
      </c>
      <c r="H166" s="5" t="str">
        <f t="shared" si="26"/>
        <v/>
      </c>
      <c r="I166" s="5" t="str">
        <f>_xlfn.XLOOKUP(F166,'[1]Jan Labour Nd Drivers Hyva'!$B:$B,'[2]Jan Labour Nd Drivers Hyva'!$A:$A,"NOT FOUND")</f>
        <v>LAB-003</v>
      </c>
      <c r="J166" s="5" t="str">
        <f>IF(G166="","",_xlfn.XLOOKUP(G166,'[3]Jan Labour Nd Drivers Hyva'!$B:$B,'[2]Jan Labour Nd Drivers Hyva'!$A:$A,"NOT FOUND"))</f>
        <v/>
      </c>
      <c r="K166" s="5" t="str">
        <f>IF(H166="","",_xlfn.XLOOKUP(H166,'[2]Jan Labour Nd Drivers Hyva'!$B:$B,'[2]Jan Labour Nd Drivers Hyva'!$A:$A,"NOT FOUND"))</f>
        <v/>
      </c>
      <c r="L166" s="11" t="s">
        <v>120</v>
      </c>
      <c r="M166" s="12">
        <v>1</v>
      </c>
      <c r="N166" s="13">
        <v>36000</v>
      </c>
      <c r="O166" s="8">
        <f t="shared" si="27"/>
        <v>36000</v>
      </c>
      <c r="P166" s="13">
        <v>36000</v>
      </c>
      <c r="Q166" s="7">
        <f t="shared" si="33"/>
        <v>0</v>
      </c>
      <c r="R166" t="str">
        <f t="shared" si="28"/>
        <v>PAID</v>
      </c>
      <c r="S166" s="3"/>
      <c r="T166" s="9">
        <f t="shared" si="29"/>
        <v>36000</v>
      </c>
      <c r="U166" t="str">
        <f t="shared" si="30"/>
        <v>OK</v>
      </c>
      <c r="V166" s="10">
        <f t="shared" si="31"/>
        <v>0</v>
      </c>
      <c r="W166" t="str">
        <f t="shared" si="32"/>
        <v>OK</v>
      </c>
      <c r="X166" s="3" t="s">
        <v>28</v>
      </c>
      <c r="Y166" t="s">
        <v>29</v>
      </c>
    </row>
    <row r="167" spans="1:25" x14ac:dyDescent="0.2">
      <c r="A167" t="str">
        <f t="shared" si="23"/>
        <v>TRIP-215</v>
      </c>
      <c r="B167" s="2">
        <v>45758</v>
      </c>
      <c r="C167" s="3" t="str">
        <f>_xlfn.XLOOKUP(D167,'[1]Jan Customer Duplicate Hyva'!$B:$B,'[1]Jan Customer Duplicate Hyva'!$A:$A,"NOT FOUND")</f>
        <v>CUST-045</v>
      </c>
      <c r="D167" s="11" t="s">
        <v>82</v>
      </c>
      <c r="E167" s="11" t="s">
        <v>26</v>
      </c>
      <c r="F167" s="5" t="str">
        <f t="shared" si="24"/>
        <v>Anshu</v>
      </c>
      <c r="G167" s="5" t="str">
        <f t="shared" si="25"/>
        <v/>
      </c>
      <c r="H167" s="5" t="str">
        <f t="shared" si="26"/>
        <v/>
      </c>
      <c r="I167" s="5" t="str">
        <f>_xlfn.XLOOKUP(F167,'[1]Jan Labour Nd Drivers Hyva'!$B:$B,'[2]Jan Labour Nd Drivers Hyva'!$A:$A,"NOT FOUND")</f>
        <v>LAB-002</v>
      </c>
      <c r="J167" s="5" t="str">
        <f>IF(G167="","",_xlfn.XLOOKUP(G167,'[3]Jan Labour Nd Drivers Hyva'!$B:$B,'[2]Jan Labour Nd Drivers Hyva'!$A:$A,"NOT FOUND"))</f>
        <v/>
      </c>
      <c r="K167" s="5" t="str">
        <f>IF(H167="","",_xlfn.XLOOKUP(H167,'[2]Jan Labour Nd Drivers Hyva'!$B:$B,'[2]Jan Labour Nd Drivers Hyva'!$A:$A,"NOT FOUND"))</f>
        <v/>
      </c>
      <c r="L167" s="11" t="s">
        <v>187</v>
      </c>
      <c r="M167" s="12">
        <v>1</v>
      </c>
      <c r="N167" s="13">
        <v>36000</v>
      </c>
      <c r="O167" s="8">
        <f t="shared" si="27"/>
        <v>36000</v>
      </c>
      <c r="P167" s="13">
        <v>36000</v>
      </c>
      <c r="Q167" s="7">
        <f t="shared" si="33"/>
        <v>0</v>
      </c>
      <c r="R167" t="str">
        <f t="shared" si="28"/>
        <v>PAID</v>
      </c>
      <c r="S167" s="3"/>
      <c r="T167" s="9">
        <f t="shared" si="29"/>
        <v>36000</v>
      </c>
      <c r="U167" t="str">
        <f t="shared" si="30"/>
        <v>OK</v>
      </c>
      <c r="V167" s="10">
        <f t="shared" si="31"/>
        <v>0</v>
      </c>
      <c r="W167" t="str">
        <f t="shared" si="32"/>
        <v>OK</v>
      </c>
      <c r="X167" s="3" t="s">
        <v>28</v>
      </c>
      <c r="Y167" t="s">
        <v>29</v>
      </c>
    </row>
    <row r="168" spans="1:25" x14ac:dyDescent="0.2">
      <c r="A168" t="str">
        <f t="shared" si="23"/>
        <v>TRIP-216</v>
      </c>
      <c r="B168" s="2">
        <v>45758</v>
      </c>
      <c r="C168" s="3" t="str">
        <f>_xlfn.XLOOKUP(D168,'[1]Jan Customer Duplicate Hyva'!$B:$B,'[1]Jan Customer Duplicate Hyva'!$A:$A,"NOT FOUND")</f>
        <v>CUST-255</v>
      </c>
      <c r="D168" s="11" t="s">
        <v>75</v>
      </c>
      <c r="E168" s="11" t="s">
        <v>26</v>
      </c>
      <c r="F168" s="5" t="str">
        <f t="shared" si="24"/>
        <v>Anshu</v>
      </c>
      <c r="G168" s="5" t="str">
        <f t="shared" si="25"/>
        <v/>
      </c>
      <c r="H168" s="5" t="str">
        <f t="shared" si="26"/>
        <v/>
      </c>
      <c r="I168" s="5" t="str">
        <f>_xlfn.XLOOKUP(F168,'[1]Jan Labour Nd Drivers Hyva'!$B:$B,'[2]Jan Labour Nd Drivers Hyva'!$A:$A,"NOT FOUND")</f>
        <v>LAB-002</v>
      </c>
      <c r="J168" s="5" t="str">
        <f>IF(G168="","",_xlfn.XLOOKUP(G168,'[3]Jan Labour Nd Drivers Hyva'!$B:$B,'[2]Jan Labour Nd Drivers Hyva'!$A:$A,"NOT FOUND"))</f>
        <v/>
      </c>
      <c r="K168" s="5" t="str">
        <f>IF(H168="","",_xlfn.XLOOKUP(H168,'[2]Jan Labour Nd Drivers Hyva'!$B:$B,'[2]Jan Labour Nd Drivers Hyva'!$A:$A,"NOT FOUND"))</f>
        <v/>
      </c>
      <c r="L168" s="11" t="s">
        <v>76</v>
      </c>
      <c r="M168" s="12">
        <v>1</v>
      </c>
      <c r="N168" s="13">
        <v>38000</v>
      </c>
      <c r="O168" s="8">
        <f t="shared" si="27"/>
        <v>38000</v>
      </c>
      <c r="P168" s="13">
        <v>38000</v>
      </c>
      <c r="Q168" s="7">
        <f t="shared" si="33"/>
        <v>0</v>
      </c>
      <c r="R168" t="str">
        <f t="shared" si="28"/>
        <v>PAID</v>
      </c>
      <c r="S168" s="3"/>
      <c r="T168" s="9">
        <f t="shared" si="29"/>
        <v>38000</v>
      </c>
      <c r="U168" t="str">
        <f t="shared" si="30"/>
        <v>OK</v>
      </c>
      <c r="V168" s="10">
        <f t="shared" si="31"/>
        <v>0</v>
      </c>
      <c r="W168" t="str">
        <f t="shared" si="32"/>
        <v>OK</v>
      </c>
      <c r="X168" s="3" t="s">
        <v>28</v>
      </c>
      <c r="Y168" t="s">
        <v>29</v>
      </c>
    </row>
    <row r="169" spans="1:25" x14ac:dyDescent="0.2">
      <c r="A169" t="str">
        <f t="shared" si="23"/>
        <v>TRIP-217</v>
      </c>
      <c r="B169" s="2">
        <v>45758</v>
      </c>
      <c r="C169" s="3" t="str">
        <f>_xlfn.XLOOKUP(D169,'[1]Jan Customer Duplicate Hyva'!$B:$B,'[1]Jan Customer Duplicate Hyva'!$A:$A,"NOT FOUND")</f>
        <v>CUST-265</v>
      </c>
      <c r="D169" s="11" t="s">
        <v>188</v>
      </c>
      <c r="E169" s="11" t="s">
        <v>26</v>
      </c>
      <c r="F169" s="5" t="str">
        <f t="shared" si="24"/>
        <v>Anshu</v>
      </c>
      <c r="G169" s="5" t="str">
        <f t="shared" si="25"/>
        <v/>
      </c>
      <c r="H169" s="5" t="str">
        <f t="shared" si="26"/>
        <v/>
      </c>
      <c r="I169" s="5" t="str">
        <f>_xlfn.XLOOKUP(F169,'[1]Jan Labour Nd Drivers Hyva'!$B:$B,'[2]Jan Labour Nd Drivers Hyva'!$A:$A,"NOT FOUND")</f>
        <v>LAB-002</v>
      </c>
      <c r="J169" s="5" t="str">
        <f>IF(G169="","",_xlfn.XLOOKUP(G169,'[3]Jan Labour Nd Drivers Hyva'!$B:$B,'[2]Jan Labour Nd Drivers Hyva'!$A:$A,"NOT FOUND"))</f>
        <v/>
      </c>
      <c r="K169" s="5" t="str">
        <f>IF(H169="","",_xlfn.XLOOKUP(H169,'[2]Jan Labour Nd Drivers Hyva'!$B:$B,'[2]Jan Labour Nd Drivers Hyva'!$A:$A,"NOT FOUND"))</f>
        <v/>
      </c>
      <c r="L169" s="11" t="s">
        <v>45</v>
      </c>
      <c r="M169" s="12">
        <v>1</v>
      </c>
      <c r="N169" s="13">
        <v>36000</v>
      </c>
      <c r="O169" s="8">
        <f t="shared" si="27"/>
        <v>36000</v>
      </c>
      <c r="P169" s="13">
        <v>36000</v>
      </c>
      <c r="Q169" s="7">
        <f t="shared" si="33"/>
        <v>0</v>
      </c>
      <c r="R169" t="str">
        <f t="shared" si="28"/>
        <v>PAID</v>
      </c>
      <c r="S169" s="3"/>
      <c r="T169" s="9">
        <f t="shared" si="29"/>
        <v>36000</v>
      </c>
      <c r="U169" t="str">
        <f t="shared" si="30"/>
        <v>OK</v>
      </c>
      <c r="V169" s="10">
        <f t="shared" si="31"/>
        <v>0</v>
      </c>
      <c r="W169" t="str">
        <f t="shared" si="32"/>
        <v>OK</v>
      </c>
      <c r="X169" s="3" t="s">
        <v>28</v>
      </c>
      <c r="Y169" t="s">
        <v>29</v>
      </c>
    </row>
    <row r="170" spans="1:25" x14ac:dyDescent="0.2">
      <c r="A170" t="str">
        <f t="shared" si="23"/>
        <v>TRIP-218</v>
      </c>
      <c r="B170" s="2">
        <v>45759</v>
      </c>
      <c r="C170" s="3" t="str">
        <f>_xlfn.XLOOKUP(D170,'[1]Jan Customer Duplicate Hyva'!$B:$B,'[1]Jan Customer Duplicate Hyva'!$A:$A,"NOT FOUND")</f>
        <v>CUST-321</v>
      </c>
      <c r="D170" s="11" t="s">
        <v>95</v>
      </c>
      <c r="E170" s="11" t="s">
        <v>55</v>
      </c>
      <c r="F170" s="5" t="str">
        <f t="shared" si="24"/>
        <v>Gaju Bhau</v>
      </c>
      <c r="G170" s="5" t="str">
        <f t="shared" si="25"/>
        <v/>
      </c>
      <c r="H170" s="5" t="str">
        <f t="shared" si="26"/>
        <v/>
      </c>
      <c r="I170" s="5" t="str">
        <f>_xlfn.XLOOKUP(F170,'[1]Jan Labour Nd Drivers Hyva'!$B:$B,'[2]Jan Labour Nd Drivers Hyva'!$A:$A,"NOT FOUND")</f>
        <v>LAB-001</v>
      </c>
      <c r="J170" s="5" t="str">
        <f>IF(G170="","",_xlfn.XLOOKUP(G170,'[3]Jan Labour Nd Drivers Hyva'!$B:$B,'[2]Jan Labour Nd Drivers Hyva'!$A:$A,"NOT FOUND"))</f>
        <v/>
      </c>
      <c r="K170" s="5" t="str">
        <f>IF(H170="","",_xlfn.XLOOKUP(H170,'[2]Jan Labour Nd Drivers Hyva'!$B:$B,'[2]Jan Labour Nd Drivers Hyva'!$A:$A,"NOT FOUND"))</f>
        <v/>
      </c>
      <c r="L170" s="11" t="s">
        <v>154</v>
      </c>
      <c r="M170" s="12">
        <v>1</v>
      </c>
      <c r="N170" s="13">
        <v>36000</v>
      </c>
      <c r="O170" s="8">
        <f t="shared" si="27"/>
        <v>36000</v>
      </c>
      <c r="P170" s="13">
        <v>30000</v>
      </c>
      <c r="Q170" s="7">
        <f t="shared" si="33"/>
        <v>6000</v>
      </c>
      <c r="R170" t="str">
        <f t="shared" si="28"/>
        <v>PARTIAL</v>
      </c>
      <c r="S170" s="3"/>
      <c r="T170" s="9">
        <f t="shared" si="29"/>
        <v>36000</v>
      </c>
      <c r="U170" t="str">
        <f t="shared" si="30"/>
        <v>OK</v>
      </c>
      <c r="V170" s="10">
        <f t="shared" si="31"/>
        <v>6000</v>
      </c>
      <c r="W170" t="str">
        <f t="shared" si="32"/>
        <v>OK</v>
      </c>
      <c r="X170" s="3" t="s">
        <v>28</v>
      </c>
      <c r="Y170" t="s">
        <v>29</v>
      </c>
    </row>
    <row r="171" spans="1:25" x14ac:dyDescent="0.2">
      <c r="A171" t="str">
        <f t="shared" si="23"/>
        <v>TRIP-219</v>
      </c>
      <c r="B171" s="2">
        <v>45759</v>
      </c>
      <c r="C171" s="3" t="str">
        <f>_xlfn.XLOOKUP(D171,'[1]Jan Customer Duplicate Hyva'!$B:$B,'[1]Jan Customer Duplicate Hyva'!$A:$A,"NOT FOUND")</f>
        <v>CUST-011</v>
      </c>
      <c r="D171" s="11" t="s">
        <v>35</v>
      </c>
      <c r="E171" s="11" t="s">
        <v>30</v>
      </c>
      <c r="F171" s="5" t="str">
        <f t="shared" si="24"/>
        <v>Ravi</v>
      </c>
      <c r="G171" s="5" t="str">
        <f t="shared" si="25"/>
        <v/>
      </c>
      <c r="H171" s="5" t="str">
        <f t="shared" si="26"/>
        <v/>
      </c>
      <c r="I171" s="5" t="str">
        <f>_xlfn.XLOOKUP(F171,'[1]Jan Labour Nd Drivers Hyva'!$B:$B,'[2]Jan Labour Nd Drivers Hyva'!$A:$A,"NOT FOUND")</f>
        <v>LAB-003</v>
      </c>
      <c r="J171" s="5" t="str">
        <f>IF(G171="","",_xlfn.XLOOKUP(G171,'[3]Jan Labour Nd Drivers Hyva'!$B:$B,'[2]Jan Labour Nd Drivers Hyva'!$A:$A,"NOT FOUND"))</f>
        <v/>
      </c>
      <c r="K171" s="5" t="str">
        <f>IF(H171="","",_xlfn.XLOOKUP(H171,'[2]Jan Labour Nd Drivers Hyva'!$B:$B,'[2]Jan Labour Nd Drivers Hyva'!$A:$A,"NOT FOUND"))</f>
        <v/>
      </c>
      <c r="L171" s="11" t="s">
        <v>189</v>
      </c>
      <c r="M171" s="12">
        <v>1</v>
      </c>
      <c r="N171" s="13">
        <v>37000</v>
      </c>
      <c r="O171" s="8">
        <f t="shared" si="27"/>
        <v>37000</v>
      </c>
      <c r="P171" s="13">
        <v>37000</v>
      </c>
      <c r="Q171" s="7">
        <f t="shared" si="33"/>
        <v>0</v>
      </c>
      <c r="R171" t="str">
        <f t="shared" si="28"/>
        <v>PAID</v>
      </c>
      <c r="S171" s="3"/>
      <c r="T171" s="9">
        <f t="shared" si="29"/>
        <v>37000</v>
      </c>
      <c r="U171" t="str">
        <f t="shared" si="30"/>
        <v>OK</v>
      </c>
      <c r="V171" s="10">
        <f t="shared" si="31"/>
        <v>0</v>
      </c>
      <c r="W171" t="str">
        <f t="shared" si="32"/>
        <v>OK</v>
      </c>
      <c r="X171" s="3" t="s">
        <v>28</v>
      </c>
      <c r="Y171" t="s">
        <v>29</v>
      </c>
    </row>
    <row r="172" spans="1:25" x14ac:dyDescent="0.2">
      <c r="A172" t="str">
        <f t="shared" si="23"/>
        <v>TRIP-220</v>
      </c>
      <c r="B172" s="2">
        <v>45761</v>
      </c>
      <c r="C172" s="3" t="str">
        <f>_xlfn.XLOOKUP(D172,'[1]Jan Customer Duplicate Hyva'!$B:$B,'[1]Jan Customer Duplicate Hyva'!$A:$A,"NOT FOUND")</f>
        <v>CUST-050</v>
      </c>
      <c r="D172" s="11" t="s">
        <v>69</v>
      </c>
      <c r="E172" s="11" t="s">
        <v>26</v>
      </c>
      <c r="F172" s="5" t="str">
        <f t="shared" si="24"/>
        <v>Anshu</v>
      </c>
      <c r="G172" s="5" t="str">
        <f t="shared" si="25"/>
        <v/>
      </c>
      <c r="H172" s="5" t="str">
        <f t="shared" si="26"/>
        <v/>
      </c>
      <c r="I172" s="5" t="str">
        <f>_xlfn.XLOOKUP(F172,'[1]Jan Labour Nd Drivers Hyva'!$B:$B,'[2]Jan Labour Nd Drivers Hyva'!$A:$A,"NOT FOUND")</f>
        <v>LAB-002</v>
      </c>
      <c r="J172" s="5" t="str">
        <f>IF(G172="","",_xlfn.XLOOKUP(G172,'[3]Jan Labour Nd Drivers Hyva'!$B:$B,'[2]Jan Labour Nd Drivers Hyva'!$A:$A,"NOT FOUND"))</f>
        <v/>
      </c>
      <c r="K172" s="5" t="str">
        <f>IF(H172="","",_xlfn.XLOOKUP(H172,'[2]Jan Labour Nd Drivers Hyva'!$B:$B,'[2]Jan Labour Nd Drivers Hyva'!$A:$A,"NOT FOUND"))</f>
        <v/>
      </c>
      <c r="L172" s="11" t="s">
        <v>190</v>
      </c>
      <c r="M172" s="12">
        <v>1</v>
      </c>
      <c r="N172" s="13">
        <v>35000</v>
      </c>
      <c r="O172" s="8">
        <f t="shared" si="27"/>
        <v>35000</v>
      </c>
      <c r="P172" s="13">
        <v>35000</v>
      </c>
      <c r="Q172" s="7">
        <f t="shared" si="33"/>
        <v>0</v>
      </c>
      <c r="R172" t="str">
        <f t="shared" si="28"/>
        <v>PAID</v>
      </c>
      <c r="S172" s="3"/>
      <c r="T172" s="9">
        <f t="shared" si="29"/>
        <v>35000</v>
      </c>
      <c r="U172" t="str">
        <f t="shared" si="30"/>
        <v>OK</v>
      </c>
      <c r="V172" s="10">
        <f t="shared" si="31"/>
        <v>0</v>
      </c>
      <c r="W172" t="str">
        <f t="shared" si="32"/>
        <v>OK</v>
      </c>
      <c r="X172" s="3" t="s">
        <v>28</v>
      </c>
      <c r="Y172" t="s">
        <v>29</v>
      </c>
    </row>
    <row r="173" spans="1:25" x14ac:dyDescent="0.2">
      <c r="A173" t="str">
        <f t="shared" si="23"/>
        <v>TRIP-221</v>
      </c>
      <c r="B173" s="2">
        <v>45761</v>
      </c>
      <c r="C173" s="3" t="str">
        <f>_xlfn.XLOOKUP(D173,'[1]Jan Customer Duplicate Hyva'!$B:$B,'[1]Jan Customer Duplicate Hyva'!$A:$A,"NOT FOUND")</f>
        <v>CUST-011</v>
      </c>
      <c r="D173" s="11" t="s">
        <v>35</v>
      </c>
      <c r="E173" s="11" t="s">
        <v>30</v>
      </c>
      <c r="F173" s="5" t="str">
        <f t="shared" si="24"/>
        <v>Ravi</v>
      </c>
      <c r="G173" s="5" t="str">
        <f t="shared" si="25"/>
        <v/>
      </c>
      <c r="H173" s="5" t="str">
        <f t="shared" si="26"/>
        <v/>
      </c>
      <c r="I173" s="5" t="str">
        <f>_xlfn.XLOOKUP(F173,'[1]Jan Labour Nd Drivers Hyva'!$B:$B,'[2]Jan Labour Nd Drivers Hyva'!$A:$A,"NOT FOUND")</f>
        <v>LAB-003</v>
      </c>
      <c r="J173" s="5" t="str">
        <f>IF(G173="","",_xlfn.XLOOKUP(G173,'[3]Jan Labour Nd Drivers Hyva'!$B:$B,'[2]Jan Labour Nd Drivers Hyva'!$A:$A,"NOT FOUND"))</f>
        <v/>
      </c>
      <c r="K173" s="5" t="str">
        <f>IF(H173="","",_xlfn.XLOOKUP(H173,'[2]Jan Labour Nd Drivers Hyva'!$B:$B,'[2]Jan Labour Nd Drivers Hyva'!$A:$A,"NOT FOUND"))</f>
        <v/>
      </c>
      <c r="L173" s="11" t="s">
        <v>189</v>
      </c>
      <c r="M173" s="12">
        <v>1</v>
      </c>
      <c r="N173" s="13">
        <v>37000</v>
      </c>
      <c r="O173" s="8">
        <f t="shared" si="27"/>
        <v>37000</v>
      </c>
      <c r="P173" s="13">
        <v>37000</v>
      </c>
      <c r="Q173" s="7">
        <f t="shared" si="33"/>
        <v>0</v>
      </c>
      <c r="R173" t="str">
        <f t="shared" si="28"/>
        <v>PAID</v>
      </c>
      <c r="S173" s="3"/>
      <c r="T173" s="9">
        <f t="shared" si="29"/>
        <v>37000</v>
      </c>
      <c r="U173" t="str">
        <f t="shared" si="30"/>
        <v>OK</v>
      </c>
      <c r="V173" s="10">
        <f t="shared" si="31"/>
        <v>0</v>
      </c>
      <c r="W173" t="str">
        <f t="shared" si="32"/>
        <v>OK</v>
      </c>
      <c r="X173" s="3" t="s">
        <v>28</v>
      </c>
      <c r="Y173" t="s">
        <v>29</v>
      </c>
    </row>
    <row r="174" spans="1:25" x14ac:dyDescent="0.2">
      <c r="A174" t="str">
        <f t="shared" si="23"/>
        <v>TRIP-222</v>
      </c>
      <c r="B174" s="2">
        <v>45761</v>
      </c>
      <c r="C174" s="3" t="str">
        <f>_xlfn.XLOOKUP(D174,'[1]Jan Customer Duplicate Hyva'!$B:$B,'[1]Jan Customer Duplicate Hyva'!$A:$A,"NOT FOUND")</f>
        <v>CUST-236</v>
      </c>
      <c r="D174" s="11" t="s">
        <v>58</v>
      </c>
      <c r="E174" s="11" t="s">
        <v>26</v>
      </c>
      <c r="F174" s="5" t="str">
        <f t="shared" si="24"/>
        <v>Anshu</v>
      </c>
      <c r="G174" s="5" t="str">
        <f t="shared" si="25"/>
        <v/>
      </c>
      <c r="H174" s="5" t="str">
        <f t="shared" si="26"/>
        <v/>
      </c>
      <c r="I174" s="5" t="str">
        <f>_xlfn.XLOOKUP(F174,'[1]Jan Labour Nd Drivers Hyva'!$B:$B,'[2]Jan Labour Nd Drivers Hyva'!$A:$A,"NOT FOUND")</f>
        <v>LAB-002</v>
      </c>
      <c r="J174" s="5" t="str">
        <f>IF(G174="","",_xlfn.XLOOKUP(G174,'[3]Jan Labour Nd Drivers Hyva'!$B:$B,'[2]Jan Labour Nd Drivers Hyva'!$A:$A,"NOT FOUND"))</f>
        <v/>
      </c>
      <c r="K174" s="5" t="str">
        <f>IF(H174="","",_xlfn.XLOOKUP(H174,'[2]Jan Labour Nd Drivers Hyva'!$B:$B,'[2]Jan Labour Nd Drivers Hyva'!$A:$A,"NOT FOUND"))</f>
        <v/>
      </c>
      <c r="L174" s="11" t="s">
        <v>108</v>
      </c>
      <c r="M174" s="12">
        <v>1</v>
      </c>
      <c r="N174" s="13">
        <v>36000</v>
      </c>
      <c r="O174" s="8">
        <f t="shared" si="27"/>
        <v>36000</v>
      </c>
      <c r="P174" s="13">
        <v>36000</v>
      </c>
      <c r="Q174" s="7">
        <f t="shared" si="33"/>
        <v>0</v>
      </c>
      <c r="R174" t="str">
        <f t="shared" si="28"/>
        <v>PAID</v>
      </c>
      <c r="S174" s="3"/>
      <c r="T174" s="9">
        <f t="shared" si="29"/>
        <v>36000</v>
      </c>
      <c r="U174" t="str">
        <f t="shared" si="30"/>
        <v>OK</v>
      </c>
      <c r="V174" s="10">
        <f t="shared" si="31"/>
        <v>0</v>
      </c>
      <c r="W174" t="str">
        <f t="shared" si="32"/>
        <v>OK</v>
      </c>
      <c r="X174" s="3" t="s">
        <v>28</v>
      </c>
      <c r="Y174" t="s">
        <v>29</v>
      </c>
    </row>
    <row r="175" spans="1:25" x14ac:dyDescent="0.2">
      <c r="A175" t="str">
        <f t="shared" si="23"/>
        <v>TRIP-223</v>
      </c>
      <c r="B175" s="2">
        <v>45762</v>
      </c>
      <c r="C175" s="3" t="str">
        <f>_xlfn.XLOOKUP(D175,'[1]Jan Customer Duplicate Hyva'!$B:$B,'[1]Jan Customer Duplicate Hyva'!$A:$A,"NOT FOUND")</f>
        <v>CUST-071</v>
      </c>
      <c r="D175" s="11" t="s">
        <v>191</v>
      </c>
      <c r="E175" s="11" t="s">
        <v>55</v>
      </c>
      <c r="F175" s="5" t="str">
        <f t="shared" si="24"/>
        <v>Gaju Bhau</v>
      </c>
      <c r="G175" s="5" t="str">
        <f t="shared" si="25"/>
        <v/>
      </c>
      <c r="H175" s="5" t="str">
        <f t="shared" si="26"/>
        <v/>
      </c>
      <c r="I175" s="5" t="str">
        <f>_xlfn.XLOOKUP(F175,'[1]Jan Labour Nd Drivers Hyva'!$B:$B,'[2]Jan Labour Nd Drivers Hyva'!$A:$A,"NOT FOUND")</f>
        <v>LAB-001</v>
      </c>
      <c r="J175" s="5" t="str">
        <f>IF(G175="","",_xlfn.XLOOKUP(G175,'[3]Jan Labour Nd Drivers Hyva'!$B:$B,'[2]Jan Labour Nd Drivers Hyva'!$A:$A,"NOT FOUND"))</f>
        <v/>
      </c>
      <c r="K175" s="5" t="str">
        <f>IF(H175="","",_xlfn.XLOOKUP(H175,'[2]Jan Labour Nd Drivers Hyva'!$B:$B,'[2]Jan Labour Nd Drivers Hyva'!$A:$A,"NOT FOUND"))</f>
        <v/>
      </c>
      <c r="L175" s="11" t="s">
        <v>45</v>
      </c>
      <c r="M175" s="12">
        <v>1</v>
      </c>
      <c r="N175" s="13">
        <v>34000</v>
      </c>
      <c r="O175" s="8">
        <f t="shared" si="27"/>
        <v>34000</v>
      </c>
      <c r="P175" s="13">
        <v>34000</v>
      </c>
      <c r="Q175" s="7">
        <f t="shared" si="33"/>
        <v>0</v>
      </c>
      <c r="R175" t="str">
        <f t="shared" si="28"/>
        <v>PAID</v>
      </c>
      <c r="S175" s="3"/>
      <c r="T175" s="9">
        <f t="shared" si="29"/>
        <v>34000</v>
      </c>
      <c r="U175" t="str">
        <f t="shared" si="30"/>
        <v>OK</v>
      </c>
      <c r="V175" s="10">
        <f t="shared" si="31"/>
        <v>0</v>
      </c>
      <c r="W175" t="str">
        <f t="shared" si="32"/>
        <v>OK</v>
      </c>
      <c r="X175" s="3" t="s">
        <v>28</v>
      </c>
      <c r="Y175" t="s">
        <v>29</v>
      </c>
    </row>
    <row r="176" spans="1:25" x14ac:dyDescent="0.2">
      <c r="A176" t="str">
        <f t="shared" si="23"/>
        <v>TRIP-224</v>
      </c>
      <c r="B176" s="2">
        <v>45762</v>
      </c>
      <c r="C176" s="3" t="str">
        <f>_xlfn.XLOOKUP(D176,'[1]Jan Customer Duplicate Hyva'!$B:$B,'[1]Jan Customer Duplicate Hyva'!$A:$A,"NOT FOUND")</f>
        <v>CUST-207</v>
      </c>
      <c r="D176" s="11" t="s">
        <v>25</v>
      </c>
      <c r="E176" s="11" t="s">
        <v>30</v>
      </c>
      <c r="F176" s="5" t="str">
        <f t="shared" si="24"/>
        <v>Ravi</v>
      </c>
      <c r="G176" s="5" t="str">
        <f t="shared" si="25"/>
        <v/>
      </c>
      <c r="H176" s="5" t="str">
        <f t="shared" si="26"/>
        <v/>
      </c>
      <c r="I176" s="5" t="str">
        <f>_xlfn.XLOOKUP(F176,'[1]Jan Labour Nd Drivers Hyva'!$B:$B,'[2]Jan Labour Nd Drivers Hyva'!$A:$A,"NOT FOUND")</f>
        <v>LAB-003</v>
      </c>
      <c r="J176" s="5" t="str">
        <f>IF(G176="","",_xlfn.XLOOKUP(G176,'[3]Jan Labour Nd Drivers Hyva'!$B:$B,'[2]Jan Labour Nd Drivers Hyva'!$A:$A,"NOT FOUND"))</f>
        <v/>
      </c>
      <c r="K176" s="5" t="str">
        <f>IF(H176="","",_xlfn.XLOOKUP(H176,'[2]Jan Labour Nd Drivers Hyva'!$B:$B,'[2]Jan Labour Nd Drivers Hyva'!$A:$A,"NOT FOUND"))</f>
        <v/>
      </c>
      <c r="L176" s="11" t="s">
        <v>192</v>
      </c>
      <c r="M176" s="12">
        <v>1</v>
      </c>
      <c r="N176" s="13">
        <v>34000</v>
      </c>
      <c r="O176" s="8">
        <f t="shared" si="27"/>
        <v>34000</v>
      </c>
      <c r="P176" s="13">
        <v>34000</v>
      </c>
      <c r="Q176" s="7">
        <f t="shared" si="33"/>
        <v>0</v>
      </c>
      <c r="R176" t="str">
        <f t="shared" si="28"/>
        <v>PAID</v>
      </c>
      <c r="S176" s="3"/>
      <c r="T176" s="9">
        <f t="shared" si="29"/>
        <v>34000</v>
      </c>
      <c r="U176" t="str">
        <f t="shared" si="30"/>
        <v>OK</v>
      </c>
      <c r="V176" s="10">
        <f t="shared" si="31"/>
        <v>0</v>
      </c>
      <c r="W176" t="str">
        <f t="shared" si="32"/>
        <v>OK</v>
      </c>
      <c r="X176" s="3" t="s">
        <v>28</v>
      </c>
      <c r="Y176" t="s">
        <v>29</v>
      </c>
    </row>
    <row r="177" spans="1:25" x14ac:dyDescent="0.2">
      <c r="A177" t="str">
        <f t="shared" si="23"/>
        <v>TRIP-225</v>
      </c>
      <c r="B177" s="2">
        <v>45762</v>
      </c>
      <c r="C177" s="3" t="str">
        <f>_xlfn.XLOOKUP(D177,'[1]Jan Customer Duplicate Hyva'!$B:$B,'[1]Jan Customer Duplicate Hyva'!$A:$A,"NOT FOUND")</f>
        <v>CUST-050</v>
      </c>
      <c r="D177" s="11" t="s">
        <v>69</v>
      </c>
      <c r="E177" s="11" t="s">
        <v>30</v>
      </c>
      <c r="F177" s="5" t="str">
        <f t="shared" si="24"/>
        <v>Ravi</v>
      </c>
      <c r="G177" s="5" t="str">
        <f t="shared" si="25"/>
        <v/>
      </c>
      <c r="H177" s="5" t="str">
        <f t="shared" si="26"/>
        <v/>
      </c>
      <c r="I177" s="5" t="str">
        <f>_xlfn.XLOOKUP(F177,'[1]Jan Labour Nd Drivers Hyva'!$B:$B,'[2]Jan Labour Nd Drivers Hyva'!$A:$A,"NOT FOUND")</f>
        <v>LAB-003</v>
      </c>
      <c r="J177" s="5" t="str">
        <f>IF(G177="","",_xlfn.XLOOKUP(G177,'[3]Jan Labour Nd Drivers Hyva'!$B:$B,'[2]Jan Labour Nd Drivers Hyva'!$A:$A,"NOT FOUND"))</f>
        <v/>
      </c>
      <c r="K177" s="5" t="str">
        <f>IF(H177="","",_xlfn.XLOOKUP(H177,'[2]Jan Labour Nd Drivers Hyva'!$B:$B,'[2]Jan Labour Nd Drivers Hyva'!$A:$A,"NOT FOUND"))</f>
        <v/>
      </c>
      <c r="L177" s="11" t="s">
        <v>190</v>
      </c>
      <c r="M177" s="12">
        <v>1</v>
      </c>
      <c r="N177" s="13">
        <v>35000</v>
      </c>
      <c r="O177" s="8">
        <f t="shared" si="27"/>
        <v>35000</v>
      </c>
      <c r="P177" s="13">
        <v>35000</v>
      </c>
      <c r="Q177" s="7">
        <f t="shared" si="33"/>
        <v>0</v>
      </c>
      <c r="R177" t="str">
        <f t="shared" si="28"/>
        <v>PAID</v>
      </c>
      <c r="S177" s="3"/>
      <c r="T177" s="9">
        <f t="shared" si="29"/>
        <v>35000</v>
      </c>
      <c r="U177" t="str">
        <f t="shared" si="30"/>
        <v>OK</v>
      </c>
      <c r="V177" s="10">
        <f t="shared" si="31"/>
        <v>0</v>
      </c>
      <c r="W177" t="str">
        <f t="shared" si="32"/>
        <v>OK</v>
      </c>
      <c r="X177" s="3" t="s">
        <v>28</v>
      </c>
      <c r="Y177" t="s">
        <v>29</v>
      </c>
    </row>
    <row r="178" spans="1:25" x14ac:dyDescent="0.2">
      <c r="A178" t="str">
        <f t="shared" si="23"/>
        <v>TRIP-226</v>
      </c>
      <c r="B178" s="2">
        <v>45762</v>
      </c>
      <c r="C178" s="3" t="str">
        <f>_xlfn.XLOOKUP(D178,'[1]Jan Customer Duplicate Hyva'!$B:$B,'[1]Jan Customer Duplicate Hyva'!$A:$A,"NOT FOUND")</f>
        <v>CUST-164</v>
      </c>
      <c r="D178" s="11" t="s">
        <v>193</v>
      </c>
      <c r="E178" s="11" t="s">
        <v>30</v>
      </c>
      <c r="F178" s="5" t="str">
        <f t="shared" si="24"/>
        <v>Ravi</v>
      </c>
      <c r="G178" s="5" t="str">
        <f t="shared" si="25"/>
        <v/>
      </c>
      <c r="H178" s="5" t="str">
        <f t="shared" si="26"/>
        <v/>
      </c>
      <c r="I178" s="5" t="str">
        <f>_xlfn.XLOOKUP(F178,'[1]Jan Labour Nd Drivers Hyva'!$B:$B,'[2]Jan Labour Nd Drivers Hyva'!$A:$A,"NOT FOUND")</f>
        <v>LAB-003</v>
      </c>
      <c r="J178" s="5" t="str">
        <f>IF(G178="","",_xlfn.XLOOKUP(G178,'[3]Jan Labour Nd Drivers Hyva'!$B:$B,'[2]Jan Labour Nd Drivers Hyva'!$A:$A,"NOT FOUND"))</f>
        <v/>
      </c>
      <c r="K178" s="5" t="str">
        <f>IF(H178="","",_xlfn.XLOOKUP(H178,'[2]Jan Labour Nd Drivers Hyva'!$B:$B,'[2]Jan Labour Nd Drivers Hyva'!$A:$A,"NOT FOUND"))</f>
        <v/>
      </c>
      <c r="L178" s="11" t="s">
        <v>56</v>
      </c>
      <c r="M178" s="12">
        <v>1</v>
      </c>
      <c r="N178" s="13">
        <v>35000</v>
      </c>
      <c r="O178" s="8">
        <f t="shared" si="27"/>
        <v>35000</v>
      </c>
      <c r="P178" s="13">
        <v>35000</v>
      </c>
      <c r="Q178" s="7">
        <f t="shared" si="33"/>
        <v>0</v>
      </c>
      <c r="R178" t="str">
        <f t="shared" si="28"/>
        <v>PAID</v>
      </c>
      <c r="S178" s="3"/>
      <c r="T178" s="9">
        <f t="shared" si="29"/>
        <v>35000</v>
      </c>
      <c r="U178" t="str">
        <f t="shared" si="30"/>
        <v>OK</v>
      </c>
      <c r="V178" s="10">
        <f t="shared" si="31"/>
        <v>0</v>
      </c>
      <c r="W178" t="str">
        <f t="shared" si="32"/>
        <v>OK</v>
      </c>
      <c r="X178" s="3" t="s">
        <v>28</v>
      </c>
      <c r="Y178" t="s">
        <v>29</v>
      </c>
    </row>
    <row r="179" spans="1:25" x14ac:dyDescent="0.2">
      <c r="A179" t="str">
        <f t="shared" si="23"/>
        <v>TRIP-227</v>
      </c>
      <c r="B179" s="2">
        <v>45763</v>
      </c>
      <c r="C179" s="3" t="str">
        <f>_xlfn.XLOOKUP(D179,'[1]Jan Customer Duplicate Hyva'!$B:$B,'[1]Jan Customer Duplicate Hyva'!$A:$A,"NOT FOUND")</f>
        <v>CUST-164</v>
      </c>
      <c r="D179" s="11" t="s">
        <v>193</v>
      </c>
      <c r="E179" s="11" t="s">
        <v>55</v>
      </c>
      <c r="F179" s="5" t="str">
        <f t="shared" si="24"/>
        <v>Gaju Bhau</v>
      </c>
      <c r="G179" s="5" t="str">
        <f t="shared" si="25"/>
        <v/>
      </c>
      <c r="H179" s="5" t="str">
        <f t="shared" si="26"/>
        <v/>
      </c>
      <c r="I179" s="5" t="str">
        <f>_xlfn.XLOOKUP(F179,'[1]Jan Labour Nd Drivers Hyva'!$B:$B,'[2]Jan Labour Nd Drivers Hyva'!$A:$A,"NOT FOUND")</f>
        <v>LAB-001</v>
      </c>
      <c r="J179" s="5" t="str">
        <f>IF(G179="","",_xlfn.XLOOKUP(G179,'[3]Jan Labour Nd Drivers Hyva'!$B:$B,'[2]Jan Labour Nd Drivers Hyva'!$A:$A,"NOT FOUND"))</f>
        <v/>
      </c>
      <c r="K179" s="5" t="str">
        <f>IF(H179="","",_xlfn.XLOOKUP(H179,'[2]Jan Labour Nd Drivers Hyva'!$B:$B,'[2]Jan Labour Nd Drivers Hyva'!$A:$A,"NOT FOUND"))</f>
        <v/>
      </c>
      <c r="L179" s="11" t="s">
        <v>56</v>
      </c>
      <c r="M179" s="12">
        <v>1</v>
      </c>
      <c r="N179" s="13">
        <v>35000</v>
      </c>
      <c r="O179" s="8">
        <f t="shared" si="27"/>
        <v>35000</v>
      </c>
      <c r="P179" s="13">
        <v>35000</v>
      </c>
      <c r="Q179" s="7">
        <f t="shared" si="33"/>
        <v>0</v>
      </c>
      <c r="R179" t="str">
        <f t="shared" si="28"/>
        <v>PAID</v>
      </c>
      <c r="S179" s="3"/>
      <c r="T179" s="9">
        <f t="shared" si="29"/>
        <v>35000</v>
      </c>
      <c r="U179" t="str">
        <f t="shared" si="30"/>
        <v>OK</v>
      </c>
      <c r="V179" s="10">
        <f t="shared" si="31"/>
        <v>0</v>
      </c>
      <c r="W179" t="str">
        <f t="shared" si="32"/>
        <v>OK</v>
      </c>
      <c r="X179" s="3" t="s">
        <v>28</v>
      </c>
      <c r="Y179" t="s">
        <v>29</v>
      </c>
    </row>
    <row r="180" spans="1:25" x14ac:dyDescent="0.2">
      <c r="A180" t="str">
        <f t="shared" si="23"/>
        <v>TRIP-228</v>
      </c>
      <c r="B180" s="2">
        <v>45764</v>
      </c>
      <c r="C180" s="3" t="str">
        <f>_xlfn.XLOOKUP(D180,'[1]Jan Customer Duplicate Hyva'!$B:$B,'[1]Jan Customer Duplicate Hyva'!$A:$A,"NOT FOUND")</f>
        <v>CUST-050</v>
      </c>
      <c r="D180" s="11" t="s">
        <v>69</v>
      </c>
      <c r="E180" s="11" t="s">
        <v>164</v>
      </c>
      <c r="F180" s="5" t="str">
        <f t="shared" si="24"/>
        <v>Gaju Bhau</v>
      </c>
      <c r="G180" s="5" t="str">
        <f t="shared" si="25"/>
        <v>Anshu</v>
      </c>
      <c r="H180" s="5" t="str">
        <f t="shared" si="26"/>
        <v/>
      </c>
      <c r="I180" s="5" t="str">
        <f>_xlfn.XLOOKUP(F180,'[1]Jan Labour Nd Drivers Hyva'!$B:$B,'[2]Jan Labour Nd Drivers Hyva'!$A:$A,"NOT FOUND")</f>
        <v>LAB-001</v>
      </c>
      <c r="J180" s="5" t="str">
        <f>IF(G180="","",_xlfn.XLOOKUP(G180,'[3]Jan Labour Nd Drivers Hyva'!$B:$B,'[2]Jan Labour Nd Drivers Hyva'!$A:$A,"NOT FOUND"))</f>
        <v>LAB-002</v>
      </c>
      <c r="K180" s="5" t="str">
        <f>IF(H180="","",_xlfn.XLOOKUP(H180,'[2]Jan Labour Nd Drivers Hyva'!$B:$B,'[2]Jan Labour Nd Drivers Hyva'!$A:$A,"NOT FOUND"))</f>
        <v/>
      </c>
      <c r="L180" s="11" t="s">
        <v>194</v>
      </c>
      <c r="M180" s="12">
        <v>3</v>
      </c>
      <c r="N180" s="13">
        <v>35000</v>
      </c>
      <c r="O180" s="8">
        <f t="shared" si="27"/>
        <v>105000</v>
      </c>
      <c r="P180" s="13">
        <v>105000</v>
      </c>
      <c r="Q180" s="7">
        <f t="shared" si="33"/>
        <v>0</v>
      </c>
      <c r="R180" t="str">
        <f t="shared" si="28"/>
        <v>PAID</v>
      </c>
      <c r="S180" s="3"/>
      <c r="T180" s="9">
        <f t="shared" si="29"/>
        <v>105000</v>
      </c>
      <c r="U180" t="str">
        <f t="shared" si="30"/>
        <v>OK</v>
      </c>
      <c r="V180" s="10">
        <f t="shared" si="31"/>
        <v>0</v>
      </c>
      <c r="W180" t="str">
        <f t="shared" si="32"/>
        <v>OK</v>
      </c>
      <c r="X180" s="3" t="s">
        <v>28</v>
      </c>
      <c r="Y180" t="s">
        <v>29</v>
      </c>
    </row>
    <row r="181" spans="1:25" x14ac:dyDescent="0.2">
      <c r="A181" t="str">
        <f t="shared" si="23"/>
        <v>TRIP-229</v>
      </c>
      <c r="B181" s="2">
        <v>45764</v>
      </c>
      <c r="C181" s="3" t="str">
        <f>_xlfn.XLOOKUP(D181,'[1]Jan Customer Duplicate Hyva'!$B:$B,'[1]Jan Customer Duplicate Hyva'!$A:$A,"NOT FOUND")</f>
        <v>CUST-059</v>
      </c>
      <c r="D181" s="11" t="s">
        <v>84</v>
      </c>
      <c r="E181" s="11" t="s">
        <v>26</v>
      </c>
      <c r="F181" s="5" t="str">
        <f t="shared" si="24"/>
        <v>Anshu</v>
      </c>
      <c r="G181" s="5" t="str">
        <f t="shared" si="25"/>
        <v/>
      </c>
      <c r="H181" s="5" t="str">
        <f t="shared" si="26"/>
        <v/>
      </c>
      <c r="I181" s="5" t="str">
        <f>_xlfn.XLOOKUP(F181,'[1]Jan Labour Nd Drivers Hyva'!$B:$B,'[2]Jan Labour Nd Drivers Hyva'!$A:$A,"NOT FOUND")</f>
        <v>LAB-002</v>
      </c>
      <c r="J181" s="5" t="str">
        <f>IF(G181="","",_xlfn.XLOOKUP(G181,'[3]Jan Labour Nd Drivers Hyva'!$B:$B,'[2]Jan Labour Nd Drivers Hyva'!$A:$A,"NOT FOUND"))</f>
        <v/>
      </c>
      <c r="K181" s="5" t="str">
        <f>IF(H181="","",_xlfn.XLOOKUP(H181,'[2]Jan Labour Nd Drivers Hyva'!$B:$B,'[2]Jan Labour Nd Drivers Hyva'!$A:$A,"NOT FOUND"))</f>
        <v/>
      </c>
      <c r="L181" s="11" t="s">
        <v>126</v>
      </c>
      <c r="M181" s="12">
        <v>1</v>
      </c>
      <c r="N181" s="13">
        <v>37000</v>
      </c>
      <c r="O181" s="8">
        <f t="shared" si="27"/>
        <v>37000</v>
      </c>
      <c r="P181" s="13">
        <v>37000</v>
      </c>
      <c r="Q181" s="7">
        <f t="shared" si="33"/>
        <v>0</v>
      </c>
      <c r="R181" t="str">
        <f t="shared" si="28"/>
        <v>PAID</v>
      </c>
      <c r="S181" s="3"/>
      <c r="T181" s="9">
        <f t="shared" si="29"/>
        <v>37000</v>
      </c>
      <c r="U181" t="str">
        <f t="shared" si="30"/>
        <v>OK</v>
      </c>
      <c r="V181" s="10">
        <f t="shared" si="31"/>
        <v>0</v>
      </c>
      <c r="W181" t="str">
        <f t="shared" si="32"/>
        <v>OK</v>
      </c>
      <c r="X181" s="3" t="s">
        <v>28</v>
      </c>
      <c r="Y181" t="s">
        <v>29</v>
      </c>
    </row>
    <row r="182" spans="1:25" x14ac:dyDescent="0.2">
      <c r="A182" t="str">
        <f t="shared" si="23"/>
        <v>TRIP-230</v>
      </c>
      <c r="B182" s="2">
        <v>45764</v>
      </c>
      <c r="C182" s="3" t="str">
        <f>_xlfn.XLOOKUP(D182,'[1]Jan Customer Duplicate Hyva'!$B:$B,'[1]Jan Customer Duplicate Hyva'!$A:$A,"NOT FOUND")</f>
        <v>CUST-280</v>
      </c>
      <c r="D182" s="11" t="s">
        <v>171</v>
      </c>
      <c r="E182" s="11" t="s">
        <v>55</v>
      </c>
      <c r="F182" s="5" t="str">
        <f t="shared" si="24"/>
        <v>Gaju Bhau</v>
      </c>
      <c r="G182" s="5" t="str">
        <f t="shared" si="25"/>
        <v/>
      </c>
      <c r="H182" s="5" t="str">
        <f t="shared" si="26"/>
        <v/>
      </c>
      <c r="I182" s="5" t="str">
        <f>_xlfn.XLOOKUP(F182,'[1]Jan Labour Nd Drivers Hyva'!$B:$B,'[2]Jan Labour Nd Drivers Hyva'!$A:$A,"NOT FOUND")</f>
        <v>LAB-001</v>
      </c>
      <c r="J182" s="5" t="str">
        <f>IF(G182="","",_xlfn.XLOOKUP(G182,'[3]Jan Labour Nd Drivers Hyva'!$B:$B,'[2]Jan Labour Nd Drivers Hyva'!$A:$A,"NOT FOUND"))</f>
        <v/>
      </c>
      <c r="K182" s="5" t="str">
        <f>IF(H182="","",_xlfn.XLOOKUP(H182,'[2]Jan Labour Nd Drivers Hyva'!$B:$B,'[2]Jan Labour Nd Drivers Hyva'!$A:$A,"NOT FOUND"))</f>
        <v/>
      </c>
      <c r="L182" s="11" t="s">
        <v>195</v>
      </c>
      <c r="M182" s="12">
        <v>1</v>
      </c>
      <c r="N182" s="13">
        <v>28000</v>
      </c>
      <c r="O182" s="8">
        <f t="shared" si="27"/>
        <v>28000</v>
      </c>
      <c r="P182" s="13">
        <v>28000</v>
      </c>
      <c r="Q182" s="7">
        <f t="shared" si="33"/>
        <v>0</v>
      </c>
      <c r="R182" t="str">
        <f t="shared" si="28"/>
        <v>PAID</v>
      </c>
      <c r="S182" s="3"/>
      <c r="T182" s="9">
        <f t="shared" si="29"/>
        <v>28000</v>
      </c>
      <c r="U182" t="str">
        <f t="shared" si="30"/>
        <v>OK</v>
      </c>
      <c r="V182" s="10">
        <f t="shared" si="31"/>
        <v>0</v>
      </c>
      <c r="W182" t="str">
        <f t="shared" si="32"/>
        <v>OK</v>
      </c>
      <c r="X182" s="3" t="s">
        <v>28</v>
      </c>
      <c r="Y182" t="s">
        <v>29</v>
      </c>
    </row>
    <row r="183" spans="1:25" x14ac:dyDescent="0.2">
      <c r="A183" t="str">
        <f t="shared" si="23"/>
        <v>TRIP-231</v>
      </c>
      <c r="B183" s="2">
        <v>45764</v>
      </c>
      <c r="C183" s="3" t="str">
        <f>_xlfn.XLOOKUP(D183,'[1]Jan Customer Duplicate Hyva'!$B:$B,'[1]Jan Customer Duplicate Hyva'!$A:$A,"NOT FOUND")</f>
        <v>CUST-323</v>
      </c>
      <c r="D183" s="3" t="s">
        <v>51</v>
      </c>
      <c r="E183" s="11" t="s">
        <v>55</v>
      </c>
      <c r="F183" s="5" t="str">
        <f t="shared" si="24"/>
        <v>Gaju Bhau</v>
      </c>
      <c r="G183" s="5" t="str">
        <f t="shared" si="25"/>
        <v/>
      </c>
      <c r="H183" s="5" t="str">
        <f t="shared" si="26"/>
        <v/>
      </c>
      <c r="I183" s="5" t="str">
        <f>_xlfn.XLOOKUP(F183,'[1]Jan Labour Nd Drivers Hyva'!$B:$B,'[2]Jan Labour Nd Drivers Hyva'!$A:$A,"NOT FOUND")</f>
        <v>LAB-001</v>
      </c>
      <c r="J183" s="5" t="str">
        <f>IF(G183="","",_xlfn.XLOOKUP(G183,'[3]Jan Labour Nd Drivers Hyva'!$B:$B,'[2]Jan Labour Nd Drivers Hyva'!$A:$A,"NOT FOUND"))</f>
        <v/>
      </c>
      <c r="K183" s="5" t="str">
        <f>IF(H183="","",_xlfn.XLOOKUP(H183,'[2]Jan Labour Nd Drivers Hyva'!$B:$B,'[2]Jan Labour Nd Drivers Hyva'!$A:$A,"NOT FOUND"))</f>
        <v/>
      </c>
      <c r="L183" s="11" t="s">
        <v>41</v>
      </c>
      <c r="M183" s="12">
        <v>1</v>
      </c>
      <c r="N183" s="13">
        <v>38000</v>
      </c>
      <c r="O183" s="8">
        <f t="shared" si="27"/>
        <v>38000</v>
      </c>
      <c r="P183" s="13"/>
      <c r="Q183" s="7">
        <f t="shared" si="33"/>
        <v>38000</v>
      </c>
      <c r="R183" t="str">
        <f t="shared" si="28"/>
        <v>UNPAID</v>
      </c>
      <c r="S183" s="3"/>
      <c r="T183" s="9">
        <f t="shared" si="29"/>
        <v>38000</v>
      </c>
      <c r="U183" t="str">
        <f t="shared" si="30"/>
        <v>OK</v>
      </c>
      <c r="V183" s="10">
        <f t="shared" si="31"/>
        <v>38000</v>
      </c>
      <c r="W183" t="str">
        <f t="shared" si="32"/>
        <v>OK</v>
      </c>
      <c r="X183" s="3" t="s">
        <v>28</v>
      </c>
      <c r="Y183" t="s">
        <v>29</v>
      </c>
    </row>
    <row r="184" spans="1:25" x14ac:dyDescent="0.2">
      <c r="A184" t="str">
        <f t="shared" si="23"/>
        <v>TRIP-232</v>
      </c>
      <c r="B184" s="2">
        <v>45765</v>
      </c>
      <c r="C184" s="3" t="str">
        <f>_xlfn.XLOOKUP(D184,'[1]Jan Customer Duplicate Hyva'!$B:$B,'[1]Jan Customer Duplicate Hyva'!$A:$A,"NOT FOUND")</f>
        <v>CUST-037</v>
      </c>
      <c r="D184" s="11" t="s">
        <v>99</v>
      </c>
      <c r="E184" s="11" t="s">
        <v>196</v>
      </c>
      <c r="F184" s="5" t="str">
        <f t="shared" si="24"/>
        <v>Gaju Bhau</v>
      </c>
      <c r="G184" s="5" t="str">
        <f t="shared" si="25"/>
        <v>Ravi</v>
      </c>
      <c r="H184" s="5" t="str">
        <f t="shared" si="26"/>
        <v/>
      </c>
      <c r="I184" s="5" t="str">
        <f>_xlfn.XLOOKUP(F184,'[1]Jan Labour Nd Drivers Hyva'!$B:$B,'[2]Jan Labour Nd Drivers Hyva'!$A:$A,"NOT FOUND")</f>
        <v>LAB-001</v>
      </c>
      <c r="J184" s="5" t="str">
        <f>IF(G184="","",_xlfn.XLOOKUP(G184,'[3]Jan Labour Nd Drivers Hyva'!$B:$B,'[2]Jan Labour Nd Drivers Hyva'!$A:$A,"NOT FOUND"))</f>
        <v>LAB-003</v>
      </c>
      <c r="K184" s="5" t="str">
        <f>IF(H184="","",_xlfn.XLOOKUP(H184,'[2]Jan Labour Nd Drivers Hyva'!$B:$B,'[2]Jan Labour Nd Drivers Hyva'!$A:$A,"NOT FOUND"))</f>
        <v/>
      </c>
      <c r="L184" s="11" t="s">
        <v>107</v>
      </c>
      <c r="M184" s="12">
        <v>2</v>
      </c>
      <c r="N184" s="13">
        <v>34000</v>
      </c>
      <c r="O184" s="8">
        <f t="shared" si="27"/>
        <v>68000</v>
      </c>
      <c r="P184" s="13"/>
      <c r="Q184" s="7">
        <f t="shared" si="33"/>
        <v>68000</v>
      </c>
      <c r="R184" t="str">
        <f t="shared" si="28"/>
        <v>UNPAID</v>
      </c>
      <c r="S184" s="3"/>
      <c r="T184" s="9">
        <f t="shared" si="29"/>
        <v>68000</v>
      </c>
      <c r="U184" t="str">
        <f t="shared" si="30"/>
        <v>OK</v>
      </c>
      <c r="V184" s="10">
        <f t="shared" si="31"/>
        <v>68000</v>
      </c>
      <c r="W184" t="str">
        <f t="shared" si="32"/>
        <v>OK</v>
      </c>
      <c r="X184" s="3" t="s">
        <v>28</v>
      </c>
      <c r="Y184" t="s">
        <v>29</v>
      </c>
    </row>
    <row r="185" spans="1:25" x14ac:dyDescent="0.2">
      <c r="A185" t="str">
        <f t="shared" si="23"/>
        <v>TRIP-233</v>
      </c>
      <c r="B185" s="2">
        <v>45765</v>
      </c>
      <c r="C185" s="3" t="str">
        <f>_xlfn.XLOOKUP(D185,'[1]Jan Customer Duplicate Hyva'!$B:$B,'[1]Jan Customer Duplicate Hyva'!$A:$A,"NOT FOUND")</f>
        <v>CUST-120</v>
      </c>
      <c r="D185" s="11" t="s">
        <v>122</v>
      </c>
      <c r="E185" s="11" t="s">
        <v>55</v>
      </c>
      <c r="F185" s="5" t="str">
        <f t="shared" si="24"/>
        <v>Gaju Bhau</v>
      </c>
      <c r="G185" s="5" t="str">
        <f t="shared" si="25"/>
        <v/>
      </c>
      <c r="H185" s="5" t="str">
        <f t="shared" si="26"/>
        <v/>
      </c>
      <c r="I185" s="5" t="str">
        <f>_xlfn.XLOOKUP(F185,'[1]Jan Labour Nd Drivers Hyva'!$B:$B,'[2]Jan Labour Nd Drivers Hyva'!$A:$A,"NOT FOUND")</f>
        <v>LAB-001</v>
      </c>
      <c r="J185" s="5" t="str">
        <f>IF(G185="","",_xlfn.XLOOKUP(G185,'[3]Jan Labour Nd Drivers Hyva'!$B:$B,'[2]Jan Labour Nd Drivers Hyva'!$A:$A,"NOT FOUND"))</f>
        <v/>
      </c>
      <c r="K185" s="5" t="str">
        <f>IF(H185="","",_xlfn.XLOOKUP(H185,'[2]Jan Labour Nd Drivers Hyva'!$B:$B,'[2]Jan Labour Nd Drivers Hyva'!$A:$A,"NOT FOUND"))</f>
        <v/>
      </c>
      <c r="L185" s="11" t="s">
        <v>197</v>
      </c>
      <c r="M185" s="12">
        <v>1</v>
      </c>
      <c r="N185" s="13">
        <v>35000</v>
      </c>
      <c r="O185" s="8">
        <f t="shared" si="27"/>
        <v>35000</v>
      </c>
      <c r="P185" s="13">
        <v>35000</v>
      </c>
      <c r="Q185" s="7">
        <f t="shared" si="33"/>
        <v>0</v>
      </c>
      <c r="R185" t="str">
        <f t="shared" si="28"/>
        <v>PAID</v>
      </c>
      <c r="S185" s="3"/>
      <c r="T185" s="9">
        <f t="shared" si="29"/>
        <v>35000</v>
      </c>
      <c r="U185" t="str">
        <f t="shared" si="30"/>
        <v>OK</v>
      </c>
      <c r="V185" s="10">
        <f t="shared" si="31"/>
        <v>0</v>
      </c>
      <c r="W185" t="str">
        <f t="shared" si="32"/>
        <v>OK</v>
      </c>
      <c r="X185" s="3" t="s">
        <v>28</v>
      </c>
      <c r="Y185" t="s">
        <v>29</v>
      </c>
    </row>
    <row r="186" spans="1:25" x14ac:dyDescent="0.2">
      <c r="A186" t="str">
        <f t="shared" si="23"/>
        <v>TRIP-234</v>
      </c>
      <c r="B186" s="2">
        <v>45765</v>
      </c>
      <c r="C186" s="3" t="str">
        <f>_xlfn.XLOOKUP(D186,'[1]Jan Customer Duplicate Hyva'!$B:$B,'[1]Jan Customer Duplicate Hyva'!$A:$A,"NOT FOUND")</f>
        <v>CUST-170</v>
      </c>
      <c r="D186" s="11" t="s">
        <v>156</v>
      </c>
      <c r="E186" s="11" t="s">
        <v>30</v>
      </c>
      <c r="F186" s="5" t="str">
        <f t="shared" si="24"/>
        <v>Ravi</v>
      </c>
      <c r="G186" s="5" t="str">
        <f t="shared" si="25"/>
        <v/>
      </c>
      <c r="H186" s="5" t="str">
        <f t="shared" si="26"/>
        <v/>
      </c>
      <c r="I186" s="5" t="str">
        <f>_xlfn.XLOOKUP(F186,'[1]Jan Labour Nd Drivers Hyva'!$B:$B,'[2]Jan Labour Nd Drivers Hyva'!$A:$A,"NOT FOUND")</f>
        <v>LAB-003</v>
      </c>
      <c r="J186" s="5" t="str">
        <f>IF(G186="","",_xlfn.XLOOKUP(G186,'[3]Jan Labour Nd Drivers Hyva'!$B:$B,'[2]Jan Labour Nd Drivers Hyva'!$A:$A,"NOT FOUND"))</f>
        <v/>
      </c>
      <c r="K186" s="5" t="str">
        <f>IF(H186="","",_xlfn.XLOOKUP(H186,'[2]Jan Labour Nd Drivers Hyva'!$B:$B,'[2]Jan Labour Nd Drivers Hyva'!$A:$A,"NOT FOUND"))</f>
        <v/>
      </c>
      <c r="L186" s="11" t="s">
        <v>198</v>
      </c>
      <c r="M186" s="12">
        <v>1</v>
      </c>
      <c r="N186" s="13">
        <v>35000</v>
      </c>
      <c r="O186" s="8">
        <f t="shared" si="27"/>
        <v>35000</v>
      </c>
      <c r="P186" s="13">
        <v>35000</v>
      </c>
      <c r="Q186" s="7">
        <f t="shared" si="33"/>
        <v>0</v>
      </c>
      <c r="R186" t="str">
        <f t="shared" si="28"/>
        <v>PAID</v>
      </c>
      <c r="S186" s="3"/>
      <c r="T186" s="9">
        <f t="shared" si="29"/>
        <v>35000</v>
      </c>
      <c r="U186" t="str">
        <f t="shared" si="30"/>
        <v>OK</v>
      </c>
      <c r="V186" s="10">
        <f t="shared" si="31"/>
        <v>0</v>
      </c>
      <c r="W186" t="str">
        <f t="shared" si="32"/>
        <v>OK</v>
      </c>
      <c r="X186" s="3" t="s">
        <v>28</v>
      </c>
      <c r="Y186" t="s">
        <v>29</v>
      </c>
    </row>
    <row r="187" spans="1:25" x14ac:dyDescent="0.2">
      <c r="A187" t="str">
        <f t="shared" si="23"/>
        <v>TRIP-235</v>
      </c>
      <c r="B187" s="2">
        <v>45766</v>
      </c>
      <c r="C187" s="3" t="str">
        <f>_xlfn.XLOOKUP(D187,'[1]Jan Customer Duplicate Hyva'!$B:$B,'[1]Jan Customer Duplicate Hyva'!$A:$A,"NOT FOUND")</f>
        <v>CUST-120</v>
      </c>
      <c r="D187" s="11" t="s">
        <v>122</v>
      </c>
      <c r="E187" s="11" t="s">
        <v>26</v>
      </c>
      <c r="F187" s="5" t="str">
        <f t="shared" si="24"/>
        <v>Anshu</v>
      </c>
      <c r="G187" s="5" t="str">
        <f t="shared" si="25"/>
        <v/>
      </c>
      <c r="H187" s="5" t="str">
        <f t="shared" si="26"/>
        <v/>
      </c>
      <c r="I187" s="5" t="str">
        <f>_xlfn.XLOOKUP(F187,'[1]Jan Labour Nd Drivers Hyva'!$B:$B,'[2]Jan Labour Nd Drivers Hyva'!$A:$A,"NOT FOUND")</f>
        <v>LAB-002</v>
      </c>
      <c r="J187" s="5" t="str">
        <f>IF(G187="","",_xlfn.XLOOKUP(G187,'[3]Jan Labour Nd Drivers Hyva'!$B:$B,'[2]Jan Labour Nd Drivers Hyva'!$A:$A,"NOT FOUND"))</f>
        <v/>
      </c>
      <c r="K187" s="5" t="str">
        <f>IF(H187="","",_xlfn.XLOOKUP(H187,'[2]Jan Labour Nd Drivers Hyva'!$B:$B,'[2]Jan Labour Nd Drivers Hyva'!$A:$A,"NOT FOUND"))</f>
        <v/>
      </c>
      <c r="L187" s="11" t="s">
        <v>199</v>
      </c>
      <c r="M187" s="12">
        <v>1</v>
      </c>
      <c r="N187" s="13">
        <v>35000</v>
      </c>
      <c r="O187" s="8">
        <f t="shared" si="27"/>
        <v>35000</v>
      </c>
      <c r="P187" s="13">
        <v>35000</v>
      </c>
      <c r="Q187" s="7">
        <f t="shared" si="33"/>
        <v>0</v>
      </c>
      <c r="R187" t="str">
        <f t="shared" si="28"/>
        <v>PAID</v>
      </c>
      <c r="S187" s="3"/>
      <c r="T187" s="9">
        <f t="shared" si="29"/>
        <v>35000</v>
      </c>
      <c r="U187" t="str">
        <f t="shared" si="30"/>
        <v>OK</v>
      </c>
      <c r="V187" s="10">
        <f t="shared" si="31"/>
        <v>0</v>
      </c>
      <c r="W187" t="str">
        <f t="shared" si="32"/>
        <v>OK</v>
      </c>
      <c r="X187" s="3" t="s">
        <v>28</v>
      </c>
      <c r="Y187" t="s">
        <v>29</v>
      </c>
    </row>
    <row r="188" spans="1:25" x14ac:dyDescent="0.2">
      <c r="A188" t="str">
        <f t="shared" si="23"/>
        <v>TRIP-236</v>
      </c>
      <c r="B188" s="2">
        <v>45767</v>
      </c>
      <c r="C188" s="3" t="str">
        <f>_xlfn.XLOOKUP(D188,'[1]Jan Customer Duplicate Hyva'!$B:$B,'[1]Jan Customer Duplicate Hyva'!$A:$A,"NOT FOUND")</f>
        <v>CUST-045</v>
      </c>
      <c r="D188" s="11" t="s">
        <v>82</v>
      </c>
      <c r="E188" s="11" t="s">
        <v>200</v>
      </c>
      <c r="F188" s="5" t="str">
        <f t="shared" si="24"/>
        <v>Anshu</v>
      </c>
      <c r="G188" s="5" t="str">
        <f t="shared" si="25"/>
        <v>Gaju Bhau</v>
      </c>
      <c r="H188" s="5" t="str">
        <f t="shared" si="26"/>
        <v>Ravi</v>
      </c>
      <c r="I188" s="5" t="str">
        <f>_xlfn.XLOOKUP(F188,'[1]Jan Labour Nd Drivers Hyva'!$B:$B,'[2]Jan Labour Nd Drivers Hyva'!$A:$A,"NOT FOUND")</f>
        <v>LAB-002</v>
      </c>
      <c r="J188" s="5" t="str">
        <f>IF(G188="","",_xlfn.XLOOKUP(G188,'[3]Jan Labour Nd Drivers Hyva'!$B:$B,'[2]Jan Labour Nd Drivers Hyva'!$A:$A,"NOT FOUND"))</f>
        <v>LAB-001</v>
      </c>
      <c r="K188" s="5" t="str">
        <f>IF(H188="","",_xlfn.XLOOKUP(H188,'[2]Jan Labour Nd Drivers Hyva'!$B:$B,'[2]Jan Labour Nd Drivers Hyva'!$A:$A,"NOT FOUND"))</f>
        <v>LAB-003</v>
      </c>
      <c r="L188" s="11" t="s">
        <v>157</v>
      </c>
      <c r="M188" s="12">
        <v>3</v>
      </c>
      <c r="N188" s="13">
        <v>35000</v>
      </c>
      <c r="O188" s="8">
        <f t="shared" si="27"/>
        <v>105000</v>
      </c>
      <c r="P188" s="13">
        <v>105000</v>
      </c>
      <c r="Q188" s="7">
        <f t="shared" si="33"/>
        <v>0</v>
      </c>
      <c r="R188" t="str">
        <f t="shared" si="28"/>
        <v>PAID</v>
      </c>
      <c r="S188" s="3"/>
      <c r="T188" s="9">
        <f t="shared" si="29"/>
        <v>105000</v>
      </c>
      <c r="U188" t="str">
        <f t="shared" si="30"/>
        <v>OK</v>
      </c>
      <c r="V188" s="10">
        <f t="shared" si="31"/>
        <v>0</v>
      </c>
      <c r="W188" t="str">
        <f t="shared" si="32"/>
        <v>OK</v>
      </c>
      <c r="X188" s="3" t="s">
        <v>28</v>
      </c>
      <c r="Y188" t="s">
        <v>29</v>
      </c>
    </row>
    <row r="189" spans="1:25" x14ac:dyDescent="0.2">
      <c r="A189" t="str">
        <f t="shared" si="23"/>
        <v>TRIP-237</v>
      </c>
      <c r="B189" s="2">
        <v>45767</v>
      </c>
      <c r="C189" s="3" t="str">
        <f>_xlfn.XLOOKUP(D189,'[1]Jan Customer Duplicate Hyva'!$B:$B,'[1]Jan Customer Duplicate Hyva'!$A:$A,"NOT FOUND")</f>
        <v>CUST-253</v>
      </c>
      <c r="D189" s="11" t="s">
        <v>148</v>
      </c>
      <c r="E189" s="11" t="s">
        <v>137</v>
      </c>
      <c r="F189" s="5" t="str">
        <f t="shared" si="24"/>
        <v>Anshu</v>
      </c>
      <c r="G189" s="5" t="str">
        <f t="shared" si="25"/>
        <v>Gaju Bhau</v>
      </c>
      <c r="H189" s="5" t="str">
        <f t="shared" si="26"/>
        <v/>
      </c>
      <c r="I189" s="5" t="str">
        <f>_xlfn.XLOOKUP(F189,'[1]Jan Labour Nd Drivers Hyva'!$B:$B,'[2]Jan Labour Nd Drivers Hyva'!$A:$A,"NOT FOUND")</f>
        <v>LAB-002</v>
      </c>
      <c r="J189" s="5" t="str">
        <f>IF(G189="","",_xlfn.XLOOKUP(G189,'[3]Jan Labour Nd Drivers Hyva'!$B:$B,'[2]Jan Labour Nd Drivers Hyva'!$A:$A,"NOT FOUND"))</f>
        <v>LAB-001</v>
      </c>
      <c r="K189" s="5" t="str">
        <f>IF(H189="","",_xlfn.XLOOKUP(H189,'[2]Jan Labour Nd Drivers Hyva'!$B:$B,'[2]Jan Labour Nd Drivers Hyva'!$A:$A,"NOT FOUND"))</f>
        <v/>
      </c>
      <c r="L189" s="11" t="s">
        <v>201</v>
      </c>
      <c r="M189" s="12">
        <v>2</v>
      </c>
      <c r="N189" s="13">
        <v>34000</v>
      </c>
      <c r="O189" s="8">
        <f t="shared" si="27"/>
        <v>68000</v>
      </c>
      <c r="P189" s="13">
        <v>68000</v>
      </c>
      <c r="Q189" s="7">
        <f t="shared" si="33"/>
        <v>0</v>
      </c>
      <c r="R189" t="str">
        <f t="shared" si="28"/>
        <v>PAID</v>
      </c>
      <c r="S189" s="3"/>
      <c r="T189" s="9">
        <f t="shared" si="29"/>
        <v>68000</v>
      </c>
      <c r="U189" t="str">
        <f t="shared" si="30"/>
        <v>OK</v>
      </c>
      <c r="V189" s="10">
        <f t="shared" si="31"/>
        <v>0</v>
      </c>
      <c r="W189" t="str">
        <f t="shared" si="32"/>
        <v>OK</v>
      </c>
      <c r="X189" s="3" t="s">
        <v>28</v>
      </c>
      <c r="Y189" t="s">
        <v>29</v>
      </c>
    </row>
    <row r="190" spans="1:25" x14ac:dyDescent="0.2">
      <c r="A190" t="str">
        <f t="shared" si="23"/>
        <v>TRIP-238</v>
      </c>
      <c r="B190" s="2">
        <v>45768</v>
      </c>
      <c r="C190" s="3" t="str">
        <f>_xlfn.XLOOKUP(D190,'[1]Jan Customer Duplicate Hyva'!$B:$B,'[1]Jan Customer Duplicate Hyva'!$A:$A,"NOT FOUND")</f>
        <v>CUST-229</v>
      </c>
      <c r="D190" s="11" t="s">
        <v>110</v>
      </c>
      <c r="E190" s="11" t="s">
        <v>137</v>
      </c>
      <c r="F190" s="5" t="str">
        <f t="shared" si="24"/>
        <v>Anshu</v>
      </c>
      <c r="G190" s="5" t="str">
        <f t="shared" si="25"/>
        <v>Gaju Bhau</v>
      </c>
      <c r="H190" s="5" t="str">
        <f t="shared" si="26"/>
        <v/>
      </c>
      <c r="I190" s="5" t="str">
        <f>_xlfn.XLOOKUP(F190,'[1]Jan Labour Nd Drivers Hyva'!$B:$B,'[2]Jan Labour Nd Drivers Hyva'!$A:$A,"NOT FOUND")</f>
        <v>LAB-002</v>
      </c>
      <c r="J190" s="5" t="str">
        <f>IF(G190="","",_xlfn.XLOOKUP(G190,'[3]Jan Labour Nd Drivers Hyva'!$B:$B,'[2]Jan Labour Nd Drivers Hyva'!$A:$A,"NOT FOUND"))</f>
        <v>LAB-001</v>
      </c>
      <c r="K190" s="5" t="str">
        <f>IF(H190="","",_xlfn.XLOOKUP(H190,'[2]Jan Labour Nd Drivers Hyva'!$B:$B,'[2]Jan Labour Nd Drivers Hyva'!$A:$A,"NOT FOUND"))</f>
        <v/>
      </c>
      <c r="L190" s="11" t="s">
        <v>202</v>
      </c>
      <c r="M190" s="12">
        <v>2</v>
      </c>
      <c r="N190" s="13">
        <v>34000</v>
      </c>
      <c r="O190" s="8">
        <f t="shared" si="27"/>
        <v>68000</v>
      </c>
      <c r="P190" s="13">
        <v>68000</v>
      </c>
      <c r="Q190" s="7">
        <f t="shared" si="33"/>
        <v>0</v>
      </c>
      <c r="R190" t="str">
        <f t="shared" si="28"/>
        <v>PAID</v>
      </c>
      <c r="S190" s="3"/>
      <c r="T190" s="9">
        <f t="shared" si="29"/>
        <v>68000</v>
      </c>
      <c r="U190" t="str">
        <f t="shared" si="30"/>
        <v>OK</v>
      </c>
      <c r="V190" s="10">
        <f t="shared" si="31"/>
        <v>0</v>
      </c>
      <c r="W190" t="str">
        <f t="shared" si="32"/>
        <v>OK</v>
      </c>
      <c r="X190" s="3" t="s">
        <v>28</v>
      </c>
      <c r="Y190" t="s">
        <v>29</v>
      </c>
    </row>
    <row r="191" spans="1:25" x14ac:dyDescent="0.2">
      <c r="A191" t="str">
        <f t="shared" si="23"/>
        <v>TRIP-239</v>
      </c>
      <c r="B191" s="2">
        <v>45768</v>
      </c>
      <c r="C191" s="3" t="str">
        <f>_xlfn.XLOOKUP(D191,'[1]Jan Customer Duplicate Hyva'!$B:$B,'[1]Jan Customer Duplicate Hyva'!$A:$A,"NOT FOUND")</f>
        <v>CUST-037</v>
      </c>
      <c r="D191" s="11" t="s">
        <v>99</v>
      </c>
      <c r="E191" s="11" t="s">
        <v>55</v>
      </c>
      <c r="F191" s="5" t="str">
        <f t="shared" si="24"/>
        <v>Gaju Bhau</v>
      </c>
      <c r="G191" s="5" t="str">
        <f t="shared" si="25"/>
        <v/>
      </c>
      <c r="H191" s="5" t="str">
        <f t="shared" si="26"/>
        <v/>
      </c>
      <c r="I191" s="5" t="str">
        <f>_xlfn.XLOOKUP(F191,'[1]Jan Labour Nd Drivers Hyva'!$B:$B,'[2]Jan Labour Nd Drivers Hyva'!$A:$A,"NOT FOUND")</f>
        <v>LAB-001</v>
      </c>
      <c r="J191" s="5" t="str">
        <f>IF(G191="","",_xlfn.XLOOKUP(G191,'[3]Jan Labour Nd Drivers Hyva'!$B:$B,'[2]Jan Labour Nd Drivers Hyva'!$A:$A,"NOT FOUND"))</f>
        <v/>
      </c>
      <c r="K191" s="5" t="str">
        <f>IF(H191="","",_xlfn.XLOOKUP(H191,'[2]Jan Labour Nd Drivers Hyva'!$B:$B,'[2]Jan Labour Nd Drivers Hyva'!$A:$A,"NOT FOUND"))</f>
        <v/>
      </c>
      <c r="L191" s="11" t="s">
        <v>107</v>
      </c>
      <c r="M191" s="12">
        <v>1</v>
      </c>
      <c r="N191" s="13">
        <v>34000</v>
      </c>
      <c r="O191" s="8">
        <f t="shared" si="27"/>
        <v>34000</v>
      </c>
      <c r="P191" s="13"/>
      <c r="Q191" s="7">
        <f t="shared" si="33"/>
        <v>34000</v>
      </c>
      <c r="R191" t="str">
        <f t="shared" si="28"/>
        <v>UNPAID</v>
      </c>
      <c r="S191" s="3"/>
      <c r="T191" s="9">
        <f t="shared" si="29"/>
        <v>34000</v>
      </c>
      <c r="U191" t="str">
        <f t="shared" si="30"/>
        <v>OK</v>
      </c>
      <c r="V191" s="10">
        <f t="shared" si="31"/>
        <v>34000</v>
      </c>
      <c r="W191" t="str">
        <f t="shared" si="32"/>
        <v>OK</v>
      </c>
      <c r="X191" s="3" t="s">
        <v>28</v>
      </c>
      <c r="Y191" t="s">
        <v>29</v>
      </c>
    </row>
    <row r="192" spans="1:25" x14ac:dyDescent="0.2">
      <c r="A192" t="str">
        <f t="shared" si="23"/>
        <v>TRIP-240</v>
      </c>
      <c r="B192" s="2">
        <v>45769</v>
      </c>
      <c r="C192" s="3" t="str">
        <f>_xlfn.XLOOKUP(D192,'[1]Jan Customer Duplicate Hyva'!$B:$B,'[1]Jan Customer Duplicate Hyva'!$A:$A,"NOT FOUND")</f>
        <v>CUST-236</v>
      </c>
      <c r="D192" s="11" t="s">
        <v>58</v>
      </c>
      <c r="E192" s="11" t="s">
        <v>26</v>
      </c>
      <c r="F192" s="5" t="str">
        <f t="shared" si="24"/>
        <v>Anshu</v>
      </c>
      <c r="G192" s="5" t="str">
        <f t="shared" si="25"/>
        <v/>
      </c>
      <c r="H192" s="5" t="str">
        <f t="shared" si="26"/>
        <v/>
      </c>
      <c r="I192" s="5" t="str">
        <f>_xlfn.XLOOKUP(F192,'[1]Jan Labour Nd Drivers Hyva'!$B:$B,'[2]Jan Labour Nd Drivers Hyva'!$A:$A,"NOT FOUND")</f>
        <v>LAB-002</v>
      </c>
      <c r="J192" s="5" t="str">
        <f>IF(G192="","",_xlfn.XLOOKUP(G192,'[3]Jan Labour Nd Drivers Hyva'!$B:$B,'[2]Jan Labour Nd Drivers Hyva'!$A:$A,"NOT FOUND"))</f>
        <v/>
      </c>
      <c r="K192" s="5" t="str">
        <f>IF(H192="","",_xlfn.XLOOKUP(H192,'[2]Jan Labour Nd Drivers Hyva'!$B:$B,'[2]Jan Labour Nd Drivers Hyva'!$A:$A,"NOT FOUND"))</f>
        <v/>
      </c>
      <c r="L192" s="11" t="s">
        <v>203</v>
      </c>
      <c r="M192" s="12">
        <v>1</v>
      </c>
      <c r="N192" s="13">
        <v>36000</v>
      </c>
      <c r="O192" s="8">
        <f t="shared" si="27"/>
        <v>36000</v>
      </c>
      <c r="P192" s="13">
        <v>36000</v>
      </c>
      <c r="Q192" s="7">
        <f t="shared" si="33"/>
        <v>0</v>
      </c>
      <c r="R192" t="str">
        <f t="shared" si="28"/>
        <v>PAID</v>
      </c>
      <c r="S192" s="3"/>
      <c r="T192" s="9">
        <f t="shared" si="29"/>
        <v>36000</v>
      </c>
      <c r="U192" t="str">
        <f t="shared" si="30"/>
        <v>OK</v>
      </c>
      <c r="V192" s="10">
        <f t="shared" si="31"/>
        <v>0</v>
      </c>
      <c r="W192" t="str">
        <f t="shared" si="32"/>
        <v>OK</v>
      </c>
      <c r="X192" s="3" t="s">
        <v>28</v>
      </c>
      <c r="Y192" t="s">
        <v>29</v>
      </c>
    </row>
    <row r="193" spans="1:25" x14ac:dyDescent="0.2">
      <c r="A193" t="str">
        <f t="shared" si="23"/>
        <v>TRIP-241</v>
      </c>
      <c r="B193" s="2">
        <v>45769</v>
      </c>
      <c r="C193" s="3" t="str">
        <f>_xlfn.XLOOKUP(D193,'[1]Jan Customer Duplicate Hyva'!$B:$B,'[1]Jan Customer Duplicate Hyva'!$A:$A,"NOT FOUND")</f>
        <v>CUST-037</v>
      </c>
      <c r="D193" s="11" t="s">
        <v>99</v>
      </c>
      <c r="E193" s="11" t="s">
        <v>55</v>
      </c>
      <c r="F193" s="5" t="str">
        <f t="shared" si="24"/>
        <v>Gaju Bhau</v>
      </c>
      <c r="G193" s="5" t="str">
        <f t="shared" si="25"/>
        <v/>
      </c>
      <c r="H193" s="5" t="str">
        <f t="shared" si="26"/>
        <v/>
      </c>
      <c r="I193" s="5" t="str">
        <f>_xlfn.XLOOKUP(F193,'[1]Jan Labour Nd Drivers Hyva'!$B:$B,'[2]Jan Labour Nd Drivers Hyva'!$A:$A,"NOT FOUND")</f>
        <v>LAB-001</v>
      </c>
      <c r="J193" s="5" t="str">
        <f>IF(G193="","",_xlfn.XLOOKUP(G193,'[3]Jan Labour Nd Drivers Hyva'!$B:$B,'[2]Jan Labour Nd Drivers Hyva'!$A:$A,"NOT FOUND"))</f>
        <v/>
      </c>
      <c r="K193" s="5" t="str">
        <f>IF(H193="","",_xlfn.XLOOKUP(H193,'[2]Jan Labour Nd Drivers Hyva'!$B:$B,'[2]Jan Labour Nd Drivers Hyva'!$A:$A,"NOT FOUND"))</f>
        <v/>
      </c>
      <c r="L193" s="11" t="s">
        <v>157</v>
      </c>
      <c r="M193" s="12">
        <v>1</v>
      </c>
      <c r="N193" s="13">
        <v>34000</v>
      </c>
      <c r="O193" s="8">
        <f t="shared" si="27"/>
        <v>34000</v>
      </c>
      <c r="P193" s="13"/>
      <c r="Q193" s="7">
        <f t="shared" si="33"/>
        <v>34000</v>
      </c>
      <c r="R193" t="str">
        <f t="shared" si="28"/>
        <v>UNPAID</v>
      </c>
      <c r="S193" s="3"/>
      <c r="T193" s="9">
        <f t="shared" si="29"/>
        <v>34000</v>
      </c>
      <c r="U193" t="str">
        <f t="shared" si="30"/>
        <v>OK</v>
      </c>
      <c r="V193" s="10">
        <f t="shared" si="31"/>
        <v>34000</v>
      </c>
      <c r="W193" t="str">
        <f t="shared" si="32"/>
        <v>OK</v>
      </c>
      <c r="X193" s="3" t="s">
        <v>28</v>
      </c>
      <c r="Y193" t="s">
        <v>29</v>
      </c>
    </row>
    <row r="194" spans="1:25" x14ac:dyDescent="0.2">
      <c r="A194" t="str">
        <f t="shared" si="23"/>
        <v>TRIP-242</v>
      </c>
      <c r="B194" s="2">
        <v>45770</v>
      </c>
      <c r="C194" s="3" t="str">
        <f>_xlfn.XLOOKUP(D194,'[1]Jan Customer Duplicate Hyva'!$B:$B,'[1]Jan Customer Duplicate Hyva'!$A:$A,"NOT FOUND")</f>
        <v>CUST-046</v>
      </c>
      <c r="D194" s="11" t="s">
        <v>204</v>
      </c>
      <c r="E194" s="11" t="s">
        <v>55</v>
      </c>
      <c r="F194" s="5" t="str">
        <f t="shared" si="24"/>
        <v>Gaju Bhau</v>
      </c>
      <c r="G194" s="5" t="str">
        <f t="shared" si="25"/>
        <v/>
      </c>
      <c r="H194" s="5" t="str">
        <f t="shared" si="26"/>
        <v/>
      </c>
      <c r="I194" s="5" t="str">
        <f>_xlfn.XLOOKUP(F194,'[1]Jan Labour Nd Drivers Hyva'!$B:$B,'[2]Jan Labour Nd Drivers Hyva'!$A:$A,"NOT FOUND")</f>
        <v>LAB-001</v>
      </c>
      <c r="J194" s="5" t="str">
        <f>IF(G194="","",_xlfn.XLOOKUP(G194,'[3]Jan Labour Nd Drivers Hyva'!$B:$B,'[2]Jan Labour Nd Drivers Hyva'!$A:$A,"NOT FOUND"))</f>
        <v/>
      </c>
      <c r="K194" s="5" t="str">
        <f>IF(H194="","",_xlfn.XLOOKUP(H194,'[2]Jan Labour Nd Drivers Hyva'!$B:$B,'[2]Jan Labour Nd Drivers Hyva'!$A:$A,"NOT FOUND"))</f>
        <v/>
      </c>
      <c r="L194" s="11" t="s">
        <v>205</v>
      </c>
      <c r="M194" s="12">
        <v>1</v>
      </c>
      <c r="N194" s="13">
        <v>35000</v>
      </c>
      <c r="O194" s="8">
        <f t="shared" si="27"/>
        <v>35000</v>
      </c>
      <c r="P194" s="13">
        <v>35000</v>
      </c>
      <c r="Q194" s="7">
        <f t="shared" si="33"/>
        <v>0</v>
      </c>
      <c r="R194" t="str">
        <f t="shared" si="28"/>
        <v>PAID</v>
      </c>
      <c r="S194" s="3"/>
      <c r="T194" s="9">
        <f t="shared" si="29"/>
        <v>35000</v>
      </c>
      <c r="U194" t="str">
        <f t="shared" si="30"/>
        <v>OK</v>
      </c>
      <c r="V194" s="10">
        <f t="shared" si="31"/>
        <v>0</v>
      </c>
      <c r="W194" t="str">
        <f t="shared" si="32"/>
        <v>OK</v>
      </c>
      <c r="X194" s="3" t="s">
        <v>28</v>
      </c>
      <c r="Y194" t="s">
        <v>29</v>
      </c>
    </row>
    <row r="195" spans="1:25" x14ac:dyDescent="0.2">
      <c r="A195" t="str">
        <f t="shared" ref="A195:A258" si="34">"TRIP-"&amp;TEXT(ROW()+48,"000")</f>
        <v>TRIP-243</v>
      </c>
      <c r="B195" s="2">
        <v>45770</v>
      </c>
      <c r="C195" s="3" t="str">
        <f>_xlfn.XLOOKUP(D195,'[1]Jan Customer Duplicate Hyva'!$B:$B,'[1]Jan Customer Duplicate Hyva'!$A:$A,"NOT FOUND")</f>
        <v>CUST-323</v>
      </c>
      <c r="D195" s="3" t="s">
        <v>51</v>
      </c>
      <c r="E195" s="11" t="s">
        <v>55</v>
      </c>
      <c r="F195" s="5" t="str">
        <f t="shared" ref="F195:F258" si="35">TRIM(_xlfn.TEXTBEFORE(E195&amp;" / "," / "))</f>
        <v>Gaju Bhau</v>
      </c>
      <c r="G195" s="5" t="str">
        <f t="shared" ref="G195:G258" si="36">IFERROR(TRIM(_xlfn.TEXTBEFORE(_xlfn.TEXTAFTER(E195," / ")&amp;" / "," / ")),"")</f>
        <v/>
      </c>
      <c r="H195" s="5" t="str">
        <f t="shared" ref="H195:H258" si="37">IFERROR(TRIM(_xlfn.TEXTAFTER(E195," / ","2")),"")</f>
        <v/>
      </c>
      <c r="I195" s="5" t="str">
        <f>_xlfn.XLOOKUP(F195,'[1]Jan Labour Nd Drivers Hyva'!$B:$B,'[2]Jan Labour Nd Drivers Hyva'!$A:$A,"NOT FOUND")</f>
        <v>LAB-001</v>
      </c>
      <c r="J195" s="5" t="str">
        <f>IF(G195="","",_xlfn.XLOOKUP(G195,'[3]Jan Labour Nd Drivers Hyva'!$B:$B,'[2]Jan Labour Nd Drivers Hyva'!$A:$A,"NOT FOUND"))</f>
        <v/>
      </c>
      <c r="K195" s="5" t="str">
        <f>IF(H195="","",_xlfn.XLOOKUP(H195,'[2]Jan Labour Nd Drivers Hyva'!$B:$B,'[2]Jan Labour Nd Drivers Hyva'!$A:$A,"NOT FOUND"))</f>
        <v/>
      </c>
      <c r="L195" s="11" t="s">
        <v>89</v>
      </c>
      <c r="M195" s="12">
        <v>1</v>
      </c>
      <c r="N195" s="13">
        <v>35000</v>
      </c>
      <c r="O195" s="8">
        <f t="shared" ref="O195:O258" si="38">N195*M195</f>
        <v>35000</v>
      </c>
      <c r="P195" s="13"/>
      <c r="Q195" s="7">
        <f t="shared" si="33"/>
        <v>35000</v>
      </c>
      <c r="R195" t="str">
        <f t="shared" ref="R195:R258" si="39">IF(Q195=0,"PAID",IF(P195=0,"UNPAID","PARTIAL"))</f>
        <v>UNPAID</v>
      </c>
      <c r="S195" s="3"/>
      <c r="T195" s="9">
        <f t="shared" ref="T195:T258" si="40">M195*N195</f>
        <v>35000</v>
      </c>
      <c r="U195" t="str">
        <f t="shared" ref="U195:U258" si="41">IF(ROUND(T195,2)=ROUND(O195,2),"OK","CHECK")</f>
        <v>OK</v>
      </c>
      <c r="V195" s="10">
        <f t="shared" ref="V195:V258" si="42">O195-P195</f>
        <v>35000</v>
      </c>
      <c r="W195" t="str">
        <f t="shared" ref="W195:W258" si="43">IF(ROUND(V195,2)=ROUND(Q195,2),"OK","CHECK")</f>
        <v>OK</v>
      </c>
      <c r="X195" s="3" t="s">
        <v>28</v>
      </c>
      <c r="Y195" t="s">
        <v>29</v>
      </c>
    </row>
    <row r="196" spans="1:25" x14ac:dyDescent="0.2">
      <c r="A196" t="str">
        <f t="shared" si="34"/>
        <v>TRIP-244</v>
      </c>
      <c r="B196" s="2">
        <v>45770</v>
      </c>
      <c r="C196" s="3" t="str">
        <f>_xlfn.XLOOKUP(D196,'[1]Jan Customer Duplicate Hyva'!$B:$B,'[1]Jan Customer Duplicate Hyva'!$A:$A,"NOT FOUND")</f>
        <v>CUST-050</v>
      </c>
      <c r="D196" s="11" t="s">
        <v>69</v>
      </c>
      <c r="E196" s="11" t="s">
        <v>30</v>
      </c>
      <c r="F196" s="5" t="str">
        <f t="shared" si="35"/>
        <v>Ravi</v>
      </c>
      <c r="G196" s="5" t="str">
        <f t="shared" si="36"/>
        <v/>
      </c>
      <c r="H196" s="5" t="str">
        <f t="shared" si="37"/>
        <v/>
      </c>
      <c r="I196" s="5" t="str">
        <f>_xlfn.XLOOKUP(F196,'[1]Jan Labour Nd Drivers Hyva'!$B:$B,'[2]Jan Labour Nd Drivers Hyva'!$A:$A,"NOT FOUND")</f>
        <v>LAB-003</v>
      </c>
      <c r="J196" s="5" t="str">
        <f>IF(G196="","",_xlfn.XLOOKUP(G196,'[3]Jan Labour Nd Drivers Hyva'!$B:$B,'[2]Jan Labour Nd Drivers Hyva'!$A:$A,"NOT FOUND"))</f>
        <v/>
      </c>
      <c r="K196" s="5" t="str">
        <f>IF(H196="","",_xlfn.XLOOKUP(H196,'[2]Jan Labour Nd Drivers Hyva'!$B:$B,'[2]Jan Labour Nd Drivers Hyva'!$A:$A,"NOT FOUND"))</f>
        <v/>
      </c>
      <c r="L196" s="11" t="s">
        <v>206</v>
      </c>
      <c r="M196" s="12">
        <v>1</v>
      </c>
      <c r="N196" s="13">
        <v>35000</v>
      </c>
      <c r="O196" s="8">
        <f t="shared" si="38"/>
        <v>35000</v>
      </c>
      <c r="P196" s="13">
        <v>35000</v>
      </c>
      <c r="Q196" s="7">
        <f t="shared" si="33"/>
        <v>0</v>
      </c>
      <c r="R196" t="str">
        <f t="shared" si="39"/>
        <v>PAID</v>
      </c>
      <c r="S196" s="3"/>
      <c r="T196" s="9">
        <f t="shared" si="40"/>
        <v>35000</v>
      </c>
      <c r="U196" t="str">
        <f t="shared" si="41"/>
        <v>OK</v>
      </c>
      <c r="V196" s="10">
        <f t="shared" si="42"/>
        <v>0</v>
      </c>
      <c r="W196" t="str">
        <f t="shared" si="43"/>
        <v>OK</v>
      </c>
      <c r="X196" s="3" t="s">
        <v>28</v>
      </c>
      <c r="Y196" t="s">
        <v>29</v>
      </c>
    </row>
    <row r="197" spans="1:25" x14ac:dyDescent="0.2">
      <c r="A197" t="str">
        <f t="shared" si="34"/>
        <v>TRIP-245</v>
      </c>
      <c r="B197" s="2">
        <v>45774</v>
      </c>
      <c r="C197" s="3" t="str">
        <f>_xlfn.XLOOKUP(D197,'[1]Jan Customer Duplicate Hyva'!$B:$B,'[1]Jan Customer Duplicate Hyva'!$A:$A,"NOT FOUND")</f>
        <v>CUST-011</v>
      </c>
      <c r="D197" s="11" t="s">
        <v>35</v>
      </c>
      <c r="E197" s="11" t="s">
        <v>207</v>
      </c>
      <c r="F197" s="5" t="str">
        <f t="shared" si="35"/>
        <v>Gaju Bhau</v>
      </c>
      <c r="G197" s="5" t="str">
        <f t="shared" si="36"/>
        <v>Anshu</v>
      </c>
      <c r="H197" s="5" t="str">
        <f t="shared" si="37"/>
        <v>Ravi</v>
      </c>
      <c r="I197" s="5" t="str">
        <f>_xlfn.XLOOKUP(F197,'[1]Jan Labour Nd Drivers Hyva'!$B:$B,'[2]Jan Labour Nd Drivers Hyva'!$A:$A,"NOT FOUND")</f>
        <v>LAB-001</v>
      </c>
      <c r="J197" s="5" t="str">
        <f>IF(G197="","",_xlfn.XLOOKUP(G197,'[3]Jan Labour Nd Drivers Hyva'!$B:$B,'[2]Jan Labour Nd Drivers Hyva'!$A:$A,"NOT FOUND"))</f>
        <v>LAB-002</v>
      </c>
      <c r="K197" s="5" t="str">
        <f>IF(H197="","",_xlfn.XLOOKUP(H197,'[2]Jan Labour Nd Drivers Hyva'!$B:$B,'[2]Jan Labour Nd Drivers Hyva'!$A:$A,"NOT FOUND"))</f>
        <v>LAB-003</v>
      </c>
      <c r="L197" s="11" t="s">
        <v>208</v>
      </c>
      <c r="M197" s="12">
        <v>3</v>
      </c>
      <c r="N197" s="13">
        <v>37000</v>
      </c>
      <c r="O197" s="8">
        <f t="shared" si="38"/>
        <v>111000</v>
      </c>
      <c r="P197" s="13">
        <v>111000</v>
      </c>
      <c r="Q197" s="7">
        <f t="shared" si="33"/>
        <v>0</v>
      </c>
      <c r="R197" t="str">
        <f t="shared" si="39"/>
        <v>PAID</v>
      </c>
      <c r="S197" s="3"/>
      <c r="T197" s="9">
        <f t="shared" si="40"/>
        <v>111000</v>
      </c>
      <c r="U197" t="str">
        <f t="shared" si="41"/>
        <v>OK</v>
      </c>
      <c r="V197" s="10">
        <f t="shared" si="42"/>
        <v>0</v>
      </c>
      <c r="W197" t="str">
        <f t="shared" si="43"/>
        <v>OK</v>
      </c>
      <c r="X197" s="3" t="s">
        <v>28</v>
      </c>
      <c r="Y197" t="s">
        <v>29</v>
      </c>
    </row>
    <row r="198" spans="1:25" x14ac:dyDescent="0.2">
      <c r="A198" t="str">
        <f t="shared" si="34"/>
        <v>TRIP-246</v>
      </c>
      <c r="B198" s="2">
        <v>45774</v>
      </c>
      <c r="C198" s="3" t="str">
        <f>_xlfn.XLOOKUP(D198,'[1]Jan Customer Duplicate Hyva'!$B:$B,'[1]Jan Customer Duplicate Hyva'!$A:$A,"NOT FOUND")</f>
        <v>CUST-392</v>
      </c>
      <c r="D198" s="11" t="s">
        <v>37</v>
      </c>
      <c r="E198" s="11" t="s">
        <v>55</v>
      </c>
      <c r="F198" s="5" t="str">
        <f t="shared" si="35"/>
        <v>Gaju Bhau</v>
      </c>
      <c r="G198" s="5" t="str">
        <f t="shared" si="36"/>
        <v/>
      </c>
      <c r="H198" s="5" t="str">
        <f t="shared" si="37"/>
        <v/>
      </c>
      <c r="I198" s="5" t="str">
        <f>_xlfn.XLOOKUP(F198,'[1]Jan Labour Nd Drivers Hyva'!$B:$B,'[2]Jan Labour Nd Drivers Hyva'!$A:$A,"NOT FOUND")</f>
        <v>LAB-001</v>
      </c>
      <c r="J198" s="5" t="str">
        <f>IF(G198="","",_xlfn.XLOOKUP(G198,'[3]Jan Labour Nd Drivers Hyva'!$B:$B,'[2]Jan Labour Nd Drivers Hyva'!$A:$A,"NOT FOUND"))</f>
        <v/>
      </c>
      <c r="K198" s="5" t="str">
        <f>IF(H198="","",_xlfn.XLOOKUP(H198,'[2]Jan Labour Nd Drivers Hyva'!$B:$B,'[2]Jan Labour Nd Drivers Hyva'!$A:$A,"NOT FOUND"))</f>
        <v/>
      </c>
      <c r="L198" s="11" t="s">
        <v>33</v>
      </c>
      <c r="M198" s="12">
        <v>1</v>
      </c>
      <c r="N198" s="13">
        <v>32000</v>
      </c>
      <c r="O198" s="8">
        <f t="shared" si="38"/>
        <v>32000</v>
      </c>
      <c r="P198" s="13">
        <v>32000</v>
      </c>
      <c r="Q198" s="7">
        <f t="shared" si="33"/>
        <v>0</v>
      </c>
      <c r="R198" t="str">
        <f t="shared" si="39"/>
        <v>PAID</v>
      </c>
      <c r="S198" s="3"/>
      <c r="T198" s="9">
        <f t="shared" si="40"/>
        <v>32000</v>
      </c>
      <c r="U198" t="str">
        <f t="shared" si="41"/>
        <v>OK</v>
      </c>
      <c r="V198" s="10">
        <f t="shared" si="42"/>
        <v>0</v>
      </c>
      <c r="W198" t="str">
        <f t="shared" si="43"/>
        <v>OK</v>
      </c>
      <c r="X198" s="3" t="s">
        <v>28</v>
      </c>
      <c r="Y198" t="s">
        <v>29</v>
      </c>
    </row>
    <row r="199" spans="1:25" x14ac:dyDescent="0.2">
      <c r="A199" t="str">
        <f t="shared" si="34"/>
        <v>TRIP-247</v>
      </c>
      <c r="B199" s="2">
        <v>45774</v>
      </c>
      <c r="C199" s="3" t="str">
        <f>_xlfn.XLOOKUP(D199,'[1]Jan Customer Duplicate Hyva'!$B:$B,'[1]Jan Customer Duplicate Hyva'!$A:$A,"NOT FOUND")</f>
        <v>CUST-172</v>
      </c>
      <c r="D199" s="3" t="s">
        <v>54</v>
      </c>
      <c r="E199" s="11" t="s">
        <v>55</v>
      </c>
      <c r="F199" s="5" t="str">
        <f t="shared" si="35"/>
        <v>Gaju Bhau</v>
      </c>
      <c r="G199" s="5" t="str">
        <f t="shared" si="36"/>
        <v/>
      </c>
      <c r="H199" s="5" t="str">
        <f t="shared" si="37"/>
        <v/>
      </c>
      <c r="I199" s="5" t="str">
        <f>_xlfn.XLOOKUP(F199,'[1]Jan Labour Nd Drivers Hyva'!$B:$B,'[2]Jan Labour Nd Drivers Hyva'!$A:$A,"NOT FOUND")</f>
        <v>LAB-001</v>
      </c>
      <c r="J199" s="5" t="str">
        <f>IF(G199="","",_xlfn.XLOOKUP(G199,'[3]Jan Labour Nd Drivers Hyva'!$B:$B,'[2]Jan Labour Nd Drivers Hyva'!$A:$A,"NOT FOUND"))</f>
        <v/>
      </c>
      <c r="K199" s="5" t="str">
        <f>IF(H199="","",_xlfn.XLOOKUP(H199,'[2]Jan Labour Nd Drivers Hyva'!$B:$B,'[2]Jan Labour Nd Drivers Hyva'!$A:$A,"NOT FOUND"))</f>
        <v/>
      </c>
      <c r="L199" s="11" t="s">
        <v>56</v>
      </c>
      <c r="M199" s="12">
        <v>1</v>
      </c>
      <c r="N199" s="13">
        <v>34000</v>
      </c>
      <c r="O199" s="8">
        <f t="shared" si="38"/>
        <v>34000</v>
      </c>
      <c r="P199" s="13">
        <v>34000</v>
      </c>
      <c r="Q199" s="7">
        <f t="shared" si="33"/>
        <v>0</v>
      </c>
      <c r="R199" t="str">
        <f t="shared" si="39"/>
        <v>PAID</v>
      </c>
      <c r="S199" s="3"/>
      <c r="T199" s="9">
        <f t="shared" si="40"/>
        <v>34000</v>
      </c>
      <c r="U199" t="str">
        <f t="shared" si="41"/>
        <v>OK</v>
      </c>
      <c r="V199" s="10">
        <f t="shared" si="42"/>
        <v>0</v>
      </c>
      <c r="W199" t="str">
        <f t="shared" si="43"/>
        <v>OK</v>
      </c>
      <c r="X199" s="3" t="s">
        <v>28</v>
      </c>
      <c r="Y199" t="s">
        <v>29</v>
      </c>
    </row>
    <row r="200" spans="1:25" x14ac:dyDescent="0.2">
      <c r="A200" t="str">
        <f t="shared" si="34"/>
        <v>TRIP-248</v>
      </c>
      <c r="B200" s="2">
        <v>45774</v>
      </c>
      <c r="C200" s="3" t="str">
        <f>_xlfn.XLOOKUP(D200,'[1]Jan Customer Duplicate Hyva'!$B:$B,'[1]Jan Customer Duplicate Hyva'!$A:$A,"NOT FOUND")</f>
        <v>CUST-236</v>
      </c>
      <c r="D200" s="11" t="s">
        <v>58</v>
      </c>
      <c r="E200" s="11" t="s">
        <v>26</v>
      </c>
      <c r="F200" s="5" t="str">
        <f t="shared" si="35"/>
        <v>Anshu</v>
      </c>
      <c r="G200" s="5" t="str">
        <f t="shared" si="36"/>
        <v/>
      </c>
      <c r="H200" s="5" t="str">
        <f t="shared" si="37"/>
        <v/>
      </c>
      <c r="I200" s="5" t="str">
        <f>_xlfn.XLOOKUP(F200,'[1]Jan Labour Nd Drivers Hyva'!$B:$B,'[2]Jan Labour Nd Drivers Hyva'!$A:$A,"NOT FOUND")</f>
        <v>LAB-002</v>
      </c>
      <c r="J200" s="5" t="str">
        <f>IF(G200="","",_xlfn.XLOOKUP(G200,'[3]Jan Labour Nd Drivers Hyva'!$B:$B,'[2]Jan Labour Nd Drivers Hyva'!$A:$A,"NOT FOUND"))</f>
        <v/>
      </c>
      <c r="K200" s="5" t="str">
        <f>IF(H200="","",_xlfn.XLOOKUP(H200,'[2]Jan Labour Nd Drivers Hyva'!$B:$B,'[2]Jan Labour Nd Drivers Hyva'!$A:$A,"NOT FOUND"))</f>
        <v/>
      </c>
      <c r="L200" s="11" t="s">
        <v>108</v>
      </c>
      <c r="M200" s="12">
        <v>1</v>
      </c>
      <c r="N200" s="13">
        <v>36000</v>
      </c>
      <c r="O200" s="8">
        <f t="shared" si="38"/>
        <v>36000</v>
      </c>
      <c r="P200" s="13">
        <v>36000</v>
      </c>
      <c r="Q200" s="7">
        <f t="shared" si="33"/>
        <v>0</v>
      </c>
      <c r="R200" t="str">
        <f t="shared" si="39"/>
        <v>PAID</v>
      </c>
      <c r="S200" s="3"/>
      <c r="T200" s="9">
        <f t="shared" si="40"/>
        <v>36000</v>
      </c>
      <c r="U200" t="str">
        <f t="shared" si="41"/>
        <v>OK</v>
      </c>
      <c r="V200" s="10">
        <f t="shared" si="42"/>
        <v>0</v>
      </c>
      <c r="W200" t="str">
        <f t="shared" si="43"/>
        <v>OK</v>
      </c>
      <c r="X200" s="3" t="s">
        <v>28</v>
      </c>
      <c r="Y200" t="s">
        <v>29</v>
      </c>
    </row>
    <row r="201" spans="1:25" x14ac:dyDescent="0.2">
      <c r="A201" t="str">
        <f t="shared" si="34"/>
        <v>TRIP-249</v>
      </c>
      <c r="B201" s="2">
        <v>45774</v>
      </c>
      <c r="C201" s="3" t="str">
        <f>_xlfn.XLOOKUP(D201,'[1]Jan Customer Duplicate Hyva'!$B:$B,'[1]Jan Customer Duplicate Hyva'!$A:$A,"NOT FOUND")</f>
        <v>CUST-037</v>
      </c>
      <c r="D201" s="11" t="s">
        <v>99</v>
      </c>
      <c r="E201" s="11" t="s">
        <v>30</v>
      </c>
      <c r="F201" s="5" t="str">
        <f t="shared" si="35"/>
        <v>Ravi</v>
      </c>
      <c r="G201" s="5" t="str">
        <f t="shared" si="36"/>
        <v/>
      </c>
      <c r="H201" s="5" t="str">
        <f t="shared" si="37"/>
        <v/>
      </c>
      <c r="I201" s="5" t="str">
        <f>_xlfn.XLOOKUP(F201,'[1]Jan Labour Nd Drivers Hyva'!$B:$B,'[2]Jan Labour Nd Drivers Hyva'!$A:$A,"NOT FOUND")</f>
        <v>LAB-003</v>
      </c>
      <c r="J201" s="5" t="str">
        <f>IF(G201="","",_xlfn.XLOOKUP(G201,'[3]Jan Labour Nd Drivers Hyva'!$B:$B,'[2]Jan Labour Nd Drivers Hyva'!$A:$A,"NOT FOUND"))</f>
        <v/>
      </c>
      <c r="K201" s="5" t="str">
        <f>IF(H201="","",_xlfn.XLOOKUP(H201,'[2]Jan Labour Nd Drivers Hyva'!$B:$B,'[2]Jan Labour Nd Drivers Hyva'!$A:$A,"NOT FOUND"))</f>
        <v/>
      </c>
      <c r="L201" s="11" t="s">
        <v>209</v>
      </c>
      <c r="M201" s="12">
        <v>1</v>
      </c>
      <c r="N201" s="13">
        <v>34000</v>
      </c>
      <c r="O201" s="8">
        <f t="shared" si="38"/>
        <v>34000</v>
      </c>
      <c r="P201" s="13"/>
      <c r="Q201" s="7">
        <f t="shared" si="33"/>
        <v>34000</v>
      </c>
      <c r="R201" t="str">
        <f t="shared" si="39"/>
        <v>UNPAID</v>
      </c>
      <c r="S201" s="3"/>
      <c r="T201" s="9">
        <f t="shared" si="40"/>
        <v>34000</v>
      </c>
      <c r="U201" t="str">
        <f t="shared" si="41"/>
        <v>OK</v>
      </c>
      <c r="V201" s="10">
        <f t="shared" si="42"/>
        <v>34000</v>
      </c>
      <c r="W201" t="str">
        <f t="shared" si="43"/>
        <v>OK</v>
      </c>
      <c r="X201" s="3" t="s">
        <v>28</v>
      </c>
      <c r="Y201" t="s">
        <v>29</v>
      </c>
    </row>
    <row r="202" spans="1:25" x14ac:dyDescent="0.2">
      <c r="A202" t="str">
        <f t="shared" si="34"/>
        <v>TRIP-250</v>
      </c>
      <c r="B202" s="2">
        <v>45775</v>
      </c>
      <c r="C202" s="3" t="str">
        <f>_xlfn.XLOOKUP(D202,'[1]Jan Customer Duplicate Hyva'!$B:$B,'[1]Jan Customer Duplicate Hyva'!$A:$A,"NOT FOUND")</f>
        <v>NOT FOUND</v>
      </c>
      <c r="D202" s="11" t="s">
        <v>166</v>
      </c>
      <c r="E202" s="11" t="s">
        <v>26</v>
      </c>
      <c r="F202" s="5" t="str">
        <f t="shared" si="35"/>
        <v>Anshu</v>
      </c>
      <c r="G202" s="5" t="str">
        <f t="shared" si="36"/>
        <v/>
      </c>
      <c r="H202" s="5" t="str">
        <f t="shared" si="37"/>
        <v/>
      </c>
      <c r="I202" s="5" t="str">
        <f>_xlfn.XLOOKUP(F202,'[1]Jan Labour Nd Drivers Hyva'!$B:$B,'[2]Jan Labour Nd Drivers Hyva'!$A:$A,"NOT FOUND")</f>
        <v>LAB-002</v>
      </c>
      <c r="J202" s="5" t="str">
        <f>IF(G202="","",_xlfn.XLOOKUP(G202,'[3]Jan Labour Nd Drivers Hyva'!$B:$B,'[2]Jan Labour Nd Drivers Hyva'!$A:$A,"NOT FOUND"))</f>
        <v/>
      </c>
      <c r="K202" s="5" t="str">
        <f>IF(H202="","",_xlfn.XLOOKUP(H202,'[2]Jan Labour Nd Drivers Hyva'!$B:$B,'[2]Jan Labour Nd Drivers Hyva'!$A:$A,"NOT FOUND"))</f>
        <v/>
      </c>
      <c r="L202" s="11" t="s">
        <v>210</v>
      </c>
      <c r="M202" s="12">
        <v>1</v>
      </c>
      <c r="N202" s="13">
        <v>36000</v>
      </c>
      <c r="O202" s="8">
        <f t="shared" si="38"/>
        <v>36000</v>
      </c>
      <c r="P202" s="13">
        <v>36000</v>
      </c>
      <c r="Q202" s="7">
        <f t="shared" si="33"/>
        <v>0</v>
      </c>
      <c r="R202" t="str">
        <f t="shared" si="39"/>
        <v>PAID</v>
      </c>
      <c r="S202" s="3"/>
      <c r="T202" s="9">
        <f t="shared" si="40"/>
        <v>36000</v>
      </c>
      <c r="U202" t="str">
        <f t="shared" si="41"/>
        <v>OK</v>
      </c>
      <c r="V202" s="10">
        <f t="shared" si="42"/>
        <v>0</v>
      </c>
      <c r="W202" t="str">
        <f t="shared" si="43"/>
        <v>OK</v>
      </c>
      <c r="X202" s="3" t="s">
        <v>28</v>
      </c>
      <c r="Y202" t="s">
        <v>29</v>
      </c>
    </row>
    <row r="203" spans="1:25" x14ac:dyDescent="0.2">
      <c r="A203" t="str">
        <f t="shared" si="34"/>
        <v>TRIP-251</v>
      </c>
      <c r="B203" s="2">
        <v>45775</v>
      </c>
      <c r="C203" s="3" t="str">
        <f>_xlfn.XLOOKUP(D203,'[1]Jan Customer Duplicate Hyva'!$B:$B,'[1]Jan Customer Duplicate Hyva'!$A:$A,"NOT FOUND")</f>
        <v>CUST-011</v>
      </c>
      <c r="D203" s="11" t="s">
        <v>35</v>
      </c>
      <c r="E203" s="11" t="s">
        <v>55</v>
      </c>
      <c r="F203" s="5" t="str">
        <f t="shared" si="35"/>
        <v>Gaju Bhau</v>
      </c>
      <c r="G203" s="5" t="str">
        <f t="shared" si="36"/>
        <v/>
      </c>
      <c r="H203" s="5" t="str">
        <f t="shared" si="37"/>
        <v/>
      </c>
      <c r="I203" s="5" t="str">
        <f>_xlfn.XLOOKUP(F203,'[1]Jan Labour Nd Drivers Hyva'!$B:$B,'[2]Jan Labour Nd Drivers Hyva'!$A:$A,"NOT FOUND")</f>
        <v>LAB-001</v>
      </c>
      <c r="J203" s="5" t="str">
        <f>IF(G203="","",_xlfn.XLOOKUP(G203,'[3]Jan Labour Nd Drivers Hyva'!$B:$B,'[2]Jan Labour Nd Drivers Hyva'!$A:$A,"NOT FOUND"))</f>
        <v/>
      </c>
      <c r="K203" s="5" t="str">
        <f>IF(H203="","",_xlfn.XLOOKUP(H203,'[2]Jan Labour Nd Drivers Hyva'!$B:$B,'[2]Jan Labour Nd Drivers Hyva'!$A:$A,"NOT FOUND"))</f>
        <v/>
      </c>
      <c r="L203" s="11" t="s">
        <v>149</v>
      </c>
      <c r="M203" s="12">
        <v>1</v>
      </c>
      <c r="N203" s="13">
        <v>35000</v>
      </c>
      <c r="O203" s="8">
        <f t="shared" si="38"/>
        <v>35000</v>
      </c>
      <c r="P203" s="13">
        <v>35000</v>
      </c>
      <c r="Q203" s="7">
        <f t="shared" si="33"/>
        <v>0</v>
      </c>
      <c r="R203" t="str">
        <f t="shared" si="39"/>
        <v>PAID</v>
      </c>
      <c r="S203" s="3"/>
      <c r="T203" s="9">
        <f t="shared" si="40"/>
        <v>35000</v>
      </c>
      <c r="U203" t="str">
        <f t="shared" si="41"/>
        <v>OK</v>
      </c>
      <c r="V203" s="10">
        <f t="shared" si="42"/>
        <v>0</v>
      </c>
      <c r="W203" t="str">
        <f t="shared" si="43"/>
        <v>OK</v>
      </c>
      <c r="X203" s="3" t="s">
        <v>28</v>
      </c>
      <c r="Y203" t="s">
        <v>29</v>
      </c>
    </row>
    <row r="204" spans="1:25" x14ac:dyDescent="0.2">
      <c r="A204" t="str">
        <f t="shared" si="34"/>
        <v>TRIP-252</v>
      </c>
      <c r="B204" s="2">
        <v>45776</v>
      </c>
      <c r="C204" s="3" t="str">
        <f>_xlfn.XLOOKUP(D204,'[1]Jan Customer Duplicate Hyva'!$B:$B,'[1]Jan Customer Duplicate Hyva'!$A:$A,"NOT FOUND")</f>
        <v>CUST-170</v>
      </c>
      <c r="D204" s="11" t="s">
        <v>156</v>
      </c>
      <c r="E204" s="11" t="s">
        <v>30</v>
      </c>
      <c r="F204" s="5" t="str">
        <f t="shared" si="35"/>
        <v>Ravi</v>
      </c>
      <c r="G204" s="5" t="str">
        <f t="shared" si="36"/>
        <v/>
      </c>
      <c r="H204" s="5" t="str">
        <f t="shared" si="37"/>
        <v/>
      </c>
      <c r="I204" s="5" t="str">
        <f>_xlfn.XLOOKUP(F204,'[1]Jan Labour Nd Drivers Hyva'!$B:$B,'[2]Jan Labour Nd Drivers Hyva'!$A:$A,"NOT FOUND")</f>
        <v>LAB-003</v>
      </c>
      <c r="J204" s="5" t="str">
        <f>IF(G204="","",_xlfn.XLOOKUP(G204,'[3]Jan Labour Nd Drivers Hyva'!$B:$B,'[2]Jan Labour Nd Drivers Hyva'!$A:$A,"NOT FOUND"))</f>
        <v/>
      </c>
      <c r="K204" s="5" t="str">
        <f>IF(H204="","",_xlfn.XLOOKUP(H204,'[2]Jan Labour Nd Drivers Hyva'!$B:$B,'[2]Jan Labour Nd Drivers Hyva'!$A:$A,"NOT FOUND"))</f>
        <v/>
      </c>
      <c r="L204" s="11" t="s">
        <v>211</v>
      </c>
      <c r="M204" s="12">
        <v>1</v>
      </c>
      <c r="N204" s="13">
        <v>34500</v>
      </c>
      <c r="O204" s="8">
        <f t="shared" si="38"/>
        <v>34500</v>
      </c>
      <c r="P204" s="13">
        <v>34500</v>
      </c>
      <c r="Q204" s="7">
        <f t="shared" si="33"/>
        <v>0</v>
      </c>
      <c r="R204" t="str">
        <f t="shared" si="39"/>
        <v>PAID</v>
      </c>
      <c r="S204" s="3"/>
      <c r="T204" s="9">
        <f t="shared" si="40"/>
        <v>34500</v>
      </c>
      <c r="U204" t="str">
        <f t="shared" si="41"/>
        <v>OK</v>
      </c>
      <c r="V204" s="10">
        <f t="shared" si="42"/>
        <v>0</v>
      </c>
      <c r="W204" t="str">
        <f t="shared" si="43"/>
        <v>OK</v>
      </c>
      <c r="X204" s="3" t="s">
        <v>28</v>
      </c>
      <c r="Y204" t="s">
        <v>29</v>
      </c>
    </row>
    <row r="205" spans="1:25" x14ac:dyDescent="0.2">
      <c r="A205" t="str">
        <f t="shared" si="34"/>
        <v>TRIP-253</v>
      </c>
      <c r="B205" s="2">
        <v>45776</v>
      </c>
      <c r="C205" s="3" t="str">
        <f>_xlfn.XLOOKUP(D205,'[1]Jan Customer Duplicate Hyva'!$B:$B,'[1]Jan Customer Duplicate Hyva'!$A:$A,"NOT FOUND")</f>
        <v>CUST-045</v>
      </c>
      <c r="D205" s="11" t="s">
        <v>82</v>
      </c>
      <c r="E205" s="11" t="s">
        <v>26</v>
      </c>
      <c r="F205" s="5" t="str">
        <f t="shared" si="35"/>
        <v>Anshu</v>
      </c>
      <c r="G205" s="5" t="str">
        <f t="shared" si="36"/>
        <v/>
      </c>
      <c r="H205" s="5" t="str">
        <f t="shared" si="37"/>
        <v/>
      </c>
      <c r="I205" s="5" t="str">
        <f>_xlfn.XLOOKUP(F205,'[1]Jan Labour Nd Drivers Hyva'!$B:$B,'[2]Jan Labour Nd Drivers Hyva'!$A:$A,"NOT FOUND")</f>
        <v>LAB-002</v>
      </c>
      <c r="J205" s="5" t="str">
        <f>IF(G205="","",_xlfn.XLOOKUP(G205,'[3]Jan Labour Nd Drivers Hyva'!$B:$B,'[2]Jan Labour Nd Drivers Hyva'!$A:$A,"NOT FOUND"))</f>
        <v/>
      </c>
      <c r="K205" s="5" t="str">
        <f>IF(H205="","",_xlfn.XLOOKUP(H205,'[2]Jan Labour Nd Drivers Hyva'!$B:$B,'[2]Jan Labour Nd Drivers Hyva'!$A:$A,"NOT FOUND"))</f>
        <v/>
      </c>
      <c r="L205" s="11" t="s">
        <v>132</v>
      </c>
      <c r="M205" s="12">
        <v>1</v>
      </c>
      <c r="N205" s="13">
        <v>35000</v>
      </c>
      <c r="O205" s="8">
        <f t="shared" si="38"/>
        <v>35000</v>
      </c>
      <c r="P205" s="13">
        <v>35000</v>
      </c>
      <c r="Q205" s="7">
        <f t="shared" si="33"/>
        <v>0</v>
      </c>
      <c r="R205" t="str">
        <f t="shared" si="39"/>
        <v>PAID</v>
      </c>
      <c r="S205" s="3"/>
      <c r="T205" s="9">
        <f t="shared" si="40"/>
        <v>35000</v>
      </c>
      <c r="U205" t="str">
        <f t="shared" si="41"/>
        <v>OK</v>
      </c>
      <c r="V205" s="10">
        <f t="shared" si="42"/>
        <v>0</v>
      </c>
      <c r="W205" t="str">
        <f t="shared" si="43"/>
        <v>OK</v>
      </c>
      <c r="X205" s="3" t="s">
        <v>28</v>
      </c>
      <c r="Y205" t="s">
        <v>29</v>
      </c>
    </row>
    <row r="206" spans="1:25" x14ac:dyDescent="0.2">
      <c r="A206" t="str">
        <f t="shared" si="34"/>
        <v>TRIP-254</v>
      </c>
      <c r="B206" s="2">
        <v>45776</v>
      </c>
      <c r="C206" s="3" t="str">
        <f>_xlfn.XLOOKUP(D206,'[1]Jan Customer Duplicate Hyva'!$B:$B,'[1]Jan Customer Duplicate Hyva'!$A:$A,"NOT FOUND")</f>
        <v>CUST-252</v>
      </c>
      <c r="D206" s="11" t="s">
        <v>94</v>
      </c>
      <c r="E206" s="11" t="s">
        <v>26</v>
      </c>
      <c r="F206" s="5" t="str">
        <f t="shared" si="35"/>
        <v>Anshu</v>
      </c>
      <c r="G206" s="5" t="str">
        <f t="shared" si="36"/>
        <v/>
      </c>
      <c r="H206" s="5" t="str">
        <f t="shared" si="37"/>
        <v/>
      </c>
      <c r="I206" s="5" t="str">
        <f>_xlfn.XLOOKUP(F206,'[1]Jan Labour Nd Drivers Hyva'!$B:$B,'[2]Jan Labour Nd Drivers Hyva'!$A:$A,"NOT FOUND")</f>
        <v>LAB-002</v>
      </c>
      <c r="J206" s="5" t="str">
        <f>IF(G206="","",_xlfn.XLOOKUP(G206,'[3]Jan Labour Nd Drivers Hyva'!$B:$B,'[2]Jan Labour Nd Drivers Hyva'!$A:$A,"NOT FOUND"))</f>
        <v/>
      </c>
      <c r="K206" s="5" t="str">
        <f>IF(H206="","",_xlfn.XLOOKUP(H206,'[2]Jan Labour Nd Drivers Hyva'!$B:$B,'[2]Jan Labour Nd Drivers Hyva'!$A:$A,"NOT FOUND"))</f>
        <v/>
      </c>
      <c r="L206" s="11" t="s">
        <v>45</v>
      </c>
      <c r="M206" s="12">
        <v>1</v>
      </c>
      <c r="N206" s="13">
        <v>36000</v>
      </c>
      <c r="O206" s="8">
        <f t="shared" si="38"/>
        <v>36000</v>
      </c>
      <c r="P206" s="13">
        <v>36000</v>
      </c>
      <c r="Q206" s="7">
        <f t="shared" si="33"/>
        <v>0</v>
      </c>
      <c r="R206" t="str">
        <f t="shared" si="39"/>
        <v>PAID</v>
      </c>
      <c r="S206" s="3"/>
      <c r="T206" s="9">
        <f t="shared" si="40"/>
        <v>36000</v>
      </c>
      <c r="U206" t="str">
        <f t="shared" si="41"/>
        <v>OK</v>
      </c>
      <c r="V206" s="10">
        <f t="shared" si="42"/>
        <v>0</v>
      </c>
      <c r="W206" t="str">
        <f t="shared" si="43"/>
        <v>OK</v>
      </c>
      <c r="X206" s="3" t="s">
        <v>28</v>
      </c>
      <c r="Y206" t="s">
        <v>29</v>
      </c>
    </row>
    <row r="207" spans="1:25" x14ac:dyDescent="0.2">
      <c r="A207" t="str">
        <f t="shared" si="34"/>
        <v>TRIP-255</v>
      </c>
      <c r="B207" s="2">
        <v>45777</v>
      </c>
      <c r="C207" s="3" t="str">
        <f>_xlfn.XLOOKUP(D207,'[1]Jan Customer Duplicate Hyva'!$B:$B,'[1]Jan Customer Duplicate Hyva'!$A:$A,"NOT FOUND")</f>
        <v>CUST-037</v>
      </c>
      <c r="D207" s="11" t="s">
        <v>99</v>
      </c>
      <c r="E207" s="11" t="s">
        <v>26</v>
      </c>
      <c r="F207" s="5" t="str">
        <f t="shared" si="35"/>
        <v>Anshu</v>
      </c>
      <c r="G207" s="5" t="str">
        <f t="shared" si="36"/>
        <v/>
      </c>
      <c r="H207" s="5" t="str">
        <f t="shared" si="37"/>
        <v/>
      </c>
      <c r="I207" s="5" t="str">
        <f>_xlfn.XLOOKUP(F207,'[1]Jan Labour Nd Drivers Hyva'!$B:$B,'[2]Jan Labour Nd Drivers Hyva'!$A:$A,"NOT FOUND")</f>
        <v>LAB-002</v>
      </c>
      <c r="J207" s="5" t="str">
        <f>IF(G207="","",_xlfn.XLOOKUP(G207,'[3]Jan Labour Nd Drivers Hyva'!$B:$B,'[2]Jan Labour Nd Drivers Hyva'!$A:$A,"NOT FOUND"))</f>
        <v/>
      </c>
      <c r="K207" s="5" t="str">
        <f>IF(H207="","",_xlfn.XLOOKUP(H207,'[2]Jan Labour Nd Drivers Hyva'!$B:$B,'[2]Jan Labour Nd Drivers Hyva'!$A:$A,"NOT FOUND"))</f>
        <v/>
      </c>
      <c r="L207" s="11" t="s">
        <v>212</v>
      </c>
      <c r="M207" s="12">
        <v>1</v>
      </c>
      <c r="N207" s="13">
        <v>34000</v>
      </c>
      <c r="O207" s="8">
        <f t="shared" si="38"/>
        <v>34000</v>
      </c>
      <c r="P207" s="13"/>
      <c r="Q207" s="7">
        <f t="shared" si="33"/>
        <v>34000</v>
      </c>
      <c r="R207" t="str">
        <f t="shared" si="39"/>
        <v>UNPAID</v>
      </c>
      <c r="S207" s="3"/>
      <c r="T207" s="9">
        <f t="shared" si="40"/>
        <v>34000</v>
      </c>
      <c r="U207" t="str">
        <f t="shared" si="41"/>
        <v>OK</v>
      </c>
      <c r="V207" s="10">
        <f t="shared" si="42"/>
        <v>34000</v>
      </c>
      <c r="W207" t="str">
        <f t="shared" si="43"/>
        <v>OK</v>
      </c>
      <c r="X207" s="3" t="s">
        <v>28</v>
      </c>
      <c r="Y207" t="s">
        <v>29</v>
      </c>
    </row>
    <row r="208" spans="1:25" x14ac:dyDescent="0.2">
      <c r="A208" t="str">
        <f t="shared" si="34"/>
        <v>TRIP-256</v>
      </c>
      <c r="B208" s="2">
        <v>45780</v>
      </c>
      <c r="C208" s="3" t="str">
        <f>_xlfn.XLOOKUP(D208,'[1]Jan Customer Duplicate Hyva'!$B:$B,'[1]Jan Customer Duplicate Hyva'!$A:$A,"NOT FOUND")</f>
        <v>NOT FOUND</v>
      </c>
      <c r="D208" s="11" t="s">
        <v>213</v>
      </c>
      <c r="E208" s="11" t="s">
        <v>55</v>
      </c>
      <c r="F208" s="5" t="str">
        <f t="shared" si="35"/>
        <v>Gaju Bhau</v>
      </c>
      <c r="G208" s="5" t="str">
        <f t="shared" si="36"/>
        <v/>
      </c>
      <c r="H208" s="5" t="str">
        <f t="shared" si="37"/>
        <v/>
      </c>
      <c r="I208" s="5" t="str">
        <f>_xlfn.XLOOKUP(F208,'[1]Jan Labour Nd Drivers Hyva'!$B:$B,'[2]Jan Labour Nd Drivers Hyva'!$A:$A,"NOT FOUND")</f>
        <v>LAB-001</v>
      </c>
      <c r="J208" s="5" t="str">
        <f>IF(G208="","",_xlfn.XLOOKUP(G208,'[3]Jan Labour Nd Drivers Hyva'!$B:$B,'[2]Jan Labour Nd Drivers Hyva'!$A:$A,"NOT FOUND"))</f>
        <v/>
      </c>
      <c r="K208" s="5" t="str">
        <f>IF(H208="","",_xlfn.XLOOKUP(H208,'[2]Jan Labour Nd Drivers Hyva'!$B:$B,'[2]Jan Labour Nd Drivers Hyva'!$A:$A,"NOT FOUND"))</f>
        <v/>
      </c>
      <c r="L208" s="11" t="s">
        <v>214</v>
      </c>
      <c r="M208" s="12">
        <v>1</v>
      </c>
      <c r="N208" s="13">
        <v>35000</v>
      </c>
      <c r="O208" s="8">
        <f t="shared" si="38"/>
        <v>35000</v>
      </c>
      <c r="P208" s="13">
        <v>35000</v>
      </c>
      <c r="Q208" s="7">
        <f t="shared" si="33"/>
        <v>0</v>
      </c>
      <c r="R208" t="str">
        <f t="shared" si="39"/>
        <v>PAID</v>
      </c>
      <c r="S208" s="3"/>
      <c r="T208" s="9">
        <f t="shared" si="40"/>
        <v>35000</v>
      </c>
      <c r="U208" t="str">
        <f t="shared" si="41"/>
        <v>OK</v>
      </c>
      <c r="V208" s="10">
        <f t="shared" si="42"/>
        <v>0</v>
      </c>
      <c r="W208" t="str">
        <f t="shared" si="43"/>
        <v>OK</v>
      </c>
      <c r="X208" s="3" t="s">
        <v>28</v>
      </c>
      <c r="Y208" t="s">
        <v>29</v>
      </c>
    </row>
    <row r="209" spans="1:25" x14ac:dyDescent="0.2">
      <c r="A209" t="str">
        <f t="shared" si="34"/>
        <v>TRIP-257</v>
      </c>
      <c r="B209" s="2">
        <v>45780</v>
      </c>
      <c r="C209" s="3" t="str">
        <f>_xlfn.XLOOKUP(D209,'[1]Jan Customer Duplicate Hyva'!$B:$B,'[1]Jan Customer Duplicate Hyva'!$A:$A,"NOT FOUND")</f>
        <v>CUST-037</v>
      </c>
      <c r="D209" s="11" t="s">
        <v>99</v>
      </c>
      <c r="E209" s="11" t="s">
        <v>55</v>
      </c>
      <c r="F209" s="5" t="str">
        <f t="shared" si="35"/>
        <v>Gaju Bhau</v>
      </c>
      <c r="G209" s="5" t="str">
        <f t="shared" si="36"/>
        <v/>
      </c>
      <c r="H209" s="5" t="str">
        <f t="shared" si="37"/>
        <v/>
      </c>
      <c r="I209" s="5" t="str">
        <f>_xlfn.XLOOKUP(F209,'[1]Jan Labour Nd Drivers Hyva'!$B:$B,'[2]Jan Labour Nd Drivers Hyva'!$A:$A,"NOT FOUND")</f>
        <v>LAB-001</v>
      </c>
      <c r="J209" s="5" t="str">
        <f>IF(G209="","",_xlfn.XLOOKUP(G209,'[3]Jan Labour Nd Drivers Hyva'!$B:$B,'[2]Jan Labour Nd Drivers Hyva'!$A:$A,"NOT FOUND"))</f>
        <v/>
      </c>
      <c r="K209" s="5" t="str">
        <f>IF(H209="","",_xlfn.XLOOKUP(H209,'[2]Jan Labour Nd Drivers Hyva'!$B:$B,'[2]Jan Labour Nd Drivers Hyva'!$A:$A,"NOT FOUND"))</f>
        <v/>
      </c>
      <c r="L209" s="11" t="s">
        <v>101</v>
      </c>
      <c r="M209" s="12">
        <v>1</v>
      </c>
      <c r="N209" s="13">
        <v>34000</v>
      </c>
      <c r="O209" s="8">
        <f t="shared" si="38"/>
        <v>34000</v>
      </c>
      <c r="P209" s="13"/>
      <c r="Q209" s="7">
        <f t="shared" si="33"/>
        <v>34000</v>
      </c>
      <c r="R209" t="str">
        <f t="shared" si="39"/>
        <v>UNPAID</v>
      </c>
      <c r="S209" s="3"/>
      <c r="T209" s="9">
        <f t="shared" si="40"/>
        <v>34000</v>
      </c>
      <c r="U209" t="str">
        <f t="shared" si="41"/>
        <v>OK</v>
      </c>
      <c r="V209" s="10">
        <f t="shared" si="42"/>
        <v>34000</v>
      </c>
      <c r="W209" t="str">
        <f t="shared" si="43"/>
        <v>OK</v>
      </c>
      <c r="X209" s="3" t="s">
        <v>28</v>
      </c>
      <c r="Y209" t="s">
        <v>29</v>
      </c>
    </row>
    <row r="210" spans="1:25" x14ac:dyDescent="0.2">
      <c r="A210" t="str">
        <f t="shared" si="34"/>
        <v>TRIP-258</v>
      </c>
      <c r="B210" s="2">
        <v>45780</v>
      </c>
      <c r="C210" s="3" t="str">
        <f>_xlfn.XLOOKUP(D210,'[1]Jan Customer Duplicate Hyva'!$B:$B,'[1]Jan Customer Duplicate Hyva'!$A:$A,"NOT FOUND")</f>
        <v>NOT FOUND</v>
      </c>
      <c r="D210" s="11" t="s">
        <v>215</v>
      </c>
      <c r="E210" s="11" t="s">
        <v>55</v>
      </c>
      <c r="F210" s="5" t="str">
        <f t="shared" si="35"/>
        <v>Gaju Bhau</v>
      </c>
      <c r="G210" s="5" t="str">
        <f t="shared" si="36"/>
        <v/>
      </c>
      <c r="H210" s="5" t="str">
        <f t="shared" si="37"/>
        <v/>
      </c>
      <c r="I210" s="5" t="str">
        <f>_xlfn.XLOOKUP(F210,'[1]Jan Labour Nd Drivers Hyva'!$B:$B,'[2]Jan Labour Nd Drivers Hyva'!$A:$A,"NOT FOUND")</f>
        <v>LAB-001</v>
      </c>
      <c r="J210" s="5" t="str">
        <f>IF(G210="","",_xlfn.XLOOKUP(G210,'[3]Jan Labour Nd Drivers Hyva'!$B:$B,'[2]Jan Labour Nd Drivers Hyva'!$A:$A,"NOT FOUND"))</f>
        <v/>
      </c>
      <c r="K210" s="5" t="str">
        <f>IF(H210="","",_xlfn.XLOOKUP(H210,'[2]Jan Labour Nd Drivers Hyva'!$B:$B,'[2]Jan Labour Nd Drivers Hyva'!$A:$A,"NOT FOUND"))</f>
        <v/>
      </c>
      <c r="L210" s="11" t="s">
        <v>36</v>
      </c>
      <c r="M210" s="12">
        <v>1</v>
      </c>
      <c r="N210" s="13">
        <v>35000</v>
      </c>
      <c r="O210" s="8">
        <f t="shared" si="38"/>
        <v>35000</v>
      </c>
      <c r="P210" s="13">
        <v>35000</v>
      </c>
      <c r="Q210" s="7">
        <f t="shared" si="33"/>
        <v>0</v>
      </c>
      <c r="R210" t="str">
        <f t="shared" si="39"/>
        <v>PAID</v>
      </c>
      <c r="S210" s="3"/>
      <c r="T210" s="9">
        <f t="shared" si="40"/>
        <v>35000</v>
      </c>
      <c r="U210" t="str">
        <f t="shared" si="41"/>
        <v>OK</v>
      </c>
      <c r="V210" s="10">
        <f t="shared" si="42"/>
        <v>0</v>
      </c>
      <c r="W210" t="str">
        <f t="shared" si="43"/>
        <v>OK</v>
      </c>
      <c r="X210" s="3" t="s">
        <v>28</v>
      </c>
      <c r="Y210" t="s">
        <v>29</v>
      </c>
    </row>
    <row r="211" spans="1:25" x14ac:dyDescent="0.2">
      <c r="A211" t="str">
        <f t="shared" si="34"/>
        <v>TRIP-259</v>
      </c>
      <c r="B211" s="2">
        <v>45780</v>
      </c>
      <c r="C211" s="3" t="str">
        <f>_xlfn.XLOOKUP(D211,'[1]Jan Customer Duplicate Hyva'!$B:$B,'[1]Jan Customer Duplicate Hyva'!$A:$A,"NOT FOUND")</f>
        <v>CUST-054</v>
      </c>
      <c r="D211" s="11" t="s">
        <v>216</v>
      </c>
      <c r="E211" s="11" t="s">
        <v>55</v>
      </c>
      <c r="F211" s="5" t="str">
        <f t="shared" si="35"/>
        <v>Gaju Bhau</v>
      </c>
      <c r="G211" s="5" t="str">
        <f t="shared" si="36"/>
        <v/>
      </c>
      <c r="H211" s="5" t="str">
        <f t="shared" si="37"/>
        <v/>
      </c>
      <c r="I211" s="5" t="str">
        <f>_xlfn.XLOOKUP(F211,'[1]Jan Labour Nd Drivers Hyva'!$B:$B,'[2]Jan Labour Nd Drivers Hyva'!$A:$A,"NOT FOUND")</f>
        <v>LAB-001</v>
      </c>
      <c r="J211" s="5" t="str">
        <f>IF(G211="","",_xlfn.XLOOKUP(G211,'[3]Jan Labour Nd Drivers Hyva'!$B:$B,'[2]Jan Labour Nd Drivers Hyva'!$A:$A,"NOT FOUND"))</f>
        <v/>
      </c>
      <c r="K211" s="5" t="str">
        <f>IF(H211="","",_xlfn.XLOOKUP(H211,'[2]Jan Labour Nd Drivers Hyva'!$B:$B,'[2]Jan Labour Nd Drivers Hyva'!$A:$A,"NOT FOUND"))</f>
        <v/>
      </c>
      <c r="L211" s="11" t="s">
        <v>124</v>
      </c>
      <c r="M211" s="12">
        <v>1</v>
      </c>
      <c r="N211" s="13">
        <v>35000</v>
      </c>
      <c r="O211" s="8">
        <f t="shared" si="38"/>
        <v>35000</v>
      </c>
      <c r="P211" s="13">
        <v>35000</v>
      </c>
      <c r="Q211" s="7">
        <f t="shared" si="33"/>
        <v>0</v>
      </c>
      <c r="R211" t="str">
        <f t="shared" si="39"/>
        <v>PAID</v>
      </c>
      <c r="S211" s="3"/>
      <c r="T211" s="9">
        <f t="shared" si="40"/>
        <v>35000</v>
      </c>
      <c r="U211" t="str">
        <f t="shared" si="41"/>
        <v>OK</v>
      </c>
      <c r="V211" s="10">
        <f t="shared" si="42"/>
        <v>0</v>
      </c>
      <c r="W211" t="str">
        <f t="shared" si="43"/>
        <v>OK</v>
      </c>
      <c r="X211" s="3" t="s">
        <v>28</v>
      </c>
      <c r="Y211" t="s">
        <v>29</v>
      </c>
    </row>
    <row r="212" spans="1:25" x14ac:dyDescent="0.2">
      <c r="A212" t="str">
        <f t="shared" si="34"/>
        <v>TRIP-260</v>
      </c>
      <c r="B212" s="2">
        <v>45780</v>
      </c>
      <c r="C212" s="3" t="str">
        <f>_xlfn.XLOOKUP(D212,'[1]Jan Customer Duplicate Hyva'!$B:$B,'[1]Jan Customer Duplicate Hyva'!$A:$A,"NOT FOUND")</f>
        <v>CUST-253</v>
      </c>
      <c r="D212" s="11" t="s">
        <v>148</v>
      </c>
      <c r="E212" s="11" t="s">
        <v>30</v>
      </c>
      <c r="F212" s="5" t="str">
        <f t="shared" si="35"/>
        <v>Ravi</v>
      </c>
      <c r="G212" s="5" t="str">
        <f t="shared" si="36"/>
        <v/>
      </c>
      <c r="H212" s="5" t="str">
        <f t="shared" si="37"/>
        <v/>
      </c>
      <c r="I212" s="5" t="str">
        <f>_xlfn.XLOOKUP(F212,'[1]Jan Labour Nd Drivers Hyva'!$B:$B,'[2]Jan Labour Nd Drivers Hyva'!$A:$A,"NOT FOUND")</f>
        <v>LAB-003</v>
      </c>
      <c r="J212" s="5" t="str">
        <f>IF(G212="","",_xlfn.XLOOKUP(G212,'[3]Jan Labour Nd Drivers Hyva'!$B:$B,'[2]Jan Labour Nd Drivers Hyva'!$A:$A,"NOT FOUND"))</f>
        <v/>
      </c>
      <c r="K212" s="5" t="str">
        <f>IF(H212="","",_xlfn.XLOOKUP(H212,'[2]Jan Labour Nd Drivers Hyva'!$B:$B,'[2]Jan Labour Nd Drivers Hyva'!$A:$A,"NOT FOUND"))</f>
        <v/>
      </c>
      <c r="L212" s="11" t="s">
        <v>89</v>
      </c>
      <c r="M212" s="12">
        <v>1</v>
      </c>
      <c r="N212" s="13">
        <v>36000</v>
      </c>
      <c r="O212" s="8">
        <f t="shared" si="38"/>
        <v>36000</v>
      </c>
      <c r="P212" s="13">
        <v>36000</v>
      </c>
      <c r="Q212" s="7">
        <f t="shared" si="33"/>
        <v>0</v>
      </c>
      <c r="R212" t="str">
        <f t="shared" si="39"/>
        <v>PAID</v>
      </c>
      <c r="S212" s="3"/>
      <c r="T212" s="9">
        <f t="shared" si="40"/>
        <v>36000</v>
      </c>
      <c r="U212" t="str">
        <f t="shared" si="41"/>
        <v>OK</v>
      </c>
      <c r="V212" s="10">
        <f t="shared" si="42"/>
        <v>0</v>
      </c>
      <c r="W212" t="str">
        <f t="shared" si="43"/>
        <v>OK</v>
      </c>
      <c r="X212" s="3" t="s">
        <v>28</v>
      </c>
      <c r="Y212" t="s">
        <v>29</v>
      </c>
    </row>
    <row r="213" spans="1:25" x14ac:dyDescent="0.2">
      <c r="A213" t="str">
        <f t="shared" si="34"/>
        <v>TRIP-261</v>
      </c>
      <c r="B213" s="2">
        <v>45780</v>
      </c>
      <c r="C213" s="3" t="str">
        <f>_xlfn.XLOOKUP(D213,'[1]Jan Customer Duplicate Hyva'!$B:$B,'[1]Jan Customer Duplicate Hyva'!$A:$A,"NOT FOUND")</f>
        <v>CUST-037</v>
      </c>
      <c r="D213" s="11" t="s">
        <v>99</v>
      </c>
      <c r="E213" s="11" t="s">
        <v>30</v>
      </c>
      <c r="F213" s="5" t="str">
        <f t="shared" si="35"/>
        <v>Ravi</v>
      </c>
      <c r="G213" s="5" t="str">
        <f t="shared" si="36"/>
        <v/>
      </c>
      <c r="H213" s="5" t="str">
        <f t="shared" si="37"/>
        <v/>
      </c>
      <c r="I213" s="5" t="str">
        <f>_xlfn.XLOOKUP(F213,'[1]Jan Labour Nd Drivers Hyva'!$B:$B,'[2]Jan Labour Nd Drivers Hyva'!$A:$A,"NOT FOUND")</f>
        <v>LAB-003</v>
      </c>
      <c r="J213" s="5" t="str">
        <f>IF(G213="","",_xlfn.XLOOKUP(G213,'[3]Jan Labour Nd Drivers Hyva'!$B:$B,'[2]Jan Labour Nd Drivers Hyva'!$A:$A,"NOT FOUND"))</f>
        <v/>
      </c>
      <c r="K213" s="5" t="str">
        <f>IF(H213="","",_xlfn.XLOOKUP(H213,'[2]Jan Labour Nd Drivers Hyva'!$B:$B,'[2]Jan Labour Nd Drivers Hyva'!$A:$A,"NOT FOUND"))</f>
        <v/>
      </c>
      <c r="L213" s="11" t="s">
        <v>107</v>
      </c>
      <c r="M213" s="12">
        <v>1</v>
      </c>
      <c r="N213" s="13">
        <v>34000</v>
      </c>
      <c r="O213" s="8">
        <f t="shared" si="38"/>
        <v>34000</v>
      </c>
      <c r="P213" s="13"/>
      <c r="Q213" s="7">
        <f t="shared" si="33"/>
        <v>34000</v>
      </c>
      <c r="R213" t="str">
        <f t="shared" si="39"/>
        <v>UNPAID</v>
      </c>
      <c r="S213" s="3"/>
      <c r="T213" s="9">
        <f t="shared" si="40"/>
        <v>34000</v>
      </c>
      <c r="U213" t="str">
        <f t="shared" si="41"/>
        <v>OK</v>
      </c>
      <c r="V213" s="10">
        <f t="shared" si="42"/>
        <v>34000</v>
      </c>
      <c r="W213" t="str">
        <f t="shared" si="43"/>
        <v>OK</v>
      </c>
      <c r="X213" s="3" t="s">
        <v>28</v>
      </c>
      <c r="Y213" t="s">
        <v>29</v>
      </c>
    </row>
    <row r="214" spans="1:25" x14ac:dyDescent="0.2">
      <c r="A214" t="str">
        <f t="shared" si="34"/>
        <v>TRIP-262</v>
      </c>
      <c r="B214" s="2">
        <v>45782</v>
      </c>
      <c r="C214" s="3" t="str">
        <f>_xlfn.XLOOKUP(D214,'[1]Jan Customer Duplicate Hyva'!$B:$B,'[1]Jan Customer Duplicate Hyva'!$A:$A,"NOT FOUND")</f>
        <v>CUST-037</v>
      </c>
      <c r="D214" s="11" t="s">
        <v>99</v>
      </c>
      <c r="E214" s="11" t="s">
        <v>26</v>
      </c>
      <c r="F214" s="5" t="str">
        <f t="shared" si="35"/>
        <v>Anshu</v>
      </c>
      <c r="G214" s="5" t="str">
        <f t="shared" si="36"/>
        <v/>
      </c>
      <c r="H214" s="5" t="str">
        <f t="shared" si="37"/>
        <v/>
      </c>
      <c r="I214" s="5" t="str">
        <f>_xlfn.XLOOKUP(F214,'[1]Jan Labour Nd Drivers Hyva'!$B:$B,'[2]Jan Labour Nd Drivers Hyva'!$A:$A,"NOT FOUND")</f>
        <v>LAB-002</v>
      </c>
      <c r="J214" s="5" t="str">
        <f>IF(G214="","",_xlfn.XLOOKUP(G214,'[3]Jan Labour Nd Drivers Hyva'!$B:$B,'[2]Jan Labour Nd Drivers Hyva'!$A:$A,"NOT FOUND"))</f>
        <v/>
      </c>
      <c r="K214" s="5" t="str">
        <f>IF(H214="","",_xlfn.XLOOKUP(H214,'[2]Jan Labour Nd Drivers Hyva'!$B:$B,'[2]Jan Labour Nd Drivers Hyva'!$A:$A,"NOT FOUND"))</f>
        <v/>
      </c>
      <c r="L214" s="11" t="s">
        <v>107</v>
      </c>
      <c r="M214" s="12">
        <v>1</v>
      </c>
      <c r="N214" s="13">
        <v>34000</v>
      </c>
      <c r="O214" s="8">
        <f t="shared" si="38"/>
        <v>34000</v>
      </c>
      <c r="P214" s="13"/>
      <c r="Q214" s="7">
        <f t="shared" si="33"/>
        <v>34000</v>
      </c>
      <c r="R214" t="str">
        <f t="shared" si="39"/>
        <v>UNPAID</v>
      </c>
      <c r="S214" s="3"/>
      <c r="T214" s="9">
        <f t="shared" si="40"/>
        <v>34000</v>
      </c>
      <c r="U214" t="str">
        <f t="shared" si="41"/>
        <v>OK</v>
      </c>
      <c r="V214" s="10">
        <f t="shared" si="42"/>
        <v>34000</v>
      </c>
      <c r="W214" t="str">
        <f t="shared" si="43"/>
        <v>OK</v>
      </c>
      <c r="X214" s="3" t="s">
        <v>28</v>
      </c>
      <c r="Y214" t="s">
        <v>29</v>
      </c>
    </row>
    <row r="215" spans="1:25" x14ac:dyDescent="0.2">
      <c r="A215" t="str">
        <f t="shared" si="34"/>
        <v>TRIP-263</v>
      </c>
      <c r="B215" s="2">
        <v>45782</v>
      </c>
      <c r="C215" s="3" t="str">
        <f>_xlfn.XLOOKUP(D215,'[1]Jan Customer Duplicate Hyva'!$B:$B,'[1]Jan Customer Duplicate Hyva'!$A:$A,"NOT FOUND")</f>
        <v>CUST-037</v>
      </c>
      <c r="D215" s="11" t="s">
        <v>99</v>
      </c>
      <c r="E215" s="11" t="s">
        <v>30</v>
      </c>
      <c r="F215" s="5" t="str">
        <f t="shared" si="35"/>
        <v>Ravi</v>
      </c>
      <c r="G215" s="5" t="str">
        <f t="shared" si="36"/>
        <v/>
      </c>
      <c r="H215" s="5" t="str">
        <f t="shared" si="37"/>
        <v/>
      </c>
      <c r="I215" s="5" t="str">
        <f>_xlfn.XLOOKUP(F215,'[1]Jan Labour Nd Drivers Hyva'!$B:$B,'[2]Jan Labour Nd Drivers Hyva'!$A:$A,"NOT FOUND")</f>
        <v>LAB-003</v>
      </c>
      <c r="J215" s="5" t="str">
        <f>IF(G215="","",_xlfn.XLOOKUP(G215,'[3]Jan Labour Nd Drivers Hyva'!$B:$B,'[2]Jan Labour Nd Drivers Hyva'!$A:$A,"NOT FOUND"))</f>
        <v/>
      </c>
      <c r="K215" s="5" t="str">
        <f>IF(H215="","",_xlfn.XLOOKUP(H215,'[2]Jan Labour Nd Drivers Hyva'!$B:$B,'[2]Jan Labour Nd Drivers Hyva'!$A:$A,"NOT FOUND"))</f>
        <v/>
      </c>
      <c r="L215" s="11" t="s">
        <v>98</v>
      </c>
      <c r="M215" s="12">
        <v>1</v>
      </c>
      <c r="N215" s="13">
        <v>34000</v>
      </c>
      <c r="O215" s="8">
        <f t="shared" si="38"/>
        <v>34000</v>
      </c>
      <c r="P215" s="13"/>
      <c r="Q215" s="7">
        <f t="shared" si="33"/>
        <v>34000</v>
      </c>
      <c r="R215" t="str">
        <f t="shared" si="39"/>
        <v>UNPAID</v>
      </c>
      <c r="S215" s="3"/>
      <c r="T215" s="9">
        <f t="shared" si="40"/>
        <v>34000</v>
      </c>
      <c r="U215" t="str">
        <f t="shared" si="41"/>
        <v>OK</v>
      </c>
      <c r="V215" s="10">
        <f t="shared" si="42"/>
        <v>34000</v>
      </c>
      <c r="W215" t="str">
        <f t="shared" si="43"/>
        <v>OK</v>
      </c>
      <c r="X215" s="3" t="s">
        <v>28</v>
      </c>
      <c r="Y215" t="s">
        <v>29</v>
      </c>
    </row>
    <row r="216" spans="1:25" x14ac:dyDescent="0.2">
      <c r="A216" t="str">
        <f t="shared" si="34"/>
        <v>TRIP-264</v>
      </c>
      <c r="B216" s="2">
        <v>45783</v>
      </c>
      <c r="C216" s="3" t="str">
        <f>_xlfn.XLOOKUP(D216,'[1]Jan Customer Duplicate Hyva'!$B:$B,'[1]Jan Customer Duplicate Hyva'!$A:$A,"NOT FOUND")</f>
        <v>CUST-120</v>
      </c>
      <c r="D216" s="11" t="s">
        <v>122</v>
      </c>
      <c r="E216" s="11" t="s">
        <v>30</v>
      </c>
      <c r="F216" s="5" t="str">
        <f t="shared" si="35"/>
        <v>Ravi</v>
      </c>
      <c r="G216" s="5" t="str">
        <f t="shared" si="36"/>
        <v/>
      </c>
      <c r="H216" s="5" t="str">
        <f t="shared" si="37"/>
        <v/>
      </c>
      <c r="I216" s="5" t="str">
        <f>_xlfn.XLOOKUP(F216,'[1]Jan Labour Nd Drivers Hyva'!$B:$B,'[2]Jan Labour Nd Drivers Hyva'!$A:$A,"NOT FOUND")</f>
        <v>LAB-003</v>
      </c>
      <c r="J216" s="5" t="str">
        <f>IF(G216="","",_xlfn.XLOOKUP(G216,'[3]Jan Labour Nd Drivers Hyva'!$B:$B,'[2]Jan Labour Nd Drivers Hyva'!$A:$A,"NOT FOUND"))</f>
        <v/>
      </c>
      <c r="K216" s="5" t="str">
        <f>IF(H216="","",_xlfn.XLOOKUP(H216,'[2]Jan Labour Nd Drivers Hyva'!$B:$B,'[2]Jan Labour Nd Drivers Hyva'!$A:$A,"NOT FOUND"))</f>
        <v/>
      </c>
      <c r="L216" s="11" t="s">
        <v>124</v>
      </c>
      <c r="M216" s="12">
        <v>1</v>
      </c>
      <c r="N216" s="13">
        <v>33000</v>
      </c>
      <c r="O216" s="8">
        <f t="shared" si="38"/>
        <v>33000</v>
      </c>
      <c r="P216" s="13">
        <v>33000</v>
      </c>
      <c r="Q216" s="7">
        <f t="shared" si="33"/>
        <v>0</v>
      </c>
      <c r="R216" t="str">
        <f t="shared" si="39"/>
        <v>PAID</v>
      </c>
      <c r="S216" s="3"/>
      <c r="T216" s="9">
        <f t="shared" si="40"/>
        <v>33000</v>
      </c>
      <c r="U216" t="str">
        <f t="shared" si="41"/>
        <v>OK</v>
      </c>
      <c r="V216" s="10">
        <f t="shared" si="42"/>
        <v>0</v>
      </c>
      <c r="W216" t="str">
        <f t="shared" si="43"/>
        <v>OK</v>
      </c>
      <c r="X216" s="3" t="s">
        <v>28</v>
      </c>
      <c r="Y216" t="s">
        <v>29</v>
      </c>
    </row>
    <row r="217" spans="1:25" x14ac:dyDescent="0.2">
      <c r="A217" t="str">
        <f t="shared" si="34"/>
        <v>TRIP-265</v>
      </c>
      <c r="B217" s="2">
        <v>45784</v>
      </c>
      <c r="C217" s="3" t="str">
        <f>_xlfn.XLOOKUP(D217,'[1]Jan Customer Duplicate Hyva'!$B:$B,'[1]Jan Customer Duplicate Hyva'!$A:$A,"NOT FOUND")</f>
        <v>CUST-120</v>
      </c>
      <c r="D217" s="11" t="s">
        <v>122</v>
      </c>
      <c r="E217" s="11" t="s">
        <v>30</v>
      </c>
      <c r="F217" s="5" t="str">
        <f t="shared" si="35"/>
        <v>Ravi</v>
      </c>
      <c r="G217" s="5" t="str">
        <f t="shared" si="36"/>
        <v/>
      </c>
      <c r="H217" s="5" t="str">
        <f t="shared" si="37"/>
        <v/>
      </c>
      <c r="I217" s="5" t="str">
        <f>_xlfn.XLOOKUP(F217,'[1]Jan Labour Nd Drivers Hyva'!$B:$B,'[2]Jan Labour Nd Drivers Hyva'!$A:$A,"NOT FOUND")</f>
        <v>LAB-003</v>
      </c>
      <c r="J217" s="5" t="str">
        <f>IF(G217="","",_xlfn.XLOOKUP(G217,'[3]Jan Labour Nd Drivers Hyva'!$B:$B,'[2]Jan Labour Nd Drivers Hyva'!$A:$A,"NOT FOUND"))</f>
        <v/>
      </c>
      <c r="K217" s="5" t="str">
        <f>IF(H217="","",_xlfn.XLOOKUP(H217,'[2]Jan Labour Nd Drivers Hyva'!$B:$B,'[2]Jan Labour Nd Drivers Hyva'!$A:$A,"NOT FOUND"))</f>
        <v/>
      </c>
      <c r="L217" s="11" t="s">
        <v>142</v>
      </c>
      <c r="M217" s="12">
        <v>1</v>
      </c>
      <c r="N217" s="13">
        <v>33000</v>
      </c>
      <c r="O217" s="8">
        <f t="shared" si="38"/>
        <v>33000</v>
      </c>
      <c r="P217" s="13">
        <v>33000</v>
      </c>
      <c r="Q217" s="7">
        <f t="shared" si="33"/>
        <v>0</v>
      </c>
      <c r="R217" t="str">
        <f t="shared" si="39"/>
        <v>PAID</v>
      </c>
      <c r="S217" s="3"/>
      <c r="T217" s="9">
        <f t="shared" si="40"/>
        <v>33000</v>
      </c>
      <c r="U217" t="str">
        <f t="shared" si="41"/>
        <v>OK</v>
      </c>
      <c r="V217" s="10">
        <f t="shared" si="42"/>
        <v>0</v>
      </c>
      <c r="W217" t="str">
        <f t="shared" si="43"/>
        <v>OK</v>
      </c>
      <c r="X217" s="3" t="s">
        <v>28</v>
      </c>
      <c r="Y217" t="s">
        <v>29</v>
      </c>
    </row>
    <row r="218" spans="1:25" x14ac:dyDescent="0.2">
      <c r="A218" t="str">
        <f t="shared" si="34"/>
        <v>TRIP-266</v>
      </c>
      <c r="B218" s="2">
        <v>45784</v>
      </c>
      <c r="C218" s="3" t="str">
        <f>_xlfn.XLOOKUP(D218,'[1]Jan Customer Duplicate Hyva'!$B:$B,'[1]Jan Customer Duplicate Hyva'!$A:$A,"NOT FOUND")</f>
        <v>CUST-037</v>
      </c>
      <c r="D218" s="11" t="s">
        <v>99</v>
      </c>
      <c r="E218" s="11" t="s">
        <v>26</v>
      </c>
      <c r="F218" s="5" t="str">
        <f t="shared" si="35"/>
        <v>Anshu</v>
      </c>
      <c r="G218" s="5" t="str">
        <f t="shared" si="36"/>
        <v/>
      </c>
      <c r="H218" s="5" t="str">
        <f t="shared" si="37"/>
        <v/>
      </c>
      <c r="I218" s="5" t="str">
        <f>_xlfn.XLOOKUP(F218,'[1]Jan Labour Nd Drivers Hyva'!$B:$B,'[2]Jan Labour Nd Drivers Hyva'!$A:$A,"NOT FOUND")</f>
        <v>LAB-002</v>
      </c>
      <c r="J218" s="5" t="str">
        <f>IF(G218="","",_xlfn.XLOOKUP(G218,'[3]Jan Labour Nd Drivers Hyva'!$B:$B,'[2]Jan Labour Nd Drivers Hyva'!$A:$A,"NOT FOUND"))</f>
        <v/>
      </c>
      <c r="K218" s="5" t="str">
        <f>IF(H218="","",_xlfn.XLOOKUP(H218,'[2]Jan Labour Nd Drivers Hyva'!$B:$B,'[2]Jan Labour Nd Drivers Hyva'!$A:$A,"NOT FOUND"))</f>
        <v/>
      </c>
      <c r="L218" s="11" t="s">
        <v>107</v>
      </c>
      <c r="M218" s="12">
        <v>1</v>
      </c>
      <c r="N218" s="13">
        <v>34000</v>
      </c>
      <c r="O218" s="8">
        <f t="shared" si="38"/>
        <v>34000</v>
      </c>
      <c r="P218" s="13"/>
      <c r="Q218" s="7">
        <f t="shared" si="33"/>
        <v>34000</v>
      </c>
      <c r="R218" t="str">
        <f t="shared" si="39"/>
        <v>UNPAID</v>
      </c>
      <c r="S218" s="3"/>
      <c r="T218" s="9">
        <f t="shared" si="40"/>
        <v>34000</v>
      </c>
      <c r="U218" t="str">
        <f t="shared" si="41"/>
        <v>OK</v>
      </c>
      <c r="V218" s="10">
        <f t="shared" si="42"/>
        <v>34000</v>
      </c>
      <c r="W218" t="str">
        <f t="shared" si="43"/>
        <v>OK</v>
      </c>
      <c r="X218" s="3" t="s">
        <v>28</v>
      </c>
      <c r="Y218" t="s">
        <v>29</v>
      </c>
    </row>
    <row r="219" spans="1:25" x14ac:dyDescent="0.2">
      <c r="A219" t="str">
        <f t="shared" si="34"/>
        <v>TRIP-267</v>
      </c>
      <c r="B219" s="2">
        <v>45784</v>
      </c>
      <c r="C219" s="3" t="str">
        <f>_xlfn.XLOOKUP(D219,'[1]Jan Customer Duplicate Hyva'!$B:$B,'[1]Jan Customer Duplicate Hyva'!$A:$A,"NOT FOUND")</f>
        <v>CUST-172</v>
      </c>
      <c r="D219" s="3" t="s">
        <v>54</v>
      </c>
      <c r="E219" s="11" t="s">
        <v>26</v>
      </c>
      <c r="F219" s="5" t="str">
        <f t="shared" si="35"/>
        <v>Anshu</v>
      </c>
      <c r="G219" s="5" t="str">
        <f t="shared" si="36"/>
        <v/>
      </c>
      <c r="H219" s="5" t="str">
        <f t="shared" si="37"/>
        <v/>
      </c>
      <c r="I219" s="5" t="str">
        <f>_xlfn.XLOOKUP(F219,'[1]Jan Labour Nd Drivers Hyva'!$B:$B,'[2]Jan Labour Nd Drivers Hyva'!$A:$A,"NOT FOUND")</f>
        <v>LAB-002</v>
      </c>
      <c r="J219" s="5" t="str">
        <f>IF(G219="","",_xlfn.XLOOKUP(G219,'[3]Jan Labour Nd Drivers Hyva'!$B:$B,'[2]Jan Labour Nd Drivers Hyva'!$A:$A,"NOT FOUND"))</f>
        <v/>
      </c>
      <c r="K219" s="5" t="str">
        <f>IF(H219="","",_xlfn.XLOOKUP(H219,'[2]Jan Labour Nd Drivers Hyva'!$B:$B,'[2]Jan Labour Nd Drivers Hyva'!$A:$A,"NOT FOUND"))</f>
        <v/>
      </c>
      <c r="L219" s="11" t="s">
        <v>56</v>
      </c>
      <c r="M219" s="12">
        <v>1</v>
      </c>
      <c r="N219" s="13">
        <v>34000</v>
      </c>
      <c r="O219" s="8">
        <f t="shared" si="38"/>
        <v>34000</v>
      </c>
      <c r="P219" s="13">
        <v>34000</v>
      </c>
      <c r="Q219" s="7">
        <f t="shared" si="33"/>
        <v>0</v>
      </c>
      <c r="R219" t="str">
        <f t="shared" si="39"/>
        <v>PAID</v>
      </c>
      <c r="S219" s="3"/>
      <c r="T219" s="9">
        <f t="shared" si="40"/>
        <v>34000</v>
      </c>
      <c r="U219" t="str">
        <f t="shared" si="41"/>
        <v>OK</v>
      </c>
      <c r="V219" s="10">
        <f t="shared" si="42"/>
        <v>0</v>
      </c>
      <c r="W219" t="str">
        <f t="shared" si="43"/>
        <v>OK</v>
      </c>
      <c r="X219" s="3" t="s">
        <v>28</v>
      </c>
      <c r="Y219" t="s">
        <v>29</v>
      </c>
    </row>
    <row r="220" spans="1:25" x14ac:dyDescent="0.2">
      <c r="A220" t="str">
        <f t="shared" si="34"/>
        <v>TRIP-268</v>
      </c>
      <c r="B220" s="2">
        <v>45784</v>
      </c>
      <c r="C220" s="3" t="str">
        <f>_xlfn.XLOOKUP(D220,'[1]Jan Customer Duplicate Hyva'!$B:$B,'[1]Jan Customer Duplicate Hyva'!$A:$A,"NOT FOUND")</f>
        <v>CUST-172</v>
      </c>
      <c r="D220" s="3" t="s">
        <v>54</v>
      </c>
      <c r="E220" s="11" t="s">
        <v>30</v>
      </c>
      <c r="F220" s="5" t="str">
        <f t="shared" si="35"/>
        <v>Ravi</v>
      </c>
      <c r="G220" s="5" t="str">
        <f t="shared" si="36"/>
        <v/>
      </c>
      <c r="H220" s="5" t="str">
        <f t="shared" si="37"/>
        <v/>
      </c>
      <c r="I220" s="5" t="str">
        <f>_xlfn.XLOOKUP(F220,'[1]Jan Labour Nd Drivers Hyva'!$B:$B,'[2]Jan Labour Nd Drivers Hyva'!$A:$A,"NOT FOUND")</f>
        <v>LAB-003</v>
      </c>
      <c r="J220" s="5" t="str">
        <f>IF(G220="","",_xlfn.XLOOKUP(G220,'[3]Jan Labour Nd Drivers Hyva'!$B:$B,'[2]Jan Labour Nd Drivers Hyva'!$A:$A,"NOT FOUND"))</f>
        <v/>
      </c>
      <c r="K220" s="5" t="str">
        <f>IF(H220="","",_xlfn.XLOOKUP(H220,'[2]Jan Labour Nd Drivers Hyva'!$B:$B,'[2]Jan Labour Nd Drivers Hyva'!$A:$A,"NOT FOUND"))</f>
        <v/>
      </c>
      <c r="L220" s="11" t="s">
        <v>56</v>
      </c>
      <c r="M220" s="12">
        <v>2</v>
      </c>
      <c r="N220" s="13">
        <v>34000</v>
      </c>
      <c r="O220" s="8">
        <f t="shared" si="38"/>
        <v>68000</v>
      </c>
      <c r="P220" s="13">
        <v>68000</v>
      </c>
      <c r="Q220" s="7">
        <f t="shared" si="33"/>
        <v>0</v>
      </c>
      <c r="R220" t="str">
        <f t="shared" si="39"/>
        <v>PAID</v>
      </c>
      <c r="S220" s="3"/>
      <c r="T220" s="9">
        <f t="shared" si="40"/>
        <v>68000</v>
      </c>
      <c r="U220" t="str">
        <f t="shared" si="41"/>
        <v>OK</v>
      </c>
      <c r="V220" s="10">
        <f t="shared" si="42"/>
        <v>0</v>
      </c>
      <c r="W220" t="str">
        <f t="shared" si="43"/>
        <v>OK</v>
      </c>
      <c r="X220" s="3" t="s">
        <v>28</v>
      </c>
      <c r="Y220" t="s">
        <v>29</v>
      </c>
    </row>
    <row r="221" spans="1:25" x14ac:dyDescent="0.2">
      <c r="A221" t="str">
        <f t="shared" si="34"/>
        <v>TRIP-269</v>
      </c>
      <c r="B221" s="2">
        <v>45784</v>
      </c>
      <c r="C221" s="3" t="str">
        <f>_xlfn.XLOOKUP(D221,'[1]Jan Customer Duplicate Hyva'!$B:$B,'[1]Jan Customer Duplicate Hyva'!$A:$A,"NOT FOUND")</f>
        <v>CUST-037</v>
      </c>
      <c r="D221" s="11" t="s">
        <v>99</v>
      </c>
      <c r="E221" s="11" t="s">
        <v>26</v>
      </c>
      <c r="F221" s="5" t="str">
        <f t="shared" si="35"/>
        <v>Anshu</v>
      </c>
      <c r="G221" s="5" t="str">
        <f t="shared" si="36"/>
        <v/>
      </c>
      <c r="H221" s="5" t="str">
        <f t="shared" si="37"/>
        <v/>
      </c>
      <c r="I221" s="5" t="str">
        <f>_xlfn.XLOOKUP(F221,'[1]Jan Labour Nd Drivers Hyva'!$B:$B,'[2]Jan Labour Nd Drivers Hyva'!$A:$A,"NOT FOUND")</f>
        <v>LAB-002</v>
      </c>
      <c r="J221" s="5" t="str">
        <f>IF(G221="","",_xlfn.XLOOKUP(G221,'[3]Jan Labour Nd Drivers Hyva'!$B:$B,'[2]Jan Labour Nd Drivers Hyva'!$A:$A,"NOT FOUND"))</f>
        <v/>
      </c>
      <c r="K221" s="5" t="str">
        <f>IF(H221="","",_xlfn.XLOOKUP(H221,'[2]Jan Labour Nd Drivers Hyva'!$B:$B,'[2]Jan Labour Nd Drivers Hyva'!$A:$A,"NOT FOUND"))</f>
        <v/>
      </c>
      <c r="L221" s="11" t="s">
        <v>217</v>
      </c>
      <c r="M221" s="12">
        <v>1</v>
      </c>
      <c r="N221" s="13">
        <v>34000</v>
      </c>
      <c r="O221" s="8">
        <f t="shared" si="38"/>
        <v>34000</v>
      </c>
      <c r="P221" s="13"/>
      <c r="Q221" s="7">
        <f t="shared" si="33"/>
        <v>34000</v>
      </c>
      <c r="R221" t="str">
        <f t="shared" si="39"/>
        <v>UNPAID</v>
      </c>
      <c r="S221" s="3"/>
      <c r="T221" s="9">
        <f t="shared" si="40"/>
        <v>34000</v>
      </c>
      <c r="U221" t="str">
        <f t="shared" si="41"/>
        <v>OK</v>
      </c>
      <c r="V221" s="10">
        <f t="shared" si="42"/>
        <v>34000</v>
      </c>
      <c r="W221" t="str">
        <f t="shared" si="43"/>
        <v>OK</v>
      </c>
      <c r="X221" s="3" t="s">
        <v>28</v>
      </c>
      <c r="Y221" t="s">
        <v>29</v>
      </c>
    </row>
    <row r="222" spans="1:25" x14ac:dyDescent="0.2">
      <c r="A222" t="str">
        <f t="shared" si="34"/>
        <v>TRIP-270</v>
      </c>
      <c r="B222" s="2">
        <v>45784</v>
      </c>
      <c r="C222" s="3" t="str">
        <f>_xlfn.XLOOKUP(D222,'[1]Jan Customer Duplicate Hyva'!$B:$B,'[1]Jan Customer Duplicate Hyva'!$A:$A,"NOT FOUND")</f>
        <v>CUST-323</v>
      </c>
      <c r="D222" s="3" t="s">
        <v>51</v>
      </c>
      <c r="E222" s="11" t="s">
        <v>26</v>
      </c>
      <c r="F222" s="5" t="str">
        <f t="shared" si="35"/>
        <v>Anshu</v>
      </c>
      <c r="G222" s="5" t="str">
        <f t="shared" si="36"/>
        <v/>
      </c>
      <c r="H222" s="5" t="str">
        <f t="shared" si="37"/>
        <v/>
      </c>
      <c r="I222" s="5" t="str">
        <f>_xlfn.XLOOKUP(F222,'[1]Jan Labour Nd Drivers Hyva'!$B:$B,'[2]Jan Labour Nd Drivers Hyva'!$A:$A,"NOT FOUND")</f>
        <v>LAB-002</v>
      </c>
      <c r="J222" s="5" t="str">
        <f>IF(G222="","",_xlfn.XLOOKUP(G222,'[3]Jan Labour Nd Drivers Hyva'!$B:$B,'[2]Jan Labour Nd Drivers Hyva'!$A:$A,"NOT FOUND"))</f>
        <v/>
      </c>
      <c r="K222" s="5" t="str">
        <f>IF(H222="","",_xlfn.XLOOKUP(H222,'[2]Jan Labour Nd Drivers Hyva'!$B:$B,'[2]Jan Labour Nd Drivers Hyva'!$A:$A,"NOT FOUND"))</f>
        <v/>
      </c>
      <c r="L222" s="11" t="s">
        <v>41</v>
      </c>
      <c r="M222" s="12">
        <v>1</v>
      </c>
      <c r="N222" s="13">
        <v>34000</v>
      </c>
      <c r="O222" s="8">
        <f t="shared" si="38"/>
        <v>34000</v>
      </c>
      <c r="P222" s="13">
        <v>34000</v>
      </c>
      <c r="Q222" s="7">
        <f t="shared" si="33"/>
        <v>0</v>
      </c>
      <c r="R222" t="str">
        <f t="shared" si="39"/>
        <v>PAID</v>
      </c>
      <c r="S222" s="3"/>
      <c r="T222" s="9">
        <f t="shared" si="40"/>
        <v>34000</v>
      </c>
      <c r="U222" t="str">
        <f t="shared" si="41"/>
        <v>OK</v>
      </c>
      <c r="V222" s="10">
        <f t="shared" si="42"/>
        <v>0</v>
      </c>
      <c r="W222" t="str">
        <f t="shared" si="43"/>
        <v>OK</v>
      </c>
      <c r="X222" s="3" t="s">
        <v>28</v>
      </c>
      <c r="Y222" t="s">
        <v>29</v>
      </c>
    </row>
    <row r="223" spans="1:25" x14ac:dyDescent="0.2">
      <c r="A223" t="str">
        <f t="shared" si="34"/>
        <v>TRIP-271</v>
      </c>
      <c r="B223" s="2">
        <v>45784</v>
      </c>
      <c r="C223" s="3" t="str">
        <f>_xlfn.XLOOKUP(D223,'[1]Jan Customer Duplicate Hyva'!$B:$B,'[1]Jan Customer Duplicate Hyva'!$A:$A,"NOT FOUND")</f>
        <v>CUST-382</v>
      </c>
      <c r="D223" s="11" t="s">
        <v>102</v>
      </c>
      <c r="E223" s="11" t="s">
        <v>55</v>
      </c>
      <c r="F223" s="5" t="str">
        <f t="shared" si="35"/>
        <v>Gaju Bhau</v>
      </c>
      <c r="G223" s="5" t="str">
        <f t="shared" si="36"/>
        <v/>
      </c>
      <c r="H223" s="5" t="str">
        <f t="shared" si="37"/>
        <v/>
      </c>
      <c r="I223" s="5" t="str">
        <f>_xlfn.XLOOKUP(F223,'[1]Jan Labour Nd Drivers Hyva'!$B:$B,'[2]Jan Labour Nd Drivers Hyva'!$A:$A,"NOT FOUND")</f>
        <v>LAB-001</v>
      </c>
      <c r="J223" s="5" t="str">
        <f>IF(G223="","",_xlfn.XLOOKUP(G223,'[3]Jan Labour Nd Drivers Hyva'!$B:$B,'[2]Jan Labour Nd Drivers Hyva'!$A:$A,"NOT FOUND"))</f>
        <v/>
      </c>
      <c r="K223" s="5" t="str">
        <f>IF(H223="","",_xlfn.XLOOKUP(H223,'[2]Jan Labour Nd Drivers Hyva'!$B:$B,'[2]Jan Labour Nd Drivers Hyva'!$A:$A,"NOT FOUND"))</f>
        <v/>
      </c>
      <c r="L223" s="11" t="s">
        <v>114</v>
      </c>
      <c r="M223" s="12">
        <v>1</v>
      </c>
      <c r="N223" s="13">
        <v>35000</v>
      </c>
      <c r="O223" s="8">
        <f t="shared" si="38"/>
        <v>35000</v>
      </c>
      <c r="P223" s="13">
        <v>35000</v>
      </c>
      <c r="Q223" s="7">
        <f t="shared" si="33"/>
        <v>0</v>
      </c>
      <c r="R223" t="str">
        <f t="shared" si="39"/>
        <v>PAID</v>
      </c>
      <c r="S223" s="3"/>
      <c r="T223" s="9">
        <f t="shared" si="40"/>
        <v>35000</v>
      </c>
      <c r="U223" t="str">
        <f t="shared" si="41"/>
        <v>OK</v>
      </c>
      <c r="V223" s="10">
        <f t="shared" si="42"/>
        <v>0</v>
      </c>
      <c r="W223" t="str">
        <f t="shared" si="43"/>
        <v>OK</v>
      </c>
      <c r="X223" s="3" t="s">
        <v>28</v>
      </c>
      <c r="Y223" t="s">
        <v>29</v>
      </c>
    </row>
    <row r="224" spans="1:25" x14ac:dyDescent="0.2">
      <c r="A224" t="str">
        <f t="shared" si="34"/>
        <v>TRIP-272</v>
      </c>
      <c r="B224" s="2">
        <v>45784</v>
      </c>
      <c r="C224" s="3" t="str">
        <f>_xlfn.XLOOKUP(D224,'[1]Jan Customer Duplicate Hyva'!$B:$B,'[1]Jan Customer Duplicate Hyva'!$A:$A,"NOT FOUND")</f>
        <v>CUST-169</v>
      </c>
      <c r="D224" s="11" t="s">
        <v>46</v>
      </c>
      <c r="E224" s="11" t="s">
        <v>55</v>
      </c>
      <c r="F224" s="5" t="str">
        <f t="shared" si="35"/>
        <v>Gaju Bhau</v>
      </c>
      <c r="G224" s="5" t="str">
        <f t="shared" si="36"/>
        <v/>
      </c>
      <c r="H224" s="5" t="str">
        <f t="shared" si="37"/>
        <v/>
      </c>
      <c r="I224" s="5" t="str">
        <f>_xlfn.XLOOKUP(F224,'[1]Jan Labour Nd Drivers Hyva'!$B:$B,'[2]Jan Labour Nd Drivers Hyva'!$A:$A,"NOT FOUND")</f>
        <v>LAB-001</v>
      </c>
      <c r="J224" s="5" t="str">
        <f>IF(G224="","",_xlfn.XLOOKUP(G224,'[3]Jan Labour Nd Drivers Hyva'!$B:$B,'[2]Jan Labour Nd Drivers Hyva'!$A:$A,"NOT FOUND"))</f>
        <v/>
      </c>
      <c r="K224" s="5" t="str">
        <f>IF(H224="","",_xlfn.XLOOKUP(H224,'[2]Jan Labour Nd Drivers Hyva'!$B:$B,'[2]Jan Labour Nd Drivers Hyva'!$A:$A,"NOT FOUND"))</f>
        <v/>
      </c>
      <c r="L224" s="11" t="s">
        <v>120</v>
      </c>
      <c r="M224" s="12">
        <v>1</v>
      </c>
      <c r="N224" s="13">
        <v>35000</v>
      </c>
      <c r="O224" s="8">
        <f t="shared" si="38"/>
        <v>35000</v>
      </c>
      <c r="P224" s="13">
        <v>35000</v>
      </c>
      <c r="Q224" s="7">
        <f t="shared" si="33"/>
        <v>0</v>
      </c>
      <c r="R224" t="str">
        <f t="shared" si="39"/>
        <v>PAID</v>
      </c>
      <c r="S224" s="3"/>
      <c r="T224" s="9">
        <f t="shared" si="40"/>
        <v>35000</v>
      </c>
      <c r="U224" t="str">
        <f t="shared" si="41"/>
        <v>OK</v>
      </c>
      <c r="V224" s="10">
        <f t="shared" si="42"/>
        <v>0</v>
      </c>
      <c r="W224" t="str">
        <f t="shared" si="43"/>
        <v>OK</v>
      </c>
      <c r="X224" s="3" t="s">
        <v>28</v>
      </c>
      <c r="Y224" t="s">
        <v>29</v>
      </c>
    </row>
    <row r="225" spans="1:25" x14ac:dyDescent="0.2">
      <c r="A225" t="str">
        <f t="shared" si="34"/>
        <v>TRIP-273</v>
      </c>
      <c r="B225" s="2">
        <v>45784</v>
      </c>
      <c r="C225" s="3" t="str">
        <f>_xlfn.XLOOKUP(D225,'[1]Jan Customer Duplicate Hyva'!$B:$B,'[1]Jan Customer Duplicate Hyva'!$A:$A,"NOT FOUND")</f>
        <v>CUST-172</v>
      </c>
      <c r="D225" s="3" t="s">
        <v>54</v>
      </c>
      <c r="E225" s="11" t="s">
        <v>55</v>
      </c>
      <c r="F225" s="5" t="str">
        <f t="shared" si="35"/>
        <v>Gaju Bhau</v>
      </c>
      <c r="G225" s="5" t="str">
        <f t="shared" si="36"/>
        <v/>
      </c>
      <c r="H225" s="5" t="str">
        <f t="shared" si="37"/>
        <v/>
      </c>
      <c r="I225" s="5" t="str">
        <f>_xlfn.XLOOKUP(F225,'[1]Jan Labour Nd Drivers Hyva'!$B:$B,'[2]Jan Labour Nd Drivers Hyva'!$A:$A,"NOT FOUND")</f>
        <v>LAB-001</v>
      </c>
      <c r="J225" s="5" t="str">
        <f>IF(G225="","",_xlfn.XLOOKUP(G225,'[3]Jan Labour Nd Drivers Hyva'!$B:$B,'[2]Jan Labour Nd Drivers Hyva'!$A:$A,"NOT FOUND"))</f>
        <v/>
      </c>
      <c r="K225" s="5" t="str">
        <f>IF(H225="","",_xlfn.XLOOKUP(H225,'[2]Jan Labour Nd Drivers Hyva'!$B:$B,'[2]Jan Labour Nd Drivers Hyva'!$A:$A,"NOT FOUND"))</f>
        <v/>
      </c>
      <c r="L225" s="11" t="s">
        <v>142</v>
      </c>
      <c r="M225" s="12">
        <v>1</v>
      </c>
      <c r="N225" s="13">
        <v>34000</v>
      </c>
      <c r="O225" s="8">
        <f t="shared" si="38"/>
        <v>34000</v>
      </c>
      <c r="P225" s="13">
        <v>34000</v>
      </c>
      <c r="Q225" s="7">
        <f t="shared" si="33"/>
        <v>0</v>
      </c>
      <c r="R225" t="str">
        <f t="shared" si="39"/>
        <v>PAID</v>
      </c>
      <c r="S225" s="3"/>
      <c r="T225" s="9">
        <f t="shared" si="40"/>
        <v>34000</v>
      </c>
      <c r="U225" t="str">
        <f t="shared" si="41"/>
        <v>OK</v>
      </c>
      <c r="V225" s="10">
        <f t="shared" si="42"/>
        <v>0</v>
      </c>
      <c r="W225" t="str">
        <f t="shared" si="43"/>
        <v>OK</v>
      </c>
      <c r="X225" s="3" t="s">
        <v>28</v>
      </c>
      <c r="Y225" t="s">
        <v>29</v>
      </c>
    </row>
    <row r="226" spans="1:25" x14ac:dyDescent="0.2">
      <c r="A226" t="str">
        <f t="shared" si="34"/>
        <v>TRIP-274</v>
      </c>
      <c r="B226" s="2">
        <v>45785</v>
      </c>
      <c r="C226" s="3" t="str">
        <f>_xlfn.XLOOKUP(D226,'[1]Jan Customer Duplicate Hyva'!$B:$B,'[1]Jan Customer Duplicate Hyva'!$A:$A,"NOT FOUND")</f>
        <v>CUST-172</v>
      </c>
      <c r="D226" s="3" t="s">
        <v>54</v>
      </c>
      <c r="E226" s="11" t="s">
        <v>55</v>
      </c>
      <c r="F226" s="5" t="str">
        <f t="shared" si="35"/>
        <v>Gaju Bhau</v>
      </c>
      <c r="G226" s="5" t="str">
        <f t="shared" si="36"/>
        <v/>
      </c>
      <c r="H226" s="5" t="str">
        <f t="shared" si="37"/>
        <v/>
      </c>
      <c r="I226" s="5" t="str">
        <f>_xlfn.XLOOKUP(F226,'[1]Jan Labour Nd Drivers Hyva'!$B:$B,'[2]Jan Labour Nd Drivers Hyva'!$A:$A,"NOT FOUND")</f>
        <v>LAB-001</v>
      </c>
      <c r="J226" s="5" t="str">
        <f>IF(G226="","",_xlfn.XLOOKUP(G226,'[3]Jan Labour Nd Drivers Hyva'!$B:$B,'[2]Jan Labour Nd Drivers Hyva'!$A:$A,"NOT FOUND"))</f>
        <v/>
      </c>
      <c r="K226" s="5" t="str">
        <f>IF(H226="","",_xlfn.XLOOKUP(H226,'[2]Jan Labour Nd Drivers Hyva'!$B:$B,'[2]Jan Labour Nd Drivers Hyva'!$A:$A,"NOT FOUND"))</f>
        <v/>
      </c>
      <c r="L226" s="11" t="s">
        <v>56</v>
      </c>
      <c r="M226" s="12">
        <v>1</v>
      </c>
      <c r="N226" s="13">
        <v>34000</v>
      </c>
      <c r="O226" s="8">
        <f t="shared" si="38"/>
        <v>34000</v>
      </c>
      <c r="P226" s="13">
        <v>34000</v>
      </c>
      <c r="Q226" s="7">
        <f t="shared" ref="Q226:Q289" si="44">O226-P226</f>
        <v>0</v>
      </c>
      <c r="R226" t="str">
        <f t="shared" si="39"/>
        <v>PAID</v>
      </c>
      <c r="S226" s="3"/>
      <c r="T226" s="9">
        <f t="shared" si="40"/>
        <v>34000</v>
      </c>
      <c r="U226" t="str">
        <f t="shared" si="41"/>
        <v>OK</v>
      </c>
      <c r="V226" s="10">
        <f t="shared" si="42"/>
        <v>0</v>
      </c>
      <c r="W226" t="str">
        <f t="shared" si="43"/>
        <v>OK</v>
      </c>
      <c r="X226" s="3" t="s">
        <v>28</v>
      </c>
      <c r="Y226" t="s">
        <v>29</v>
      </c>
    </row>
    <row r="227" spans="1:25" x14ac:dyDescent="0.2">
      <c r="A227" t="str">
        <f t="shared" si="34"/>
        <v>TRIP-275</v>
      </c>
      <c r="B227" s="2">
        <v>45785</v>
      </c>
      <c r="C227" s="3" t="str">
        <f>_xlfn.XLOOKUP(D227,'[1]Jan Customer Duplicate Hyva'!$B:$B,'[1]Jan Customer Duplicate Hyva'!$A:$A,"NOT FOUND")</f>
        <v>CUST-172</v>
      </c>
      <c r="D227" s="3" t="s">
        <v>54</v>
      </c>
      <c r="E227" s="11" t="s">
        <v>26</v>
      </c>
      <c r="F227" s="5" t="str">
        <f t="shared" si="35"/>
        <v>Anshu</v>
      </c>
      <c r="G227" s="5" t="str">
        <f t="shared" si="36"/>
        <v/>
      </c>
      <c r="H227" s="5" t="str">
        <f t="shared" si="37"/>
        <v/>
      </c>
      <c r="I227" s="5" t="str">
        <f>_xlfn.XLOOKUP(F227,'[1]Jan Labour Nd Drivers Hyva'!$B:$B,'[2]Jan Labour Nd Drivers Hyva'!$A:$A,"NOT FOUND")</f>
        <v>LAB-002</v>
      </c>
      <c r="J227" s="5" t="str">
        <f>IF(G227="","",_xlfn.XLOOKUP(G227,'[3]Jan Labour Nd Drivers Hyva'!$B:$B,'[2]Jan Labour Nd Drivers Hyva'!$A:$A,"NOT FOUND"))</f>
        <v/>
      </c>
      <c r="K227" s="5" t="str">
        <f>IF(H227="","",_xlfn.XLOOKUP(H227,'[2]Jan Labour Nd Drivers Hyva'!$B:$B,'[2]Jan Labour Nd Drivers Hyva'!$A:$A,"NOT FOUND"))</f>
        <v/>
      </c>
      <c r="L227" s="11" t="s">
        <v>56</v>
      </c>
      <c r="M227" s="12">
        <v>1</v>
      </c>
      <c r="N227" s="13">
        <v>34000</v>
      </c>
      <c r="O227" s="8">
        <f t="shared" si="38"/>
        <v>34000</v>
      </c>
      <c r="P227" s="13">
        <v>34000</v>
      </c>
      <c r="Q227" s="7">
        <f t="shared" si="44"/>
        <v>0</v>
      </c>
      <c r="R227" t="str">
        <f t="shared" si="39"/>
        <v>PAID</v>
      </c>
      <c r="S227" s="3"/>
      <c r="T227" s="9">
        <f t="shared" si="40"/>
        <v>34000</v>
      </c>
      <c r="U227" t="str">
        <f t="shared" si="41"/>
        <v>OK</v>
      </c>
      <c r="V227" s="10">
        <f t="shared" si="42"/>
        <v>0</v>
      </c>
      <c r="W227" t="str">
        <f t="shared" si="43"/>
        <v>OK</v>
      </c>
      <c r="X227" s="3" t="s">
        <v>28</v>
      </c>
      <c r="Y227" t="s">
        <v>29</v>
      </c>
    </row>
    <row r="228" spans="1:25" x14ac:dyDescent="0.2">
      <c r="A228" t="str">
        <f t="shared" si="34"/>
        <v>TRIP-276</v>
      </c>
      <c r="B228" s="2">
        <v>45785</v>
      </c>
      <c r="C228" s="3" t="str">
        <f>_xlfn.XLOOKUP(D228,'[1]Jan Customer Duplicate Hyva'!$B:$B,'[1]Jan Customer Duplicate Hyva'!$A:$A,"NOT FOUND")</f>
        <v>NOT FOUND</v>
      </c>
      <c r="D228" s="11" t="s">
        <v>218</v>
      </c>
      <c r="E228" s="11" t="s">
        <v>26</v>
      </c>
      <c r="F228" s="5" t="str">
        <f t="shared" si="35"/>
        <v>Anshu</v>
      </c>
      <c r="G228" s="5" t="str">
        <f t="shared" si="36"/>
        <v/>
      </c>
      <c r="H228" s="5" t="str">
        <f t="shared" si="37"/>
        <v/>
      </c>
      <c r="I228" s="5" t="str">
        <f>_xlfn.XLOOKUP(F228,'[1]Jan Labour Nd Drivers Hyva'!$B:$B,'[2]Jan Labour Nd Drivers Hyva'!$A:$A,"NOT FOUND")</f>
        <v>LAB-002</v>
      </c>
      <c r="J228" s="5" t="str">
        <f>IF(G228="","",_xlfn.XLOOKUP(G228,'[3]Jan Labour Nd Drivers Hyva'!$B:$B,'[2]Jan Labour Nd Drivers Hyva'!$A:$A,"NOT FOUND"))</f>
        <v/>
      </c>
      <c r="K228" s="5" t="str">
        <f>IF(H228="","",_xlfn.XLOOKUP(H228,'[2]Jan Labour Nd Drivers Hyva'!$B:$B,'[2]Jan Labour Nd Drivers Hyva'!$A:$A,"NOT FOUND"))</f>
        <v/>
      </c>
      <c r="L228" s="11" t="s">
        <v>89</v>
      </c>
      <c r="M228" s="12">
        <v>1</v>
      </c>
      <c r="N228" s="13">
        <v>36000</v>
      </c>
      <c r="O228" s="8">
        <f t="shared" si="38"/>
        <v>36000</v>
      </c>
      <c r="P228" s="13">
        <v>36000</v>
      </c>
      <c r="Q228" s="7">
        <f t="shared" si="44"/>
        <v>0</v>
      </c>
      <c r="R228" t="str">
        <f t="shared" si="39"/>
        <v>PAID</v>
      </c>
      <c r="S228" s="3"/>
      <c r="T228" s="9">
        <f t="shared" si="40"/>
        <v>36000</v>
      </c>
      <c r="U228" t="str">
        <f t="shared" si="41"/>
        <v>OK</v>
      </c>
      <c r="V228" s="10">
        <f t="shared" si="42"/>
        <v>0</v>
      </c>
      <c r="W228" t="str">
        <f t="shared" si="43"/>
        <v>OK</v>
      </c>
      <c r="X228" s="3" t="s">
        <v>28</v>
      </c>
      <c r="Y228" t="s">
        <v>29</v>
      </c>
    </row>
    <row r="229" spans="1:25" x14ac:dyDescent="0.2">
      <c r="A229" t="str">
        <f t="shared" si="34"/>
        <v>TRIP-277</v>
      </c>
      <c r="B229" s="2">
        <v>45785</v>
      </c>
      <c r="C229" s="3" t="str">
        <f>_xlfn.XLOOKUP(D229,'[1]Jan Customer Duplicate Hyva'!$B:$B,'[1]Jan Customer Duplicate Hyva'!$A:$A,"NOT FOUND")</f>
        <v>CUST-206</v>
      </c>
      <c r="D229" s="11" t="s">
        <v>158</v>
      </c>
      <c r="E229" s="11" t="s">
        <v>26</v>
      </c>
      <c r="F229" s="5" t="str">
        <f t="shared" si="35"/>
        <v>Anshu</v>
      </c>
      <c r="G229" s="5" t="str">
        <f t="shared" si="36"/>
        <v/>
      </c>
      <c r="H229" s="5" t="str">
        <f t="shared" si="37"/>
        <v/>
      </c>
      <c r="I229" s="5" t="str">
        <f>_xlfn.XLOOKUP(F229,'[1]Jan Labour Nd Drivers Hyva'!$B:$B,'[2]Jan Labour Nd Drivers Hyva'!$A:$A,"NOT FOUND")</f>
        <v>LAB-002</v>
      </c>
      <c r="J229" s="5" t="str">
        <f>IF(G229="","",_xlfn.XLOOKUP(G229,'[3]Jan Labour Nd Drivers Hyva'!$B:$B,'[2]Jan Labour Nd Drivers Hyva'!$A:$A,"NOT FOUND"))</f>
        <v/>
      </c>
      <c r="K229" s="5" t="str">
        <f>IF(H229="","",_xlfn.XLOOKUP(H229,'[2]Jan Labour Nd Drivers Hyva'!$B:$B,'[2]Jan Labour Nd Drivers Hyva'!$A:$A,"NOT FOUND"))</f>
        <v/>
      </c>
      <c r="L229" s="11" t="s">
        <v>142</v>
      </c>
      <c r="M229" s="12">
        <v>1</v>
      </c>
      <c r="N229" s="13">
        <v>35000</v>
      </c>
      <c r="O229" s="8">
        <f t="shared" si="38"/>
        <v>35000</v>
      </c>
      <c r="P229" s="13">
        <v>35000</v>
      </c>
      <c r="Q229" s="7">
        <f t="shared" si="44"/>
        <v>0</v>
      </c>
      <c r="R229" t="str">
        <f t="shared" si="39"/>
        <v>PAID</v>
      </c>
      <c r="S229" s="3"/>
      <c r="T229" s="9">
        <f t="shared" si="40"/>
        <v>35000</v>
      </c>
      <c r="U229" t="str">
        <f t="shared" si="41"/>
        <v>OK</v>
      </c>
      <c r="V229" s="10">
        <f t="shared" si="42"/>
        <v>0</v>
      </c>
      <c r="W229" t="str">
        <f t="shared" si="43"/>
        <v>OK</v>
      </c>
      <c r="X229" s="3" t="s">
        <v>28</v>
      </c>
      <c r="Y229" t="s">
        <v>29</v>
      </c>
    </row>
    <row r="230" spans="1:25" x14ac:dyDescent="0.2">
      <c r="A230" t="str">
        <f t="shared" si="34"/>
        <v>TRIP-278</v>
      </c>
      <c r="B230" s="2">
        <v>45785</v>
      </c>
      <c r="C230" s="3" t="str">
        <f>_xlfn.XLOOKUP(D230,'[1]Jan Customer Duplicate Hyva'!$B:$B,'[1]Jan Customer Duplicate Hyva'!$A:$A,"NOT FOUND")</f>
        <v>CUST-135</v>
      </c>
      <c r="D230" s="11" t="s">
        <v>219</v>
      </c>
      <c r="E230" s="11" t="s">
        <v>26</v>
      </c>
      <c r="F230" s="5" t="str">
        <f t="shared" si="35"/>
        <v>Anshu</v>
      </c>
      <c r="G230" s="5" t="str">
        <f t="shared" si="36"/>
        <v/>
      </c>
      <c r="H230" s="5" t="str">
        <f t="shared" si="37"/>
        <v/>
      </c>
      <c r="I230" s="5" t="str">
        <f>_xlfn.XLOOKUP(F230,'[1]Jan Labour Nd Drivers Hyva'!$B:$B,'[2]Jan Labour Nd Drivers Hyva'!$A:$A,"NOT FOUND")</f>
        <v>LAB-002</v>
      </c>
      <c r="J230" s="5" t="str">
        <f>IF(G230="","",_xlfn.XLOOKUP(G230,'[3]Jan Labour Nd Drivers Hyva'!$B:$B,'[2]Jan Labour Nd Drivers Hyva'!$A:$A,"NOT FOUND"))</f>
        <v/>
      </c>
      <c r="K230" s="5" t="str">
        <f>IF(H230="","",_xlfn.XLOOKUP(H230,'[2]Jan Labour Nd Drivers Hyva'!$B:$B,'[2]Jan Labour Nd Drivers Hyva'!$A:$A,"NOT FOUND"))</f>
        <v/>
      </c>
      <c r="L230" s="11" t="s">
        <v>220</v>
      </c>
      <c r="M230" s="12">
        <v>1</v>
      </c>
      <c r="N230" s="13">
        <v>36000</v>
      </c>
      <c r="O230" s="8">
        <f t="shared" si="38"/>
        <v>36000</v>
      </c>
      <c r="P230" s="13">
        <v>36000</v>
      </c>
      <c r="Q230" s="7">
        <f t="shared" si="44"/>
        <v>0</v>
      </c>
      <c r="R230" t="str">
        <f t="shared" si="39"/>
        <v>PAID</v>
      </c>
      <c r="S230" s="3"/>
      <c r="T230" s="9">
        <f t="shared" si="40"/>
        <v>36000</v>
      </c>
      <c r="U230" t="str">
        <f t="shared" si="41"/>
        <v>OK</v>
      </c>
      <c r="V230" s="10">
        <f t="shared" si="42"/>
        <v>0</v>
      </c>
      <c r="W230" t="str">
        <f t="shared" si="43"/>
        <v>OK</v>
      </c>
      <c r="X230" s="3" t="s">
        <v>28</v>
      </c>
      <c r="Y230" t="s">
        <v>29</v>
      </c>
    </row>
    <row r="231" spans="1:25" x14ac:dyDescent="0.2">
      <c r="A231" t="str">
        <f t="shared" si="34"/>
        <v>TRIP-279</v>
      </c>
      <c r="B231" s="2">
        <v>45786</v>
      </c>
      <c r="C231" s="3" t="str">
        <f>_xlfn.XLOOKUP(D231,'[1]Jan Customer Duplicate Hyva'!$B:$B,'[1]Jan Customer Duplicate Hyva'!$A:$A,"NOT FOUND")</f>
        <v>CUST-323</v>
      </c>
      <c r="D231" s="3" t="s">
        <v>51</v>
      </c>
      <c r="E231" s="11" t="s">
        <v>30</v>
      </c>
      <c r="F231" s="5" t="str">
        <f t="shared" si="35"/>
        <v>Ravi</v>
      </c>
      <c r="G231" s="5" t="str">
        <f t="shared" si="36"/>
        <v/>
      </c>
      <c r="H231" s="5" t="str">
        <f t="shared" si="37"/>
        <v/>
      </c>
      <c r="I231" s="5" t="str">
        <f>_xlfn.XLOOKUP(F231,'[1]Jan Labour Nd Drivers Hyva'!$B:$B,'[2]Jan Labour Nd Drivers Hyva'!$A:$A,"NOT FOUND")</f>
        <v>LAB-003</v>
      </c>
      <c r="J231" s="5" t="str">
        <f>IF(G231="","",_xlfn.XLOOKUP(G231,'[3]Jan Labour Nd Drivers Hyva'!$B:$B,'[2]Jan Labour Nd Drivers Hyva'!$A:$A,"NOT FOUND"))</f>
        <v/>
      </c>
      <c r="K231" s="5" t="str">
        <f>IF(H231="","",_xlfn.XLOOKUP(H231,'[2]Jan Labour Nd Drivers Hyva'!$B:$B,'[2]Jan Labour Nd Drivers Hyva'!$A:$A,"NOT FOUND"))</f>
        <v/>
      </c>
      <c r="L231" s="11" t="s">
        <v>89</v>
      </c>
      <c r="M231" s="12">
        <v>1</v>
      </c>
      <c r="N231" s="13">
        <v>35000</v>
      </c>
      <c r="O231" s="8">
        <f t="shared" si="38"/>
        <v>35000</v>
      </c>
      <c r="P231" s="13"/>
      <c r="Q231" s="7">
        <f t="shared" si="44"/>
        <v>35000</v>
      </c>
      <c r="R231" t="str">
        <f t="shared" si="39"/>
        <v>UNPAID</v>
      </c>
      <c r="S231" s="3"/>
      <c r="T231" s="9">
        <f t="shared" si="40"/>
        <v>35000</v>
      </c>
      <c r="U231" t="str">
        <f t="shared" si="41"/>
        <v>OK</v>
      </c>
      <c r="V231" s="10">
        <f t="shared" si="42"/>
        <v>35000</v>
      </c>
      <c r="W231" t="str">
        <f t="shared" si="43"/>
        <v>OK</v>
      </c>
      <c r="X231" s="3" t="s">
        <v>28</v>
      </c>
      <c r="Y231" t="s">
        <v>29</v>
      </c>
    </row>
    <row r="232" spans="1:25" x14ac:dyDescent="0.2">
      <c r="A232" t="str">
        <f t="shared" si="34"/>
        <v>TRIP-280</v>
      </c>
      <c r="B232" s="2">
        <v>45788</v>
      </c>
      <c r="C232" s="3" t="str">
        <f>_xlfn.XLOOKUP(D232,'[1]Jan Customer Duplicate Hyva'!$B:$B,'[1]Jan Customer Duplicate Hyva'!$A:$A,"NOT FOUND")</f>
        <v>CUST-157</v>
      </c>
      <c r="D232" s="11" t="s">
        <v>221</v>
      </c>
      <c r="E232" s="11" t="s">
        <v>80</v>
      </c>
      <c r="F232" s="5" t="str">
        <f t="shared" si="35"/>
        <v>Anshu</v>
      </c>
      <c r="G232" s="5" t="str">
        <f t="shared" si="36"/>
        <v>Ravi</v>
      </c>
      <c r="H232" s="5" t="str">
        <f t="shared" si="37"/>
        <v/>
      </c>
      <c r="I232" s="5" t="str">
        <f>_xlfn.XLOOKUP(F232,'[1]Jan Labour Nd Drivers Hyva'!$B:$B,'[2]Jan Labour Nd Drivers Hyva'!$A:$A,"NOT FOUND")</f>
        <v>LAB-002</v>
      </c>
      <c r="J232" s="5" t="str">
        <f>IF(G232="","",_xlfn.XLOOKUP(G232,'[3]Jan Labour Nd Drivers Hyva'!$B:$B,'[2]Jan Labour Nd Drivers Hyva'!$A:$A,"NOT FOUND"))</f>
        <v>LAB-003</v>
      </c>
      <c r="K232" s="5" t="str">
        <f>IF(H232="","",_xlfn.XLOOKUP(H232,'[2]Jan Labour Nd Drivers Hyva'!$B:$B,'[2]Jan Labour Nd Drivers Hyva'!$A:$A,"NOT FOUND"))</f>
        <v/>
      </c>
      <c r="L232" s="11" t="s">
        <v>144</v>
      </c>
      <c r="M232" s="12">
        <v>5</v>
      </c>
      <c r="N232" s="13">
        <v>36000</v>
      </c>
      <c r="O232" s="8">
        <f t="shared" si="38"/>
        <v>180000</v>
      </c>
      <c r="P232" s="13">
        <v>180000</v>
      </c>
      <c r="Q232" s="7">
        <f t="shared" si="44"/>
        <v>0</v>
      </c>
      <c r="R232" t="str">
        <f t="shared" si="39"/>
        <v>PAID</v>
      </c>
      <c r="S232" s="3"/>
      <c r="T232" s="9">
        <f t="shared" si="40"/>
        <v>180000</v>
      </c>
      <c r="U232" t="str">
        <f t="shared" si="41"/>
        <v>OK</v>
      </c>
      <c r="V232" s="10">
        <f t="shared" si="42"/>
        <v>0</v>
      </c>
      <c r="W232" t="str">
        <f t="shared" si="43"/>
        <v>OK</v>
      </c>
      <c r="X232" s="3" t="s">
        <v>28</v>
      </c>
      <c r="Y232" t="s">
        <v>29</v>
      </c>
    </row>
    <row r="233" spans="1:25" x14ac:dyDescent="0.2">
      <c r="A233" t="str">
        <f t="shared" si="34"/>
        <v>TRIP-281</v>
      </c>
      <c r="B233" s="2">
        <v>45788</v>
      </c>
      <c r="C233" s="3" t="str">
        <f>_xlfn.XLOOKUP(D233,'[1]Jan Customer Duplicate Hyva'!$B:$B,'[1]Jan Customer Duplicate Hyva'!$A:$A,"NOT FOUND")</f>
        <v>CUST-328</v>
      </c>
      <c r="D233" s="11" t="s">
        <v>88</v>
      </c>
      <c r="E233" s="11" t="s">
        <v>30</v>
      </c>
      <c r="F233" s="5" t="str">
        <f t="shared" si="35"/>
        <v>Ravi</v>
      </c>
      <c r="G233" s="5" t="str">
        <f t="shared" si="36"/>
        <v/>
      </c>
      <c r="H233" s="5" t="str">
        <f t="shared" si="37"/>
        <v/>
      </c>
      <c r="I233" s="5" t="str">
        <f>_xlfn.XLOOKUP(F233,'[1]Jan Labour Nd Drivers Hyva'!$B:$B,'[2]Jan Labour Nd Drivers Hyva'!$A:$A,"NOT FOUND")</f>
        <v>LAB-003</v>
      </c>
      <c r="J233" s="5" t="str">
        <f>IF(G233="","",_xlfn.XLOOKUP(G233,'[3]Jan Labour Nd Drivers Hyva'!$B:$B,'[2]Jan Labour Nd Drivers Hyva'!$A:$A,"NOT FOUND"))</f>
        <v/>
      </c>
      <c r="K233" s="5" t="str">
        <f>IF(H233="","",_xlfn.XLOOKUP(H233,'[2]Jan Labour Nd Drivers Hyva'!$B:$B,'[2]Jan Labour Nd Drivers Hyva'!$A:$A,"NOT FOUND"))</f>
        <v/>
      </c>
      <c r="L233" s="11" t="s">
        <v>89</v>
      </c>
      <c r="M233" s="12">
        <v>1</v>
      </c>
      <c r="N233" s="13">
        <v>30000</v>
      </c>
      <c r="O233" s="8">
        <f t="shared" si="38"/>
        <v>30000</v>
      </c>
      <c r="P233" s="13"/>
      <c r="Q233" s="7">
        <f t="shared" si="44"/>
        <v>30000</v>
      </c>
      <c r="R233" t="str">
        <f t="shared" si="39"/>
        <v>UNPAID</v>
      </c>
      <c r="S233" s="3"/>
      <c r="T233" s="9">
        <f t="shared" si="40"/>
        <v>30000</v>
      </c>
      <c r="U233" t="str">
        <f t="shared" si="41"/>
        <v>OK</v>
      </c>
      <c r="V233" s="10">
        <f t="shared" si="42"/>
        <v>30000</v>
      </c>
      <c r="W233" t="str">
        <f t="shared" si="43"/>
        <v>OK</v>
      </c>
      <c r="X233" s="3" t="s">
        <v>28</v>
      </c>
      <c r="Y233" t="s">
        <v>29</v>
      </c>
    </row>
    <row r="234" spans="1:25" x14ac:dyDescent="0.2">
      <c r="A234" t="str">
        <f t="shared" si="34"/>
        <v>TRIP-282</v>
      </c>
      <c r="B234" s="2">
        <v>45788</v>
      </c>
      <c r="C234" s="3" t="str">
        <f>_xlfn.XLOOKUP(D234,'[1]Jan Customer Duplicate Hyva'!$B:$B,'[1]Jan Customer Duplicate Hyva'!$A:$A,"NOT FOUND")</f>
        <v>CUST-169</v>
      </c>
      <c r="D234" s="11" t="s">
        <v>46</v>
      </c>
      <c r="E234" s="11" t="s">
        <v>26</v>
      </c>
      <c r="F234" s="5" t="str">
        <f t="shared" si="35"/>
        <v>Anshu</v>
      </c>
      <c r="G234" s="5" t="str">
        <f t="shared" si="36"/>
        <v/>
      </c>
      <c r="H234" s="5" t="str">
        <f t="shared" si="37"/>
        <v/>
      </c>
      <c r="I234" s="5" t="str">
        <f>_xlfn.XLOOKUP(F234,'[1]Jan Labour Nd Drivers Hyva'!$B:$B,'[2]Jan Labour Nd Drivers Hyva'!$A:$A,"NOT FOUND")</f>
        <v>LAB-002</v>
      </c>
      <c r="J234" s="5" t="str">
        <f>IF(G234="","",_xlfn.XLOOKUP(G234,'[3]Jan Labour Nd Drivers Hyva'!$B:$B,'[2]Jan Labour Nd Drivers Hyva'!$A:$A,"NOT FOUND"))</f>
        <v/>
      </c>
      <c r="K234" s="5" t="str">
        <f>IF(H234="","",_xlfn.XLOOKUP(H234,'[2]Jan Labour Nd Drivers Hyva'!$B:$B,'[2]Jan Labour Nd Drivers Hyva'!$A:$A,"NOT FOUND"))</f>
        <v/>
      </c>
      <c r="L234" s="11" t="s">
        <v>56</v>
      </c>
      <c r="M234" s="12">
        <v>1</v>
      </c>
      <c r="N234" s="13">
        <v>34000</v>
      </c>
      <c r="O234" s="8">
        <f t="shared" si="38"/>
        <v>34000</v>
      </c>
      <c r="P234" s="13">
        <v>34000</v>
      </c>
      <c r="Q234" s="7">
        <f t="shared" si="44"/>
        <v>0</v>
      </c>
      <c r="R234" t="str">
        <f t="shared" si="39"/>
        <v>PAID</v>
      </c>
      <c r="S234" s="3"/>
      <c r="T234" s="9">
        <f t="shared" si="40"/>
        <v>34000</v>
      </c>
      <c r="U234" t="str">
        <f t="shared" si="41"/>
        <v>OK</v>
      </c>
      <c r="V234" s="10">
        <f t="shared" si="42"/>
        <v>0</v>
      </c>
      <c r="W234" t="str">
        <f t="shared" si="43"/>
        <v>OK</v>
      </c>
      <c r="X234" s="3" t="s">
        <v>28</v>
      </c>
      <c r="Y234" t="s">
        <v>29</v>
      </c>
    </row>
    <row r="235" spans="1:25" x14ac:dyDescent="0.2">
      <c r="A235" t="str">
        <f t="shared" si="34"/>
        <v>TRIP-283</v>
      </c>
      <c r="B235" s="2">
        <v>45791</v>
      </c>
      <c r="C235" s="3" t="str">
        <f>_xlfn.XLOOKUP(D235,'[1]Jan Customer Duplicate Hyva'!$B:$B,'[1]Jan Customer Duplicate Hyva'!$A:$A,"NOT FOUND")</f>
        <v>CUST-264</v>
      </c>
      <c r="D235" s="11" t="s">
        <v>222</v>
      </c>
      <c r="E235" s="11" t="s">
        <v>26</v>
      </c>
      <c r="F235" s="5" t="str">
        <f t="shared" si="35"/>
        <v>Anshu</v>
      </c>
      <c r="G235" s="5" t="str">
        <f t="shared" si="36"/>
        <v/>
      </c>
      <c r="H235" s="5" t="str">
        <f t="shared" si="37"/>
        <v/>
      </c>
      <c r="I235" s="5" t="str">
        <f>_xlfn.XLOOKUP(F235,'[1]Jan Labour Nd Drivers Hyva'!$B:$B,'[2]Jan Labour Nd Drivers Hyva'!$A:$A,"NOT FOUND")</f>
        <v>LAB-002</v>
      </c>
      <c r="J235" s="5" t="str">
        <f>IF(G235="","",_xlfn.XLOOKUP(G235,'[3]Jan Labour Nd Drivers Hyva'!$B:$B,'[2]Jan Labour Nd Drivers Hyva'!$A:$A,"NOT FOUND"))</f>
        <v/>
      </c>
      <c r="K235" s="5" t="str">
        <f>IF(H235="","",_xlfn.XLOOKUP(H235,'[2]Jan Labour Nd Drivers Hyva'!$B:$B,'[2]Jan Labour Nd Drivers Hyva'!$A:$A,"NOT FOUND"))</f>
        <v/>
      </c>
      <c r="L235" s="11" t="s">
        <v>36</v>
      </c>
      <c r="M235" s="12">
        <v>3</v>
      </c>
      <c r="N235" s="13">
        <v>35000</v>
      </c>
      <c r="O235" s="8">
        <f t="shared" si="38"/>
        <v>105000</v>
      </c>
      <c r="P235" s="13">
        <v>105000</v>
      </c>
      <c r="Q235" s="7">
        <f t="shared" si="44"/>
        <v>0</v>
      </c>
      <c r="R235" t="str">
        <f t="shared" si="39"/>
        <v>PAID</v>
      </c>
      <c r="S235" s="3"/>
      <c r="T235" s="9">
        <f t="shared" si="40"/>
        <v>105000</v>
      </c>
      <c r="U235" t="str">
        <f t="shared" si="41"/>
        <v>OK</v>
      </c>
      <c r="V235" s="10">
        <f t="shared" si="42"/>
        <v>0</v>
      </c>
      <c r="W235" t="str">
        <f t="shared" si="43"/>
        <v>OK</v>
      </c>
      <c r="X235" s="3" t="s">
        <v>28</v>
      </c>
      <c r="Y235" t="s">
        <v>29</v>
      </c>
    </row>
    <row r="236" spans="1:25" x14ac:dyDescent="0.2">
      <c r="A236" t="str">
        <f t="shared" si="34"/>
        <v>TRIP-284</v>
      </c>
      <c r="B236" s="2">
        <v>45791</v>
      </c>
      <c r="C236" s="3" t="str">
        <f>_xlfn.XLOOKUP(D236,'[1]Jan Customer Duplicate Hyva'!$B:$B,'[1]Jan Customer Duplicate Hyva'!$A:$A,"NOT FOUND")</f>
        <v>CUST-002</v>
      </c>
      <c r="D236" s="11" t="s">
        <v>223</v>
      </c>
      <c r="E236" s="11" t="s">
        <v>26</v>
      </c>
      <c r="F236" s="5" t="str">
        <f t="shared" si="35"/>
        <v>Anshu</v>
      </c>
      <c r="G236" s="5" t="str">
        <f t="shared" si="36"/>
        <v/>
      </c>
      <c r="H236" s="5" t="str">
        <f t="shared" si="37"/>
        <v/>
      </c>
      <c r="I236" s="5" t="str">
        <f>_xlfn.XLOOKUP(F236,'[1]Jan Labour Nd Drivers Hyva'!$B:$B,'[2]Jan Labour Nd Drivers Hyva'!$A:$A,"NOT FOUND")</f>
        <v>LAB-002</v>
      </c>
      <c r="J236" s="5" t="str">
        <f>IF(G236="","",_xlfn.XLOOKUP(G236,'[3]Jan Labour Nd Drivers Hyva'!$B:$B,'[2]Jan Labour Nd Drivers Hyva'!$A:$A,"NOT FOUND"))</f>
        <v/>
      </c>
      <c r="K236" s="5" t="str">
        <f>IF(H236="","",_xlfn.XLOOKUP(H236,'[2]Jan Labour Nd Drivers Hyva'!$B:$B,'[2]Jan Labour Nd Drivers Hyva'!$A:$A,"NOT FOUND"))</f>
        <v/>
      </c>
      <c r="L236" s="11" t="s">
        <v>120</v>
      </c>
      <c r="M236" s="12">
        <v>1</v>
      </c>
      <c r="N236" s="13">
        <v>35000</v>
      </c>
      <c r="O236" s="8">
        <f t="shared" si="38"/>
        <v>35000</v>
      </c>
      <c r="P236" s="13">
        <v>35000</v>
      </c>
      <c r="Q236" s="7">
        <f t="shared" si="44"/>
        <v>0</v>
      </c>
      <c r="R236" t="str">
        <f t="shared" si="39"/>
        <v>PAID</v>
      </c>
      <c r="S236" s="3"/>
      <c r="T236" s="9">
        <f t="shared" si="40"/>
        <v>35000</v>
      </c>
      <c r="U236" t="str">
        <f t="shared" si="41"/>
        <v>OK</v>
      </c>
      <c r="V236" s="10">
        <f t="shared" si="42"/>
        <v>0</v>
      </c>
      <c r="W236" t="str">
        <f t="shared" si="43"/>
        <v>OK</v>
      </c>
      <c r="X236" s="3" t="s">
        <v>28</v>
      </c>
      <c r="Y236" t="s">
        <v>29</v>
      </c>
    </row>
    <row r="237" spans="1:25" x14ac:dyDescent="0.2">
      <c r="A237" t="str">
        <f t="shared" si="34"/>
        <v>TRIP-285</v>
      </c>
      <c r="B237" s="2">
        <v>45791</v>
      </c>
      <c r="C237" s="3" t="str">
        <f>_xlfn.XLOOKUP(D237,'[1]Jan Customer Duplicate Hyva'!$B:$B,'[1]Jan Customer Duplicate Hyva'!$A:$A,"NOT FOUND")</f>
        <v>CUST-170</v>
      </c>
      <c r="D237" s="11" t="s">
        <v>156</v>
      </c>
      <c r="E237" s="11" t="s">
        <v>26</v>
      </c>
      <c r="F237" s="5" t="str">
        <f t="shared" si="35"/>
        <v>Anshu</v>
      </c>
      <c r="G237" s="5" t="str">
        <f t="shared" si="36"/>
        <v/>
      </c>
      <c r="H237" s="5" t="str">
        <f t="shared" si="37"/>
        <v/>
      </c>
      <c r="I237" s="5" t="str">
        <f>_xlfn.XLOOKUP(F237,'[1]Jan Labour Nd Drivers Hyva'!$B:$B,'[2]Jan Labour Nd Drivers Hyva'!$A:$A,"NOT FOUND")</f>
        <v>LAB-002</v>
      </c>
      <c r="J237" s="5" t="str">
        <f>IF(G237="","",_xlfn.XLOOKUP(G237,'[3]Jan Labour Nd Drivers Hyva'!$B:$B,'[2]Jan Labour Nd Drivers Hyva'!$A:$A,"NOT FOUND"))</f>
        <v/>
      </c>
      <c r="K237" s="5" t="str">
        <f>IF(H237="","",_xlfn.XLOOKUP(H237,'[2]Jan Labour Nd Drivers Hyva'!$B:$B,'[2]Jan Labour Nd Drivers Hyva'!$A:$A,"NOT FOUND"))</f>
        <v/>
      </c>
      <c r="L237" s="11" t="s">
        <v>120</v>
      </c>
      <c r="M237" s="12">
        <v>1</v>
      </c>
      <c r="N237" s="13">
        <v>34000</v>
      </c>
      <c r="O237" s="8">
        <f t="shared" si="38"/>
        <v>34000</v>
      </c>
      <c r="P237" s="13">
        <v>34000</v>
      </c>
      <c r="Q237" s="7">
        <f t="shared" si="44"/>
        <v>0</v>
      </c>
      <c r="R237" t="str">
        <f t="shared" si="39"/>
        <v>PAID</v>
      </c>
      <c r="S237" s="3"/>
      <c r="T237" s="9">
        <f t="shared" si="40"/>
        <v>34000</v>
      </c>
      <c r="U237" t="str">
        <f t="shared" si="41"/>
        <v>OK</v>
      </c>
      <c r="V237" s="10">
        <f t="shared" si="42"/>
        <v>0</v>
      </c>
      <c r="W237" t="str">
        <f t="shared" si="43"/>
        <v>OK</v>
      </c>
      <c r="X237" s="3" t="s">
        <v>28</v>
      </c>
      <c r="Y237" t="s">
        <v>29</v>
      </c>
    </row>
    <row r="238" spans="1:25" x14ac:dyDescent="0.2">
      <c r="A238" t="str">
        <f t="shared" si="34"/>
        <v>TRIP-286</v>
      </c>
      <c r="B238" s="2">
        <v>45791</v>
      </c>
      <c r="C238" s="3" t="str">
        <f>_xlfn.XLOOKUP(D238,'[1]Jan Customer Duplicate Hyva'!$B:$B,'[1]Jan Customer Duplicate Hyva'!$A:$A,"NOT FOUND")</f>
        <v>CUST-170</v>
      </c>
      <c r="D238" s="11" t="s">
        <v>156</v>
      </c>
      <c r="E238" s="11" t="s">
        <v>26</v>
      </c>
      <c r="F238" s="5" t="str">
        <f t="shared" si="35"/>
        <v>Anshu</v>
      </c>
      <c r="G238" s="5" t="str">
        <f t="shared" si="36"/>
        <v/>
      </c>
      <c r="H238" s="5" t="str">
        <f t="shared" si="37"/>
        <v/>
      </c>
      <c r="I238" s="5" t="str">
        <f>_xlfn.XLOOKUP(F238,'[1]Jan Labour Nd Drivers Hyva'!$B:$B,'[2]Jan Labour Nd Drivers Hyva'!$A:$A,"NOT FOUND")</f>
        <v>LAB-002</v>
      </c>
      <c r="J238" s="5" t="str">
        <f>IF(G238="","",_xlfn.XLOOKUP(G238,'[3]Jan Labour Nd Drivers Hyva'!$B:$B,'[2]Jan Labour Nd Drivers Hyva'!$A:$A,"NOT FOUND"))</f>
        <v/>
      </c>
      <c r="K238" s="5" t="str">
        <f>IF(H238="","",_xlfn.XLOOKUP(H238,'[2]Jan Labour Nd Drivers Hyva'!$B:$B,'[2]Jan Labour Nd Drivers Hyva'!$A:$A,"NOT FOUND"))</f>
        <v/>
      </c>
      <c r="L238" s="11" t="s">
        <v>81</v>
      </c>
      <c r="M238" s="12">
        <v>1</v>
      </c>
      <c r="N238" s="13">
        <v>34000</v>
      </c>
      <c r="O238" s="8">
        <f t="shared" si="38"/>
        <v>34000</v>
      </c>
      <c r="P238" s="13">
        <v>34000</v>
      </c>
      <c r="Q238" s="7">
        <f t="shared" si="44"/>
        <v>0</v>
      </c>
      <c r="R238" t="str">
        <f t="shared" si="39"/>
        <v>PAID</v>
      </c>
      <c r="S238" s="3"/>
      <c r="T238" s="9">
        <f t="shared" si="40"/>
        <v>34000</v>
      </c>
      <c r="U238" t="str">
        <f t="shared" si="41"/>
        <v>OK</v>
      </c>
      <c r="V238" s="10">
        <f t="shared" si="42"/>
        <v>0</v>
      </c>
      <c r="W238" t="str">
        <f t="shared" si="43"/>
        <v>OK</v>
      </c>
      <c r="X238" s="3" t="s">
        <v>28</v>
      </c>
      <c r="Y238" t="s">
        <v>29</v>
      </c>
    </row>
    <row r="239" spans="1:25" x14ac:dyDescent="0.2">
      <c r="A239" t="str">
        <f t="shared" si="34"/>
        <v>TRIP-287</v>
      </c>
      <c r="B239" s="2">
        <v>45791</v>
      </c>
      <c r="C239" s="3" t="str">
        <f>_xlfn.XLOOKUP(D239,'[1]Jan Customer Duplicate Hyva'!$B:$B,'[1]Jan Customer Duplicate Hyva'!$A:$A,"NOT FOUND")</f>
        <v>CUST-323</v>
      </c>
      <c r="D239" s="3" t="s">
        <v>51</v>
      </c>
      <c r="E239" s="11" t="s">
        <v>26</v>
      </c>
      <c r="F239" s="5" t="str">
        <f t="shared" si="35"/>
        <v>Anshu</v>
      </c>
      <c r="G239" s="5" t="str">
        <f t="shared" si="36"/>
        <v/>
      </c>
      <c r="H239" s="5" t="str">
        <f t="shared" si="37"/>
        <v/>
      </c>
      <c r="I239" s="5" t="str">
        <f>_xlfn.XLOOKUP(F239,'[1]Jan Labour Nd Drivers Hyva'!$B:$B,'[2]Jan Labour Nd Drivers Hyva'!$A:$A,"NOT FOUND")</f>
        <v>LAB-002</v>
      </c>
      <c r="J239" s="5" t="str">
        <f>IF(G239="","",_xlfn.XLOOKUP(G239,'[3]Jan Labour Nd Drivers Hyva'!$B:$B,'[2]Jan Labour Nd Drivers Hyva'!$A:$A,"NOT FOUND"))</f>
        <v/>
      </c>
      <c r="K239" s="5" t="str">
        <f>IF(H239="","",_xlfn.XLOOKUP(H239,'[2]Jan Labour Nd Drivers Hyva'!$B:$B,'[2]Jan Labour Nd Drivers Hyva'!$A:$A,"NOT FOUND"))</f>
        <v/>
      </c>
      <c r="L239" s="11" t="s">
        <v>41</v>
      </c>
      <c r="M239" s="12">
        <v>1</v>
      </c>
      <c r="N239" s="13">
        <v>35000</v>
      </c>
      <c r="O239" s="8">
        <f t="shared" si="38"/>
        <v>35000</v>
      </c>
      <c r="P239" s="13">
        <v>35000</v>
      </c>
      <c r="Q239" s="7">
        <f t="shared" si="44"/>
        <v>0</v>
      </c>
      <c r="R239" t="str">
        <f t="shared" si="39"/>
        <v>PAID</v>
      </c>
      <c r="S239" s="3"/>
      <c r="T239" s="9">
        <f t="shared" si="40"/>
        <v>35000</v>
      </c>
      <c r="U239" t="str">
        <f t="shared" si="41"/>
        <v>OK</v>
      </c>
      <c r="V239" s="10">
        <f t="shared" si="42"/>
        <v>0</v>
      </c>
      <c r="W239" t="str">
        <f t="shared" si="43"/>
        <v>OK</v>
      </c>
      <c r="X239" s="3" t="s">
        <v>28</v>
      </c>
      <c r="Y239" t="s">
        <v>29</v>
      </c>
    </row>
    <row r="240" spans="1:25" x14ac:dyDescent="0.2">
      <c r="A240" t="str">
        <f t="shared" si="34"/>
        <v>TRIP-288</v>
      </c>
      <c r="B240" s="2">
        <v>45791</v>
      </c>
      <c r="C240" s="3" t="str">
        <f>_xlfn.XLOOKUP(D240,'[1]Jan Customer Duplicate Hyva'!$B:$B,'[1]Jan Customer Duplicate Hyva'!$A:$A,"NOT FOUND")</f>
        <v>CUST-323</v>
      </c>
      <c r="D240" s="3" t="s">
        <v>51</v>
      </c>
      <c r="E240" s="11" t="s">
        <v>26</v>
      </c>
      <c r="F240" s="5" t="str">
        <f t="shared" si="35"/>
        <v>Anshu</v>
      </c>
      <c r="G240" s="5" t="str">
        <f t="shared" si="36"/>
        <v/>
      </c>
      <c r="H240" s="5" t="str">
        <f t="shared" si="37"/>
        <v/>
      </c>
      <c r="I240" s="5" t="str">
        <f>_xlfn.XLOOKUP(F240,'[1]Jan Labour Nd Drivers Hyva'!$B:$B,'[2]Jan Labour Nd Drivers Hyva'!$A:$A,"NOT FOUND")</f>
        <v>LAB-002</v>
      </c>
      <c r="J240" s="5" t="str">
        <f>IF(G240="","",_xlfn.XLOOKUP(G240,'[3]Jan Labour Nd Drivers Hyva'!$B:$B,'[2]Jan Labour Nd Drivers Hyva'!$A:$A,"NOT FOUND"))</f>
        <v/>
      </c>
      <c r="K240" s="5" t="str">
        <f>IF(H240="","",_xlfn.XLOOKUP(H240,'[2]Jan Labour Nd Drivers Hyva'!$B:$B,'[2]Jan Labour Nd Drivers Hyva'!$A:$A,"NOT FOUND"))</f>
        <v/>
      </c>
      <c r="L240" s="11" t="s">
        <v>89</v>
      </c>
      <c r="M240" s="12">
        <v>1</v>
      </c>
      <c r="N240" s="13">
        <v>37000</v>
      </c>
      <c r="O240" s="8">
        <f t="shared" si="38"/>
        <v>37000</v>
      </c>
      <c r="P240" s="13">
        <v>32000</v>
      </c>
      <c r="Q240" s="7">
        <f t="shared" si="44"/>
        <v>5000</v>
      </c>
      <c r="R240" t="str">
        <f t="shared" si="39"/>
        <v>PARTIAL</v>
      </c>
      <c r="S240" s="3"/>
      <c r="T240" s="9">
        <f t="shared" si="40"/>
        <v>37000</v>
      </c>
      <c r="U240" t="str">
        <f t="shared" si="41"/>
        <v>OK</v>
      </c>
      <c r="V240" s="10">
        <f t="shared" si="42"/>
        <v>5000</v>
      </c>
      <c r="W240" t="str">
        <f t="shared" si="43"/>
        <v>OK</v>
      </c>
      <c r="X240" s="3" t="s">
        <v>28</v>
      </c>
      <c r="Y240" t="s">
        <v>29</v>
      </c>
    </row>
    <row r="241" spans="1:25" x14ac:dyDescent="0.2">
      <c r="A241" t="str">
        <f t="shared" si="34"/>
        <v>TRIP-289</v>
      </c>
      <c r="B241" s="2">
        <v>45792</v>
      </c>
      <c r="C241" s="3" t="str">
        <f>_xlfn.XLOOKUP(D241,'[1]Jan Customer Duplicate Hyva'!$B:$B,'[1]Jan Customer Duplicate Hyva'!$A:$A,"NOT FOUND")</f>
        <v>NOT FOUND</v>
      </c>
      <c r="D241" s="11" t="s">
        <v>224</v>
      </c>
      <c r="E241" s="11" t="s">
        <v>26</v>
      </c>
      <c r="F241" s="5" t="str">
        <f t="shared" si="35"/>
        <v>Anshu</v>
      </c>
      <c r="G241" s="5" t="str">
        <f t="shared" si="36"/>
        <v/>
      </c>
      <c r="H241" s="5" t="str">
        <f t="shared" si="37"/>
        <v/>
      </c>
      <c r="I241" s="5" t="str">
        <f>_xlfn.XLOOKUP(F241,'[1]Jan Labour Nd Drivers Hyva'!$B:$B,'[2]Jan Labour Nd Drivers Hyva'!$A:$A,"NOT FOUND")</f>
        <v>LAB-002</v>
      </c>
      <c r="J241" s="5" t="str">
        <f>IF(G241="","",_xlfn.XLOOKUP(G241,'[3]Jan Labour Nd Drivers Hyva'!$B:$B,'[2]Jan Labour Nd Drivers Hyva'!$A:$A,"NOT FOUND"))</f>
        <v/>
      </c>
      <c r="K241" s="5" t="str">
        <f>IF(H241="","",_xlfn.XLOOKUP(H241,'[2]Jan Labour Nd Drivers Hyva'!$B:$B,'[2]Jan Labour Nd Drivers Hyva'!$A:$A,"NOT FOUND"))</f>
        <v/>
      </c>
      <c r="L241" s="11" t="s">
        <v>225</v>
      </c>
      <c r="M241" s="12">
        <v>3</v>
      </c>
      <c r="N241" s="13">
        <v>30000</v>
      </c>
      <c r="O241" s="8">
        <f t="shared" si="38"/>
        <v>90000</v>
      </c>
      <c r="P241" s="13">
        <v>90000</v>
      </c>
      <c r="Q241" s="7">
        <f t="shared" si="44"/>
        <v>0</v>
      </c>
      <c r="R241" t="str">
        <f t="shared" si="39"/>
        <v>PAID</v>
      </c>
      <c r="S241" s="3"/>
      <c r="T241" s="9">
        <f t="shared" si="40"/>
        <v>90000</v>
      </c>
      <c r="U241" t="str">
        <f t="shared" si="41"/>
        <v>OK</v>
      </c>
      <c r="V241" s="10">
        <f t="shared" si="42"/>
        <v>0</v>
      </c>
      <c r="W241" t="str">
        <f t="shared" si="43"/>
        <v>OK</v>
      </c>
      <c r="X241" s="3" t="s">
        <v>28</v>
      </c>
      <c r="Y241" t="s">
        <v>29</v>
      </c>
    </row>
    <row r="242" spans="1:25" x14ac:dyDescent="0.2">
      <c r="A242" t="str">
        <f t="shared" si="34"/>
        <v>TRIP-290</v>
      </c>
      <c r="B242" s="2">
        <v>45794</v>
      </c>
      <c r="C242" s="3" t="str">
        <f>_xlfn.XLOOKUP(D242,'[1]Jan Customer Duplicate Hyva'!$B:$B,'[1]Jan Customer Duplicate Hyva'!$A:$A,"NOT FOUND")</f>
        <v>CUST-236</v>
      </c>
      <c r="D242" s="11" t="s">
        <v>58</v>
      </c>
      <c r="E242" s="11" t="s">
        <v>26</v>
      </c>
      <c r="F242" s="5" t="str">
        <f t="shared" si="35"/>
        <v>Anshu</v>
      </c>
      <c r="G242" s="5" t="str">
        <f t="shared" si="36"/>
        <v/>
      </c>
      <c r="H242" s="5" t="str">
        <f t="shared" si="37"/>
        <v/>
      </c>
      <c r="I242" s="5" t="str">
        <f>_xlfn.XLOOKUP(F242,'[1]Jan Labour Nd Drivers Hyva'!$B:$B,'[2]Jan Labour Nd Drivers Hyva'!$A:$A,"NOT FOUND")</f>
        <v>LAB-002</v>
      </c>
      <c r="J242" s="5" t="str">
        <f>IF(G242="","",_xlfn.XLOOKUP(G242,'[3]Jan Labour Nd Drivers Hyva'!$B:$B,'[2]Jan Labour Nd Drivers Hyva'!$A:$A,"NOT FOUND"))</f>
        <v/>
      </c>
      <c r="K242" s="5" t="str">
        <f>IF(H242="","",_xlfn.XLOOKUP(H242,'[2]Jan Labour Nd Drivers Hyva'!$B:$B,'[2]Jan Labour Nd Drivers Hyva'!$A:$A,"NOT FOUND"))</f>
        <v/>
      </c>
      <c r="L242" s="11" t="s">
        <v>108</v>
      </c>
      <c r="M242" s="12">
        <v>1</v>
      </c>
      <c r="N242" s="13">
        <v>35000</v>
      </c>
      <c r="O242" s="8">
        <f t="shared" si="38"/>
        <v>35000</v>
      </c>
      <c r="P242" s="13">
        <v>35000</v>
      </c>
      <c r="Q242" s="7">
        <f t="shared" si="44"/>
        <v>0</v>
      </c>
      <c r="R242" t="str">
        <f t="shared" si="39"/>
        <v>PAID</v>
      </c>
      <c r="S242" s="3"/>
      <c r="T242" s="9">
        <f t="shared" si="40"/>
        <v>35000</v>
      </c>
      <c r="U242" t="str">
        <f t="shared" si="41"/>
        <v>OK</v>
      </c>
      <c r="V242" s="10">
        <f t="shared" si="42"/>
        <v>0</v>
      </c>
      <c r="W242" t="str">
        <f t="shared" si="43"/>
        <v>OK</v>
      </c>
      <c r="X242" s="3" t="s">
        <v>28</v>
      </c>
      <c r="Y242" t="s">
        <v>29</v>
      </c>
    </row>
    <row r="243" spans="1:25" x14ac:dyDescent="0.2">
      <c r="A243" t="str">
        <f t="shared" si="34"/>
        <v>TRIP-291</v>
      </c>
      <c r="B243" s="2">
        <v>45795</v>
      </c>
      <c r="C243" s="3" t="str">
        <f>_xlfn.XLOOKUP(D243,'[1]Jan Customer Duplicate Hyva'!$B:$B,'[1]Jan Customer Duplicate Hyva'!$A:$A,"NOT FOUND")</f>
        <v>CUST-253</v>
      </c>
      <c r="D243" s="11" t="s">
        <v>148</v>
      </c>
      <c r="E243" s="11" t="s">
        <v>30</v>
      </c>
      <c r="F243" s="5" t="str">
        <f t="shared" si="35"/>
        <v>Ravi</v>
      </c>
      <c r="G243" s="5" t="str">
        <f t="shared" si="36"/>
        <v/>
      </c>
      <c r="H243" s="5" t="str">
        <f t="shared" si="37"/>
        <v/>
      </c>
      <c r="I243" s="5" t="str">
        <f>_xlfn.XLOOKUP(F243,'[1]Jan Labour Nd Drivers Hyva'!$B:$B,'[2]Jan Labour Nd Drivers Hyva'!$A:$A,"NOT FOUND")</f>
        <v>LAB-003</v>
      </c>
      <c r="J243" s="5" t="str">
        <f>IF(G243="","",_xlfn.XLOOKUP(G243,'[3]Jan Labour Nd Drivers Hyva'!$B:$B,'[2]Jan Labour Nd Drivers Hyva'!$A:$A,"NOT FOUND"))</f>
        <v/>
      </c>
      <c r="K243" s="5" t="str">
        <f>IF(H243="","",_xlfn.XLOOKUP(H243,'[2]Jan Labour Nd Drivers Hyva'!$B:$B,'[2]Jan Labour Nd Drivers Hyva'!$A:$A,"NOT FOUND"))</f>
        <v/>
      </c>
      <c r="L243" s="11" t="s">
        <v>56</v>
      </c>
      <c r="M243" s="12">
        <v>1</v>
      </c>
      <c r="N243" s="13">
        <v>32500</v>
      </c>
      <c r="O243" s="8">
        <f t="shared" si="38"/>
        <v>32500</v>
      </c>
      <c r="P243" s="13">
        <v>32500</v>
      </c>
      <c r="Q243" s="7">
        <f t="shared" si="44"/>
        <v>0</v>
      </c>
      <c r="R243" t="str">
        <f t="shared" si="39"/>
        <v>PAID</v>
      </c>
      <c r="S243" s="3"/>
      <c r="T243" s="9">
        <f t="shared" si="40"/>
        <v>32500</v>
      </c>
      <c r="U243" t="str">
        <f t="shared" si="41"/>
        <v>OK</v>
      </c>
      <c r="V243" s="10">
        <f t="shared" si="42"/>
        <v>0</v>
      </c>
      <c r="W243" t="str">
        <f t="shared" si="43"/>
        <v>OK</v>
      </c>
      <c r="X243" s="3" t="s">
        <v>28</v>
      </c>
      <c r="Y243" t="s">
        <v>29</v>
      </c>
    </row>
    <row r="244" spans="1:25" x14ac:dyDescent="0.2">
      <c r="A244" t="str">
        <f t="shared" si="34"/>
        <v>TRIP-292</v>
      </c>
      <c r="B244" s="2">
        <v>45796</v>
      </c>
      <c r="C244" s="3" t="str">
        <f>_xlfn.XLOOKUP(D244,'[1]Jan Customer Duplicate Hyva'!$B:$B,'[1]Jan Customer Duplicate Hyva'!$A:$A,"NOT FOUND")</f>
        <v>CUST-017</v>
      </c>
      <c r="D244" s="11" t="s">
        <v>151</v>
      </c>
      <c r="E244" s="11" t="s">
        <v>26</v>
      </c>
      <c r="F244" s="5" t="str">
        <f t="shared" si="35"/>
        <v>Anshu</v>
      </c>
      <c r="G244" s="5" t="str">
        <f t="shared" si="36"/>
        <v/>
      </c>
      <c r="H244" s="5" t="str">
        <f t="shared" si="37"/>
        <v/>
      </c>
      <c r="I244" s="5" t="str">
        <f>_xlfn.XLOOKUP(F244,'[1]Jan Labour Nd Drivers Hyva'!$B:$B,'[2]Jan Labour Nd Drivers Hyva'!$A:$A,"NOT FOUND")</f>
        <v>LAB-002</v>
      </c>
      <c r="J244" s="5" t="str">
        <f>IF(G244="","",_xlfn.XLOOKUP(G244,'[3]Jan Labour Nd Drivers Hyva'!$B:$B,'[2]Jan Labour Nd Drivers Hyva'!$A:$A,"NOT FOUND"))</f>
        <v/>
      </c>
      <c r="K244" s="5" t="str">
        <f>IF(H244="","",_xlfn.XLOOKUP(H244,'[2]Jan Labour Nd Drivers Hyva'!$B:$B,'[2]Jan Labour Nd Drivers Hyva'!$A:$A,"NOT FOUND"))</f>
        <v/>
      </c>
      <c r="L244" s="11" t="s">
        <v>152</v>
      </c>
      <c r="M244" s="12">
        <v>1</v>
      </c>
      <c r="N244" s="14">
        <v>35000</v>
      </c>
      <c r="O244" s="8">
        <f t="shared" si="38"/>
        <v>35000</v>
      </c>
      <c r="P244" s="13">
        <v>30000</v>
      </c>
      <c r="Q244" s="7">
        <f t="shared" si="44"/>
        <v>5000</v>
      </c>
      <c r="R244" t="str">
        <f t="shared" si="39"/>
        <v>PARTIAL</v>
      </c>
      <c r="S244" s="3"/>
      <c r="T244" s="9">
        <f t="shared" si="40"/>
        <v>35000</v>
      </c>
      <c r="U244" t="str">
        <f t="shared" si="41"/>
        <v>OK</v>
      </c>
      <c r="V244" s="10">
        <f t="shared" si="42"/>
        <v>5000</v>
      </c>
      <c r="W244" t="str">
        <f t="shared" si="43"/>
        <v>OK</v>
      </c>
      <c r="X244" s="3" t="s">
        <v>28</v>
      </c>
      <c r="Y244" t="s">
        <v>29</v>
      </c>
    </row>
    <row r="245" spans="1:25" x14ac:dyDescent="0.2">
      <c r="A245" t="str">
        <f t="shared" si="34"/>
        <v>TRIP-293</v>
      </c>
      <c r="B245" s="2">
        <v>45797</v>
      </c>
      <c r="C245" s="3" t="str">
        <f>_xlfn.XLOOKUP(D245,'[1]Jan Customer Duplicate Hyva'!$B:$B,'[1]Jan Customer Duplicate Hyva'!$A:$A,"NOT FOUND")</f>
        <v>CUST-180</v>
      </c>
      <c r="D245" s="11" t="s">
        <v>42</v>
      </c>
      <c r="E245" s="11" t="s">
        <v>30</v>
      </c>
      <c r="F245" s="5" t="str">
        <f t="shared" si="35"/>
        <v>Ravi</v>
      </c>
      <c r="G245" s="5" t="str">
        <f t="shared" si="36"/>
        <v/>
      </c>
      <c r="H245" s="5" t="str">
        <f t="shared" si="37"/>
        <v/>
      </c>
      <c r="I245" s="5" t="str">
        <f>_xlfn.XLOOKUP(F245,'[1]Jan Labour Nd Drivers Hyva'!$B:$B,'[2]Jan Labour Nd Drivers Hyva'!$A:$A,"NOT FOUND")</f>
        <v>LAB-003</v>
      </c>
      <c r="J245" s="5" t="str">
        <f>IF(G245="","",_xlfn.XLOOKUP(G245,'[3]Jan Labour Nd Drivers Hyva'!$B:$B,'[2]Jan Labour Nd Drivers Hyva'!$A:$A,"NOT FOUND"))</f>
        <v/>
      </c>
      <c r="K245" s="5" t="str">
        <f>IF(H245="","",_xlfn.XLOOKUP(H245,'[2]Jan Labour Nd Drivers Hyva'!$B:$B,'[2]Jan Labour Nd Drivers Hyva'!$A:$A,"NOT FOUND"))</f>
        <v/>
      </c>
      <c r="L245" s="11" t="s">
        <v>43</v>
      </c>
      <c r="M245" s="12">
        <v>1</v>
      </c>
      <c r="N245" s="14">
        <v>35000</v>
      </c>
      <c r="O245" s="8">
        <f t="shared" si="38"/>
        <v>35000</v>
      </c>
      <c r="P245" s="11">
        <v>35000</v>
      </c>
      <c r="Q245" s="7">
        <f t="shared" si="44"/>
        <v>0</v>
      </c>
      <c r="R245" t="str">
        <f t="shared" si="39"/>
        <v>PAID</v>
      </c>
      <c r="S245" s="3"/>
      <c r="T245" s="9">
        <f t="shared" si="40"/>
        <v>35000</v>
      </c>
      <c r="U245" t="str">
        <f t="shared" si="41"/>
        <v>OK</v>
      </c>
      <c r="V245" s="10">
        <f t="shared" si="42"/>
        <v>0</v>
      </c>
      <c r="W245" t="str">
        <f t="shared" si="43"/>
        <v>OK</v>
      </c>
      <c r="X245" s="3" t="s">
        <v>28</v>
      </c>
      <c r="Y245" t="s">
        <v>29</v>
      </c>
    </row>
    <row r="246" spans="1:25" x14ac:dyDescent="0.2">
      <c r="A246" t="str">
        <f t="shared" si="34"/>
        <v>TRIP-294</v>
      </c>
      <c r="B246" s="2">
        <v>45798</v>
      </c>
      <c r="C246" s="3" t="str">
        <f>_xlfn.XLOOKUP(D246,'[1]Jan Customer Duplicate Hyva'!$B:$B,'[1]Jan Customer Duplicate Hyva'!$A:$A,"NOT FOUND")</f>
        <v>CUST-236</v>
      </c>
      <c r="D246" s="11" t="s">
        <v>58</v>
      </c>
      <c r="E246" s="11" t="s">
        <v>26</v>
      </c>
      <c r="F246" s="5" t="str">
        <f t="shared" si="35"/>
        <v>Anshu</v>
      </c>
      <c r="G246" s="5" t="str">
        <f t="shared" si="36"/>
        <v/>
      </c>
      <c r="H246" s="5" t="str">
        <f t="shared" si="37"/>
        <v/>
      </c>
      <c r="I246" s="5" t="str">
        <f>_xlfn.XLOOKUP(F246,'[1]Jan Labour Nd Drivers Hyva'!$B:$B,'[2]Jan Labour Nd Drivers Hyva'!$A:$A,"NOT FOUND")</f>
        <v>LAB-002</v>
      </c>
      <c r="J246" s="5" t="str">
        <f>IF(G246="","",_xlfn.XLOOKUP(G246,'[3]Jan Labour Nd Drivers Hyva'!$B:$B,'[2]Jan Labour Nd Drivers Hyva'!$A:$A,"NOT FOUND"))</f>
        <v/>
      </c>
      <c r="K246" s="5" t="str">
        <f>IF(H246="","",_xlfn.XLOOKUP(H246,'[2]Jan Labour Nd Drivers Hyva'!$B:$B,'[2]Jan Labour Nd Drivers Hyva'!$A:$A,"NOT FOUND"))</f>
        <v/>
      </c>
      <c r="L246" s="11" t="s">
        <v>108</v>
      </c>
      <c r="M246" s="12">
        <v>1</v>
      </c>
      <c r="N246" s="14">
        <v>34000</v>
      </c>
      <c r="O246" s="8">
        <f t="shared" si="38"/>
        <v>34000</v>
      </c>
      <c r="P246" s="15">
        <v>34000</v>
      </c>
      <c r="Q246" s="7">
        <f t="shared" si="44"/>
        <v>0</v>
      </c>
      <c r="R246" t="str">
        <f t="shared" si="39"/>
        <v>PAID</v>
      </c>
      <c r="S246" s="3"/>
      <c r="T246" s="9">
        <f t="shared" si="40"/>
        <v>34000</v>
      </c>
      <c r="U246" t="str">
        <f t="shared" si="41"/>
        <v>OK</v>
      </c>
      <c r="V246" s="10">
        <f t="shared" si="42"/>
        <v>0</v>
      </c>
      <c r="W246" t="str">
        <f t="shared" si="43"/>
        <v>OK</v>
      </c>
      <c r="X246" s="3" t="s">
        <v>28</v>
      </c>
      <c r="Y246" t="s">
        <v>29</v>
      </c>
    </row>
    <row r="247" spans="1:25" x14ac:dyDescent="0.2">
      <c r="A247" t="str">
        <f t="shared" si="34"/>
        <v>TRIP-295</v>
      </c>
      <c r="B247" s="2">
        <v>45798</v>
      </c>
      <c r="C247" s="3" t="str">
        <f>_xlfn.XLOOKUP(D247,'[1]Jan Customer Duplicate Hyva'!$B:$B,'[1]Jan Customer Duplicate Hyva'!$A:$A,"NOT FOUND")</f>
        <v>CUST-323</v>
      </c>
      <c r="D247" s="3" t="s">
        <v>51</v>
      </c>
      <c r="E247" s="11" t="s">
        <v>111</v>
      </c>
      <c r="F247" s="5" t="str">
        <f t="shared" si="35"/>
        <v>Ravi</v>
      </c>
      <c r="G247" s="5" t="str">
        <f t="shared" si="36"/>
        <v>Anshu</v>
      </c>
      <c r="H247" s="5" t="str">
        <f t="shared" si="37"/>
        <v/>
      </c>
      <c r="I247" s="5" t="str">
        <f>_xlfn.XLOOKUP(F247,'[1]Jan Labour Nd Drivers Hyva'!$B:$B,'[2]Jan Labour Nd Drivers Hyva'!$A:$A,"NOT FOUND")</f>
        <v>LAB-003</v>
      </c>
      <c r="J247" s="5" t="str">
        <f>IF(G247="","",_xlfn.XLOOKUP(G247,'[3]Jan Labour Nd Drivers Hyva'!$B:$B,'[2]Jan Labour Nd Drivers Hyva'!$A:$A,"NOT FOUND"))</f>
        <v>LAB-002</v>
      </c>
      <c r="K247" s="5" t="str">
        <f>IF(H247="","",_xlfn.XLOOKUP(H247,'[2]Jan Labour Nd Drivers Hyva'!$B:$B,'[2]Jan Labour Nd Drivers Hyva'!$A:$A,"NOT FOUND"))</f>
        <v/>
      </c>
      <c r="L247" s="11" t="s">
        <v>89</v>
      </c>
      <c r="M247" s="12">
        <v>2</v>
      </c>
      <c r="N247" s="14">
        <v>34000</v>
      </c>
      <c r="O247" s="8">
        <f t="shared" si="38"/>
        <v>68000</v>
      </c>
      <c r="P247" s="14">
        <v>34000</v>
      </c>
      <c r="Q247" s="7">
        <f t="shared" si="44"/>
        <v>34000</v>
      </c>
      <c r="R247" t="str">
        <f t="shared" si="39"/>
        <v>PARTIAL</v>
      </c>
      <c r="S247" s="3"/>
      <c r="T247" s="9">
        <f t="shared" si="40"/>
        <v>68000</v>
      </c>
      <c r="U247" t="str">
        <f t="shared" si="41"/>
        <v>OK</v>
      </c>
      <c r="V247" s="10">
        <f t="shared" si="42"/>
        <v>34000</v>
      </c>
      <c r="W247" t="str">
        <f t="shared" si="43"/>
        <v>OK</v>
      </c>
      <c r="X247" s="3" t="s">
        <v>28</v>
      </c>
      <c r="Y247" t="s">
        <v>29</v>
      </c>
    </row>
    <row r="248" spans="1:25" x14ac:dyDescent="0.2">
      <c r="A248" t="str">
        <f t="shared" si="34"/>
        <v>TRIP-296</v>
      </c>
      <c r="B248" s="2">
        <v>45798</v>
      </c>
      <c r="C248" s="3" t="str">
        <f>_xlfn.XLOOKUP(D248,'[1]Jan Customer Duplicate Hyva'!$B:$B,'[1]Jan Customer Duplicate Hyva'!$A:$A,"NOT FOUND")</f>
        <v>CUST-045</v>
      </c>
      <c r="D248" s="11" t="s">
        <v>82</v>
      </c>
      <c r="E248" s="11" t="s">
        <v>26</v>
      </c>
      <c r="F248" s="5" t="str">
        <f t="shared" si="35"/>
        <v>Anshu</v>
      </c>
      <c r="G248" s="5" t="str">
        <f t="shared" si="36"/>
        <v/>
      </c>
      <c r="H248" s="5" t="str">
        <f t="shared" si="37"/>
        <v/>
      </c>
      <c r="I248" s="5" t="str">
        <f>_xlfn.XLOOKUP(F248,'[1]Jan Labour Nd Drivers Hyva'!$B:$B,'[2]Jan Labour Nd Drivers Hyva'!$A:$A,"NOT FOUND")</f>
        <v>LAB-002</v>
      </c>
      <c r="J248" s="5" t="str">
        <f>IF(G248="","",_xlfn.XLOOKUP(G248,'[3]Jan Labour Nd Drivers Hyva'!$B:$B,'[2]Jan Labour Nd Drivers Hyva'!$A:$A,"NOT FOUND"))</f>
        <v/>
      </c>
      <c r="K248" s="5" t="str">
        <f>IF(H248="","",_xlfn.XLOOKUP(H248,'[2]Jan Labour Nd Drivers Hyva'!$B:$B,'[2]Jan Labour Nd Drivers Hyva'!$A:$A,"NOT FOUND"))</f>
        <v/>
      </c>
      <c r="L248" s="11" t="s">
        <v>92</v>
      </c>
      <c r="M248" s="12">
        <v>1</v>
      </c>
      <c r="N248" s="14">
        <v>32500</v>
      </c>
      <c r="O248" s="8">
        <f t="shared" si="38"/>
        <v>32500</v>
      </c>
      <c r="P248" s="13">
        <v>32500</v>
      </c>
      <c r="Q248" s="7">
        <f t="shared" si="44"/>
        <v>0</v>
      </c>
      <c r="R248" t="str">
        <f t="shared" si="39"/>
        <v>PAID</v>
      </c>
      <c r="S248" s="3"/>
      <c r="T248" s="9">
        <f t="shared" si="40"/>
        <v>32500</v>
      </c>
      <c r="U248" t="str">
        <f t="shared" si="41"/>
        <v>OK</v>
      </c>
      <c r="V248" s="10">
        <f t="shared" si="42"/>
        <v>0</v>
      </c>
      <c r="W248" t="str">
        <f t="shared" si="43"/>
        <v>OK</v>
      </c>
      <c r="X248" s="3" t="s">
        <v>28</v>
      </c>
      <c r="Y248" t="s">
        <v>29</v>
      </c>
    </row>
    <row r="249" spans="1:25" x14ac:dyDescent="0.2">
      <c r="A249" t="str">
        <f t="shared" si="34"/>
        <v>TRIP-297</v>
      </c>
      <c r="B249" s="2">
        <v>45801</v>
      </c>
      <c r="C249" s="3" t="str">
        <f>_xlfn.XLOOKUP(D249,'[1]Jan Customer Duplicate Hyva'!$B:$B,'[1]Jan Customer Duplicate Hyva'!$A:$A,"NOT FOUND")</f>
        <v>CUST-118</v>
      </c>
      <c r="D249" s="11" t="s">
        <v>226</v>
      </c>
      <c r="E249" s="11" t="s">
        <v>227</v>
      </c>
      <c r="F249" s="5" t="str">
        <f t="shared" si="35"/>
        <v>Anshu</v>
      </c>
      <c r="G249" s="5" t="str">
        <f t="shared" si="36"/>
        <v>Vithal Bhau</v>
      </c>
      <c r="H249" s="5" t="str">
        <f t="shared" si="37"/>
        <v/>
      </c>
      <c r="I249" s="5" t="str">
        <f>_xlfn.XLOOKUP(F249,'[1]Jan Labour Nd Drivers Hyva'!$B:$B,'[2]Jan Labour Nd Drivers Hyva'!$A:$A,"NOT FOUND")</f>
        <v>LAB-002</v>
      </c>
      <c r="J249" s="5" t="str">
        <f>IF(G249="","",_xlfn.XLOOKUP(G249,'[3]Jan Labour Nd Drivers Hyva'!$B:$B,'[2]Jan Labour Nd Drivers Hyva'!$A:$A,"NOT FOUND"))</f>
        <v>LAB-005</v>
      </c>
      <c r="K249" s="5" t="str">
        <f>IF(H249="","",_xlfn.XLOOKUP(H249,'[2]Jan Labour Nd Drivers Hyva'!$B:$B,'[2]Jan Labour Nd Drivers Hyva'!$A:$A,"NOT FOUND"))</f>
        <v/>
      </c>
      <c r="L249" s="11" t="s">
        <v>89</v>
      </c>
      <c r="M249" s="12">
        <v>2</v>
      </c>
      <c r="N249" s="13">
        <v>35000</v>
      </c>
      <c r="O249" s="8">
        <f t="shared" si="38"/>
        <v>70000</v>
      </c>
      <c r="P249" s="13">
        <v>70000</v>
      </c>
      <c r="Q249" s="7">
        <f t="shared" si="44"/>
        <v>0</v>
      </c>
      <c r="R249" t="str">
        <f t="shared" si="39"/>
        <v>PAID</v>
      </c>
      <c r="S249" s="3"/>
      <c r="T249" s="9">
        <f t="shared" si="40"/>
        <v>70000</v>
      </c>
      <c r="U249" t="str">
        <f t="shared" si="41"/>
        <v>OK</v>
      </c>
      <c r="V249" s="10">
        <f t="shared" si="42"/>
        <v>0</v>
      </c>
      <c r="W249" t="str">
        <f t="shared" si="43"/>
        <v>OK</v>
      </c>
      <c r="X249" s="3" t="s">
        <v>28</v>
      </c>
      <c r="Y249" t="s">
        <v>29</v>
      </c>
    </row>
    <row r="250" spans="1:25" x14ac:dyDescent="0.2">
      <c r="A250" t="str">
        <f t="shared" si="34"/>
        <v>TRIP-298</v>
      </c>
      <c r="B250" s="2">
        <v>45801</v>
      </c>
      <c r="C250" s="3" t="str">
        <f>_xlfn.XLOOKUP(D250,'[1]Jan Customer Duplicate Hyva'!$B:$B,'[1]Jan Customer Duplicate Hyva'!$A:$A,"NOT FOUND")</f>
        <v>CUST-323</v>
      </c>
      <c r="D250" s="3" t="s">
        <v>51</v>
      </c>
      <c r="E250" s="11" t="s">
        <v>26</v>
      </c>
      <c r="F250" s="5" t="str">
        <f t="shared" si="35"/>
        <v>Anshu</v>
      </c>
      <c r="G250" s="5" t="str">
        <f t="shared" si="36"/>
        <v/>
      </c>
      <c r="H250" s="5" t="str">
        <f t="shared" si="37"/>
        <v/>
      </c>
      <c r="I250" s="5" t="str">
        <f>_xlfn.XLOOKUP(F250,'[1]Jan Labour Nd Drivers Hyva'!$B:$B,'[2]Jan Labour Nd Drivers Hyva'!$A:$A,"NOT FOUND")</f>
        <v>LAB-002</v>
      </c>
      <c r="J250" s="5" t="str">
        <f>IF(G250="","",_xlfn.XLOOKUP(G250,'[3]Jan Labour Nd Drivers Hyva'!$B:$B,'[2]Jan Labour Nd Drivers Hyva'!$A:$A,"NOT FOUND"))</f>
        <v/>
      </c>
      <c r="K250" s="5" t="str">
        <f>IF(H250="","",_xlfn.XLOOKUP(H250,'[2]Jan Labour Nd Drivers Hyva'!$B:$B,'[2]Jan Labour Nd Drivers Hyva'!$A:$A,"NOT FOUND"))</f>
        <v/>
      </c>
      <c r="L250" s="11" t="s">
        <v>41</v>
      </c>
      <c r="M250" s="12">
        <v>1</v>
      </c>
      <c r="N250" s="13">
        <v>35000</v>
      </c>
      <c r="O250" s="8">
        <f t="shared" si="38"/>
        <v>35000</v>
      </c>
      <c r="P250" s="13"/>
      <c r="Q250" s="7">
        <f t="shared" si="44"/>
        <v>35000</v>
      </c>
      <c r="R250" t="str">
        <f t="shared" si="39"/>
        <v>UNPAID</v>
      </c>
      <c r="S250" s="3"/>
      <c r="T250" s="9">
        <f t="shared" si="40"/>
        <v>35000</v>
      </c>
      <c r="U250" t="str">
        <f t="shared" si="41"/>
        <v>OK</v>
      </c>
      <c r="V250" s="10">
        <f t="shared" si="42"/>
        <v>35000</v>
      </c>
      <c r="W250" t="str">
        <f t="shared" si="43"/>
        <v>OK</v>
      </c>
      <c r="X250" s="3" t="s">
        <v>28</v>
      </c>
      <c r="Y250" t="s">
        <v>29</v>
      </c>
    </row>
    <row r="251" spans="1:25" x14ac:dyDescent="0.2">
      <c r="A251" t="str">
        <f t="shared" si="34"/>
        <v>TRIP-299</v>
      </c>
      <c r="B251" s="2">
        <v>45801</v>
      </c>
      <c r="C251" s="3" t="str">
        <f>_xlfn.XLOOKUP(D251,'[1]Jan Customer Duplicate Hyva'!$B:$B,'[1]Jan Customer Duplicate Hyva'!$A:$A,"NOT FOUND")</f>
        <v>CUST-172</v>
      </c>
      <c r="D251" s="3" t="s">
        <v>54</v>
      </c>
      <c r="E251" s="11" t="s">
        <v>26</v>
      </c>
      <c r="F251" s="5" t="str">
        <f t="shared" si="35"/>
        <v>Anshu</v>
      </c>
      <c r="G251" s="5" t="str">
        <f t="shared" si="36"/>
        <v/>
      </c>
      <c r="H251" s="5" t="str">
        <f t="shared" si="37"/>
        <v/>
      </c>
      <c r="I251" s="5" t="str">
        <f>_xlfn.XLOOKUP(F251,'[1]Jan Labour Nd Drivers Hyva'!$B:$B,'[2]Jan Labour Nd Drivers Hyva'!$A:$A,"NOT FOUND")</f>
        <v>LAB-002</v>
      </c>
      <c r="J251" s="5" t="str">
        <f>IF(G251="","",_xlfn.XLOOKUP(G251,'[3]Jan Labour Nd Drivers Hyva'!$B:$B,'[2]Jan Labour Nd Drivers Hyva'!$A:$A,"NOT FOUND"))</f>
        <v/>
      </c>
      <c r="K251" s="5" t="str">
        <f>IF(H251="","",_xlfn.XLOOKUP(H251,'[2]Jan Labour Nd Drivers Hyva'!$B:$B,'[2]Jan Labour Nd Drivers Hyva'!$A:$A,"NOT FOUND"))</f>
        <v/>
      </c>
      <c r="L251" s="11" t="s">
        <v>56</v>
      </c>
      <c r="M251" s="12">
        <v>1</v>
      </c>
      <c r="N251" s="13">
        <v>34000</v>
      </c>
      <c r="O251" s="8">
        <f t="shared" si="38"/>
        <v>34000</v>
      </c>
      <c r="P251" s="13">
        <v>34000</v>
      </c>
      <c r="Q251" s="7">
        <f t="shared" si="44"/>
        <v>0</v>
      </c>
      <c r="R251" t="str">
        <f t="shared" si="39"/>
        <v>PAID</v>
      </c>
      <c r="S251" s="3"/>
      <c r="T251" s="9">
        <f t="shared" si="40"/>
        <v>34000</v>
      </c>
      <c r="U251" t="str">
        <f t="shared" si="41"/>
        <v>OK</v>
      </c>
      <c r="V251" s="10">
        <f t="shared" si="42"/>
        <v>0</v>
      </c>
      <c r="W251" t="str">
        <f t="shared" si="43"/>
        <v>OK</v>
      </c>
      <c r="X251" s="3" t="s">
        <v>28</v>
      </c>
      <c r="Y251" t="s">
        <v>29</v>
      </c>
    </row>
    <row r="252" spans="1:25" x14ac:dyDescent="0.2">
      <c r="A252" t="str">
        <f t="shared" si="34"/>
        <v>TRIP-300</v>
      </c>
      <c r="B252" s="2">
        <v>45801</v>
      </c>
      <c r="C252" s="3" t="str">
        <f>_xlfn.XLOOKUP(D252,'[1]Jan Customer Duplicate Hyva'!$B:$B,'[1]Jan Customer Duplicate Hyva'!$A:$A,"NOT FOUND")</f>
        <v>CUST-037</v>
      </c>
      <c r="D252" s="11" t="s">
        <v>99</v>
      </c>
      <c r="E252" s="11" t="s">
        <v>26</v>
      </c>
      <c r="F252" s="5" t="str">
        <f t="shared" si="35"/>
        <v>Anshu</v>
      </c>
      <c r="G252" s="5" t="str">
        <f t="shared" si="36"/>
        <v/>
      </c>
      <c r="H252" s="5" t="str">
        <f t="shared" si="37"/>
        <v/>
      </c>
      <c r="I252" s="5" t="str">
        <f>_xlfn.XLOOKUP(F252,'[1]Jan Labour Nd Drivers Hyva'!$B:$B,'[2]Jan Labour Nd Drivers Hyva'!$A:$A,"NOT FOUND")</f>
        <v>LAB-002</v>
      </c>
      <c r="J252" s="5" t="str">
        <f>IF(G252="","",_xlfn.XLOOKUP(G252,'[3]Jan Labour Nd Drivers Hyva'!$B:$B,'[2]Jan Labour Nd Drivers Hyva'!$A:$A,"NOT FOUND"))</f>
        <v/>
      </c>
      <c r="K252" s="5" t="str">
        <f>IF(H252="","",_xlfn.XLOOKUP(H252,'[2]Jan Labour Nd Drivers Hyva'!$B:$B,'[2]Jan Labour Nd Drivers Hyva'!$A:$A,"NOT FOUND"))</f>
        <v/>
      </c>
      <c r="L252" s="11" t="s">
        <v>107</v>
      </c>
      <c r="M252" s="12">
        <v>1</v>
      </c>
      <c r="N252" s="13">
        <v>34000</v>
      </c>
      <c r="O252" s="8">
        <f t="shared" si="38"/>
        <v>34000</v>
      </c>
      <c r="P252" s="13"/>
      <c r="Q252" s="7">
        <f t="shared" si="44"/>
        <v>34000</v>
      </c>
      <c r="R252" t="str">
        <f t="shared" si="39"/>
        <v>UNPAID</v>
      </c>
      <c r="S252" s="3"/>
      <c r="T252" s="9">
        <f t="shared" si="40"/>
        <v>34000</v>
      </c>
      <c r="U252" t="str">
        <f t="shared" si="41"/>
        <v>OK</v>
      </c>
      <c r="V252" s="10">
        <f t="shared" si="42"/>
        <v>34000</v>
      </c>
      <c r="W252" t="str">
        <f t="shared" si="43"/>
        <v>OK</v>
      </c>
      <c r="X252" s="3" t="s">
        <v>28</v>
      </c>
      <c r="Y252" t="s">
        <v>29</v>
      </c>
    </row>
    <row r="253" spans="1:25" x14ac:dyDescent="0.2">
      <c r="A253" t="str">
        <f t="shared" si="34"/>
        <v>TRIP-301</v>
      </c>
      <c r="B253" s="2">
        <v>45801</v>
      </c>
      <c r="C253" s="3" t="str">
        <f>_xlfn.XLOOKUP(D253,'[1]Jan Customer Duplicate Hyva'!$B:$B,'[1]Jan Customer Duplicate Hyva'!$A:$A,"NOT FOUND")</f>
        <v>CUST-037</v>
      </c>
      <c r="D253" s="11" t="s">
        <v>99</v>
      </c>
      <c r="E253" s="5" t="s">
        <v>228</v>
      </c>
      <c r="F253" s="5" t="str">
        <f>TRIM(_xlfn.TEXTBEFORE(E253&amp;" / "," / "))</f>
        <v>Vithal Bhau</v>
      </c>
      <c r="G253" s="5" t="str">
        <f t="shared" si="36"/>
        <v/>
      </c>
      <c r="H253" s="5" t="str">
        <f t="shared" si="37"/>
        <v/>
      </c>
      <c r="I253" s="5" t="str">
        <f>_xlfn.XLOOKUP(F253,'[1]Jan Labour Nd Drivers Hyva'!$B:$B,'[2]Jan Labour Nd Drivers Hyva'!$A:$A,"NOT FOUND")</f>
        <v>LAB-005</v>
      </c>
      <c r="J253" s="5" t="str">
        <f>IF(G253="","",_xlfn.XLOOKUP(G253,'[3]Jan Labour Nd Drivers Hyva'!$B:$B,'[2]Jan Labour Nd Drivers Hyva'!$A:$A,"NOT FOUND"))</f>
        <v/>
      </c>
      <c r="K253" s="5" t="str">
        <f>IF(H253="","",_xlfn.XLOOKUP(H253,'[2]Jan Labour Nd Drivers Hyva'!$B:$B,'[2]Jan Labour Nd Drivers Hyva'!$A:$A,"NOT FOUND"))</f>
        <v/>
      </c>
      <c r="L253" s="11" t="s">
        <v>129</v>
      </c>
      <c r="M253" s="12">
        <v>1</v>
      </c>
      <c r="N253" s="13">
        <v>34000</v>
      </c>
      <c r="O253" s="8">
        <f t="shared" si="38"/>
        <v>34000</v>
      </c>
      <c r="P253" s="13"/>
      <c r="Q253" s="7">
        <f t="shared" si="44"/>
        <v>34000</v>
      </c>
      <c r="R253" t="str">
        <f t="shared" si="39"/>
        <v>UNPAID</v>
      </c>
      <c r="S253" s="3"/>
      <c r="T253" s="9">
        <f t="shared" si="40"/>
        <v>34000</v>
      </c>
      <c r="U253" t="str">
        <f t="shared" si="41"/>
        <v>OK</v>
      </c>
      <c r="V253" s="10">
        <f t="shared" si="42"/>
        <v>34000</v>
      </c>
      <c r="W253" t="str">
        <f t="shared" si="43"/>
        <v>OK</v>
      </c>
      <c r="X253" s="3" t="s">
        <v>28</v>
      </c>
      <c r="Y253" t="s">
        <v>29</v>
      </c>
    </row>
    <row r="254" spans="1:25" x14ac:dyDescent="0.2">
      <c r="A254" t="str">
        <f t="shared" si="34"/>
        <v>TRIP-302</v>
      </c>
      <c r="B254" s="2">
        <v>45801</v>
      </c>
      <c r="C254" s="3" t="str">
        <f>_xlfn.XLOOKUP(D254,'[1]Jan Customer Duplicate Hyva'!$B:$B,'[1]Jan Customer Duplicate Hyva'!$A:$A,"NOT FOUND")</f>
        <v>CUST-037</v>
      </c>
      <c r="D254" s="11" t="s">
        <v>99</v>
      </c>
      <c r="E254" s="11" t="s">
        <v>228</v>
      </c>
      <c r="F254" s="5" t="str">
        <f t="shared" si="35"/>
        <v>Vithal Bhau</v>
      </c>
      <c r="G254" s="5" t="str">
        <f t="shared" si="36"/>
        <v/>
      </c>
      <c r="H254" s="5" t="str">
        <f t="shared" si="37"/>
        <v/>
      </c>
      <c r="I254" s="5" t="str">
        <f>_xlfn.XLOOKUP(F254,'[1]Jan Labour Nd Drivers Hyva'!$B:$B,'[2]Jan Labour Nd Drivers Hyva'!$A:$A,"NOT FOUND")</f>
        <v>LAB-005</v>
      </c>
      <c r="J254" s="5" t="str">
        <f>IF(G254="","",_xlfn.XLOOKUP(G254,'[3]Jan Labour Nd Drivers Hyva'!$B:$B,'[2]Jan Labour Nd Drivers Hyva'!$A:$A,"NOT FOUND"))</f>
        <v/>
      </c>
      <c r="K254" s="5" t="str">
        <f>IF(H254="","",_xlfn.XLOOKUP(H254,'[2]Jan Labour Nd Drivers Hyva'!$B:$B,'[2]Jan Labour Nd Drivers Hyva'!$A:$A,"NOT FOUND"))</f>
        <v/>
      </c>
      <c r="L254" s="11" t="s">
        <v>175</v>
      </c>
      <c r="M254" s="12">
        <v>1</v>
      </c>
      <c r="N254" s="13">
        <v>34000</v>
      </c>
      <c r="O254" s="8">
        <f t="shared" si="38"/>
        <v>34000</v>
      </c>
      <c r="P254" s="13"/>
      <c r="Q254" s="7">
        <f t="shared" si="44"/>
        <v>34000</v>
      </c>
      <c r="R254" t="str">
        <f t="shared" si="39"/>
        <v>UNPAID</v>
      </c>
      <c r="S254" s="3"/>
      <c r="T254" s="9">
        <f t="shared" si="40"/>
        <v>34000</v>
      </c>
      <c r="U254" t="str">
        <f t="shared" si="41"/>
        <v>OK</v>
      </c>
      <c r="V254" s="10">
        <f t="shared" si="42"/>
        <v>34000</v>
      </c>
      <c r="W254" t="str">
        <f t="shared" si="43"/>
        <v>OK</v>
      </c>
      <c r="X254" s="3" t="s">
        <v>28</v>
      </c>
      <c r="Y254" t="s">
        <v>29</v>
      </c>
    </row>
    <row r="255" spans="1:25" x14ac:dyDescent="0.2">
      <c r="A255" t="str">
        <f t="shared" si="34"/>
        <v>TRIP-303</v>
      </c>
      <c r="B255" s="2">
        <v>45801</v>
      </c>
      <c r="C255" s="3" t="str">
        <f>_xlfn.XLOOKUP(D255,'[1]Jan Customer Duplicate Hyva'!$B:$B,'[1]Jan Customer Duplicate Hyva'!$A:$A,"NOT FOUND")</f>
        <v>CUST-323</v>
      </c>
      <c r="D255" s="3" t="s">
        <v>51</v>
      </c>
      <c r="E255" s="11" t="s">
        <v>228</v>
      </c>
      <c r="F255" s="5" t="str">
        <f t="shared" si="35"/>
        <v>Vithal Bhau</v>
      </c>
      <c r="G255" s="5" t="str">
        <f t="shared" si="36"/>
        <v/>
      </c>
      <c r="H255" s="5" t="str">
        <f t="shared" si="37"/>
        <v/>
      </c>
      <c r="I255" s="5" t="str">
        <f>_xlfn.XLOOKUP(F255,'[1]Jan Labour Nd Drivers Hyva'!$B:$B,'[2]Jan Labour Nd Drivers Hyva'!$A:$A,"NOT FOUND")</f>
        <v>LAB-005</v>
      </c>
      <c r="J255" s="5" t="str">
        <f>IF(G255="","",_xlfn.XLOOKUP(G255,'[3]Jan Labour Nd Drivers Hyva'!$B:$B,'[2]Jan Labour Nd Drivers Hyva'!$A:$A,"NOT FOUND"))</f>
        <v/>
      </c>
      <c r="K255" s="5" t="str">
        <f>IF(H255="","",_xlfn.XLOOKUP(H255,'[2]Jan Labour Nd Drivers Hyva'!$B:$B,'[2]Jan Labour Nd Drivers Hyva'!$A:$A,"NOT FOUND"))</f>
        <v/>
      </c>
      <c r="L255" s="11" t="s">
        <v>89</v>
      </c>
      <c r="M255" s="12">
        <v>1</v>
      </c>
      <c r="N255" s="13">
        <v>35000</v>
      </c>
      <c r="O255" s="8">
        <f t="shared" si="38"/>
        <v>35000</v>
      </c>
      <c r="P255" s="13"/>
      <c r="Q255" s="7">
        <f t="shared" si="44"/>
        <v>35000</v>
      </c>
      <c r="R255" t="str">
        <f t="shared" si="39"/>
        <v>UNPAID</v>
      </c>
      <c r="S255" s="3"/>
      <c r="T255" s="9">
        <f t="shared" si="40"/>
        <v>35000</v>
      </c>
      <c r="U255" t="str">
        <f t="shared" si="41"/>
        <v>OK</v>
      </c>
      <c r="V255" s="10">
        <f t="shared" si="42"/>
        <v>35000</v>
      </c>
      <c r="W255" t="str">
        <f t="shared" si="43"/>
        <v>OK</v>
      </c>
      <c r="X255" s="3" t="s">
        <v>28</v>
      </c>
      <c r="Y255" t="s">
        <v>29</v>
      </c>
    </row>
    <row r="256" spans="1:25" x14ac:dyDescent="0.2">
      <c r="A256" t="str">
        <f t="shared" si="34"/>
        <v>TRIP-304</v>
      </c>
      <c r="B256" s="2">
        <v>45803</v>
      </c>
      <c r="C256" s="3" t="str">
        <f>_xlfn.XLOOKUP(D256,'[1]Jan Customer Duplicate Hyva'!$B:$B,'[1]Jan Customer Duplicate Hyva'!$A:$A,"NOT FOUND")</f>
        <v>CUST-037</v>
      </c>
      <c r="D256" s="11" t="s">
        <v>99</v>
      </c>
      <c r="E256" s="11" t="s">
        <v>30</v>
      </c>
      <c r="F256" s="5" t="str">
        <f t="shared" si="35"/>
        <v>Ravi</v>
      </c>
      <c r="G256" s="5" t="str">
        <f t="shared" si="36"/>
        <v/>
      </c>
      <c r="H256" s="5" t="str">
        <f t="shared" si="37"/>
        <v/>
      </c>
      <c r="I256" s="5" t="str">
        <f>_xlfn.XLOOKUP(F256,'[1]Jan Labour Nd Drivers Hyva'!$B:$B,'[2]Jan Labour Nd Drivers Hyva'!$A:$A,"NOT FOUND")</f>
        <v>LAB-003</v>
      </c>
      <c r="J256" s="5" t="str">
        <f>IF(G256="","",_xlfn.XLOOKUP(G256,'[3]Jan Labour Nd Drivers Hyva'!$B:$B,'[2]Jan Labour Nd Drivers Hyva'!$A:$A,"NOT FOUND"))</f>
        <v/>
      </c>
      <c r="K256" s="5" t="str">
        <f>IF(H256="","",_xlfn.XLOOKUP(H256,'[2]Jan Labour Nd Drivers Hyva'!$B:$B,'[2]Jan Labour Nd Drivers Hyva'!$A:$A,"NOT FOUND"))</f>
        <v/>
      </c>
      <c r="L256" s="11" t="s">
        <v>229</v>
      </c>
      <c r="M256" s="12">
        <v>1</v>
      </c>
      <c r="N256" s="13">
        <v>34000</v>
      </c>
      <c r="O256" s="8">
        <f t="shared" si="38"/>
        <v>34000</v>
      </c>
      <c r="P256" s="13"/>
      <c r="Q256" s="7">
        <f t="shared" si="44"/>
        <v>34000</v>
      </c>
      <c r="R256" t="str">
        <f t="shared" si="39"/>
        <v>UNPAID</v>
      </c>
      <c r="S256" s="3"/>
      <c r="T256" s="9">
        <f t="shared" si="40"/>
        <v>34000</v>
      </c>
      <c r="U256" t="str">
        <f t="shared" si="41"/>
        <v>OK</v>
      </c>
      <c r="V256" s="10">
        <f t="shared" si="42"/>
        <v>34000</v>
      </c>
      <c r="W256" t="str">
        <f t="shared" si="43"/>
        <v>OK</v>
      </c>
      <c r="X256" s="3" t="s">
        <v>28</v>
      </c>
      <c r="Y256" t="s">
        <v>29</v>
      </c>
    </row>
    <row r="257" spans="1:25" x14ac:dyDescent="0.2">
      <c r="A257" t="str">
        <f t="shared" si="34"/>
        <v>TRIP-305</v>
      </c>
      <c r="B257" s="2">
        <v>45803</v>
      </c>
      <c r="C257" s="3" t="str">
        <f>_xlfn.XLOOKUP(D257,'[1]Jan Customer Duplicate Hyva'!$B:$B,'[1]Jan Customer Duplicate Hyva'!$A:$A,"NOT FOUND")</f>
        <v>CUST-382</v>
      </c>
      <c r="D257" s="11" t="s">
        <v>102</v>
      </c>
      <c r="E257" s="11" t="s">
        <v>30</v>
      </c>
      <c r="F257" s="5" t="str">
        <f t="shared" si="35"/>
        <v>Ravi</v>
      </c>
      <c r="G257" s="5" t="str">
        <f t="shared" si="36"/>
        <v/>
      </c>
      <c r="H257" s="5" t="str">
        <f t="shared" si="37"/>
        <v/>
      </c>
      <c r="I257" s="5" t="str">
        <f>_xlfn.XLOOKUP(F257,'[1]Jan Labour Nd Drivers Hyva'!$B:$B,'[2]Jan Labour Nd Drivers Hyva'!$A:$A,"NOT FOUND")</f>
        <v>LAB-003</v>
      </c>
      <c r="J257" s="5" t="str">
        <f>IF(G257="","",_xlfn.XLOOKUP(G257,'[3]Jan Labour Nd Drivers Hyva'!$B:$B,'[2]Jan Labour Nd Drivers Hyva'!$A:$A,"NOT FOUND"))</f>
        <v/>
      </c>
      <c r="K257" s="5" t="str">
        <f>IF(H257="","",_xlfn.XLOOKUP(H257,'[2]Jan Labour Nd Drivers Hyva'!$B:$B,'[2]Jan Labour Nd Drivers Hyva'!$A:$A,"NOT FOUND"))</f>
        <v/>
      </c>
      <c r="L257" s="11" t="s">
        <v>56</v>
      </c>
      <c r="M257" s="12">
        <v>1</v>
      </c>
      <c r="N257" s="13">
        <v>31000</v>
      </c>
      <c r="O257" s="8">
        <f t="shared" si="38"/>
        <v>31000</v>
      </c>
      <c r="P257" s="13">
        <v>31000</v>
      </c>
      <c r="Q257" s="7">
        <f t="shared" si="44"/>
        <v>0</v>
      </c>
      <c r="R257" t="str">
        <f t="shared" si="39"/>
        <v>PAID</v>
      </c>
      <c r="S257" s="3"/>
      <c r="T257" s="9">
        <f t="shared" si="40"/>
        <v>31000</v>
      </c>
      <c r="U257" t="str">
        <f t="shared" si="41"/>
        <v>OK</v>
      </c>
      <c r="V257" s="10">
        <f t="shared" si="42"/>
        <v>0</v>
      </c>
      <c r="W257" t="str">
        <f t="shared" si="43"/>
        <v>OK</v>
      </c>
      <c r="X257" s="3" t="s">
        <v>28</v>
      </c>
      <c r="Y257" t="s">
        <v>29</v>
      </c>
    </row>
    <row r="258" spans="1:25" x14ac:dyDescent="0.2">
      <c r="A258" t="str">
        <f t="shared" si="34"/>
        <v>TRIP-306</v>
      </c>
      <c r="B258" s="2">
        <v>45803</v>
      </c>
      <c r="C258" s="3" t="str">
        <f>_xlfn.XLOOKUP(D258,'[1]Jan Customer Duplicate Hyva'!$B:$B,'[1]Jan Customer Duplicate Hyva'!$A:$A,"NOT FOUND")</f>
        <v>CUST-323</v>
      </c>
      <c r="D258" s="3" t="s">
        <v>51</v>
      </c>
      <c r="E258" s="11" t="s">
        <v>30</v>
      </c>
      <c r="F258" s="5" t="str">
        <f t="shared" si="35"/>
        <v>Ravi</v>
      </c>
      <c r="G258" s="5" t="str">
        <f t="shared" si="36"/>
        <v/>
      </c>
      <c r="H258" s="5" t="str">
        <f t="shared" si="37"/>
        <v/>
      </c>
      <c r="I258" s="5" t="str">
        <f>_xlfn.XLOOKUP(F258,'[1]Jan Labour Nd Drivers Hyva'!$B:$B,'[2]Jan Labour Nd Drivers Hyva'!$A:$A,"NOT FOUND")</f>
        <v>LAB-003</v>
      </c>
      <c r="J258" s="5" t="str">
        <f>IF(G258="","",_xlfn.XLOOKUP(G258,'[3]Jan Labour Nd Drivers Hyva'!$B:$B,'[2]Jan Labour Nd Drivers Hyva'!$A:$A,"NOT FOUND"))</f>
        <v/>
      </c>
      <c r="K258" s="5" t="str">
        <f>IF(H258="","",_xlfn.XLOOKUP(H258,'[2]Jan Labour Nd Drivers Hyva'!$B:$B,'[2]Jan Labour Nd Drivers Hyva'!$A:$A,"NOT FOUND"))</f>
        <v/>
      </c>
      <c r="L258" s="11" t="s">
        <v>230</v>
      </c>
      <c r="M258" s="12">
        <v>1</v>
      </c>
      <c r="N258" s="13">
        <v>35000</v>
      </c>
      <c r="O258" s="8">
        <f t="shared" si="38"/>
        <v>35000</v>
      </c>
      <c r="P258" s="13"/>
      <c r="Q258" s="7">
        <f t="shared" si="44"/>
        <v>35000</v>
      </c>
      <c r="R258" t="str">
        <f t="shared" si="39"/>
        <v>UNPAID</v>
      </c>
      <c r="S258" s="3"/>
      <c r="T258" s="9">
        <f t="shared" si="40"/>
        <v>35000</v>
      </c>
      <c r="U258" t="str">
        <f t="shared" si="41"/>
        <v>OK</v>
      </c>
      <c r="V258" s="10">
        <f t="shared" si="42"/>
        <v>35000</v>
      </c>
      <c r="W258" t="str">
        <f t="shared" si="43"/>
        <v>OK</v>
      </c>
      <c r="X258" s="3" t="s">
        <v>28</v>
      </c>
      <c r="Y258" t="s">
        <v>29</v>
      </c>
    </row>
    <row r="259" spans="1:25" x14ac:dyDescent="0.2">
      <c r="A259" t="str">
        <f t="shared" ref="A259:A322" si="45">"TRIP-"&amp;TEXT(ROW()+48,"000")</f>
        <v>TRIP-307</v>
      </c>
      <c r="B259" s="2">
        <v>45804</v>
      </c>
      <c r="C259" s="3" t="str">
        <f>_xlfn.XLOOKUP(D259,'[1]Jan Customer Duplicate Hyva'!$B:$B,'[1]Jan Customer Duplicate Hyva'!$A:$A,"NOT FOUND")</f>
        <v>CUST-045</v>
      </c>
      <c r="D259" s="11" t="s">
        <v>82</v>
      </c>
      <c r="E259" s="11" t="s">
        <v>111</v>
      </c>
      <c r="F259" s="5" t="str">
        <f t="shared" ref="F259:F322" si="46">TRIM(_xlfn.TEXTBEFORE(E259&amp;" / "," / "))</f>
        <v>Ravi</v>
      </c>
      <c r="G259" s="5" t="str">
        <f t="shared" ref="G259:G322" si="47">IFERROR(TRIM(_xlfn.TEXTBEFORE(_xlfn.TEXTAFTER(E259," / ")&amp;" / "," / ")),"")</f>
        <v>Anshu</v>
      </c>
      <c r="H259" s="5" t="str">
        <f t="shared" ref="H259:H322" si="48">IFERROR(TRIM(_xlfn.TEXTAFTER(E259," / ","2")),"")</f>
        <v/>
      </c>
      <c r="I259" s="5" t="str">
        <f>_xlfn.XLOOKUP(F259,'[1]Jan Labour Nd Drivers Hyva'!$B:$B,'[2]Jan Labour Nd Drivers Hyva'!$A:$A,"NOT FOUND")</f>
        <v>LAB-003</v>
      </c>
      <c r="J259" s="5" t="str">
        <f>IF(G259="","",_xlfn.XLOOKUP(G259,'[3]Jan Labour Nd Drivers Hyva'!$B:$B,'[2]Jan Labour Nd Drivers Hyva'!$A:$A,"NOT FOUND"))</f>
        <v>LAB-002</v>
      </c>
      <c r="K259" s="5" t="str">
        <f>IF(H259="","",_xlfn.XLOOKUP(H259,'[2]Jan Labour Nd Drivers Hyva'!$B:$B,'[2]Jan Labour Nd Drivers Hyva'!$A:$A,"NOT FOUND"))</f>
        <v/>
      </c>
      <c r="L259" s="11" t="s">
        <v>157</v>
      </c>
      <c r="M259" s="12">
        <v>2</v>
      </c>
      <c r="N259" s="13">
        <v>32000</v>
      </c>
      <c r="O259" s="8">
        <f t="shared" ref="O259:O322" si="49">N259*M259</f>
        <v>64000</v>
      </c>
      <c r="P259" s="13">
        <v>64000</v>
      </c>
      <c r="Q259" s="7">
        <f t="shared" si="44"/>
        <v>0</v>
      </c>
      <c r="R259" t="str">
        <f t="shared" ref="R259:R322" si="50">IF(Q259=0,"PAID",IF(P259=0,"UNPAID","PARTIAL"))</f>
        <v>PAID</v>
      </c>
      <c r="S259" s="3"/>
      <c r="T259" s="9">
        <f t="shared" ref="T259:T322" si="51">M259*N259</f>
        <v>64000</v>
      </c>
      <c r="U259" t="str">
        <f t="shared" ref="U259:U322" si="52">IF(ROUND(T259,2)=ROUND(O259,2),"OK","CHECK")</f>
        <v>OK</v>
      </c>
      <c r="V259" s="10">
        <f t="shared" ref="V259:V322" si="53">O259-P259</f>
        <v>0</v>
      </c>
      <c r="W259" t="str">
        <f t="shared" ref="W259:W322" si="54">IF(ROUND(V259,2)=ROUND(Q259,2),"OK","CHECK")</f>
        <v>OK</v>
      </c>
      <c r="X259" s="3" t="s">
        <v>28</v>
      </c>
      <c r="Y259" t="s">
        <v>29</v>
      </c>
    </row>
    <row r="260" spans="1:25" x14ac:dyDescent="0.2">
      <c r="A260" t="str">
        <f t="shared" si="45"/>
        <v>TRIP-308</v>
      </c>
      <c r="B260" s="2">
        <v>45804</v>
      </c>
      <c r="C260" s="3" t="str">
        <f>_xlfn.XLOOKUP(D260,'[1]Jan Customer Duplicate Hyva'!$B:$B,'[1]Jan Customer Duplicate Hyva'!$A:$A,"NOT FOUND")</f>
        <v>CUST-037</v>
      </c>
      <c r="D260" s="11" t="s">
        <v>99</v>
      </c>
      <c r="E260" s="11" t="s">
        <v>30</v>
      </c>
      <c r="F260" s="5" t="str">
        <f t="shared" si="46"/>
        <v>Ravi</v>
      </c>
      <c r="G260" s="5" t="str">
        <f t="shared" si="47"/>
        <v/>
      </c>
      <c r="H260" s="5" t="str">
        <f t="shared" si="48"/>
        <v/>
      </c>
      <c r="I260" s="5" t="str">
        <f>_xlfn.XLOOKUP(F260,'[1]Jan Labour Nd Drivers Hyva'!$B:$B,'[2]Jan Labour Nd Drivers Hyva'!$A:$A,"NOT FOUND")</f>
        <v>LAB-003</v>
      </c>
      <c r="J260" s="5" t="str">
        <f>IF(G260="","",_xlfn.XLOOKUP(G260,'[3]Jan Labour Nd Drivers Hyva'!$B:$B,'[2]Jan Labour Nd Drivers Hyva'!$A:$A,"NOT FOUND"))</f>
        <v/>
      </c>
      <c r="K260" s="5" t="str">
        <f>IF(H260="","",_xlfn.XLOOKUP(H260,'[2]Jan Labour Nd Drivers Hyva'!$B:$B,'[2]Jan Labour Nd Drivers Hyva'!$A:$A,"NOT FOUND"))</f>
        <v/>
      </c>
      <c r="L260" s="11" t="s">
        <v>63</v>
      </c>
      <c r="M260" s="12">
        <v>1</v>
      </c>
      <c r="N260" s="13">
        <v>34000</v>
      </c>
      <c r="O260" s="8">
        <f t="shared" si="49"/>
        <v>34000</v>
      </c>
      <c r="P260" s="13">
        <v>0</v>
      </c>
      <c r="Q260" s="7">
        <f t="shared" si="44"/>
        <v>34000</v>
      </c>
      <c r="R260" t="str">
        <f t="shared" si="50"/>
        <v>UNPAID</v>
      </c>
      <c r="S260" s="3"/>
      <c r="T260" s="9">
        <f t="shared" si="51"/>
        <v>34000</v>
      </c>
      <c r="U260" t="str">
        <f t="shared" si="52"/>
        <v>OK</v>
      </c>
      <c r="V260" s="10">
        <f t="shared" si="53"/>
        <v>34000</v>
      </c>
      <c r="W260" t="str">
        <f t="shared" si="54"/>
        <v>OK</v>
      </c>
      <c r="X260" s="3" t="s">
        <v>28</v>
      </c>
      <c r="Y260" t="s">
        <v>29</v>
      </c>
    </row>
    <row r="261" spans="1:25" x14ac:dyDescent="0.2">
      <c r="A261" t="str">
        <f t="shared" si="45"/>
        <v>TRIP-309</v>
      </c>
      <c r="B261" s="2">
        <v>45804</v>
      </c>
      <c r="C261" s="3" t="str">
        <f>_xlfn.XLOOKUP(D261,'[1]Jan Customer Duplicate Hyva'!$B:$B,'[1]Jan Customer Duplicate Hyva'!$A:$A,"NOT FOUND")</f>
        <v>CUST-382</v>
      </c>
      <c r="D261" s="11" t="s">
        <v>102</v>
      </c>
      <c r="E261" s="11" t="s">
        <v>30</v>
      </c>
      <c r="F261" s="5" t="str">
        <f t="shared" si="46"/>
        <v>Ravi</v>
      </c>
      <c r="G261" s="5" t="str">
        <f t="shared" si="47"/>
        <v/>
      </c>
      <c r="H261" s="5" t="str">
        <f t="shared" si="48"/>
        <v/>
      </c>
      <c r="I261" s="5" t="str">
        <f>_xlfn.XLOOKUP(F261,'[1]Jan Labour Nd Drivers Hyva'!$B:$B,'[2]Jan Labour Nd Drivers Hyva'!$A:$A,"NOT FOUND")</f>
        <v>LAB-003</v>
      </c>
      <c r="J261" s="5" t="str">
        <f>IF(G261="","",_xlfn.XLOOKUP(G261,'[3]Jan Labour Nd Drivers Hyva'!$B:$B,'[2]Jan Labour Nd Drivers Hyva'!$A:$A,"NOT FOUND"))</f>
        <v/>
      </c>
      <c r="K261" s="5" t="str">
        <f>IF(H261="","",_xlfn.XLOOKUP(H261,'[2]Jan Labour Nd Drivers Hyva'!$B:$B,'[2]Jan Labour Nd Drivers Hyva'!$A:$A,"NOT FOUND"))</f>
        <v/>
      </c>
      <c r="L261" s="11" t="s">
        <v>56</v>
      </c>
      <c r="M261" s="12">
        <v>1</v>
      </c>
      <c r="N261" s="13">
        <v>31000</v>
      </c>
      <c r="O261" s="8">
        <f t="shared" si="49"/>
        <v>31000</v>
      </c>
      <c r="P261" s="13">
        <v>31000</v>
      </c>
      <c r="Q261" s="7">
        <f t="shared" si="44"/>
        <v>0</v>
      </c>
      <c r="R261" t="str">
        <f t="shared" si="50"/>
        <v>PAID</v>
      </c>
      <c r="S261" s="3"/>
      <c r="T261" s="9">
        <f t="shared" si="51"/>
        <v>31000</v>
      </c>
      <c r="U261" t="str">
        <f t="shared" si="52"/>
        <v>OK</v>
      </c>
      <c r="V261" s="10">
        <f t="shared" si="53"/>
        <v>0</v>
      </c>
      <c r="W261" t="str">
        <f t="shared" si="54"/>
        <v>OK</v>
      </c>
      <c r="X261" s="3" t="s">
        <v>28</v>
      </c>
      <c r="Y261" t="s">
        <v>29</v>
      </c>
    </row>
    <row r="262" spans="1:25" x14ac:dyDescent="0.2">
      <c r="A262" t="str">
        <f t="shared" si="45"/>
        <v>TRIP-310</v>
      </c>
      <c r="B262" s="2">
        <v>45804</v>
      </c>
      <c r="C262" s="3" t="str">
        <f>_xlfn.XLOOKUP(D262,'[1]Jan Customer Duplicate Hyva'!$B:$B,'[1]Jan Customer Duplicate Hyva'!$A:$A,"NOT FOUND")</f>
        <v>CUST-172</v>
      </c>
      <c r="D262" s="3" t="s">
        <v>54</v>
      </c>
      <c r="E262" s="11" t="s">
        <v>26</v>
      </c>
      <c r="F262" s="5" t="str">
        <f t="shared" si="46"/>
        <v>Anshu</v>
      </c>
      <c r="G262" s="5" t="str">
        <f t="shared" si="47"/>
        <v/>
      </c>
      <c r="H262" s="5" t="str">
        <f t="shared" si="48"/>
        <v/>
      </c>
      <c r="I262" s="5" t="str">
        <f>_xlfn.XLOOKUP(F262,'[1]Jan Labour Nd Drivers Hyva'!$B:$B,'[2]Jan Labour Nd Drivers Hyva'!$A:$A,"NOT FOUND")</f>
        <v>LAB-002</v>
      </c>
      <c r="J262" s="5" t="str">
        <f>IF(G262="","",_xlfn.XLOOKUP(G262,'[3]Jan Labour Nd Drivers Hyva'!$B:$B,'[2]Jan Labour Nd Drivers Hyva'!$A:$A,"NOT FOUND"))</f>
        <v/>
      </c>
      <c r="K262" s="5" t="str">
        <f>IF(H262="","",_xlfn.XLOOKUP(H262,'[2]Jan Labour Nd Drivers Hyva'!$B:$B,'[2]Jan Labour Nd Drivers Hyva'!$A:$A,"NOT FOUND"))</f>
        <v/>
      </c>
      <c r="L262" s="11" t="s">
        <v>56</v>
      </c>
      <c r="M262" s="12">
        <v>1</v>
      </c>
      <c r="N262" s="13">
        <v>31000</v>
      </c>
      <c r="O262" s="8">
        <f t="shared" si="49"/>
        <v>31000</v>
      </c>
      <c r="P262" s="13">
        <v>31000</v>
      </c>
      <c r="Q262" s="7">
        <f t="shared" si="44"/>
        <v>0</v>
      </c>
      <c r="R262" t="str">
        <f t="shared" si="50"/>
        <v>PAID</v>
      </c>
      <c r="S262" s="3"/>
      <c r="T262" s="9">
        <f t="shared" si="51"/>
        <v>31000</v>
      </c>
      <c r="U262" t="str">
        <f t="shared" si="52"/>
        <v>OK</v>
      </c>
      <c r="V262" s="10">
        <f t="shared" si="53"/>
        <v>0</v>
      </c>
      <c r="W262" t="str">
        <f t="shared" si="54"/>
        <v>OK</v>
      </c>
      <c r="X262" s="3" t="s">
        <v>28</v>
      </c>
      <c r="Y262" t="s">
        <v>29</v>
      </c>
    </row>
    <row r="263" spans="1:25" x14ac:dyDescent="0.2">
      <c r="A263" t="str">
        <f t="shared" si="45"/>
        <v>TRIP-311</v>
      </c>
      <c r="B263" s="2">
        <v>45804</v>
      </c>
      <c r="C263" s="3" t="str">
        <f>_xlfn.XLOOKUP(D263,'[1]Jan Customer Duplicate Hyva'!$B:$B,'[1]Jan Customer Duplicate Hyva'!$A:$A,"NOT FOUND")</f>
        <v>CUST-172</v>
      </c>
      <c r="D263" s="3" t="s">
        <v>54</v>
      </c>
      <c r="E263" s="11" t="s">
        <v>26</v>
      </c>
      <c r="F263" s="5" t="str">
        <f t="shared" si="46"/>
        <v>Anshu</v>
      </c>
      <c r="G263" s="5" t="str">
        <f t="shared" si="47"/>
        <v/>
      </c>
      <c r="H263" s="5" t="str">
        <f t="shared" si="48"/>
        <v/>
      </c>
      <c r="I263" s="5" t="str">
        <f>_xlfn.XLOOKUP(F263,'[1]Jan Labour Nd Drivers Hyva'!$B:$B,'[2]Jan Labour Nd Drivers Hyva'!$A:$A,"NOT FOUND")</f>
        <v>LAB-002</v>
      </c>
      <c r="J263" s="5" t="str">
        <f>IF(G263="","",_xlfn.XLOOKUP(G263,'[3]Jan Labour Nd Drivers Hyva'!$B:$B,'[2]Jan Labour Nd Drivers Hyva'!$A:$A,"NOT FOUND"))</f>
        <v/>
      </c>
      <c r="K263" s="5" t="str">
        <f>IF(H263="","",_xlfn.XLOOKUP(H263,'[2]Jan Labour Nd Drivers Hyva'!$B:$B,'[2]Jan Labour Nd Drivers Hyva'!$A:$A,"NOT FOUND"))</f>
        <v/>
      </c>
      <c r="L263" s="11" t="s">
        <v>142</v>
      </c>
      <c r="M263" s="12">
        <v>1</v>
      </c>
      <c r="N263" s="13">
        <v>31000</v>
      </c>
      <c r="O263" s="8">
        <f t="shared" si="49"/>
        <v>31000</v>
      </c>
      <c r="P263" s="13">
        <v>4000</v>
      </c>
      <c r="Q263" s="7">
        <f t="shared" si="44"/>
        <v>27000</v>
      </c>
      <c r="R263" t="str">
        <f t="shared" si="50"/>
        <v>PARTIAL</v>
      </c>
      <c r="S263" s="3"/>
      <c r="T263" s="9">
        <f t="shared" si="51"/>
        <v>31000</v>
      </c>
      <c r="U263" t="str">
        <f t="shared" si="52"/>
        <v>OK</v>
      </c>
      <c r="V263" s="10">
        <f t="shared" si="53"/>
        <v>27000</v>
      </c>
      <c r="W263" t="str">
        <f t="shared" si="54"/>
        <v>OK</v>
      </c>
      <c r="X263" s="3" t="s">
        <v>28</v>
      </c>
      <c r="Y263" t="s">
        <v>29</v>
      </c>
    </row>
    <row r="264" spans="1:25" x14ac:dyDescent="0.2">
      <c r="A264" t="str">
        <f t="shared" si="45"/>
        <v>TRIP-312</v>
      </c>
      <c r="B264" s="2">
        <v>45804</v>
      </c>
      <c r="C264" s="3" t="str">
        <f>_xlfn.XLOOKUP(D264,'[1]Jan Customer Duplicate Hyva'!$B:$B,'[1]Jan Customer Duplicate Hyva'!$A:$A,"NOT FOUND")</f>
        <v>CUST-382</v>
      </c>
      <c r="D264" s="11" t="s">
        <v>102</v>
      </c>
      <c r="E264" s="11" t="s">
        <v>26</v>
      </c>
      <c r="F264" s="5" t="str">
        <f t="shared" si="46"/>
        <v>Anshu</v>
      </c>
      <c r="G264" s="5" t="str">
        <f t="shared" si="47"/>
        <v/>
      </c>
      <c r="H264" s="5" t="str">
        <f t="shared" si="48"/>
        <v/>
      </c>
      <c r="I264" s="5" t="str">
        <f>_xlfn.XLOOKUP(F264,'[1]Jan Labour Nd Drivers Hyva'!$B:$B,'[2]Jan Labour Nd Drivers Hyva'!$A:$A,"NOT FOUND")</f>
        <v>LAB-002</v>
      </c>
      <c r="J264" s="5" t="str">
        <f>IF(G264="","",_xlfn.XLOOKUP(G264,'[3]Jan Labour Nd Drivers Hyva'!$B:$B,'[2]Jan Labour Nd Drivers Hyva'!$A:$A,"NOT FOUND"))</f>
        <v/>
      </c>
      <c r="K264" s="5" t="str">
        <f>IF(H264="","",_xlfn.XLOOKUP(H264,'[2]Jan Labour Nd Drivers Hyva'!$B:$B,'[2]Jan Labour Nd Drivers Hyva'!$A:$A,"NOT FOUND"))</f>
        <v/>
      </c>
      <c r="L264" s="11" t="s">
        <v>149</v>
      </c>
      <c r="M264" s="12">
        <v>1</v>
      </c>
      <c r="N264" s="13">
        <v>31000</v>
      </c>
      <c r="O264" s="8">
        <f t="shared" si="49"/>
        <v>31000</v>
      </c>
      <c r="P264" s="13">
        <v>31000</v>
      </c>
      <c r="Q264" s="7">
        <f t="shared" si="44"/>
        <v>0</v>
      </c>
      <c r="R264" t="str">
        <f t="shared" si="50"/>
        <v>PAID</v>
      </c>
      <c r="S264" s="3"/>
      <c r="T264" s="9">
        <f t="shared" si="51"/>
        <v>31000</v>
      </c>
      <c r="U264" t="str">
        <f t="shared" si="52"/>
        <v>OK</v>
      </c>
      <c r="V264" s="10">
        <f t="shared" si="53"/>
        <v>0</v>
      </c>
      <c r="W264" t="str">
        <f t="shared" si="54"/>
        <v>OK</v>
      </c>
      <c r="X264" s="3" t="s">
        <v>28</v>
      </c>
      <c r="Y264" t="s">
        <v>29</v>
      </c>
    </row>
    <row r="265" spans="1:25" x14ac:dyDescent="0.2">
      <c r="A265" t="str">
        <f t="shared" si="45"/>
        <v>TRIP-313</v>
      </c>
      <c r="B265" s="2">
        <v>45805</v>
      </c>
      <c r="C265" s="3" t="str">
        <f>_xlfn.XLOOKUP(D265,'[1]Jan Customer Duplicate Hyva'!$B:$B,'[1]Jan Customer Duplicate Hyva'!$A:$A,"NOT FOUND")</f>
        <v>CUST-323</v>
      </c>
      <c r="D265" s="3" t="s">
        <v>51</v>
      </c>
      <c r="E265" s="11" t="s">
        <v>26</v>
      </c>
      <c r="F265" s="5" t="str">
        <f t="shared" si="46"/>
        <v>Anshu</v>
      </c>
      <c r="G265" s="5" t="str">
        <f t="shared" si="47"/>
        <v/>
      </c>
      <c r="H265" s="5" t="str">
        <f t="shared" si="48"/>
        <v/>
      </c>
      <c r="I265" s="5" t="str">
        <f>_xlfn.XLOOKUP(F265,'[1]Jan Labour Nd Drivers Hyva'!$B:$B,'[2]Jan Labour Nd Drivers Hyva'!$A:$A,"NOT FOUND")</f>
        <v>LAB-002</v>
      </c>
      <c r="J265" s="5" t="str">
        <f>IF(G265="","",_xlfn.XLOOKUP(G265,'[3]Jan Labour Nd Drivers Hyva'!$B:$B,'[2]Jan Labour Nd Drivers Hyva'!$A:$A,"NOT FOUND"))</f>
        <v/>
      </c>
      <c r="K265" s="5" t="str">
        <f>IF(H265="","",_xlfn.XLOOKUP(H265,'[2]Jan Labour Nd Drivers Hyva'!$B:$B,'[2]Jan Labour Nd Drivers Hyva'!$A:$A,"NOT FOUND"))</f>
        <v/>
      </c>
      <c r="L265" s="11" t="s">
        <v>89</v>
      </c>
      <c r="M265" s="12">
        <v>1</v>
      </c>
      <c r="N265" s="13">
        <v>33000</v>
      </c>
      <c r="O265" s="8">
        <f t="shared" si="49"/>
        <v>33000</v>
      </c>
      <c r="P265" s="13">
        <v>33000</v>
      </c>
      <c r="Q265" s="7">
        <f t="shared" si="44"/>
        <v>0</v>
      </c>
      <c r="R265" t="str">
        <f t="shared" si="50"/>
        <v>PAID</v>
      </c>
      <c r="S265" s="3"/>
      <c r="T265" s="9">
        <f t="shared" si="51"/>
        <v>33000</v>
      </c>
      <c r="U265" t="str">
        <f t="shared" si="52"/>
        <v>OK</v>
      </c>
      <c r="V265" s="10">
        <f t="shared" si="53"/>
        <v>0</v>
      </c>
      <c r="W265" t="str">
        <f t="shared" si="54"/>
        <v>OK</v>
      </c>
      <c r="X265" s="3" t="s">
        <v>28</v>
      </c>
      <c r="Y265" t="s">
        <v>29</v>
      </c>
    </row>
    <row r="266" spans="1:25" x14ac:dyDescent="0.2">
      <c r="A266" t="str">
        <f t="shared" si="45"/>
        <v>TRIP-314</v>
      </c>
      <c r="B266" s="2">
        <v>45805</v>
      </c>
      <c r="C266" s="3" t="str">
        <f>_xlfn.XLOOKUP(D266,'[1]Jan Customer Duplicate Hyva'!$B:$B,'[1]Jan Customer Duplicate Hyva'!$A:$A,"NOT FOUND")</f>
        <v>CUST-037</v>
      </c>
      <c r="D266" s="11" t="s">
        <v>99</v>
      </c>
      <c r="E266" s="11" t="s">
        <v>26</v>
      </c>
      <c r="F266" s="5" t="str">
        <f t="shared" si="46"/>
        <v>Anshu</v>
      </c>
      <c r="G266" s="5" t="str">
        <f t="shared" si="47"/>
        <v/>
      </c>
      <c r="H266" s="5" t="str">
        <f t="shared" si="48"/>
        <v/>
      </c>
      <c r="I266" s="5" t="str">
        <f>_xlfn.XLOOKUP(F266,'[1]Jan Labour Nd Drivers Hyva'!$B:$B,'[2]Jan Labour Nd Drivers Hyva'!$A:$A,"NOT FOUND")</f>
        <v>LAB-002</v>
      </c>
      <c r="J266" s="5" t="str">
        <f>IF(G266="","",_xlfn.XLOOKUP(G266,'[3]Jan Labour Nd Drivers Hyva'!$B:$B,'[2]Jan Labour Nd Drivers Hyva'!$A:$A,"NOT FOUND"))</f>
        <v/>
      </c>
      <c r="K266" s="5" t="str">
        <f>IF(H266="","",_xlfn.XLOOKUP(H266,'[2]Jan Labour Nd Drivers Hyva'!$B:$B,'[2]Jan Labour Nd Drivers Hyva'!$A:$A,"NOT FOUND"))</f>
        <v/>
      </c>
      <c r="L266" s="11" t="s">
        <v>107</v>
      </c>
      <c r="M266" s="12">
        <v>3</v>
      </c>
      <c r="N266" s="13">
        <v>34000</v>
      </c>
      <c r="O266" s="8">
        <f t="shared" si="49"/>
        <v>102000</v>
      </c>
      <c r="P266" s="13"/>
      <c r="Q266" s="7">
        <f t="shared" si="44"/>
        <v>102000</v>
      </c>
      <c r="R266" t="str">
        <f t="shared" si="50"/>
        <v>UNPAID</v>
      </c>
      <c r="S266" s="3"/>
      <c r="T266" s="9">
        <f t="shared" si="51"/>
        <v>102000</v>
      </c>
      <c r="U266" t="str">
        <f t="shared" si="52"/>
        <v>OK</v>
      </c>
      <c r="V266" s="10">
        <f t="shared" si="53"/>
        <v>102000</v>
      </c>
      <c r="W266" t="str">
        <f t="shared" si="54"/>
        <v>OK</v>
      </c>
      <c r="X266" s="3" t="s">
        <v>28</v>
      </c>
      <c r="Y266" t="s">
        <v>29</v>
      </c>
    </row>
    <row r="267" spans="1:25" x14ac:dyDescent="0.2">
      <c r="A267" t="str">
        <f t="shared" si="45"/>
        <v>TRIP-315</v>
      </c>
      <c r="B267" s="2">
        <v>45806</v>
      </c>
      <c r="C267" s="3" t="str">
        <f>_xlfn.XLOOKUP(D267,'[1]Jan Customer Duplicate Hyva'!$B:$B,'[1]Jan Customer Duplicate Hyva'!$A:$A,"NOT FOUND")</f>
        <v>CUST-013</v>
      </c>
      <c r="D267" s="11" t="s">
        <v>231</v>
      </c>
      <c r="E267" s="11" t="s">
        <v>26</v>
      </c>
      <c r="F267" s="5" t="str">
        <f t="shared" si="46"/>
        <v>Anshu</v>
      </c>
      <c r="G267" s="5" t="str">
        <f t="shared" si="47"/>
        <v/>
      </c>
      <c r="H267" s="5" t="str">
        <f t="shared" si="48"/>
        <v/>
      </c>
      <c r="I267" s="5" t="str">
        <f>_xlfn.XLOOKUP(F267,'[1]Jan Labour Nd Drivers Hyva'!$B:$B,'[2]Jan Labour Nd Drivers Hyva'!$A:$A,"NOT FOUND")</f>
        <v>LAB-002</v>
      </c>
      <c r="J267" s="5" t="str">
        <f>IF(G267="","",_xlfn.XLOOKUP(G267,'[3]Jan Labour Nd Drivers Hyva'!$B:$B,'[2]Jan Labour Nd Drivers Hyva'!$A:$A,"NOT FOUND"))</f>
        <v/>
      </c>
      <c r="K267" s="5" t="str">
        <f>IF(H267="","",_xlfn.XLOOKUP(H267,'[2]Jan Labour Nd Drivers Hyva'!$B:$B,'[2]Jan Labour Nd Drivers Hyva'!$A:$A,"NOT FOUND"))</f>
        <v/>
      </c>
      <c r="L267" s="11" t="s">
        <v>114</v>
      </c>
      <c r="M267" s="12">
        <v>1</v>
      </c>
      <c r="N267" s="13">
        <v>30000</v>
      </c>
      <c r="O267" s="8">
        <f t="shared" si="49"/>
        <v>30000</v>
      </c>
      <c r="P267" s="13">
        <v>30000</v>
      </c>
      <c r="Q267" s="7">
        <f t="shared" si="44"/>
        <v>0</v>
      </c>
      <c r="R267" t="str">
        <f t="shared" si="50"/>
        <v>PAID</v>
      </c>
      <c r="S267" s="3"/>
      <c r="T267" s="9">
        <f t="shared" si="51"/>
        <v>30000</v>
      </c>
      <c r="U267" t="str">
        <f t="shared" si="52"/>
        <v>OK</v>
      </c>
      <c r="V267" s="10">
        <f t="shared" si="53"/>
        <v>0</v>
      </c>
      <c r="W267" t="str">
        <f t="shared" si="54"/>
        <v>OK</v>
      </c>
      <c r="X267" s="3" t="s">
        <v>28</v>
      </c>
      <c r="Y267" t="s">
        <v>29</v>
      </c>
    </row>
    <row r="268" spans="1:25" x14ac:dyDescent="0.2">
      <c r="A268" t="str">
        <f t="shared" si="45"/>
        <v>TRIP-316</v>
      </c>
      <c r="B268" s="2">
        <v>45807</v>
      </c>
      <c r="C268" s="3" t="str">
        <f>_xlfn.XLOOKUP(D268,'[1]Jan Customer Duplicate Hyva'!$B:$B,'[1]Jan Customer Duplicate Hyva'!$A:$A,"NOT FOUND")</f>
        <v>CUST-037</v>
      </c>
      <c r="D268" s="11" t="s">
        <v>99</v>
      </c>
      <c r="E268" s="11" t="s">
        <v>30</v>
      </c>
      <c r="F268" s="5" t="str">
        <f t="shared" si="46"/>
        <v>Ravi</v>
      </c>
      <c r="G268" s="5" t="str">
        <f t="shared" si="47"/>
        <v/>
      </c>
      <c r="H268" s="5" t="str">
        <f t="shared" si="48"/>
        <v/>
      </c>
      <c r="I268" s="5" t="str">
        <f>_xlfn.XLOOKUP(F268,'[1]Jan Labour Nd Drivers Hyva'!$B:$B,'[2]Jan Labour Nd Drivers Hyva'!$A:$A,"NOT FOUND")</f>
        <v>LAB-003</v>
      </c>
      <c r="J268" s="5" t="str">
        <f>IF(G268="","",_xlfn.XLOOKUP(G268,'[3]Jan Labour Nd Drivers Hyva'!$B:$B,'[2]Jan Labour Nd Drivers Hyva'!$A:$A,"NOT FOUND"))</f>
        <v/>
      </c>
      <c r="K268" s="5" t="str">
        <f>IF(H268="","",_xlfn.XLOOKUP(H268,'[2]Jan Labour Nd Drivers Hyva'!$B:$B,'[2]Jan Labour Nd Drivers Hyva'!$A:$A,"NOT FOUND"))</f>
        <v/>
      </c>
      <c r="L268" s="11" t="s">
        <v>56</v>
      </c>
      <c r="M268" s="12">
        <v>1</v>
      </c>
      <c r="N268" s="13">
        <v>34000</v>
      </c>
      <c r="O268" s="8">
        <f t="shared" si="49"/>
        <v>34000</v>
      </c>
      <c r="P268" s="13"/>
      <c r="Q268" s="7">
        <f t="shared" si="44"/>
        <v>34000</v>
      </c>
      <c r="R268" t="str">
        <f t="shared" si="50"/>
        <v>UNPAID</v>
      </c>
      <c r="S268" s="3"/>
      <c r="T268" s="9">
        <f t="shared" si="51"/>
        <v>34000</v>
      </c>
      <c r="U268" t="str">
        <f t="shared" si="52"/>
        <v>OK</v>
      </c>
      <c r="V268" s="10">
        <f t="shared" si="53"/>
        <v>34000</v>
      </c>
      <c r="W268" t="str">
        <f t="shared" si="54"/>
        <v>OK</v>
      </c>
      <c r="X268" s="3" t="s">
        <v>28</v>
      </c>
      <c r="Y268" t="s">
        <v>29</v>
      </c>
    </row>
    <row r="269" spans="1:25" x14ac:dyDescent="0.2">
      <c r="A269" t="str">
        <f t="shared" si="45"/>
        <v>TRIP-317</v>
      </c>
      <c r="B269" s="2">
        <v>45807</v>
      </c>
      <c r="C269" s="3" t="str">
        <f>_xlfn.XLOOKUP(D269,'[1]Jan Customer Duplicate Hyva'!$B:$B,'[1]Jan Customer Duplicate Hyva'!$A:$A,"NOT FOUND")</f>
        <v>CUST-037</v>
      </c>
      <c r="D269" s="11" t="s">
        <v>99</v>
      </c>
      <c r="E269" s="11" t="s">
        <v>26</v>
      </c>
      <c r="F269" s="5" t="str">
        <f t="shared" si="46"/>
        <v>Anshu</v>
      </c>
      <c r="G269" s="5" t="str">
        <f t="shared" si="47"/>
        <v/>
      </c>
      <c r="H269" s="5" t="str">
        <f t="shared" si="48"/>
        <v/>
      </c>
      <c r="I269" s="5" t="str">
        <f>_xlfn.XLOOKUP(F269,'[1]Jan Labour Nd Drivers Hyva'!$B:$B,'[2]Jan Labour Nd Drivers Hyva'!$A:$A,"NOT FOUND")</f>
        <v>LAB-002</v>
      </c>
      <c r="J269" s="5" t="str">
        <f>IF(G269="","",_xlfn.XLOOKUP(G269,'[3]Jan Labour Nd Drivers Hyva'!$B:$B,'[2]Jan Labour Nd Drivers Hyva'!$A:$A,"NOT FOUND"))</f>
        <v/>
      </c>
      <c r="K269" s="5" t="str">
        <f>IF(H269="","",_xlfn.XLOOKUP(H269,'[2]Jan Labour Nd Drivers Hyva'!$B:$B,'[2]Jan Labour Nd Drivers Hyva'!$A:$A,"NOT FOUND"))</f>
        <v/>
      </c>
      <c r="L269" s="11" t="s">
        <v>232</v>
      </c>
      <c r="M269" s="12">
        <v>1</v>
      </c>
      <c r="N269" s="13">
        <v>34000</v>
      </c>
      <c r="O269" s="8">
        <f t="shared" si="49"/>
        <v>34000</v>
      </c>
      <c r="P269" s="13"/>
      <c r="Q269" s="7">
        <f t="shared" si="44"/>
        <v>34000</v>
      </c>
      <c r="R269" t="str">
        <f t="shared" si="50"/>
        <v>UNPAID</v>
      </c>
      <c r="S269" s="3"/>
      <c r="T269" s="9">
        <f t="shared" si="51"/>
        <v>34000</v>
      </c>
      <c r="U269" t="str">
        <f t="shared" si="52"/>
        <v>OK</v>
      </c>
      <c r="V269" s="10">
        <f t="shared" si="53"/>
        <v>34000</v>
      </c>
      <c r="W269" t="str">
        <f t="shared" si="54"/>
        <v>OK</v>
      </c>
      <c r="X269" s="3" t="s">
        <v>28</v>
      </c>
      <c r="Y269" t="s">
        <v>29</v>
      </c>
    </row>
    <row r="270" spans="1:25" x14ac:dyDescent="0.2">
      <c r="A270" t="str">
        <f t="shared" si="45"/>
        <v>TRIP-318</v>
      </c>
      <c r="B270" s="2">
        <v>45807</v>
      </c>
      <c r="C270" s="3" t="str">
        <f>_xlfn.XLOOKUP(D270,'[1]Jan Customer Duplicate Hyva'!$B:$B,'[1]Jan Customer Duplicate Hyva'!$A:$A,"NOT FOUND")</f>
        <v>CUST-236</v>
      </c>
      <c r="D270" s="11" t="s">
        <v>58</v>
      </c>
      <c r="E270" s="11" t="s">
        <v>30</v>
      </c>
      <c r="F270" s="5" t="str">
        <f t="shared" si="46"/>
        <v>Ravi</v>
      </c>
      <c r="G270" s="5" t="str">
        <f t="shared" si="47"/>
        <v/>
      </c>
      <c r="H270" s="5" t="str">
        <f t="shared" si="48"/>
        <v/>
      </c>
      <c r="I270" s="5" t="str">
        <f>_xlfn.XLOOKUP(F270,'[1]Jan Labour Nd Drivers Hyva'!$B:$B,'[2]Jan Labour Nd Drivers Hyva'!$A:$A,"NOT FOUND")</f>
        <v>LAB-003</v>
      </c>
      <c r="J270" s="5" t="str">
        <f>IF(G270="","",_xlfn.XLOOKUP(G270,'[3]Jan Labour Nd Drivers Hyva'!$B:$B,'[2]Jan Labour Nd Drivers Hyva'!$A:$A,"NOT FOUND"))</f>
        <v/>
      </c>
      <c r="K270" s="5" t="str">
        <f>IF(H270="","",_xlfn.XLOOKUP(H270,'[2]Jan Labour Nd Drivers Hyva'!$B:$B,'[2]Jan Labour Nd Drivers Hyva'!$A:$A,"NOT FOUND"))</f>
        <v/>
      </c>
      <c r="L270" s="11" t="s">
        <v>120</v>
      </c>
      <c r="M270" s="12">
        <v>1</v>
      </c>
      <c r="N270" s="13">
        <v>32000</v>
      </c>
      <c r="O270" s="8">
        <f t="shared" si="49"/>
        <v>32000</v>
      </c>
      <c r="P270" s="13">
        <v>32000</v>
      </c>
      <c r="Q270" s="7">
        <f t="shared" si="44"/>
        <v>0</v>
      </c>
      <c r="R270" t="str">
        <f t="shared" si="50"/>
        <v>PAID</v>
      </c>
      <c r="S270" s="3"/>
      <c r="T270" s="9">
        <f t="shared" si="51"/>
        <v>32000</v>
      </c>
      <c r="U270" t="str">
        <f t="shared" si="52"/>
        <v>OK</v>
      </c>
      <c r="V270" s="10">
        <f t="shared" si="53"/>
        <v>0</v>
      </c>
      <c r="W270" t="str">
        <f t="shared" si="54"/>
        <v>OK</v>
      </c>
      <c r="X270" s="3" t="s">
        <v>28</v>
      </c>
      <c r="Y270" t="s">
        <v>29</v>
      </c>
    </row>
    <row r="271" spans="1:25" x14ac:dyDescent="0.2">
      <c r="A271" t="str">
        <f t="shared" si="45"/>
        <v>TRIP-319</v>
      </c>
      <c r="B271" s="2">
        <v>45807</v>
      </c>
      <c r="C271" s="3" t="str">
        <f>_xlfn.XLOOKUP(D271,'[1]Jan Customer Duplicate Hyva'!$B:$B,'[1]Jan Customer Duplicate Hyva'!$A:$A,"NOT FOUND")</f>
        <v>CUST-265</v>
      </c>
      <c r="D271" s="11" t="s">
        <v>188</v>
      </c>
      <c r="E271" s="11" t="s">
        <v>26</v>
      </c>
      <c r="F271" s="5" t="str">
        <f t="shared" si="46"/>
        <v>Anshu</v>
      </c>
      <c r="G271" s="5" t="str">
        <f t="shared" si="47"/>
        <v/>
      </c>
      <c r="H271" s="5" t="str">
        <f t="shared" si="48"/>
        <v/>
      </c>
      <c r="I271" s="5" t="str">
        <f>_xlfn.XLOOKUP(F271,'[1]Jan Labour Nd Drivers Hyva'!$B:$B,'[2]Jan Labour Nd Drivers Hyva'!$A:$A,"NOT FOUND")</f>
        <v>LAB-002</v>
      </c>
      <c r="J271" s="5" t="str">
        <f>IF(G271="","",_xlfn.XLOOKUP(G271,'[3]Jan Labour Nd Drivers Hyva'!$B:$B,'[2]Jan Labour Nd Drivers Hyva'!$A:$A,"NOT FOUND"))</f>
        <v/>
      </c>
      <c r="K271" s="5" t="str">
        <f>IF(H271="","",_xlfn.XLOOKUP(H271,'[2]Jan Labour Nd Drivers Hyva'!$B:$B,'[2]Jan Labour Nd Drivers Hyva'!$A:$A,"NOT FOUND"))</f>
        <v/>
      </c>
      <c r="L271" s="11" t="s">
        <v>233</v>
      </c>
      <c r="M271" s="12">
        <v>1</v>
      </c>
      <c r="N271" s="13">
        <v>35000</v>
      </c>
      <c r="O271" s="8">
        <f t="shared" si="49"/>
        <v>35000</v>
      </c>
      <c r="P271" s="13">
        <v>35000</v>
      </c>
      <c r="Q271" s="7">
        <f t="shared" si="44"/>
        <v>0</v>
      </c>
      <c r="R271" t="str">
        <f t="shared" si="50"/>
        <v>PAID</v>
      </c>
      <c r="S271" s="3"/>
      <c r="T271" s="9">
        <f t="shared" si="51"/>
        <v>35000</v>
      </c>
      <c r="U271" t="str">
        <f t="shared" si="52"/>
        <v>OK</v>
      </c>
      <c r="V271" s="10">
        <f t="shared" si="53"/>
        <v>0</v>
      </c>
      <c r="W271" t="str">
        <f t="shared" si="54"/>
        <v>OK</v>
      </c>
      <c r="X271" s="3" t="s">
        <v>28</v>
      </c>
      <c r="Y271" t="s">
        <v>29</v>
      </c>
    </row>
    <row r="272" spans="1:25" x14ac:dyDescent="0.2">
      <c r="A272" t="str">
        <f t="shared" si="45"/>
        <v>TRIP-320</v>
      </c>
      <c r="B272" s="2">
        <v>45807</v>
      </c>
      <c r="C272" s="3" t="str">
        <f>_xlfn.XLOOKUP(D272,'[1]Jan Customer Duplicate Hyva'!$B:$B,'[1]Jan Customer Duplicate Hyva'!$A:$A,"NOT FOUND")</f>
        <v>CUST-323</v>
      </c>
      <c r="D272" s="3" t="s">
        <v>51</v>
      </c>
      <c r="E272" s="11" t="s">
        <v>30</v>
      </c>
      <c r="F272" s="5" t="str">
        <f t="shared" si="46"/>
        <v>Ravi</v>
      </c>
      <c r="G272" s="5" t="str">
        <f t="shared" si="47"/>
        <v/>
      </c>
      <c r="H272" s="5" t="str">
        <f t="shared" si="48"/>
        <v/>
      </c>
      <c r="I272" s="5" t="str">
        <f>_xlfn.XLOOKUP(F272,'[1]Jan Labour Nd Drivers Hyva'!$B:$B,'[2]Jan Labour Nd Drivers Hyva'!$A:$A,"NOT FOUND")</f>
        <v>LAB-003</v>
      </c>
      <c r="J272" s="5" t="str">
        <f>IF(G272="","",_xlfn.XLOOKUP(G272,'[3]Jan Labour Nd Drivers Hyva'!$B:$B,'[2]Jan Labour Nd Drivers Hyva'!$A:$A,"NOT FOUND"))</f>
        <v/>
      </c>
      <c r="K272" s="5" t="str">
        <f>IF(H272="","",_xlfn.XLOOKUP(H272,'[2]Jan Labour Nd Drivers Hyva'!$B:$B,'[2]Jan Labour Nd Drivers Hyva'!$A:$A,"NOT FOUND"))</f>
        <v/>
      </c>
      <c r="L272" s="11" t="s">
        <v>41</v>
      </c>
      <c r="M272" s="12">
        <v>1</v>
      </c>
      <c r="N272" s="13">
        <v>35000</v>
      </c>
      <c r="O272" s="8">
        <f t="shared" si="49"/>
        <v>35000</v>
      </c>
      <c r="P272" s="13"/>
      <c r="Q272" s="7">
        <f t="shared" si="44"/>
        <v>35000</v>
      </c>
      <c r="R272" t="str">
        <f t="shared" si="50"/>
        <v>UNPAID</v>
      </c>
      <c r="S272" s="3"/>
      <c r="T272" s="9">
        <f t="shared" si="51"/>
        <v>35000</v>
      </c>
      <c r="U272" t="str">
        <f t="shared" si="52"/>
        <v>OK</v>
      </c>
      <c r="V272" s="10">
        <f t="shared" si="53"/>
        <v>35000</v>
      </c>
      <c r="W272" t="str">
        <f t="shared" si="54"/>
        <v>OK</v>
      </c>
      <c r="X272" s="3" t="s">
        <v>28</v>
      </c>
      <c r="Y272" t="s">
        <v>29</v>
      </c>
    </row>
    <row r="273" spans="1:25" x14ac:dyDescent="0.2">
      <c r="A273" t="str">
        <f t="shared" si="45"/>
        <v>TRIP-321</v>
      </c>
      <c r="B273" s="2">
        <v>45807</v>
      </c>
      <c r="C273" s="3" t="str">
        <f>_xlfn.XLOOKUP(D273,'[1]Jan Customer Duplicate Hyva'!$B:$B,'[1]Jan Customer Duplicate Hyva'!$A:$A,"NOT FOUND")</f>
        <v>CUST-382</v>
      </c>
      <c r="D273" s="11" t="s">
        <v>102</v>
      </c>
      <c r="E273" s="11" t="s">
        <v>26</v>
      </c>
      <c r="F273" s="5" t="str">
        <f t="shared" si="46"/>
        <v>Anshu</v>
      </c>
      <c r="G273" s="5" t="str">
        <f t="shared" si="47"/>
        <v/>
      </c>
      <c r="H273" s="5" t="str">
        <f t="shared" si="48"/>
        <v/>
      </c>
      <c r="I273" s="5" t="str">
        <f>_xlfn.XLOOKUP(F273,'[1]Jan Labour Nd Drivers Hyva'!$B:$B,'[2]Jan Labour Nd Drivers Hyva'!$A:$A,"NOT FOUND")</f>
        <v>LAB-002</v>
      </c>
      <c r="J273" s="5" t="str">
        <f>IF(G273="","",_xlfn.XLOOKUP(G273,'[3]Jan Labour Nd Drivers Hyva'!$B:$B,'[2]Jan Labour Nd Drivers Hyva'!$A:$A,"NOT FOUND"))</f>
        <v/>
      </c>
      <c r="K273" s="5" t="str">
        <f>IF(H273="","",_xlfn.XLOOKUP(H273,'[2]Jan Labour Nd Drivers Hyva'!$B:$B,'[2]Jan Labour Nd Drivers Hyva'!$A:$A,"NOT FOUND"))</f>
        <v/>
      </c>
      <c r="L273" s="11" t="s">
        <v>63</v>
      </c>
      <c r="M273" s="12">
        <v>1</v>
      </c>
      <c r="N273" s="13">
        <v>31000</v>
      </c>
      <c r="O273" s="8">
        <f t="shared" si="49"/>
        <v>31000</v>
      </c>
      <c r="P273" s="13">
        <v>31000</v>
      </c>
      <c r="Q273" s="7">
        <f t="shared" si="44"/>
        <v>0</v>
      </c>
      <c r="R273" t="str">
        <f t="shared" si="50"/>
        <v>PAID</v>
      </c>
      <c r="S273" s="3"/>
      <c r="T273" s="9">
        <f t="shared" si="51"/>
        <v>31000</v>
      </c>
      <c r="U273" t="str">
        <f t="shared" si="52"/>
        <v>OK</v>
      </c>
      <c r="V273" s="10">
        <f t="shared" si="53"/>
        <v>0</v>
      </c>
      <c r="W273" t="str">
        <f t="shared" si="54"/>
        <v>OK</v>
      </c>
      <c r="X273" s="3" t="s">
        <v>28</v>
      </c>
      <c r="Y273" t="s">
        <v>29</v>
      </c>
    </row>
    <row r="274" spans="1:25" x14ac:dyDescent="0.2">
      <c r="A274" t="str">
        <f t="shared" si="45"/>
        <v>TRIP-322</v>
      </c>
      <c r="B274" s="2">
        <v>45807</v>
      </c>
      <c r="C274" s="3" t="str">
        <f>_xlfn.XLOOKUP(D274,'[1]Jan Customer Duplicate Hyva'!$B:$B,'[1]Jan Customer Duplicate Hyva'!$A:$A,"NOT FOUND")</f>
        <v>CUST-323</v>
      </c>
      <c r="D274" s="3" t="s">
        <v>51</v>
      </c>
      <c r="E274" s="11" t="s">
        <v>30</v>
      </c>
      <c r="F274" s="5" t="str">
        <f t="shared" si="46"/>
        <v>Ravi</v>
      </c>
      <c r="G274" s="5" t="str">
        <f t="shared" si="47"/>
        <v/>
      </c>
      <c r="H274" s="5" t="str">
        <f t="shared" si="48"/>
        <v/>
      </c>
      <c r="I274" s="5" t="str">
        <f>_xlfn.XLOOKUP(F274,'[1]Jan Labour Nd Drivers Hyva'!$B:$B,'[2]Jan Labour Nd Drivers Hyva'!$A:$A,"NOT FOUND")</f>
        <v>LAB-003</v>
      </c>
      <c r="J274" s="5" t="str">
        <f>IF(G274="","",_xlfn.XLOOKUP(G274,'[3]Jan Labour Nd Drivers Hyva'!$B:$B,'[2]Jan Labour Nd Drivers Hyva'!$A:$A,"NOT FOUND"))</f>
        <v/>
      </c>
      <c r="K274" s="5" t="str">
        <f>IF(H274="","",_xlfn.XLOOKUP(H274,'[2]Jan Labour Nd Drivers Hyva'!$B:$B,'[2]Jan Labour Nd Drivers Hyva'!$A:$A,"NOT FOUND"))</f>
        <v/>
      </c>
      <c r="L274" s="11" t="s">
        <v>41</v>
      </c>
      <c r="M274" s="12">
        <v>1</v>
      </c>
      <c r="N274" s="13">
        <v>35000</v>
      </c>
      <c r="O274" s="8">
        <f t="shared" si="49"/>
        <v>35000</v>
      </c>
      <c r="P274" s="13"/>
      <c r="Q274" s="7">
        <f t="shared" si="44"/>
        <v>35000</v>
      </c>
      <c r="R274" t="str">
        <f t="shared" si="50"/>
        <v>UNPAID</v>
      </c>
      <c r="S274" s="3"/>
      <c r="T274" s="9">
        <f t="shared" si="51"/>
        <v>35000</v>
      </c>
      <c r="U274" t="str">
        <f t="shared" si="52"/>
        <v>OK</v>
      </c>
      <c r="V274" s="10">
        <f t="shared" si="53"/>
        <v>35000</v>
      </c>
      <c r="W274" t="str">
        <f t="shared" si="54"/>
        <v>OK</v>
      </c>
      <c r="X274" s="3" t="s">
        <v>28</v>
      </c>
      <c r="Y274" t="s">
        <v>29</v>
      </c>
    </row>
    <row r="275" spans="1:25" x14ac:dyDescent="0.2">
      <c r="A275" t="str">
        <f t="shared" si="45"/>
        <v>TRIP-323</v>
      </c>
      <c r="B275" s="2">
        <v>45807</v>
      </c>
      <c r="C275" s="3" t="str">
        <f>_xlfn.XLOOKUP(D275,'[1]Jan Customer Duplicate Hyva'!$B:$B,'[1]Jan Customer Duplicate Hyva'!$A:$A,"NOT FOUND")</f>
        <v>CUST-323</v>
      </c>
      <c r="D275" s="3" t="s">
        <v>51</v>
      </c>
      <c r="E275" s="11" t="s">
        <v>26</v>
      </c>
      <c r="F275" s="5" t="str">
        <f t="shared" si="46"/>
        <v>Anshu</v>
      </c>
      <c r="G275" s="5" t="str">
        <f t="shared" si="47"/>
        <v/>
      </c>
      <c r="H275" s="5" t="str">
        <f t="shared" si="48"/>
        <v/>
      </c>
      <c r="I275" s="5" t="str">
        <f>_xlfn.XLOOKUP(F275,'[1]Jan Labour Nd Drivers Hyva'!$B:$B,'[2]Jan Labour Nd Drivers Hyva'!$A:$A,"NOT FOUND")</f>
        <v>LAB-002</v>
      </c>
      <c r="J275" s="5" t="str">
        <f>IF(G275="","",_xlfn.XLOOKUP(G275,'[3]Jan Labour Nd Drivers Hyva'!$B:$B,'[2]Jan Labour Nd Drivers Hyva'!$A:$A,"NOT FOUND"))</f>
        <v/>
      </c>
      <c r="K275" s="5" t="str">
        <f>IF(H275="","",_xlfn.XLOOKUP(H275,'[2]Jan Labour Nd Drivers Hyva'!$B:$B,'[2]Jan Labour Nd Drivers Hyva'!$A:$A,"NOT FOUND"))</f>
        <v/>
      </c>
      <c r="L275" s="11" t="s">
        <v>41</v>
      </c>
      <c r="M275" s="12">
        <v>1</v>
      </c>
      <c r="N275" s="13">
        <v>35000</v>
      </c>
      <c r="O275" s="8">
        <f t="shared" si="49"/>
        <v>35000</v>
      </c>
      <c r="P275" s="13"/>
      <c r="Q275" s="7">
        <f t="shared" si="44"/>
        <v>35000</v>
      </c>
      <c r="R275" t="str">
        <f t="shared" si="50"/>
        <v>UNPAID</v>
      </c>
      <c r="S275" s="3"/>
      <c r="T275" s="9">
        <f t="shared" si="51"/>
        <v>35000</v>
      </c>
      <c r="U275" t="str">
        <f t="shared" si="52"/>
        <v>OK</v>
      </c>
      <c r="V275" s="10">
        <f t="shared" si="53"/>
        <v>35000</v>
      </c>
      <c r="W275" t="str">
        <f t="shared" si="54"/>
        <v>OK</v>
      </c>
      <c r="X275" s="3" t="s">
        <v>28</v>
      </c>
      <c r="Y275" t="s">
        <v>29</v>
      </c>
    </row>
    <row r="276" spans="1:25" x14ac:dyDescent="0.2">
      <c r="A276" t="str">
        <f t="shared" si="45"/>
        <v>TRIP-324</v>
      </c>
      <c r="B276" s="2">
        <v>45807</v>
      </c>
      <c r="C276" s="3" t="str">
        <f>_xlfn.XLOOKUP(D276,'[1]Jan Customer Duplicate Hyva'!$B:$B,'[1]Jan Customer Duplicate Hyva'!$A:$A,"NOT FOUND")</f>
        <v>CUST-118</v>
      </c>
      <c r="D276" s="11" t="s">
        <v>226</v>
      </c>
      <c r="E276" s="11" t="s">
        <v>30</v>
      </c>
      <c r="F276" s="5" t="str">
        <f t="shared" si="46"/>
        <v>Ravi</v>
      </c>
      <c r="G276" s="5" t="str">
        <f t="shared" si="47"/>
        <v/>
      </c>
      <c r="H276" s="5" t="str">
        <f t="shared" si="48"/>
        <v/>
      </c>
      <c r="I276" s="5" t="str">
        <f>_xlfn.XLOOKUP(F276,'[1]Jan Labour Nd Drivers Hyva'!$B:$B,'[2]Jan Labour Nd Drivers Hyva'!$A:$A,"NOT FOUND")</f>
        <v>LAB-003</v>
      </c>
      <c r="J276" s="5" t="str">
        <f>IF(G276="","",_xlfn.XLOOKUP(G276,'[3]Jan Labour Nd Drivers Hyva'!$B:$B,'[2]Jan Labour Nd Drivers Hyva'!$A:$A,"NOT FOUND"))</f>
        <v/>
      </c>
      <c r="K276" s="5" t="str">
        <f>IF(H276="","",_xlfn.XLOOKUP(H276,'[2]Jan Labour Nd Drivers Hyva'!$B:$B,'[2]Jan Labour Nd Drivers Hyva'!$A:$A,"NOT FOUND"))</f>
        <v/>
      </c>
      <c r="L276" s="11" t="s">
        <v>41</v>
      </c>
      <c r="M276" s="12">
        <v>1</v>
      </c>
      <c r="N276" s="13">
        <v>35000</v>
      </c>
      <c r="O276" s="8">
        <f t="shared" si="49"/>
        <v>35000</v>
      </c>
      <c r="P276" s="13">
        <v>35000</v>
      </c>
      <c r="Q276" s="7">
        <f t="shared" si="44"/>
        <v>0</v>
      </c>
      <c r="R276" t="str">
        <f t="shared" si="50"/>
        <v>PAID</v>
      </c>
      <c r="S276" s="3"/>
      <c r="T276" s="9">
        <f t="shared" si="51"/>
        <v>35000</v>
      </c>
      <c r="U276" t="str">
        <f t="shared" si="52"/>
        <v>OK</v>
      </c>
      <c r="V276" s="10">
        <f t="shared" si="53"/>
        <v>0</v>
      </c>
      <c r="W276" t="str">
        <f t="shared" si="54"/>
        <v>OK</v>
      </c>
      <c r="X276" s="3" t="s">
        <v>28</v>
      </c>
      <c r="Y276" t="s">
        <v>29</v>
      </c>
    </row>
    <row r="277" spans="1:25" x14ac:dyDescent="0.2">
      <c r="A277" t="str">
        <f t="shared" si="45"/>
        <v>TRIP-325</v>
      </c>
      <c r="B277" s="2">
        <v>45808</v>
      </c>
      <c r="C277" s="3" t="str">
        <f>_xlfn.XLOOKUP(D277,'[1]Jan Customer Duplicate Hyva'!$B:$B,'[1]Jan Customer Duplicate Hyva'!$A:$A,"NOT FOUND")</f>
        <v>CUST-180</v>
      </c>
      <c r="D277" s="11" t="s">
        <v>42</v>
      </c>
      <c r="E277" s="11" t="s">
        <v>26</v>
      </c>
      <c r="F277" s="5" t="str">
        <f t="shared" si="46"/>
        <v>Anshu</v>
      </c>
      <c r="G277" s="5" t="str">
        <f t="shared" si="47"/>
        <v/>
      </c>
      <c r="H277" s="5" t="str">
        <f t="shared" si="48"/>
        <v/>
      </c>
      <c r="I277" s="5" t="str">
        <f>_xlfn.XLOOKUP(F277,'[1]Jan Labour Nd Drivers Hyva'!$B:$B,'[2]Jan Labour Nd Drivers Hyva'!$A:$A,"NOT FOUND")</f>
        <v>LAB-002</v>
      </c>
      <c r="J277" s="5" t="str">
        <f>IF(G277="","",_xlfn.XLOOKUP(G277,'[3]Jan Labour Nd Drivers Hyva'!$B:$B,'[2]Jan Labour Nd Drivers Hyva'!$A:$A,"NOT FOUND"))</f>
        <v/>
      </c>
      <c r="K277" s="5" t="str">
        <f>IF(H277="","",_xlfn.XLOOKUP(H277,'[2]Jan Labour Nd Drivers Hyva'!$B:$B,'[2]Jan Labour Nd Drivers Hyva'!$A:$A,"NOT FOUND"))</f>
        <v/>
      </c>
      <c r="L277" s="11" t="s">
        <v>234</v>
      </c>
      <c r="M277" s="12">
        <v>1</v>
      </c>
      <c r="N277" s="13">
        <v>28000</v>
      </c>
      <c r="O277" s="8">
        <f t="shared" si="49"/>
        <v>28000</v>
      </c>
      <c r="P277" s="13">
        <v>28000</v>
      </c>
      <c r="Q277" s="7">
        <f t="shared" si="44"/>
        <v>0</v>
      </c>
      <c r="R277" t="str">
        <f t="shared" si="50"/>
        <v>PAID</v>
      </c>
      <c r="S277" s="3"/>
      <c r="T277" s="9">
        <f t="shared" si="51"/>
        <v>28000</v>
      </c>
      <c r="U277" t="str">
        <f t="shared" si="52"/>
        <v>OK</v>
      </c>
      <c r="V277" s="10">
        <f t="shared" si="53"/>
        <v>0</v>
      </c>
      <c r="W277" t="str">
        <f t="shared" si="54"/>
        <v>OK</v>
      </c>
      <c r="X277" s="3" t="s">
        <v>28</v>
      </c>
      <c r="Y277" t="s">
        <v>29</v>
      </c>
    </row>
    <row r="278" spans="1:25" x14ac:dyDescent="0.2">
      <c r="A278" t="str">
        <f t="shared" si="45"/>
        <v>TRIP-326</v>
      </c>
      <c r="B278" s="2">
        <v>45808</v>
      </c>
      <c r="C278" s="3" t="str">
        <f>_xlfn.XLOOKUP(D278,'[1]Jan Customer Duplicate Hyva'!$B:$B,'[1]Jan Customer Duplicate Hyva'!$A:$A,"NOT FOUND")</f>
        <v>CUST-180</v>
      </c>
      <c r="D278" s="11" t="s">
        <v>42</v>
      </c>
      <c r="E278" s="11" t="s">
        <v>30</v>
      </c>
      <c r="F278" s="5" t="str">
        <f t="shared" si="46"/>
        <v>Ravi</v>
      </c>
      <c r="G278" s="5" t="str">
        <f t="shared" si="47"/>
        <v/>
      </c>
      <c r="H278" s="5" t="str">
        <f t="shared" si="48"/>
        <v/>
      </c>
      <c r="I278" s="5" t="str">
        <f>_xlfn.XLOOKUP(F278,'[1]Jan Labour Nd Drivers Hyva'!$B:$B,'[2]Jan Labour Nd Drivers Hyva'!$A:$A,"NOT FOUND")</f>
        <v>LAB-003</v>
      </c>
      <c r="J278" s="5" t="str">
        <f>IF(G278="","",_xlfn.XLOOKUP(G278,'[3]Jan Labour Nd Drivers Hyva'!$B:$B,'[2]Jan Labour Nd Drivers Hyva'!$A:$A,"NOT FOUND"))</f>
        <v/>
      </c>
      <c r="K278" s="5" t="str">
        <f>IF(H278="","",_xlfn.XLOOKUP(H278,'[2]Jan Labour Nd Drivers Hyva'!$B:$B,'[2]Jan Labour Nd Drivers Hyva'!$A:$A,"NOT FOUND"))</f>
        <v/>
      </c>
      <c r="L278" s="11" t="s">
        <v>234</v>
      </c>
      <c r="M278" s="12">
        <v>1</v>
      </c>
      <c r="N278" s="13">
        <v>28000</v>
      </c>
      <c r="O278" s="8">
        <f t="shared" si="49"/>
        <v>28000</v>
      </c>
      <c r="P278" s="13">
        <v>28000</v>
      </c>
      <c r="Q278" s="7">
        <f t="shared" si="44"/>
        <v>0</v>
      </c>
      <c r="R278" t="str">
        <f t="shared" si="50"/>
        <v>PAID</v>
      </c>
      <c r="S278" s="3"/>
      <c r="T278" s="9">
        <f t="shared" si="51"/>
        <v>28000</v>
      </c>
      <c r="U278" t="str">
        <f t="shared" si="52"/>
        <v>OK</v>
      </c>
      <c r="V278" s="10">
        <f t="shared" si="53"/>
        <v>0</v>
      </c>
      <c r="W278" t="str">
        <f t="shared" si="54"/>
        <v>OK</v>
      </c>
      <c r="X278" s="3" t="s">
        <v>28</v>
      </c>
      <c r="Y278" t="s">
        <v>29</v>
      </c>
    </row>
    <row r="279" spans="1:25" x14ac:dyDescent="0.2">
      <c r="A279" t="str">
        <f t="shared" si="45"/>
        <v>TRIP-327</v>
      </c>
      <c r="B279" s="2">
        <v>45808</v>
      </c>
      <c r="C279" s="3" t="str">
        <f>_xlfn.XLOOKUP(D279,'[1]Jan Customer Duplicate Hyva'!$B:$B,'[1]Jan Customer Duplicate Hyva'!$A:$A,"NOT FOUND")</f>
        <v>CUST-323</v>
      </c>
      <c r="D279" s="3" t="s">
        <v>51</v>
      </c>
      <c r="E279" s="11" t="s">
        <v>30</v>
      </c>
      <c r="F279" s="5" t="str">
        <f t="shared" si="46"/>
        <v>Ravi</v>
      </c>
      <c r="G279" s="5" t="str">
        <f t="shared" si="47"/>
        <v/>
      </c>
      <c r="H279" s="5" t="str">
        <f t="shared" si="48"/>
        <v/>
      </c>
      <c r="I279" s="5" t="str">
        <f>_xlfn.XLOOKUP(F279,'[1]Jan Labour Nd Drivers Hyva'!$B:$B,'[2]Jan Labour Nd Drivers Hyva'!$A:$A,"NOT FOUND")</f>
        <v>LAB-003</v>
      </c>
      <c r="J279" s="5" t="str">
        <f>IF(G279="","",_xlfn.XLOOKUP(G279,'[3]Jan Labour Nd Drivers Hyva'!$B:$B,'[2]Jan Labour Nd Drivers Hyva'!$A:$A,"NOT FOUND"))</f>
        <v/>
      </c>
      <c r="K279" s="5" t="str">
        <f>IF(H279="","",_xlfn.XLOOKUP(H279,'[2]Jan Labour Nd Drivers Hyva'!$B:$B,'[2]Jan Labour Nd Drivers Hyva'!$A:$A,"NOT FOUND"))</f>
        <v/>
      </c>
      <c r="L279" s="11" t="s">
        <v>235</v>
      </c>
      <c r="M279" s="12">
        <v>1</v>
      </c>
      <c r="N279" s="13">
        <v>40000</v>
      </c>
      <c r="O279" s="8">
        <f t="shared" si="49"/>
        <v>40000</v>
      </c>
      <c r="P279" s="13">
        <v>40000</v>
      </c>
      <c r="Q279" s="7">
        <f t="shared" si="44"/>
        <v>0</v>
      </c>
      <c r="R279" t="str">
        <f t="shared" si="50"/>
        <v>PAID</v>
      </c>
      <c r="S279" s="3"/>
      <c r="T279" s="9">
        <f t="shared" si="51"/>
        <v>40000</v>
      </c>
      <c r="U279" t="str">
        <f t="shared" si="52"/>
        <v>OK</v>
      </c>
      <c r="V279" s="10">
        <f t="shared" si="53"/>
        <v>0</v>
      </c>
      <c r="W279" t="str">
        <f t="shared" si="54"/>
        <v>OK</v>
      </c>
      <c r="X279" s="3" t="s">
        <v>28</v>
      </c>
      <c r="Y279" t="s">
        <v>29</v>
      </c>
    </row>
    <row r="280" spans="1:25" x14ac:dyDescent="0.2">
      <c r="A280" t="str">
        <f t="shared" si="45"/>
        <v>TRIP-328</v>
      </c>
      <c r="B280" s="2">
        <v>45809</v>
      </c>
      <c r="C280" s="3" t="str">
        <f>_xlfn.XLOOKUP(D280,'[1]Jan Customer Duplicate Hyva'!$B:$B,'[1]Jan Customer Duplicate Hyva'!$A:$A,"NOT FOUND")</f>
        <v>CUST-172</v>
      </c>
      <c r="D280" s="3" t="s">
        <v>54</v>
      </c>
      <c r="E280" s="11" t="s">
        <v>80</v>
      </c>
      <c r="F280" s="5" t="str">
        <f t="shared" si="46"/>
        <v>Anshu</v>
      </c>
      <c r="G280" s="5" t="str">
        <f t="shared" si="47"/>
        <v>Ravi</v>
      </c>
      <c r="H280" s="5" t="str">
        <f t="shared" si="48"/>
        <v/>
      </c>
      <c r="I280" s="5" t="str">
        <f>_xlfn.XLOOKUP(F280,'[1]Jan Labour Nd Drivers Hyva'!$B:$B,'[2]Jan Labour Nd Drivers Hyva'!$A:$A,"NOT FOUND")</f>
        <v>LAB-002</v>
      </c>
      <c r="J280" s="5" t="str">
        <f>IF(G280="","",_xlfn.XLOOKUP(G280,'[3]Jan Labour Nd Drivers Hyva'!$B:$B,'[2]Jan Labour Nd Drivers Hyva'!$A:$A,"NOT FOUND"))</f>
        <v>LAB-003</v>
      </c>
      <c r="K280" s="5" t="str">
        <f>IF(H280="","",_xlfn.XLOOKUP(H280,'[2]Jan Labour Nd Drivers Hyva'!$B:$B,'[2]Jan Labour Nd Drivers Hyva'!$A:$A,"NOT FOUND"))</f>
        <v/>
      </c>
      <c r="L280" s="11" t="s">
        <v>56</v>
      </c>
      <c r="M280" s="12">
        <v>2</v>
      </c>
      <c r="N280" s="13">
        <v>31000</v>
      </c>
      <c r="O280" s="8">
        <f t="shared" si="49"/>
        <v>62000</v>
      </c>
      <c r="P280" s="13"/>
      <c r="Q280" s="7">
        <f t="shared" si="44"/>
        <v>62000</v>
      </c>
      <c r="R280" t="str">
        <f t="shared" si="50"/>
        <v>UNPAID</v>
      </c>
      <c r="S280" s="3"/>
      <c r="T280" s="9">
        <f t="shared" si="51"/>
        <v>62000</v>
      </c>
      <c r="U280" t="str">
        <f t="shared" si="52"/>
        <v>OK</v>
      </c>
      <c r="V280" s="10">
        <f t="shared" si="53"/>
        <v>62000</v>
      </c>
      <c r="W280" t="str">
        <f t="shared" si="54"/>
        <v>OK</v>
      </c>
      <c r="X280" s="3" t="s">
        <v>28</v>
      </c>
      <c r="Y280" t="s">
        <v>29</v>
      </c>
    </row>
    <row r="281" spans="1:25" x14ac:dyDescent="0.2">
      <c r="A281" t="str">
        <f t="shared" si="45"/>
        <v>TRIP-329</v>
      </c>
      <c r="B281" s="2">
        <v>45809</v>
      </c>
      <c r="C281" s="3" t="str">
        <f>_xlfn.XLOOKUP(D281,'[1]Jan Customer Duplicate Hyva'!$B:$B,'[1]Jan Customer Duplicate Hyva'!$A:$A,"NOT FOUND")</f>
        <v>CUST-279</v>
      </c>
      <c r="D281" s="11" t="s">
        <v>236</v>
      </c>
      <c r="E281" s="11" t="s">
        <v>30</v>
      </c>
      <c r="F281" s="5" t="str">
        <f t="shared" si="46"/>
        <v>Ravi</v>
      </c>
      <c r="G281" s="5" t="str">
        <f t="shared" si="47"/>
        <v/>
      </c>
      <c r="H281" s="5" t="str">
        <f t="shared" si="48"/>
        <v/>
      </c>
      <c r="I281" s="5" t="str">
        <f>_xlfn.XLOOKUP(F281,'[1]Jan Labour Nd Drivers Hyva'!$B:$B,'[2]Jan Labour Nd Drivers Hyva'!$A:$A,"NOT FOUND")</f>
        <v>LAB-003</v>
      </c>
      <c r="J281" s="5" t="str">
        <f>IF(G281="","",_xlfn.XLOOKUP(G281,'[3]Jan Labour Nd Drivers Hyva'!$B:$B,'[2]Jan Labour Nd Drivers Hyva'!$A:$A,"NOT FOUND"))</f>
        <v/>
      </c>
      <c r="K281" s="5" t="str">
        <f>IF(H281="","",_xlfn.XLOOKUP(H281,'[2]Jan Labour Nd Drivers Hyva'!$B:$B,'[2]Jan Labour Nd Drivers Hyva'!$A:$A,"NOT FOUND"))</f>
        <v/>
      </c>
      <c r="L281" s="11" t="s">
        <v>56</v>
      </c>
      <c r="M281" s="12">
        <v>1</v>
      </c>
      <c r="N281" s="13">
        <v>30000</v>
      </c>
      <c r="O281" s="8">
        <f t="shared" si="49"/>
        <v>30000</v>
      </c>
      <c r="P281" s="13">
        <v>30000</v>
      </c>
      <c r="Q281" s="7">
        <f t="shared" si="44"/>
        <v>0</v>
      </c>
      <c r="R281" t="str">
        <f t="shared" si="50"/>
        <v>PAID</v>
      </c>
      <c r="S281" s="3"/>
      <c r="T281" s="9">
        <f t="shared" si="51"/>
        <v>30000</v>
      </c>
      <c r="U281" t="str">
        <f t="shared" si="52"/>
        <v>OK</v>
      </c>
      <c r="V281" s="10">
        <f t="shared" si="53"/>
        <v>0</v>
      </c>
      <c r="W281" t="str">
        <f t="shared" si="54"/>
        <v>OK</v>
      </c>
      <c r="X281" s="3" t="s">
        <v>28</v>
      </c>
      <c r="Y281" t="s">
        <v>29</v>
      </c>
    </row>
    <row r="282" spans="1:25" x14ac:dyDescent="0.2">
      <c r="A282" t="str">
        <f t="shared" si="45"/>
        <v>TRIP-330</v>
      </c>
      <c r="B282" s="2">
        <v>45809</v>
      </c>
      <c r="C282" s="3" t="str">
        <f>_xlfn.XLOOKUP(D282,'[1]Jan Customer Duplicate Hyva'!$B:$B,'[1]Jan Customer Duplicate Hyva'!$A:$A,"NOT FOUND")</f>
        <v>CUST-118</v>
      </c>
      <c r="D282" s="11" t="s">
        <v>226</v>
      </c>
      <c r="E282" s="11" t="s">
        <v>30</v>
      </c>
      <c r="F282" s="5" t="str">
        <f t="shared" si="46"/>
        <v>Ravi</v>
      </c>
      <c r="G282" s="5" t="str">
        <f t="shared" si="47"/>
        <v/>
      </c>
      <c r="H282" s="5" t="str">
        <f t="shared" si="48"/>
        <v/>
      </c>
      <c r="I282" s="5" t="str">
        <f>_xlfn.XLOOKUP(F282,'[1]Jan Labour Nd Drivers Hyva'!$B:$B,'[2]Jan Labour Nd Drivers Hyva'!$A:$A,"NOT FOUND")</f>
        <v>LAB-003</v>
      </c>
      <c r="J282" s="5" t="str">
        <f>IF(G282="","",_xlfn.XLOOKUP(G282,'[3]Jan Labour Nd Drivers Hyva'!$B:$B,'[2]Jan Labour Nd Drivers Hyva'!$A:$A,"NOT FOUND"))</f>
        <v/>
      </c>
      <c r="K282" s="5" t="str">
        <f>IF(H282="","",_xlfn.XLOOKUP(H282,'[2]Jan Labour Nd Drivers Hyva'!$B:$B,'[2]Jan Labour Nd Drivers Hyva'!$A:$A,"NOT FOUND"))</f>
        <v/>
      </c>
      <c r="L282" s="11" t="s">
        <v>41</v>
      </c>
      <c r="M282" s="12">
        <v>1</v>
      </c>
      <c r="N282" s="13">
        <v>35000</v>
      </c>
      <c r="O282" s="8">
        <f t="shared" si="49"/>
        <v>35000</v>
      </c>
      <c r="P282" s="13">
        <v>35000</v>
      </c>
      <c r="Q282" s="7">
        <f t="shared" si="44"/>
        <v>0</v>
      </c>
      <c r="R282" t="str">
        <f t="shared" si="50"/>
        <v>PAID</v>
      </c>
      <c r="S282" s="3"/>
      <c r="T282" s="9">
        <f t="shared" si="51"/>
        <v>35000</v>
      </c>
      <c r="U282" t="str">
        <f t="shared" si="52"/>
        <v>OK</v>
      </c>
      <c r="V282" s="10">
        <f t="shared" si="53"/>
        <v>0</v>
      </c>
      <c r="W282" t="str">
        <f t="shared" si="54"/>
        <v>OK</v>
      </c>
      <c r="X282" s="3" t="s">
        <v>28</v>
      </c>
      <c r="Y282" t="s">
        <v>29</v>
      </c>
    </row>
    <row r="283" spans="1:25" x14ac:dyDescent="0.2">
      <c r="A283" t="str">
        <f t="shared" si="45"/>
        <v>TRIP-331</v>
      </c>
      <c r="B283" s="2">
        <v>45810</v>
      </c>
      <c r="C283" s="3" t="str">
        <f>_xlfn.XLOOKUP(D283,'[1]Jan Customer Duplicate Hyva'!$B:$B,'[1]Jan Customer Duplicate Hyva'!$A:$A,"NOT FOUND")</f>
        <v>CUST-172</v>
      </c>
      <c r="D283" s="3" t="s">
        <v>54</v>
      </c>
      <c r="E283" s="11" t="s">
        <v>80</v>
      </c>
      <c r="F283" s="5" t="str">
        <f t="shared" si="46"/>
        <v>Anshu</v>
      </c>
      <c r="G283" s="5" t="str">
        <f t="shared" si="47"/>
        <v>Ravi</v>
      </c>
      <c r="H283" s="5" t="str">
        <f t="shared" si="48"/>
        <v/>
      </c>
      <c r="I283" s="5" t="str">
        <f>_xlfn.XLOOKUP(F283,'[1]Jan Labour Nd Drivers Hyva'!$B:$B,'[2]Jan Labour Nd Drivers Hyva'!$A:$A,"NOT FOUND")</f>
        <v>LAB-002</v>
      </c>
      <c r="J283" s="5" t="str">
        <f>IF(G283="","",_xlfn.XLOOKUP(G283,'[3]Jan Labour Nd Drivers Hyva'!$B:$B,'[2]Jan Labour Nd Drivers Hyva'!$A:$A,"NOT FOUND"))</f>
        <v>LAB-003</v>
      </c>
      <c r="K283" s="5" t="str">
        <f>IF(H283="","",_xlfn.XLOOKUP(H283,'[2]Jan Labour Nd Drivers Hyva'!$B:$B,'[2]Jan Labour Nd Drivers Hyva'!$A:$A,"NOT FOUND"))</f>
        <v/>
      </c>
      <c r="L283" s="11" t="s">
        <v>56</v>
      </c>
      <c r="M283" s="12">
        <v>3</v>
      </c>
      <c r="N283" s="13">
        <v>31000</v>
      </c>
      <c r="O283" s="8">
        <f t="shared" si="49"/>
        <v>93000</v>
      </c>
      <c r="P283" s="13"/>
      <c r="Q283" s="7">
        <f t="shared" si="44"/>
        <v>93000</v>
      </c>
      <c r="R283" t="str">
        <f t="shared" si="50"/>
        <v>UNPAID</v>
      </c>
      <c r="S283" s="3"/>
      <c r="T283" s="9">
        <f t="shared" si="51"/>
        <v>93000</v>
      </c>
      <c r="U283" t="str">
        <f t="shared" si="52"/>
        <v>OK</v>
      </c>
      <c r="V283" s="10">
        <f t="shared" si="53"/>
        <v>93000</v>
      </c>
      <c r="W283" t="str">
        <f t="shared" si="54"/>
        <v>OK</v>
      </c>
      <c r="X283" s="3" t="s">
        <v>28</v>
      </c>
      <c r="Y283" t="s">
        <v>29</v>
      </c>
    </row>
    <row r="284" spans="1:25" x14ac:dyDescent="0.2">
      <c r="A284" t="str">
        <f t="shared" si="45"/>
        <v>TRIP-332</v>
      </c>
      <c r="B284" s="2">
        <v>45810</v>
      </c>
      <c r="C284" s="3" t="str">
        <f>_xlfn.XLOOKUP(D284,'[1]Jan Customer Duplicate Hyva'!$B:$B,'[1]Jan Customer Duplicate Hyva'!$A:$A,"NOT FOUND")</f>
        <v>NOT FOUND</v>
      </c>
      <c r="D284" s="11" t="s">
        <v>237</v>
      </c>
      <c r="E284" s="11" t="s">
        <v>30</v>
      </c>
      <c r="F284" s="5" t="str">
        <f t="shared" si="46"/>
        <v>Ravi</v>
      </c>
      <c r="G284" s="5" t="str">
        <f t="shared" si="47"/>
        <v/>
      </c>
      <c r="H284" s="5" t="str">
        <f t="shared" si="48"/>
        <v/>
      </c>
      <c r="I284" s="5" t="str">
        <f>_xlfn.XLOOKUP(F284,'[1]Jan Labour Nd Drivers Hyva'!$B:$B,'[2]Jan Labour Nd Drivers Hyva'!$A:$A,"NOT FOUND")</f>
        <v>LAB-003</v>
      </c>
      <c r="J284" s="5" t="str">
        <f>IF(G284="","",_xlfn.XLOOKUP(G284,'[3]Jan Labour Nd Drivers Hyva'!$B:$B,'[2]Jan Labour Nd Drivers Hyva'!$A:$A,"NOT FOUND"))</f>
        <v/>
      </c>
      <c r="K284" s="5" t="str">
        <f>IF(H284="","",_xlfn.XLOOKUP(H284,'[2]Jan Labour Nd Drivers Hyva'!$B:$B,'[2]Jan Labour Nd Drivers Hyva'!$A:$A,"NOT FOUND"))</f>
        <v/>
      </c>
      <c r="L284" s="11" t="s">
        <v>56</v>
      </c>
      <c r="M284" s="12">
        <v>1</v>
      </c>
      <c r="N284" s="13">
        <v>32000</v>
      </c>
      <c r="O284" s="8">
        <f t="shared" si="49"/>
        <v>32000</v>
      </c>
      <c r="P284" s="13">
        <v>32000</v>
      </c>
      <c r="Q284" s="7">
        <f t="shared" si="44"/>
        <v>0</v>
      </c>
      <c r="R284" t="str">
        <f t="shared" si="50"/>
        <v>PAID</v>
      </c>
      <c r="S284" s="3"/>
      <c r="T284" s="9">
        <f t="shared" si="51"/>
        <v>32000</v>
      </c>
      <c r="U284" t="str">
        <f t="shared" si="52"/>
        <v>OK</v>
      </c>
      <c r="V284" s="10">
        <f t="shared" si="53"/>
        <v>0</v>
      </c>
      <c r="W284" t="str">
        <f t="shared" si="54"/>
        <v>OK</v>
      </c>
      <c r="X284" s="3" t="s">
        <v>28</v>
      </c>
      <c r="Y284" t="s">
        <v>29</v>
      </c>
    </row>
    <row r="285" spans="1:25" x14ac:dyDescent="0.2">
      <c r="A285" t="str">
        <f t="shared" si="45"/>
        <v>TRIP-333</v>
      </c>
      <c r="B285" s="2">
        <v>45811</v>
      </c>
      <c r="C285" s="3" t="str">
        <f>_xlfn.XLOOKUP(D285,'[1]Jan Customer Duplicate Hyva'!$B:$B,'[1]Jan Customer Duplicate Hyva'!$A:$A,"NOT FOUND")</f>
        <v>CUST-171</v>
      </c>
      <c r="D285" s="11" t="s">
        <v>159</v>
      </c>
      <c r="E285" s="11" t="s">
        <v>26</v>
      </c>
      <c r="F285" s="5" t="str">
        <f t="shared" si="46"/>
        <v>Anshu</v>
      </c>
      <c r="G285" s="5" t="str">
        <f t="shared" si="47"/>
        <v/>
      </c>
      <c r="H285" s="5" t="str">
        <f t="shared" si="48"/>
        <v/>
      </c>
      <c r="I285" s="5" t="str">
        <f>_xlfn.XLOOKUP(F285,'[1]Jan Labour Nd Drivers Hyva'!$B:$B,'[2]Jan Labour Nd Drivers Hyva'!$A:$A,"NOT FOUND")</f>
        <v>LAB-002</v>
      </c>
      <c r="J285" s="5" t="str">
        <f>IF(G285="","",_xlfn.XLOOKUP(G285,'[3]Jan Labour Nd Drivers Hyva'!$B:$B,'[2]Jan Labour Nd Drivers Hyva'!$A:$A,"NOT FOUND"))</f>
        <v/>
      </c>
      <c r="K285" s="5" t="str">
        <f>IF(H285="","",_xlfn.XLOOKUP(H285,'[2]Jan Labour Nd Drivers Hyva'!$B:$B,'[2]Jan Labour Nd Drivers Hyva'!$A:$A,"NOT FOUND"))</f>
        <v/>
      </c>
      <c r="L285" s="11" t="s">
        <v>116</v>
      </c>
      <c r="M285" s="12">
        <v>1</v>
      </c>
      <c r="N285" s="13">
        <v>31000</v>
      </c>
      <c r="O285" s="8">
        <f t="shared" si="49"/>
        <v>31000</v>
      </c>
      <c r="P285" s="13">
        <v>31000</v>
      </c>
      <c r="Q285" s="7">
        <f t="shared" si="44"/>
        <v>0</v>
      </c>
      <c r="R285" t="str">
        <f t="shared" si="50"/>
        <v>PAID</v>
      </c>
      <c r="S285" s="3"/>
      <c r="T285" s="9">
        <f t="shared" si="51"/>
        <v>31000</v>
      </c>
      <c r="U285" t="str">
        <f t="shared" si="52"/>
        <v>OK</v>
      </c>
      <c r="V285" s="10">
        <f t="shared" si="53"/>
        <v>0</v>
      </c>
      <c r="W285" t="str">
        <f t="shared" si="54"/>
        <v>OK</v>
      </c>
      <c r="X285" s="3" t="s">
        <v>28</v>
      </c>
      <c r="Y285" t="s">
        <v>29</v>
      </c>
    </row>
    <row r="286" spans="1:25" x14ac:dyDescent="0.2">
      <c r="A286" t="str">
        <f t="shared" si="45"/>
        <v>TRIP-334</v>
      </c>
      <c r="B286" s="2">
        <v>45811</v>
      </c>
      <c r="C286" s="3" t="str">
        <f>_xlfn.XLOOKUP(D286,'[1]Jan Customer Duplicate Hyva'!$B:$B,'[1]Jan Customer Duplicate Hyva'!$A:$A,"NOT FOUND")</f>
        <v>CUST-037</v>
      </c>
      <c r="D286" s="11" t="s">
        <v>99</v>
      </c>
      <c r="E286" s="11" t="s">
        <v>26</v>
      </c>
      <c r="F286" s="5" t="str">
        <f t="shared" si="46"/>
        <v>Anshu</v>
      </c>
      <c r="G286" s="5" t="str">
        <f t="shared" si="47"/>
        <v/>
      </c>
      <c r="H286" s="5" t="str">
        <f t="shared" si="48"/>
        <v/>
      </c>
      <c r="I286" s="5" t="str">
        <f>_xlfn.XLOOKUP(F286,'[1]Jan Labour Nd Drivers Hyva'!$B:$B,'[2]Jan Labour Nd Drivers Hyva'!$A:$A,"NOT FOUND")</f>
        <v>LAB-002</v>
      </c>
      <c r="J286" s="5" t="str">
        <f>IF(G286="","",_xlfn.XLOOKUP(G286,'[3]Jan Labour Nd Drivers Hyva'!$B:$B,'[2]Jan Labour Nd Drivers Hyva'!$A:$A,"NOT FOUND"))</f>
        <v/>
      </c>
      <c r="K286" s="5" t="str">
        <f>IF(H286="","",_xlfn.XLOOKUP(H286,'[2]Jan Labour Nd Drivers Hyva'!$B:$B,'[2]Jan Labour Nd Drivers Hyva'!$A:$A,"NOT FOUND"))</f>
        <v/>
      </c>
      <c r="L286" s="11" t="s">
        <v>107</v>
      </c>
      <c r="M286" s="12">
        <v>1</v>
      </c>
      <c r="N286" s="13">
        <v>31000</v>
      </c>
      <c r="O286" s="8">
        <f t="shared" si="49"/>
        <v>31000</v>
      </c>
      <c r="P286" s="13"/>
      <c r="Q286" s="7">
        <f t="shared" si="44"/>
        <v>31000</v>
      </c>
      <c r="R286" t="str">
        <f t="shared" si="50"/>
        <v>UNPAID</v>
      </c>
      <c r="S286" s="3"/>
      <c r="T286" s="9">
        <f t="shared" si="51"/>
        <v>31000</v>
      </c>
      <c r="U286" t="str">
        <f t="shared" si="52"/>
        <v>OK</v>
      </c>
      <c r="V286" s="10">
        <f t="shared" si="53"/>
        <v>31000</v>
      </c>
      <c r="W286" t="str">
        <f t="shared" si="54"/>
        <v>OK</v>
      </c>
      <c r="X286" s="3" t="s">
        <v>28</v>
      </c>
      <c r="Y286" t="s">
        <v>29</v>
      </c>
    </row>
    <row r="287" spans="1:25" x14ac:dyDescent="0.2">
      <c r="A287" t="str">
        <f t="shared" si="45"/>
        <v>TRIP-335</v>
      </c>
      <c r="B287" s="2">
        <v>45811</v>
      </c>
      <c r="C287" s="3" t="str">
        <f>_xlfn.XLOOKUP(D287,'[1]Jan Customer Duplicate Hyva'!$B:$B,'[1]Jan Customer Duplicate Hyva'!$A:$A,"NOT FOUND")</f>
        <v>CUST-037</v>
      </c>
      <c r="D287" s="11" t="s">
        <v>99</v>
      </c>
      <c r="E287" s="11" t="s">
        <v>26</v>
      </c>
      <c r="F287" s="5" t="str">
        <f t="shared" si="46"/>
        <v>Anshu</v>
      </c>
      <c r="G287" s="5" t="str">
        <f t="shared" si="47"/>
        <v/>
      </c>
      <c r="H287" s="5" t="str">
        <f t="shared" si="48"/>
        <v/>
      </c>
      <c r="I287" s="5" t="str">
        <f>_xlfn.XLOOKUP(F287,'[1]Jan Labour Nd Drivers Hyva'!$B:$B,'[2]Jan Labour Nd Drivers Hyva'!$A:$A,"NOT FOUND")</f>
        <v>LAB-002</v>
      </c>
      <c r="J287" s="5" t="str">
        <f>IF(G287="","",_xlfn.XLOOKUP(G287,'[3]Jan Labour Nd Drivers Hyva'!$B:$B,'[2]Jan Labour Nd Drivers Hyva'!$A:$A,"NOT FOUND"))</f>
        <v/>
      </c>
      <c r="K287" s="5" t="str">
        <f>IF(H287="","",_xlfn.XLOOKUP(H287,'[2]Jan Labour Nd Drivers Hyva'!$B:$B,'[2]Jan Labour Nd Drivers Hyva'!$A:$A,"NOT FOUND"))</f>
        <v/>
      </c>
      <c r="L287" s="11" t="s">
        <v>114</v>
      </c>
      <c r="M287" s="12">
        <v>1</v>
      </c>
      <c r="N287" s="13">
        <v>31000</v>
      </c>
      <c r="O287" s="8">
        <f t="shared" si="49"/>
        <v>31000</v>
      </c>
      <c r="P287" s="13"/>
      <c r="Q287" s="7">
        <f t="shared" si="44"/>
        <v>31000</v>
      </c>
      <c r="R287" t="str">
        <f t="shared" si="50"/>
        <v>UNPAID</v>
      </c>
      <c r="S287" s="3"/>
      <c r="T287" s="9">
        <f t="shared" si="51"/>
        <v>31000</v>
      </c>
      <c r="U287" t="str">
        <f t="shared" si="52"/>
        <v>OK</v>
      </c>
      <c r="V287" s="10">
        <f t="shared" si="53"/>
        <v>31000</v>
      </c>
      <c r="W287" t="str">
        <f t="shared" si="54"/>
        <v>OK</v>
      </c>
      <c r="X287" s="3" t="s">
        <v>28</v>
      </c>
      <c r="Y287" t="s">
        <v>29</v>
      </c>
    </row>
    <row r="288" spans="1:25" x14ac:dyDescent="0.2">
      <c r="A288" t="str">
        <f t="shared" si="45"/>
        <v>TRIP-336</v>
      </c>
      <c r="B288" s="2">
        <v>45811</v>
      </c>
      <c r="C288" s="3" t="str">
        <f>_xlfn.XLOOKUP(D288,'[1]Jan Customer Duplicate Hyva'!$B:$B,'[1]Jan Customer Duplicate Hyva'!$A:$A,"NOT FOUND")</f>
        <v>CUST-265</v>
      </c>
      <c r="D288" s="11" t="s">
        <v>188</v>
      </c>
      <c r="E288" s="11" t="s">
        <v>30</v>
      </c>
      <c r="F288" s="5" t="str">
        <f t="shared" si="46"/>
        <v>Ravi</v>
      </c>
      <c r="G288" s="5" t="str">
        <f t="shared" si="47"/>
        <v/>
      </c>
      <c r="H288" s="5" t="str">
        <f t="shared" si="48"/>
        <v/>
      </c>
      <c r="I288" s="5" t="str">
        <f>_xlfn.XLOOKUP(F288,'[1]Jan Labour Nd Drivers Hyva'!$B:$B,'[2]Jan Labour Nd Drivers Hyva'!$A:$A,"NOT FOUND")</f>
        <v>LAB-003</v>
      </c>
      <c r="J288" s="5" t="str">
        <f>IF(G288="","",_xlfn.XLOOKUP(G288,'[3]Jan Labour Nd Drivers Hyva'!$B:$B,'[2]Jan Labour Nd Drivers Hyva'!$A:$A,"NOT FOUND"))</f>
        <v/>
      </c>
      <c r="K288" s="5" t="str">
        <f>IF(H288="","",_xlfn.XLOOKUP(H288,'[2]Jan Labour Nd Drivers Hyva'!$B:$B,'[2]Jan Labour Nd Drivers Hyva'!$A:$A,"NOT FOUND"))</f>
        <v/>
      </c>
      <c r="L288" s="11" t="s">
        <v>45</v>
      </c>
      <c r="M288" s="12">
        <v>1</v>
      </c>
      <c r="N288" s="13">
        <v>35000</v>
      </c>
      <c r="O288" s="8">
        <f t="shared" si="49"/>
        <v>35000</v>
      </c>
      <c r="P288" s="13">
        <v>35000</v>
      </c>
      <c r="Q288" s="7">
        <f t="shared" si="44"/>
        <v>0</v>
      </c>
      <c r="R288" t="str">
        <f t="shared" si="50"/>
        <v>PAID</v>
      </c>
      <c r="S288" s="3"/>
      <c r="T288" s="9">
        <f t="shared" si="51"/>
        <v>35000</v>
      </c>
      <c r="U288" t="str">
        <f t="shared" si="52"/>
        <v>OK</v>
      </c>
      <c r="V288" s="10">
        <f t="shared" si="53"/>
        <v>0</v>
      </c>
      <c r="W288" t="str">
        <f t="shared" si="54"/>
        <v>OK</v>
      </c>
      <c r="X288" s="3" t="s">
        <v>28</v>
      </c>
      <c r="Y288" t="s">
        <v>29</v>
      </c>
    </row>
    <row r="289" spans="1:25" x14ac:dyDescent="0.2">
      <c r="A289" t="str">
        <f t="shared" si="45"/>
        <v>TRIP-337</v>
      </c>
      <c r="B289" s="2">
        <v>45811</v>
      </c>
      <c r="C289" s="3" t="str">
        <f>_xlfn.XLOOKUP(D289,'[1]Jan Customer Duplicate Hyva'!$B:$B,'[1]Jan Customer Duplicate Hyva'!$A:$A,"NOT FOUND")</f>
        <v>CUST-382</v>
      </c>
      <c r="D289" s="11" t="s">
        <v>102</v>
      </c>
      <c r="E289" s="11" t="s">
        <v>30</v>
      </c>
      <c r="F289" s="5" t="str">
        <f t="shared" si="46"/>
        <v>Ravi</v>
      </c>
      <c r="G289" s="5" t="str">
        <f t="shared" si="47"/>
        <v/>
      </c>
      <c r="H289" s="5" t="str">
        <f t="shared" si="48"/>
        <v/>
      </c>
      <c r="I289" s="5" t="str">
        <f>_xlfn.XLOOKUP(F289,'[1]Jan Labour Nd Drivers Hyva'!$B:$B,'[2]Jan Labour Nd Drivers Hyva'!$A:$A,"NOT FOUND")</f>
        <v>LAB-003</v>
      </c>
      <c r="J289" s="5" t="str">
        <f>IF(G289="","",_xlfn.XLOOKUP(G289,'[3]Jan Labour Nd Drivers Hyva'!$B:$B,'[2]Jan Labour Nd Drivers Hyva'!$A:$A,"NOT FOUND"))</f>
        <v/>
      </c>
      <c r="K289" s="5" t="str">
        <f>IF(H289="","",_xlfn.XLOOKUP(H289,'[2]Jan Labour Nd Drivers Hyva'!$B:$B,'[2]Jan Labour Nd Drivers Hyva'!$A:$A,"NOT FOUND"))</f>
        <v/>
      </c>
      <c r="L289" s="11" t="s">
        <v>45</v>
      </c>
      <c r="M289" s="12">
        <v>1</v>
      </c>
      <c r="N289" s="13">
        <v>31000</v>
      </c>
      <c r="O289" s="8">
        <f t="shared" si="49"/>
        <v>31000</v>
      </c>
      <c r="P289" s="13">
        <v>31000</v>
      </c>
      <c r="Q289" s="7">
        <f t="shared" si="44"/>
        <v>0</v>
      </c>
      <c r="R289" t="str">
        <f t="shared" si="50"/>
        <v>PAID</v>
      </c>
      <c r="S289" s="3"/>
      <c r="T289" s="9">
        <f t="shared" si="51"/>
        <v>31000</v>
      </c>
      <c r="U289" t="str">
        <f t="shared" si="52"/>
        <v>OK</v>
      </c>
      <c r="V289" s="10">
        <f t="shared" si="53"/>
        <v>0</v>
      </c>
      <c r="W289" t="str">
        <f t="shared" si="54"/>
        <v>OK</v>
      </c>
      <c r="X289" s="3" t="s">
        <v>28</v>
      </c>
      <c r="Y289" t="s">
        <v>29</v>
      </c>
    </row>
    <row r="290" spans="1:25" x14ac:dyDescent="0.2">
      <c r="A290" t="str">
        <f t="shared" si="45"/>
        <v>TRIP-338</v>
      </c>
      <c r="B290" s="2">
        <v>45812</v>
      </c>
      <c r="C290" s="3" t="str">
        <f>_xlfn.XLOOKUP(D290,'[1]Jan Customer Duplicate Hyva'!$B:$B,'[1]Jan Customer Duplicate Hyva'!$A:$A,"NOT FOUND")</f>
        <v>CUST-321</v>
      </c>
      <c r="D290" s="11" t="s">
        <v>95</v>
      </c>
      <c r="E290" s="11" t="s">
        <v>30</v>
      </c>
      <c r="F290" s="5" t="str">
        <f t="shared" si="46"/>
        <v>Ravi</v>
      </c>
      <c r="G290" s="5" t="str">
        <f t="shared" si="47"/>
        <v/>
      </c>
      <c r="H290" s="5" t="str">
        <f t="shared" si="48"/>
        <v/>
      </c>
      <c r="I290" s="5" t="str">
        <f>_xlfn.XLOOKUP(F290,'[1]Jan Labour Nd Drivers Hyva'!$B:$B,'[2]Jan Labour Nd Drivers Hyva'!$A:$A,"NOT FOUND")</f>
        <v>LAB-003</v>
      </c>
      <c r="J290" s="5" t="str">
        <f>IF(G290="","",_xlfn.XLOOKUP(G290,'[3]Jan Labour Nd Drivers Hyva'!$B:$B,'[2]Jan Labour Nd Drivers Hyva'!$A:$A,"NOT FOUND"))</f>
        <v/>
      </c>
      <c r="K290" s="5" t="str">
        <f>IF(H290="","",_xlfn.XLOOKUP(H290,'[2]Jan Labour Nd Drivers Hyva'!$B:$B,'[2]Jan Labour Nd Drivers Hyva'!$A:$A,"NOT FOUND"))</f>
        <v/>
      </c>
      <c r="L290" s="11" t="s">
        <v>154</v>
      </c>
      <c r="M290" s="12">
        <v>1</v>
      </c>
      <c r="N290" s="13">
        <v>33000</v>
      </c>
      <c r="O290" s="8">
        <f t="shared" si="49"/>
        <v>33000</v>
      </c>
      <c r="P290" s="13">
        <v>33000</v>
      </c>
      <c r="Q290" s="7">
        <f t="shared" ref="Q290:Q303" si="55">O290-P290</f>
        <v>0</v>
      </c>
      <c r="R290" t="str">
        <f t="shared" si="50"/>
        <v>PAID</v>
      </c>
      <c r="S290" s="3"/>
      <c r="T290" s="9">
        <f t="shared" si="51"/>
        <v>33000</v>
      </c>
      <c r="U290" t="str">
        <f t="shared" si="52"/>
        <v>OK</v>
      </c>
      <c r="V290" s="10">
        <f t="shared" si="53"/>
        <v>0</v>
      </c>
      <c r="W290" t="str">
        <f t="shared" si="54"/>
        <v>OK</v>
      </c>
      <c r="X290" s="3" t="s">
        <v>28</v>
      </c>
      <c r="Y290" t="s">
        <v>29</v>
      </c>
    </row>
    <row r="291" spans="1:25" x14ac:dyDescent="0.2">
      <c r="A291" t="str">
        <f t="shared" si="45"/>
        <v>TRIP-339</v>
      </c>
      <c r="B291" s="2">
        <v>45812</v>
      </c>
      <c r="C291" s="3" t="str">
        <f>_xlfn.XLOOKUP(D291,'[1]Jan Customer Duplicate Hyva'!$B:$B,'[1]Jan Customer Duplicate Hyva'!$A:$A,"NOT FOUND")</f>
        <v>CUST-171</v>
      </c>
      <c r="D291" s="11" t="s">
        <v>159</v>
      </c>
      <c r="E291" s="11" t="s">
        <v>26</v>
      </c>
      <c r="F291" s="5" t="str">
        <f t="shared" si="46"/>
        <v>Anshu</v>
      </c>
      <c r="G291" s="5" t="str">
        <f t="shared" si="47"/>
        <v/>
      </c>
      <c r="H291" s="5" t="str">
        <f t="shared" si="48"/>
        <v/>
      </c>
      <c r="I291" s="5" t="str">
        <f>_xlfn.XLOOKUP(F291,'[1]Jan Labour Nd Drivers Hyva'!$B:$B,'[2]Jan Labour Nd Drivers Hyva'!$A:$A,"NOT FOUND")</f>
        <v>LAB-002</v>
      </c>
      <c r="J291" s="5" t="str">
        <f>IF(G291="","",_xlfn.XLOOKUP(G291,'[3]Jan Labour Nd Drivers Hyva'!$B:$B,'[2]Jan Labour Nd Drivers Hyva'!$A:$A,"NOT FOUND"))</f>
        <v/>
      </c>
      <c r="K291" s="5" t="str">
        <f>IF(H291="","",_xlfn.XLOOKUP(H291,'[2]Jan Labour Nd Drivers Hyva'!$B:$B,'[2]Jan Labour Nd Drivers Hyva'!$A:$A,"NOT FOUND"))</f>
        <v/>
      </c>
      <c r="L291" s="11" t="s">
        <v>160</v>
      </c>
      <c r="M291" s="12">
        <v>1</v>
      </c>
      <c r="N291" s="13">
        <v>33000</v>
      </c>
      <c r="O291" s="8">
        <f t="shared" si="49"/>
        <v>33000</v>
      </c>
      <c r="P291" s="13">
        <v>33000</v>
      </c>
      <c r="Q291" s="7">
        <f t="shared" si="55"/>
        <v>0</v>
      </c>
      <c r="R291" t="str">
        <f t="shared" si="50"/>
        <v>PAID</v>
      </c>
      <c r="S291" s="3"/>
      <c r="T291" s="9">
        <f t="shared" si="51"/>
        <v>33000</v>
      </c>
      <c r="U291" t="str">
        <f t="shared" si="52"/>
        <v>OK</v>
      </c>
      <c r="V291" s="10">
        <f t="shared" si="53"/>
        <v>0</v>
      </c>
      <c r="W291" t="str">
        <f t="shared" si="54"/>
        <v>OK</v>
      </c>
      <c r="X291" s="3" t="s">
        <v>28</v>
      </c>
      <c r="Y291" t="s">
        <v>29</v>
      </c>
    </row>
    <row r="292" spans="1:25" x14ac:dyDescent="0.2">
      <c r="A292" t="str">
        <f t="shared" si="45"/>
        <v>TRIP-340</v>
      </c>
      <c r="B292" s="2">
        <v>45812</v>
      </c>
      <c r="C292" s="3" t="str">
        <f>_xlfn.XLOOKUP(D292,'[1]Jan Customer Duplicate Hyva'!$B:$B,'[1]Jan Customer Duplicate Hyva'!$A:$A,"NOT FOUND")</f>
        <v>NOT FOUND</v>
      </c>
      <c r="D292" s="11" t="s">
        <v>213</v>
      </c>
      <c r="E292" s="11" t="s">
        <v>30</v>
      </c>
      <c r="F292" s="5" t="str">
        <f t="shared" si="46"/>
        <v>Ravi</v>
      </c>
      <c r="G292" s="5" t="str">
        <f t="shared" si="47"/>
        <v/>
      </c>
      <c r="H292" s="5" t="str">
        <f t="shared" si="48"/>
        <v/>
      </c>
      <c r="I292" s="5" t="str">
        <f>_xlfn.XLOOKUP(F292,'[1]Jan Labour Nd Drivers Hyva'!$B:$B,'[2]Jan Labour Nd Drivers Hyva'!$A:$A,"NOT FOUND")</f>
        <v>LAB-003</v>
      </c>
      <c r="J292" s="5" t="str">
        <f>IF(G292="","",_xlfn.XLOOKUP(G292,'[3]Jan Labour Nd Drivers Hyva'!$B:$B,'[2]Jan Labour Nd Drivers Hyva'!$A:$A,"NOT FOUND"))</f>
        <v/>
      </c>
      <c r="K292" s="5" t="str">
        <f>IF(H292="","",_xlfn.XLOOKUP(H292,'[2]Jan Labour Nd Drivers Hyva'!$B:$B,'[2]Jan Labour Nd Drivers Hyva'!$A:$A,"NOT FOUND"))</f>
        <v/>
      </c>
      <c r="L292" s="11" t="s">
        <v>233</v>
      </c>
      <c r="M292" s="12">
        <v>1</v>
      </c>
      <c r="N292" s="13">
        <v>33000</v>
      </c>
      <c r="O292" s="8">
        <f t="shared" si="49"/>
        <v>33000</v>
      </c>
      <c r="P292" s="13">
        <v>33000</v>
      </c>
      <c r="Q292" s="7">
        <f t="shared" si="55"/>
        <v>0</v>
      </c>
      <c r="R292" t="str">
        <f t="shared" si="50"/>
        <v>PAID</v>
      </c>
      <c r="S292" s="3"/>
      <c r="T292" s="9">
        <f t="shared" si="51"/>
        <v>33000</v>
      </c>
      <c r="U292" t="str">
        <f t="shared" si="52"/>
        <v>OK</v>
      </c>
      <c r="V292" s="10">
        <f t="shared" si="53"/>
        <v>0</v>
      </c>
      <c r="W292" t="str">
        <f t="shared" si="54"/>
        <v>OK</v>
      </c>
      <c r="X292" s="3" t="s">
        <v>28</v>
      </c>
      <c r="Y292" t="s">
        <v>29</v>
      </c>
    </row>
    <row r="293" spans="1:25" x14ac:dyDescent="0.2">
      <c r="A293" t="str">
        <f t="shared" si="45"/>
        <v>TRIP-341</v>
      </c>
      <c r="B293" s="2">
        <v>45812</v>
      </c>
      <c r="C293" s="3" t="str">
        <f>_xlfn.XLOOKUP(D293,'[1]Jan Customer Duplicate Hyva'!$B:$B,'[1]Jan Customer Duplicate Hyva'!$A:$A,"NOT FOUND")</f>
        <v>CUST-118</v>
      </c>
      <c r="D293" s="11" t="s">
        <v>226</v>
      </c>
      <c r="E293" s="11" t="s">
        <v>30</v>
      </c>
      <c r="F293" s="5" t="str">
        <f t="shared" si="46"/>
        <v>Ravi</v>
      </c>
      <c r="G293" s="5" t="str">
        <f t="shared" si="47"/>
        <v/>
      </c>
      <c r="H293" s="5" t="str">
        <f t="shared" si="48"/>
        <v/>
      </c>
      <c r="I293" s="5" t="str">
        <f>_xlfn.XLOOKUP(F293,'[1]Jan Labour Nd Drivers Hyva'!$B:$B,'[2]Jan Labour Nd Drivers Hyva'!$A:$A,"NOT FOUND")</f>
        <v>LAB-003</v>
      </c>
      <c r="J293" s="5" t="str">
        <f>IF(G293="","",_xlfn.XLOOKUP(G293,'[3]Jan Labour Nd Drivers Hyva'!$B:$B,'[2]Jan Labour Nd Drivers Hyva'!$A:$A,"NOT FOUND"))</f>
        <v/>
      </c>
      <c r="K293" s="5" t="str">
        <f>IF(H293="","",_xlfn.XLOOKUP(H293,'[2]Jan Labour Nd Drivers Hyva'!$B:$B,'[2]Jan Labour Nd Drivers Hyva'!$A:$A,"NOT FOUND"))</f>
        <v/>
      </c>
      <c r="L293" s="11" t="s">
        <v>41</v>
      </c>
      <c r="M293" s="12">
        <v>1</v>
      </c>
      <c r="N293" s="13">
        <v>35000</v>
      </c>
      <c r="O293" s="8">
        <f t="shared" si="49"/>
        <v>35000</v>
      </c>
      <c r="P293" s="13">
        <v>35000</v>
      </c>
      <c r="Q293" s="7">
        <f t="shared" si="55"/>
        <v>0</v>
      </c>
      <c r="R293" t="str">
        <f t="shared" si="50"/>
        <v>PAID</v>
      </c>
      <c r="S293" s="3"/>
      <c r="T293" s="9">
        <f t="shared" si="51"/>
        <v>35000</v>
      </c>
      <c r="U293" t="str">
        <f t="shared" si="52"/>
        <v>OK</v>
      </c>
      <c r="V293" s="10">
        <f t="shared" si="53"/>
        <v>0</v>
      </c>
      <c r="W293" t="str">
        <f t="shared" si="54"/>
        <v>OK</v>
      </c>
      <c r="X293" s="3" t="s">
        <v>28</v>
      </c>
      <c r="Y293" t="s">
        <v>29</v>
      </c>
    </row>
    <row r="294" spans="1:25" x14ac:dyDescent="0.2">
      <c r="A294" t="str">
        <f t="shared" si="45"/>
        <v>TRIP-342</v>
      </c>
      <c r="B294" s="2">
        <v>45812</v>
      </c>
      <c r="C294" s="3" t="str">
        <f>_xlfn.XLOOKUP(D294,'[1]Jan Customer Duplicate Hyva'!$B:$B,'[1]Jan Customer Duplicate Hyva'!$A:$A,"NOT FOUND")</f>
        <v>CUST-304</v>
      </c>
      <c r="D294" s="11" t="s">
        <v>238</v>
      </c>
      <c r="E294" s="11" t="s">
        <v>26</v>
      </c>
      <c r="F294" s="5" t="str">
        <f t="shared" si="46"/>
        <v>Anshu</v>
      </c>
      <c r="G294" s="5" t="str">
        <f t="shared" si="47"/>
        <v/>
      </c>
      <c r="H294" s="5" t="str">
        <f t="shared" si="48"/>
        <v/>
      </c>
      <c r="I294" s="5" t="str">
        <f>_xlfn.XLOOKUP(F294,'[1]Jan Labour Nd Drivers Hyva'!$B:$B,'[2]Jan Labour Nd Drivers Hyva'!$A:$A,"NOT FOUND")</f>
        <v>LAB-002</v>
      </c>
      <c r="J294" s="5" t="str">
        <f>IF(G294="","",_xlfn.XLOOKUP(G294,'[3]Jan Labour Nd Drivers Hyva'!$B:$B,'[2]Jan Labour Nd Drivers Hyva'!$A:$A,"NOT FOUND"))</f>
        <v/>
      </c>
      <c r="K294" s="5" t="str">
        <f>IF(H294="","",_xlfn.XLOOKUP(H294,'[2]Jan Labour Nd Drivers Hyva'!$B:$B,'[2]Jan Labour Nd Drivers Hyva'!$A:$A,"NOT FOUND"))</f>
        <v/>
      </c>
      <c r="L294" s="11" t="s">
        <v>149</v>
      </c>
      <c r="M294" s="12">
        <v>1</v>
      </c>
      <c r="N294" s="13">
        <v>32000</v>
      </c>
      <c r="O294" s="8">
        <f t="shared" si="49"/>
        <v>32000</v>
      </c>
      <c r="P294" s="13">
        <v>32000</v>
      </c>
      <c r="Q294" s="7">
        <f t="shared" si="55"/>
        <v>0</v>
      </c>
      <c r="R294" t="str">
        <f t="shared" si="50"/>
        <v>PAID</v>
      </c>
      <c r="S294" s="3"/>
      <c r="T294" s="9">
        <f t="shared" si="51"/>
        <v>32000</v>
      </c>
      <c r="U294" t="str">
        <f t="shared" si="52"/>
        <v>OK</v>
      </c>
      <c r="V294" s="10">
        <f t="shared" si="53"/>
        <v>0</v>
      </c>
      <c r="W294" t="str">
        <f t="shared" si="54"/>
        <v>OK</v>
      </c>
      <c r="X294" s="3" t="s">
        <v>28</v>
      </c>
      <c r="Y294" t="s">
        <v>29</v>
      </c>
    </row>
    <row r="295" spans="1:25" x14ac:dyDescent="0.2">
      <c r="A295" t="str">
        <f t="shared" si="45"/>
        <v>TRIP-343</v>
      </c>
      <c r="B295" s="2">
        <v>45813</v>
      </c>
      <c r="C295" s="3" t="str">
        <f>_xlfn.XLOOKUP(D295,'[1]Jan Customer Duplicate Hyva'!$B:$B,'[1]Jan Customer Duplicate Hyva'!$A:$A,"NOT FOUND")</f>
        <v>CUST-037</v>
      </c>
      <c r="D295" s="11" t="s">
        <v>99</v>
      </c>
      <c r="E295" s="11" t="s">
        <v>26</v>
      </c>
      <c r="F295" s="5" t="str">
        <f t="shared" si="46"/>
        <v>Anshu</v>
      </c>
      <c r="G295" s="5" t="str">
        <f t="shared" si="47"/>
        <v/>
      </c>
      <c r="H295" s="5" t="str">
        <f t="shared" si="48"/>
        <v/>
      </c>
      <c r="I295" s="5" t="str">
        <f>_xlfn.XLOOKUP(F295,'[1]Jan Labour Nd Drivers Hyva'!$B:$B,'[2]Jan Labour Nd Drivers Hyva'!$A:$A,"NOT FOUND")</f>
        <v>LAB-002</v>
      </c>
      <c r="J295" s="5" t="str">
        <f>IF(G295="","",_xlfn.XLOOKUP(G295,'[3]Jan Labour Nd Drivers Hyva'!$B:$B,'[2]Jan Labour Nd Drivers Hyva'!$A:$A,"NOT FOUND"))</f>
        <v/>
      </c>
      <c r="K295" s="5" t="str">
        <f>IF(H295="","",_xlfn.XLOOKUP(H295,'[2]Jan Labour Nd Drivers Hyva'!$B:$B,'[2]Jan Labour Nd Drivers Hyva'!$A:$A,"NOT FOUND"))</f>
        <v/>
      </c>
      <c r="L295" s="11" t="s">
        <v>239</v>
      </c>
      <c r="M295" s="12">
        <v>1</v>
      </c>
      <c r="N295" s="13">
        <v>31000</v>
      </c>
      <c r="O295" s="8">
        <f t="shared" si="49"/>
        <v>31000</v>
      </c>
      <c r="P295" s="13"/>
      <c r="Q295" s="7">
        <f t="shared" si="55"/>
        <v>31000</v>
      </c>
      <c r="R295" t="str">
        <f t="shared" si="50"/>
        <v>UNPAID</v>
      </c>
      <c r="S295" s="3"/>
      <c r="T295" s="9">
        <f t="shared" si="51"/>
        <v>31000</v>
      </c>
      <c r="U295" t="str">
        <f t="shared" si="52"/>
        <v>OK</v>
      </c>
      <c r="V295" s="10">
        <f t="shared" si="53"/>
        <v>31000</v>
      </c>
      <c r="W295" t="str">
        <f t="shared" si="54"/>
        <v>OK</v>
      </c>
      <c r="X295" s="3" t="s">
        <v>28</v>
      </c>
      <c r="Y295" t="s">
        <v>29</v>
      </c>
    </row>
    <row r="296" spans="1:25" x14ac:dyDescent="0.2">
      <c r="A296" t="str">
        <f t="shared" si="45"/>
        <v>TRIP-344</v>
      </c>
      <c r="B296" s="2">
        <v>45813</v>
      </c>
      <c r="C296" s="3" t="str">
        <f>_xlfn.XLOOKUP(D296,'[1]Jan Customer Duplicate Hyva'!$B:$B,'[1]Jan Customer Duplicate Hyva'!$A:$A,"NOT FOUND")</f>
        <v>CUST-236</v>
      </c>
      <c r="D296" s="11" t="s">
        <v>58</v>
      </c>
      <c r="E296" s="11" t="s">
        <v>30</v>
      </c>
      <c r="F296" s="5" t="str">
        <f t="shared" si="46"/>
        <v>Ravi</v>
      </c>
      <c r="G296" s="5" t="str">
        <f t="shared" si="47"/>
        <v/>
      </c>
      <c r="H296" s="5" t="str">
        <f t="shared" si="48"/>
        <v/>
      </c>
      <c r="I296" s="5" t="str">
        <f>_xlfn.XLOOKUP(F296,'[1]Jan Labour Nd Drivers Hyva'!$B:$B,'[2]Jan Labour Nd Drivers Hyva'!$A:$A,"NOT FOUND")</f>
        <v>LAB-003</v>
      </c>
      <c r="J296" s="5" t="str">
        <f>IF(G296="","",_xlfn.XLOOKUP(G296,'[3]Jan Labour Nd Drivers Hyva'!$B:$B,'[2]Jan Labour Nd Drivers Hyva'!$A:$A,"NOT FOUND"))</f>
        <v/>
      </c>
      <c r="K296" s="5" t="str">
        <f>IF(H296="","",_xlfn.XLOOKUP(H296,'[2]Jan Labour Nd Drivers Hyva'!$B:$B,'[2]Jan Labour Nd Drivers Hyva'!$A:$A,"NOT FOUND"))</f>
        <v/>
      </c>
      <c r="L296" s="11" t="s">
        <v>89</v>
      </c>
      <c r="M296" s="12">
        <v>1</v>
      </c>
      <c r="N296" s="13">
        <v>35000</v>
      </c>
      <c r="O296" s="8">
        <f t="shared" si="49"/>
        <v>35000</v>
      </c>
      <c r="P296" s="13">
        <v>35000</v>
      </c>
      <c r="Q296" s="7">
        <f t="shared" si="55"/>
        <v>0</v>
      </c>
      <c r="R296" t="str">
        <f t="shared" si="50"/>
        <v>PAID</v>
      </c>
      <c r="S296" s="3"/>
      <c r="T296" s="9">
        <f t="shared" si="51"/>
        <v>35000</v>
      </c>
      <c r="U296" t="str">
        <f t="shared" si="52"/>
        <v>OK</v>
      </c>
      <c r="V296" s="10">
        <f t="shared" si="53"/>
        <v>0</v>
      </c>
      <c r="W296" t="str">
        <f t="shared" si="54"/>
        <v>OK</v>
      </c>
      <c r="X296" s="3" t="s">
        <v>28</v>
      </c>
      <c r="Y296" t="s">
        <v>29</v>
      </c>
    </row>
    <row r="297" spans="1:25" x14ac:dyDescent="0.2">
      <c r="A297" t="str">
        <f t="shared" si="45"/>
        <v>TRIP-345</v>
      </c>
      <c r="B297" s="2">
        <v>45814</v>
      </c>
      <c r="C297" s="3" t="str">
        <f>_xlfn.XLOOKUP(D297,'[1]Jan Customer Duplicate Hyva'!$B:$B,'[1]Jan Customer Duplicate Hyva'!$A:$A,"NOT FOUND")</f>
        <v>CUST-050</v>
      </c>
      <c r="D297" s="11" t="s">
        <v>69</v>
      </c>
      <c r="E297" s="11" t="s">
        <v>30</v>
      </c>
      <c r="F297" s="5" t="str">
        <f t="shared" si="46"/>
        <v>Ravi</v>
      </c>
      <c r="G297" s="5" t="str">
        <f t="shared" si="47"/>
        <v/>
      </c>
      <c r="H297" s="5" t="str">
        <f t="shared" si="48"/>
        <v/>
      </c>
      <c r="I297" s="5" t="str">
        <f>_xlfn.XLOOKUP(F297,'[1]Jan Labour Nd Drivers Hyva'!$B:$B,'[2]Jan Labour Nd Drivers Hyva'!$A:$A,"NOT FOUND")</f>
        <v>LAB-003</v>
      </c>
      <c r="J297" s="5" t="str">
        <f>IF(G297="","",_xlfn.XLOOKUP(G297,'[3]Jan Labour Nd Drivers Hyva'!$B:$B,'[2]Jan Labour Nd Drivers Hyva'!$A:$A,"NOT FOUND"))</f>
        <v/>
      </c>
      <c r="K297" s="5" t="str">
        <f>IF(H297="","",_xlfn.XLOOKUP(H297,'[2]Jan Labour Nd Drivers Hyva'!$B:$B,'[2]Jan Labour Nd Drivers Hyva'!$A:$A,"NOT FOUND"))</f>
        <v/>
      </c>
      <c r="L297" s="11" t="s">
        <v>240</v>
      </c>
      <c r="M297" s="12">
        <v>1</v>
      </c>
      <c r="N297" s="13">
        <v>35000</v>
      </c>
      <c r="O297" s="8">
        <f t="shared" si="49"/>
        <v>35000</v>
      </c>
      <c r="P297" s="13"/>
      <c r="Q297" s="7">
        <f t="shared" si="55"/>
        <v>35000</v>
      </c>
      <c r="R297" t="str">
        <f t="shared" si="50"/>
        <v>UNPAID</v>
      </c>
      <c r="S297" s="3"/>
      <c r="T297" s="9">
        <f t="shared" si="51"/>
        <v>35000</v>
      </c>
      <c r="U297" t="str">
        <f t="shared" si="52"/>
        <v>OK</v>
      </c>
      <c r="V297" s="10">
        <f t="shared" si="53"/>
        <v>35000</v>
      </c>
      <c r="W297" t="str">
        <f t="shared" si="54"/>
        <v>OK</v>
      </c>
      <c r="X297" s="3" t="s">
        <v>28</v>
      </c>
      <c r="Y297" t="s">
        <v>29</v>
      </c>
    </row>
    <row r="298" spans="1:25" x14ac:dyDescent="0.2">
      <c r="A298" t="str">
        <f t="shared" si="45"/>
        <v>TRIP-346</v>
      </c>
      <c r="B298" s="2">
        <v>45814</v>
      </c>
      <c r="C298" s="3" t="str">
        <f>_xlfn.XLOOKUP(D298,'[1]Jan Customer Duplicate Hyva'!$B:$B,'[1]Jan Customer Duplicate Hyva'!$A:$A,"NOT FOUND")</f>
        <v>CUST-277</v>
      </c>
      <c r="D298" s="11" t="s">
        <v>241</v>
      </c>
      <c r="E298" s="11" t="s">
        <v>242</v>
      </c>
      <c r="F298" s="5" t="str">
        <f t="shared" si="46"/>
        <v>Ravi</v>
      </c>
      <c r="G298" s="5" t="str">
        <f t="shared" si="47"/>
        <v>Vithal Bhau</v>
      </c>
      <c r="H298" s="5" t="str">
        <f t="shared" si="48"/>
        <v/>
      </c>
      <c r="I298" s="5" t="str">
        <f>_xlfn.XLOOKUP(F298,'[1]Jan Labour Nd Drivers Hyva'!$B:$B,'[2]Jan Labour Nd Drivers Hyva'!$A:$A,"NOT FOUND")</f>
        <v>LAB-003</v>
      </c>
      <c r="J298" s="5" t="str">
        <f>IF(G298="","",_xlfn.XLOOKUP(G298,'[3]Jan Labour Nd Drivers Hyva'!$B:$B,'[2]Jan Labour Nd Drivers Hyva'!$A:$A,"NOT FOUND"))</f>
        <v>LAB-005</v>
      </c>
      <c r="K298" s="5" t="str">
        <f>IF(H298="","",_xlfn.XLOOKUP(H298,'[2]Jan Labour Nd Drivers Hyva'!$B:$B,'[2]Jan Labour Nd Drivers Hyva'!$A:$A,"NOT FOUND"))</f>
        <v/>
      </c>
      <c r="L298" s="11" t="s">
        <v>144</v>
      </c>
      <c r="M298" s="12">
        <v>2</v>
      </c>
      <c r="N298" s="13">
        <v>36000</v>
      </c>
      <c r="O298" s="8">
        <f t="shared" si="49"/>
        <v>72000</v>
      </c>
      <c r="P298" s="13">
        <v>72000</v>
      </c>
      <c r="Q298" s="7">
        <f t="shared" si="55"/>
        <v>0</v>
      </c>
      <c r="R298" t="str">
        <f t="shared" si="50"/>
        <v>PAID</v>
      </c>
      <c r="S298" s="3"/>
      <c r="T298" s="9">
        <f t="shared" si="51"/>
        <v>72000</v>
      </c>
      <c r="U298" t="str">
        <f t="shared" si="52"/>
        <v>OK</v>
      </c>
      <c r="V298" s="10">
        <f t="shared" si="53"/>
        <v>0</v>
      </c>
      <c r="W298" t="str">
        <f t="shared" si="54"/>
        <v>OK</v>
      </c>
      <c r="X298" s="3" t="s">
        <v>28</v>
      </c>
      <c r="Y298" t="s">
        <v>29</v>
      </c>
    </row>
    <row r="299" spans="1:25" x14ac:dyDescent="0.2">
      <c r="A299" t="str">
        <f t="shared" si="45"/>
        <v>TRIP-347</v>
      </c>
      <c r="B299" s="2">
        <v>45814</v>
      </c>
      <c r="C299" s="3" t="str">
        <f>_xlfn.XLOOKUP(D299,'[1]Jan Customer Duplicate Hyva'!$B:$B,'[1]Jan Customer Duplicate Hyva'!$A:$A,"NOT FOUND")</f>
        <v>CUST-129</v>
      </c>
      <c r="D299" s="11" t="s">
        <v>243</v>
      </c>
      <c r="E299" s="5" t="s">
        <v>228</v>
      </c>
      <c r="F299" s="5" t="str">
        <f t="shared" si="46"/>
        <v>Vithal Bhau</v>
      </c>
      <c r="G299" s="5" t="str">
        <f t="shared" si="47"/>
        <v/>
      </c>
      <c r="H299" s="5" t="str">
        <f t="shared" si="48"/>
        <v/>
      </c>
      <c r="I299" s="5" t="str">
        <f>_xlfn.XLOOKUP(F299,'[1]Jan Labour Nd Drivers Hyva'!$B:$B,'[2]Jan Labour Nd Drivers Hyva'!$A:$A,"NOT FOUND")</f>
        <v>LAB-005</v>
      </c>
      <c r="J299" s="5" t="str">
        <f>IF(G299="","",_xlfn.XLOOKUP(G299,'[3]Jan Labour Nd Drivers Hyva'!$B:$B,'[2]Jan Labour Nd Drivers Hyva'!$A:$A,"NOT FOUND"))</f>
        <v/>
      </c>
      <c r="K299" s="5" t="str">
        <f>IF(H299="","",_xlfn.XLOOKUP(H299,'[2]Jan Labour Nd Drivers Hyva'!$B:$B,'[2]Jan Labour Nd Drivers Hyva'!$A:$A,"NOT FOUND"))</f>
        <v/>
      </c>
      <c r="L299" s="11" t="s">
        <v>41</v>
      </c>
      <c r="M299" s="12">
        <v>1</v>
      </c>
      <c r="N299" s="13">
        <v>35000</v>
      </c>
      <c r="O299" s="8">
        <f t="shared" si="49"/>
        <v>35000</v>
      </c>
      <c r="P299" s="13">
        <v>35000</v>
      </c>
      <c r="Q299" s="7">
        <f t="shared" si="55"/>
        <v>0</v>
      </c>
      <c r="R299" t="str">
        <f t="shared" si="50"/>
        <v>PAID</v>
      </c>
      <c r="S299" s="3"/>
      <c r="T299" s="9">
        <f t="shared" si="51"/>
        <v>35000</v>
      </c>
      <c r="U299" t="str">
        <f t="shared" si="52"/>
        <v>OK</v>
      </c>
      <c r="V299" s="10">
        <f t="shared" si="53"/>
        <v>0</v>
      </c>
      <c r="W299" t="str">
        <f t="shared" si="54"/>
        <v>OK</v>
      </c>
      <c r="X299" s="3" t="s">
        <v>28</v>
      </c>
      <c r="Y299" t="s">
        <v>29</v>
      </c>
    </row>
    <row r="300" spans="1:25" x14ac:dyDescent="0.2">
      <c r="A300" t="str">
        <f t="shared" si="45"/>
        <v>TRIP-348</v>
      </c>
      <c r="B300" s="2">
        <v>45815</v>
      </c>
      <c r="C300" s="3" t="str">
        <f>_xlfn.XLOOKUP(D300,'[1]Jan Customer Duplicate Hyva'!$B:$B,'[1]Jan Customer Duplicate Hyva'!$A:$A,"NOT FOUND")</f>
        <v>CUST-314</v>
      </c>
      <c r="D300" s="11" t="s">
        <v>244</v>
      </c>
      <c r="E300" s="11" t="s">
        <v>30</v>
      </c>
      <c r="F300" s="5" t="str">
        <f t="shared" si="46"/>
        <v>Ravi</v>
      </c>
      <c r="G300" s="5" t="str">
        <f t="shared" si="47"/>
        <v/>
      </c>
      <c r="H300" s="5" t="str">
        <f t="shared" si="48"/>
        <v/>
      </c>
      <c r="I300" s="5" t="str">
        <f>_xlfn.XLOOKUP(F300,'[1]Jan Labour Nd Drivers Hyva'!$B:$B,'[2]Jan Labour Nd Drivers Hyva'!$A:$A,"NOT FOUND")</f>
        <v>LAB-003</v>
      </c>
      <c r="J300" s="5" t="str">
        <f>IF(G300="","",_xlfn.XLOOKUP(G300,'[3]Jan Labour Nd Drivers Hyva'!$B:$B,'[2]Jan Labour Nd Drivers Hyva'!$A:$A,"NOT FOUND"))</f>
        <v/>
      </c>
      <c r="K300" s="5" t="str">
        <f>IF(H300="","",_xlfn.XLOOKUP(H300,'[2]Jan Labour Nd Drivers Hyva'!$B:$B,'[2]Jan Labour Nd Drivers Hyva'!$A:$A,"NOT FOUND"))</f>
        <v/>
      </c>
      <c r="L300" s="11" t="s">
        <v>142</v>
      </c>
      <c r="M300" s="12">
        <v>1</v>
      </c>
      <c r="N300" s="13">
        <v>32000</v>
      </c>
      <c r="O300" s="8">
        <f t="shared" si="49"/>
        <v>32000</v>
      </c>
      <c r="P300" s="13">
        <v>32000</v>
      </c>
      <c r="Q300" s="7">
        <f t="shared" si="55"/>
        <v>0</v>
      </c>
      <c r="R300" t="str">
        <f t="shared" si="50"/>
        <v>PAID</v>
      </c>
      <c r="S300" s="3"/>
      <c r="T300" s="9">
        <f t="shared" si="51"/>
        <v>32000</v>
      </c>
      <c r="U300" t="str">
        <f t="shared" si="52"/>
        <v>OK</v>
      </c>
      <c r="V300" s="10">
        <f t="shared" si="53"/>
        <v>0</v>
      </c>
      <c r="W300" t="str">
        <f t="shared" si="54"/>
        <v>OK</v>
      </c>
      <c r="X300" s="3" t="s">
        <v>28</v>
      </c>
      <c r="Y300" t="s">
        <v>29</v>
      </c>
    </row>
    <row r="301" spans="1:25" x14ac:dyDescent="0.2">
      <c r="A301" t="str">
        <f t="shared" si="45"/>
        <v>TRIP-349</v>
      </c>
      <c r="B301" s="2">
        <v>45816</v>
      </c>
      <c r="C301" s="3" t="str">
        <f>_xlfn.XLOOKUP(D301,'[1]Jan Customer Duplicate Hyva'!$B:$B,'[1]Jan Customer Duplicate Hyva'!$A:$A,"NOT FOUND")</f>
        <v>CUST-304</v>
      </c>
      <c r="D301" s="11" t="s">
        <v>238</v>
      </c>
      <c r="E301" s="11" t="s">
        <v>30</v>
      </c>
      <c r="F301" s="5" t="str">
        <f t="shared" si="46"/>
        <v>Ravi</v>
      </c>
      <c r="G301" s="5" t="str">
        <f t="shared" si="47"/>
        <v/>
      </c>
      <c r="H301" s="5" t="str">
        <f t="shared" si="48"/>
        <v/>
      </c>
      <c r="I301" s="5" t="str">
        <f>_xlfn.XLOOKUP(F301,'[1]Jan Labour Nd Drivers Hyva'!$B:$B,'[2]Jan Labour Nd Drivers Hyva'!$A:$A,"NOT FOUND")</f>
        <v>LAB-003</v>
      </c>
      <c r="J301" s="5" t="str">
        <f>IF(G301="","",_xlfn.XLOOKUP(G301,'[3]Jan Labour Nd Drivers Hyva'!$B:$B,'[2]Jan Labour Nd Drivers Hyva'!$A:$A,"NOT FOUND"))</f>
        <v/>
      </c>
      <c r="K301" s="5" t="str">
        <f>IF(H301="","",_xlfn.XLOOKUP(H301,'[2]Jan Labour Nd Drivers Hyva'!$B:$B,'[2]Jan Labour Nd Drivers Hyva'!$A:$A,"NOT FOUND"))</f>
        <v/>
      </c>
      <c r="L301" s="11" t="s">
        <v>245</v>
      </c>
      <c r="M301" s="12">
        <v>1</v>
      </c>
      <c r="N301" s="13">
        <v>30000</v>
      </c>
      <c r="O301" s="8">
        <f t="shared" si="49"/>
        <v>30000</v>
      </c>
      <c r="P301" s="13">
        <v>30000</v>
      </c>
      <c r="Q301" s="7">
        <f t="shared" si="55"/>
        <v>0</v>
      </c>
      <c r="R301" t="str">
        <f t="shared" si="50"/>
        <v>PAID</v>
      </c>
      <c r="S301" s="3"/>
      <c r="T301" s="9">
        <f t="shared" si="51"/>
        <v>30000</v>
      </c>
      <c r="U301" t="str">
        <f t="shared" si="52"/>
        <v>OK</v>
      </c>
      <c r="V301" s="10">
        <f t="shared" si="53"/>
        <v>0</v>
      </c>
      <c r="W301" t="str">
        <f t="shared" si="54"/>
        <v>OK</v>
      </c>
      <c r="X301" s="3" t="s">
        <v>28</v>
      </c>
      <c r="Y301" t="s">
        <v>29</v>
      </c>
    </row>
    <row r="302" spans="1:25" x14ac:dyDescent="0.2">
      <c r="A302" t="str">
        <f t="shared" si="45"/>
        <v>TRIP-350</v>
      </c>
      <c r="B302" s="2">
        <v>45817</v>
      </c>
      <c r="C302" s="3" t="str">
        <f>_xlfn.XLOOKUP(D302,'[1]Jan Customer Duplicate Hyva'!$B:$B,'[1]Jan Customer Duplicate Hyva'!$A:$A,"NOT FOUND")</f>
        <v>CUST-374</v>
      </c>
      <c r="D302" s="11" t="s">
        <v>246</v>
      </c>
      <c r="E302" s="11" t="s">
        <v>228</v>
      </c>
      <c r="F302" s="5" t="str">
        <f t="shared" si="46"/>
        <v>Vithal Bhau</v>
      </c>
      <c r="G302" s="5" t="str">
        <f t="shared" si="47"/>
        <v/>
      </c>
      <c r="H302" s="5" t="str">
        <f t="shared" si="48"/>
        <v/>
      </c>
      <c r="I302" s="5" t="str">
        <f>_xlfn.XLOOKUP(F302,'[1]Jan Labour Nd Drivers Hyva'!$B:$B,'[2]Jan Labour Nd Drivers Hyva'!$A:$A,"NOT FOUND")</f>
        <v>LAB-005</v>
      </c>
      <c r="J302" s="5" t="str">
        <f>IF(G302="","",_xlfn.XLOOKUP(G302,'[3]Jan Labour Nd Drivers Hyva'!$B:$B,'[2]Jan Labour Nd Drivers Hyva'!$A:$A,"NOT FOUND"))</f>
        <v/>
      </c>
      <c r="K302" s="5" t="str">
        <f>IF(H302="","",_xlfn.XLOOKUP(H302,'[2]Jan Labour Nd Drivers Hyva'!$B:$B,'[2]Jan Labour Nd Drivers Hyva'!$A:$A,"NOT FOUND"))</f>
        <v/>
      </c>
      <c r="L302" s="11" t="s">
        <v>120</v>
      </c>
      <c r="M302" s="12">
        <v>2</v>
      </c>
      <c r="N302" s="13">
        <v>30000</v>
      </c>
      <c r="O302" s="8">
        <f t="shared" si="49"/>
        <v>60000</v>
      </c>
      <c r="P302" s="13">
        <v>60000</v>
      </c>
      <c r="Q302" s="7">
        <f t="shared" si="55"/>
        <v>0</v>
      </c>
      <c r="R302" t="str">
        <f t="shared" si="50"/>
        <v>PAID</v>
      </c>
      <c r="S302" s="3"/>
      <c r="T302" s="9">
        <f t="shared" si="51"/>
        <v>60000</v>
      </c>
      <c r="U302" t="str">
        <f t="shared" si="52"/>
        <v>OK</v>
      </c>
      <c r="V302" s="10">
        <f t="shared" si="53"/>
        <v>0</v>
      </c>
      <c r="W302" t="str">
        <f t="shared" si="54"/>
        <v>OK</v>
      </c>
      <c r="X302" s="3" t="s">
        <v>28</v>
      </c>
      <c r="Y302" t="s">
        <v>29</v>
      </c>
    </row>
    <row r="303" spans="1:25" x14ac:dyDescent="0.2">
      <c r="A303" t="str">
        <f t="shared" si="45"/>
        <v>TRIP-351</v>
      </c>
      <c r="B303" s="2">
        <v>45817</v>
      </c>
      <c r="C303" s="3" t="str">
        <f>_xlfn.XLOOKUP(D303,'[1]Jan Customer Duplicate Hyva'!$B:$B,'[1]Jan Customer Duplicate Hyva'!$A:$A,"NOT FOUND")</f>
        <v>CUST-067</v>
      </c>
      <c r="D303" s="11" t="s">
        <v>247</v>
      </c>
      <c r="E303" s="11" t="s">
        <v>228</v>
      </c>
      <c r="F303" s="5" t="str">
        <f t="shared" si="46"/>
        <v>Vithal Bhau</v>
      </c>
      <c r="G303" s="5" t="str">
        <f t="shared" si="47"/>
        <v/>
      </c>
      <c r="H303" s="5" t="str">
        <f t="shared" si="48"/>
        <v/>
      </c>
      <c r="I303" s="5" t="str">
        <f>_xlfn.XLOOKUP(F303,'[1]Jan Labour Nd Drivers Hyva'!$B:$B,'[2]Jan Labour Nd Drivers Hyva'!$A:$A,"NOT FOUND")</f>
        <v>LAB-005</v>
      </c>
      <c r="J303" s="5" t="str">
        <f>IF(G303="","",_xlfn.XLOOKUP(G303,'[3]Jan Labour Nd Drivers Hyva'!$B:$B,'[2]Jan Labour Nd Drivers Hyva'!$A:$A,"NOT FOUND"))</f>
        <v/>
      </c>
      <c r="K303" s="5" t="str">
        <f>IF(H303="","",_xlfn.XLOOKUP(H303,'[2]Jan Labour Nd Drivers Hyva'!$B:$B,'[2]Jan Labour Nd Drivers Hyva'!$A:$A,"NOT FOUND"))</f>
        <v/>
      </c>
      <c r="L303" s="11" t="s">
        <v>248</v>
      </c>
      <c r="M303" s="12">
        <v>1</v>
      </c>
      <c r="N303" s="13">
        <v>30000</v>
      </c>
      <c r="O303" s="8">
        <f t="shared" si="49"/>
        <v>30000</v>
      </c>
      <c r="P303" s="13">
        <v>30000</v>
      </c>
      <c r="Q303" s="7">
        <f t="shared" si="55"/>
        <v>0</v>
      </c>
      <c r="R303" t="str">
        <f t="shared" si="50"/>
        <v>PAID</v>
      </c>
      <c r="S303" s="3"/>
      <c r="T303" s="9">
        <f t="shared" si="51"/>
        <v>30000</v>
      </c>
      <c r="U303" t="str">
        <f t="shared" si="52"/>
        <v>OK</v>
      </c>
      <c r="V303" s="10">
        <f t="shared" si="53"/>
        <v>0</v>
      </c>
      <c r="W303" t="str">
        <f t="shared" si="54"/>
        <v>OK</v>
      </c>
      <c r="X303" s="3" t="s">
        <v>28</v>
      </c>
      <c r="Y303" t="s">
        <v>29</v>
      </c>
    </row>
    <row r="304" spans="1:25" x14ac:dyDescent="0.2">
      <c r="A304" t="str">
        <f t="shared" si="45"/>
        <v>TRIP-352</v>
      </c>
      <c r="B304" s="2">
        <v>45817</v>
      </c>
      <c r="C304" s="3" t="str">
        <f>_xlfn.XLOOKUP(D304,'[1]Jan Customer Duplicate Hyva'!$B:$B,'[1]Jan Customer Duplicate Hyva'!$A:$A,"NOT FOUND")</f>
        <v>NOT FOUND</v>
      </c>
      <c r="D304" s="11" t="s">
        <v>249</v>
      </c>
      <c r="E304" s="11" t="s">
        <v>26</v>
      </c>
      <c r="F304" s="5" t="str">
        <f t="shared" si="46"/>
        <v>Anshu</v>
      </c>
      <c r="G304" s="5" t="str">
        <f t="shared" si="47"/>
        <v/>
      </c>
      <c r="H304" s="5" t="str">
        <f t="shared" si="48"/>
        <v/>
      </c>
      <c r="I304" s="5" t="str">
        <f>_xlfn.XLOOKUP(F304,'[1]Jan Labour Nd Drivers Hyva'!$B:$B,'[2]Jan Labour Nd Drivers Hyva'!$A:$A,"NOT FOUND")</f>
        <v>LAB-002</v>
      </c>
      <c r="J304" s="5" t="str">
        <f>IF(G304="","",_xlfn.XLOOKUP(G304,'[3]Jan Labour Nd Drivers Hyva'!$B:$B,'[2]Jan Labour Nd Drivers Hyva'!$A:$A,"NOT FOUND"))</f>
        <v/>
      </c>
      <c r="K304" s="5" t="str">
        <f>IF(H304="","",_xlfn.XLOOKUP(H304,'[2]Jan Labour Nd Drivers Hyva'!$B:$B,'[2]Jan Labour Nd Drivers Hyva'!$A:$A,"NOT FOUND"))</f>
        <v/>
      </c>
      <c r="L304" s="11" t="s">
        <v>250</v>
      </c>
      <c r="M304" s="12">
        <v>1</v>
      </c>
      <c r="N304" s="13">
        <v>0</v>
      </c>
      <c r="O304" s="8">
        <f t="shared" si="49"/>
        <v>0</v>
      </c>
      <c r="P304" s="13"/>
      <c r="Q304" s="7"/>
      <c r="R304" t="str">
        <f t="shared" si="50"/>
        <v>PAID</v>
      </c>
      <c r="S304" s="3"/>
      <c r="T304" s="9">
        <f t="shared" si="51"/>
        <v>0</v>
      </c>
      <c r="U304" t="str">
        <f t="shared" si="52"/>
        <v>OK</v>
      </c>
      <c r="V304" s="10">
        <f t="shared" si="53"/>
        <v>0</v>
      </c>
      <c r="W304" t="str">
        <f t="shared" si="54"/>
        <v>OK</v>
      </c>
      <c r="X304" s="3" t="s">
        <v>28</v>
      </c>
      <c r="Y304" t="s">
        <v>29</v>
      </c>
    </row>
    <row r="305" spans="1:25" x14ac:dyDescent="0.2">
      <c r="A305" t="str">
        <f t="shared" si="45"/>
        <v>TRIP-353</v>
      </c>
      <c r="B305" s="2">
        <v>45817</v>
      </c>
      <c r="C305" s="3" t="str">
        <f>_xlfn.XLOOKUP(D305,'[1]Jan Customer Duplicate Hyva'!$B:$B,'[1]Jan Customer Duplicate Hyva'!$A:$A,"NOT FOUND")</f>
        <v>CUST-220</v>
      </c>
      <c r="D305" s="11" t="s">
        <v>251</v>
      </c>
      <c r="E305" s="11" t="s">
        <v>26</v>
      </c>
      <c r="F305" s="5" t="str">
        <f t="shared" si="46"/>
        <v>Anshu</v>
      </c>
      <c r="G305" s="5" t="str">
        <f t="shared" si="47"/>
        <v/>
      </c>
      <c r="H305" s="5" t="str">
        <f t="shared" si="48"/>
        <v/>
      </c>
      <c r="I305" s="5" t="str">
        <f>_xlfn.XLOOKUP(F305,'[1]Jan Labour Nd Drivers Hyva'!$B:$B,'[2]Jan Labour Nd Drivers Hyva'!$A:$A,"NOT FOUND")</f>
        <v>LAB-002</v>
      </c>
      <c r="J305" s="5" t="str">
        <f>IF(G305="","",_xlfn.XLOOKUP(G305,'[3]Jan Labour Nd Drivers Hyva'!$B:$B,'[2]Jan Labour Nd Drivers Hyva'!$A:$A,"NOT FOUND"))</f>
        <v/>
      </c>
      <c r="K305" s="5" t="str">
        <f>IF(H305="","",_xlfn.XLOOKUP(H305,'[2]Jan Labour Nd Drivers Hyva'!$B:$B,'[2]Jan Labour Nd Drivers Hyva'!$A:$A,"NOT FOUND"))</f>
        <v/>
      </c>
      <c r="L305" s="11" t="s">
        <v>41</v>
      </c>
      <c r="M305" s="12">
        <v>1</v>
      </c>
      <c r="N305" s="13">
        <v>35000</v>
      </c>
      <c r="O305" s="8">
        <f t="shared" si="49"/>
        <v>35000</v>
      </c>
      <c r="P305" s="13">
        <v>35000</v>
      </c>
      <c r="Q305" s="7">
        <f t="shared" ref="Q305:Q337" si="56">O305-P305</f>
        <v>0</v>
      </c>
      <c r="R305" t="str">
        <f t="shared" si="50"/>
        <v>PAID</v>
      </c>
      <c r="S305" s="3"/>
      <c r="T305" s="9">
        <f t="shared" si="51"/>
        <v>35000</v>
      </c>
      <c r="U305" t="str">
        <f t="shared" si="52"/>
        <v>OK</v>
      </c>
      <c r="V305" s="10">
        <f t="shared" si="53"/>
        <v>0</v>
      </c>
      <c r="W305" t="str">
        <f t="shared" si="54"/>
        <v>OK</v>
      </c>
      <c r="X305" s="3" t="s">
        <v>28</v>
      </c>
      <c r="Y305" t="s">
        <v>29</v>
      </c>
    </row>
    <row r="306" spans="1:25" x14ac:dyDescent="0.2">
      <c r="A306" t="str">
        <f t="shared" si="45"/>
        <v>TRIP-354</v>
      </c>
      <c r="B306" s="2">
        <v>45817</v>
      </c>
      <c r="C306" s="3" t="str">
        <f>_xlfn.XLOOKUP(D306,'[1]Jan Customer Duplicate Hyva'!$B:$B,'[1]Jan Customer Duplicate Hyva'!$A:$A,"NOT FOUND")</f>
        <v>CUST-323</v>
      </c>
      <c r="D306" s="3" t="s">
        <v>51</v>
      </c>
      <c r="E306" s="11" t="s">
        <v>228</v>
      </c>
      <c r="F306" s="5" t="str">
        <f t="shared" si="46"/>
        <v>Vithal Bhau</v>
      </c>
      <c r="G306" s="5" t="str">
        <f t="shared" si="47"/>
        <v/>
      </c>
      <c r="H306" s="5" t="str">
        <f t="shared" si="48"/>
        <v/>
      </c>
      <c r="I306" s="5" t="str">
        <f>_xlfn.XLOOKUP(F306,'[1]Jan Labour Nd Drivers Hyva'!$B:$B,'[2]Jan Labour Nd Drivers Hyva'!$A:$A,"NOT FOUND")</f>
        <v>LAB-005</v>
      </c>
      <c r="J306" s="5" t="str">
        <f>IF(G306="","",_xlfn.XLOOKUP(G306,'[3]Jan Labour Nd Drivers Hyva'!$B:$B,'[2]Jan Labour Nd Drivers Hyva'!$A:$A,"NOT FOUND"))</f>
        <v/>
      </c>
      <c r="K306" s="5" t="str">
        <f>IF(H306="","",_xlfn.XLOOKUP(H306,'[2]Jan Labour Nd Drivers Hyva'!$B:$B,'[2]Jan Labour Nd Drivers Hyva'!$A:$A,"NOT FOUND"))</f>
        <v/>
      </c>
      <c r="L306" s="11" t="s">
        <v>252</v>
      </c>
      <c r="M306" s="12">
        <v>1</v>
      </c>
      <c r="N306" s="13">
        <v>39000</v>
      </c>
      <c r="O306" s="8">
        <f t="shared" si="49"/>
        <v>39000</v>
      </c>
      <c r="P306" s="13"/>
      <c r="Q306" s="7">
        <f t="shared" si="56"/>
        <v>39000</v>
      </c>
      <c r="R306" t="str">
        <f t="shared" si="50"/>
        <v>UNPAID</v>
      </c>
      <c r="S306" s="3"/>
      <c r="T306" s="9">
        <f t="shared" si="51"/>
        <v>39000</v>
      </c>
      <c r="U306" t="str">
        <f t="shared" si="52"/>
        <v>OK</v>
      </c>
      <c r="V306" s="10">
        <f t="shared" si="53"/>
        <v>39000</v>
      </c>
      <c r="W306" t="str">
        <f t="shared" si="54"/>
        <v>OK</v>
      </c>
      <c r="X306" s="3" t="s">
        <v>28</v>
      </c>
      <c r="Y306" t="s">
        <v>29</v>
      </c>
    </row>
    <row r="307" spans="1:25" x14ac:dyDescent="0.2">
      <c r="A307" t="str">
        <f t="shared" si="45"/>
        <v>TRIP-355</v>
      </c>
      <c r="B307" s="2">
        <v>45818</v>
      </c>
      <c r="C307" s="3" t="str">
        <f>_xlfn.XLOOKUP(D307,'[1]Jan Customer Duplicate Hyva'!$B:$B,'[1]Jan Customer Duplicate Hyva'!$A:$A,"NOT FOUND")</f>
        <v>NOT FOUND</v>
      </c>
      <c r="D307" s="11" t="s">
        <v>249</v>
      </c>
      <c r="E307" s="11" t="s">
        <v>26</v>
      </c>
      <c r="F307" s="5" t="str">
        <f t="shared" si="46"/>
        <v>Anshu</v>
      </c>
      <c r="G307" s="5" t="str">
        <f t="shared" si="47"/>
        <v/>
      </c>
      <c r="H307" s="5" t="str">
        <f t="shared" si="48"/>
        <v/>
      </c>
      <c r="I307" s="5" t="str">
        <f>_xlfn.XLOOKUP(F307,'[1]Jan Labour Nd Drivers Hyva'!$B:$B,'[2]Jan Labour Nd Drivers Hyva'!$A:$A,"NOT FOUND")</f>
        <v>LAB-002</v>
      </c>
      <c r="J307" s="5" t="str">
        <f>IF(G307="","",_xlfn.XLOOKUP(G307,'[3]Jan Labour Nd Drivers Hyva'!$B:$B,'[2]Jan Labour Nd Drivers Hyva'!$A:$A,"NOT FOUND"))</f>
        <v/>
      </c>
      <c r="K307" s="5" t="str">
        <f>IF(H307="","",_xlfn.XLOOKUP(H307,'[2]Jan Labour Nd Drivers Hyva'!$B:$B,'[2]Jan Labour Nd Drivers Hyva'!$A:$A,"NOT FOUND"))</f>
        <v/>
      </c>
      <c r="L307" s="11" t="s">
        <v>250</v>
      </c>
      <c r="M307" s="12">
        <v>2</v>
      </c>
      <c r="N307" s="13">
        <v>0</v>
      </c>
      <c r="O307" s="8">
        <f t="shared" si="49"/>
        <v>0</v>
      </c>
      <c r="P307" s="13"/>
      <c r="Q307" s="7">
        <f t="shared" si="56"/>
        <v>0</v>
      </c>
      <c r="R307" t="str">
        <f t="shared" si="50"/>
        <v>PAID</v>
      </c>
      <c r="S307" s="3"/>
      <c r="T307" s="9">
        <f t="shared" si="51"/>
        <v>0</v>
      </c>
      <c r="U307" t="str">
        <f t="shared" si="52"/>
        <v>OK</v>
      </c>
      <c r="V307" s="10">
        <f t="shared" si="53"/>
        <v>0</v>
      </c>
      <c r="W307" t="str">
        <f t="shared" si="54"/>
        <v>OK</v>
      </c>
      <c r="X307" s="3" t="s">
        <v>28</v>
      </c>
      <c r="Y307" t="s">
        <v>29</v>
      </c>
    </row>
    <row r="308" spans="1:25" x14ac:dyDescent="0.2">
      <c r="A308" t="str">
        <f t="shared" si="45"/>
        <v>TRIP-356</v>
      </c>
      <c r="B308" s="2">
        <v>45818</v>
      </c>
      <c r="C308" s="3" t="str">
        <f>_xlfn.XLOOKUP(D308,'[1]Jan Customer Duplicate Hyva'!$B:$B,'[1]Jan Customer Duplicate Hyva'!$A:$A,"NOT FOUND")</f>
        <v>CUST-279</v>
      </c>
      <c r="D308" s="11" t="s">
        <v>236</v>
      </c>
      <c r="E308" s="11" t="s">
        <v>26</v>
      </c>
      <c r="F308" s="5" t="str">
        <f t="shared" si="46"/>
        <v>Anshu</v>
      </c>
      <c r="G308" s="5" t="str">
        <f t="shared" si="47"/>
        <v/>
      </c>
      <c r="H308" s="5" t="str">
        <f t="shared" si="48"/>
        <v/>
      </c>
      <c r="I308" s="5" t="str">
        <f>_xlfn.XLOOKUP(F308,'[1]Jan Labour Nd Drivers Hyva'!$B:$B,'[2]Jan Labour Nd Drivers Hyva'!$A:$A,"NOT FOUND")</f>
        <v>LAB-002</v>
      </c>
      <c r="J308" s="5" t="str">
        <f>IF(G308="","",_xlfn.XLOOKUP(G308,'[3]Jan Labour Nd Drivers Hyva'!$B:$B,'[2]Jan Labour Nd Drivers Hyva'!$A:$A,"NOT FOUND"))</f>
        <v/>
      </c>
      <c r="K308" s="5" t="str">
        <f>IF(H308="","",_xlfn.XLOOKUP(H308,'[2]Jan Labour Nd Drivers Hyva'!$B:$B,'[2]Jan Labour Nd Drivers Hyva'!$A:$A,"NOT FOUND"))</f>
        <v/>
      </c>
      <c r="L308" s="11" t="s">
        <v>142</v>
      </c>
      <c r="M308" s="12">
        <v>2</v>
      </c>
      <c r="N308" s="13">
        <v>28000</v>
      </c>
      <c r="O308" s="8">
        <f t="shared" si="49"/>
        <v>56000</v>
      </c>
      <c r="P308" s="13"/>
      <c r="Q308" s="7">
        <f t="shared" si="56"/>
        <v>56000</v>
      </c>
      <c r="R308" t="str">
        <f t="shared" si="50"/>
        <v>UNPAID</v>
      </c>
      <c r="S308" s="3"/>
      <c r="T308" s="9">
        <f t="shared" si="51"/>
        <v>56000</v>
      </c>
      <c r="U308" t="str">
        <f t="shared" si="52"/>
        <v>OK</v>
      </c>
      <c r="V308" s="10">
        <f t="shared" si="53"/>
        <v>56000</v>
      </c>
      <c r="W308" t="str">
        <f t="shared" si="54"/>
        <v>OK</v>
      </c>
      <c r="X308" s="3" t="s">
        <v>28</v>
      </c>
      <c r="Y308" t="s">
        <v>29</v>
      </c>
    </row>
    <row r="309" spans="1:25" x14ac:dyDescent="0.2">
      <c r="A309" t="str">
        <f t="shared" si="45"/>
        <v>TRIP-357</v>
      </c>
      <c r="B309" s="2">
        <v>45818</v>
      </c>
      <c r="C309" s="3" t="str">
        <f>_xlfn.XLOOKUP(D309,'[1]Jan Customer Duplicate Hyva'!$B:$B,'[1]Jan Customer Duplicate Hyva'!$A:$A,"NOT FOUND")</f>
        <v>CUST-374</v>
      </c>
      <c r="D309" s="11" t="s">
        <v>246</v>
      </c>
      <c r="E309" s="11" t="s">
        <v>30</v>
      </c>
      <c r="F309" s="5" t="str">
        <f t="shared" si="46"/>
        <v>Ravi</v>
      </c>
      <c r="G309" s="5" t="str">
        <f t="shared" si="47"/>
        <v/>
      </c>
      <c r="H309" s="5" t="str">
        <f t="shared" si="48"/>
        <v/>
      </c>
      <c r="I309" s="5" t="str">
        <f>_xlfn.XLOOKUP(F309,'[1]Jan Labour Nd Drivers Hyva'!$B:$B,'[2]Jan Labour Nd Drivers Hyva'!$A:$A,"NOT FOUND")</f>
        <v>LAB-003</v>
      </c>
      <c r="J309" s="5" t="str">
        <f>IF(G309="","",_xlfn.XLOOKUP(G309,'[3]Jan Labour Nd Drivers Hyva'!$B:$B,'[2]Jan Labour Nd Drivers Hyva'!$A:$A,"NOT FOUND"))</f>
        <v/>
      </c>
      <c r="K309" s="5" t="str">
        <f>IF(H309="","",_xlfn.XLOOKUP(H309,'[2]Jan Labour Nd Drivers Hyva'!$B:$B,'[2]Jan Labour Nd Drivers Hyva'!$A:$A,"NOT FOUND"))</f>
        <v/>
      </c>
      <c r="L309" s="11" t="s">
        <v>120</v>
      </c>
      <c r="M309" s="12">
        <v>4</v>
      </c>
      <c r="N309" s="13">
        <v>30000</v>
      </c>
      <c r="O309" s="8">
        <f t="shared" si="49"/>
        <v>120000</v>
      </c>
      <c r="P309" s="13">
        <v>120000</v>
      </c>
      <c r="Q309" s="7">
        <f t="shared" si="56"/>
        <v>0</v>
      </c>
      <c r="R309" t="str">
        <f t="shared" si="50"/>
        <v>PAID</v>
      </c>
      <c r="S309" s="3"/>
      <c r="T309" s="9">
        <f t="shared" si="51"/>
        <v>120000</v>
      </c>
      <c r="U309" t="str">
        <f t="shared" si="52"/>
        <v>OK</v>
      </c>
      <c r="V309" s="10">
        <f t="shared" si="53"/>
        <v>0</v>
      </c>
      <c r="W309" t="str">
        <f t="shared" si="54"/>
        <v>OK</v>
      </c>
      <c r="X309" s="3" t="s">
        <v>28</v>
      </c>
      <c r="Y309" t="s">
        <v>29</v>
      </c>
    </row>
    <row r="310" spans="1:25" x14ac:dyDescent="0.2">
      <c r="A310" t="str">
        <f t="shared" si="45"/>
        <v>TRIP-358</v>
      </c>
      <c r="B310" s="2">
        <v>45819</v>
      </c>
      <c r="C310" s="3" t="str">
        <f>_xlfn.XLOOKUP(D310,'[1]Jan Customer Duplicate Hyva'!$B:$B,'[1]Jan Customer Duplicate Hyva'!$A:$A,"NOT FOUND")</f>
        <v>CUST-236</v>
      </c>
      <c r="D310" s="11" t="s">
        <v>58</v>
      </c>
      <c r="E310" s="11" t="s">
        <v>26</v>
      </c>
      <c r="F310" s="5" t="str">
        <f t="shared" si="46"/>
        <v>Anshu</v>
      </c>
      <c r="G310" s="5" t="str">
        <f t="shared" si="47"/>
        <v/>
      </c>
      <c r="H310" s="5" t="str">
        <f t="shared" si="48"/>
        <v/>
      </c>
      <c r="I310" s="5" t="str">
        <f>_xlfn.XLOOKUP(F310,'[1]Jan Labour Nd Drivers Hyva'!$B:$B,'[2]Jan Labour Nd Drivers Hyva'!$A:$A,"NOT FOUND")</f>
        <v>LAB-002</v>
      </c>
      <c r="J310" s="5" t="str">
        <f>IF(G310="","",_xlfn.XLOOKUP(G310,'[3]Jan Labour Nd Drivers Hyva'!$B:$B,'[2]Jan Labour Nd Drivers Hyva'!$A:$A,"NOT FOUND"))</f>
        <v/>
      </c>
      <c r="K310" s="5" t="str">
        <f>IF(H310="","",_xlfn.XLOOKUP(H310,'[2]Jan Labour Nd Drivers Hyva'!$B:$B,'[2]Jan Labour Nd Drivers Hyva'!$A:$A,"NOT FOUND"))</f>
        <v/>
      </c>
      <c r="L310" s="11" t="s">
        <v>89</v>
      </c>
      <c r="M310" s="12">
        <v>1</v>
      </c>
      <c r="N310" s="13">
        <v>35000</v>
      </c>
      <c r="O310" s="8">
        <f t="shared" si="49"/>
        <v>35000</v>
      </c>
      <c r="P310" s="13">
        <v>35000</v>
      </c>
      <c r="Q310" s="7">
        <f t="shared" si="56"/>
        <v>0</v>
      </c>
      <c r="R310" t="str">
        <f t="shared" si="50"/>
        <v>PAID</v>
      </c>
      <c r="S310" s="3"/>
      <c r="T310" s="9">
        <f t="shared" si="51"/>
        <v>35000</v>
      </c>
      <c r="U310" t="str">
        <f t="shared" si="52"/>
        <v>OK</v>
      </c>
      <c r="V310" s="10">
        <f t="shared" si="53"/>
        <v>0</v>
      </c>
      <c r="W310" t="str">
        <f t="shared" si="54"/>
        <v>OK</v>
      </c>
      <c r="X310" s="3" t="s">
        <v>28</v>
      </c>
      <c r="Y310" t="s">
        <v>29</v>
      </c>
    </row>
    <row r="311" spans="1:25" x14ac:dyDescent="0.2">
      <c r="A311" t="str">
        <f t="shared" si="45"/>
        <v>TRIP-359</v>
      </c>
      <c r="B311" s="2">
        <v>45819</v>
      </c>
      <c r="C311" s="3" t="str">
        <f>_xlfn.XLOOKUP(D311,'[1]Jan Customer Duplicate Hyva'!$B:$B,'[1]Jan Customer Duplicate Hyva'!$A:$A,"NOT FOUND")</f>
        <v>CUST-255</v>
      </c>
      <c r="D311" s="11" t="s">
        <v>75</v>
      </c>
      <c r="E311" s="11" t="s">
        <v>26</v>
      </c>
      <c r="F311" s="5" t="str">
        <f t="shared" si="46"/>
        <v>Anshu</v>
      </c>
      <c r="G311" s="5" t="str">
        <f t="shared" si="47"/>
        <v/>
      </c>
      <c r="H311" s="5" t="str">
        <f t="shared" si="48"/>
        <v/>
      </c>
      <c r="I311" s="5" t="str">
        <f>_xlfn.XLOOKUP(F311,'[1]Jan Labour Nd Drivers Hyva'!$B:$B,'[2]Jan Labour Nd Drivers Hyva'!$A:$A,"NOT FOUND")</f>
        <v>LAB-002</v>
      </c>
      <c r="J311" s="5" t="str">
        <f>IF(G311="","",_xlfn.XLOOKUP(G311,'[3]Jan Labour Nd Drivers Hyva'!$B:$B,'[2]Jan Labour Nd Drivers Hyva'!$A:$A,"NOT FOUND"))</f>
        <v/>
      </c>
      <c r="K311" s="5" t="str">
        <f>IF(H311="","",_xlfn.XLOOKUP(H311,'[2]Jan Labour Nd Drivers Hyva'!$B:$B,'[2]Jan Labour Nd Drivers Hyva'!$A:$A,"NOT FOUND"))</f>
        <v/>
      </c>
      <c r="L311" s="11" t="s">
        <v>116</v>
      </c>
      <c r="M311" s="12">
        <v>1</v>
      </c>
      <c r="N311" s="13">
        <v>32000</v>
      </c>
      <c r="O311" s="8">
        <f t="shared" si="49"/>
        <v>32000</v>
      </c>
      <c r="P311" s="13">
        <v>32000</v>
      </c>
      <c r="Q311" s="7">
        <f t="shared" si="56"/>
        <v>0</v>
      </c>
      <c r="R311" t="str">
        <f t="shared" si="50"/>
        <v>PAID</v>
      </c>
      <c r="S311" s="3"/>
      <c r="T311" s="9">
        <f t="shared" si="51"/>
        <v>32000</v>
      </c>
      <c r="U311" t="str">
        <f t="shared" si="52"/>
        <v>OK</v>
      </c>
      <c r="V311" s="10">
        <f t="shared" si="53"/>
        <v>0</v>
      </c>
      <c r="W311" t="str">
        <f t="shared" si="54"/>
        <v>OK</v>
      </c>
      <c r="X311" s="3" t="s">
        <v>28</v>
      </c>
      <c r="Y311" t="s">
        <v>29</v>
      </c>
    </row>
    <row r="312" spans="1:25" x14ac:dyDescent="0.2">
      <c r="A312" t="str">
        <f t="shared" si="45"/>
        <v>TRIP-360</v>
      </c>
      <c r="B312" s="2">
        <v>45820</v>
      </c>
      <c r="C312" s="3" t="str">
        <f>_xlfn.XLOOKUP(D312,'[1]Jan Customer Duplicate Hyva'!$B:$B,'[1]Jan Customer Duplicate Hyva'!$A:$A,"NOT FOUND")</f>
        <v>CUST-279</v>
      </c>
      <c r="D312" s="11" t="s">
        <v>236</v>
      </c>
      <c r="E312" s="11" t="s">
        <v>26</v>
      </c>
      <c r="F312" s="5" t="str">
        <f t="shared" si="46"/>
        <v>Anshu</v>
      </c>
      <c r="G312" s="5" t="str">
        <f t="shared" si="47"/>
        <v/>
      </c>
      <c r="H312" s="5" t="str">
        <f t="shared" si="48"/>
        <v/>
      </c>
      <c r="I312" s="5" t="str">
        <f>_xlfn.XLOOKUP(F312,'[1]Jan Labour Nd Drivers Hyva'!$B:$B,'[2]Jan Labour Nd Drivers Hyva'!$A:$A,"NOT FOUND")</f>
        <v>LAB-002</v>
      </c>
      <c r="J312" s="5" t="str">
        <f>IF(G312="","",_xlfn.XLOOKUP(G312,'[3]Jan Labour Nd Drivers Hyva'!$B:$B,'[2]Jan Labour Nd Drivers Hyva'!$A:$A,"NOT FOUND"))</f>
        <v/>
      </c>
      <c r="K312" s="5" t="str">
        <f>IF(H312="","",_xlfn.XLOOKUP(H312,'[2]Jan Labour Nd Drivers Hyva'!$B:$B,'[2]Jan Labour Nd Drivers Hyva'!$A:$A,"NOT FOUND"))</f>
        <v/>
      </c>
      <c r="L312" s="11" t="s">
        <v>142</v>
      </c>
      <c r="M312" s="12">
        <v>2</v>
      </c>
      <c r="N312" s="13">
        <v>28000</v>
      </c>
      <c r="O312" s="8">
        <f t="shared" si="49"/>
        <v>56000</v>
      </c>
      <c r="P312" s="13"/>
      <c r="Q312" s="7">
        <f t="shared" si="56"/>
        <v>56000</v>
      </c>
      <c r="R312" t="str">
        <f t="shared" si="50"/>
        <v>UNPAID</v>
      </c>
      <c r="S312" s="3"/>
      <c r="T312" s="9">
        <f t="shared" si="51"/>
        <v>56000</v>
      </c>
      <c r="U312" t="str">
        <f t="shared" si="52"/>
        <v>OK</v>
      </c>
      <c r="V312" s="10">
        <f t="shared" si="53"/>
        <v>56000</v>
      </c>
      <c r="W312" t="str">
        <f t="shared" si="54"/>
        <v>OK</v>
      </c>
      <c r="X312" s="3" t="s">
        <v>28</v>
      </c>
      <c r="Y312" t="s">
        <v>29</v>
      </c>
    </row>
    <row r="313" spans="1:25" x14ac:dyDescent="0.2">
      <c r="A313" t="str">
        <f t="shared" si="45"/>
        <v>TRIP-361</v>
      </c>
      <c r="B313" s="2">
        <v>45820</v>
      </c>
      <c r="C313" s="3" t="str">
        <f>_xlfn.XLOOKUP(D313,'[1]Jan Customer Duplicate Hyva'!$B:$B,'[1]Jan Customer Duplicate Hyva'!$A:$A,"NOT FOUND")</f>
        <v>CUST-206</v>
      </c>
      <c r="D313" s="11" t="s">
        <v>158</v>
      </c>
      <c r="E313" s="11" t="s">
        <v>26</v>
      </c>
      <c r="F313" s="5" t="str">
        <f t="shared" si="46"/>
        <v>Anshu</v>
      </c>
      <c r="G313" s="5" t="str">
        <f t="shared" si="47"/>
        <v/>
      </c>
      <c r="H313" s="5" t="str">
        <f t="shared" si="48"/>
        <v/>
      </c>
      <c r="I313" s="5" t="str">
        <f>_xlfn.XLOOKUP(F313,'[1]Jan Labour Nd Drivers Hyva'!$B:$B,'[2]Jan Labour Nd Drivers Hyva'!$A:$A,"NOT FOUND")</f>
        <v>LAB-002</v>
      </c>
      <c r="J313" s="5" t="str">
        <f>IF(G313="","",_xlfn.XLOOKUP(G313,'[3]Jan Labour Nd Drivers Hyva'!$B:$B,'[2]Jan Labour Nd Drivers Hyva'!$A:$A,"NOT FOUND"))</f>
        <v/>
      </c>
      <c r="K313" s="5" t="str">
        <f>IF(H313="","",_xlfn.XLOOKUP(H313,'[2]Jan Labour Nd Drivers Hyva'!$B:$B,'[2]Jan Labour Nd Drivers Hyva'!$A:$A,"NOT FOUND"))</f>
        <v/>
      </c>
      <c r="L313" s="11" t="s">
        <v>142</v>
      </c>
      <c r="M313" s="12">
        <v>1</v>
      </c>
      <c r="N313" s="13">
        <v>32000</v>
      </c>
      <c r="O313" s="8">
        <f t="shared" si="49"/>
        <v>32000</v>
      </c>
      <c r="P313" s="13">
        <v>32000</v>
      </c>
      <c r="Q313" s="7">
        <f t="shared" si="56"/>
        <v>0</v>
      </c>
      <c r="R313" t="str">
        <f t="shared" si="50"/>
        <v>PAID</v>
      </c>
      <c r="S313" s="3"/>
      <c r="T313" s="9">
        <f t="shared" si="51"/>
        <v>32000</v>
      </c>
      <c r="U313" t="str">
        <f t="shared" si="52"/>
        <v>OK</v>
      </c>
      <c r="V313" s="10">
        <f t="shared" si="53"/>
        <v>0</v>
      </c>
      <c r="W313" t="str">
        <f t="shared" si="54"/>
        <v>OK</v>
      </c>
      <c r="X313" s="3" t="s">
        <v>28</v>
      </c>
      <c r="Y313" t="s">
        <v>29</v>
      </c>
    </row>
    <row r="314" spans="1:25" x14ac:dyDescent="0.2">
      <c r="A314" t="str">
        <f t="shared" si="45"/>
        <v>TRIP-362</v>
      </c>
      <c r="B314" s="2">
        <v>45820</v>
      </c>
      <c r="C314" s="3" t="str">
        <f>_xlfn.XLOOKUP(D314,'[1]Jan Customer Duplicate Hyva'!$B:$B,'[1]Jan Customer Duplicate Hyva'!$A:$A,"NOT FOUND")</f>
        <v>CUST-374</v>
      </c>
      <c r="D314" s="11" t="s">
        <v>246</v>
      </c>
      <c r="E314" s="11" t="s">
        <v>26</v>
      </c>
      <c r="F314" s="5" t="str">
        <f t="shared" si="46"/>
        <v>Anshu</v>
      </c>
      <c r="G314" s="5" t="str">
        <f t="shared" si="47"/>
        <v/>
      </c>
      <c r="H314" s="5" t="str">
        <f t="shared" si="48"/>
        <v/>
      </c>
      <c r="I314" s="5" t="str">
        <f>_xlfn.XLOOKUP(F314,'[1]Jan Labour Nd Drivers Hyva'!$B:$B,'[2]Jan Labour Nd Drivers Hyva'!$A:$A,"NOT FOUND")</f>
        <v>LAB-002</v>
      </c>
      <c r="J314" s="5" t="str">
        <f>IF(G314="","",_xlfn.XLOOKUP(G314,'[3]Jan Labour Nd Drivers Hyva'!$B:$B,'[2]Jan Labour Nd Drivers Hyva'!$A:$A,"NOT FOUND"))</f>
        <v/>
      </c>
      <c r="K314" s="5" t="str">
        <f>IF(H314="","",_xlfn.XLOOKUP(H314,'[2]Jan Labour Nd Drivers Hyva'!$B:$B,'[2]Jan Labour Nd Drivers Hyva'!$A:$A,"NOT FOUND"))</f>
        <v/>
      </c>
      <c r="L314" s="11" t="s">
        <v>120</v>
      </c>
      <c r="M314" s="12">
        <v>2</v>
      </c>
      <c r="N314" s="13">
        <v>30000</v>
      </c>
      <c r="O314" s="8">
        <f t="shared" si="49"/>
        <v>60000</v>
      </c>
      <c r="P314" s="13">
        <v>60000</v>
      </c>
      <c r="Q314" s="7">
        <f t="shared" si="56"/>
        <v>0</v>
      </c>
      <c r="R314" t="str">
        <f t="shared" si="50"/>
        <v>PAID</v>
      </c>
      <c r="S314" s="3"/>
      <c r="T314" s="9">
        <f t="shared" si="51"/>
        <v>60000</v>
      </c>
      <c r="U314" t="str">
        <f t="shared" si="52"/>
        <v>OK</v>
      </c>
      <c r="V314" s="10">
        <f t="shared" si="53"/>
        <v>0</v>
      </c>
      <c r="W314" t="str">
        <f t="shared" si="54"/>
        <v>OK</v>
      </c>
      <c r="X314" s="3" t="s">
        <v>28</v>
      </c>
      <c r="Y314" t="s">
        <v>29</v>
      </c>
    </row>
    <row r="315" spans="1:25" x14ac:dyDescent="0.2">
      <c r="A315" t="str">
        <f t="shared" si="45"/>
        <v>TRIP-363</v>
      </c>
      <c r="B315" s="2">
        <v>45821</v>
      </c>
      <c r="C315" s="3" t="str">
        <f>_xlfn.XLOOKUP(D315,'[1]Jan Customer Duplicate Hyva'!$B:$B,'[1]Jan Customer Duplicate Hyva'!$A:$A,"NOT FOUND")</f>
        <v>CUST-050</v>
      </c>
      <c r="D315" s="11" t="s">
        <v>69</v>
      </c>
      <c r="E315" s="11" t="s">
        <v>30</v>
      </c>
      <c r="F315" s="5" t="str">
        <f t="shared" si="46"/>
        <v>Ravi</v>
      </c>
      <c r="G315" s="5" t="str">
        <f t="shared" si="47"/>
        <v/>
      </c>
      <c r="H315" s="5" t="str">
        <f t="shared" si="48"/>
        <v/>
      </c>
      <c r="I315" s="5" t="str">
        <f>_xlfn.XLOOKUP(F315,'[1]Jan Labour Nd Drivers Hyva'!$B:$B,'[2]Jan Labour Nd Drivers Hyva'!$A:$A,"NOT FOUND")</f>
        <v>LAB-003</v>
      </c>
      <c r="J315" s="5" t="str">
        <f>IF(G315="","",_xlfn.XLOOKUP(G315,'[3]Jan Labour Nd Drivers Hyva'!$B:$B,'[2]Jan Labour Nd Drivers Hyva'!$A:$A,"NOT FOUND"))</f>
        <v/>
      </c>
      <c r="K315" s="5" t="str">
        <f>IF(H315="","",_xlfn.XLOOKUP(H315,'[2]Jan Labour Nd Drivers Hyva'!$B:$B,'[2]Jan Labour Nd Drivers Hyva'!$A:$A,"NOT FOUND"))</f>
        <v/>
      </c>
      <c r="L315" s="11" t="s">
        <v>253</v>
      </c>
      <c r="M315" s="12">
        <v>6</v>
      </c>
      <c r="N315" s="13">
        <v>35000</v>
      </c>
      <c r="O315" s="8">
        <f t="shared" si="49"/>
        <v>210000</v>
      </c>
      <c r="P315" s="13"/>
      <c r="Q315" s="7">
        <f t="shared" si="56"/>
        <v>210000</v>
      </c>
      <c r="R315" t="str">
        <f t="shared" si="50"/>
        <v>UNPAID</v>
      </c>
      <c r="S315" s="3"/>
      <c r="T315" s="9">
        <f t="shared" si="51"/>
        <v>210000</v>
      </c>
      <c r="U315" t="str">
        <f t="shared" si="52"/>
        <v>OK</v>
      </c>
      <c r="V315" s="10">
        <f t="shared" si="53"/>
        <v>210000</v>
      </c>
      <c r="W315" t="str">
        <f t="shared" si="54"/>
        <v>OK</v>
      </c>
      <c r="X315" s="3" t="s">
        <v>28</v>
      </c>
      <c r="Y315" t="s">
        <v>29</v>
      </c>
    </row>
    <row r="316" spans="1:25" x14ac:dyDescent="0.2">
      <c r="A316" t="str">
        <f t="shared" si="45"/>
        <v>TRIP-364</v>
      </c>
      <c r="B316" s="2">
        <v>45821</v>
      </c>
      <c r="C316" s="3" t="str">
        <f>_xlfn.XLOOKUP(D316,'[1]Jan Customer Duplicate Hyva'!$B:$B,'[1]Jan Customer Duplicate Hyva'!$A:$A,"NOT FOUND")</f>
        <v>CUST-279</v>
      </c>
      <c r="D316" s="11" t="s">
        <v>236</v>
      </c>
      <c r="E316" s="11" t="s">
        <v>26</v>
      </c>
      <c r="F316" s="5" t="str">
        <f t="shared" si="46"/>
        <v>Anshu</v>
      </c>
      <c r="G316" s="5" t="str">
        <f t="shared" si="47"/>
        <v/>
      </c>
      <c r="H316" s="5" t="str">
        <f t="shared" si="48"/>
        <v/>
      </c>
      <c r="I316" s="5" t="str">
        <f>_xlfn.XLOOKUP(F316,'[1]Jan Labour Nd Drivers Hyva'!$B:$B,'[2]Jan Labour Nd Drivers Hyva'!$A:$A,"NOT FOUND")</f>
        <v>LAB-002</v>
      </c>
      <c r="J316" s="5" t="str">
        <f>IF(G316="","",_xlfn.XLOOKUP(G316,'[3]Jan Labour Nd Drivers Hyva'!$B:$B,'[2]Jan Labour Nd Drivers Hyva'!$A:$A,"NOT FOUND"))</f>
        <v/>
      </c>
      <c r="K316" s="5" t="str">
        <f>IF(H316="","",_xlfn.XLOOKUP(H316,'[2]Jan Labour Nd Drivers Hyva'!$B:$B,'[2]Jan Labour Nd Drivers Hyva'!$A:$A,"NOT FOUND"))</f>
        <v/>
      </c>
      <c r="L316" s="11" t="s">
        <v>142</v>
      </c>
      <c r="M316" s="12">
        <v>2</v>
      </c>
      <c r="N316" s="13">
        <v>28000</v>
      </c>
      <c r="O316" s="8">
        <f t="shared" si="49"/>
        <v>56000</v>
      </c>
      <c r="P316" s="13"/>
      <c r="Q316" s="7">
        <f t="shared" si="56"/>
        <v>56000</v>
      </c>
      <c r="R316" t="str">
        <f t="shared" si="50"/>
        <v>UNPAID</v>
      </c>
      <c r="S316" s="3"/>
      <c r="T316" s="9">
        <f t="shared" si="51"/>
        <v>56000</v>
      </c>
      <c r="U316" t="str">
        <f t="shared" si="52"/>
        <v>OK</v>
      </c>
      <c r="V316" s="10">
        <f t="shared" si="53"/>
        <v>56000</v>
      </c>
      <c r="W316" t="str">
        <f t="shared" si="54"/>
        <v>OK</v>
      </c>
      <c r="X316" s="3" t="s">
        <v>28</v>
      </c>
      <c r="Y316" t="s">
        <v>29</v>
      </c>
    </row>
    <row r="317" spans="1:25" x14ac:dyDescent="0.2">
      <c r="A317" t="str">
        <f t="shared" si="45"/>
        <v>TRIP-365</v>
      </c>
      <c r="B317" s="2">
        <v>45821</v>
      </c>
      <c r="C317" s="3" t="str">
        <f>_xlfn.XLOOKUP(D317,'[1]Jan Customer Duplicate Hyva'!$B:$B,'[1]Jan Customer Duplicate Hyva'!$A:$A,"NOT FOUND")</f>
        <v>CUST-374</v>
      </c>
      <c r="D317" s="11" t="s">
        <v>246</v>
      </c>
      <c r="E317" s="11" t="s">
        <v>26</v>
      </c>
      <c r="F317" s="5" t="str">
        <f t="shared" si="46"/>
        <v>Anshu</v>
      </c>
      <c r="G317" s="5" t="str">
        <f t="shared" si="47"/>
        <v/>
      </c>
      <c r="H317" s="5" t="str">
        <f t="shared" si="48"/>
        <v/>
      </c>
      <c r="I317" s="5" t="str">
        <f>_xlfn.XLOOKUP(F317,'[1]Jan Labour Nd Drivers Hyva'!$B:$B,'[2]Jan Labour Nd Drivers Hyva'!$A:$A,"NOT FOUND")</f>
        <v>LAB-002</v>
      </c>
      <c r="J317" s="5" t="str">
        <f>IF(G317="","",_xlfn.XLOOKUP(G317,'[3]Jan Labour Nd Drivers Hyva'!$B:$B,'[2]Jan Labour Nd Drivers Hyva'!$A:$A,"NOT FOUND"))</f>
        <v/>
      </c>
      <c r="K317" s="5" t="str">
        <f>IF(H317="","",_xlfn.XLOOKUP(H317,'[2]Jan Labour Nd Drivers Hyva'!$B:$B,'[2]Jan Labour Nd Drivers Hyva'!$A:$A,"NOT FOUND"))</f>
        <v/>
      </c>
      <c r="L317" s="11" t="s">
        <v>120</v>
      </c>
      <c r="M317" s="12">
        <v>1</v>
      </c>
      <c r="N317" s="13">
        <v>30000</v>
      </c>
      <c r="O317" s="8">
        <f t="shared" si="49"/>
        <v>30000</v>
      </c>
      <c r="P317" s="13">
        <v>30000</v>
      </c>
      <c r="Q317" s="7">
        <f t="shared" si="56"/>
        <v>0</v>
      </c>
      <c r="R317" t="str">
        <f t="shared" si="50"/>
        <v>PAID</v>
      </c>
      <c r="S317" s="3"/>
      <c r="T317" s="9">
        <f t="shared" si="51"/>
        <v>30000</v>
      </c>
      <c r="U317" t="str">
        <f t="shared" si="52"/>
        <v>OK</v>
      </c>
      <c r="V317" s="10">
        <f t="shared" si="53"/>
        <v>0</v>
      </c>
      <c r="W317" t="str">
        <f t="shared" si="54"/>
        <v>OK</v>
      </c>
      <c r="X317" s="3" t="s">
        <v>28</v>
      </c>
      <c r="Y317" t="s">
        <v>29</v>
      </c>
    </row>
    <row r="318" spans="1:25" x14ac:dyDescent="0.2">
      <c r="A318" t="str">
        <f t="shared" si="45"/>
        <v>TRIP-366</v>
      </c>
      <c r="B318" s="2">
        <v>45821</v>
      </c>
      <c r="C318" s="3" t="str">
        <f>_xlfn.XLOOKUP(D318,'[1]Jan Customer Duplicate Hyva'!$B:$B,'[1]Jan Customer Duplicate Hyva'!$A:$A,"NOT FOUND")</f>
        <v>CUST-236</v>
      </c>
      <c r="D318" s="11" t="s">
        <v>58</v>
      </c>
      <c r="E318" s="11" t="s">
        <v>26</v>
      </c>
      <c r="F318" s="5" t="str">
        <f t="shared" si="46"/>
        <v>Anshu</v>
      </c>
      <c r="G318" s="5" t="str">
        <f t="shared" si="47"/>
        <v/>
      </c>
      <c r="H318" s="5" t="str">
        <f t="shared" si="48"/>
        <v/>
      </c>
      <c r="I318" s="5" t="str">
        <f>_xlfn.XLOOKUP(F318,'[1]Jan Labour Nd Drivers Hyva'!$B:$B,'[2]Jan Labour Nd Drivers Hyva'!$A:$A,"NOT FOUND")</f>
        <v>LAB-002</v>
      </c>
      <c r="J318" s="5" t="str">
        <f>IF(G318="","",_xlfn.XLOOKUP(G318,'[3]Jan Labour Nd Drivers Hyva'!$B:$B,'[2]Jan Labour Nd Drivers Hyva'!$A:$A,"NOT FOUND"))</f>
        <v/>
      </c>
      <c r="K318" s="5" t="str">
        <f>IF(H318="","",_xlfn.XLOOKUP(H318,'[2]Jan Labour Nd Drivers Hyva'!$B:$B,'[2]Jan Labour Nd Drivers Hyva'!$A:$A,"NOT FOUND"))</f>
        <v/>
      </c>
      <c r="L318" s="11" t="s">
        <v>89</v>
      </c>
      <c r="M318" s="12">
        <v>1</v>
      </c>
      <c r="N318" s="13">
        <v>35000</v>
      </c>
      <c r="O318" s="8">
        <f t="shared" si="49"/>
        <v>35000</v>
      </c>
      <c r="P318" s="13">
        <v>35000</v>
      </c>
      <c r="Q318" s="7">
        <f t="shared" si="56"/>
        <v>0</v>
      </c>
      <c r="R318" t="str">
        <f t="shared" si="50"/>
        <v>PAID</v>
      </c>
      <c r="S318" s="3"/>
      <c r="T318" s="9">
        <f t="shared" si="51"/>
        <v>35000</v>
      </c>
      <c r="U318" t="str">
        <f t="shared" si="52"/>
        <v>OK</v>
      </c>
      <c r="V318" s="10">
        <f t="shared" si="53"/>
        <v>0</v>
      </c>
      <c r="W318" t="str">
        <f t="shared" si="54"/>
        <v>OK</v>
      </c>
      <c r="X318" s="3" t="s">
        <v>28</v>
      </c>
      <c r="Y318" t="s">
        <v>29</v>
      </c>
    </row>
    <row r="319" spans="1:25" x14ac:dyDescent="0.2">
      <c r="A319" t="str">
        <f t="shared" si="45"/>
        <v>TRIP-367</v>
      </c>
      <c r="B319" s="2">
        <v>45821</v>
      </c>
      <c r="C319" s="3" t="str">
        <f>_xlfn.XLOOKUP(D319,'[1]Jan Customer Duplicate Hyva'!$B:$B,'[1]Jan Customer Duplicate Hyva'!$A:$A,"NOT FOUND")</f>
        <v>CUST-255</v>
      </c>
      <c r="D319" s="11" t="s">
        <v>75</v>
      </c>
      <c r="E319" s="11" t="s">
        <v>30</v>
      </c>
      <c r="F319" s="5" t="str">
        <f t="shared" si="46"/>
        <v>Ravi</v>
      </c>
      <c r="G319" s="5" t="str">
        <f t="shared" si="47"/>
        <v/>
      </c>
      <c r="H319" s="5" t="str">
        <f t="shared" si="48"/>
        <v/>
      </c>
      <c r="I319" s="5" t="str">
        <f>_xlfn.XLOOKUP(F319,'[1]Jan Labour Nd Drivers Hyva'!$B:$B,'[2]Jan Labour Nd Drivers Hyva'!$A:$A,"NOT FOUND")</f>
        <v>LAB-003</v>
      </c>
      <c r="J319" s="5" t="str">
        <f>IF(G319="","",_xlfn.XLOOKUP(G319,'[3]Jan Labour Nd Drivers Hyva'!$B:$B,'[2]Jan Labour Nd Drivers Hyva'!$A:$A,"NOT FOUND"))</f>
        <v/>
      </c>
      <c r="K319" s="5" t="str">
        <f>IF(H319="","",_xlfn.XLOOKUP(H319,'[2]Jan Labour Nd Drivers Hyva'!$B:$B,'[2]Jan Labour Nd Drivers Hyva'!$A:$A,"NOT FOUND"))</f>
        <v/>
      </c>
      <c r="L319" s="11" t="s">
        <v>116</v>
      </c>
      <c r="M319" s="12">
        <v>1</v>
      </c>
      <c r="N319" s="13">
        <v>32000</v>
      </c>
      <c r="O319" s="8">
        <f t="shared" si="49"/>
        <v>32000</v>
      </c>
      <c r="P319" s="13"/>
      <c r="Q319" s="7">
        <f t="shared" si="56"/>
        <v>32000</v>
      </c>
      <c r="R319" t="str">
        <f t="shared" si="50"/>
        <v>UNPAID</v>
      </c>
      <c r="S319" s="3"/>
      <c r="T319" s="9">
        <f t="shared" si="51"/>
        <v>32000</v>
      </c>
      <c r="U319" t="str">
        <f t="shared" si="52"/>
        <v>OK</v>
      </c>
      <c r="V319" s="10">
        <f t="shared" si="53"/>
        <v>32000</v>
      </c>
      <c r="W319" t="str">
        <f t="shared" si="54"/>
        <v>OK</v>
      </c>
      <c r="X319" s="3" t="s">
        <v>28</v>
      </c>
      <c r="Y319" t="s">
        <v>29</v>
      </c>
    </row>
    <row r="320" spans="1:25" x14ac:dyDescent="0.2">
      <c r="A320" t="str">
        <f t="shared" si="45"/>
        <v>TRIP-368</v>
      </c>
      <c r="B320" s="2">
        <v>45821</v>
      </c>
      <c r="C320" s="3" t="str">
        <f>_xlfn.XLOOKUP(D320,'[1]Jan Customer Duplicate Hyva'!$B:$B,'[1]Jan Customer Duplicate Hyva'!$A:$A,"NOT FOUND")</f>
        <v>CUST-382</v>
      </c>
      <c r="D320" s="11" t="s">
        <v>102</v>
      </c>
      <c r="E320" s="11" t="s">
        <v>26</v>
      </c>
      <c r="F320" s="5" t="str">
        <f t="shared" si="46"/>
        <v>Anshu</v>
      </c>
      <c r="G320" s="5" t="str">
        <f t="shared" si="47"/>
        <v/>
      </c>
      <c r="H320" s="5" t="str">
        <f t="shared" si="48"/>
        <v/>
      </c>
      <c r="I320" s="5" t="str">
        <f>_xlfn.XLOOKUP(F320,'[1]Jan Labour Nd Drivers Hyva'!$B:$B,'[2]Jan Labour Nd Drivers Hyva'!$A:$A,"NOT FOUND")</f>
        <v>LAB-002</v>
      </c>
      <c r="J320" s="5" t="str">
        <f>IF(G320="","",_xlfn.XLOOKUP(G320,'[3]Jan Labour Nd Drivers Hyva'!$B:$B,'[2]Jan Labour Nd Drivers Hyva'!$A:$A,"NOT FOUND"))</f>
        <v/>
      </c>
      <c r="K320" s="5" t="str">
        <f>IF(H320="","",_xlfn.XLOOKUP(H320,'[2]Jan Labour Nd Drivers Hyva'!$B:$B,'[2]Jan Labour Nd Drivers Hyva'!$A:$A,"NOT FOUND"))</f>
        <v/>
      </c>
      <c r="L320" s="11" t="s">
        <v>198</v>
      </c>
      <c r="M320" s="12">
        <v>1</v>
      </c>
      <c r="N320" s="13">
        <v>30000</v>
      </c>
      <c r="O320" s="8">
        <f t="shared" si="49"/>
        <v>30000</v>
      </c>
      <c r="P320" s="13">
        <v>29000</v>
      </c>
      <c r="Q320" s="7">
        <f t="shared" si="56"/>
        <v>1000</v>
      </c>
      <c r="R320" t="str">
        <f t="shared" si="50"/>
        <v>PARTIAL</v>
      </c>
      <c r="S320" s="3"/>
      <c r="T320" s="9">
        <f t="shared" si="51"/>
        <v>30000</v>
      </c>
      <c r="U320" t="str">
        <f t="shared" si="52"/>
        <v>OK</v>
      </c>
      <c r="V320" s="10">
        <f t="shared" si="53"/>
        <v>1000</v>
      </c>
      <c r="W320" t="str">
        <f t="shared" si="54"/>
        <v>OK</v>
      </c>
      <c r="X320" s="3" t="s">
        <v>28</v>
      </c>
      <c r="Y320" t="s">
        <v>29</v>
      </c>
    </row>
    <row r="321" spans="1:25" x14ac:dyDescent="0.2">
      <c r="A321" t="str">
        <f t="shared" si="45"/>
        <v>TRIP-369</v>
      </c>
      <c r="B321" s="2">
        <v>45822</v>
      </c>
      <c r="C321" s="3" t="str">
        <f>_xlfn.XLOOKUP(D321,'[1]Jan Customer Duplicate Hyva'!$B:$B,'[1]Jan Customer Duplicate Hyva'!$A:$A,"NOT FOUND")</f>
        <v>CUST-050</v>
      </c>
      <c r="D321" s="11" t="s">
        <v>69</v>
      </c>
      <c r="E321" s="11" t="s">
        <v>30</v>
      </c>
      <c r="F321" s="5" t="str">
        <f t="shared" si="46"/>
        <v>Ravi</v>
      </c>
      <c r="G321" s="5" t="str">
        <f t="shared" si="47"/>
        <v/>
      </c>
      <c r="H321" s="5" t="str">
        <f t="shared" si="48"/>
        <v/>
      </c>
      <c r="I321" s="5" t="str">
        <f>_xlfn.XLOOKUP(F321,'[1]Jan Labour Nd Drivers Hyva'!$B:$B,'[2]Jan Labour Nd Drivers Hyva'!$A:$A,"NOT FOUND")</f>
        <v>LAB-003</v>
      </c>
      <c r="J321" s="5" t="str">
        <f>IF(G321="","",_xlfn.XLOOKUP(G321,'[3]Jan Labour Nd Drivers Hyva'!$B:$B,'[2]Jan Labour Nd Drivers Hyva'!$A:$A,"NOT FOUND"))</f>
        <v/>
      </c>
      <c r="K321" s="5" t="str">
        <f>IF(H321="","",_xlfn.XLOOKUP(H321,'[2]Jan Labour Nd Drivers Hyva'!$B:$B,'[2]Jan Labour Nd Drivers Hyva'!$A:$A,"NOT FOUND"))</f>
        <v/>
      </c>
      <c r="L321" s="11" t="s">
        <v>253</v>
      </c>
      <c r="M321" s="12">
        <v>1</v>
      </c>
      <c r="N321" s="13">
        <v>35000</v>
      </c>
      <c r="O321" s="8">
        <f t="shared" si="49"/>
        <v>35000</v>
      </c>
      <c r="P321" s="13"/>
      <c r="Q321" s="7">
        <f t="shared" si="56"/>
        <v>35000</v>
      </c>
      <c r="R321" t="str">
        <f t="shared" si="50"/>
        <v>UNPAID</v>
      </c>
      <c r="S321" s="3"/>
      <c r="T321" s="9">
        <f t="shared" si="51"/>
        <v>35000</v>
      </c>
      <c r="U321" t="str">
        <f t="shared" si="52"/>
        <v>OK</v>
      </c>
      <c r="V321" s="10">
        <f t="shared" si="53"/>
        <v>35000</v>
      </c>
      <c r="W321" t="str">
        <f t="shared" si="54"/>
        <v>OK</v>
      </c>
      <c r="X321" s="3" t="s">
        <v>28</v>
      </c>
      <c r="Y321" t="s">
        <v>29</v>
      </c>
    </row>
    <row r="322" spans="1:25" x14ac:dyDescent="0.2">
      <c r="A322" t="str">
        <f t="shared" si="45"/>
        <v>TRIP-370</v>
      </c>
      <c r="B322" s="2">
        <v>45822</v>
      </c>
      <c r="C322" s="3" t="str">
        <f>_xlfn.XLOOKUP(D322,'[1]Jan Customer Duplicate Hyva'!$B:$B,'[1]Jan Customer Duplicate Hyva'!$A:$A,"NOT FOUND")</f>
        <v>CUST-255</v>
      </c>
      <c r="D322" s="11" t="s">
        <v>75</v>
      </c>
      <c r="E322" s="11" t="s">
        <v>111</v>
      </c>
      <c r="F322" s="5" t="str">
        <f t="shared" si="46"/>
        <v>Ravi</v>
      </c>
      <c r="G322" s="5" t="str">
        <f t="shared" si="47"/>
        <v>Anshu</v>
      </c>
      <c r="H322" s="5" t="str">
        <f t="shared" si="48"/>
        <v/>
      </c>
      <c r="I322" s="5" t="str">
        <f>_xlfn.XLOOKUP(F322,'[1]Jan Labour Nd Drivers Hyva'!$B:$B,'[2]Jan Labour Nd Drivers Hyva'!$A:$A,"NOT FOUND")</f>
        <v>LAB-003</v>
      </c>
      <c r="J322" s="5" t="str">
        <f>IF(G322="","",_xlfn.XLOOKUP(G322,'[3]Jan Labour Nd Drivers Hyva'!$B:$B,'[2]Jan Labour Nd Drivers Hyva'!$A:$A,"NOT FOUND"))</f>
        <v>LAB-002</v>
      </c>
      <c r="K322" s="5" t="str">
        <f>IF(H322="","",_xlfn.XLOOKUP(H322,'[2]Jan Labour Nd Drivers Hyva'!$B:$B,'[2]Jan Labour Nd Drivers Hyva'!$A:$A,"NOT FOUND"))</f>
        <v/>
      </c>
      <c r="L322" s="11" t="s">
        <v>116</v>
      </c>
      <c r="M322" s="12">
        <v>2</v>
      </c>
      <c r="N322" s="13">
        <v>32000</v>
      </c>
      <c r="O322" s="8">
        <f t="shared" si="49"/>
        <v>64000</v>
      </c>
      <c r="P322" s="13">
        <v>64000</v>
      </c>
      <c r="Q322" s="7">
        <f t="shared" si="56"/>
        <v>0</v>
      </c>
      <c r="R322" t="str">
        <f t="shared" si="50"/>
        <v>PAID</v>
      </c>
      <c r="S322" s="3"/>
      <c r="T322" s="9">
        <f t="shared" si="51"/>
        <v>64000</v>
      </c>
      <c r="U322" t="str">
        <f t="shared" si="52"/>
        <v>OK</v>
      </c>
      <c r="V322" s="10">
        <f t="shared" si="53"/>
        <v>0</v>
      </c>
      <c r="W322" t="str">
        <f t="shared" si="54"/>
        <v>OK</v>
      </c>
      <c r="X322" s="3" t="s">
        <v>28</v>
      </c>
      <c r="Y322" t="s">
        <v>29</v>
      </c>
    </row>
    <row r="323" spans="1:25" x14ac:dyDescent="0.2">
      <c r="A323" t="str">
        <f t="shared" ref="A323:A386" si="57">"TRIP-"&amp;TEXT(ROW()+48,"000")</f>
        <v>TRIP-371</v>
      </c>
      <c r="B323" s="2">
        <v>45826</v>
      </c>
      <c r="C323" s="3" t="str">
        <f>_xlfn.XLOOKUP(D323,'[1]Jan Customer Duplicate Hyva'!$B:$B,'[1]Jan Customer Duplicate Hyva'!$A:$A,"NOT FOUND")</f>
        <v>CUST-258</v>
      </c>
      <c r="D323" s="11" t="s">
        <v>254</v>
      </c>
      <c r="E323" s="11" t="s">
        <v>26</v>
      </c>
      <c r="F323" s="5" t="str">
        <f t="shared" ref="F323:F386" si="58">TRIM(_xlfn.TEXTBEFORE(E323&amp;" / "," / "))</f>
        <v>Anshu</v>
      </c>
      <c r="G323" s="5" t="str">
        <f t="shared" ref="G323:G386" si="59">IFERROR(TRIM(_xlfn.TEXTBEFORE(_xlfn.TEXTAFTER(E323," / ")&amp;" / "," / ")),"")</f>
        <v/>
      </c>
      <c r="H323" s="5" t="str">
        <f t="shared" ref="H323:H386" si="60">IFERROR(TRIM(_xlfn.TEXTAFTER(E323," / ","2")),"")</f>
        <v/>
      </c>
      <c r="I323" s="5" t="str">
        <f>_xlfn.XLOOKUP(F323,'[1]Jan Labour Nd Drivers Hyva'!$B:$B,'[2]Jan Labour Nd Drivers Hyva'!$A:$A,"NOT FOUND")</f>
        <v>LAB-002</v>
      </c>
      <c r="J323" s="5" t="str">
        <f>IF(G323="","",_xlfn.XLOOKUP(G323,'[3]Jan Labour Nd Drivers Hyva'!$B:$B,'[2]Jan Labour Nd Drivers Hyva'!$A:$A,"NOT FOUND"))</f>
        <v/>
      </c>
      <c r="K323" s="5" t="str">
        <f>IF(H323="","",_xlfn.XLOOKUP(H323,'[2]Jan Labour Nd Drivers Hyva'!$B:$B,'[2]Jan Labour Nd Drivers Hyva'!$A:$A,"NOT FOUND"))</f>
        <v/>
      </c>
      <c r="L323" s="11" t="s">
        <v>33</v>
      </c>
      <c r="M323" s="12">
        <v>1</v>
      </c>
      <c r="N323" s="13">
        <v>31000</v>
      </c>
      <c r="O323" s="8">
        <f t="shared" ref="O323:O386" si="61">N323*M323</f>
        <v>31000</v>
      </c>
      <c r="P323" s="13">
        <v>31000</v>
      </c>
      <c r="Q323" s="7">
        <f t="shared" si="56"/>
        <v>0</v>
      </c>
      <c r="R323" t="str">
        <f t="shared" ref="R323:R386" si="62">IF(Q323=0,"PAID",IF(P323=0,"UNPAID","PARTIAL"))</f>
        <v>PAID</v>
      </c>
      <c r="S323" s="3"/>
      <c r="T323" s="9">
        <f t="shared" ref="T323:T386" si="63">M323*N323</f>
        <v>31000</v>
      </c>
      <c r="U323" t="str">
        <f t="shared" ref="U323:U386" si="64">IF(ROUND(T323,2)=ROUND(O323,2),"OK","CHECK")</f>
        <v>OK</v>
      </c>
      <c r="V323" s="10">
        <f t="shared" ref="V323:V386" si="65">O323-P323</f>
        <v>0</v>
      </c>
      <c r="W323" t="str">
        <f t="shared" ref="W323:W386" si="66">IF(ROUND(V323,2)=ROUND(Q323,2),"OK","CHECK")</f>
        <v>OK</v>
      </c>
      <c r="X323" s="3" t="s">
        <v>28</v>
      </c>
      <c r="Y323" t="s">
        <v>29</v>
      </c>
    </row>
    <row r="324" spans="1:25" x14ac:dyDescent="0.2">
      <c r="A324" t="str">
        <f t="shared" si="57"/>
        <v>TRIP-372</v>
      </c>
      <c r="B324" s="2">
        <v>45826</v>
      </c>
      <c r="C324" s="3" t="str">
        <f>_xlfn.XLOOKUP(D324,'[1]Jan Customer Duplicate Hyva'!$B:$B,'[1]Jan Customer Duplicate Hyva'!$A:$A,"NOT FOUND")</f>
        <v>NOT FOUND</v>
      </c>
      <c r="D324" s="11" t="s">
        <v>249</v>
      </c>
      <c r="E324" s="11" t="s">
        <v>26</v>
      </c>
      <c r="F324" s="5" t="str">
        <f t="shared" si="58"/>
        <v>Anshu</v>
      </c>
      <c r="G324" s="5" t="str">
        <f t="shared" si="59"/>
        <v/>
      </c>
      <c r="H324" s="5" t="str">
        <f t="shared" si="60"/>
        <v/>
      </c>
      <c r="I324" s="5" t="str">
        <f>_xlfn.XLOOKUP(F324,'[1]Jan Labour Nd Drivers Hyva'!$B:$B,'[2]Jan Labour Nd Drivers Hyva'!$A:$A,"NOT FOUND")</f>
        <v>LAB-002</v>
      </c>
      <c r="J324" s="5" t="str">
        <f>IF(G324="","",_xlfn.XLOOKUP(G324,'[3]Jan Labour Nd Drivers Hyva'!$B:$B,'[2]Jan Labour Nd Drivers Hyva'!$A:$A,"NOT FOUND"))</f>
        <v/>
      </c>
      <c r="K324" s="5" t="str">
        <f>IF(H324="","",_xlfn.XLOOKUP(H324,'[2]Jan Labour Nd Drivers Hyva'!$B:$B,'[2]Jan Labour Nd Drivers Hyva'!$A:$A,"NOT FOUND"))</f>
        <v/>
      </c>
      <c r="L324" s="11" t="s">
        <v>255</v>
      </c>
      <c r="M324" s="12">
        <v>4</v>
      </c>
      <c r="N324" s="13">
        <v>0</v>
      </c>
      <c r="O324" s="8">
        <f t="shared" si="61"/>
        <v>0</v>
      </c>
      <c r="P324" s="13">
        <v>0</v>
      </c>
      <c r="Q324" s="7">
        <f t="shared" si="56"/>
        <v>0</v>
      </c>
      <c r="R324" t="str">
        <f t="shared" si="62"/>
        <v>PAID</v>
      </c>
      <c r="S324" s="3"/>
      <c r="T324" s="9">
        <f t="shared" si="63"/>
        <v>0</v>
      </c>
      <c r="U324" t="str">
        <f t="shared" si="64"/>
        <v>OK</v>
      </c>
      <c r="V324" s="10">
        <f t="shared" si="65"/>
        <v>0</v>
      </c>
      <c r="W324" t="str">
        <f t="shared" si="66"/>
        <v>OK</v>
      </c>
      <c r="X324" s="3" t="s">
        <v>28</v>
      </c>
      <c r="Y324" t="s">
        <v>29</v>
      </c>
    </row>
    <row r="325" spans="1:25" x14ac:dyDescent="0.2">
      <c r="A325" t="str">
        <f t="shared" si="57"/>
        <v>TRIP-373</v>
      </c>
      <c r="B325" s="2">
        <v>45826</v>
      </c>
      <c r="C325" s="3" t="str">
        <f>_xlfn.XLOOKUP(D325,'[1]Jan Customer Duplicate Hyva'!$B:$B,'[1]Jan Customer Duplicate Hyva'!$A:$A,"NOT FOUND")</f>
        <v>NOT FOUND</v>
      </c>
      <c r="D325" s="11" t="s">
        <v>249</v>
      </c>
      <c r="E325" s="11" t="s">
        <v>256</v>
      </c>
      <c r="F325" s="5" t="str">
        <f t="shared" si="58"/>
        <v>Krishna</v>
      </c>
      <c r="G325" s="5" t="str">
        <f t="shared" si="59"/>
        <v/>
      </c>
      <c r="H325" s="5" t="str">
        <f t="shared" si="60"/>
        <v/>
      </c>
      <c r="I325" s="5" t="str">
        <f>_xlfn.XLOOKUP(F325,'[1]Jan Labour Nd Drivers Hyva'!$B:$B,'[2]Jan Labour Nd Drivers Hyva'!$A:$A,"NOT FOUND")</f>
        <v>LAB-007</v>
      </c>
      <c r="J325" s="5" t="str">
        <f>IF(G325="","",_xlfn.XLOOKUP(G325,'[3]Jan Labour Nd Drivers Hyva'!$B:$B,'[2]Jan Labour Nd Drivers Hyva'!$A:$A,"NOT FOUND"))</f>
        <v/>
      </c>
      <c r="K325" s="5" t="str">
        <f>IF(H325="","",_xlfn.XLOOKUP(H325,'[2]Jan Labour Nd Drivers Hyva'!$B:$B,'[2]Jan Labour Nd Drivers Hyva'!$A:$A,"NOT FOUND"))</f>
        <v/>
      </c>
      <c r="L325" s="11" t="s">
        <v>255</v>
      </c>
      <c r="M325" s="12">
        <v>3</v>
      </c>
      <c r="N325" s="13">
        <v>0</v>
      </c>
      <c r="O325" s="8">
        <f t="shared" si="61"/>
        <v>0</v>
      </c>
      <c r="P325" s="13">
        <v>0</v>
      </c>
      <c r="Q325" s="7">
        <f t="shared" si="56"/>
        <v>0</v>
      </c>
      <c r="R325" t="str">
        <f t="shared" si="62"/>
        <v>PAID</v>
      </c>
      <c r="S325" s="3"/>
      <c r="T325" s="9">
        <f t="shared" si="63"/>
        <v>0</v>
      </c>
      <c r="U325" t="str">
        <f t="shared" si="64"/>
        <v>OK</v>
      </c>
      <c r="V325" s="10">
        <f t="shared" si="65"/>
        <v>0</v>
      </c>
      <c r="W325" t="str">
        <f t="shared" si="66"/>
        <v>OK</v>
      </c>
      <c r="X325" s="3" t="s">
        <v>28</v>
      </c>
      <c r="Y325" t="s">
        <v>29</v>
      </c>
    </row>
    <row r="326" spans="1:25" x14ac:dyDescent="0.2">
      <c r="A326" t="str">
        <f t="shared" si="57"/>
        <v>TRIP-374</v>
      </c>
      <c r="B326" s="2">
        <v>45827</v>
      </c>
      <c r="C326" s="3" t="str">
        <f>_xlfn.XLOOKUP(D326,'[1]Jan Customer Duplicate Hyva'!$B:$B,'[1]Jan Customer Duplicate Hyva'!$A:$A,"NOT FOUND")</f>
        <v>CUST-312</v>
      </c>
      <c r="D326" s="11" t="s">
        <v>168</v>
      </c>
      <c r="E326" s="11" t="s">
        <v>55</v>
      </c>
      <c r="F326" s="5" t="str">
        <f t="shared" si="58"/>
        <v>Gaju Bhau</v>
      </c>
      <c r="G326" s="5" t="str">
        <f t="shared" si="59"/>
        <v/>
      </c>
      <c r="H326" s="5" t="str">
        <f t="shared" si="60"/>
        <v/>
      </c>
      <c r="I326" s="5" t="str">
        <f>_xlfn.XLOOKUP(F326,'[1]Jan Labour Nd Drivers Hyva'!$B:$B,'[2]Jan Labour Nd Drivers Hyva'!$A:$A,"NOT FOUND")</f>
        <v>LAB-001</v>
      </c>
      <c r="J326" s="5" t="str">
        <f>IF(G326="","",_xlfn.XLOOKUP(G326,'[3]Jan Labour Nd Drivers Hyva'!$B:$B,'[2]Jan Labour Nd Drivers Hyva'!$A:$A,"NOT FOUND"))</f>
        <v/>
      </c>
      <c r="K326" s="5" t="str">
        <f>IF(H326="","",_xlfn.XLOOKUP(H326,'[2]Jan Labour Nd Drivers Hyva'!$B:$B,'[2]Jan Labour Nd Drivers Hyva'!$A:$A,"NOT FOUND"))</f>
        <v/>
      </c>
      <c r="L326" s="11" t="s">
        <v>257</v>
      </c>
      <c r="M326" s="12">
        <v>1</v>
      </c>
      <c r="N326" s="13">
        <v>33000</v>
      </c>
      <c r="O326" s="8">
        <f t="shared" si="61"/>
        <v>33000</v>
      </c>
      <c r="P326" s="13">
        <v>33000</v>
      </c>
      <c r="Q326" s="7">
        <f t="shared" si="56"/>
        <v>0</v>
      </c>
      <c r="R326" t="str">
        <f t="shared" si="62"/>
        <v>PAID</v>
      </c>
      <c r="S326" s="3"/>
      <c r="T326" s="9">
        <f t="shared" si="63"/>
        <v>33000</v>
      </c>
      <c r="U326" t="str">
        <f t="shared" si="64"/>
        <v>OK</v>
      </c>
      <c r="V326" s="10">
        <f t="shared" si="65"/>
        <v>0</v>
      </c>
      <c r="W326" t="str">
        <f t="shared" si="66"/>
        <v>OK</v>
      </c>
      <c r="X326" s="3" t="s">
        <v>28</v>
      </c>
      <c r="Y326" t="s">
        <v>29</v>
      </c>
    </row>
    <row r="327" spans="1:25" x14ac:dyDescent="0.2">
      <c r="A327" t="str">
        <f t="shared" si="57"/>
        <v>TRIP-375</v>
      </c>
      <c r="B327" s="2">
        <v>45827</v>
      </c>
      <c r="C327" s="3" t="str">
        <f>_xlfn.XLOOKUP(D327,'[1]Jan Customer Duplicate Hyva'!$B:$B,'[1]Jan Customer Duplicate Hyva'!$A:$A,"NOT FOUND")</f>
        <v>NOT FOUND</v>
      </c>
      <c r="D327" s="11" t="s">
        <v>258</v>
      </c>
      <c r="E327" s="11" t="s">
        <v>55</v>
      </c>
      <c r="F327" s="5" t="str">
        <f t="shared" si="58"/>
        <v>Gaju Bhau</v>
      </c>
      <c r="G327" s="5" t="str">
        <f t="shared" si="59"/>
        <v/>
      </c>
      <c r="H327" s="5" t="str">
        <f t="shared" si="60"/>
        <v/>
      </c>
      <c r="I327" s="5" t="str">
        <f>_xlfn.XLOOKUP(F327,'[1]Jan Labour Nd Drivers Hyva'!$B:$B,'[2]Jan Labour Nd Drivers Hyva'!$A:$A,"NOT FOUND")</f>
        <v>LAB-001</v>
      </c>
      <c r="J327" s="5" t="str">
        <f>IF(G327="","",_xlfn.XLOOKUP(G327,'[3]Jan Labour Nd Drivers Hyva'!$B:$B,'[2]Jan Labour Nd Drivers Hyva'!$A:$A,"NOT FOUND"))</f>
        <v/>
      </c>
      <c r="K327" s="5" t="str">
        <f>IF(H327="","",_xlfn.XLOOKUP(H327,'[2]Jan Labour Nd Drivers Hyva'!$B:$B,'[2]Jan Labour Nd Drivers Hyva'!$A:$A,"NOT FOUND"))</f>
        <v/>
      </c>
      <c r="L327" s="11" t="s">
        <v>157</v>
      </c>
      <c r="M327" s="12">
        <v>1</v>
      </c>
      <c r="N327" s="13">
        <v>30000</v>
      </c>
      <c r="O327" s="8">
        <f t="shared" si="61"/>
        <v>30000</v>
      </c>
      <c r="P327" s="13">
        <v>30000</v>
      </c>
      <c r="Q327" s="7">
        <f t="shared" si="56"/>
        <v>0</v>
      </c>
      <c r="R327" t="str">
        <f t="shared" si="62"/>
        <v>PAID</v>
      </c>
      <c r="S327" s="3"/>
      <c r="T327" s="9">
        <f t="shared" si="63"/>
        <v>30000</v>
      </c>
      <c r="U327" t="str">
        <f t="shared" si="64"/>
        <v>OK</v>
      </c>
      <c r="V327" s="10">
        <f t="shared" si="65"/>
        <v>0</v>
      </c>
      <c r="W327" t="str">
        <f t="shared" si="66"/>
        <v>OK</v>
      </c>
      <c r="X327" s="3" t="s">
        <v>28</v>
      </c>
      <c r="Y327" t="s">
        <v>29</v>
      </c>
    </row>
    <row r="328" spans="1:25" x14ac:dyDescent="0.2">
      <c r="A328" t="str">
        <f t="shared" si="57"/>
        <v>TRIP-376</v>
      </c>
      <c r="B328" s="2">
        <v>45828</v>
      </c>
      <c r="C328" s="3" t="str">
        <f>_xlfn.XLOOKUP(D328,'[1]Jan Customer Duplicate Hyva'!$B:$B,'[1]Jan Customer Duplicate Hyva'!$A:$A,"NOT FOUND")</f>
        <v>NOT FOUND</v>
      </c>
      <c r="D328" s="11" t="s">
        <v>249</v>
      </c>
      <c r="E328" s="11" t="s">
        <v>55</v>
      </c>
      <c r="F328" s="5" t="str">
        <f t="shared" si="58"/>
        <v>Gaju Bhau</v>
      </c>
      <c r="G328" s="5" t="str">
        <f t="shared" si="59"/>
        <v/>
      </c>
      <c r="H328" s="5" t="str">
        <f t="shared" si="60"/>
        <v/>
      </c>
      <c r="I328" s="5" t="str">
        <f>_xlfn.XLOOKUP(F328,'[1]Jan Labour Nd Drivers Hyva'!$B:$B,'[2]Jan Labour Nd Drivers Hyva'!$A:$A,"NOT FOUND")</f>
        <v>LAB-001</v>
      </c>
      <c r="J328" s="5" t="str">
        <f>IF(G328="","",_xlfn.XLOOKUP(G328,'[3]Jan Labour Nd Drivers Hyva'!$B:$B,'[2]Jan Labour Nd Drivers Hyva'!$A:$A,"NOT FOUND"))</f>
        <v/>
      </c>
      <c r="K328" s="5" t="str">
        <f>IF(H328="","",_xlfn.XLOOKUP(H328,'[2]Jan Labour Nd Drivers Hyva'!$B:$B,'[2]Jan Labour Nd Drivers Hyva'!$A:$A,"NOT FOUND"))</f>
        <v/>
      </c>
      <c r="L328" s="11" t="s">
        <v>255</v>
      </c>
      <c r="M328" s="12">
        <v>4</v>
      </c>
      <c r="N328" s="13">
        <v>0</v>
      </c>
      <c r="O328" s="8">
        <f t="shared" si="61"/>
        <v>0</v>
      </c>
      <c r="P328" s="13"/>
      <c r="Q328" s="7">
        <f t="shared" si="56"/>
        <v>0</v>
      </c>
      <c r="R328" t="str">
        <f t="shared" si="62"/>
        <v>PAID</v>
      </c>
      <c r="S328" s="3"/>
      <c r="T328" s="9">
        <f t="shared" si="63"/>
        <v>0</v>
      </c>
      <c r="U328" t="str">
        <f t="shared" si="64"/>
        <v>OK</v>
      </c>
      <c r="V328" s="10">
        <f t="shared" si="65"/>
        <v>0</v>
      </c>
      <c r="W328" t="str">
        <f t="shared" si="66"/>
        <v>OK</v>
      </c>
      <c r="X328" s="3" t="s">
        <v>28</v>
      </c>
      <c r="Y328" t="s">
        <v>29</v>
      </c>
    </row>
    <row r="329" spans="1:25" x14ac:dyDescent="0.2">
      <c r="A329" t="str">
        <f t="shared" si="57"/>
        <v>TRIP-377</v>
      </c>
      <c r="B329" s="2">
        <v>45828</v>
      </c>
      <c r="C329" s="3" t="str">
        <f>_xlfn.XLOOKUP(D329,'[1]Jan Customer Duplicate Hyva'!$B:$B,'[1]Jan Customer Duplicate Hyva'!$A:$A,"NOT FOUND")</f>
        <v>CUST-180</v>
      </c>
      <c r="D329" s="11" t="s">
        <v>42</v>
      </c>
      <c r="E329" s="11" t="s">
        <v>55</v>
      </c>
      <c r="F329" s="5" t="str">
        <f t="shared" si="58"/>
        <v>Gaju Bhau</v>
      </c>
      <c r="G329" s="5" t="str">
        <f t="shared" si="59"/>
        <v/>
      </c>
      <c r="H329" s="5" t="str">
        <f t="shared" si="60"/>
        <v/>
      </c>
      <c r="I329" s="5" t="str">
        <f>_xlfn.XLOOKUP(F329,'[1]Jan Labour Nd Drivers Hyva'!$B:$B,'[2]Jan Labour Nd Drivers Hyva'!$A:$A,"NOT FOUND")</f>
        <v>LAB-001</v>
      </c>
      <c r="J329" s="5" t="str">
        <f>IF(G329="","",_xlfn.XLOOKUP(G329,'[3]Jan Labour Nd Drivers Hyva'!$B:$B,'[2]Jan Labour Nd Drivers Hyva'!$A:$A,"NOT FOUND"))</f>
        <v/>
      </c>
      <c r="K329" s="5" t="str">
        <f>IF(H329="","",_xlfn.XLOOKUP(H329,'[2]Jan Labour Nd Drivers Hyva'!$B:$B,'[2]Jan Labour Nd Drivers Hyva'!$A:$A,"NOT FOUND"))</f>
        <v/>
      </c>
      <c r="L329" s="11" t="s">
        <v>43</v>
      </c>
      <c r="M329" s="12">
        <v>1</v>
      </c>
      <c r="N329" s="13">
        <v>27000</v>
      </c>
      <c r="O329" s="8">
        <f t="shared" si="61"/>
        <v>27000</v>
      </c>
      <c r="P329" s="13">
        <v>27000</v>
      </c>
      <c r="Q329" s="7">
        <f t="shared" si="56"/>
        <v>0</v>
      </c>
      <c r="R329" t="str">
        <f t="shared" si="62"/>
        <v>PAID</v>
      </c>
      <c r="S329" s="3"/>
      <c r="T329" s="9">
        <f t="shared" si="63"/>
        <v>27000</v>
      </c>
      <c r="U329" t="str">
        <f t="shared" si="64"/>
        <v>OK</v>
      </c>
      <c r="V329" s="10">
        <f t="shared" si="65"/>
        <v>0</v>
      </c>
      <c r="W329" t="str">
        <f t="shared" si="66"/>
        <v>OK</v>
      </c>
      <c r="X329" s="3" t="s">
        <v>28</v>
      </c>
      <c r="Y329" t="s">
        <v>29</v>
      </c>
    </row>
    <row r="330" spans="1:25" x14ac:dyDescent="0.2">
      <c r="A330" t="str">
        <f t="shared" si="57"/>
        <v>TRIP-378</v>
      </c>
      <c r="B330" s="2">
        <v>45829</v>
      </c>
      <c r="C330" s="3" t="str">
        <f>_xlfn.XLOOKUP(D330,'[1]Jan Customer Duplicate Hyva'!$B:$B,'[1]Jan Customer Duplicate Hyva'!$A:$A,"NOT FOUND")</f>
        <v>CUST-245</v>
      </c>
      <c r="D330" s="11" t="s">
        <v>259</v>
      </c>
      <c r="E330" s="11" t="s">
        <v>55</v>
      </c>
      <c r="F330" s="5" t="str">
        <f t="shared" si="58"/>
        <v>Gaju Bhau</v>
      </c>
      <c r="G330" s="5" t="str">
        <f t="shared" si="59"/>
        <v/>
      </c>
      <c r="H330" s="5" t="str">
        <f t="shared" si="60"/>
        <v/>
      </c>
      <c r="I330" s="5" t="str">
        <f>_xlfn.XLOOKUP(F330,'[1]Jan Labour Nd Drivers Hyva'!$B:$B,'[2]Jan Labour Nd Drivers Hyva'!$A:$A,"NOT FOUND")</f>
        <v>LAB-001</v>
      </c>
      <c r="J330" s="5" t="str">
        <f>IF(G330="","",_xlfn.XLOOKUP(G330,'[3]Jan Labour Nd Drivers Hyva'!$B:$B,'[2]Jan Labour Nd Drivers Hyva'!$A:$A,"NOT FOUND"))</f>
        <v/>
      </c>
      <c r="K330" s="5" t="str">
        <f>IF(H330="","",_xlfn.XLOOKUP(H330,'[2]Jan Labour Nd Drivers Hyva'!$B:$B,'[2]Jan Labour Nd Drivers Hyva'!$A:$A,"NOT FOUND"))</f>
        <v/>
      </c>
      <c r="L330" s="11" t="s">
        <v>260</v>
      </c>
      <c r="M330" s="12">
        <v>1</v>
      </c>
      <c r="N330" s="13">
        <v>32000</v>
      </c>
      <c r="O330" s="8">
        <f t="shared" si="61"/>
        <v>32000</v>
      </c>
      <c r="P330" s="13">
        <v>32000</v>
      </c>
      <c r="Q330" s="7">
        <f t="shared" si="56"/>
        <v>0</v>
      </c>
      <c r="R330" t="str">
        <f t="shared" si="62"/>
        <v>PAID</v>
      </c>
      <c r="S330" s="3"/>
      <c r="T330" s="9">
        <f t="shared" si="63"/>
        <v>32000</v>
      </c>
      <c r="U330" t="str">
        <f t="shared" si="64"/>
        <v>OK</v>
      </c>
      <c r="V330" s="10">
        <f t="shared" si="65"/>
        <v>0</v>
      </c>
      <c r="W330" t="str">
        <f t="shared" si="66"/>
        <v>OK</v>
      </c>
      <c r="X330" s="3" t="s">
        <v>28</v>
      </c>
      <c r="Y330" t="s">
        <v>29</v>
      </c>
    </row>
    <row r="331" spans="1:25" x14ac:dyDescent="0.2">
      <c r="A331" t="str">
        <f t="shared" si="57"/>
        <v>TRIP-379</v>
      </c>
      <c r="B331" s="2">
        <v>45829</v>
      </c>
      <c r="C331" s="3" t="str">
        <f>_xlfn.XLOOKUP(D331,'[1]Jan Customer Duplicate Hyva'!$B:$B,'[1]Jan Customer Duplicate Hyva'!$A:$A,"NOT FOUND")</f>
        <v>CUST-180</v>
      </c>
      <c r="D331" s="11" t="s">
        <v>42</v>
      </c>
      <c r="E331" s="11" t="s">
        <v>55</v>
      </c>
      <c r="F331" s="5" t="str">
        <f t="shared" si="58"/>
        <v>Gaju Bhau</v>
      </c>
      <c r="G331" s="5" t="str">
        <f t="shared" si="59"/>
        <v/>
      </c>
      <c r="H331" s="5" t="str">
        <f t="shared" si="60"/>
        <v/>
      </c>
      <c r="I331" s="5" t="str">
        <f>_xlfn.XLOOKUP(F331,'[1]Jan Labour Nd Drivers Hyva'!$B:$B,'[2]Jan Labour Nd Drivers Hyva'!$A:$A,"NOT FOUND")</f>
        <v>LAB-001</v>
      </c>
      <c r="J331" s="5" t="str">
        <f>IF(G331="","",_xlfn.XLOOKUP(G331,'[3]Jan Labour Nd Drivers Hyva'!$B:$B,'[2]Jan Labour Nd Drivers Hyva'!$A:$A,"NOT FOUND"))</f>
        <v/>
      </c>
      <c r="K331" s="5" t="str">
        <f>IF(H331="","",_xlfn.XLOOKUP(H331,'[2]Jan Labour Nd Drivers Hyva'!$B:$B,'[2]Jan Labour Nd Drivers Hyva'!$A:$A,"NOT FOUND"))</f>
        <v/>
      </c>
      <c r="L331" s="11" t="s">
        <v>43</v>
      </c>
      <c r="M331" s="12">
        <v>1</v>
      </c>
      <c r="N331" s="13">
        <v>27000</v>
      </c>
      <c r="O331" s="8">
        <f t="shared" si="61"/>
        <v>27000</v>
      </c>
      <c r="P331" s="13">
        <v>27000</v>
      </c>
      <c r="Q331" s="7">
        <f t="shared" si="56"/>
        <v>0</v>
      </c>
      <c r="R331" t="str">
        <f t="shared" si="62"/>
        <v>PAID</v>
      </c>
      <c r="S331" s="3"/>
      <c r="T331" s="9">
        <f t="shared" si="63"/>
        <v>27000</v>
      </c>
      <c r="U331" t="str">
        <f t="shared" si="64"/>
        <v>OK</v>
      </c>
      <c r="V331" s="10">
        <f t="shared" si="65"/>
        <v>0</v>
      </c>
      <c r="W331" t="str">
        <f t="shared" si="66"/>
        <v>OK</v>
      </c>
      <c r="X331" s="3" t="s">
        <v>28</v>
      </c>
      <c r="Y331" t="s">
        <v>29</v>
      </c>
    </row>
    <row r="332" spans="1:25" x14ac:dyDescent="0.2">
      <c r="A332" t="str">
        <f t="shared" si="57"/>
        <v>TRIP-380</v>
      </c>
      <c r="B332" s="2">
        <v>45829</v>
      </c>
      <c r="C332" s="3" t="str">
        <f>_xlfn.XLOOKUP(D332,'[1]Jan Customer Duplicate Hyva'!$B:$B,'[1]Jan Customer Duplicate Hyva'!$A:$A,"NOT FOUND")</f>
        <v>CUST-236</v>
      </c>
      <c r="D332" s="11" t="s">
        <v>58</v>
      </c>
      <c r="E332" s="11" t="s">
        <v>55</v>
      </c>
      <c r="F332" s="5" t="str">
        <f t="shared" si="58"/>
        <v>Gaju Bhau</v>
      </c>
      <c r="G332" s="5" t="str">
        <f t="shared" si="59"/>
        <v/>
      </c>
      <c r="H332" s="5" t="str">
        <f t="shared" si="60"/>
        <v/>
      </c>
      <c r="I332" s="5" t="str">
        <f>_xlfn.XLOOKUP(F332,'[1]Jan Labour Nd Drivers Hyva'!$B:$B,'[2]Jan Labour Nd Drivers Hyva'!$A:$A,"NOT FOUND")</f>
        <v>LAB-001</v>
      </c>
      <c r="J332" s="5" t="str">
        <f>IF(G332="","",_xlfn.XLOOKUP(G332,'[3]Jan Labour Nd Drivers Hyva'!$B:$B,'[2]Jan Labour Nd Drivers Hyva'!$A:$A,"NOT FOUND"))</f>
        <v/>
      </c>
      <c r="K332" s="5" t="str">
        <f>IF(H332="","",_xlfn.XLOOKUP(H332,'[2]Jan Labour Nd Drivers Hyva'!$B:$B,'[2]Jan Labour Nd Drivers Hyva'!$A:$A,"NOT FOUND"))</f>
        <v/>
      </c>
      <c r="L332" s="11" t="s">
        <v>261</v>
      </c>
      <c r="M332" s="12">
        <v>1</v>
      </c>
      <c r="N332" s="13">
        <v>30000</v>
      </c>
      <c r="O332" s="8">
        <f t="shared" si="61"/>
        <v>30000</v>
      </c>
      <c r="P332" s="13">
        <v>30000</v>
      </c>
      <c r="Q332" s="7">
        <f t="shared" si="56"/>
        <v>0</v>
      </c>
      <c r="R332" t="str">
        <f t="shared" si="62"/>
        <v>PAID</v>
      </c>
      <c r="S332" s="3"/>
      <c r="T332" s="9">
        <f t="shared" si="63"/>
        <v>30000</v>
      </c>
      <c r="U332" t="str">
        <f t="shared" si="64"/>
        <v>OK</v>
      </c>
      <c r="V332" s="10">
        <f t="shared" si="65"/>
        <v>0</v>
      </c>
      <c r="W332" t="str">
        <f t="shared" si="66"/>
        <v>OK</v>
      </c>
      <c r="X332" s="3" t="s">
        <v>28</v>
      </c>
      <c r="Y332" t="s">
        <v>29</v>
      </c>
    </row>
    <row r="333" spans="1:25" x14ac:dyDescent="0.2">
      <c r="A333" t="str">
        <f t="shared" si="57"/>
        <v>TRIP-381</v>
      </c>
      <c r="B333" s="2">
        <v>45829</v>
      </c>
      <c r="C333" s="3" t="str">
        <f>_xlfn.XLOOKUP(D333,'[1]Jan Customer Duplicate Hyva'!$B:$B,'[1]Jan Customer Duplicate Hyva'!$A:$A,"NOT FOUND")</f>
        <v>CUST-382</v>
      </c>
      <c r="D333" s="11" t="s">
        <v>102</v>
      </c>
      <c r="E333" s="11" t="s">
        <v>55</v>
      </c>
      <c r="F333" s="5" t="str">
        <f t="shared" si="58"/>
        <v>Gaju Bhau</v>
      </c>
      <c r="G333" s="5" t="str">
        <f t="shared" si="59"/>
        <v/>
      </c>
      <c r="H333" s="5" t="str">
        <f t="shared" si="60"/>
        <v/>
      </c>
      <c r="I333" s="5" t="str">
        <f>_xlfn.XLOOKUP(F333,'[1]Jan Labour Nd Drivers Hyva'!$B:$B,'[2]Jan Labour Nd Drivers Hyva'!$A:$A,"NOT FOUND")</f>
        <v>LAB-001</v>
      </c>
      <c r="J333" s="5" t="str">
        <f>IF(G333="","",_xlfn.XLOOKUP(G333,'[3]Jan Labour Nd Drivers Hyva'!$B:$B,'[2]Jan Labour Nd Drivers Hyva'!$A:$A,"NOT FOUND"))</f>
        <v/>
      </c>
      <c r="K333" s="5" t="str">
        <f>IF(H333="","",_xlfn.XLOOKUP(H333,'[2]Jan Labour Nd Drivers Hyva'!$B:$B,'[2]Jan Labour Nd Drivers Hyva'!$A:$A,"NOT FOUND"))</f>
        <v/>
      </c>
      <c r="L333" s="11" t="s">
        <v>262</v>
      </c>
      <c r="M333" s="12">
        <v>1</v>
      </c>
      <c r="N333" s="13">
        <v>30000</v>
      </c>
      <c r="O333" s="8">
        <f t="shared" si="61"/>
        <v>30000</v>
      </c>
      <c r="P333" s="13">
        <v>30000</v>
      </c>
      <c r="Q333" s="7">
        <f t="shared" si="56"/>
        <v>0</v>
      </c>
      <c r="R333" t="str">
        <f t="shared" si="62"/>
        <v>PAID</v>
      </c>
      <c r="S333" s="3"/>
      <c r="T333" s="9">
        <f t="shared" si="63"/>
        <v>30000</v>
      </c>
      <c r="U333" t="str">
        <f t="shared" si="64"/>
        <v>OK</v>
      </c>
      <c r="V333" s="10">
        <f t="shared" si="65"/>
        <v>0</v>
      </c>
      <c r="W333" t="str">
        <f t="shared" si="66"/>
        <v>OK</v>
      </c>
      <c r="X333" s="3" t="s">
        <v>28</v>
      </c>
      <c r="Y333" t="s">
        <v>29</v>
      </c>
    </row>
    <row r="334" spans="1:25" x14ac:dyDescent="0.2">
      <c r="A334" t="str">
        <f t="shared" si="57"/>
        <v>TRIP-382</v>
      </c>
      <c r="B334" s="2">
        <v>45836</v>
      </c>
      <c r="C334" s="3" t="str">
        <f>_xlfn.XLOOKUP(D334,'[1]Jan Customer Duplicate Hyva'!$B:$B,'[1]Jan Customer Duplicate Hyva'!$A:$A,"NOT FOUND")</f>
        <v>CUST-255</v>
      </c>
      <c r="D334" s="11" t="s">
        <v>75</v>
      </c>
      <c r="E334" s="11" t="s">
        <v>30</v>
      </c>
      <c r="F334" s="5" t="str">
        <f t="shared" si="58"/>
        <v>Ravi</v>
      </c>
      <c r="G334" s="5" t="str">
        <f t="shared" si="59"/>
        <v/>
      </c>
      <c r="H334" s="5" t="str">
        <f t="shared" si="60"/>
        <v/>
      </c>
      <c r="I334" s="5" t="str">
        <f>_xlfn.XLOOKUP(F334,'[1]Jan Labour Nd Drivers Hyva'!$B:$B,'[2]Jan Labour Nd Drivers Hyva'!$A:$A,"NOT FOUND")</f>
        <v>LAB-003</v>
      </c>
      <c r="J334" s="5" t="str">
        <f>IF(G334="","",_xlfn.XLOOKUP(G334,'[3]Jan Labour Nd Drivers Hyva'!$B:$B,'[2]Jan Labour Nd Drivers Hyva'!$A:$A,"NOT FOUND"))</f>
        <v/>
      </c>
      <c r="K334" s="5" t="str">
        <f>IF(H334="","",_xlfn.XLOOKUP(H334,'[2]Jan Labour Nd Drivers Hyva'!$B:$B,'[2]Jan Labour Nd Drivers Hyva'!$A:$A,"NOT FOUND"))</f>
        <v/>
      </c>
      <c r="L334" s="11" t="s">
        <v>116</v>
      </c>
      <c r="M334" s="12">
        <v>1</v>
      </c>
      <c r="N334" s="13">
        <v>32000</v>
      </c>
      <c r="O334" s="8">
        <f t="shared" si="61"/>
        <v>32000</v>
      </c>
      <c r="P334" s="13">
        <v>32000</v>
      </c>
      <c r="Q334" s="7">
        <f t="shared" si="56"/>
        <v>0</v>
      </c>
      <c r="R334" t="str">
        <f t="shared" si="62"/>
        <v>PAID</v>
      </c>
      <c r="S334" s="3"/>
      <c r="T334" s="9">
        <f t="shared" si="63"/>
        <v>32000</v>
      </c>
      <c r="U334" t="str">
        <f t="shared" si="64"/>
        <v>OK</v>
      </c>
      <c r="V334" s="10">
        <f t="shared" si="65"/>
        <v>0</v>
      </c>
      <c r="W334" t="str">
        <f t="shared" si="66"/>
        <v>OK</v>
      </c>
      <c r="X334" s="3" t="s">
        <v>28</v>
      </c>
      <c r="Y334" t="s">
        <v>29</v>
      </c>
    </row>
    <row r="335" spans="1:25" x14ac:dyDescent="0.2">
      <c r="A335" t="str">
        <f t="shared" si="57"/>
        <v>TRIP-383</v>
      </c>
      <c r="B335" s="2">
        <v>45836</v>
      </c>
      <c r="C335" s="3" t="str">
        <f>_xlfn.XLOOKUP(D335,'[1]Jan Customer Duplicate Hyva'!$B:$B,'[1]Jan Customer Duplicate Hyva'!$A:$A,"NOT FOUND")</f>
        <v>CUST-092</v>
      </c>
      <c r="D335" s="11" t="s">
        <v>263</v>
      </c>
      <c r="E335" s="11" t="s">
        <v>30</v>
      </c>
      <c r="F335" s="5" t="str">
        <f t="shared" si="58"/>
        <v>Ravi</v>
      </c>
      <c r="G335" s="5" t="str">
        <f t="shared" si="59"/>
        <v/>
      </c>
      <c r="H335" s="5" t="str">
        <f t="shared" si="60"/>
        <v/>
      </c>
      <c r="I335" s="5" t="str">
        <f>_xlfn.XLOOKUP(F335,'[1]Jan Labour Nd Drivers Hyva'!$B:$B,'[2]Jan Labour Nd Drivers Hyva'!$A:$A,"NOT FOUND")</f>
        <v>LAB-003</v>
      </c>
      <c r="J335" s="5" t="str">
        <f>IF(G335="","",_xlfn.XLOOKUP(G335,'[3]Jan Labour Nd Drivers Hyva'!$B:$B,'[2]Jan Labour Nd Drivers Hyva'!$A:$A,"NOT FOUND"))</f>
        <v/>
      </c>
      <c r="K335" s="5" t="str">
        <f>IF(H335="","",_xlfn.XLOOKUP(H335,'[2]Jan Labour Nd Drivers Hyva'!$B:$B,'[2]Jan Labour Nd Drivers Hyva'!$A:$A,"NOT FOUND"))</f>
        <v/>
      </c>
      <c r="L335" s="11" t="s">
        <v>264</v>
      </c>
      <c r="M335" s="12">
        <v>1</v>
      </c>
      <c r="N335" s="13">
        <v>30000</v>
      </c>
      <c r="O335" s="8">
        <f t="shared" si="61"/>
        <v>30000</v>
      </c>
      <c r="P335" s="13">
        <v>30000</v>
      </c>
      <c r="Q335" s="7">
        <f t="shared" si="56"/>
        <v>0</v>
      </c>
      <c r="R335" t="str">
        <f t="shared" si="62"/>
        <v>PAID</v>
      </c>
      <c r="S335" s="3"/>
      <c r="T335" s="9">
        <f t="shared" si="63"/>
        <v>30000</v>
      </c>
      <c r="U335" t="str">
        <f t="shared" si="64"/>
        <v>OK</v>
      </c>
      <c r="V335" s="10">
        <f t="shared" si="65"/>
        <v>0</v>
      </c>
      <c r="W335" t="str">
        <f t="shared" si="66"/>
        <v>OK</v>
      </c>
      <c r="X335" s="3" t="s">
        <v>28</v>
      </c>
      <c r="Y335" t="s">
        <v>29</v>
      </c>
    </row>
    <row r="336" spans="1:25" x14ac:dyDescent="0.2">
      <c r="A336" t="str">
        <f t="shared" si="57"/>
        <v>TRIP-384</v>
      </c>
      <c r="B336" s="2">
        <v>45838</v>
      </c>
      <c r="C336" s="3" t="str">
        <f>_xlfn.XLOOKUP(D336,'[1]Jan Customer Duplicate Hyva'!$B:$B,'[1]Jan Customer Duplicate Hyva'!$A:$A,"NOT FOUND")</f>
        <v>CUST-236</v>
      </c>
      <c r="D336" s="11" t="s">
        <v>58</v>
      </c>
      <c r="E336" s="11" t="s">
        <v>30</v>
      </c>
      <c r="F336" s="5" t="str">
        <f t="shared" si="58"/>
        <v>Ravi</v>
      </c>
      <c r="G336" s="5" t="str">
        <f t="shared" si="59"/>
        <v/>
      </c>
      <c r="H336" s="5" t="str">
        <f t="shared" si="60"/>
        <v/>
      </c>
      <c r="I336" s="5" t="str">
        <f>_xlfn.XLOOKUP(F336,'[1]Jan Labour Nd Drivers Hyva'!$B:$B,'[2]Jan Labour Nd Drivers Hyva'!$A:$A,"NOT FOUND")</f>
        <v>LAB-003</v>
      </c>
      <c r="J336" s="5" t="str">
        <f>IF(G336="","",_xlfn.XLOOKUP(G336,'[3]Jan Labour Nd Drivers Hyva'!$B:$B,'[2]Jan Labour Nd Drivers Hyva'!$A:$A,"NOT FOUND"))</f>
        <v/>
      </c>
      <c r="K336" s="5" t="str">
        <f>IF(H336="","",_xlfn.XLOOKUP(H336,'[2]Jan Labour Nd Drivers Hyva'!$B:$B,'[2]Jan Labour Nd Drivers Hyva'!$A:$A,"NOT FOUND"))</f>
        <v/>
      </c>
      <c r="L336" s="11" t="s">
        <v>261</v>
      </c>
      <c r="M336" s="12">
        <v>1</v>
      </c>
      <c r="N336" s="13">
        <v>30000</v>
      </c>
      <c r="O336" s="8">
        <f t="shared" si="61"/>
        <v>30000</v>
      </c>
      <c r="P336" s="13">
        <v>30000</v>
      </c>
      <c r="Q336" s="7">
        <f t="shared" si="56"/>
        <v>0</v>
      </c>
      <c r="R336" t="str">
        <f t="shared" si="62"/>
        <v>PAID</v>
      </c>
      <c r="S336" s="3"/>
      <c r="T336" s="9">
        <f t="shared" si="63"/>
        <v>30000</v>
      </c>
      <c r="U336" t="str">
        <f t="shared" si="64"/>
        <v>OK</v>
      </c>
      <c r="V336" s="10">
        <f t="shared" si="65"/>
        <v>0</v>
      </c>
      <c r="W336" t="str">
        <f t="shared" si="66"/>
        <v>OK</v>
      </c>
      <c r="X336" s="3" t="s">
        <v>28</v>
      </c>
      <c r="Y336" t="s">
        <v>29</v>
      </c>
    </row>
    <row r="337" spans="1:25" x14ac:dyDescent="0.2">
      <c r="A337" t="str">
        <f t="shared" si="57"/>
        <v>TRIP-385</v>
      </c>
      <c r="B337" s="2">
        <v>45840</v>
      </c>
      <c r="C337" s="3" t="str">
        <f>_xlfn.XLOOKUP(D337,'[1]Jan Customer Duplicate Hyva'!$B:$B,'[1]Jan Customer Duplicate Hyva'!$A:$A,"NOT FOUND")</f>
        <v>CUST-255</v>
      </c>
      <c r="D337" s="11" t="s">
        <v>75</v>
      </c>
      <c r="E337" s="11" t="s">
        <v>30</v>
      </c>
      <c r="F337" s="5" t="str">
        <f t="shared" si="58"/>
        <v>Ravi</v>
      </c>
      <c r="G337" s="5" t="str">
        <f t="shared" si="59"/>
        <v/>
      </c>
      <c r="H337" s="5" t="str">
        <f t="shared" si="60"/>
        <v/>
      </c>
      <c r="I337" s="5" t="str">
        <f>_xlfn.XLOOKUP(F337,'[1]Jan Labour Nd Drivers Hyva'!$B:$B,'[2]Jan Labour Nd Drivers Hyva'!$A:$A,"NOT FOUND")</f>
        <v>LAB-003</v>
      </c>
      <c r="J337" s="5" t="str">
        <f>IF(G337="","",_xlfn.XLOOKUP(G337,'[3]Jan Labour Nd Drivers Hyva'!$B:$B,'[2]Jan Labour Nd Drivers Hyva'!$A:$A,"NOT FOUND"))</f>
        <v/>
      </c>
      <c r="K337" s="5" t="str">
        <f>IF(H337="","",_xlfn.XLOOKUP(H337,'[2]Jan Labour Nd Drivers Hyva'!$B:$B,'[2]Jan Labour Nd Drivers Hyva'!$A:$A,"NOT FOUND"))</f>
        <v/>
      </c>
      <c r="L337" s="11" t="s">
        <v>116</v>
      </c>
      <c r="M337" s="12">
        <v>1</v>
      </c>
      <c r="N337" s="13">
        <v>32000</v>
      </c>
      <c r="O337" s="8">
        <f t="shared" si="61"/>
        <v>32000</v>
      </c>
      <c r="P337" s="13">
        <v>32000</v>
      </c>
      <c r="Q337" s="7">
        <f t="shared" si="56"/>
        <v>0</v>
      </c>
      <c r="R337" t="str">
        <f t="shared" si="62"/>
        <v>PAID</v>
      </c>
      <c r="S337" s="3"/>
      <c r="T337" s="9">
        <f t="shared" si="63"/>
        <v>32000</v>
      </c>
      <c r="U337" t="str">
        <f t="shared" si="64"/>
        <v>OK</v>
      </c>
      <c r="V337" s="10">
        <f t="shared" si="65"/>
        <v>0</v>
      </c>
      <c r="W337" t="str">
        <f t="shared" si="66"/>
        <v>OK</v>
      </c>
      <c r="X337" s="3" t="s">
        <v>28</v>
      </c>
      <c r="Y337" t="s">
        <v>29</v>
      </c>
    </row>
    <row r="338" spans="1:25" x14ac:dyDescent="0.2">
      <c r="A338" t="str">
        <f t="shared" si="57"/>
        <v>TRIP-386</v>
      </c>
      <c r="B338" s="2">
        <v>45843</v>
      </c>
      <c r="C338" s="3" t="str">
        <f>_xlfn.XLOOKUP(D338,'[1]Jan Customer Duplicate Hyva'!$B:$B,'[1]Jan Customer Duplicate Hyva'!$A:$A,"NOT FOUND")</f>
        <v>CUST-236</v>
      </c>
      <c r="D338" s="11" t="s">
        <v>58</v>
      </c>
      <c r="E338" s="11" t="s">
        <v>30</v>
      </c>
      <c r="F338" s="5" t="str">
        <f t="shared" si="58"/>
        <v>Ravi</v>
      </c>
      <c r="G338" s="5" t="str">
        <f t="shared" si="59"/>
        <v/>
      </c>
      <c r="H338" s="5" t="str">
        <f t="shared" si="60"/>
        <v/>
      </c>
      <c r="I338" s="5" t="str">
        <f>_xlfn.XLOOKUP(F338,'[1]Jan Labour Nd Drivers Hyva'!$B:$B,'[2]Jan Labour Nd Drivers Hyva'!$A:$A,"NOT FOUND")</f>
        <v>LAB-003</v>
      </c>
      <c r="J338" s="5" t="str">
        <f>IF(G338="","",_xlfn.XLOOKUP(G338,'[3]Jan Labour Nd Drivers Hyva'!$B:$B,'[2]Jan Labour Nd Drivers Hyva'!$A:$A,"NOT FOUND"))</f>
        <v/>
      </c>
      <c r="K338" s="5" t="str">
        <f>IF(H338="","",_xlfn.XLOOKUP(H338,'[2]Jan Labour Nd Drivers Hyva'!$B:$B,'[2]Jan Labour Nd Drivers Hyva'!$A:$A,"NOT FOUND"))</f>
        <v/>
      </c>
      <c r="L338" s="11" t="s">
        <v>108</v>
      </c>
      <c r="M338" s="12">
        <v>1</v>
      </c>
      <c r="N338" s="13">
        <v>30000</v>
      </c>
      <c r="O338" s="8">
        <f t="shared" si="61"/>
        <v>30000</v>
      </c>
      <c r="P338" s="13">
        <v>30000</v>
      </c>
      <c r="Q338" s="7">
        <f t="shared" ref="Q338:Q401" si="67">O338-P338</f>
        <v>0</v>
      </c>
      <c r="R338" t="str">
        <f t="shared" si="62"/>
        <v>PAID</v>
      </c>
      <c r="S338" s="3"/>
      <c r="T338" s="9">
        <f t="shared" si="63"/>
        <v>30000</v>
      </c>
      <c r="U338" t="str">
        <f t="shared" si="64"/>
        <v>OK</v>
      </c>
      <c r="V338" s="10">
        <f t="shared" si="65"/>
        <v>0</v>
      </c>
      <c r="W338" t="str">
        <f t="shared" si="66"/>
        <v>OK</v>
      </c>
      <c r="X338" s="3" t="s">
        <v>28</v>
      </c>
      <c r="Y338" t="s">
        <v>29</v>
      </c>
    </row>
    <row r="339" spans="1:25" x14ac:dyDescent="0.2">
      <c r="A339" t="str">
        <f t="shared" si="57"/>
        <v>TRIP-387</v>
      </c>
      <c r="B339" s="2">
        <v>45846</v>
      </c>
      <c r="C339" s="3" t="str">
        <f>_xlfn.XLOOKUP(D339,'[1]Jan Customer Duplicate Hyva'!$B:$B,'[1]Jan Customer Duplicate Hyva'!$A:$A,"NOT FOUND")</f>
        <v>CUST-255</v>
      </c>
      <c r="D339" s="11" t="s">
        <v>75</v>
      </c>
      <c r="E339" s="11" t="s">
        <v>265</v>
      </c>
      <c r="F339" s="5" t="str">
        <f t="shared" si="58"/>
        <v>Pravin Sapate</v>
      </c>
      <c r="G339" s="5" t="str">
        <f t="shared" si="59"/>
        <v/>
      </c>
      <c r="H339" s="5" t="str">
        <f t="shared" si="60"/>
        <v/>
      </c>
      <c r="I339" s="5" t="str">
        <f>_xlfn.XLOOKUP(F339,'[1]Jan Labour Nd Drivers Hyva'!$B:$B,'[2]Jan Labour Nd Drivers Hyva'!$A:$A,"NOT FOUND")</f>
        <v>LAB-008</v>
      </c>
      <c r="J339" s="5" t="str">
        <f>IF(G339="","",_xlfn.XLOOKUP(G339,'[3]Jan Labour Nd Drivers Hyva'!$B:$B,'[2]Jan Labour Nd Drivers Hyva'!$A:$A,"NOT FOUND"))</f>
        <v/>
      </c>
      <c r="K339" s="5" t="str">
        <f>IF(H339="","",_xlfn.XLOOKUP(H339,'[2]Jan Labour Nd Drivers Hyva'!$B:$B,'[2]Jan Labour Nd Drivers Hyva'!$A:$A,"NOT FOUND"))</f>
        <v/>
      </c>
      <c r="L339" s="11" t="s">
        <v>116</v>
      </c>
      <c r="M339" s="12">
        <v>1</v>
      </c>
      <c r="N339" s="13">
        <v>32000</v>
      </c>
      <c r="O339" s="8">
        <f t="shared" si="61"/>
        <v>32000</v>
      </c>
      <c r="P339" s="13">
        <v>32000</v>
      </c>
      <c r="Q339" s="7">
        <f t="shared" si="67"/>
        <v>0</v>
      </c>
      <c r="R339" t="str">
        <f t="shared" si="62"/>
        <v>PAID</v>
      </c>
      <c r="S339" s="3"/>
      <c r="T339" s="9">
        <f t="shared" si="63"/>
        <v>32000</v>
      </c>
      <c r="U339" t="str">
        <f t="shared" si="64"/>
        <v>OK</v>
      </c>
      <c r="V339" s="10">
        <f t="shared" si="65"/>
        <v>0</v>
      </c>
      <c r="W339" t="str">
        <f t="shared" si="66"/>
        <v>OK</v>
      </c>
      <c r="X339" s="3" t="s">
        <v>28</v>
      </c>
      <c r="Y339" t="s">
        <v>29</v>
      </c>
    </row>
    <row r="340" spans="1:25" x14ac:dyDescent="0.2">
      <c r="A340" t="str">
        <f t="shared" si="57"/>
        <v>TRIP-388</v>
      </c>
      <c r="B340" s="2">
        <v>45852</v>
      </c>
      <c r="C340" s="3" t="str">
        <f>_xlfn.XLOOKUP(D340,'[1]Jan Customer Duplicate Hyva'!$B:$B,'[1]Jan Customer Duplicate Hyva'!$A:$A,"NOT FOUND")</f>
        <v>CUST-255</v>
      </c>
      <c r="D340" s="11" t="s">
        <v>75</v>
      </c>
      <c r="E340" s="11" t="s">
        <v>266</v>
      </c>
      <c r="F340" s="5" t="str">
        <f t="shared" si="58"/>
        <v>Gaju Bhau</v>
      </c>
      <c r="G340" s="5" t="str">
        <f t="shared" si="59"/>
        <v>Vithal Bhau</v>
      </c>
      <c r="H340" s="5" t="str">
        <f t="shared" si="60"/>
        <v/>
      </c>
      <c r="I340" s="5" t="str">
        <f>_xlfn.XLOOKUP(F340,'[1]Jan Labour Nd Drivers Hyva'!$B:$B,'[2]Jan Labour Nd Drivers Hyva'!$A:$A,"NOT FOUND")</f>
        <v>LAB-001</v>
      </c>
      <c r="J340" s="5" t="str">
        <f>IF(G340="","",_xlfn.XLOOKUP(G340,'[3]Jan Labour Nd Drivers Hyva'!$B:$B,'[2]Jan Labour Nd Drivers Hyva'!$A:$A,"NOT FOUND"))</f>
        <v>LAB-005</v>
      </c>
      <c r="K340" s="5" t="str">
        <f>IF(H340="","",_xlfn.XLOOKUP(H340,'[2]Jan Labour Nd Drivers Hyva'!$B:$B,'[2]Jan Labour Nd Drivers Hyva'!$A:$A,"NOT FOUND"))</f>
        <v/>
      </c>
      <c r="L340" s="11" t="s">
        <v>116</v>
      </c>
      <c r="M340" s="12">
        <v>6</v>
      </c>
      <c r="N340" s="13">
        <v>32000</v>
      </c>
      <c r="O340" s="8">
        <f t="shared" si="61"/>
        <v>192000</v>
      </c>
      <c r="P340" s="13">
        <v>192000</v>
      </c>
      <c r="Q340" s="7">
        <f t="shared" si="67"/>
        <v>0</v>
      </c>
      <c r="R340" t="str">
        <f t="shared" si="62"/>
        <v>PAID</v>
      </c>
      <c r="S340" s="3"/>
      <c r="T340" s="9">
        <f t="shared" si="63"/>
        <v>192000</v>
      </c>
      <c r="U340" t="str">
        <f t="shared" si="64"/>
        <v>OK</v>
      </c>
      <c r="V340" s="10">
        <f t="shared" si="65"/>
        <v>0</v>
      </c>
      <c r="W340" t="str">
        <f t="shared" si="66"/>
        <v>OK</v>
      </c>
      <c r="X340" s="3" t="s">
        <v>28</v>
      </c>
      <c r="Y340" t="s">
        <v>29</v>
      </c>
    </row>
    <row r="341" spans="1:25" x14ac:dyDescent="0.2">
      <c r="A341" t="str">
        <f t="shared" si="57"/>
        <v>TRIP-389</v>
      </c>
      <c r="B341" s="2">
        <v>45853</v>
      </c>
      <c r="C341" s="3" t="str">
        <f>_xlfn.XLOOKUP(D341,'[1]Jan Customer Duplicate Hyva'!$B:$B,'[1]Jan Customer Duplicate Hyva'!$A:$A,"NOT FOUND")</f>
        <v>CUST-255</v>
      </c>
      <c r="D341" s="11" t="s">
        <v>75</v>
      </c>
      <c r="E341" s="11" t="s">
        <v>55</v>
      </c>
      <c r="F341" s="5" t="str">
        <f t="shared" si="58"/>
        <v>Gaju Bhau</v>
      </c>
      <c r="G341" s="5" t="str">
        <f t="shared" si="59"/>
        <v/>
      </c>
      <c r="H341" s="5" t="str">
        <f t="shared" si="60"/>
        <v/>
      </c>
      <c r="I341" s="5" t="str">
        <f>_xlfn.XLOOKUP(F341,'[1]Jan Labour Nd Drivers Hyva'!$B:$B,'[2]Jan Labour Nd Drivers Hyva'!$A:$A,"NOT FOUND")</f>
        <v>LAB-001</v>
      </c>
      <c r="J341" s="5" t="str">
        <f>IF(G341="","",_xlfn.XLOOKUP(G341,'[3]Jan Labour Nd Drivers Hyva'!$B:$B,'[2]Jan Labour Nd Drivers Hyva'!$A:$A,"NOT FOUND"))</f>
        <v/>
      </c>
      <c r="K341" s="5" t="str">
        <f>IF(H341="","",_xlfn.XLOOKUP(H341,'[2]Jan Labour Nd Drivers Hyva'!$B:$B,'[2]Jan Labour Nd Drivers Hyva'!$A:$A,"NOT FOUND"))</f>
        <v/>
      </c>
      <c r="L341" s="11" t="s">
        <v>116</v>
      </c>
      <c r="M341" s="12">
        <v>1</v>
      </c>
      <c r="N341" s="13">
        <v>32000</v>
      </c>
      <c r="O341" s="8">
        <f t="shared" si="61"/>
        <v>32000</v>
      </c>
      <c r="P341" s="13">
        <v>32000</v>
      </c>
      <c r="Q341" s="7">
        <f t="shared" si="67"/>
        <v>0</v>
      </c>
      <c r="R341" t="str">
        <f t="shared" si="62"/>
        <v>PAID</v>
      </c>
      <c r="S341" s="3"/>
      <c r="T341" s="9">
        <f t="shared" si="63"/>
        <v>32000</v>
      </c>
      <c r="U341" t="str">
        <f t="shared" si="64"/>
        <v>OK</v>
      </c>
      <c r="V341" s="10">
        <f t="shared" si="65"/>
        <v>0</v>
      </c>
      <c r="W341" t="str">
        <f t="shared" si="66"/>
        <v>OK</v>
      </c>
      <c r="X341" s="3" t="s">
        <v>28</v>
      </c>
      <c r="Y341" t="s">
        <v>29</v>
      </c>
    </row>
    <row r="342" spans="1:25" x14ac:dyDescent="0.2">
      <c r="A342" t="str">
        <f t="shared" si="57"/>
        <v>TRIP-390</v>
      </c>
      <c r="B342" s="2">
        <v>45853</v>
      </c>
      <c r="C342" s="3" t="str">
        <f>_xlfn.XLOOKUP(D342,'[1]Jan Customer Duplicate Hyva'!$B:$B,'[1]Jan Customer Duplicate Hyva'!$A:$A,"NOT FOUND")</f>
        <v>CUST-321</v>
      </c>
      <c r="D342" s="11" t="s">
        <v>95</v>
      </c>
      <c r="E342" s="11" t="s">
        <v>55</v>
      </c>
      <c r="F342" s="5" t="str">
        <f t="shared" si="58"/>
        <v>Gaju Bhau</v>
      </c>
      <c r="G342" s="5" t="str">
        <f t="shared" si="59"/>
        <v/>
      </c>
      <c r="H342" s="5" t="str">
        <f t="shared" si="60"/>
        <v/>
      </c>
      <c r="I342" s="5" t="str">
        <f>_xlfn.XLOOKUP(F342,'[1]Jan Labour Nd Drivers Hyva'!$B:$B,'[2]Jan Labour Nd Drivers Hyva'!$A:$A,"NOT FOUND")</f>
        <v>LAB-001</v>
      </c>
      <c r="J342" s="5" t="str">
        <f>IF(G342="","",_xlfn.XLOOKUP(G342,'[3]Jan Labour Nd Drivers Hyva'!$B:$B,'[2]Jan Labour Nd Drivers Hyva'!$A:$A,"NOT FOUND"))</f>
        <v/>
      </c>
      <c r="K342" s="5" t="str">
        <f>IF(H342="","",_xlfn.XLOOKUP(H342,'[2]Jan Labour Nd Drivers Hyva'!$B:$B,'[2]Jan Labour Nd Drivers Hyva'!$A:$A,"NOT FOUND"))</f>
        <v/>
      </c>
      <c r="L342" s="11" t="s">
        <v>154</v>
      </c>
      <c r="M342" s="12">
        <v>1</v>
      </c>
      <c r="N342" s="13">
        <v>25000</v>
      </c>
      <c r="O342" s="8">
        <f t="shared" si="61"/>
        <v>25000</v>
      </c>
      <c r="P342" s="13">
        <v>25000</v>
      </c>
      <c r="Q342" s="7">
        <f t="shared" si="67"/>
        <v>0</v>
      </c>
      <c r="R342" t="str">
        <f t="shared" si="62"/>
        <v>PAID</v>
      </c>
      <c r="S342" s="3"/>
      <c r="T342" s="9">
        <f t="shared" si="63"/>
        <v>25000</v>
      </c>
      <c r="U342" t="str">
        <f t="shared" si="64"/>
        <v>OK</v>
      </c>
      <c r="V342" s="10">
        <f t="shared" si="65"/>
        <v>0</v>
      </c>
      <c r="W342" t="str">
        <f t="shared" si="66"/>
        <v>OK</v>
      </c>
      <c r="X342" s="3" t="s">
        <v>28</v>
      </c>
      <c r="Y342" t="s">
        <v>29</v>
      </c>
    </row>
    <row r="343" spans="1:25" x14ac:dyDescent="0.2">
      <c r="A343" t="str">
        <f t="shared" si="57"/>
        <v>TRIP-391</v>
      </c>
      <c r="B343" s="2">
        <v>45874</v>
      </c>
      <c r="C343" s="3" t="str">
        <f>_xlfn.XLOOKUP(D343,'[1]Jan Customer Duplicate Hyva'!$B:$B,'[1]Jan Customer Duplicate Hyva'!$A:$A,"NOT FOUND")</f>
        <v>NOT FOUND</v>
      </c>
      <c r="D343" s="11" t="s">
        <v>267</v>
      </c>
      <c r="E343" s="11" t="s">
        <v>55</v>
      </c>
      <c r="F343" s="5" t="str">
        <f t="shared" si="58"/>
        <v>Gaju Bhau</v>
      </c>
      <c r="G343" s="5" t="str">
        <f t="shared" si="59"/>
        <v/>
      </c>
      <c r="H343" s="5" t="str">
        <f t="shared" si="60"/>
        <v/>
      </c>
      <c r="I343" s="5" t="str">
        <f>_xlfn.XLOOKUP(F343,'[1]Jan Labour Nd Drivers Hyva'!$B:$B,'[2]Jan Labour Nd Drivers Hyva'!$A:$A,"NOT FOUND")</f>
        <v>LAB-001</v>
      </c>
      <c r="J343" s="5" t="str">
        <f>IF(G343="","",_xlfn.XLOOKUP(G343,'[3]Jan Labour Nd Drivers Hyva'!$B:$B,'[2]Jan Labour Nd Drivers Hyva'!$A:$A,"NOT FOUND"))</f>
        <v/>
      </c>
      <c r="K343" s="5" t="str">
        <f>IF(H343="","",_xlfn.XLOOKUP(H343,'[2]Jan Labour Nd Drivers Hyva'!$B:$B,'[2]Jan Labour Nd Drivers Hyva'!$A:$A,"NOT FOUND"))</f>
        <v/>
      </c>
      <c r="L343" s="11" t="s">
        <v>108</v>
      </c>
      <c r="M343" s="11">
        <v>1</v>
      </c>
      <c r="N343" s="13">
        <v>30000</v>
      </c>
      <c r="O343" s="8">
        <f t="shared" si="61"/>
        <v>30000</v>
      </c>
      <c r="P343" s="13">
        <v>30000</v>
      </c>
      <c r="Q343" s="7">
        <f t="shared" si="67"/>
        <v>0</v>
      </c>
      <c r="R343" t="str">
        <f t="shared" si="62"/>
        <v>PAID</v>
      </c>
      <c r="S343" s="3"/>
      <c r="T343" s="9">
        <f t="shared" si="63"/>
        <v>30000</v>
      </c>
      <c r="U343" t="str">
        <f t="shared" si="64"/>
        <v>OK</v>
      </c>
      <c r="V343" s="10">
        <f t="shared" si="65"/>
        <v>0</v>
      </c>
      <c r="W343" t="str">
        <f t="shared" si="66"/>
        <v>OK</v>
      </c>
      <c r="X343" s="3" t="s">
        <v>28</v>
      </c>
      <c r="Y343" t="s">
        <v>29</v>
      </c>
    </row>
    <row r="344" spans="1:25" x14ac:dyDescent="0.2">
      <c r="A344" t="str">
        <f t="shared" si="57"/>
        <v>TRIP-392</v>
      </c>
      <c r="B344" s="2">
        <v>45875</v>
      </c>
      <c r="C344" s="3" t="str">
        <f>_xlfn.XLOOKUP(D344,'[1]Jan Customer Duplicate Hyva'!$B:$B,'[1]Jan Customer Duplicate Hyva'!$A:$A,"NOT FOUND")</f>
        <v>CUST-255</v>
      </c>
      <c r="D344" s="11" t="s">
        <v>75</v>
      </c>
      <c r="E344" s="11" t="s">
        <v>268</v>
      </c>
      <c r="F344" s="5" t="str">
        <f t="shared" si="58"/>
        <v>Anna</v>
      </c>
      <c r="G344" s="5" t="str">
        <f t="shared" si="59"/>
        <v/>
      </c>
      <c r="H344" s="5" t="str">
        <f t="shared" si="60"/>
        <v/>
      </c>
      <c r="I344" s="5" t="str">
        <f>_xlfn.XLOOKUP(F344,'[1]Jan Labour Nd Drivers Hyva'!$B:$B,'[2]Jan Labour Nd Drivers Hyva'!$A:$A,"NOT FOUND")</f>
        <v>LAB-004</v>
      </c>
      <c r="J344" s="5" t="str">
        <f>IF(G344="","",_xlfn.XLOOKUP(G344,'[3]Jan Labour Nd Drivers Hyva'!$B:$B,'[2]Jan Labour Nd Drivers Hyva'!$A:$A,"NOT FOUND"))</f>
        <v/>
      </c>
      <c r="K344" s="5" t="str">
        <f>IF(H344="","",_xlfn.XLOOKUP(H344,'[2]Jan Labour Nd Drivers Hyva'!$B:$B,'[2]Jan Labour Nd Drivers Hyva'!$A:$A,"NOT FOUND"))</f>
        <v/>
      </c>
      <c r="L344" s="11" t="s">
        <v>116</v>
      </c>
      <c r="M344" s="11">
        <v>1</v>
      </c>
      <c r="N344" s="13">
        <v>32000</v>
      </c>
      <c r="O344" s="8">
        <f t="shared" si="61"/>
        <v>32000</v>
      </c>
      <c r="P344" s="13">
        <v>32000</v>
      </c>
      <c r="Q344" s="7">
        <f t="shared" si="67"/>
        <v>0</v>
      </c>
      <c r="R344" t="str">
        <f t="shared" si="62"/>
        <v>PAID</v>
      </c>
      <c r="S344" s="3"/>
      <c r="T344" s="9">
        <f t="shared" si="63"/>
        <v>32000</v>
      </c>
      <c r="U344" t="str">
        <f t="shared" si="64"/>
        <v>OK</v>
      </c>
      <c r="V344" s="10">
        <f t="shared" si="65"/>
        <v>0</v>
      </c>
      <c r="W344" t="str">
        <f t="shared" si="66"/>
        <v>OK</v>
      </c>
      <c r="X344" s="3" t="s">
        <v>28</v>
      </c>
      <c r="Y344" t="s">
        <v>29</v>
      </c>
    </row>
    <row r="345" spans="1:25" x14ac:dyDescent="0.2">
      <c r="A345" t="str">
        <f t="shared" si="57"/>
        <v>TRIP-393</v>
      </c>
      <c r="B345" s="2">
        <v>45877</v>
      </c>
      <c r="C345" s="3" t="str">
        <f>_xlfn.XLOOKUP(D345,'[1]Jan Customer Duplicate Hyva'!$B:$B,'[1]Jan Customer Duplicate Hyva'!$A:$A,"NOT FOUND")</f>
        <v>CUST-171</v>
      </c>
      <c r="D345" s="11" t="s">
        <v>159</v>
      </c>
      <c r="E345" s="11" t="s">
        <v>55</v>
      </c>
      <c r="F345" s="5" t="str">
        <f t="shared" si="58"/>
        <v>Gaju Bhau</v>
      </c>
      <c r="G345" s="5" t="str">
        <f t="shared" si="59"/>
        <v/>
      </c>
      <c r="H345" s="5" t="str">
        <f t="shared" si="60"/>
        <v/>
      </c>
      <c r="I345" s="5" t="str">
        <f>_xlfn.XLOOKUP(F345,'[1]Jan Labour Nd Drivers Hyva'!$B:$B,'[2]Jan Labour Nd Drivers Hyva'!$A:$A,"NOT FOUND")</f>
        <v>LAB-001</v>
      </c>
      <c r="J345" s="5" t="str">
        <f>IF(G345="","",_xlfn.XLOOKUP(G345,'[3]Jan Labour Nd Drivers Hyva'!$B:$B,'[2]Jan Labour Nd Drivers Hyva'!$A:$A,"NOT FOUND"))</f>
        <v/>
      </c>
      <c r="K345" s="5" t="str">
        <f>IF(H345="","",_xlfn.XLOOKUP(H345,'[2]Jan Labour Nd Drivers Hyva'!$B:$B,'[2]Jan Labour Nd Drivers Hyva'!$A:$A,"NOT FOUND"))</f>
        <v/>
      </c>
      <c r="L345" s="11" t="s">
        <v>269</v>
      </c>
      <c r="M345" s="11">
        <v>1</v>
      </c>
      <c r="N345" s="13">
        <v>30000</v>
      </c>
      <c r="O345" s="8">
        <f t="shared" si="61"/>
        <v>30000</v>
      </c>
      <c r="P345" s="13">
        <v>30000</v>
      </c>
      <c r="Q345" s="7">
        <f t="shared" si="67"/>
        <v>0</v>
      </c>
      <c r="R345" t="str">
        <f t="shared" si="62"/>
        <v>PAID</v>
      </c>
      <c r="S345" s="3"/>
      <c r="T345" s="9">
        <f t="shared" si="63"/>
        <v>30000</v>
      </c>
      <c r="U345" t="str">
        <f t="shared" si="64"/>
        <v>OK</v>
      </c>
      <c r="V345" s="10">
        <f t="shared" si="65"/>
        <v>0</v>
      </c>
      <c r="W345" t="str">
        <f t="shared" si="66"/>
        <v>OK</v>
      </c>
      <c r="X345" s="3" t="s">
        <v>28</v>
      </c>
      <c r="Y345" t="s">
        <v>29</v>
      </c>
    </row>
    <row r="346" spans="1:25" x14ac:dyDescent="0.2">
      <c r="A346" t="str">
        <f t="shared" si="57"/>
        <v>TRIP-394</v>
      </c>
      <c r="B346" s="2">
        <v>45878</v>
      </c>
      <c r="C346" s="3" t="str">
        <f>_xlfn.XLOOKUP(D346,'[1]Jan Customer Duplicate Hyva'!$B:$B,'[1]Jan Customer Duplicate Hyva'!$A:$A,"NOT FOUND")</f>
        <v>CUST-236</v>
      </c>
      <c r="D346" s="11" t="s">
        <v>58</v>
      </c>
      <c r="E346" s="11" t="s">
        <v>55</v>
      </c>
      <c r="F346" s="5" t="str">
        <f t="shared" si="58"/>
        <v>Gaju Bhau</v>
      </c>
      <c r="G346" s="5" t="str">
        <f t="shared" si="59"/>
        <v/>
      </c>
      <c r="H346" s="5" t="str">
        <f t="shared" si="60"/>
        <v/>
      </c>
      <c r="I346" s="5" t="str">
        <f>_xlfn.XLOOKUP(F346,'[1]Jan Labour Nd Drivers Hyva'!$B:$B,'[2]Jan Labour Nd Drivers Hyva'!$A:$A,"NOT FOUND")</f>
        <v>LAB-001</v>
      </c>
      <c r="J346" s="5" t="str">
        <f>IF(G346="","",_xlfn.XLOOKUP(G346,'[3]Jan Labour Nd Drivers Hyva'!$B:$B,'[2]Jan Labour Nd Drivers Hyva'!$A:$A,"NOT FOUND"))</f>
        <v/>
      </c>
      <c r="K346" s="5" t="str">
        <f>IF(H346="","",_xlfn.XLOOKUP(H346,'[2]Jan Labour Nd Drivers Hyva'!$B:$B,'[2]Jan Labour Nd Drivers Hyva'!$A:$A,"NOT FOUND"))</f>
        <v/>
      </c>
      <c r="L346" s="11" t="s">
        <v>108</v>
      </c>
      <c r="M346" s="11">
        <v>1</v>
      </c>
      <c r="N346" s="13">
        <v>30000</v>
      </c>
      <c r="O346" s="8">
        <f t="shared" si="61"/>
        <v>30000</v>
      </c>
      <c r="P346" s="13">
        <v>30000</v>
      </c>
      <c r="Q346" s="7">
        <f t="shared" si="67"/>
        <v>0</v>
      </c>
      <c r="R346" t="str">
        <f t="shared" si="62"/>
        <v>PAID</v>
      </c>
      <c r="S346" s="3"/>
      <c r="T346" s="9">
        <f t="shared" si="63"/>
        <v>30000</v>
      </c>
      <c r="U346" t="str">
        <f t="shared" si="64"/>
        <v>OK</v>
      </c>
      <c r="V346" s="10">
        <f t="shared" si="65"/>
        <v>0</v>
      </c>
      <c r="W346" t="str">
        <f t="shared" si="66"/>
        <v>OK</v>
      </c>
      <c r="X346" s="3" t="s">
        <v>28</v>
      </c>
      <c r="Y346" t="s">
        <v>29</v>
      </c>
    </row>
    <row r="347" spans="1:25" x14ac:dyDescent="0.2">
      <c r="A347" t="str">
        <f t="shared" si="57"/>
        <v>TRIP-395</v>
      </c>
      <c r="B347" s="2">
        <v>45879</v>
      </c>
      <c r="C347" s="3" t="str">
        <f>_xlfn.XLOOKUP(D347,'[1]Jan Customer Duplicate Hyva'!$B:$B,'[1]Jan Customer Duplicate Hyva'!$A:$A,"NOT FOUND")</f>
        <v>CUST-226</v>
      </c>
      <c r="D347" s="11" t="s">
        <v>270</v>
      </c>
      <c r="E347" s="11" t="s">
        <v>55</v>
      </c>
      <c r="F347" s="5" t="str">
        <f t="shared" si="58"/>
        <v>Gaju Bhau</v>
      </c>
      <c r="G347" s="5" t="str">
        <f t="shared" si="59"/>
        <v/>
      </c>
      <c r="H347" s="5" t="str">
        <f t="shared" si="60"/>
        <v/>
      </c>
      <c r="I347" s="5" t="str">
        <f>_xlfn.XLOOKUP(F347,'[1]Jan Labour Nd Drivers Hyva'!$B:$B,'[2]Jan Labour Nd Drivers Hyva'!$A:$A,"NOT FOUND")</f>
        <v>LAB-001</v>
      </c>
      <c r="J347" s="5" t="str">
        <f>IF(G347="","",_xlfn.XLOOKUP(G347,'[3]Jan Labour Nd Drivers Hyva'!$B:$B,'[2]Jan Labour Nd Drivers Hyva'!$A:$A,"NOT FOUND"))</f>
        <v/>
      </c>
      <c r="K347" s="5" t="str">
        <f>IF(H347="","",_xlfn.XLOOKUP(H347,'[2]Jan Labour Nd Drivers Hyva'!$B:$B,'[2]Jan Labour Nd Drivers Hyva'!$A:$A,"NOT FOUND"))</f>
        <v/>
      </c>
      <c r="L347" s="11" t="s">
        <v>271</v>
      </c>
      <c r="M347" s="11">
        <v>1</v>
      </c>
      <c r="N347" s="13">
        <v>22000</v>
      </c>
      <c r="O347" s="8">
        <f t="shared" si="61"/>
        <v>22000</v>
      </c>
      <c r="P347" s="13">
        <v>22000</v>
      </c>
      <c r="Q347" s="7">
        <f t="shared" si="67"/>
        <v>0</v>
      </c>
      <c r="R347" t="str">
        <f t="shared" si="62"/>
        <v>PAID</v>
      </c>
      <c r="S347" s="3"/>
      <c r="T347" s="9">
        <f t="shared" si="63"/>
        <v>22000</v>
      </c>
      <c r="U347" t="str">
        <f t="shared" si="64"/>
        <v>OK</v>
      </c>
      <c r="V347" s="10">
        <f t="shared" si="65"/>
        <v>0</v>
      </c>
      <c r="W347" t="str">
        <f t="shared" si="66"/>
        <v>OK</v>
      </c>
      <c r="X347" s="3" t="s">
        <v>28</v>
      </c>
      <c r="Y347" t="s">
        <v>29</v>
      </c>
    </row>
    <row r="348" spans="1:25" x14ac:dyDescent="0.2">
      <c r="A348" t="str">
        <f t="shared" si="57"/>
        <v>TRIP-396</v>
      </c>
      <c r="B348" s="2">
        <v>45883</v>
      </c>
      <c r="C348" s="3" t="str">
        <f>_xlfn.XLOOKUP(D348,'[1]Jan Customer Duplicate Hyva'!$B:$B,'[1]Jan Customer Duplicate Hyva'!$A:$A,"NOT FOUND")</f>
        <v>CUST-236</v>
      </c>
      <c r="D348" s="11" t="s">
        <v>58</v>
      </c>
      <c r="E348" s="11" t="s">
        <v>55</v>
      </c>
      <c r="F348" s="5" t="str">
        <f t="shared" si="58"/>
        <v>Gaju Bhau</v>
      </c>
      <c r="G348" s="5" t="str">
        <f t="shared" si="59"/>
        <v/>
      </c>
      <c r="H348" s="5" t="str">
        <f t="shared" si="60"/>
        <v/>
      </c>
      <c r="I348" s="5" t="str">
        <f>_xlfn.XLOOKUP(F348,'[1]Jan Labour Nd Drivers Hyva'!$B:$B,'[2]Jan Labour Nd Drivers Hyva'!$A:$A,"NOT FOUND")</f>
        <v>LAB-001</v>
      </c>
      <c r="J348" s="5" t="str">
        <f>IF(G348="","",_xlfn.XLOOKUP(G348,'[3]Jan Labour Nd Drivers Hyva'!$B:$B,'[2]Jan Labour Nd Drivers Hyva'!$A:$A,"NOT FOUND"))</f>
        <v/>
      </c>
      <c r="K348" s="5" t="str">
        <f>IF(H348="","",_xlfn.XLOOKUP(H348,'[2]Jan Labour Nd Drivers Hyva'!$B:$B,'[2]Jan Labour Nd Drivers Hyva'!$A:$A,"NOT FOUND"))</f>
        <v/>
      </c>
      <c r="L348" s="11" t="s">
        <v>184</v>
      </c>
      <c r="M348" s="11">
        <v>1</v>
      </c>
      <c r="N348" s="13">
        <v>30000</v>
      </c>
      <c r="O348" s="8">
        <f t="shared" si="61"/>
        <v>30000</v>
      </c>
      <c r="P348" s="13">
        <v>11600</v>
      </c>
      <c r="Q348" s="7">
        <f t="shared" si="67"/>
        <v>18400</v>
      </c>
      <c r="R348" t="str">
        <f t="shared" si="62"/>
        <v>PARTIAL</v>
      </c>
      <c r="S348" s="3"/>
      <c r="T348" s="9">
        <f t="shared" si="63"/>
        <v>30000</v>
      </c>
      <c r="U348" t="str">
        <f t="shared" si="64"/>
        <v>OK</v>
      </c>
      <c r="V348" s="10">
        <f t="shared" si="65"/>
        <v>18400</v>
      </c>
      <c r="W348" t="str">
        <f t="shared" si="66"/>
        <v>OK</v>
      </c>
      <c r="X348" s="3" t="s">
        <v>28</v>
      </c>
      <c r="Y348" t="s">
        <v>29</v>
      </c>
    </row>
    <row r="349" spans="1:25" x14ac:dyDescent="0.2">
      <c r="A349" t="str">
        <f t="shared" si="57"/>
        <v>TRIP-397</v>
      </c>
      <c r="B349" s="2">
        <v>45892</v>
      </c>
      <c r="C349" s="3" t="str">
        <f>_xlfn.XLOOKUP(D349,'[1]Jan Customer Duplicate Hyva'!$B:$B,'[1]Jan Customer Duplicate Hyva'!$A:$A,"NOT FOUND")</f>
        <v>CUST-321</v>
      </c>
      <c r="D349" s="11" t="s">
        <v>95</v>
      </c>
      <c r="E349" s="11" t="s">
        <v>55</v>
      </c>
      <c r="F349" s="5" t="str">
        <f t="shared" si="58"/>
        <v>Gaju Bhau</v>
      </c>
      <c r="G349" s="5" t="str">
        <f t="shared" si="59"/>
        <v/>
      </c>
      <c r="H349" s="5" t="str">
        <f t="shared" si="60"/>
        <v/>
      </c>
      <c r="I349" s="5" t="str">
        <f>_xlfn.XLOOKUP(F349,'[1]Jan Labour Nd Drivers Hyva'!$B:$B,'[2]Jan Labour Nd Drivers Hyva'!$A:$A,"NOT FOUND")</f>
        <v>LAB-001</v>
      </c>
      <c r="J349" s="5" t="str">
        <f>IF(G349="","",_xlfn.XLOOKUP(G349,'[3]Jan Labour Nd Drivers Hyva'!$B:$B,'[2]Jan Labour Nd Drivers Hyva'!$A:$A,"NOT FOUND"))</f>
        <v/>
      </c>
      <c r="K349" s="5" t="str">
        <f>IF(H349="","",_xlfn.XLOOKUP(H349,'[2]Jan Labour Nd Drivers Hyva'!$B:$B,'[2]Jan Labour Nd Drivers Hyva'!$A:$A,"NOT FOUND"))</f>
        <v/>
      </c>
      <c r="L349" s="11" t="s">
        <v>154</v>
      </c>
      <c r="M349" s="11">
        <v>1</v>
      </c>
      <c r="N349" s="13">
        <v>32000</v>
      </c>
      <c r="O349" s="8">
        <f t="shared" si="61"/>
        <v>32000</v>
      </c>
      <c r="P349" s="13">
        <v>32000</v>
      </c>
      <c r="Q349" s="7">
        <f t="shared" si="67"/>
        <v>0</v>
      </c>
      <c r="R349" t="str">
        <f t="shared" si="62"/>
        <v>PAID</v>
      </c>
      <c r="S349" s="3"/>
      <c r="T349" s="9">
        <f t="shared" si="63"/>
        <v>32000</v>
      </c>
      <c r="U349" t="str">
        <f t="shared" si="64"/>
        <v>OK</v>
      </c>
      <c r="V349" s="10">
        <f t="shared" si="65"/>
        <v>0</v>
      </c>
      <c r="W349" t="str">
        <f t="shared" si="66"/>
        <v>OK</v>
      </c>
      <c r="X349" s="3" t="s">
        <v>28</v>
      </c>
      <c r="Y349" t="s">
        <v>29</v>
      </c>
    </row>
    <row r="350" spans="1:25" x14ac:dyDescent="0.2">
      <c r="A350" t="str">
        <f t="shared" si="57"/>
        <v>TRIP-398</v>
      </c>
      <c r="B350" s="2">
        <v>45915</v>
      </c>
      <c r="C350" s="3" t="str">
        <f>_xlfn.XLOOKUP(D350,'[1]Jan Customer Duplicate Hyva'!$B:$B,'[1]Jan Customer Duplicate Hyva'!$A:$A,"NOT FOUND")</f>
        <v>CUST-323</v>
      </c>
      <c r="D350" s="3" t="s">
        <v>51</v>
      </c>
      <c r="E350" s="11" t="s">
        <v>55</v>
      </c>
      <c r="F350" s="5" t="str">
        <f t="shared" si="58"/>
        <v>Gaju Bhau</v>
      </c>
      <c r="G350" s="5" t="str">
        <f t="shared" si="59"/>
        <v/>
      </c>
      <c r="H350" s="5" t="str">
        <f t="shared" si="60"/>
        <v/>
      </c>
      <c r="I350" s="5" t="str">
        <f>_xlfn.XLOOKUP(F350,'[1]Jan Labour Nd Drivers Hyva'!$B:$B,'[2]Jan Labour Nd Drivers Hyva'!$A:$A,"NOT FOUND")</f>
        <v>LAB-001</v>
      </c>
      <c r="J350" s="5" t="str">
        <f>IF(G350="","",_xlfn.XLOOKUP(G350,'[3]Jan Labour Nd Drivers Hyva'!$B:$B,'[2]Jan Labour Nd Drivers Hyva'!$A:$A,"NOT FOUND"))</f>
        <v/>
      </c>
      <c r="K350" s="5" t="str">
        <f>IF(H350="","",_xlfn.XLOOKUP(H350,'[2]Jan Labour Nd Drivers Hyva'!$B:$B,'[2]Jan Labour Nd Drivers Hyva'!$A:$A,"NOT FOUND"))</f>
        <v/>
      </c>
      <c r="L350" s="11" t="s">
        <v>272</v>
      </c>
      <c r="M350" s="12">
        <v>1</v>
      </c>
      <c r="N350" s="13">
        <v>31000</v>
      </c>
      <c r="O350" s="8">
        <f t="shared" si="61"/>
        <v>31000</v>
      </c>
      <c r="P350" s="13">
        <v>31000</v>
      </c>
      <c r="Q350" s="7">
        <f t="shared" si="67"/>
        <v>0</v>
      </c>
      <c r="R350" t="str">
        <f t="shared" si="62"/>
        <v>PAID</v>
      </c>
      <c r="S350" s="3"/>
      <c r="T350" s="9">
        <f t="shared" si="63"/>
        <v>31000</v>
      </c>
      <c r="U350" t="str">
        <f t="shared" si="64"/>
        <v>OK</v>
      </c>
      <c r="V350" s="10">
        <f t="shared" si="65"/>
        <v>0</v>
      </c>
      <c r="W350" t="str">
        <f t="shared" si="66"/>
        <v>OK</v>
      </c>
      <c r="X350" s="3" t="s">
        <v>28</v>
      </c>
      <c r="Y350" t="s">
        <v>29</v>
      </c>
    </row>
    <row r="351" spans="1:25" x14ac:dyDescent="0.2">
      <c r="A351" t="str">
        <f t="shared" si="57"/>
        <v>TRIP-399</v>
      </c>
      <c r="B351" s="2">
        <v>45921</v>
      </c>
      <c r="C351" s="3" t="str">
        <f>_xlfn.XLOOKUP(D351,'[1]Jan Customer Duplicate Hyva'!$B:$B,'[1]Jan Customer Duplicate Hyva'!$A:$A,"NOT FOUND")</f>
        <v>CUST-161</v>
      </c>
      <c r="D351" s="11" t="s">
        <v>273</v>
      </c>
      <c r="E351" s="11" t="s">
        <v>55</v>
      </c>
      <c r="F351" s="5" t="str">
        <f t="shared" si="58"/>
        <v>Gaju Bhau</v>
      </c>
      <c r="G351" s="5" t="str">
        <f t="shared" si="59"/>
        <v/>
      </c>
      <c r="H351" s="5" t="str">
        <f t="shared" si="60"/>
        <v/>
      </c>
      <c r="I351" s="5" t="str">
        <f>_xlfn.XLOOKUP(F351,'[1]Jan Labour Nd Drivers Hyva'!$B:$B,'[2]Jan Labour Nd Drivers Hyva'!$A:$A,"NOT FOUND")</f>
        <v>LAB-001</v>
      </c>
      <c r="J351" s="5" t="str">
        <f>IF(G351="","",_xlfn.XLOOKUP(G351,'[3]Jan Labour Nd Drivers Hyva'!$B:$B,'[2]Jan Labour Nd Drivers Hyva'!$A:$A,"NOT FOUND"))</f>
        <v/>
      </c>
      <c r="K351" s="5" t="str">
        <f>IF(H351="","",_xlfn.XLOOKUP(H351,'[2]Jan Labour Nd Drivers Hyva'!$B:$B,'[2]Jan Labour Nd Drivers Hyva'!$A:$A,"NOT FOUND"))</f>
        <v/>
      </c>
      <c r="L351" s="11" t="s">
        <v>61</v>
      </c>
      <c r="M351" s="12">
        <v>1</v>
      </c>
      <c r="N351" s="13">
        <v>30000</v>
      </c>
      <c r="O351" s="8">
        <f t="shared" si="61"/>
        <v>30000</v>
      </c>
      <c r="P351" s="13">
        <v>30000</v>
      </c>
      <c r="Q351" s="7">
        <f t="shared" si="67"/>
        <v>0</v>
      </c>
      <c r="R351" t="str">
        <f t="shared" si="62"/>
        <v>PAID</v>
      </c>
      <c r="S351" s="3"/>
      <c r="T351" s="9">
        <f t="shared" si="63"/>
        <v>30000</v>
      </c>
      <c r="U351" t="str">
        <f t="shared" si="64"/>
        <v>OK</v>
      </c>
      <c r="V351" s="10">
        <f t="shared" si="65"/>
        <v>0</v>
      </c>
      <c r="W351" t="str">
        <f t="shared" si="66"/>
        <v>OK</v>
      </c>
      <c r="X351" s="3" t="s">
        <v>28</v>
      </c>
      <c r="Y351" t="s">
        <v>29</v>
      </c>
    </row>
    <row r="352" spans="1:25" x14ac:dyDescent="0.2">
      <c r="A352" t="str">
        <f t="shared" si="57"/>
        <v>TRIP-400</v>
      </c>
      <c r="B352" s="2">
        <v>45921</v>
      </c>
      <c r="C352" s="3" t="str">
        <f>_xlfn.XLOOKUP(D352,'[1]Jan Customer Duplicate Hyva'!$B:$B,'[1]Jan Customer Duplicate Hyva'!$A:$A,"NOT FOUND")</f>
        <v>CUST-321</v>
      </c>
      <c r="D352" s="11" t="s">
        <v>95</v>
      </c>
      <c r="E352" s="11" t="s">
        <v>55</v>
      </c>
      <c r="F352" s="5" t="str">
        <f t="shared" si="58"/>
        <v>Gaju Bhau</v>
      </c>
      <c r="G352" s="5" t="str">
        <f t="shared" si="59"/>
        <v/>
      </c>
      <c r="H352" s="5" t="str">
        <f t="shared" si="60"/>
        <v/>
      </c>
      <c r="I352" s="5" t="str">
        <f>_xlfn.XLOOKUP(F352,'[1]Jan Labour Nd Drivers Hyva'!$B:$B,'[2]Jan Labour Nd Drivers Hyva'!$A:$A,"NOT FOUND")</f>
        <v>LAB-001</v>
      </c>
      <c r="J352" s="5" t="str">
        <f>IF(G352="","",_xlfn.XLOOKUP(G352,'[3]Jan Labour Nd Drivers Hyva'!$B:$B,'[2]Jan Labour Nd Drivers Hyva'!$A:$A,"NOT FOUND"))</f>
        <v/>
      </c>
      <c r="K352" s="5" t="str">
        <f>IF(H352="","",_xlfn.XLOOKUP(H352,'[2]Jan Labour Nd Drivers Hyva'!$B:$B,'[2]Jan Labour Nd Drivers Hyva'!$A:$A,"NOT FOUND"))</f>
        <v/>
      </c>
      <c r="L352" s="11" t="s">
        <v>154</v>
      </c>
      <c r="M352" s="12">
        <v>1</v>
      </c>
      <c r="N352" s="13">
        <v>31000</v>
      </c>
      <c r="O352" s="8">
        <f t="shared" si="61"/>
        <v>31000</v>
      </c>
      <c r="P352" s="13">
        <v>5000</v>
      </c>
      <c r="Q352" s="7">
        <f t="shared" si="67"/>
        <v>26000</v>
      </c>
      <c r="R352" t="str">
        <f t="shared" si="62"/>
        <v>PARTIAL</v>
      </c>
      <c r="S352" s="3"/>
      <c r="T352" s="9">
        <f t="shared" si="63"/>
        <v>31000</v>
      </c>
      <c r="U352" t="str">
        <f t="shared" si="64"/>
        <v>OK</v>
      </c>
      <c r="V352" s="10">
        <f t="shared" si="65"/>
        <v>26000</v>
      </c>
      <c r="W352" t="str">
        <f t="shared" si="66"/>
        <v>OK</v>
      </c>
      <c r="X352" s="3" t="s">
        <v>28</v>
      </c>
      <c r="Y352" t="s">
        <v>29</v>
      </c>
    </row>
    <row r="353" spans="1:25" x14ac:dyDescent="0.2">
      <c r="A353" t="str">
        <f t="shared" si="57"/>
        <v>TRIP-401</v>
      </c>
      <c r="B353" s="2">
        <v>45922</v>
      </c>
      <c r="C353" s="3" t="str">
        <f>_xlfn.XLOOKUP(D353,'[1]Jan Customer Duplicate Hyva'!$B:$B,'[1]Jan Customer Duplicate Hyva'!$A:$A,"NOT FOUND")</f>
        <v>CUST-011</v>
      </c>
      <c r="D353" s="11" t="s">
        <v>35</v>
      </c>
      <c r="E353" s="11" t="s">
        <v>228</v>
      </c>
      <c r="F353" s="5" t="str">
        <f t="shared" si="58"/>
        <v>Vithal Bhau</v>
      </c>
      <c r="G353" s="5" t="str">
        <f t="shared" si="59"/>
        <v/>
      </c>
      <c r="H353" s="5" t="str">
        <f t="shared" si="60"/>
        <v/>
      </c>
      <c r="I353" s="5" t="str">
        <f>_xlfn.XLOOKUP(F353,'[1]Jan Labour Nd Drivers Hyva'!$B:$B,'[2]Jan Labour Nd Drivers Hyva'!$A:$A,"NOT FOUND")</f>
        <v>LAB-005</v>
      </c>
      <c r="J353" s="5" t="str">
        <f>IF(G353="","",_xlfn.XLOOKUP(G353,'[3]Jan Labour Nd Drivers Hyva'!$B:$B,'[2]Jan Labour Nd Drivers Hyva'!$A:$A,"NOT FOUND"))</f>
        <v/>
      </c>
      <c r="K353" s="5" t="str">
        <f>IF(H353="","",_xlfn.XLOOKUP(H353,'[2]Jan Labour Nd Drivers Hyva'!$B:$B,'[2]Jan Labour Nd Drivers Hyva'!$A:$A,"NOT FOUND"))</f>
        <v/>
      </c>
      <c r="L353" s="11" t="s">
        <v>274</v>
      </c>
      <c r="M353" s="12">
        <v>1</v>
      </c>
      <c r="N353" s="13">
        <v>29000</v>
      </c>
      <c r="O353" s="8">
        <f t="shared" si="61"/>
        <v>29000</v>
      </c>
      <c r="P353" s="13"/>
      <c r="Q353" s="7">
        <f t="shared" si="67"/>
        <v>29000</v>
      </c>
      <c r="R353" t="str">
        <f t="shared" si="62"/>
        <v>UNPAID</v>
      </c>
      <c r="S353" s="3"/>
      <c r="T353" s="9">
        <f t="shared" si="63"/>
        <v>29000</v>
      </c>
      <c r="U353" t="str">
        <f t="shared" si="64"/>
        <v>OK</v>
      </c>
      <c r="V353" s="10">
        <f t="shared" si="65"/>
        <v>29000</v>
      </c>
      <c r="W353" t="str">
        <f t="shared" si="66"/>
        <v>OK</v>
      </c>
      <c r="X353" s="3" t="s">
        <v>28</v>
      </c>
      <c r="Y353" t="s">
        <v>29</v>
      </c>
    </row>
    <row r="354" spans="1:25" x14ac:dyDescent="0.2">
      <c r="A354" t="str">
        <f t="shared" si="57"/>
        <v>TRIP-402</v>
      </c>
      <c r="B354" s="2">
        <v>45923</v>
      </c>
      <c r="C354" s="3" t="str">
        <f>_xlfn.XLOOKUP(D354,'[1]Jan Customer Duplicate Hyva'!$B:$B,'[1]Jan Customer Duplicate Hyva'!$A:$A,"NOT FOUND")</f>
        <v>CUST-207</v>
      </c>
      <c r="D354" s="11" t="s">
        <v>25</v>
      </c>
      <c r="E354" s="11" t="s">
        <v>55</v>
      </c>
      <c r="F354" s="5" t="str">
        <f t="shared" si="58"/>
        <v>Gaju Bhau</v>
      </c>
      <c r="G354" s="5" t="str">
        <f t="shared" si="59"/>
        <v/>
      </c>
      <c r="H354" s="5" t="str">
        <f t="shared" si="60"/>
        <v/>
      </c>
      <c r="I354" s="5" t="str">
        <f>_xlfn.XLOOKUP(F354,'[1]Jan Labour Nd Drivers Hyva'!$B:$B,'[2]Jan Labour Nd Drivers Hyva'!$A:$A,"NOT FOUND")</f>
        <v>LAB-001</v>
      </c>
      <c r="J354" s="5" t="str">
        <f>IF(G354="","",_xlfn.XLOOKUP(G354,'[3]Jan Labour Nd Drivers Hyva'!$B:$B,'[2]Jan Labour Nd Drivers Hyva'!$A:$A,"NOT FOUND"))</f>
        <v/>
      </c>
      <c r="K354" s="5" t="str">
        <f>IF(H354="","",_xlfn.XLOOKUP(H354,'[2]Jan Labour Nd Drivers Hyva'!$B:$B,'[2]Jan Labour Nd Drivers Hyva'!$A:$A,"NOT FOUND"))</f>
        <v/>
      </c>
      <c r="L354" s="11" t="s">
        <v>157</v>
      </c>
      <c r="M354" s="12">
        <v>1</v>
      </c>
      <c r="N354" s="13">
        <v>29000</v>
      </c>
      <c r="O354" s="8">
        <f t="shared" si="61"/>
        <v>29000</v>
      </c>
      <c r="P354" s="13">
        <v>29000</v>
      </c>
      <c r="Q354" s="7">
        <f t="shared" si="67"/>
        <v>0</v>
      </c>
      <c r="R354" t="str">
        <f t="shared" si="62"/>
        <v>PAID</v>
      </c>
      <c r="S354" s="3"/>
      <c r="T354" s="9">
        <f t="shared" si="63"/>
        <v>29000</v>
      </c>
      <c r="U354" t="str">
        <f t="shared" si="64"/>
        <v>OK</v>
      </c>
      <c r="V354" s="10">
        <f t="shared" si="65"/>
        <v>0</v>
      </c>
      <c r="W354" t="str">
        <f t="shared" si="66"/>
        <v>OK</v>
      </c>
      <c r="X354" s="3" t="s">
        <v>28</v>
      </c>
      <c r="Y354" t="s">
        <v>29</v>
      </c>
    </row>
    <row r="355" spans="1:25" x14ac:dyDescent="0.2">
      <c r="A355" t="str">
        <f t="shared" si="57"/>
        <v>TRIP-403</v>
      </c>
      <c r="B355" s="2">
        <v>45923</v>
      </c>
      <c r="C355" s="3" t="str">
        <f>_xlfn.XLOOKUP(D355,'[1]Jan Customer Duplicate Hyva'!$B:$B,'[1]Jan Customer Duplicate Hyva'!$A:$A,"NOT FOUND")</f>
        <v>CUST-208</v>
      </c>
      <c r="D355" s="11" t="s">
        <v>275</v>
      </c>
      <c r="E355" s="11" t="s">
        <v>55</v>
      </c>
      <c r="F355" s="5" t="str">
        <f t="shared" si="58"/>
        <v>Gaju Bhau</v>
      </c>
      <c r="G355" s="5" t="str">
        <f t="shared" si="59"/>
        <v/>
      </c>
      <c r="H355" s="5" t="str">
        <f t="shared" si="60"/>
        <v/>
      </c>
      <c r="I355" s="5" t="str">
        <f>_xlfn.XLOOKUP(F355,'[1]Jan Labour Nd Drivers Hyva'!$B:$B,'[2]Jan Labour Nd Drivers Hyva'!$A:$A,"NOT FOUND")</f>
        <v>LAB-001</v>
      </c>
      <c r="J355" s="5" t="str">
        <f>IF(G355="","",_xlfn.XLOOKUP(G355,'[3]Jan Labour Nd Drivers Hyva'!$B:$B,'[2]Jan Labour Nd Drivers Hyva'!$A:$A,"NOT FOUND"))</f>
        <v/>
      </c>
      <c r="K355" s="5" t="str">
        <f>IF(H355="","",_xlfn.XLOOKUP(H355,'[2]Jan Labour Nd Drivers Hyva'!$B:$B,'[2]Jan Labour Nd Drivers Hyva'!$A:$A,"NOT FOUND"))</f>
        <v/>
      </c>
      <c r="L355" s="11" t="s">
        <v>185</v>
      </c>
      <c r="M355" s="12">
        <v>1</v>
      </c>
      <c r="N355" s="13">
        <v>29000</v>
      </c>
      <c r="O355" s="8">
        <f t="shared" si="61"/>
        <v>29000</v>
      </c>
      <c r="P355" s="13">
        <v>29000</v>
      </c>
      <c r="Q355" s="7">
        <f t="shared" si="67"/>
        <v>0</v>
      </c>
      <c r="R355" t="str">
        <f t="shared" si="62"/>
        <v>PAID</v>
      </c>
      <c r="S355" s="3"/>
      <c r="T355" s="9">
        <f t="shared" si="63"/>
        <v>29000</v>
      </c>
      <c r="U355" t="str">
        <f t="shared" si="64"/>
        <v>OK</v>
      </c>
      <c r="V355" s="10">
        <f t="shared" si="65"/>
        <v>0</v>
      </c>
      <c r="W355" t="str">
        <f t="shared" si="66"/>
        <v>OK</v>
      </c>
      <c r="X355" s="3" t="s">
        <v>28</v>
      </c>
      <c r="Y355" t="s">
        <v>29</v>
      </c>
    </row>
    <row r="356" spans="1:25" x14ac:dyDescent="0.2">
      <c r="A356" t="str">
        <f t="shared" si="57"/>
        <v>TRIP-404</v>
      </c>
      <c r="B356" s="2">
        <v>45923</v>
      </c>
      <c r="C356" s="3" t="str">
        <f>_xlfn.XLOOKUP(D356,'[1]Jan Customer Duplicate Hyva'!$B:$B,'[1]Jan Customer Duplicate Hyva'!$A:$A,"NOT FOUND")</f>
        <v>CUST-207</v>
      </c>
      <c r="D356" s="11" t="s">
        <v>25</v>
      </c>
      <c r="E356" s="11" t="s">
        <v>228</v>
      </c>
      <c r="F356" s="5" t="str">
        <f t="shared" si="58"/>
        <v>Vithal Bhau</v>
      </c>
      <c r="G356" s="5" t="str">
        <f t="shared" si="59"/>
        <v/>
      </c>
      <c r="H356" s="5" t="str">
        <f t="shared" si="60"/>
        <v/>
      </c>
      <c r="I356" s="5" t="str">
        <f>_xlfn.XLOOKUP(F356,'[1]Jan Labour Nd Drivers Hyva'!$B:$B,'[2]Jan Labour Nd Drivers Hyva'!$A:$A,"NOT FOUND")</f>
        <v>LAB-005</v>
      </c>
      <c r="J356" s="5" t="str">
        <f>IF(G356="","",_xlfn.XLOOKUP(G356,'[3]Jan Labour Nd Drivers Hyva'!$B:$B,'[2]Jan Labour Nd Drivers Hyva'!$A:$A,"NOT FOUND"))</f>
        <v/>
      </c>
      <c r="K356" s="5" t="str">
        <f>IF(H356="","",_xlfn.XLOOKUP(H356,'[2]Jan Labour Nd Drivers Hyva'!$B:$B,'[2]Jan Labour Nd Drivers Hyva'!$A:$A,"NOT FOUND"))</f>
        <v/>
      </c>
      <c r="L356" s="11" t="s">
        <v>276</v>
      </c>
      <c r="M356" s="12">
        <v>2</v>
      </c>
      <c r="N356" s="13">
        <v>29000</v>
      </c>
      <c r="O356" s="8">
        <f t="shared" si="61"/>
        <v>58000</v>
      </c>
      <c r="P356" s="13">
        <v>58000</v>
      </c>
      <c r="Q356" s="7">
        <f t="shared" si="67"/>
        <v>0</v>
      </c>
      <c r="R356" t="str">
        <f t="shared" si="62"/>
        <v>PAID</v>
      </c>
      <c r="S356" s="3"/>
      <c r="T356" s="9">
        <f t="shared" si="63"/>
        <v>58000</v>
      </c>
      <c r="U356" t="str">
        <f t="shared" si="64"/>
        <v>OK</v>
      </c>
      <c r="V356" s="10">
        <f t="shared" si="65"/>
        <v>0</v>
      </c>
      <c r="W356" t="str">
        <f t="shared" si="66"/>
        <v>OK</v>
      </c>
      <c r="X356" s="3" t="s">
        <v>28</v>
      </c>
      <c r="Y356" t="s">
        <v>29</v>
      </c>
    </row>
    <row r="357" spans="1:25" x14ac:dyDescent="0.2">
      <c r="A357" t="str">
        <f t="shared" si="57"/>
        <v>TRIP-405</v>
      </c>
      <c r="B357" s="2">
        <v>45924</v>
      </c>
      <c r="C357" s="3" t="str">
        <f>_xlfn.XLOOKUP(D357,'[1]Jan Customer Duplicate Hyva'!$B:$B,'[1]Jan Customer Duplicate Hyva'!$A:$A,"NOT FOUND")</f>
        <v>CUST-209</v>
      </c>
      <c r="D357" s="11" t="s">
        <v>277</v>
      </c>
      <c r="E357" s="11" t="s">
        <v>196</v>
      </c>
      <c r="F357" s="5" t="str">
        <f t="shared" si="58"/>
        <v>Gaju Bhau</v>
      </c>
      <c r="G357" s="5" t="str">
        <f t="shared" si="59"/>
        <v>Ravi</v>
      </c>
      <c r="H357" s="5" t="str">
        <f t="shared" si="60"/>
        <v/>
      </c>
      <c r="I357" s="5" t="str">
        <f>_xlfn.XLOOKUP(F357,'[1]Jan Labour Nd Drivers Hyva'!$B:$B,'[2]Jan Labour Nd Drivers Hyva'!$A:$A,"NOT FOUND")</f>
        <v>LAB-001</v>
      </c>
      <c r="J357" s="5" t="str">
        <f>IF(G357="","",_xlfn.XLOOKUP(G357,'[3]Jan Labour Nd Drivers Hyva'!$B:$B,'[2]Jan Labour Nd Drivers Hyva'!$A:$A,"NOT FOUND"))</f>
        <v>LAB-003</v>
      </c>
      <c r="K357" s="5" t="str">
        <f>IF(H357="","",_xlfn.XLOOKUP(H357,'[2]Jan Labour Nd Drivers Hyva'!$B:$B,'[2]Jan Labour Nd Drivers Hyva'!$A:$A,"NOT FOUND"))</f>
        <v/>
      </c>
      <c r="L357" s="11" t="s">
        <v>126</v>
      </c>
      <c r="M357" s="12">
        <v>2</v>
      </c>
      <c r="N357" s="13">
        <v>29000</v>
      </c>
      <c r="O357" s="8">
        <f t="shared" si="61"/>
        <v>58000</v>
      </c>
      <c r="P357" s="13">
        <v>58000</v>
      </c>
      <c r="Q357" s="7">
        <f t="shared" si="67"/>
        <v>0</v>
      </c>
      <c r="R357" t="str">
        <f t="shared" si="62"/>
        <v>PAID</v>
      </c>
      <c r="S357" s="3"/>
      <c r="T357" s="9">
        <f t="shared" si="63"/>
        <v>58000</v>
      </c>
      <c r="U357" t="str">
        <f t="shared" si="64"/>
        <v>OK</v>
      </c>
      <c r="V357" s="10">
        <f t="shared" si="65"/>
        <v>0</v>
      </c>
      <c r="W357" t="str">
        <f t="shared" si="66"/>
        <v>OK</v>
      </c>
      <c r="X357" s="3" t="s">
        <v>28</v>
      </c>
      <c r="Y357" t="s">
        <v>29</v>
      </c>
    </row>
    <row r="358" spans="1:25" x14ac:dyDescent="0.2">
      <c r="A358" t="str">
        <f t="shared" si="57"/>
        <v>TRIP-406</v>
      </c>
      <c r="B358" s="2">
        <v>45924</v>
      </c>
      <c r="C358" s="3" t="str">
        <f>_xlfn.XLOOKUP(D358,'[1]Jan Customer Duplicate Hyva'!$B:$B,'[1]Jan Customer Duplicate Hyva'!$A:$A,"NOT FOUND")</f>
        <v>CUST-114</v>
      </c>
      <c r="D358" s="11" t="s">
        <v>278</v>
      </c>
      <c r="E358" s="11" t="s">
        <v>30</v>
      </c>
      <c r="F358" s="5" t="str">
        <f t="shared" si="58"/>
        <v>Ravi</v>
      </c>
      <c r="G358" s="5" t="str">
        <f t="shared" si="59"/>
        <v/>
      </c>
      <c r="H358" s="5" t="str">
        <f t="shared" si="60"/>
        <v/>
      </c>
      <c r="I358" s="5" t="str">
        <f>_xlfn.XLOOKUP(F358,'[1]Jan Labour Nd Drivers Hyva'!$B:$B,'[2]Jan Labour Nd Drivers Hyva'!$A:$A,"NOT FOUND")</f>
        <v>LAB-003</v>
      </c>
      <c r="J358" s="5" t="str">
        <f>IF(G358="","",_xlfn.XLOOKUP(G358,'[3]Jan Labour Nd Drivers Hyva'!$B:$B,'[2]Jan Labour Nd Drivers Hyva'!$A:$A,"NOT FOUND"))</f>
        <v/>
      </c>
      <c r="K358" s="5" t="str">
        <f>IF(H358="","",_xlfn.XLOOKUP(H358,'[2]Jan Labour Nd Drivers Hyva'!$B:$B,'[2]Jan Labour Nd Drivers Hyva'!$A:$A,"NOT FOUND"))</f>
        <v/>
      </c>
      <c r="L358" s="11" t="s">
        <v>279</v>
      </c>
      <c r="M358" s="12">
        <v>1</v>
      </c>
      <c r="N358" s="13">
        <v>29000</v>
      </c>
      <c r="O358" s="8">
        <f t="shared" si="61"/>
        <v>29000</v>
      </c>
      <c r="P358" s="13">
        <v>29000</v>
      </c>
      <c r="Q358" s="7">
        <f t="shared" si="67"/>
        <v>0</v>
      </c>
      <c r="R358" t="str">
        <f t="shared" si="62"/>
        <v>PAID</v>
      </c>
      <c r="S358" s="3"/>
      <c r="T358" s="9">
        <f t="shared" si="63"/>
        <v>29000</v>
      </c>
      <c r="U358" t="str">
        <f t="shared" si="64"/>
        <v>OK</v>
      </c>
      <c r="V358" s="10">
        <f t="shared" si="65"/>
        <v>0</v>
      </c>
      <c r="W358" t="str">
        <f t="shared" si="66"/>
        <v>OK</v>
      </c>
      <c r="X358" s="3" t="s">
        <v>28</v>
      </c>
      <c r="Y358" t="s">
        <v>29</v>
      </c>
    </row>
    <row r="359" spans="1:25" x14ac:dyDescent="0.2">
      <c r="A359" t="str">
        <f t="shared" si="57"/>
        <v>TRIP-407</v>
      </c>
      <c r="B359" s="2">
        <v>45934</v>
      </c>
      <c r="C359" s="3" t="str">
        <f>_xlfn.XLOOKUP(D359,'[1]Jan Customer Duplicate Hyva'!$B:$B,'[1]Jan Customer Duplicate Hyva'!$A:$A,"NOT FOUND")</f>
        <v>CUST-323</v>
      </c>
      <c r="D359" s="3" t="s">
        <v>51</v>
      </c>
      <c r="E359" s="11" t="s">
        <v>30</v>
      </c>
      <c r="F359" s="5" t="str">
        <f t="shared" si="58"/>
        <v>Ravi</v>
      </c>
      <c r="G359" s="5" t="str">
        <f t="shared" si="59"/>
        <v/>
      </c>
      <c r="H359" s="5" t="str">
        <f t="shared" si="60"/>
        <v/>
      </c>
      <c r="I359" s="5" t="str">
        <f>_xlfn.XLOOKUP(F359,'[1]Jan Labour Nd Drivers Hyva'!$B:$B,'[2]Jan Labour Nd Drivers Hyva'!$A:$A,"NOT FOUND")</f>
        <v>LAB-003</v>
      </c>
      <c r="J359" s="5" t="str">
        <f>IF(G359="","",_xlfn.XLOOKUP(G359,'[3]Jan Labour Nd Drivers Hyva'!$B:$B,'[2]Jan Labour Nd Drivers Hyva'!$A:$A,"NOT FOUND"))</f>
        <v/>
      </c>
      <c r="K359" s="5" t="str">
        <f>IF(H359="","",_xlfn.XLOOKUP(H359,'[2]Jan Labour Nd Drivers Hyva'!$B:$B,'[2]Jan Labour Nd Drivers Hyva'!$A:$A,"NOT FOUND"))</f>
        <v/>
      </c>
      <c r="L359" s="11" t="s">
        <v>280</v>
      </c>
      <c r="M359" s="12">
        <v>1</v>
      </c>
      <c r="N359" s="13">
        <v>39000</v>
      </c>
      <c r="O359" s="8">
        <f t="shared" si="61"/>
        <v>39000</v>
      </c>
      <c r="P359" s="13">
        <v>39000</v>
      </c>
      <c r="Q359" s="7">
        <f t="shared" si="67"/>
        <v>0</v>
      </c>
      <c r="R359" t="str">
        <f t="shared" si="62"/>
        <v>PAID</v>
      </c>
      <c r="S359" s="3"/>
      <c r="T359" s="9">
        <f t="shared" si="63"/>
        <v>39000</v>
      </c>
      <c r="U359" t="str">
        <f t="shared" si="64"/>
        <v>OK</v>
      </c>
      <c r="V359" s="10">
        <f t="shared" si="65"/>
        <v>0</v>
      </c>
      <c r="W359" t="str">
        <f t="shared" si="66"/>
        <v>OK</v>
      </c>
      <c r="X359" s="3" t="s">
        <v>28</v>
      </c>
      <c r="Y359" t="s">
        <v>29</v>
      </c>
    </row>
    <row r="360" spans="1:25" x14ac:dyDescent="0.2">
      <c r="A360" t="str">
        <f t="shared" si="57"/>
        <v>TRIP-408</v>
      </c>
      <c r="B360" s="2">
        <v>45939</v>
      </c>
      <c r="C360" s="3" t="str">
        <f>_xlfn.XLOOKUP(D360,'[1]Jan Customer Duplicate Hyva'!$B:$B,'[1]Jan Customer Duplicate Hyva'!$A:$A,"NOT FOUND")</f>
        <v>CUST-280</v>
      </c>
      <c r="D360" s="11" t="s">
        <v>171</v>
      </c>
      <c r="E360" s="11" t="s">
        <v>30</v>
      </c>
      <c r="F360" s="5" t="str">
        <f t="shared" si="58"/>
        <v>Ravi</v>
      </c>
      <c r="G360" s="5" t="str">
        <f t="shared" si="59"/>
        <v/>
      </c>
      <c r="H360" s="5" t="str">
        <f t="shared" si="60"/>
        <v/>
      </c>
      <c r="I360" s="5" t="str">
        <f>_xlfn.XLOOKUP(F360,'[1]Jan Labour Nd Drivers Hyva'!$B:$B,'[2]Jan Labour Nd Drivers Hyva'!$A:$A,"NOT FOUND")</f>
        <v>LAB-003</v>
      </c>
      <c r="J360" s="5" t="str">
        <f>IF(G360="","",_xlfn.XLOOKUP(G360,'[3]Jan Labour Nd Drivers Hyva'!$B:$B,'[2]Jan Labour Nd Drivers Hyva'!$A:$A,"NOT FOUND"))</f>
        <v/>
      </c>
      <c r="K360" s="5" t="str">
        <f>IF(H360="","",_xlfn.XLOOKUP(H360,'[2]Jan Labour Nd Drivers Hyva'!$B:$B,'[2]Jan Labour Nd Drivers Hyva'!$A:$A,"NOT FOUND"))</f>
        <v/>
      </c>
      <c r="L360" s="11" t="s">
        <v>120</v>
      </c>
      <c r="M360" s="12">
        <v>1</v>
      </c>
      <c r="N360" s="13">
        <v>30000</v>
      </c>
      <c r="O360" s="8">
        <f t="shared" si="61"/>
        <v>30000</v>
      </c>
      <c r="P360" s="13">
        <v>30000</v>
      </c>
      <c r="Q360" s="7">
        <f t="shared" si="67"/>
        <v>0</v>
      </c>
      <c r="R360" t="str">
        <f t="shared" si="62"/>
        <v>PAID</v>
      </c>
      <c r="S360" s="3"/>
      <c r="T360" s="9">
        <f t="shared" si="63"/>
        <v>30000</v>
      </c>
      <c r="U360" t="str">
        <f t="shared" si="64"/>
        <v>OK</v>
      </c>
      <c r="V360" s="10">
        <f t="shared" si="65"/>
        <v>0</v>
      </c>
      <c r="W360" t="str">
        <f t="shared" si="66"/>
        <v>OK</v>
      </c>
      <c r="X360" s="3" t="s">
        <v>28</v>
      </c>
      <c r="Y360" t="s">
        <v>29</v>
      </c>
    </row>
    <row r="361" spans="1:25" x14ac:dyDescent="0.2">
      <c r="A361" t="str">
        <f t="shared" si="57"/>
        <v>TRIP-409</v>
      </c>
      <c r="B361" s="2">
        <v>45940</v>
      </c>
      <c r="C361" s="3" t="str">
        <f>_xlfn.XLOOKUP(D361,'[1]Jan Customer Duplicate Hyva'!$B:$B,'[1]Jan Customer Duplicate Hyva'!$A:$A,"NOT FOUND")</f>
        <v>CUST-323</v>
      </c>
      <c r="D361" s="3" t="s">
        <v>51</v>
      </c>
      <c r="E361" s="11" t="s">
        <v>30</v>
      </c>
      <c r="F361" s="5" t="str">
        <f t="shared" si="58"/>
        <v>Ravi</v>
      </c>
      <c r="G361" s="5" t="str">
        <f t="shared" si="59"/>
        <v/>
      </c>
      <c r="H361" s="5" t="str">
        <f t="shared" si="60"/>
        <v/>
      </c>
      <c r="I361" s="5" t="str">
        <f>_xlfn.XLOOKUP(F361,'[1]Jan Labour Nd Drivers Hyva'!$B:$B,'[2]Jan Labour Nd Drivers Hyva'!$A:$A,"NOT FOUND")</f>
        <v>LAB-003</v>
      </c>
      <c r="J361" s="5" t="str">
        <f>IF(G361="","",_xlfn.XLOOKUP(G361,'[3]Jan Labour Nd Drivers Hyva'!$B:$B,'[2]Jan Labour Nd Drivers Hyva'!$A:$A,"NOT FOUND"))</f>
        <v/>
      </c>
      <c r="K361" s="5" t="str">
        <f>IF(H361="","",_xlfn.XLOOKUP(H361,'[2]Jan Labour Nd Drivers Hyva'!$B:$B,'[2]Jan Labour Nd Drivers Hyva'!$A:$A,"NOT FOUND"))</f>
        <v/>
      </c>
      <c r="L361" s="11" t="s">
        <v>89</v>
      </c>
      <c r="M361" s="12">
        <v>1</v>
      </c>
      <c r="N361" s="13">
        <v>31000</v>
      </c>
      <c r="O361" s="8">
        <f t="shared" si="61"/>
        <v>31000</v>
      </c>
      <c r="P361" s="13">
        <v>31000</v>
      </c>
      <c r="Q361" s="7">
        <f t="shared" si="67"/>
        <v>0</v>
      </c>
      <c r="R361" t="str">
        <f t="shared" si="62"/>
        <v>PAID</v>
      </c>
      <c r="S361" s="3"/>
      <c r="T361" s="9">
        <f t="shared" si="63"/>
        <v>31000</v>
      </c>
      <c r="U361" t="str">
        <f t="shared" si="64"/>
        <v>OK</v>
      </c>
      <c r="V361" s="10">
        <f t="shared" si="65"/>
        <v>0</v>
      </c>
      <c r="W361" t="str">
        <f t="shared" si="66"/>
        <v>OK</v>
      </c>
      <c r="X361" s="3" t="s">
        <v>28</v>
      </c>
      <c r="Y361" t="s">
        <v>29</v>
      </c>
    </row>
    <row r="362" spans="1:25" x14ac:dyDescent="0.2">
      <c r="A362" t="str">
        <f t="shared" si="57"/>
        <v>TRIP-410</v>
      </c>
      <c r="B362" s="2">
        <v>45940</v>
      </c>
      <c r="C362" s="3" t="str">
        <f>_xlfn.XLOOKUP(D362,'[1]Jan Customer Duplicate Hyva'!$B:$B,'[1]Jan Customer Duplicate Hyva'!$A:$A,"NOT FOUND")</f>
        <v>CUST-045</v>
      </c>
      <c r="D362" s="11" t="s">
        <v>82</v>
      </c>
      <c r="E362" s="11" t="s">
        <v>30</v>
      </c>
      <c r="F362" s="5" t="str">
        <f t="shared" si="58"/>
        <v>Ravi</v>
      </c>
      <c r="G362" s="5" t="str">
        <f t="shared" si="59"/>
        <v/>
      </c>
      <c r="H362" s="5" t="str">
        <f t="shared" si="60"/>
        <v/>
      </c>
      <c r="I362" s="5" t="str">
        <f>_xlfn.XLOOKUP(F362,'[1]Jan Labour Nd Drivers Hyva'!$B:$B,'[2]Jan Labour Nd Drivers Hyva'!$A:$A,"NOT FOUND")</f>
        <v>LAB-003</v>
      </c>
      <c r="J362" s="5" t="str">
        <f>IF(G362="","",_xlfn.XLOOKUP(G362,'[3]Jan Labour Nd Drivers Hyva'!$B:$B,'[2]Jan Labour Nd Drivers Hyva'!$A:$A,"NOT FOUND"))</f>
        <v/>
      </c>
      <c r="K362" s="5" t="str">
        <f>IF(H362="","",_xlfn.XLOOKUP(H362,'[2]Jan Labour Nd Drivers Hyva'!$B:$B,'[2]Jan Labour Nd Drivers Hyva'!$A:$A,"NOT FOUND"))</f>
        <v/>
      </c>
      <c r="L362" s="11" t="s">
        <v>281</v>
      </c>
      <c r="M362" s="12">
        <v>1</v>
      </c>
      <c r="N362" s="13">
        <v>31000</v>
      </c>
      <c r="O362" s="8">
        <f t="shared" si="61"/>
        <v>31000</v>
      </c>
      <c r="P362" s="13">
        <v>31000</v>
      </c>
      <c r="Q362" s="7">
        <f t="shared" si="67"/>
        <v>0</v>
      </c>
      <c r="R362" t="str">
        <f t="shared" si="62"/>
        <v>PAID</v>
      </c>
      <c r="S362" s="3"/>
      <c r="T362" s="9">
        <f t="shared" si="63"/>
        <v>31000</v>
      </c>
      <c r="U362" t="str">
        <f t="shared" si="64"/>
        <v>OK</v>
      </c>
      <c r="V362" s="10">
        <f t="shared" si="65"/>
        <v>0</v>
      </c>
      <c r="W362" t="str">
        <f t="shared" si="66"/>
        <v>OK</v>
      </c>
      <c r="X362" s="3" t="s">
        <v>28</v>
      </c>
      <c r="Y362" t="s">
        <v>29</v>
      </c>
    </row>
    <row r="363" spans="1:25" x14ac:dyDescent="0.2">
      <c r="A363" t="str">
        <f t="shared" si="57"/>
        <v>TRIP-411</v>
      </c>
      <c r="B363" s="2">
        <v>45941</v>
      </c>
      <c r="C363" s="3" t="str">
        <f>_xlfn.XLOOKUP(D363,'[1]Jan Customer Duplicate Hyva'!$B:$B,'[1]Jan Customer Duplicate Hyva'!$A:$A,"NOT FOUND")</f>
        <v>CUST-045</v>
      </c>
      <c r="D363" s="11" t="s">
        <v>82</v>
      </c>
      <c r="E363" s="11" t="s">
        <v>55</v>
      </c>
      <c r="F363" s="5" t="str">
        <f t="shared" si="58"/>
        <v>Gaju Bhau</v>
      </c>
      <c r="G363" s="5" t="str">
        <f t="shared" si="59"/>
        <v/>
      </c>
      <c r="H363" s="5" t="str">
        <f t="shared" si="60"/>
        <v/>
      </c>
      <c r="I363" s="5" t="str">
        <f>_xlfn.XLOOKUP(F363,'[1]Jan Labour Nd Drivers Hyva'!$B:$B,'[2]Jan Labour Nd Drivers Hyva'!$A:$A,"NOT FOUND")</f>
        <v>LAB-001</v>
      </c>
      <c r="J363" s="5" t="str">
        <f>IF(G363="","",_xlfn.XLOOKUP(G363,'[3]Jan Labour Nd Drivers Hyva'!$B:$B,'[2]Jan Labour Nd Drivers Hyva'!$A:$A,"NOT FOUND"))</f>
        <v/>
      </c>
      <c r="K363" s="5" t="str">
        <f>IF(H363="","",_xlfn.XLOOKUP(H363,'[2]Jan Labour Nd Drivers Hyva'!$B:$B,'[2]Jan Labour Nd Drivers Hyva'!$A:$A,"NOT FOUND"))</f>
        <v/>
      </c>
      <c r="L363" s="11" t="s">
        <v>281</v>
      </c>
      <c r="M363" s="12">
        <v>1</v>
      </c>
      <c r="N363" s="13">
        <v>31000</v>
      </c>
      <c r="O363" s="8">
        <f t="shared" si="61"/>
        <v>31000</v>
      </c>
      <c r="P363" s="13">
        <v>31000</v>
      </c>
      <c r="Q363" s="7">
        <f t="shared" si="67"/>
        <v>0</v>
      </c>
      <c r="R363" t="str">
        <f t="shared" si="62"/>
        <v>PAID</v>
      </c>
      <c r="S363" s="3"/>
      <c r="T363" s="9">
        <f t="shared" si="63"/>
        <v>31000</v>
      </c>
      <c r="U363" t="str">
        <f t="shared" si="64"/>
        <v>OK</v>
      </c>
      <c r="V363" s="10">
        <f t="shared" si="65"/>
        <v>0</v>
      </c>
      <c r="W363" t="str">
        <f t="shared" si="66"/>
        <v>OK</v>
      </c>
      <c r="X363" s="3" t="s">
        <v>28</v>
      </c>
      <c r="Y363" t="s">
        <v>29</v>
      </c>
    </row>
    <row r="364" spans="1:25" x14ac:dyDescent="0.2">
      <c r="A364" t="str">
        <f t="shared" si="57"/>
        <v>TRIP-412</v>
      </c>
      <c r="B364" s="2">
        <v>45941</v>
      </c>
      <c r="C364" s="3" t="str">
        <f>_xlfn.XLOOKUP(D364,'[1]Jan Customer Duplicate Hyva'!$B:$B,'[1]Jan Customer Duplicate Hyva'!$A:$A,"NOT FOUND")</f>
        <v>CUST-382</v>
      </c>
      <c r="D364" s="11" t="s">
        <v>102</v>
      </c>
      <c r="E364" s="11" t="s">
        <v>55</v>
      </c>
      <c r="F364" s="5" t="str">
        <f t="shared" si="58"/>
        <v>Gaju Bhau</v>
      </c>
      <c r="G364" s="5" t="str">
        <f t="shared" si="59"/>
        <v/>
      </c>
      <c r="H364" s="5" t="str">
        <f t="shared" si="60"/>
        <v/>
      </c>
      <c r="I364" s="5" t="str">
        <f>_xlfn.XLOOKUP(F364,'[1]Jan Labour Nd Drivers Hyva'!$B:$B,'[2]Jan Labour Nd Drivers Hyva'!$A:$A,"NOT FOUND")</f>
        <v>LAB-001</v>
      </c>
      <c r="J364" s="5" t="str">
        <f>IF(G364="","",_xlfn.XLOOKUP(G364,'[3]Jan Labour Nd Drivers Hyva'!$B:$B,'[2]Jan Labour Nd Drivers Hyva'!$A:$A,"NOT FOUND"))</f>
        <v/>
      </c>
      <c r="K364" s="5" t="str">
        <f>IF(H364="","",_xlfn.XLOOKUP(H364,'[2]Jan Labour Nd Drivers Hyva'!$B:$B,'[2]Jan Labour Nd Drivers Hyva'!$A:$A,"NOT FOUND"))</f>
        <v/>
      </c>
      <c r="L364" s="11" t="s">
        <v>282</v>
      </c>
      <c r="M364" s="12">
        <v>1</v>
      </c>
      <c r="N364" s="13">
        <v>30000</v>
      </c>
      <c r="O364" s="8">
        <f t="shared" si="61"/>
        <v>30000</v>
      </c>
      <c r="P364" s="13">
        <v>30000</v>
      </c>
      <c r="Q364" s="7">
        <f t="shared" si="67"/>
        <v>0</v>
      </c>
      <c r="R364" t="str">
        <f t="shared" si="62"/>
        <v>PAID</v>
      </c>
      <c r="S364" s="3"/>
      <c r="T364" s="9">
        <f t="shared" si="63"/>
        <v>30000</v>
      </c>
      <c r="U364" t="str">
        <f t="shared" si="64"/>
        <v>OK</v>
      </c>
      <c r="V364" s="10">
        <f t="shared" si="65"/>
        <v>0</v>
      </c>
      <c r="W364" t="str">
        <f t="shared" si="66"/>
        <v>OK</v>
      </c>
      <c r="X364" s="3" t="s">
        <v>28</v>
      </c>
      <c r="Y364" t="s">
        <v>29</v>
      </c>
    </row>
    <row r="365" spans="1:25" x14ac:dyDescent="0.2">
      <c r="A365" t="str">
        <f t="shared" si="57"/>
        <v>TRIP-413</v>
      </c>
      <c r="B365" s="2">
        <v>45941</v>
      </c>
      <c r="C365" s="3" t="str">
        <f>_xlfn.XLOOKUP(D365,'[1]Jan Customer Duplicate Hyva'!$B:$B,'[1]Jan Customer Duplicate Hyva'!$A:$A,"NOT FOUND")</f>
        <v>CUST-156</v>
      </c>
      <c r="D365" s="11" t="s">
        <v>283</v>
      </c>
      <c r="E365" s="11" t="s">
        <v>30</v>
      </c>
      <c r="F365" s="5" t="str">
        <f t="shared" si="58"/>
        <v>Ravi</v>
      </c>
      <c r="G365" s="5" t="str">
        <f t="shared" si="59"/>
        <v/>
      </c>
      <c r="H365" s="5" t="str">
        <f t="shared" si="60"/>
        <v/>
      </c>
      <c r="I365" s="5" t="str">
        <f>_xlfn.XLOOKUP(F365,'[1]Jan Labour Nd Drivers Hyva'!$B:$B,'[2]Jan Labour Nd Drivers Hyva'!$A:$A,"NOT FOUND")</f>
        <v>LAB-003</v>
      </c>
      <c r="J365" s="5" t="str">
        <f>IF(G365="","",_xlfn.XLOOKUP(G365,'[3]Jan Labour Nd Drivers Hyva'!$B:$B,'[2]Jan Labour Nd Drivers Hyva'!$A:$A,"NOT FOUND"))</f>
        <v/>
      </c>
      <c r="K365" s="5" t="str">
        <f>IF(H365="","",_xlfn.XLOOKUP(H365,'[2]Jan Labour Nd Drivers Hyva'!$B:$B,'[2]Jan Labour Nd Drivers Hyva'!$A:$A,"NOT FOUND"))</f>
        <v/>
      </c>
      <c r="L365" s="11" t="s">
        <v>142</v>
      </c>
      <c r="M365" s="12">
        <v>1</v>
      </c>
      <c r="N365" s="13">
        <v>32000</v>
      </c>
      <c r="O365" s="8">
        <f t="shared" si="61"/>
        <v>32000</v>
      </c>
      <c r="P365" s="13">
        <v>32000</v>
      </c>
      <c r="Q365" s="7">
        <f t="shared" si="67"/>
        <v>0</v>
      </c>
      <c r="R365" t="str">
        <f t="shared" si="62"/>
        <v>PAID</v>
      </c>
      <c r="S365" s="3"/>
      <c r="T365" s="9">
        <f t="shared" si="63"/>
        <v>32000</v>
      </c>
      <c r="U365" t="str">
        <f t="shared" si="64"/>
        <v>OK</v>
      </c>
      <c r="V365" s="10">
        <f t="shared" si="65"/>
        <v>0</v>
      </c>
      <c r="W365" t="str">
        <f t="shared" si="66"/>
        <v>OK</v>
      </c>
      <c r="X365" s="3" t="s">
        <v>28</v>
      </c>
      <c r="Y365" t="s">
        <v>29</v>
      </c>
    </row>
    <row r="366" spans="1:25" x14ac:dyDescent="0.2">
      <c r="A366" t="str">
        <f t="shared" si="57"/>
        <v>TRIP-414</v>
      </c>
      <c r="B366" s="2">
        <v>45942</v>
      </c>
      <c r="C366" s="3" t="str">
        <f>_xlfn.XLOOKUP(D366,'[1]Jan Customer Duplicate Hyva'!$B:$B,'[1]Jan Customer Duplicate Hyva'!$A:$A,"NOT FOUND")</f>
        <v>CUST-382</v>
      </c>
      <c r="D366" s="11" t="s">
        <v>102</v>
      </c>
      <c r="E366" s="11" t="s">
        <v>30</v>
      </c>
      <c r="F366" s="5" t="str">
        <f t="shared" si="58"/>
        <v>Ravi</v>
      </c>
      <c r="G366" s="5" t="str">
        <f t="shared" si="59"/>
        <v/>
      </c>
      <c r="H366" s="5" t="str">
        <f t="shared" si="60"/>
        <v/>
      </c>
      <c r="I366" s="5" t="str">
        <f>_xlfn.XLOOKUP(F366,'[1]Jan Labour Nd Drivers Hyva'!$B:$B,'[2]Jan Labour Nd Drivers Hyva'!$A:$A,"NOT FOUND")</f>
        <v>LAB-003</v>
      </c>
      <c r="J366" s="5" t="str">
        <f>IF(G366="","",_xlfn.XLOOKUP(G366,'[3]Jan Labour Nd Drivers Hyva'!$B:$B,'[2]Jan Labour Nd Drivers Hyva'!$A:$A,"NOT FOUND"))</f>
        <v/>
      </c>
      <c r="K366" s="5" t="str">
        <f>IF(H366="","",_xlfn.XLOOKUP(H366,'[2]Jan Labour Nd Drivers Hyva'!$B:$B,'[2]Jan Labour Nd Drivers Hyva'!$A:$A,"NOT FOUND"))</f>
        <v/>
      </c>
      <c r="L366" s="11" t="s">
        <v>284</v>
      </c>
      <c r="M366" s="12">
        <v>3</v>
      </c>
      <c r="N366" s="13">
        <v>31000</v>
      </c>
      <c r="O366" s="8">
        <f t="shared" si="61"/>
        <v>93000</v>
      </c>
      <c r="P366" s="13">
        <v>93000</v>
      </c>
      <c r="Q366" s="7">
        <f t="shared" si="67"/>
        <v>0</v>
      </c>
      <c r="R366" t="str">
        <f t="shared" si="62"/>
        <v>PAID</v>
      </c>
      <c r="S366" s="3"/>
      <c r="T366" s="9">
        <f t="shared" si="63"/>
        <v>93000</v>
      </c>
      <c r="U366" t="str">
        <f t="shared" si="64"/>
        <v>OK</v>
      </c>
      <c r="V366" s="10">
        <f t="shared" si="65"/>
        <v>0</v>
      </c>
      <c r="W366" t="str">
        <f t="shared" si="66"/>
        <v>OK</v>
      </c>
      <c r="X366" s="3" t="s">
        <v>28</v>
      </c>
      <c r="Y366" t="s">
        <v>29</v>
      </c>
    </row>
    <row r="367" spans="1:25" x14ac:dyDescent="0.2">
      <c r="A367" t="str">
        <f t="shared" si="57"/>
        <v>TRIP-415</v>
      </c>
      <c r="B367" s="2">
        <v>45942</v>
      </c>
      <c r="C367" s="3" t="str">
        <f>_xlfn.XLOOKUP(D367,'[1]Jan Customer Duplicate Hyva'!$B:$B,'[1]Jan Customer Duplicate Hyva'!$A:$A,"NOT FOUND")</f>
        <v>CUST-207</v>
      </c>
      <c r="D367" s="11" t="s">
        <v>25</v>
      </c>
      <c r="E367" s="11" t="s">
        <v>30</v>
      </c>
      <c r="F367" s="5" t="str">
        <f t="shared" si="58"/>
        <v>Ravi</v>
      </c>
      <c r="G367" s="5" t="str">
        <f t="shared" si="59"/>
        <v/>
      </c>
      <c r="H367" s="5" t="str">
        <f t="shared" si="60"/>
        <v/>
      </c>
      <c r="I367" s="5" t="str">
        <f>_xlfn.XLOOKUP(F367,'[1]Jan Labour Nd Drivers Hyva'!$B:$B,'[2]Jan Labour Nd Drivers Hyva'!$A:$A,"NOT FOUND")</f>
        <v>LAB-003</v>
      </c>
      <c r="J367" s="5" t="str">
        <f>IF(G367="","",_xlfn.XLOOKUP(G367,'[3]Jan Labour Nd Drivers Hyva'!$B:$B,'[2]Jan Labour Nd Drivers Hyva'!$A:$A,"NOT FOUND"))</f>
        <v/>
      </c>
      <c r="K367" s="5" t="str">
        <f>IF(H367="","",_xlfn.XLOOKUP(H367,'[2]Jan Labour Nd Drivers Hyva'!$B:$B,'[2]Jan Labour Nd Drivers Hyva'!$A:$A,"NOT FOUND"))</f>
        <v/>
      </c>
      <c r="L367" s="11" t="s">
        <v>185</v>
      </c>
      <c r="M367" s="12">
        <v>1</v>
      </c>
      <c r="N367" s="13">
        <v>30000</v>
      </c>
      <c r="O367" s="8">
        <f t="shared" si="61"/>
        <v>30000</v>
      </c>
      <c r="P367" s="13">
        <v>30000</v>
      </c>
      <c r="Q367" s="7">
        <f t="shared" si="67"/>
        <v>0</v>
      </c>
      <c r="R367" t="str">
        <f t="shared" si="62"/>
        <v>PAID</v>
      </c>
      <c r="S367" s="3"/>
      <c r="T367" s="9">
        <f t="shared" si="63"/>
        <v>30000</v>
      </c>
      <c r="U367" t="str">
        <f t="shared" si="64"/>
        <v>OK</v>
      </c>
      <c r="V367" s="10">
        <f t="shared" si="65"/>
        <v>0</v>
      </c>
      <c r="W367" t="str">
        <f t="shared" si="66"/>
        <v>OK</v>
      </c>
      <c r="X367" s="3" t="s">
        <v>28</v>
      </c>
      <c r="Y367" t="s">
        <v>29</v>
      </c>
    </row>
    <row r="368" spans="1:25" x14ac:dyDescent="0.2">
      <c r="A368" t="str">
        <f t="shared" si="57"/>
        <v>TRIP-416</v>
      </c>
      <c r="B368" s="2">
        <v>45942</v>
      </c>
      <c r="C368" s="3" t="str">
        <f>_xlfn.XLOOKUP(D368,'[1]Jan Customer Duplicate Hyva'!$B:$B,'[1]Jan Customer Duplicate Hyva'!$A:$A,"NOT FOUND")</f>
        <v>CUST-045</v>
      </c>
      <c r="D368" s="11" t="s">
        <v>82</v>
      </c>
      <c r="E368" s="11" t="s">
        <v>30</v>
      </c>
      <c r="F368" s="5" t="str">
        <f t="shared" si="58"/>
        <v>Ravi</v>
      </c>
      <c r="G368" s="5" t="str">
        <f t="shared" si="59"/>
        <v/>
      </c>
      <c r="H368" s="5" t="str">
        <f t="shared" si="60"/>
        <v/>
      </c>
      <c r="I368" s="5" t="str">
        <f>_xlfn.XLOOKUP(F368,'[1]Jan Labour Nd Drivers Hyva'!$B:$B,'[2]Jan Labour Nd Drivers Hyva'!$A:$A,"NOT FOUND")</f>
        <v>LAB-003</v>
      </c>
      <c r="J368" s="5" t="str">
        <f>IF(G368="","",_xlfn.XLOOKUP(G368,'[3]Jan Labour Nd Drivers Hyva'!$B:$B,'[2]Jan Labour Nd Drivers Hyva'!$A:$A,"NOT FOUND"))</f>
        <v/>
      </c>
      <c r="K368" s="5" t="str">
        <f>IF(H368="","",_xlfn.XLOOKUP(H368,'[2]Jan Labour Nd Drivers Hyva'!$B:$B,'[2]Jan Labour Nd Drivers Hyva'!$A:$A,"NOT FOUND"))</f>
        <v/>
      </c>
      <c r="L368" s="11" t="s">
        <v>126</v>
      </c>
      <c r="M368" s="12">
        <v>1</v>
      </c>
      <c r="N368" s="13">
        <v>31000</v>
      </c>
      <c r="O368" s="8">
        <f t="shared" si="61"/>
        <v>31000</v>
      </c>
      <c r="P368" s="13">
        <v>31000</v>
      </c>
      <c r="Q368" s="7">
        <f t="shared" si="67"/>
        <v>0</v>
      </c>
      <c r="R368" t="str">
        <f t="shared" si="62"/>
        <v>PAID</v>
      </c>
      <c r="S368" s="3"/>
      <c r="T368" s="9">
        <f t="shared" si="63"/>
        <v>31000</v>
      </c>
      <c r="U368" t="str">
        <f t="shared" si="64"/>
        <v>OK</v>
      </c>
      <c r="V368" s="10">
        <f t="shared" si="65"/>
        <v>0</v>
      </c>
      <c r="W368" t="str">
        <f t="shared" si="66"/>
        <v>OK</v>
      </c>
      <c r="X368" s="3" t="s">
        <v>28</v>
      </c>
      <c r="Y368" t="s">
        <v>29</v>
      </c>
    </row>
    <row r="369" spans="1:25" x14ac:dyDescent="0.2">
      <c r="A369" t="str">
        <f t="shared" si="57"/>
        <v>TRIP-417</v>
      </c>
      <c r="B369" s="2">
        <v>45943</v>
      </c>
      <c r="C369" s="3" t="str">
        <f>_xlfn.XLOOKUP(D369,'[1]Jan Customer Duplicate Hyva'!$B:$B,'[1]Jan Customer Duplicate Hyva'!$A:$A,"NOT FOUND")</f>
        <v>CUST-207</v>
      </c>
      <c r="D369" s="11" t="s">
        <v>25</v>
      </c>
      <c r="E369" s="11" t="s">
        <v>30</v>
      </c>
      <c r="F369" s="5" t="str">
        <f t="shared" si="58"/>
        <v>Ravi</v>
      </c>
      <c r="G369" s="5" t="str">
        <f t="shared" si="59"/>
        <v/>
      </c>
      <c r="H369" s="5" t="str">
        <f t="shared" si="60"/>
        <v/>
      </c>
      <c r="I369" s="5" t="str">
        <f>_xlfn.XLOOKUP(F369,'[1]Jan Labour Nd Drivers Hyva'!$B:$B,'[2]Jan Labour Nd Drivers Hyva'!$A:$A,"NOT FOUND")</f>
        <v>LAB-003</v>
      </c>
      <c r="J369" s="5" t="str">
        <f>IF(G369="","",_xlfn.XLOOKUP(G369,'[3]Jan Labour Nd Drivers Hyva'!$B:$B,'[2]Jan Labour Nd Drivers Hyva'!$A:$A,"NOT FOUND"))</f>
        <v/>
      </c>
      <c r="K369" s="5" t="str">
        <f>IF(H369="","",_xlfn.XLOOKUP(H369,'[2]Jan Labour Nd Drivers Hyva'!$B:$B,'[2]Jan Labour Nd Drivers Hyva'!$A:$A,"NOT FOUND"))</f>
        <v/>
      </c>
      <c r="L369" s="11" t="s">
        <v>126</v>
      </c>
      <c r="M369" s="12">
        <v>1</v>
      </c>
      <c r="N369" s="13">
        <v>31000</v>
      </c>
      <c r="O369" s="8">
        <f t="shared" si="61"/>
        <v>31000</v>
      </c>
      <c r="P369" s="13">
        <v>31000</v>
      </c>
      <c r="Q369" s="7">
        <f t="shared" si="67"/>
        <v>0</v>
      </c>
      <c r="R369" t="str">
        <f t="shared" si="62"/>
        <v>PAID</v>
      </c>
      <c r="S369" s="3"/>
      <c r="T369" s="9">
        <f t="shared" si="63"/>
        <v>31000</v>
      </c>
      <c r="U369" t="str">
        <f t="shared" si="64"/>
        <v>OK</v>
      </c>
      <c r="V369" s="10">
        <f t="shared" si="65"/>
        <v>0</v>
      </c>
      <c r="W369" t="str">
        <f t="shared" si="66"/>
        <v>OK</v>
      </c>
      <c r="X369" s="3" t="s">
        <v>28</v>
      </c>
      <c r="Y369" t="s">
        <v>29</v>
      </c>
    </row>
    <row r="370" spans="1:25" x14ac:dyDescent="0.2">
      <c r="A370" t="str">
        <f t="shared" si="57"/>
        <v>TRIP-418</v>
      </c>
      <c r="B370" s="2">
        <v>45943</v>
      </c>
      <c r="C370" s="3" t="str">
        <f>_xlfn.XLOOKUP(D370,'[1]Jan Customer Duplicate Hyva'!$B:$B,'[1]Jan Customer Duplicate Hyva'!$A:$A,"NOT FOUND")</f>
        <v>CUST-207</v>
      </c>
      <c r="D370" s="11" t="s">
        <v>25</v>
      </c>
      <c r="E370" s="11" t="s">
        <v>30</v>
      </c>
      <c r="F370" s="5" t="str">
        <f t="shared" si="58"/>
        <v>Ravi</v>
      </c>
      <c r="G370" s="5" t="str">
        <f t="shared" si="59"/>
        <v/>
      </c>
      <c r="H370" s="5" t="str">
        <f t="shared" si="60"/>
        <v/>
      </c>
      <c r="I370" s="5" t="str">
        <f>_xlfn.XLOOKUP(F370,'[1]Jan Labour Nd Drivers Hyva'!$B:$B,'[2]Jan Labour Nd Drivers Hyva'!$A:$A,"NOT FOUND")</f>
        <v>LAB-003</v>
      </c>
      <c r="J370" s="5" t="str">
        <f>IF(G370="","",_xlfn.XLOOKUP(G370,'[3]Jan Labour Nd Drivers Hyva'!$B:$B,'[2]Jan Labour Nd Drivers Hyva'!$A:$A,"NOT FOUND"))</f>
        <v/>
      </c>
      <c r="K370" s="5" t="str">
        <f>IF(H370="","",_xlfn.XLOOKUP(H370,'[2]Jan Labour Nd Drivers Hyva'!$B:$B,'[2]Jan Labour Nd Drivers Hyva'!$A:$A,"NOT FOUND"))</f>
        <v/>
      </c>
      <c r="L370" s="11" t="s">
        <v>285</v>
      </c>
      <c r="M370" s="12">
        <v>1</v>
      </c>
      <c r="N370" s="13">
        <v>32000</v>
      </c>
      <c r="O370" s="8">
        <f t="shared" si="61"/>
        <v>32000</v>
      </c>
      <c r="P370" s="13">
        <v>32000</v>
      </c>
      <c r="Q370" s="7">
        <f t="shared" si="67"/>
        <v>0</v>
      </c>
      <c r="R370" t="str">
        <f t="shared" si="62"/>
        <v>PAID</v>
      </c>
      <c r="S370" s="3"/>
      <c r="T370" s="9">
        <f t="shared" si="63"/>
        <v>32000</v>
      </c>
      <c r="U370" t="str">
        <f t="shared" si="64"/>
        <v>OK</v>
      </c>
      <c r="V370" s="10">
        <f t="shared" si="65"/>
        <v>0</v>
      </c>
      <c r="W370" t="str">
        <f t="shared" si="66"/>
        <v>OK</v>
      </c>
      <c r="X370" s="3" t="s">
        <v>28</v>
      </c>
      <c r="Y370" t="s">
        <v>29</v>
      </c>
    </row>
    <row r="371" spans="1:25" x14ac:dyDescent="0.2">
      <c r="A371" t="str">
        <f t="shared" si="57"/>
        <v>TRIP-419</v>
      </c>
      <c r="B371" s="2">
        <v>45943</v>
      </c>
      <c r="C371" s="3" t="str">
        <f>_xlfn.XLOOKUP(D371,'[1]Jan Customer Duplicate Hyva'!$B:$B,'[1]Jan Customer Duplicate Hyva'!$A:$A,"NOT FOUND")</f>
        <v>CUST-249</v>
      </c>
      <c r="D371" s="11" t="s">
        <v>286</v>
      </c>
      <c r="E371" s="11" t="s">
        <v>30</v>
      </c>
      <c r="F371" s="5" t="str">
        <f t="shared" si="58"/>
        <v>Ravi</v>
      </c>
      <c r="G371" s="5" t="str">
        <f t="shared" si="59"/>
        <v/>
      </c>
      <c r="H371" s="5" t="str">
        <f t="shared" si="60"/>
        <v/>
      </c>
      <c r="I371" s="5" t="str">
        <f>_xlfn.XLOOKUP(F371,'[1]Jan Labour Nd Drivers Hyva'!$B:$B,'[2]Jan Labour Nd Drivers Hyva'!$A:$A,"NOT FOUND")</f>
        <v>LAB-003</v>
      </c>
      <c r="J371" s="5" t="str">
        <f>IF(G371="","",_xlfn.XLOOKUP(G371,'[3]Jan Labour Nd Drivers Hyva'!$B:$B,'[2]Jan Labour Nd Drivers Hyva'!$A:$A,"NOT FOUND"))</f>
        <v/>
      </c>
      <c r="K371" s="5" t="str">
        <f>IF(H371="","",_xlfn.XLOOKUP(H371,'[2]Jan Labour Nd Drivers Hyva'!$B:$B,'[2]Jan Labour Nd Drivers Hyva'!$A:$A,"NOT FOUND"))</f>
        <v/>
      </c>
      <c r="L371" s="11" t="s">
        <v>287</v>
      </c>
      <c r="M371" s="12">
        <v>1</v>
      </c>
      <c r="N371" s="13">
        <v>30000</v>
      </c>
      <c r="O371" s="8">
        <f t="shared" si="61"/>
        <v>30000</v>
      </c>
      <c r="P371" s="13">
        <v>30000</v>
      </c>
      <c r="Q371" s="7">
        <f t="shared" si="67"/>
        <v>0</v>
      </c>
      <c r="R371" t="str">
        <f t="shared" si="62"/>
        <v>PAID</v>
      </c>
      <c r="S371" s="3"/>
      <c r="T371" s="9">
        <f t="shared" si="63"/>
        <v>30000</v>
      </c>
      <c r="U371" t="str">
        <f t="shared" si="64"/>
        <v>OK</v>
      </c>
      <c r="V371" s="10">
        <f t="shared" si="65"/>
        <v>0</v>
      </c>
      <c r="W371" t="str">
        <f t="shared" si="66"/>
        <v>OK</v>
      </c>
      <c r="X371" s="3" t="s">
        <v>28</v>
      </c>
      <c r="Y371" t="s">
        <v>29</v>
      </c>
    </row>
    <row r="372" spans="1:25" x14ac:dyDescent="0.2">
      <c r="A372" t="str">
        <f t="shared" si="57"/>
        <v>TRIP-420</v>
      </c>
      <c r="B372" s="2">
        <v>45943</v>
      </c>
      <c r="C372" s="3" t="str">
        <f>_xlfn.XLOOKUP(D372,'[1]Jan Customer Duplicate Hyva'!$B:$B,'[1]Jan Customer Duplicate Hyva'!$A:$A,"NOT FOUND")</f>
        <v>CUST-002</v>
      </c>
      <c r="D372" s="11" t="s">
        <v>223</v>
      </c>
      <c r="E372" s="11" t="s">
        <v>30</v>
      </c>
      <c r="F372" s="5" t="str">
        <f t="shared" si="58"/>
        <v>Ravi</v>
      </c>
      <c r="G372" s="5" t="str">
        <f t="shared" si="59"/>
        <v/>
      </c>
      <c r="H372" s="5" t="str">
        <f t="shared" si="60"/>
        <v/>
      </c>
      <c r="I372" s="5" t="str">
        <f>_xlfn.XLOOKUP(F372,'[1]Jan Labour Nd Drivers Hyva'!$B:$B,'[2]Jan Labour Nd Drivers Hyva'!$A:$A,"NOT FOUND")</f>
        <v>LAB-003</v>
      </c>
      <c r="J372" s="5" t="str">
        <f>IF(G372="","",_xlfn.XLOOKUP(G372,'[3]Jan Labour Nd Drivers Hyva'!$B:$B,'[2]Jan Labour Nd Drivers Hyva'!$A:$A,"NOT FOUND"))</f>
        <v/>
      </c>
      <c r="K372" s="5" t="str">
        <f>IF(H372="","",_xlfn.XLOOKUP(H372,'[2]Jan Labour Nd Drivers Hyva'!$B:$B,'[2]Jan Labour Nd Drivers Hyva'!$A:$A,"NOT FOUND"))</f>
        <v/>
      </c>
      <c r="L372" s="11" t="s">
        <v>120</v>
      </c>
      <c r="M372" s="12">
        <v>1</v>
      </c>
      <c r="N372" s="13">
        <v>32000</v>
      </c>
      <c r="O372" s="8">
        <f t="shared" si="61"/>
        <v>32000</v>
      </c>
      <c r="P372" s="13"/>
      <c r="Q372" s="7">
        <f t="shared" si="67"/>
        <v>32000</v>
      </c>
      <c r="R372" t="str">
        <f t="shared" si="62"/>
        <v>UNPAID</v>
      </c>
      <c r="S372" s="3"/>
      <c r="T372" s="9">
        <f t="shared" si="63"/>
        <v>32000</v>
      </c>
      <c r="U372" t="str">
        <f t="shared" si="64"/>
        <v>OK</v>
      </c>
      <c r="V372" s="10">
        <f t="shared" si="65"/>
        <v>32000</v>
      </c>
      <c r="W372" t="str">
        <f t="shared" si="66"/>
        <v>OK</v>
      </c>
      <c r="X372" s="3" t="s">
        <v>28</v>
      </c>
      <c r="Y372" t="s">
        <v>29</v>
      </c>
    </row>
    <row r="373" spans="1:25" x14ac:dyDescent="0.2">
      <c r="A373" t="str">
        <f t="shared" si="57"/>
        <v>TRIP-421</v>
      </c>
      <c r="B373" s="2">
        <v>45943</v>
      </c>
      <c r="C373" s="3" t="str">
        <f>_xlfn.XLOOKUP(D373,'[1]Jan Customer Duplicate Hyva'!$B:$B,'[1]Jan Customer Duplicate Hyva'!$A:$A,"NOT FOUND")</f>
        <v>CUST-357</v>
      </c>
      <c r="D373" s="11" t="s">
        <v>288</v>
      </c>
      <c r="E373" s="11" t="s">
        <v>30</v>
      </c>
      <c r="F373" s="5" t="str">
        <f t="shared" si="58"/>
        <v>Ravi</v>
      </c>
      <c r="G373" s="5" t="str">
        <f t="shared" si="59"/>
        <v/>
      </c>
      <c r="H373" s="5" t="str">
        <f t="shared" si="60"/>
        <v/>
      </c>
      <c r="I373" s="5" t="str">
        <f>_xlfn.XLOOKUP(F373,'[1]Jan Labour Nd Drivers Hyva'!$B:$B,'[2]Jan Labour Nd Drivers Hyva'!$A:$A,"NOT FOUND")</f>
        <v>LAB-003</v>
      </c>
      <c r="J373" s="5" t="str">
        <f>IF(G373="","",_xlfn.XLOOKUP(G373,'[3]Jan Labour Nd Drivers Hyva'!$B:$B,'[2]Jan Labour Nd Drivers Hyva'!$A:$A,"NOT FOUND"))</f>
        <v/>
      </c>
      <c r="K373" s="5" t="str">
        <f>IF(H373="","",_xlfn.XLOOKUP(H373,'[2]Jan Labour Nd Drivers Hyva'!$B:$B,'[2]Jan Labour Nd Drivers Hyva'!$A:$A,"NOT FOUND"))</f>
        <v/>
      </c>
      <c r="L373" s="11" t="s">
        <v>61</v>
      </c>
      <c r="M373" s="12">
        <v>1</v>
      </c>
      <c r="N373" s="13">
        <v>35000</v>
      </c>
      <c r="O373" s="8">
        <f t="shared" si="61"/>
        <v>35000</v>
      </c>
      <c r="P373" s="13">
        <v>35000</v>
      </c>
      <c r="Q373" s="7">
        <f t="shared" si="67"/>
        <v>0</v>
      </c>
      <c r="R373" t="str">
        <f t="shared" si="62"/>
        <v>PAID</v>
      </c>
      <c r="S373" s="3"/>
      <c r="T373" s="9">
        <f t="shared" si="63"/>
        <v>35000</v>
      </c>
      <c r="U373" t="str">
        <f t="shared" si="64"/>
        <v>OK</v>
      </c>
      <c r="V373" s="10">
        <f t="shared" si="65"/>
        <v>0</v>
      </c>
      <c r="W373" t="str">
        <f t="shared" si="66"/>
        <v>OK</v>
      </c>
      <c r="X373" s="3" t="s">
        <v>28</v>
      </c>
      <c r="Y373" t="s">
        <v>29</v>
      </c>
    </row>
    <row r="374" spans="1:25" x14ac:dyDescent="0.2">
      <c r="A374" t="str">
        <f t="shared" si="57"/>
        <v>TRIP-422</v>
      </c>
      <c r="B374" s="2">
        <v>45945</v>
      </c>
      <c r="C374" s="3" t="str">
        <f>_xlfn.XLOOKUP(D374,'[1]Jan Customer Duplicate Hyva'!$B:$B,'[1]Jan Customer Duplicate Hyva'!$A:$A,"NOT FOUND")</f>
        <v>CUST-323</v>
      </c>
      <c r="D374" s="3" t="s">
        <v>51</v>
      </c>
      <c r="E374" s="11" t="s">
        <v>55</v>
      </c>
      <c r="F374" s="5" t="str">
        <f t="shared" si="58"/>
        <v>Gaju Bhau</v>
      </c>
      <c r="G374" s="5" t="str">
        <f t="shared" si="59"/>
        <v/>
      </c>
      <c r="H374" s="5" t="str">
        <f t="shared" si="60"/>
        <v/>
      </c>
      <c r="I374" s="5" t="str">
        <f>_xlfn.XLOOKUP(F374,'[1]Jan Labour Nd Drivers Hyva'!$B:$B,'[2]Jan Labour Nd Drivers Hyva'!$A:$A,"NOT FOUND")</f>
        <v>LAB-001</v>
      </c>
      <c r="J374" s="5" t="str">
        <f>IF(G374="","",_xlfn.XLOOKUP(G374,'[3]Jan Labour Nd Drivers Hyva'!$B:$B,'[2]Jan Labour Nd Drivers Hyva'!$A:$A,"NOT FOUND"))</f>
        <v/>
      </c>
      <c r="K374" s="5" t="str">
        <f>IF(H374="","",_xlfn.XLOOKUP(H374,'[2]Jan Labour Nd Drivers Hyva'!$B:$B,'[2]Jan Labour Nd Drivers Hyva'!$A:$A,"NOT FOUND"))</f>
        <v/>
      </c>
      <c r="L374" s="11" t="s">
        <v>289</v>
      </c>
      <c r="M374" s="12">
        <v>1</v>
      </c>
      <c r="N374" s="13">
        <v>30000</v>
      </c>
      <c r="O374" s="8">
        <f t="shared" si="61"/>
        <v>30000</v>
      </c>
      <c r="P374" s="13">
        <v>30000</v>
      </c>
      <c r="Q374" s="7">
        <f t="shared" si="67"/>
        <v>0</v>
      </c>
      <c r="R374" t="str">
        <f t="shared" si="62"/>
        <v>PAID</v>
      </c>
      <c r="S374" s="3"/>
      <c r="T374" s="9">
        <f t="shared" si="63"/>
        <v>30000</v>
      </c>
      <c r="U374" t="str">
        <f t="shared" si="64"/>
        <v>OK</v>
      </c>
      <c r="V374" s="10">
        <f t="shared" si="65"/>
        <v>0</v>
      </c>
      <c r="W374" t="str">
        <f t="shared" si="66"/>
        <v>OK</v>
      </c>
      <c r="X374" s="3" t="s">
        <v>28</v>
      </c>
      <c r="Y374" t="s">
        <v>29</v>
      </c>
    </row>
    <row r="375" spans="1:25" x14ac:dyDescent="0.2">
      <c r="A375" t="str">
        <f t="shared" si="57"/>
        <v>TRIP-423</v>
      </c>
      <c r="B375" s="2">
        <v>45945</v>
      </c>
      <c r="C375" s="3" t="str">
        <f>_xlfn.XLOOKUP(D375,'[1]Jan Customer Duplicate Hyva'!$B:$B,'[1]Jan Customer Duplicate Hyva'!$A:$A,"NOT FOUND")</f>
        <v>CUST-143</v>
      </c>
      <c r="D375" s="11" t="s">
        <v>290</v>
      </c>
      <c r="E375" s="11" t="s">
        <v>55</v>
      </c>
      <c r="F375" s="5" t="str">
        <f t="shared" si="58"/>
        <v>Gaju Bhau</v>
      </c>
      <c r="G375" s="5" t="str">
        <f t="shared" si="59"/>
        <v/>
      </c>
      <c r="H375" s="5" t="str">
        <f t="shared" si="60"/>
        <v/>
      </c>
      <c r="I375" s="5" t="str">
        <f>_xlfn.XLOOKUP(F375,'[1]Jan Labour Nd Drivers Hyva'!$B:$B,'[2]Jan Labour Nd Drivers Hyva'!$A:$A,"NOT FOUND")</f>
        <v>LAB-001</v>
      </c>
      <c r="J375" s="5" t="str">
        <f>IF(G375="","",_xlfn.XLOOKUP(G375,'[3]Jan Labour Nd Drivers Hyva'!$B:$B,'[2]Jan Labour Nd Drivers Hyva'!$A:$A,"NOT FOUND"))</f>
        <v/>
      </c>
      <c r="K375" s="5" t="str">
        <f>IF(H375="","",_xlfn.XLOOKUP(H375,'[2]Jan Labour Nd Drivers Hyva'!$B:$B,'[2]Jan Labour Nd Drivers Hyva'!$A:$A,"NOT FOUND"))</f>
        <v/>
      </c>
      <c r="L375" s="11" t="s">
        <v>291</v>
      </c>
      <c r="M375" s="12">
        <v>1</v>
      </c>
      <c r="N375" s="13">
        <v>32000</v>
      </c>
      <c r="O375" s="8">
        <f t="shared" si="61"/>
        <v>32000</v>
      </c>
      <c r="P375" s="13">
        <v>32000</v>
      </c>
      <c r="Q375" s="7">
        <f t="shared" si="67"/>
        <v>0</v>
      </c>
      <c r="R375" t="str">
        <f t="shared" si="62"/>
        <v>PAID</v>
      </c>
      <c r="S375" s="3"/>
      <c r="T375" s="9">
        <f t="shared" si="63"/>
        <v>32000</v>
      </c>
      <c r="U375" t="str">
        <f t="shared" si="64"/>
        <v>OK</v>
      </c>
      <c r="V375" s="10">
        <f t="shared" si="65"/>
        <v>0</v>
      </c>
      <c r="W375" t="str">
        <f t="shared" si="66"/>
        <v>OK</v>
      </c>
      <c r="X375" s="3" t="s">
        <v>28</v>
      </c>
      <c r="Y375" t="s">
        <v>29</v>
      </c>
    </row>
    <row r="376" spans="1:25" x14ac:dyDescent="0.2">
      <c r="A376" t="str">
        <f t="shared" si="57"/>
        <v>TRIP-424</v>
      </c>
      <c r="B376" s="2">
        <v>45945</v>
      </c>
      <c r="C376" s="3" t="str">
        <f>_xlfn.XLOOKUP(D376,'[1]Jan Customer Duplicate Hyva'!$B:$B,'[1]Jan Customer Duplicate Hyva'!$A:$A,"NOT FOUND")</f>
        <v>CUST-357</v>
      </c>
      <c r="D376" s="11" t="s">
        <v>288</v>
      </c>
      <c r="E376" s="11" t="s">
        <v>30</v>
      </c>
      <c r="F376" s="5" t="str">
        <f t="shared" si="58"/>
        <v>Ravi</v>
      </c>
      <c r="G376" s="5" t="str">
        <f t="shared" si="59"/>
        <v/>
      </c>
      <c r="H376" s="5" t="str">
        <f t="shared" si="60"/>
        <v/>
      </c>
      <c r="I376" s="5" t="str">
        <f>_xlfn.XLOOKUP(F376,'[1]Jan Labour Nd Drivers Hyva'!$B:$B,'[2]Jan Labour Nd Drivers Hyva'!$A:$A,"NOT FOUND")</f>
        <v>LAB-003</v>
      </c>
      <c r="J376" s="5" t="str">
        <f>IF(G376="","",_xlfn.XLOOKUP(G376,'[3]Jan Labour Nd Drivers Hyva'!$B:$B,'[2]Jan Labour Nd Drivers Hyva'!$A:$A,"NOT FOUND"))</f>
        <v/>
      </c>
      <c r="K376" s="5" t="str">
        <f>IF(H376="","",_xlfn.XLOOKUP(H376,'[2]Jan Labour Nd Drivers Hyva'!$B:$B,'[2]Jan Labour Nd Drivers Hyva'!$A:$A,"NOT FOUND"))</f>
        <v/>
      </c>
      <c r="L376" s="11" t="s">
        <v>61</v>
      </c>
      <c r="M376" s="12">
        <v>3</v>
      </c>
      <c r="N376" s="13">
        <v>35000</v>
      </c>
      <c r="O376" s="8">
        <f t="shared" si="61"/>
        <v>105000</v>
      </c>
      <c r="P376" s="13">
        <v>105000</v>
      </c>
      <c r="Q376" s="7">
        <f t="shared" si="67"/>
        <v>0</v>
      </c>
      <c r="R376" t="str">
        <f t="shared" si="62"/>
        <v>PAID</v>
      </c>
      <c r="S376" s="3"/>
      <c r="T376" s="9">
        <f t="shared" si="63"/>
        <v>105000</v>
      </c>
      <c r="U376" t="str">
        <f t="shared" si="64"/>
        <v>OK</v>
      </c>
      <c r="V376" s="10">
        <f t="shared" si="65"/>
        <v>0</v>
      </c>
      <c r="W376" t="str">
        <f t="shared" si="66"/>
        <v>OK</v>
      </c>
      <c r="X376" s="3" t="s">
        <v>28</v>
      </c>
      <c r="Y376" t="s">
        <v>29</v>
      </c>
    </row>
    <row r="377" spans="1:25" x14ac:dyDescent="0.2">
      <c r="A377" t="str">
        <f t="shared" si="57"/>
        <v>TRIP-425</v>
      </c>
      <c r="B377" s="2">
        <v>45945</v>
      </c>
      <c r="C377" s="3" t="str">
        <f>_xlfn.XLOOKUP(D377,'[1]Jan Customer Duplicate Hyva'!$B:$B,'[1]Jan Customer Duplicate Hyva'!$A:$A,"NOT FOUND")</f>
        <v>CUST-002</v>
      </c>
      <c r="D377" s="11" t="s">
        <v>223</v>
      </c>
      <c r="E377" s="11" t="s">
        <v>30</v>
      </c>
      <c r="F377" s="5" t="str">
        <f t="shared" si="58"/>
        <v>Ravi</v>
      </c>
      <c r="G377" s="5" t="str">
        <f t="shared" si="59"/>
        <v/>
      </c>
      <c r="H377" s="5" t="str">
        <f t="shared" si="60"/>
        <v/>
      </c>
      <c r="I377" s="5" t="str">
        <f>_xlfn.XLOOKUP(F377,'[1]Jan Labour Nd Drivers Hyva'!$B:$B,'[2]Jan Labour Nd Drivers Hyva'!$A:$A,"NOT FOUND")</f>
        <v>LAB-003</v>
      </c>
      <c r="J377" s="5" t="str">
        <f>IF(G377="","",_xlfn.XLOOKUP(G377,'[3]Jan Labour Nd Drivers Hyva'!$B:$B,'[2]Jan Labour Nd Drivers Hyva'!$A:$A,"NOT FOUND"))</f>
        <v/>
      </c>
      <c r="K377" s="5" t="str">
        <f>IF(H377="","",_xlfn.XLOOKUP(H377,'[2]Jan Labour Nd Drivers Hyva'!$B:$B,'[2]Jan Labour Nd Drivers Hyva'!$A:$A,"NOT FOUND"))</f>
        <v/>
      </c>
      <c r="L377" s="11" t="s">
        <v>292</v>
      </c>
      <c r="M377" s="12">
        <v>1</v>
      </c>
      <c r="N377" s="13">
        <v>32000</v>
      </c>
      <c r="O377" s="8">
        <f t="shared" si="61"/>
        <v>32000</v>
      </c>
      <c r="P377" s="13"/>
      <c r="Q377" s="7">
        <f t="shared" si="67"/>
        <v>32000</v>
      </c>
      <c r="R377" t="str">
        <f t="shared" si="62"/>
        <v>UNPAID</v>
      </c>
      <c r="S377" s="3"/>
      <c r="T377" s="9">
        <f t="shared" si="63"/>
        <v>32000</v>
      </c>
      <c r="U377" t="str">
        <f t="shared" si="64"/>
        <v>OK</v>
      </c>
      <c r="V377" s="10">
        <f t="shared" si="65"/>
        <v>32000</v>
      </c>
      <c r="W377" t="str">
        <f t="shared" si="66"/>
        <v>OK</v>
      </c>
      <c r="X377" s="3" t="s">
        <v>28</v>
      </c>
      <c r="Y377" t="s">
        <v>29</v>
      </c>
    </row>
    <row r="378" spans="1:25" x14ac:dyDescent="0.2">
      <c r="A378" t="str">
        <f t="shared" si="57"/>
        <v>TRIP-426</v>
      </c>
      <c r="B378" s="2">
        <v>45945</v>
      </c>
      <c r="C378" s="3" t="str">
        <f>_xlfn.XLOOKUP(D378,'[1]Jan Customer Duplicate Hyva'!$B:$B,'[1]Jan Customer Duplicate Hyva'!$A:$A,"NOT FOUND")</f>
        <v>CUST-357</v>
      </c>
      <c r="D378" s="11" t="s">
        <v>288</v>
      </c>
      <c r="E378" s="11" t="s">
        <v>55</v>
      </c>
      <c r="F378" s="5" t="str">
        <f t="shared" si="58"/>
        <v>Gaju Bhau</v>
      </c>
      <c r="G378" s="5" t="str">
        <f t="shared" si="59"/>
        <v/>
      </c>
      <c r="H378" s="5" t="str">
        <f t="shared" si="60"/>
        <v/>
      </c>
      <c r="I378" s="5" t="str">
        <f>_xlfn.XLOOKUP(F378,'[1]Jan Labour Nd Drivers Hyva'!$B:$B,'[2]Jan Labour Nd Drivers Hyva'!$A:$A,"NOT FOUND")</f>
        <v>LAB-001</v>
      </c>
      <c r="J378" s="5" t="str">
        <f>IF(G378="","",_xlfn.XLOOKUP(G378,'[3]Jan Labour Nd Drivers Hyva'!$B:$B,'[2]Jan Labour Nd Drivers Hyva'!$A:$A,"NOT FOUND"))</f>
        <v/>
      </c>
      <c r="K378" s="5" t="str">
        <f>IF(H378="","",_xlfn.XLOOKUP(H378,'[2]Jan Labour Nd Drivers Hyva'!$B:$B,'[2]Jan Labour Nd Drivers Hyva'!$A:$A,"NOT FOUND"))</f>
        <v/>
      </c>
      <c r="L378" s="11" t="s">
        <v>61</v>
      </c>
      <c r="M378" s="12">
        <v>1</v>
      </c>
      <c r="N378" s="13">
        <v>35000</v>
      </c>
      <c r="O378" s="8">
        <f t="shared" si="61"/>
        <v>35000</v>
      </c>
      <c r="P378" s="13">
        <v>35000</v>
      </c>
      <c r="Q378" s="7">
        <f t="shared" si="67"/>
        <v>0</v>
      </c>
      <c r="R378" t="str">
        <f t="shared" si="62"/>
        <v>PAID</v>
      </c>
      <c r="S378" s="3"/>
      <c r="T378" s="9">
        <f t="shared" si="63"/>
        <v>35000</v>
      </c>
      <c r="U378" t="str">
        <f t="shared" si="64"/>
        <v>OK</v>
      </c>
      <c r="V378" s="10">
        <f t="shared" si="65"/>
        <v>0</v>
      </c>
      <c r="W378" t="str">
        <f t="shared" si="66"/>
        <v>OK</v>
      </c>
      <c r="X378" s="3" t="s">
        <v>28</v>
      </c>
      <c r="Y378" t="s">
        <v>29</v>
      </c>
    </row>
    <row r="379" spans="1:25" x14ac:dyDescent="0.2">
      <c r="A379" t="str">
        <f t="shared" si="57"/>
        <v>TRIP-427</v>
      </c>
      <c r="B379" s="2">
        <v>45945</v>
      </c>
      <c r="C379" s="3" t="str">
        <f>_xlfn.XLOOKUP(D379,'[1]Jan Customer Duplicate Hyva'!$B:$B,'[1]Jan Customer Duplicate Hyva'!$A:$A,"NOT FOUND")</f>
        <v>CUST-231</v>
      </c>
      <c r="D379" s="11" t="s">
        <v>293</v>
      </c>
      <c r="E379" s="11" t="s">
        <v>55</v>
      </c>
      <c r="F379" s="5" t="str">
        <f t="shared" si="58"/>
        <v>Gaju Bhau</v>
      </c>
      <c r="G379" s="5" t="str">
        <f t="shared" si="59"/>
        <v/>
      </c>
      <c r="H379" s="5" t="str">
        <f t="shared" si="60"/>
        <v/>
      </c>
      <c r="I379" s="5" t="str">
        <f>_xlfn.XLOOKUP(F379,'[1]Jan Labour Nd Drivers Hyva'!$B:$B,'[2]Jan Labour Nd Drivers Hyva'!$A:$A,"NOT FOUND")</f>
        <v>LAB-001</v>
      </c>
      <c r="J379" s="5" t="str">
        <f>IF(G379="","",_xlfn.XLOOKUP(G379,'[3]Jan Labour Nd Drivers Hyva'!$B:$B,'[2]Jan Labour Nd Drivers Hyva'!$A:$A,"NOT FOUND"))</f>
        <v/>
      </c>
      <c r="K379" s="5" t="str">
        <f>IF(H379="","",_xlfn.XLOOKUP(H379,'[2]Jan Labour Nd Drivers Hyva'!$B:$B,'[2]Jan Labour Nd Drivers Hyva'!$A:$A,"NOT FOUND"))</f>
        <v/>
      </c>
      <c r="L379" s="11" t="s">
        <v>33</v>
      </c>
      <c r="M379" s="12">
        <v>1</v>
      </c>
      <c r="N379" s="13">
        <v>30000</v>
      </c>
      <c r="O379" s="8">
        <f t="shared" si="61"/>
        <v>30000</v>
      </c>
      <c r="P379" s="13"/>
      <c r="Q379" s="7">
        <f t="shared" si="67"/>
        <v>30000</v>
      </c>
      <c r="R379" t="str">
        <f t="shared" si="62"/>
        <v>UNPAID</v>
      </c>
      <c r="S379" s="3"/>
      <c r="T379" s="9">
        <f t="shared" si="63"/>
        <v>30000</v>
      </c>
      <c r="U379" t="str">
        <f t="shared" si="64"/>
        <v>OK</v>
      </c>
      <c r="V379" s="10">
        <f t="shared" si="65"/>
        <v>30000</v>
      </c>
      <c r="W379" t="str">
        <f t="shared" si="66"/>
        <v>OK</v>
      </c>
      <c r="X379" s="3" t="s">
        <v>28</v>
      </c>
      <c r="Y379" t="s">
        <v>29</v>
      </c>
    </row>
    <row r="380" spans="1:25" x14ac:dyDescent="0.2">
      <c r="A380" t="str">
        <f t="shared" si="57"/>
        <v>TRIP-428</v>
      </c>
      <c r="B380" s="2">
        <v>45947</v>
      </c>
      <c r="C380" s="3" t="str">
        <f>_xlfn.XLOOKUP(D380,'[1]Jan Customer Duplicate Hyva'!$B:$B,'[1]Jan Customer Duplicate Hyva'!$A:$A,"NOT FOUND")</f>
        <v>CUST-011</v>
      </c>
      <c r="D380" s="11" t="s">
        <v>35</v>
      </c>
      <c r="E380" s="11" t="s">
        <v>294</v>
      </c>
      <c r="F380" s="5" t="str">
        <f t="shared" si="58"/>
        <v>Ravi</v>
      </c>
      <c r="G380" s="5" t="str">
        <f t="shared" si="59"/>
        <v>Santosh</v>
      </c>
      <c r="H380" s="5" t="str">
        <f t="shared" si="60"/>
        <v/>
      </c>
      <c r="I380" s="5" t="str">
        <f>_xlfn.XLOOKUP(F380,'[1]Jan Labour Nd Drivers Hyva'!$B:$B,'[2]Jan Labour Nd Drivers Hyva'!$A:$A,"NOT FOUND")</f>
        <v>LAB-003</v>
      </c>
      <c r="J380" s="5" t="str">
        <f>IF(G380="","",_xlfn.XLOOKUP(G380,'[3]Jan Labour Nd Drivers Hyva'!$B:$B,'[2]Jan Labour Nd Drivers Hyva'!$A:$A,"NOT FOUND"))</f>
        <v>LAB-009</v>
      </c>
      <c r="K380" s="5" t="str">
        <f>IF(H380="","",_xlfn.XLOOKUP(H380,'[2]Jan Labour Nd Drivers Hyva'!$B:$B,'[2]Jan Labour Nd Drivers Hyva'!$A:$A,"NOT FOUND"))</f>
        <v/>
      </c>
      <c r="L380" s="11" t="s">
        <v>126</v>
      </c>
      <c r="M380" s="12">
        <v>4</v>
      </c>
      <c r="N380" s="13">
        <v>30000</v>
      </c>
      <c r="O380" s="8">
        <f t="shared" si="61"/>
        <v>120000</v>
      </c>
      <c r="P380" s="13">
        <v>120000</v>
      </c>
      <c r="Q380" s="7">
        <f t="shared" si="67"/>
        <v>0</v>
      </c>
      <c r="R380" t="str">
        <f t="shared" si="62"/>
        <v>PAID</v>
      </c>
      <c r="S380" s="3"/>
      <c r="T380" s="9">
        <f t="shared" si="63"/>
        <v>120000</v>
      </c>
      <c r="U380" t="str">
        <f t="shared" si="64"/>
        <v>OK</v>
      </c>
      <c r="V380" s="10">
        <f t="shared" si="65"/>
        <v>0</v>
      </c>
      <c r="W380" t="str">
        <f t="shared" si="66"/>
        <v>OK</v>
      </c>
      <c r="X380" s="3" t="s">
        <v>28</v>
      </c>
      <c r="Y380" t="s">
        <v>29</v>
      </c>
    </row>
    <row r="381" spans="1:25" x14ac:dyDescent="0.2">
      <c r="A381" t="str">
        <f t="shared" si="57"/>
        <v>TRIP-429</v>
      </c>
      <c r="B381" s="2">
        <v>45947</v>
      </c>
      <c r="C381" s="3" t="str">
        <f>_xlfn.XLOOKUP(D381,'[1]Jan Customer Duplicate Hyva'!$B:$B,'[1]Jan Customer Duplicate Hyva'!$A:$A,"NOT FOUND")</f>
        <v>CUST-357</v>
      </c>
      <c r="D381" s="11" t="s">
        <v>288</v>
      </c>
      <c r="E381" s="11" t="s">
        <v>30</v>
      </c>
      <c r="F381" s="5" t="str">
        <f t="shared" si="58"/>
        <v>Ravi</v>
      </c>
      <c r="G381" s="5" t="str">
        <f t="shared" si="59"/>
        <v/>
      </c>
      <c r="H381" s="5" t="str">
        <f t="shared" si="60"/>
        <v/>
      </c>
      <c r="I381" s="5" t="str">
        <f>_xlfn.XLOOKUP(F381,'[1]Jan Labour Nd Drivers Hyva'!$B:$B,'[2]Jan Labour Nd Drivers Hyva'!$A:$A,"NOT FOUND")</f>
        <v>LAB-003</v>
      </c>
      <c r="J381" s="5" t="str">
        <f>IF(G381="","",_xlfn.XLOOKUP(G381,'[3]Jan Labour Nd Drivers Hyva'!$B:$B,'[2]Jan Labour Nd Drivers Hyva'!$A:$A,"NOT FOUND"))</f>
        <v/>
      </c>
      <c r="K381" s="5" t="str">
        <f>IF(H381="","",_xlfn.XLOOKUP(H381,'[2]Jan Labour Nd Drivers Hyva'!$B:$B,'[2]Jan Labour Nd Drivers Hyva'!$A:$A,"NOT FOUND"))</f>
        <v/>
      </c>
      <c r="L381" s="11" t="s">
        <v>61</v>
      </c>
      <c r="M381" s="12">
        <v>1</v>
      </c>
      <c r="N381" s="13">
        <v>35000</v>
      </c>
      <c r="O381" s="8">
        <f t="shared" si="61"/>
        <v>35000</v>
      </c>
      <c r="P381" s="13">
        <v>35000</v>
      </c>
      <c r="Q381" s="7">
        <f t="shared" si="67"/>
        <v>0</v>
      </c>
      <c r="R381" t="str">
        <f t="shared" si="62"/>
        <v>PAID</v>
      </c>
      <c r="S381" s="3"/>
      <c r="T381" s="9">
        <f t="shared" si="63"/>
        <v>35000</v>
      </c>
      <c r="U381" t="str">
        <f t="shared" si="64"/>
        <v>OK</v>
      </c>
      <c r="V381" s="10">
        <f t="shared" si="65"/>
        <v>0</v>
      </c>
      <c r="W381" t="str">
        <f t="shared" si="66"/>
        <v>OK</v>
      </c>
      <c r="X381" s="3" t="s">
        <v>28</v>
      </c>
      <c r="Y381" t="s">
        <v>29</v>
      </c>
    </row>
    <row r="382" spans="1:25" x14ac:dyDescent="0.2">
      <c r="A382" t="str">
        <f t="shared" si="57"/>
        <v>TRIP-430</v>
      </c>
      <c r="B382" s="2">
        <v>45950</v>
      </c>
      <c r="C382" s="3" t="str">
        <f>_xlfn.XLOOKUP(D382,'[1]Jan Customer Duplicate Hyva'!$B:$B,'[1]Jan Customer Duplicate Hyva'!$A:$A,"NOT FOUND")</f>
        <v>CUST-172</v>
      </c>
      <c r="D382" s="3" t="s">
        <v>54</v>
      </c>
      <c r="E382" s="11" t="s">
        <v>30</v>
      </c>
      <c r="F382" s="5" t="str">
        <f t="shared" si="58"/>
        <v>Ravi</v>
      </c>
      <c r="G382" s="5" t="str">
        <f t="shared" si="59"/>
        <v/>
      </c>
      <c r="H382" s="5" t="str">
        <f t="shared" si="60"/>
        <v/>
      </c>
      <c r="I382" s="5" t="str">
        <f>_xlfn.XLOOKUP(F382,'[1]Jan Labour Nd Drivers Hyva'!$B:$B,'[2]Jan Labour Nd Drivers Hyva'!$A:$A,"NOT FOUND")</f>
        <v>LAB-003</v>
      </c>
      <c r="J382" s="5" t="str">
        <f>IF(G382="","",_xlfn.XLOOKUP(G382,'[3]Jan Labour Nd Drivers Hyva'!$B:$B,'[2]Jan Labour Nd Drivers Hyva'!$A:$A,"NOT FOUND"))</f>
        <v/>
      </c>
      <c r="K382" s="5" t="str">
        <f>IF(H382="","",_xlfn.XLOOKUP(H382,'[2]Jan Labour Nd Drivers Hyva'!$B:$B,'[2]Jan Labour Nd Drivers Hyva'!$A:$A,"NOT FOUND"))</f>
        <v/>
      </c>
      <c r="L382" s="11" t="s">
        <v>89</v>
      </c>
      <c r="M382" s="12">
        <v>1</v>
      </c>
      <c r="N382" s="13">
        <v>29000</v>
      </c>
      <c r="O382" s="8">
        <f t="shared" si="61"/>
        <v>29000</v>
      </c>
      <c r="P382" s="13">
        <v>28000</v>
      </c>
      <c r="Q382" s="7">
        <f t="shared" si="67"/>
        <v>1000</v>
      </c>
      <c r="R382" t="str">
        <f t="shared" si="62"/>
        <v>PARTIAL</v>
      </c>
      <c r="S382" s="3"/>
      <c r="T382" s="9">
        <f t="shared" si="63"/>
        <v>29000</v>
      </c>
      <c r="U382" t="str">
        <f t="shared" si="64"/>
        <v>OK</v>
      </c>
      <c r="V382" s="10">
        <f t="shared" si="65"/>
        <v>1000</v>
      </c>
      <c r="W382" t="str">
        <f t="shared" si="66"/>
        <v>OK</v>
      </c>
      <c r="X382" s="3" t="s">
        <v>28</v>
      </c>
      <c r="Y382" t="s">
        <v>29</v>
      </c>
    </row>
    <row r="383" spans="1:25" x14ac:dyDescent="0.2">
      <c r="A383" t="str">
        <f t="shared" si="57"/>
        <v>TRIP-431</v>
      </c>
      <c r="B383" s="2">
        <v>45955</v>
      </c>
      <c r="C383" s="3" t="str">
        <f>_xlfn.XLOOKUP(D383,'[1]Jan Customer Duplicate Hyva'!$B:$B,'[1]Jan Customer Duplicate Hyva'!$A:$A,"NOT FOUND")</f>
        <v>CUST-195</v>
      </c>
      <c r="D383" s="11" t="s">
        <v>295</v>
      </c>
      <c r="E383" s="11" t="s">
        <v>30</v>
      </c>
      <c r="F383" s="5" t="str">
        <f t="shared" si="58"/>
        <v>Ravi</v>
      </c>
      <c r="G383" s="5" t="str">
        <f t="shared" si="59"/>
        <v/>
      </c>
      <c r="H383" s="5" t="str">
        <f t="shared" si="60"/>
        <v/>
      </c>
      <c r="I383" s="5" t="str">
        <f>_xlfn.XLOOKUP(F383,'[1]Jan Labour Nd Drivers Hyva'!$B:$B,'[2]Jan Labour Nd Drivers Hyva'!$A:$A,"NOT FOUND")</f>
        <v>LAB-003</v>
      </c>
      <c r="J383" s="5" t="str">
        <f>IF(G383="","",_xlfn.XLOOKUP(G383,'[3]Jan Labour Nd Drivers Hyva'!$B:$B,'[2]Jan Labour Nd Drivers Hyva'!$A:$A,"NOT FOUND"))</f>
        <v/>
      </c>
      <c r="K383" s="5" t="str">
        <f>IF(H383="","",_xlfn.XLOOKUP(H383,'[2]Jan Labour Nd Drivers Hyva'!$B:$B,'[2]Jan Labour Nd Drivers Hyva'!$A:$A,"NOT FOUND"))</f>
        <v/>
      </c>
      <c r="L383" s="11" t="s">
        <v>142</v>
      </c>
      <c r="M383" s="12">
        <v>1</v>
      </c>
      <c r="N383" s="13">
        <v>28000</v>
      </c>
      <c r="O383" s="8">
        <f t="shared" si="61"/>
        <v>28000</v>
      </c>
      <c r="P383" s="13">
        <v>25000</v>
      </c>
      <c r="Q383" s="7">
        <f t="shared" si="67"/>
        <v>3000</v>
      </c>
      <c r="R383" t="str">
        <f t="shared" si="62"/>
        <v>PARTIAL</v>
      </c>
      <c r="S383" s="3"/>
      <c r="T383" s="9">
        <f t="shared" si="63"/>
        <v>28000</v>
      </c>
      <c r="U383" t="str">
        <f t="shared" si="64"/>
        <v>OK</v>
      </c>
      <c r="V383" s="10">
        <f t="shared" si="65"/>
        <v>3000</v>
      </c>
      <c r="W383" t="str">
        <f t="shared" si="66"/>
        <v>OK</v>
      </c>
      <c r="X383" s="3" t="s">
        <v>28</v>
      </c>
      <c r="Y383" t="s">
        <v>29</v>
      </c>
    </row>
    <row r="384" spans="1:25" x14ac:dyDescent="0.2">
      <c r="A384" t="str">
        <f t="shared" si="57"/>
        <v>TRIP-432</v>
      </c>
      <c r="B384" s="2">
        <v>45962</v>
      </c>
      <c r="C384" s="3" t="str">
        <f>_xlfn.XLOOKUP(D384,'[1]Jan Customer Duplicate Hyva'!$B:$B,'[1]Jan Customer Duplicate Hyva'!$A:$A,"NOT FOUND")</f>
        <v>CUST-325</v>
      </c>
      <c r="D384" s="11" t="s">
        <v>296</v>
      </c>
      <c r="E384" s="11" t="s">
        <v>30</v>
      </c>
      <c r="F384" s="5" t="str">
        <f t="shared" si="58"/>
        <v>Ravi</v>
      </c>
      <c r="G384" s="5" t="str">
        <f t="shared" si="59"/>
        <v/>
      </c>
      <c r="H384" s="5" t="str">
        <f t="shared" si="60"/>
        <v/>
      </c>
      <c r="I384" s="5" t="str">
        <f>_xlfn.XLOOKUP(F384,'[1]Jan Labour Nd Drivers Hyva'!$B:$B,'[2]Jan Labour Nd Drivers Hyva'!$A:$A,"NOT FOUND")</f>
        <v>LAB-003</v>
      </c>
      <c r="J384" s="5" t="str">
        <f>IF(G384="","",_xlfn.XLOOKUP(G384,'[3]Jan Labour Nd Drivers Hyva'!$B:$B,'[2]Jan Labour Nd Drivers Hyva'!$A:$A,"NOT FOUND"))</f>
        <v/>
      </c>
      <c r="K384" s="5" t="str">
        <f>IF(H384="","",_xlfn.XLOOKUP(H384,'[2]Jan Labour Nd Drivers Hyva'!$B:$B,'[2]Jan Labour Nd Drivers Hyva'!$A:$A,"NOT FOUND"))</f>
        <v/>
      </c>
      <c r="L384" s="11" t="s">
        <v>297</v>
      </c>
      <c r="M384" s="12">
        <v>1</v>
      </c>
      <c r="N384" s="13">
        <v>40000</v>
      </c>
      <c r="O384" s="8">
        <f t="shared" si="61"/>
        <v>40000</v>
      </c>
      <c r="P384" s="13">
        <v>40000</v>
      </c>
      <c r="Q384" s="7">
        <f t="shared" si="67"/>
        <v>0</v>
      </c>
      <c r="R384" t="str">
        <f t="shared" si="62"/>
        <v>PAID</v>
      </c>
      <c r="S384" s="3"/>
      <c r="T384" s="9">
        <f t="shared" si="63"/>
        <v>40000</v>
      </c>
      <c r="U384" t="str">
        <f t="shared" si="64"/>
        <v>OK</v>
      </c>
      <c r="V384" s="10">
        <f t="shared" si="65"/>
        <v>0</v>
      </c>
      <c r="W384" t="str">
        <f t="shared" si="66"/>
        <v>OK</v>
      </c>
      <c r="X384" s="3" t="s">
        <v>28</v>
      </c>
      <c r="Y384" t="s">
        <v>29</v>
      </c>
    </row>
    <row r="385" spans="1:25" x14ac:dyDescent="0.2">
      <c r="A385" t="str">
        <f t="shared" si="57"/>
        <v>TRIP-433</v>
      </c>
      <c r="B385" s="2">
        <v>45967</v>
      </c>
      <c r="C385" s="3" t="str">
        <f>_xlfn.XLOOKUP(D385,'[1]Jan Customer Duplicate Hyva'!$B:$B,'[1]Jan Customer Duplicate Hyva'!$A:$A,"NOT FOUND")</f>
        <v>NOT FOUND</v>
      </c>
      <c r="D385" s="11" t="s">
        <v>298</v>
      </c>
      <c r="E385" s="11" t="s">
        <v>55</v>
      </c>
      <c r="F385" s="5" t="str">
        <f t="shared" si="58"/>
        <v>Gaju Bhau</v>
      </c>
      <c r="G385" s="5" t="str">
        <f t="shared" si="59"/>
        <v/>
      </c>
      <c r="H385" s="5" t="str">
        <f t="shared" si="60"/>
        <v/>
      </c>
      <c r="I385" s="5" t="str">
        <f>_xlfn.XLOOKUP(F385,'[1]Jan Labour Nd Drivers Hyva'!$B:$B,'[2]Jan Labour Nd Drivers Hyva'!$A:$A,"NOT FOUND")</f>
        <v>LAB-001</v>
      </c>
      <c r="J385" s="5" t="str">
        <f>IF(G385="","",_xlfn.XLOOKUP(G385,'[3]Jan Labour Nd Drivers Hyva'!$B:$B,'[2]Jan Labour Nd Drivers Hyva'!$A:$A,"NOT FOUND"))</f>
        <v/>
      </c>
      <c r="K385" s="5" t="str">
        <f>IF(H385="","",_xlfn.XLOOKUP(H385,'[2]Jan Labour Nd Drivers Hyva'!$B:$B,'[2]Jan Labour Nd Drivers Hyva'!$A:$A,"NOT FOUND"))</f>
        <v/>
      </c>
      <c r="L385" s="11" t="s">
        <v>280</v>
      </c>
      <c r="M385" s="12">
        <v>1</v>
      </c>
      <c r="N385" s="13">
        <v>34000</v>
      </c>
      <c r="O385" s="8">
        <f t="shared" si="61"/>
        <v>34000</v>
      </c>
      <c r="P385" s="13">
        <v>34000</v>
      </c>
      <c r="Q385" s="7">
        <f t="shared" si="67"/>
        <v>0</v>
      </c>
      <c r="R385" t="str">
        <f t="shared" si="62"/>
        <v>PAID</v>
      </c>
      <c r="S385" s="3"/>
      <c r="T385" s="9">
        <f t="shared" si="63"/>
        <v>34000</v>
      </c>
      <c r="U385" t="str">
        <f t="shared" si="64"/>
        <v>OK</v>
      </c>
      <c r="V385" s="10">
        <f t="shared" si="65"/>
        <v>0</v>
      </c>
      <c r="W385" t="str">
        <f t="shared" si="66"/>
        <v>OK</v>
      </c>
      <c r="X385" s="3" t="s">
        <v>28</v>
      </c>
      <c r="Y385" t="s">
        <v>29</v>
      </c>
    </row>
    <row r="386" spans="1:25" x14ac:dyDescent="0.2">
      <c r="A386" t="str">
        <f t="shared" si="57"/>
        <v>TRIP-434</v>
      </c>
      <c r="B386" s="2">
        <v>45967</v>
      </c>
      <c r="C386" s="3" t="str">
        <f>_xlfn.XLOOKUP(D386,'[1]Jan Customer Duplicate Hyva'!$B:$B,'[1]Jan Customer Duplicate Hyva'!$A:$A,"NOT FOUND")</f>
        <v>CUST-383</v>
      </c>
      <c r="D386" s="11" t="s">
        <v>299</v>
      </c>
      <c r="E386" s="11" t="s">
        <v>30</v>
      </c>
      <c r="F386" s="5" t="str">
        <f t="shared" si="58"/>
        <v>Ravi</v>
      </c>
      <c r="G386" s="5" t="str">
        <f t="shared" si="59"/>
        <v/>
      </c>
      <c r="H386" s="5" t="str">
        <f t="shared" si="60"/>
        <v/>
      </c>
      <c r="I386" s="5" t="str">
        <f>_xlfn.XLOOKUP(F386,'[1]Jan Labour Nd Drivers Hyva'!$B:$B,'[2]Jan Labour Nd Drivers Hyva'!$A:$A,"NOT FOUND")</f>
        <v>LAB-003</v>
      </c>
      <c r="J386" s="5" t="str">
        <f>IF(G386="","",_xlfn.XLOOKUP(G386,'[3]Jan Labour Nd Drivers Hyva'!$B:$B,'[2]Jan Labour Nd Drivers Hyva'!$A:$A,"NOT FOUND"))</f>
        <v/>
      </c>
      <c r="K386" s="5" t="str">
        <f>IF(H386="","",_xlfn.XLOOKUP(H386,'[2]Jan Labour Nd Drivers Hyva'!$B:$B,'[2]Jan Labour Nd Drivers Hyva'!$A:$A,"NOT FOUND"))</f>
        <v/>
      </c>
      <c r="L386" s="11" t="s">
        <v>280</v>
      </c>
      <c r="M386" s="12">
        <v>1</v>
      </c>
      <c r="N386" s="13">
        <v>34500</v>
      </c>
      <c r="O386" s="8">
        <f t="shared" si="61"/>
        <v>34500</v>
      </c>
      <c r="P386" s="13">
        <v>34500</v>
      </c>
      <c r="Q386" s="7">
        <f t="shared" si="67"/>
        <v>0</v>
      </c>
      <c r="R386" t="str">
        <f t="shared" si="62"/>
        <v>PAID</v>
      </c>
      <c r="S386" s="3"/>
      <c r="T386" s="9">
        <f t="shared" si="63"/>
        <v>34500</v>
      </c>
      <c r="U386" t="str">
        <f t="shared" si="64"/>
        <v>OK</v>
      </c>
      <c r="V386" s="10">
        <f t="shared" si="65"/>
        <v>0</v>
      </c>
      <c r="W386" t="str">
        <f t="shared" si="66"/>
        <v>OK</v>
      </c>
      <c r="X386" s="3" t="s">
        <v>28</v>
      </c>
      <c r="Y386" t="s">
        <v>29</v>
      </c>
    </row>
    <row r="387" spans="1:25" x14ac:dyDescent="0.2">
      <c r="A387" t="str">
        <f t="shared" ref="A387:A450" si="68">"TRIP-"&amp;TEXT(ROW()+48,"000")</f>
        <v>TRIP-435</v>
      </c>
      <c r="B387" s="2">
        <v>45967</v>
      </c>
      <c r="C387" s="3" t="str">
        <f>_xlfn.XLOOKUP(D387,'[1]Jan Customer Duplicate Hyva'!$B:$B,'[1]Jan Customer Duplicate Hyva'!$A:$A,"NOT FOUND")</f>
        <v>CUST-328</v>
      </c>
      <c r="D387" s="11" t="s">
        <v>88</v>
      </c>
      <c r="E387" s="11" t="s">
        <v>55</v>
      </c>
      <c r="F387" s="5" t="str">
        <f t="shared" ref="F387:F450" si="69">TRIM(_xlfn.TEXTBEFORE(E387&amp;" / "," / "))</f>
        <v>Gaju Bhau</v>
      </c>
      <c r="G387" s="5" t="str">
        <f t="shared" ref="G387:G450" si="70">IFERROR(TRIM(_xlfn.TEXTBEFORE(_xlfn.TEXTAFTER(E387," / ")&amp;" / "," / ")),"")</f>
        <v/>
      </c>
      <c r="H387" s="5" t="str">
        <f t="shared" ref="H387:H450" si="71">IFERROR(TRIM(_xlfn.TEXTAFTER(E387," / ","2")),"")</f>
        <v/>
      </c>
      <c r="I387" s="5" t="str">
        <f>_xlfn.XLOOKUP(F387,'[1]Jan Labour Nd Drivers Hyva'!$B:$B,'[2]Jan Labour Nd Drivers Hyva'!$A:$A,"NOT FOUND")</f>
        <v>LAB-001</v>
      </c>
      <c r="J387" s="5" t="str">
        <f>IF(G387="","",_xlfn.XLOOKUP(G387,'[3]Jan Labour Nd Drivers Hyva'!$B:$B,'[2]Jan Labour Nd Drivers Hyva'!$A:$A,"NOT FOUND"))</f>
        <v/>
      </c>
      <c r="K387" s="5" t="str">
        <f>IF(H387="","",_xlfn.XLOOKUP(H387,'[2]Jan Labour Nd Drivers Hyva'!$B:$B,'[2]Jan Labour Nd Drivers Hyva'!$A:$A,"NOT FOUND"))</f>
        <v/>
      </c>
      <c r="L387" s="11" t="s">
        <v>89</v>
      </c>
      <c r="M387" s="12">
        <v>1</v>
      </c>
      <c r="N387" s="13">
        <v>27000</v>
      </c>
      <c r="O387" s="8">
        <f t="shared" ref="O387:O450" si="72">N387*M387</f>
        <v>27000</v>
      </c>
      <c r="P387" s="13">
        <v>27000</v>
      </c>
      <c r="Q387" s="7">
        <f t="shared" si="67"/>
        <v>0</v>
      </c>
      <c r="R387" t="str">
        <f t="shared" ref="R387:R450" si="73">IF(Q387=0,"PAID",IF(P387=0,"UNPAID","PARTIAL"))</f>
        <v>PAID</v>
      </c>
      <c r="S387" s="3"/>
      <c r="T387" s="9">
        <f t="shared" ref="T387:T450" si="74">M387*N387</f>
        <v>27000</v>
      </c>
      <c r="U387" t="str">
        <f t="shared" ref="U387:U450" si="75">IF(ROUND(T387,2)=ROUND(O387,2),"OK","CHECK")</f>
        <v>OK</v>
      </c>
      <c r="V387" s="10">
        <f t="shared" ref="V387:V450" si="76">O387-P387</f>
        <v>0</v>
      </c>
      <c r="W387" t="str">
        <f t="shared" ref="W387:W450" si="77">IF(ROUND(V387,2)=ROUND(Q387,2),"OK","CHECK")</f>
        <v>OK</v>
      </c>
      <c r="X387" s="3" t="s">
        <v>28</v>
      </c>
      <c r="Y387" t="s">
        <v>29</v>
      </c>
    </row>
    <row r="388" spans="1:25" x14ac:dyDescent="0.2">
      <c r="A388" t="str">
        <f t="shared" si="68"/>
        <v>TRIP-436</v>
      </c>
      <c r="B388" s="2">
        <v>45967</v>
      </c>
      <c r="C388" s="3" t="str">
        <f>_xlfn.XLOOKUP(D388,'[1]Jan Customer Duplicate Hyva'!$B:$B,'[1]Jan Customer Duplicate Hyva'!$A:$A,"NOT FOUND")</f>
        <v>NOT FOUND</v>
      </c>
      <c r="D388" s="11" t="s">
        <v>298</v>
      </c>
      <c r="E388" s="11" t="s">
        <v>30</v>
      </c>
      <c r="F388" s="5" t="str">
        <f t="shared" si="69"/>
        <v>Ravi</v>
      </c>
      <c r="G388" s="5" t="str">
        <f t="shared" si="70"/>
        <v/>
      </c>
      <c r="H388" s="5" t="str">
        <f t="shared" si="71"/>
        <v/>
      </c>
      <c r="I388" s="5" t="str">
        <f>_xlfn.XLOOKUP(F388,'[1]Jan Labour Nd Drivers Hyva'!$B:$B,'[2]Jan Labour Nd Drivers Hyva'!$A:$A,"NOT FOUND")</f>
        <v>LAB-003</v>
      </c>
      <c r="J388" s="5" t="str">
        <f>IF(G388="","",_xlfn.XLOOKUP(G388,'[3]Jan Labour Nd Drivers Hyva'!$B:$B,'[2]Jan Labour Nd Drivers Hyva'!$A:$A,"NOT FOUND"))</f>
        <v/>
      </c>
      <c r="K388" s="5" t="str">
        <f>IF(H388="","",_xlfn.XLOOKUP(H388,'[2]Jan Labour Nd Drivers Hyva'!$B:$B,'[2]Jan Labour Nd Drivers Hyva'!$A:$A,"NOT FOUND"))</f>
        <v/>
      </c>
      <c r="L388" s="11" t="s">
        <v>300</v>
      </c>
      <c r="M388" s="12">
        <v>1</v>
      </c>
      <c r="N388" s="13">
        <v>34000</v>
      </c>
      <c r="O388" s="8">
        <f t="shared" si="72"/>
        <v>34000</v>
      </c>
      <c r="P388" s="13">
        <v>34000</v>
      </c>
      <c r="Q388" s="7">
        <f t="shared" si="67"/>
        <v>0</v>
      </c>
      <c r="R388" t="str">
        <f t="shared" si="73"/>
        <v>PAID</v>
      </c>
      <c r="S388" s="3"/>
      <c r="T388" s="9">
        <f t="shared" si="74"/>
        <v>34000</v>
      </c>
      <c r="U388" t="str">
        <f t="shared" si="75"/>
        <v>OK</v>
      </c>
      <c r="V388" s="10">
        <f t="shared" si="76"/>
        <v>0</v>
      </c>
      <c r="W388" t="str">
        <f t="shared" si="77"/>
        <v>OK</v>
      </c>
      <c r="X388" s="3" t="s">
        <v>28</v>
      </c>
      <c r="Y388" t="s">
        <v>29</v>
      </c>
    </row>
    <row r="389" spans="1:25" x14ac:dyDescent="0.2">
      <c r="A389" t="str">
        <f t="shared" si="68"/>
        <v>TRIP-437</v>
      </c>
      <c r="B389" s="2">
        <v>45967</v>
      </c>
      <c r="C389" s="3" t="str">
        <f>_xlfn.XLOOKUP(D389,'[1]Jan Customer Duplicate Hyva'!$B:$B,'[1]Jan Customer Duplicate Hyva'!$A:$A,"NOT FOUND")</f>
        <v>CUST-255</v>
      </c>
      <c r="D389" s="11" t="s">
        <v>75</v>
      </c>
      <c r="E389" s="11" t="s">
        <v>196</v>
      </c>
      <c r="F389" s="5" t="str">
        <f t="shared" si="69"/>
        <v>Gaju Bhau</v>
      </c>
      <c r="G389" s="5" t="str">
        <f t="shared" si="70"/>
        <v>Ravi</v>
      </c>
      <c r="H389" s="5" t="str">
        <f t="shared" si="71"/>
        <v/>
      </c>
      <c r="I389" s="5" t="str">
        <f>_xlfn.XLOOKUP(F389,'[1]Jan Labour Nd Drivers Hyva'!$B:$B,'[2]Jan Labour Nd Drivers Hyva'!$A:$A,"NOT FOUND")</f>
        <v>LAB-001</v>
      </c>
      <c r="J389" s="5" t="str">
        <f>IF(G389="","",_xlfn.XLOOKUP(G389,'[3]Jan Labour Nd Drivers Hyva'!$B:$B,'[2]Jan Labour Nd Drivers Hyva'!$A:$A,"NOT FOUND"))</f>
        <v>LAB-003</v>
      </c>
      <c r="K389" s="5" t="str">
        <f>IF(H389="","",_xlfn.XLOOKUP(H389,'[2]Jan Labour Nd Drivers Hyva'!$B:$B,'[2]Jan Labour Nd Drivers Hyva'!$A:$A,"NOT FOUND"))</f>
        <v/>
      </c>
      <c r="L389" s="11" t="s">
        <v>116</v>
      </c>
      <c r="M389" s="12">
        <v>2</v>
      </c>
      <c r="N389" s="13">
        <v>30000</v>
      </c>
      <c r="O389" s="8">
        <f t="shared" si="72"/>
        <v>60000</v>
      </c>
      <c r="P389" s="13">
        <v>60000</v>
      </c>
      <c r="Q389" s="7">
        <f t="shared" si="67"/>
        <v>0</v>
      </c>
      <c r="R389" t="str">
        <f t="shared" si="73"/>
        <v>PAID</v>
      </c>
      <c r="S389" s="3"/>
      <c r="T389" s="9">
        <f t="shared" si="74"/>
        <v>60000</v>
      </c>
      <c r="U389" t="str">
        <f t="shared" si="75"/>
        <v>OK</v>
      </c>
      <c r="V389" s="10">
        <f t="shared" si="76"/>
        <v>0</v>
      </c>
      <c r="W389" t="str">
        <f t="shared" si="77"/>
        <v>OK</v>
      </c>
      <c r="X389" s="3" t="s">
        <v>28</v>
      </c>
      <c r="Y389" t="s">
        <v>29</v>
      </c>
    </row>
    <row r="390" spans="1:25" x14ac:dyDescent="0.2">
      <c r="A390" t="str">
        <f t="shared" si="68"/>
        <v>TRIP-438</v>
      </c>
      <c r="B390" s="2">
        <v>45968</v>
      </c>
      <c r="C390" s="3" t="str">
        <f>_xlfn.XLOOKUP(D390,'[1]Jan Customer Duplicate Hyva'!$B:$B,'[1]Jan Customer Duplicate Hyva'!$A:$A,"NOT FOUND")</f>
        <v>CUST-118</v>
      </c>
      <c r="D390" s="11" t="s">
        <v>226</v>
      </c>
      <c r="E390" s="11" t="s">
        <v>30</v>
      </c>
      <c r="F390" s="5" t="str">
        <f t="shared" si="69"/>
        <v>Ravi</v>
      </c>
      <c r="G390" s="5" t="str">
        <f t="shared" si="70"/>
        <v/>
      </c>
      <c r="H390" s="5" t="str">
        <f t="shared" si="71"/>
        <v/>
      </c>
      <c r="I390" s="5" t="str">
        <f>_xlfn.XLOOKUP(F390,'[1]Jan Labour Nd Drivers Hyva'!$B:$B,'[2]Jan Labour Nd Drivers Hyva'!$A:$A,"NOT FOUND")</f>
        <v>LAB-003</v>
      </c>
      <c r="J390" s="5" t="str">
        <f>IF(G390="","",_xlfn.XLOOKUP(G390,'[3]Jan Labour Nd Drivers Hyva'!$B:$B,'[2]Jan Labour Nd Drivers Hyva'!$A:$A,"NOT FOUND"))</f>
        <v/>
      </c>
      <c r="K390" s="5" t="str">
        <f>IF(H390="","",_xlfn.XLOOKUP(H390,'[2]Jan Labour Nd Drivers Hyva'!$B:$B,'[2]Jan Labour Nd Drivers Hyva'!$A:$A,"NOT FOUND"))</f>
        <v/>
      </c>
      <c r="L390" s="11" t="s">
        <v>280</v>
      </c>
      <c r="M390" s="12">
        <v>1</v>
      </c>
      <c r="N390" s="13">
        <v>35000</v>
      </c>
      <c r="O390" s="8">
        <f t="shared" si="72"/>
        <v>35000</v>
      </c>
      <c r="P390" s="13"/>
      <c r="Q390" s="7">
        <f t="shared" si="67"/>
        <v>35000</v>
      </c>
      <c r="R390" t="str">
        <f t="shared" si="73"/>
        <v>UNPAID</v>
      </c>
      <c r="S390" s="3"/>
      <c r="T390" s="9">
        <f t="shared" si="74"/>
        <v>35000</v>
      </c>
      <c r="U390" t="str">
        <f t="shared" si="75"/>
        <v>OK</v>
      </c>
      <c r="V390" s="10">
        <f t="shared" si="76"/>
        <v>35000</v>
      </c>
      <c r="W390" t="str">
        <f t="shared" si="77"/>
        <v>OK</v>
      </c>
      <c r="X390" s="3" t="s">
        <v>28</v>
      </c>
      <c r="Y390" t="s">
        <v>29</v>
      </c>
    </row>
    <row r="391" spans="1:25" x14ac:dyDescent="0.2">
      <c r="A391" t="str">
        <f t="shared" si="68"/>
        <v>TRIP-439</v>
      </c>
      <c r="B391" s="2">
        <v>45969</v>
      </c>
      <c r="C391" s="3" t="str">
        <f>_xlfn.XLOOKUP(D391,'[1]Jan Customer Duplicate Hyva'!$B:$B,'[1]Jan Customer Duplicate Hyva'!$A:$A,"NOT FOUND")</f>
        <v>CUST-118</v>
      </c>
      <c r="D391" s="11" t="s">
        <v>226</v>
      </c>
      <c r="E391" s="11" t="s">
        <v>30</v>
      </c>
      <c r="F391" s="5" t="str">
        <f t="shared" si="69"/>
        <v>Ravi</v>
      </c>
      <c r="G391" s="5" t="str">
        <f t="shared" si="70"/>
        <v/>
      </c>
      <c r="H391" s="5" t="str">
        <f t="shared" si="71"/>
        <v/>
      </c>
      <c r="I391" s="5" t="str">
        <f>_xlfn.XLOOKUP(F391,'[1]Jan Labour Nd Drivers Hyva'!$B:$B,'[2]Jan Labour Nd Drivers Hyva'!$A:$A,"NOT FOUND")</f>
        <v>LAB-003</v>
      </c>
      <c r="J391" s="5" t="str">
        <f>IF(G391="","",_xlfn.XLOOKUP(G391,'[3]Jan Labour Nd Drivers Hyva'!$B:$B,'[2]Jan Labour Nd Drivers Hyva'!$A:$A,"NOT FOUND"))</f>
        <v/>
      </c>
      <c r="K391" s="5" t="str">
        <f>IF(H391="","",_xlfn.XLOOKUP(H391,'[2]Jan Labour Nd Drivers Hyva'!$B:$B,'[2]Jan Labour Nd Drivers Hyva'!$A:$A,"NOT FOUND"))</f>
        <v/>
      </c>
      <c r="L391" s="11" t="s">
        <v>280</v>
      </c>
      <c r="M391" s="12">
        <v>1</v>
      </c>
      <c r="N391" s="13">
        <v>35000</v>
      </c>
      <c r="O391" s="8">
        <f t="shared" si="72"/>
        <v>35000</v>
      </c>
      <c r="P391" s="13"/>
      <c r="Q391" s="7">
        <f t="shared" si="67"/>
        <v>35000</v>
      </c>
      <c r="R391" t="str">
        <f t="shared" si="73"/>
        <v>UNPAID</v>
      </c>
      <c r="S391" s="3"/>
      <c r="T391" s="9">
        <f t="shared" si="74"/>
        <v>35000</v>
      </c>
      <c r="U391" t="str">
        <f t="shared" si="75"/>
        <v>OK</v>
      </c>
      <c r="V391" s="10">
        <f t="shared" si="76"/>
        <v>35000</v>
      </c>
      <c r="W391" t="str">
        <f t="shared" si="77"/>
        <v>OK</v>
      </c>
      <c r="X391" s="3" t="s">
        <v>28</v>
      </c>
      <c r="Y391" t="s">
        <v>29</v>
      </c>
    </row>
    <row r="392" spans="1:25" x14ac:dyDescent="0.2">
      <c r="A392" t="str">
        <f t="shared" si="68"/>
        <v>TRIP-440</v>
      </c>
      <c r="B392" s="2">
        <v>45969</v>
      </c>
      <c r="C392" s="3" t="str">
        <f>_xlfn.XLOOKUP(D392,'[1]Jan Customer Duplicate Hyva'!$B:$B,'[1]Jan Customer Duplicate Hyva'!$A:$A,"NOT FOUND")</f>
        <v>CUST-321</v>
      </c>
      <c r="D392" s="11" t="s">
        <v>95</v>
      </c>
      <c r="E392" s="11" t="s">
        <v>30</v>
      </c>
      <c r="F392" s="5" t="str">
        <f t="shared" si="69"/>
        <v>Ravi</v>
      </c>
      <c r="G392" s="5" t="str">
        <f t="shared" si="70"/>
        <v/>
      </c>
      <c r="H392" s="5" t="str">
        <f t="shared" si="71"/>
        <v/>
      </c>
      <c r="I392" s="5" t="str">
        <f>_xlfn.XLOOKUP(F392,'[1]Jan Labour Nd Drivers Hyva'!$B:$B,'[2]Jan Labour Nd Drivers Hyva'!$A:$A,"NOT FOUND")</f>
        <v>LAB-003</v>
      </c>
      <c r="J392" s="5" t="str">
        <f>IF(G392="","",_xlfn.XLOOKUP(G392,'[3]Jan Labour Nd Drivers Hyva'!$B:$B,'[2]Jan Labour Nd Drivers Hyva'!$A:$A,"NOT FOUND"))</f>
        <v/>
      </c>
      <c r="K392" s="5" t="str">
        <f>IF(H392="","",_xlfn.XLOOKUP(H392,'[2]Jan Labour Nd Drivers Hyva'!$B:$B,'[2]Jan Labour Nd Drivers Hyva'!$A:$A,"NOT FOUND"))</f>
        <v/>
      </c>
      <c r="L392" s="11" t="s">
        <v>154</v>
      </c>
      <c r="M392" s="12">
        <v>1</v>
      </c>
      <c r="N392" s="13">
        <v>28000</v>
      </c>
      <c r="O392" s="8">
        <f t="shared" si="72"/>
        <v>28000</v>
      </c>
      <c r="P392" s="13"/>
      <c r="Q392" s="7">
        <f t="shared" si="67"/>
        <v>28000</v>
      </c>
      <c r="R392" t="str">
        <f t="shared" si="73"/>
        <v>UNPAID</v>
      </c>
      <c r="S392" s="3"/>
      <c r="T392" s="9">
        <f t="shared" si="74"/>
        <v>28000</v>
      </c>
      <c r="U392" t="str">
        <f t="shared" si="75"/>
        <v>OK</v>
      </c>
      <c r="V392" s="10">
        <f t="shared" si="76"/>
        <v>28000</v>
      </c>
      <c r="W392" t="str">
        <f t="shared" si="77"/>
        <v>OK</v>
      </c>
      <c r="X392" s="3" t="s">
        <v>28</v>
      </c>
      <c r="Y392" t="s">
        <v>29</v>
      </c>
    </row>
    <row r="393" spans="1:25" x14ac:dyDescent="0.2">
      <c r="A393" t="str">
        <f t="shared" si="68"/>
        <v>TRIP-441</v>
      </c>
      <c r="B393" s="2">
        <v>45969</v>
      </c>
      <c r="C393" s="3" t="str">
        <f>_xlfn.XLOOKUP(D393,'[1]Jan Customer Duplicate Hyva'!$B:$B,'[1]Jan Customer Duplicate Hyva'!$A:$A,"NOT FOUND")</f>
        <v>CUST-255</v>
      </c>
      <c r="D393" s="11" t="s">
        <v>75</v>
      </c>
      <c r="E393" s="11" t="s">
        <v>30</v>
      </c>
      <c r="F393" s="5" t="str">
        <f t="shared" si="69"/>
        <v>Ravi</v>
      </c>
      <c r="G393" s="5" t="str">
        <f t="shared" si="70"/>
        <v/>
      </c>
      <c r="H393" s="5" t="str">
        <f t="shared" si="71"/>
        <v/>
      </c>
      <c r="I393" s="5" t="str">
        <f>_xlfn.XLOOKUP(F393,'[1]Jan Labour Nd Drivers Hyva'!$B:$B,'[2]Jan Labour Nd Drivers Hyva'!$A:$A,"NOT FOUND")</f>
        <v>LAB-003</v>
      </c>
      <c r="J393" s="5" t="str">
        <f>IF(G393="","",_xlfn.XLOOKUP(G393,'[3]Jan Labour Nd Drivers Hyva'!$B:$B,'[2]Jan Labour Nd Drivers Hyva'!$A:$A,"NOT FOUND"))</f>
        <v/>
      </c>
      <c r="K393" s="5" t="str">
        <f>IF(H393="","",_xlfn.XLOOKUP(H393,'[2]Jan Labour Nd Drivers Hyva'!$B:$B,'[2]Jan Labour Nd Drivers Hyva'!$A:$A,"NOT FOUND"))</f>
        <v/>
      </c>
      <c r="L393" s="11" t="s">
        <v>116</v>
      </c>
      <c r="M393" s="12">
        <v>1</v>
      </c>
      <c r="N393" s="13">
        <v>30000</v>
      </c>
      <c r="O393" s="8">
        <f t="shared" si="72"/>
        <v>30000</v>
      </c>
      <c r="P393" s="13">
        <v>30000</v>
      </c>
      <c r="Q393" s="7">
        <f t="shared" si="67"/>
        <v>0</v>
      </c>
      <c r="R393" t="str">
        <f t="shared" si="73"/>
        <v>PAID</v>
      </c>
      <c r="S393" s="3"/>
      <c r="T393" s="9">
        <f t="shared" si="74"/>
        <v>30000</v>
      </c>
      <c r="U393" t="str">
        <f t="shared" si="75"/>
        <v>OK</v>
      </c>
      <c r="V393" s="10">
        <f t="shared" si="76"/>
        <v>0</v>
      </c>
      <c r="W393" t="str">
        <f t="shared" si="77"/>
        <v>OK</v>
      </c>
      <c r="X393" s="3" t="s">
        <v>28</v>
      </c>
      <c r="Y393" t="s">
        <v>29</v>
      </c>
    </row>
    <row r="394" spans="1:25" x14ac:dyDescent="0.2">
      <c r="A394" t="str">
        <f t="shared" si="68"/>
        <v>TRIP-442</v>
      </c>
      <c r="B394" s="2">
        <v>45970</v>
      </c>
      <c r="C394" s="3" t="str">
        <f>_xlfn.XLOOKUP(D394,'[1]Jan Customer Duplicate Hyva'!$B:$B,'[1]Jan Customer Duplicate Hyva'!$A:$A,"NOT FOUND")</f>
        <v>CUST-247</v>
      </c>
      <c r="D394" s="11" t="s">
        <v>301</v>
      </c>
      <c r="E394" s="11" t="s">
        <v>30</v>
      </c>
      <c r="F394" s="5" t="str">
        <f t="shared" si="69"/>
        <v>Ravi</v>
      </c>
      <c r="G394" s="5" t="str">
        <f t="shared" si="70"/>
        <v/>
      </c>
      <c r="H394" s="5" t="str">
        <f t="shared" si="71"/>
        <v/>
      </c>
      <c r="I394" s="5" t="str">
        <f>_xlfn.XLOOKUP(F394,'[1]Jan Labour Nd Drivers Hyva'!$B:$B,'[2]Jan Labour Nd Drivers Hyva'!$A:$A,"NOT FOUND")</f>
        <v>LAB-003</v>
      </c>
      <c r="J394" s="5" t="str">
        <f>IF(G394="","",_xlfn.XLOOKUP(G394,'[3]Jan Labour Nd Drivers Hyva'!$B:$B,'[2]Jan Labour Nd Drivers Hyva'!$A:$A,"NOT FOUND"))</f>
        <v/>
      </c>
      <c r="K394" s="5" t="str">
        <f>IF(H394="","",_xlfn.XLOOKUP(H394,'[2]Jan Labour Nd Drivers Hyva'!$B:$B,'[2]Jan Labour Nd Drivers Hyva'!$A:$A,"NOT FOUND"))</f>
        <v/>
      </c>
      <c r="L394" s="11" t="s">
        <v>302</v>
      </c>
      <c r="M394" s="12">
        <v>1</v>
      </c>
      <c r="N394" s="13">
        <v>27000</v>
      </c>
      <c r="O394" s="8">
        <f t="shared" si="72"/>
        <v>27000</v>
      </c>
      <c r="P394" s="13">
        <v>27000</v>
      </c>
      <c r="Q394" s="7">
        <f t="shared" si="67"/>
        <v>0</v>
      </c>
      <c r="R394" t="str">
        <f t="shared" si="73"/>
        <v>PAID</v>
      </c>
      <c r="S394" s="3"/>
      <c r="T394" s="9">
        <f t="shared" si="74"/>
        <v>27000</v>
      </c>
      <c r="U394" t="str">
        <f t="shared" si="75"/>
        <v>OK</v>
      </c>
      <c r="V394" s="10">
        <f t="shared" si="76"/>
        <v>0</v>
      </c>
      <c r="W394" t="str">
        <f t="shared" si="77"/>
        <v>OK</v>
      </c>
      <c r="X394" s="3" t="s">
        <v>28</v>
      </c>
      <c r="Y394" t="s">
        <v>29</v>
      </c>
    </row>
    <row r="395" spans="1:25" x14ac:dyDescent="0.2">
      <c r="A395" t="str">
        <f t="shared" si="68"/>
        <v>TRIP-443</v>
      </c>
      <c r="B395" s="2">
        <v>45970</v>
      </c>
      <c r="C395" s="3" t="str">
        <f>_xlfn.XLOOKUP(D395,'[1]Jan Customer Duplicate Hyva'!$B:$B,'[1]Jan Customer Duplicate Hyva'!$A:$A,"NOT FOUND")</f>
        <v>CUST-255</v>
      </c>
      <c r="D395" s="11" t="s">
        <v>75</v>
      </c>
      <c r="E395" s="11" t="s">
        <v>30</v>
      </c>
      <c r="F395" s="5" t="str">
        <f t="shared" si="69"/>
        <v>Ravi</v>
      </c>
      <c r="G395" s="5" t="str">
        <f t="shared" si="70"/>
        <v/>
      </c>
      <c r="H395" s="5" t="str">
        <f t="shared" si="71"/>
        <v/>
      </c>
      <c r="I395" s="5" t="str">
        <f>_xlfn.XLOOKUP(F395,'[1]Jan Labour Nd Drivers Hyva'!$B:$B,'[2]Jan Labour Nd Drivers Hyva'!$A:$A,"NOT FOUND")</f>
        <v>LAB-003</v>
      </c>
      <c r="J395" s="5" t="str">
        <f>IF(G395="","",_xlfn.XLOOKUP(G395,'[3]Jan Labour Nd Drivers Hyva'!$B:$B,'[2]Jan Labour Nd Drivers Hyva'!$A:$A,"NOT FOUND"))</f>
        <v/>
      </c>
      <c r="K395" s="5" t="str">
        <f>IF(H395="","",_xlfn.XLOOKUP(H395,'[2]Jan Labour Nd Drivers Hyva'!$B:$B,'[2]Jan Labour Nd Drivers Hyva'!$A:$A,"NOT FOUND"))</f>
        <v/>
      </c>
      <c r="L395" s="11" t="s">
        <v>116</v>
      </c>
      <c r="M395" s="12">
        <v>3</v>
      </c>
      <c r="N395" s="13">
        <v>28000</v>
      </c>
      <c r="O395" s="8">
        <f t="shared" si="72"/>
        <v>84000</v>
      </c>
      <c r="P395" s="13">
        <v>84000</v>
      </c>
      <c r="Q395" s="7">
        <f t="shared" si="67"/>
        <v>0</v>
      </c>
      <c r="R395" t="str">
        <f t="shared" si="73"/>
        <v>PAID</v>
      </c>
      <c r="S395" s="3"/>
      <c r="T395" s="9">
        <f t="shared" si="74"/>
        <v>84000</v>
      </c>
      <c r="U395" t="str">
        <f t="shared" si="75"/>
        <v>OK</v>
      </c>
      <c r="V395" s="10">
        <f t="shared" si="76"/>
        <v>0</v>
      </c>
      <c r="W395" t="str">
        <f t="shared" si="77"/>
        <v>OK</v>
      </c>
      <c r="X395" s="3" t="s">
        <v>28</v>
      </c>
      <c r="Y395" t="s">
        <v>29</v>
      </c>
    </row>
    <row r="396" spans="1:25" x14ac:dyDescent="0.2">
      <c r="A396" t="str">
        <f t="shared" si="68"/>
        <v>TRIP-444</v>
      </c>
      <c r="B396" s="2">
        <v>45971</v>
      </c>
      <c r="C396" s="3" t="str">
        <f>_xlfn.XLOOKUP(D396,'[1]Jan Customer Duplicate Hyva'!$B:$B,'[1]Jan Customer Duplicate Hyva'!$A:$A,"NOT FOUND")</f>
        <v>CUST-119</v>
      </c>
      <c r="D396" s="11" t="s">
        <v>303</v>
      </c>
      <c r="E396" s="11" t="s">
        <v>30</v>
      </c>
      <c r="F396" s="5" t="str">
        <f t="shared" si="69"/>
        <v>Ravi</v>
      </c>
      <c r="G396" s="5" t="str">
        <f t="shared" si="70"/>
        <v/>
      </c>
      <c r="H396" s="5" t="str">
        <f t="shared" si="71"/>
        <v/>
      </c>
      <c r="I396" s="5" t="str">
        <f>_xlfn.XLOOKUP(F396,'[1]Jan Labour Nd Drivers Hyva'!$B:$B,'[2]Jan Labour Nd Drivers Hyva'!$A:$A,"NOT FOUND")</f>
        <v>LAB-003</v>
      </c>
      <c r="J396" s="5" t="str">
        <f>IF(G396="","",_xlfn.XLOOKUP(G396,'[3]Jan Labour Nd Drivers Hyva'!$B:$B,'[2]Jan Labour Nd Drivers Hyva'!$A:$A,"NOT FOUND"))</f>
        <v/>
      </c>
      <c r="K396" s="5" t="str">
        <f>IF(H396="","",_xlfn.XLOOKUP(H396,'[2]Jan Labour Nd Drivers Hyva'!$B:$B,'[2]Jan Labour Nd Drivers Hyva'!$A:$A,"NOT FOUND"))</f>
        <v/>
      </c>
      <c r="L396" s="11" t="s">
        <v>230</v>
      </c>
      <c r="M396" s="12">
        <v>1</v>
      </c>
      <c r="N396" s="13">
        <v>28000</v>
      </c>
      <c r="O396" s="8">
        <f t="shared" si="72"/>
        <v>28000</v>
      </c>
      <c r="P396" s="13"/>
      <c r="Q396" s="7">
        <f t="shared" si="67"/>
        <v>28000</v>
      </c>
      <c r="R396" t="str">
        <f t="shared" si="73"/>
        <v>UNPAID</v>
      </c>
      <c r="S396" s="3"/>
      <c r="T396" s="9">
        <f t="shared" si="74"/>
        <v>28000</v>
      </c>
      <c r="U396" t="str">
        <f t="shared" si="75"/>
        <v>OK</v>
      </c>
      <c r="V396" s="10">
        <f t="shared" si="76"/>
        <v>28000</v>
      </c>
      <c r="W396" t="str">
        <f t="shared" si="77"/>
        <v>OK</v>
      </c>
      <c r="X396" s="3" t="s">
        <v>28</v>
      </c>
      <c r="Y396" t="s">
        <v>29</v>
      </c>
    </row>
    <row r="397" spans="1:25" x14ac:dyDescent="0.2">
      <c r="A397" t="str">
        <f t="shared" si="68"/>
        <v>TRIP-445</v>
      </c>
      <c r="B397" s="2">
        <v>45972</v>
      </c>
      <c r="C397" s="3" t="str">
        <f>_xlfn.XLOOKUP(D397,'[1]Jan Customer Duplicate Hyva'!$B:$B,'[1]Jan Customer Duplicate Hyva'!$A:$A,"NOT FOUND")</f>
        <v>CUST-119</v>
      </c>
      <c r="D397" s="11" t="s">
        <v>303</v>
      </c>
      <c r="E397" s="11" t="s">
        <v>30</v>
      </c>
      <c r="F397" s="5" t="str">
        <f t="shared" si="69"/>
        <v>Ravi</v>
      </c>
      <c r="G397" s="5" t="str">
        <f t="shared" si="70"/>
        <v/>
      </c>
      <c r="H397" s="5" t="str">
        <f t="shared" si="71"/>
        <v/>
      </c>
      <c r="I397" s="5" t="str">
        <f>_xlfn.XLOOKUP(F397,'[1]Jan Labour Nd Drivers Hyva'!$B:$B,'[2]Jan Labour Nd Drivers Hyva'!$A:$A,"NOT FOUND")</f>
        <v>LAB-003</v>
      </c>
      <c r="J397" s="5" t="str">
        <f>IF(G397="","",_xlfn.XLOOKUP(G397,'[3]Jan Labour Nd Drivers Hyva'!$B:$B,'[2]Jan Labour Nd Drivers Hyva'!$A:$A,"NOT FOUND"))</f>
        <v/>
      </c>
      <c r="K397" s="5" t="str">
        <f>IF(H397="","",_xlfn.XLOOKUP(H397,'[2]Jan Labour Nd Drivers Hyva'!$B:$B,'[2]Jan Labour Nd Drivers Hyva'!$A:$A,"NOT FOUND"))</f>
        <v/>
      </c>
      <c r="L397" s="11" t="s">
        <v>280</v>
      </c>
      <c r="M397" s="12">
        <v>2</v>
      </c>
      <c r="N397" s="13">
        <v>34000</v>
      </c>
      <c r="O397" s="8">
        <f t="shared" si="72"/>
        <v>68000</v>
      </c>
      <c r="P397" s="13"/>
      <c r="Q397" s="7">
        <f t="shared" si="67"/>
        <v>68000</v>
      </c>
      <c r="R397" t="str">
        <f t="shared" si="73"/>
        <v>UNPAID</v>
      </c>
      <c r="S397" s="3"/>
      <c r="T397" s="9">
        <f t="shared" si="74"/>
        <v>68000</v>
      </c>
      <c r="U397" t="str">
        <f t="shared" si="75"/>
        <v>OK</v>
      </c>
      <c r="V397" s="10">
        <f t="shared" si="76"/>
        <v>68000</v>
      </c>
      <c r="W397" t="str">
        <f t="shared" si="77"/>
        <v>OK</v>
      </c>
      <c r="X397" s="3" t="s">
        <v>28</v>
      </c>
      <c r="Y397" t="s">
        <v>29</v>
      </c>
    </row>
    <row r="398" spans="1:25" x14ac:dyDescent="0.2">
      <c r="A398" t="str">
        <f t="shared" si="68"/>
        <v>TRIP-446</v>
      </c>
      <c r="B398" s="2">
        <v>45972</v>
      </c>
      <c r="C398" s="3" t="str">
        <f>_xlfn.XLOOKUP(D398,'[1]Jan Customer Duplicate Hyva'!$B:$B,'[1]Jan Customer Duplicate Hyva'!$A:$A,"NOT FOUND")</f>
        <v>CUST-253</v>
      </c>
      <c r="D398" s="11" t="s">
        <v>148</v>
      </c>
      <c r="E398" s="11" t="s">
        <v>55</v>
      </c>
      <c r="F398" s="5" t="str">
        <f t="shared" si="69"/>
        <v>Gaju Bhau</v>
      </c>
      <c r="G398" s="5" t="str">
        <f t="shared" si="70"/>
        <v/>
      </c>
      <c r="H398" s="5" t="str">
        <f t="shared" si="71"/>
        <v/>
      </c>
      <c r="I398" s="5" t="str">
        <f>_xlfn.XLOOKUP(F398,'[1]Jan Labour Nd Drivers Hyva'!$B:$B,'[2]Jan Labour Nd Drivers Hyva'!$A:$A,"NOT FOUND")</f>
        <v>LAB-001</v>
      </c>
      <c r="J398" s="5" t="str">
        <f>IF(G398="","",_xlfn.XLOOKUP(G398,'[3]Jan Labour Nd Drivers Hyva'!$B:$B,'[2]Jan Labour Nd Drivers Hyva'!$A:$A,"NOT FOUND"))</f>
        <v/>
      </c>
      <c r="K398" s="5" t="str">
        <f>IF(H398="","",_xlfn.XLOOKUP(H398,'[2]Jan Labour Nd Drivers Hyva'!$B:$B,'[2]Jan Labour Nd Drivers Hyva'!$A:$A,"NOT FOUND"))</f>
        <v/>
      </c>
      <c r="L398" s="11" t="s">
        <v>280</v>
      </c>
      <c r="M398" s="12">
        <v>1</v>
      </c>
      <c r="N398" s="13">
        <v>35000</v>
      </c>
      <c r="O398" s="8">
        <f t="shared" si="72"/>
        <v>35000</v>
      </c>
      <c r="P398" s="13">
        <v>35000</v>
      </c>
      <c r="Q398" s="7">
        <f t="shared" si="67"/>
        <v>0</v>
      </c>
      <c r="R398" t="str">
        <f t="shared" si="73"/>
        <v>PAID</v>
      </c>
      <c r="S398" s="3"/>
      <c r="T398" s="9">
        <f t="shared" si="74"/>
        <v>35000</v>
      </c>
      <c r="U398" t="str">
        <f t="shared" si="75"/>
        <v>OK</v>
      </c>
      <c r="V398" s="10">
        <f t="shared" si="76"/>
        <v>0</v>
      </c>
      <c r="W398" t="str">
        <f t="shared" si="77"/>
        <v>OK</v>
      </c>
      <c r="X398" s="3" t="s">
        <v>28</v>
      </c>
      <c r="Y398" t="s">
        <v>29</v>
      </c>
    </row>
    <row r="399" spans="1:25" x14ac:dyDescent="0.2">
      <c r="A399" t="str">
        <f t="shared" si="68"/>
        <v>TRIP-447</v>
      </c>
      <c r="B399" s="2">
        <v>45972</v>
      </c>
      <c r="C399" s="3" t="str">
        <f>_xlfn.XLOOKUP(D399,'[1]Jan Customer Duplicate Hyva'!$B:$B,'[1]Jan Customer Duplicate Hyva'!$A:$A,"NOT FOUND")</f>
        <v>CUST-207</v>
      </c>
      <c r="D399" s="11" t="s">
        <v>25</v>
      </c>
      <c r="E399" s="11" t="s">
        <v>55</v>
      </c>
      <c r="F399" s="5" t="str">
        <f t="shared" si="69"/>
        <v>Gaju Bhau</v>
      </c>
      <c r="G399" s="5" t="str">
        <f t="shared" si="70"/>
        <v/>
      </c>
      <c r="H399" s="5" t="str">
        <f t="shared" si="71"/>
        <v/>
      </c>
      <c r="I399" s="5" t="str">
        <f>_xlfn.XLOOKUP(F399,'[1]Jan Labour Nd Drivers Hyva'!$B:$B,'[2]Jan Labour Nd Drivers Hyva'!$A:$A,"NOT FOUND")</f>
        <v>LAB-001</v>
      </c>
      <c r="J399" s="5" t="str">
        <f>IF(G399="","",_xlfn.XLOOKUP(G399,'[3]Jan Labour Nd Drivers Hyva'!$B:$B,'[2]Jan Labour Nd Drivers Hyva'!$A:$A,"NOT FOUND"))</f>
        <v/>
      </c>
      <c r="K399" s="5" t="str">
        <f>IF(H399="","",_xlfn.XLOOKUP(H399,'[2]Jan Labour Nd Drivers Hyva'!$B:$B,'[2]Jan Labour Nd Drivers Hyva'!$A:$A,"NOT FOUND"))</f>
        <v/>
      </c>
      <c r="L399" s="11" t="s">
        <v>304</v>
      </c>
      <c r="M399" s="12">
        <v>1</v>
      </c>
      <c r="N399" s="13">
        <v>31000</v>
      </c>
      <c r="O399" s="8">
        <f t="shared" si="72"/>
        <v>31000</v>
      </c>
      <c r="P399" s="13"/>
      <c r="Q399" s="7">
        <f t="shared" si="67"/>
        <v>31000</v>
      </c>
      <c r="R399" t="str">
        <f t="shared" si="73"/>
        <v>UNPAID</v>
      </c>
      <c r="S399" s="3"/>
      <c r="T399" s="9">
        <f t="shared" si="74"/>
        <v>31000</v>
      </c>
      <c r="U399" t="str">
        <f t="shared" si="75"/>
        <v>OK</v>
      </c>
      <c r="V399" s="10">
        <f t="shared" si="76"/>
        <v>31000</v>
      </c>
      <c r="W399" t="str">
        <f t="shared" si="77"/>
        <v>OK</v>
      </c>
      <c r="X399" s="3" t="s">
        <v>28</v>
      </c>
      <c r="Y399" t="s">
        <v>29</v>
      </c>
    </row>
    <row r="400" spans="1:25" x14ac:dyDescent="0.2">
      <c r="A400" t="str">
        <f t="shared" si="68"/>
        <v>TRIP-448</v>
      </c>
      <c r="B400" s="2">
        <v>45973</v>
      </c>
      <c r="C400" s="3" t="str">
        <f>_xlfn.XLOOKUP(D400,'[1]Jan Customer Duplicate Hyva'!$B:$B,'[1]Jan Customer Duplicate Hyva'!$A:$A,"NOT FOUND")</f>
        <v>CUST-013</v>
      </c>
      <c r="D400" s="11" t="s">
        <v>231</v>
      </c>
      <c r="E400" s="11" t="s">
        <v>30</v>
      </c>
      <c r="F400" s="5" t="str">
        <f t="shared" si="69"/>
        <v>Ravi</v>
      </c>
      <c r="G400" s="5" t="str">
        <f t="shared" si="70"/>
        <v/>
      </c>
      <c r="H400" s="5" t="str">
        <f t="shared" si="71"/>
        <v/>
      </c>
      <c r="I400" s="5" t="str">
        <f>_xlfn.XLOOKUP(F400,'[1]Jan Labour Nd Drivers Hyva'!$B:$B,'[2]Jan Labour Nd Drivers Hyva'!$A:$A,"NOT FOUND")</f>
        <v>LAB-003</v>
      </c>
      <c r="J400" s="5" t="str">
        <f>IF(G400="","",_xlfn.XLOOKUP(G400,'[3]Jan Labour Nd Drivers Hyva'!$B:$B,'[2]Jan Labour Nd Drivers Hyva'!$A:$A,"NOT FOUND"))</f>
        <v/>
      </c>
      <c r="K400" s="5" t="str">
        <f>IF(H400="","",_xlfn.XLOOKUP(H400,'[2]Jan Labour Nd Drivers Hyva'!$B:$B,'[2]Jan Labour Nd Drivers Hyva'!$A:$A,"NOT FOUND"))</f>
        <v/>
      </c>
      <c r="L400" s="11" t="s">
        <v>114</v>
      </c>
      <c r="M400" s="12">
        <v>1</v>
      </c>
      <c r="N400" s="13">
        <v>28000</v>
      </c>
      <c r="O400" s="8">
        <f t="shared" si="72"/>
        <v>28000</v>
      </c>
      <c r="P400" s="13">
        <v>28000</v>
      </c>
      <c r="Q400" s="7">
        <f t="shared" si="67"/>
        <v>0</v>
      </c>
      <c r="R400" t="str">
        <f t="shared" si="73"/>
        <v>PAID</v>
      </c>
      <c r="S400" s="3"/>
      <c r="T400" s="9">
        <f t="shared" si="74"/>
        <v>28000</v>
      </c>
      <c r="U400" t="str">
        <f t="shared" si="75"/>
        <v>OK</v>
      </c>
      <c r="V400" s="10">
        <f t="shared" si="76"/>
        <v>0</v>
      </c>
      <c r="W400" t="str">
        <f t="shared" si="77"/>
        <v>OK</v>
      </c>
      <c r="X400" s="3" t="s">
        <v>28</v>
      </c>
      <c r="Y400" t="s">
        <v>29</v>
      </c>
    </row>
    <row r="401" spans="1:25" x14ac:dyDescent="0.2">
      <c r="A401" t="str">
        <f t="shared" si="68"/>
        <v>TRIP-449</v>
      </c>
      <c r="B401" s="2">
        <v>45973</v>
      </c>
      <c r="C401" s="3" t="str">
        <f>_xlfn.XLOOKUP(D401,'[1]Jan Customer Duplicate Hyva'!$B:$B,'[1]Jan Customer Duplicate Hyva'!$A:$A,"NOT FOUND")</f>
        <v>CUST-120</v>
      </c>
      <c r="D401" s="11" t="s">
        <v>122</v>
      </c>
      <c r="E401" s="11" t="s">
        <v>30</v>
      </c>
      <c r="F401" s="5" t="str">
        <f t="shared" si="69"/>
        <v>Ravi</v>
      </c>
      <c r="G401" s="5" t="str">
        <f t="shared" si="70"/>
        <v/>
      </c>
      <c r="H401" s="5" t="str">
        <f t="shared" si="71"/>
        <v/>
      </c>
      <c r="I401" s="5" t="str">
        <f>_xlfn.XLOOKUP(F401,'[1]Jan Labour Nd Drivers Hyva'!$B:$B,'[2]Jan Labour Nd Drivers Hyva'!$A:$A,"NOT FOUND")</f>
        <v>LAB-003</v>
      </c>
      <c r="J401" s="5" t="str">
        <f>IF(G401="","",_xlfn.XLOOKUP(G401,'[3]Jan Labour Nd Drivers Hyva'!$B:$B,'[2]Jan Labour Nd Drivers Hyva'!$A:$A,"NOT FOUND"))</f>
        <v/>
      </c>
      <c r="K401" s="5" t="str">
        <f>IF(H401="","",_xlfn.XLOOKUP(H401,'[2]Jan Labour Nd Drivers Hyva'!$B:$B,'[2]Jan Labour Nd Drivers Hyva'!$A:$A,"NOT FOUND"))</f>
        <v/>
      </c>
      <c r="L401" s="11" t="s">
        <v>305</v>
      </c>
      <c r="M401" s="12">
        <v>1</v>
      </c>
      <c r="N401" s="13">
        <v>27000</v>
      </c>
      <c r="O401" s="8">
        <f t="shared" si="72"/>
        <v>27000</v>
      </c>
      <c r="P401" s="13">
        <v>27000</v>
      </c>
      <c r="Q401" s="7">
        <f t="shared" si="67"/>
        <v>0</v>
      </c>
      <c r="R401" t="str">
        <f t="shared" si="73"/>
        <v>PAID</v>
      </c>
      <c r="S401" s="3"/>
      <c r="T401" s="9">
        <f t="shared" si="74"/>
        <v>27000</v>
      </c>
      <c r="U401" t="str">
        <f t="shared" si="75"/>
        <v>OK</v>
      </c>
      <c r="V401" s="10">
        <f t="shared" si="76"/>
        <v>0</v>
      </c>
      <c r="W401" t="str">
        <f t="shared" si="77"/>
        <v>OK</v>
      </c>
      <c r="X401" s="3" t="s">
        <v>28</v>
      </c>
      <c r="Y401" t="s">
        <v>29</v>
      </c>
    </row>
    <row r="402" spans="1:25" x14ac:dyDescent="0.2">
      <c r="A402" t="str">
        <f t="shared" si="68"/>
        <v>TRIP-450</v>
      </c>
      <c r="B402" s="2">
        <v>45973</v>
      </c>
      <c r="C402" s="3" t="str">
        <f>_xlfn.XLOOKUP(D402,'[1]Jan Customer Duplicate Hyva'!$B:$B,'[1]Jan Customer Duplicate Hyva'!$A:$A,"NOT FOUND")</f>
        <v>CUST-265</v>
      </c>
      <c r="D402" s="11" t="s">
        <v>188</v>
      </c>
      <c r="E402" s="11" t="s">
        <v>30</v>
      </c>
      <c r="F402" s="5" t="str">
        <f t="shared" si="69"/>
        <v>Ravi</v>
      </c>
      <c r="G402" s="5" t="str">
        <f t="shared" si="70"/>
        <v/>
      </c>
      <c r="H402" s="5" t="str">
        <f t="shared" si="71"/>
        <v/>
      </c>
      <c r="I402" s="5" t="str">
        <f>_xlfn.XLOOKUP(F402,'[1]Jan Labour Nd Drivers Hyva'!$B:$B,'[2]Jan Labour Nd Drivers Hyva'!$A:$A,"NOT FOUND")</f>
        <v>LAB-003</v>
      </c>
      <c r="J402" s="5" t="str">
        <f>IF(G402="","",_xlfn.XLOOKUP(G402,'[3]Jan Labour Nd Drivers Hyva'!$B:$B,'[2]Jan Labour Nd Drivers Hyva'!$A:$A,"NOT FOUND"))</f>
        <v/>
      </c>
      <c r="K402" s="5" t="str">
        <f>IF(H402="","",_xlfn.XLOOKUP(H402,'[2]Jan Labour Nd Drivers Hyva'!$B:$B,'[2]Jan Labour Nd Drivers Hyva'!$A:$A,"NOT FOUND"))</f>
        <v/>
      </c>
      <c r="L402" s="11" t="s">
        <v>45</v>
      </c>
      <c r="M402" s="12">
        <v>1</v>
      </c>
      <c r="N402" s="13">
        <v>29000</v>
      </c>
      <c r="O402" s="8">
        <f t="shared" si="72"/>
        <v>29000</v>
      </c>
      <c r="P402" s="13">
        <v>29000</v>
      </c>
      <c r="Q402" s="7">
        <f t="shared" ref="Q402:Q465" si="78">O402-P402</f>
        <v>0</v>
      </c>
      <c r="R402" t="str">
        <f t="shared" si="73"/>
        <v>PAID</v>
      </c>
      <c r="S402" s="3"/>
      <c r="T402" s="9">
        <f t="shared" si="74"/>
        <v>29000</v>
      </c>
      <c r="U402" t="str">
        <f t="shared" si="75"/>
        <v>OK</v>
      </c>
      <c r="V402" s="10">
        <f t="shared" si="76"/>
        <v>0</v>
      </c>
      <c r="W402" t="str">
        <f t="shared" si="77"/>
        <v>OK</v>
      </c>
      <c r="X402" s="3" t="s">
        <v>28</v>
      </c>
      <c r="Y402" t="s">
        <v>29</v>
      </c>
    </row>
    <row r="403" spans="1:25" x14ac:dyDescent="0.2">
      <c r="A403" t="str">
        <f t="shared" si="68"/>
        <v>TRIP-451</v>
      </c>
      <c r="B403" s="2">
        <v>45974</v>
      </c>
      <c r="C403" s="3" t="str">
        <f>_xlfn.XLOOKUP(D403,'[1]Jan Customer Duplicate Hyva'!$B:$B,'[1]Jan Customer Duplicate Hyva'!$A:$A,"NOT FOUND")</f>
        <v>CUST-118</v>
      </c>
      <c r="D403" s="11" t="s">
        <v>226</v>
      </c>
      <c r="E403" s="11" t="s">
        <v>30</v>
      </c>
      <c r="F403" s="5" t="str">
        <f t="shared" si="69"/>
        <v>Ravi</v>
      </c>
      <c r="G403" s="5" t="str">
        <f t="shared" si="70"/>
        <v/>
      </c>
      <c r="H403" s="5" t="str">
        <f t="shared" si="71"/>
        <v/>
      </c>
      <c r="I403" s="5" t="str">
        <f>_xlfn.XLOOKUP(F403,'[1]Jan Labour Nd Drivers Hyva'!$B:$B,'[2]Jan Labour Nd Drivers Hyva'!$A:$A,"NOT FOUND")</f>
        <v>LAB-003</v>
      </c>
      <c r="J403" s="5" t="str">
        <f>IF(G403="","",_xlfn.XLOOKUP(G403,'[3]Jan Labour Nd Drivers Hyva'!$B:$B,'[2]Jan Labour Nd Drivers Hyva'!$A:$A,"NOT FOUND"))</f>
        <v/>
      </c>
      <c r="K403" s="5" t="str">
        <f>IF(H403="","",_xlfn.XLOOKUP(H403,'[2]Jan Labour Nd Drivers Hyva'!$B:$B,'[2]Jan Labour Nd Drivers Hyva'!$A:$A,"NOT FOUND"))</f>
        <v/>
      </c>
      <c r="L403" s="11" t="s">
        <v>41</v>
      </c>
      <c r="M403" s="12">
        <v>1</v>
      </c>
      <c r="N403" s="13">
        <v>31000</v>
      </c>
      <c r="O403" s="8">
        <f t="shared" si="72"/>
        <v>31000</v>
      </c>
      <c r="P403" s="13"/>
      <c r="Q403" s="7">
        <f t="shared" si="78"/>
        <v>31000</v>
      </c>
      <c r="R403" t="str">
        <f t="shared" si="73"/>
        <v>UNPAID</v>
      </c>
      <c r="S403" s="3"/>
      <c r="T403" s="9">
        <f t="shared" si="74"/>
        <v>31000</v>
      </c>
      <c r="U403" t="str">
        <f t="shared" si="75"/>
        <v>OK</v>
      </c>
      <c r="V403" s="10">
        <f t="shared" si="76"/>
        <v>31000</v>
      </c>
      <c r="W403" t="str">
        <f t="shared" si="77"/>
        <v>OK</v>
      </c>
      <c r="X403" s="3" t="s">
        <v>28</v>
      </c>
      <c r="Y403" t="s">
        <v>29</v>
      </c>
    </row>
    <row r="404" spans="1:25" x14ac:dyDescent="0.2">
      <c r="A404" t="str">
        <f t="shared" si="68"/>
        <v>TRIP-452</v>
      </c>
      <c r="B404" s="2">
        <v>45975</v>
      </c>
      <c r="C404" s="3" t="str">
        <f>_xlfn.XLOOKUP(D404,'[1]Jan Customer Duplicate Hyva'!$B:$B,'[1]Jan Customer Duplicate Hyva'!$A:$A,"NOT FOUND")</f>
        <v>CUST-323</v>
      </c>
      <c r="D404" s="3" t="s">
        <v>51</v>
      </c>
      <c r="E404" s="11" t="s">
        <v>80</v>
      </c>
      <c r="F404" s="5" t="str">
        <f t="shared" si="69"/>
        <v>Anshu</v>
      </c>
      <c r="G404" s="5" t="str">
        <f t="shared" si="70"/>
        <v>Ravi</v>
      </c>
      <c r="H404" s="5" t="str">
        <f t="shared" si="71"/>
        <v/>
      </c>
      <c r="I404" s="5" t="str">
        <f>_xlfn.XLOOKUP(F404,'[1]Jan Labour Nd Drivers Hyva'!$B:$B,'[2]Jan Labour Nd Drivers Hyva'!$A:$A,"NOT FOUND")</f>
        <v>LAB-002</v>
      </c>
      <c r="J404" s="5" t="str">
        <f>IF(G404="","",_xlfn.XLOOKUP(G404,'[3]Jan Labour Nd Drivers Hyva'!$B:$B,'[2]Jan Labour Nd Drivers Hyva'!$A:$A,"NOT FOUND"))</f>
        <v>LAB-003</v>
      </c>
      <c r="K404" s="5" t="str">
        <f>IF(H404="","",_xlfn.XLOOKUP(H404,'[2]Jan Labour Nd Drivers Hyva'!$B:$B,'[2]Jan Labour Nd Drivers Hyva'!$A:$A,"NOT FOUND"))</f>
        <v/>
      </c>
      <c r="L404" s="11" t="s">
        <v>280</v>
      </c>
      <c r="M404" s="12">
        <v>2</v>
      </c>
      <c r="N404" s="13">
        <v>35000</v>
      </c>
      <c r="O404" s="8">
        <f t="shared" si="72"/>
        <v>70000</v>
      </c>
      <c r="P404" s="13">
        <v>70000</v>
      </c>
      <c r="Q404" s="7">
        <f t="shared" si="78"/>
        <v>0</v>
      </c>
      <c r="R404" t="str">
        <f t="shared" si="73"/>
        <v>PAID</v>
      </c>
      <c r="S404" s="3"/>
      <c r="T404" s="9">
        <f t="shared" si="74"/>
        <v>70000</v>
      </c>
      <c r="U404" t="str">
        <f t="shared" si="75"/>
        <v>OK</v>
      </c>
      <c r="V404" s="10">
        <f t="shared" si="76"/>
        <v>0</v>
      </c>
      <c r="W404" t="str">
        <f t="shared" si="77"/>
        <v>OK</v>
      </c>
      <c r="X404" s="3" t="s">
        <v>28</v>
      </c>
      <c r="Y404" t="s">
        <v>29</v>
      </c>
    </row>
    <row r="405" spans="1:25" x14ac:dyDescent="0.2">
      <c r="A405" t="str">
        <f t="shared" si="68"/>
        <v>TRIP-453</v>
      </c>
      <c r="B405" s="2">
        <v>45976</v>
      </c>
      <c r="C405" s="3" t="str">
        <f>_xlfn.XLOOKUP(D405,'[1]Jan Customer Duplicate Hyva'!$B:$B,'[1]Jan Customer Duplicate Hyva'!$A:$A,"NOT FOUND")</f>
        <v>CUST-255</v>
      </c>
      <c r="D405" s="11" t="s">
        <v>75</v>
      </c>
      <c r="E405" s="11" t="s">
        <v>30</v>
      </c>
      <c r="F405" s="5" t="str">
        <f t="shared" si="69"/>
        <v>Ravi</v>
      </c>
      <c r="G405" s="5" t="str">
        <f t="shared" si="70"/>
        <v/>
      </c>
      <c r="H405" s="5" t="str">
        <f t="shared" si="71"/>
        <v/>
      </c>
      <c r="I405" s="5" t="str">
        <f>_xlfn.XLOOKUP(F405,'[1]Jan Labour Nd Drivers Hyva'!$B:$B,'[2]Jan Labour Nd Drivers Hyva'!$A:$A,"NOT FOUND")</f>
        <v>LAB-003</v>
      </c>
      <c r="J405" s="5" t="str">
        <f>IF(G405="","",_xlfn.XLOOKUP(G405,'[3]Jan Labour Nd Drivers Hyva'!$B:$B,'[2]Jan Labour Nd Drivers Hyva'!$A:$A,"NOT FOUND"))</f>
        <v/>
      </c>
      <c r="K405" s="5" t="str">
        <f>IF(H405="","",_xlfn.XLOOKUP(H405,'[2]Jan Labour Nd Drivers Hyva'!$B:$B,'[2]Jan Labour Nd Drivers Hyva'!$A:$A,"NOT FOUND"))</f>
        <v/>
      </c>
      <c r="L405" s="11" t="s">
        <v>116</v>
      </c>
      <c r="M405" s="12">
        <v>1</v>
      </c>
      <c r="N405" s="13">
        <v>28000</v>
      </c>
      <c r="O405" s="8">
        <f t="shared" si="72"/>
        <v>28000</v>
      </c>
      <c r="P405" s="13">
        <v>28000</v>
      </c>
      <c r="Q405" s="7">
        <f t="shared" si="78"/>
        <v>0</v>
      </c>
      <c r="R405" t="str">
        <f t="shared" si="73"/>
        <v>PAID</v>
      </c>
      <c r="S405" s="3"/>
      <c r="T405" s="9">
        <f t="shared" si="74"/>
        <v>28000</v>
      </c>
      <c r="U405" t="str">
        <f t="shared" si="75"/>
        <v>OK</v>
      </c>
      <c r="V405" s="10">
        <f t="shared" si="76"/>
        <v>0</v>
      </c>
      <c r="W405" t="str">
        <f t="shared" si="77"/>
        <v>OK</v>
      </c>
      <c r="X405" s="3" t="s">
        <v>28</v>
      </c>
      <c r="Y405" t="s">
        <v>29</v>
      </c>
    </row>
    <row r="406" spans="1:25" x14ac:dyDescent="0.2">
      <c r="A406" t="str">
        <f t="shared" si="68"/>
        <v>TRIP-454</v>
      </c>
      <c r="B406" s="2">
        <v>45976</v>
      </c>
      <c r="C406" s="3" t="str">
        <f>_xlfn.XLOOKUP(D406,'[1]Jan Customer Duplicate Hyva'!$B:$B,'[1]Jan Customer Duplicate Hyva'!$A:$A,"NOT FOUND")</f>
        <v>CUST-172</v>
      </c>
      <c r="D406" s="3" t="s">
        <v>54</v>
      </c>
      <c r="E406" s="11" t="s">
        <v>30</v>
      </c>
      <c r="F406" s="5" t="str">
        <f t="shared" si="69"/>
        <v>Ravi</v>
      </c>
      <c r="G406" s="5" t="str">
        <f t="shared" si="70"/>
        <v/>
      </c>
      <c r="H406" s="5" t="str">
        <f t="shared" si="71"/>
        <v/>
      </c>
      <c r="I406" s="5" t="str">
        <f>_xlfn.XLOOKUP(F406,'[1]Jan Labour Nd Drivers Hyva'!$B:$B,'[2]Jan Labour Nd Drivers Hyva'!$A:$A,"NOT FOUND")</f>
        <v>LAB-003</v>
      </c>
      <c r="J406" s="5" t="str">
        <f>IF(G406="","",_xlfn.XLOOKUP(G406,'[3]Jan Labour Nd Drivers Hyva'!$B:$B,'[2]Jan Labour Nd Drivers Hyva'!$A:$A,"NOT FOUND"))</f>
        <v/>
      </c>
      <c r="K406" s="5" t="str">
        <f>IF(H406="","",_xlfn.XLOOKUP(H406,'[2]Jan Labour Nd Drivers Hyva'!$B:$B,'[2]Jan Labour Nd Drivers Hyva'!$A:$A,"NOT FOUND"))</f>
        <v/>
      </c>
      <c r="L406" s="11" t="s">
        <v>56</v>
      </c>
      <c r="M406" s="12">
        <v>1</v>
      </c>
      <c r="N406" s="13">
        <v>27000</v>
      </c>
      <c r="O406" s="8">
        <f t="shared" si="72"/>
        <v>27000</v>
      </c>
      <c r="P406" s="13">
        <v>27000</v>
      </c>
      <c r="Q406" s="7">
        <f t="shared" si="78"/>
        <v>0</v>
      </c>
      <c r="R406" t="str">
        <f t="shared" si="73"/>
        <v>PAID</v>
      </c>
      <c r="S406" s="3"/>
      <c r="T406" s="9">
        <f t="shared" si="74"/>
        <v>27000</v>
      </c>
      <c r="U406" t="str">
        <f t="shared" si="75"/>
        <v>OK</v>
      </c>
      <c r="V406" s="10">
        <f t="shared" si="76"/>
        <v>0</v>
      </c>
      <c r="W406" t="str">
        <f t="shared" si="77"/>
        <v>OK</v>
      </c>
      <c r="X406" s="3" t="s">
        <v>28</v>
      </c>
      <c r="Y406" t="s">
        <v>29</v>
      </c>
    </row>
    <row r="407" spans="1:25" x14ac:dyDescent="0.2">
      <c r="A407" t="str">
        <f t="shared" si="68"/>
        <v>TRIP-455</v>
      </c>
      <c r="B407" s="2">
        <v>45976</v>
      </c>
      <c r="C407" s="3" t="str">
        <f>_xlfn.XLOOKUP(D407,'[1]Jan Customer Duplicate Hyva'!$B:$B,'[1]Jan Customer Duplicate Hyva'!$A:$A,"NOT FOUND")</f>
        <v>CUST-037</v>
      </c>
      <c r="D407" s="11" t="s">
        <v>99</v>
      </c>
      <c r="E407" s="11" t="s">
        <v>306</v>
      </c>
      <c r="F407" s="5" t="str">
        <f t="shared" si="69"/>
        <v>Santosh</v>
      </c>
      <c r="G407" s="5" t="str">
        <f t="shared" si="70"/>
        <v>Ravi</v>
      </c>
      <c r="H407" s="5" t="str">
        <f t="shared" si="71"/>
        <v/>
      </c>
      <c r="I407" s="5" t="str">
        <f>_xlfn.XLOOKUP(F407,'[1]Jan Labour Nd Drivers Hyva'!$B:$B,'[2]Jan Labour Nd Drivers Hyva'!$A:$A,"NOT FOUND")</f>
        <v>LAB-009</v>
      </c>
      <c r="J407" s="5" t="str">
        <f>IF(G407="","",_xlfn.XLOOKUP(G407,'[3]Jan Labour Nd Drivers Hyva'!$B:$B,'[2]Jan Labour Nd Drivers Hyva'!$A:$A,"NOT FOUND"))</f>
        <v>LAB-003</v>
      </c>
      <c r="K407" s="5" t="str">
        <f>IF(H407="","",_xlfn.XLOOKUP(H407,'[2]Jan Labour Nd Drivers Hyva'!$B:$B,'[2]Jan Labour Nd Drivers Hyva'!$A:$A,"NOT FOUND"))</f>
        <v/>
      </c>
      <c r="L407" s="11" t="s">
        <v>107</v>
      </c>
      <c r="M407" s="12">
        <v>2</v>
      </c>
      <c r="N407" s="13">
        <v>25000</v>
      </c>
      <c r="O407" s="8">
        <f t="shared" si="72"/>
        <v>50000</v>
      </c>
      <c r="P407" s="13"/>
      <c r="Q407" s="7">
        <f t="shared" si="78"/>
        <v>50000</v>
      </c>
      <c r="R407" t="str">
        <f t="shared" si="73"/>
        <v>UNPAID</v>
      </c>
      <c r="S407" s="3"/>
      <c r="T407" s="9">
        <f t="shared" si="74"/>
        <v>50000</v>
      </c>
      <c r="U407" t="str">
        <f t="shared" si="75"/>
        <v>OK</v>
      </c>
      <c r="V407" s="10">
        <f t="shared" si="76"/>
        <v>50000</v>
      </c>
      <c r="W407" t="str">
        <f t="shared" si="77"/>
        <v>OK</v>
      </c>
      <c r="X407" s="3" t="s">
        <v>28</v>
      </c>
      <c r="Y407" t="s">
        <v>29</v>
      </c>
    </row>
    <row r="408" spans="1:25" x14ac:dyDescent="0.2">
      <c r="A408" t="str">
        <f t="shared" si="68"/>
        <v>TRIP-456</v>
      </c>
      <c r="B408" s="2">
        <v>45977</v>
      </c>
      <c r="C408" s="3" t="str">
        <f>_xlfn.XLOOKUP(D408,'[1]Jan Customer Duplicate Hyva'!$B:$B,'[1]Jan Customer Duplicate Hyva'!$A:$A,"NOT FOUND")</f>
        <v>CUST-255</v>
      </c>
      <c r="D408" s="11" t="s">
        <v>75</v>
      </c>
      <c r="E408" s="11" t="s">
        <v>30</v>
      </c>
      <c r="F408" s="5" t="str">
        <f t="shared" si="69"/>
        <v>Ravi</v>
      </c>
      <c r="G408" s="5" t="str">
        <f t="shared" si="70"/>
        <v/>
      </c>
      <c r="H408" s="5" t="str">
        <f t="shared" si="71"/>
        <v/>
      </c>
      <c r="I408" s="5" t="str">
        <f>_xlfn.XLOOKUP(F408,'[1]Jan Labour Nd Drivers Hyva'!$B:$B,'[2]Jan Labour Nd Drivers Hyva'!$A:$A,"NOT FOUND")</f>
        <v>LAB-003</v>
      </c>
      <c r="J408" s="5" t="str">
        <f>IF(G408="","",_xlfn.XLOOKUP(G408,'[3]Jan Labour Nd Drivers Hyva'!$B:$B,'[2]Jan Labour Nd Drivers Hyva'!$A:$A,"NOT FOUND"))</f>
        <v/>
      </c>
      <c r="K408" s="5" t="str">
        <f>IF(H408="","",_xlfn.XLOOKUP(H408,'[2]Jan Labour Nd Drivers Hyva'!$B:$B,'[2]Jan Labour Nd Drivers Hyva'!$A:$A,"NOT FOUND"))</f>
        <v/>
      </c>
      <c r="L408" s="11" t="s">
        <v>116</v>
      </c>
      <c r="M408" s="12">
        <v>1</v>
      </c>
      <c r="N408" s="13">
        <v>28000</v>
      </c>
      <c r="O408" s="8">
        <f t="shared" si="72"/>
        <v>28000</v>
      </c>
      <c r="P408" s="13">
        <v>28000</v>
      </c>
      <c r="Q408" s="7">
        <f t="shared" si="78"/>
        <v>0</v>
      </c>
      <c r="R408" t="str">
        <f t="shared" si="73"/>
        <v>PAID</v>
      </c>
      <c r="S408" s="3"/>
      <c r="T408" s="9">
        <f t="shared" si="74"/>
        <v>28000</v>
      </c>
      <c r="U408" t="str">
        <f t="shared" si="75"/>
        <v>OK</v>
      </c>
      <c r="V408" s="10">
        <f t="shared" si="76"/>
        <v>0</v>
      </c>
      <c r="W408" t="str">
        <f t="shared" si="77"/>
        <v>OK</v>
      </c>
      <c r="X408" s="3" t="s">
        <v>28</v>
      </c>
      <c r="Y408" t="s">
        <v>29</v>
      </c>
    </row>
    <row r="409" spans="1:25" x14ac:dyDescent="0.2">
      <c r="A409" t="str">
        <f t="shared" si="68"/>
        <v>TRIP-457</v>
      </c>
      <c r="B409" s="2">
        <v>45977</v>
      </c>
      <c r="C409" s="3" t="str">
        <f>_xlfn.XLOOKUP(D409,'[1]Jan Customer Duplicate Hyva'!$B:$B,'[1]Jan Customer Duplicate Hyva'!$A:$A,"NOT FOUND")</f>
        <v>CUST-277</v>
      </c>
      <c r="D409" s="11" t="s">
        <v>241</v>
      </c>
      <c r="E409" s="11" t="s">
        <v>307</v>
      </c>
      <c r="F409" s="5" t="str">
        <f t="shared" si="69"/>
        <v>Dhanraj</v>
      </c>
      <c r="G409" s="5" t="str">
        <f t="shared" si="70"/>
        <v/>
      </c>
      <c r="H409" s="5" t="str">
        <f t="shared" si="71"/>
        <v/>
      </c>
      <c r="I409" s="5" t="str">
        <f>_xlfn.XLOOKUP(F409,'[1]Jan Labour Nd Drivers Hyva'!$B:$B,'[2]Jan Labour Nd Drivers Hyva'!$A:$A,"NOT FOUND")</f>
        <v>LAB-010</v>
      </c>
      <c r="J409" s="5" t="str">
        <f>IF(G409="","",_xlfn.XLOOKUP(G409,'[3]Jan Labour Nd Drivers Hyva'!$B:$B,'[2]Jan Labour Nd Drivers Hyva'!$A:$A,"NOT FOUND"))</f>
        <v/>
      </c>
      <c r="K409" s="5" t="str">
        <f>IF(H409="","",_xlfn.XLOOKUP(H409,'[2]Jan Labour Nd Drivers Hyva'!$B:$B,'[2]Jan Labour Nd Drivers Hyva'!$A:$A,"NOT FOUND"))</f>
        <v/>
      </c>
      <c r="L409" s="11" t="s">
        <v>308</v>
      </c>
      <c r="M409" s="12">
        <v>1</v>
      </c>
      <c r="N409" s="13">
        <v>35000</v>
      </c>
      <c r="O409" s="8">
        <f t="shared" si="72"/>
        <v>35000</v>
      </c>
      <c r="P409" s="13">
        <v>35000</v>
      </c>
      <c r="Q409" s="7">
        <f t="shared" si="78"/>
        <v>0</v>
      </c>
      <c r="R409" t="str">
        <f t="shared" si="73"/>
        <v>PAID</v>
      </c>
      <c r="S409" s="3"/>
      <c r="T409" s="9">
        <f t="shared" si="74"/>
        <v>35000</v>
      </c>
      <c r="U409" t="str">
        <f t="shared" si="75"/>
        <v>OK</v>
      </c>
      <c r="V409" s="10">
        <f t="shared" si="76"/>
        <v>0</v>
      </c>
      <c r="W409" t="str">
        <f t="shared" si="77"/>
        <v>OK</v>
      </c>
      <c r="X409" s="3" t="s">
        <v>28</v>
      </c>
      <c r="Y409" t="s">
        <v>29</v>
      </c>
    </row>
    <row r="410" spans="1:25" x14ac:dyDescent="0.2">
      <c r="A410" t="str">
        <f t="shared" si="68"/>
        <v>TRIP-458</v>
      </c>
      <c r="B410" s="2">
        <v>45978</v>
      </c>
      <c r="C410" s="3" t="str">
        <f>_xlfn.XLOOKUP(D410,'[1]Jan Customer Duplicate Hyva'!$B:$B,'[1]Jan Customer Duplicate Hyva'!$A:$A,"NOT FOUND")</f>
        <v>CUST-118</v>
      </c>
      <c r="D410" s="11" t="s">
        <v>226</v>
      </c>
      <c r="E410" s="11" t="s">
        <v>26</v>
      </c>
      <c r="F410" s="5" t="str">
        <f t="shared" si="69"/>
        <v>Anshu</v>
      </c>
      <c r="G410" s="5" t="str">
        <f t="shared" si="70"/>
        <v/>
      </c>
      <c r="H410" s="5" t="str">
        <f t="shared" si="71"/>
        <v/>
      </c>
      <c r="I410" s="5" t="str">
        <f>_xlfn.XLOOKUP(F410,'[1]Jan Labour Nd Drivers Hyva'!$B:$B,'[2]Jan Labour Nd Drivers Hyva'!$A:$A,"NOT FOUND")</f>
        <v>LAB-002</v>
      </c>
      <c r="J410" s="5" t="str">
        <f>IF(G410="","",_xlfn.XLOOKUP(G410,'[3]Jan Labour Nd Drivers Hyva'!$B:$B,'[2]Jan Labour Nd Drivers Hyva'!$A:$A,"NOT FOUND"))</f>
        <v/>
      </c>
      <c r="K410" s="5" t="str">
        <f>IF(H410="","",_xlfn.XLOOKUP(H410,'[2]Jan Labour Nd Drivers Hyva'!$B:$B,'[2]Jan Labour Nd Drivers Hyva'!$A:$A,"NOT FOUND"))</f>
        <v/>
      </c>
      <c r="L410" s="11" t="s">
        <v>41</v>
      </c>
      <c r="M410" s="12">
        <v>1</v>
      </c>
      <c r="N410" s="13">
        <v>31000</v>
      </c>
      <c r="O410" s="8">
        <f t="shared" si="72"/>
        <v>31000</v>
      </c>
      <c r="P410" s="13"/>
      <c r="Q410" s="7">
        <f t="shared" si="78"/>
        <v>31000</v>
      </c>
      <c r="R410" t="str">
        <f t="shared" si="73"/>
        <v>UNPAID</v>
      </c>
      <c r="S410" s="3"/>
      <c r="T410" s="9">
        <f t="shared" si="74"/>
        <v>31000</v>
      </c>
      <c r="U410" t="str">
        <f t="shared" si="75"/>
        <v>OK</v>
      </c>
      <c r="V410" s="10">
        <f t="shared" si="76"/>
        <v>31000</v>
      </c>
      <c r="W410" t="str">
        <f t="shared" si="77"/>
        <v>OK</v>
      </c>
      <c r="X410" s="3" t="s">
        <v>28</v>
      </c>
      <c r="Y410" t="s">
        <v>29</v>
      </c>
    </row>
    <row r="411" spans="1:25" x14ac:dyDescent="0.2">
      <c r="A411" t="str">
        <f t="shared" si="68"/>
        <v>TRIP-459</v>
      </c>
      <c r="B411" s="2">
        <v>45978</v>
      </c>
      <c r="C411" s="3" t="str">
        <f>_xlfn.XLOOKUP(D411,'[1]Jan Customer Duplicate Hyva'!$B:$B,'[1]Jan Customer Duplicate Hyva'!$A:$A,"NOT FOUND")</f>
        <v>CUST-118</v>
      </c>
      <c r="D411" s="11" t="s">
        <v>226</v>
      </c>
      <c r="E411" s="11" t="s">
        <v>309</v>
      </c>
      <c r="F411" s="5" t="str">
        <f t="shared" si="69"/>
        <v>Santosh</v>
      </c>
      <c r="G411" s="5" t="str">
        <f t="shared" si="70"/>
        <v/>
      </c>
      <c r="H411" s="5" t="str">
        <f t="shared" si="71"/>
        <v/>
      </c>
      <c r="I411" s="5" t="str">
        <f>_xlfn.XLOOKUP(F411,'[1]Jan Labour Nd Drivers Hyva'!$B:$B,'[2]Jan Labour Nd Drivers Hyva'!$A:$A,"NOT FOUND")</f>
        <v>LAB-009</v>
      </c>
      <c r="J411" s="5" t="str">
        <f>IF(G411="","",_xlfn.XLOOKUP(G411,'[3]Jan Labour Nd Drivers Hyva'!$B:$B,'[2]Jan Labour Nd Drivers Hyva'!$A:$A,"NOT FOUND"))</f>
        <v/>
      </c>
      <c r="K411" s="5" t="str">
        <f>IF(H411="","",_xlfn.XLOOKUP(H411,'[2]Jan Labour Nd Drivers Hyva'!$B:$B,'[2]Jan Labour Nd Drivers Hyva'!$A:$A,"NOT FOUND"))</f>
        <v/>
      </c>
      <c r="L411" s="11" t="s">
        <v>310</v>
      </c>
      <c r="M411" s="12">
        <v>1</v>
      </c>
      <c r="N411" s="13">
        <v>31000</v>
      </c>
      <c r="O411" s="8">
        <f t="shared" si="72"/>
        <v>31000</v>
      </c>
      <c r="P411" s="13"/>
      <c r="Q411" s="7">
        <f t="shared" si="78"/>
        <v>31000</v>
      </c>
      <c r="R411" t="str">
        <f t="shared" si="73"/>
        <v>UNPAID</v>
      </c>
      <c r="S411" s="3"/>
      <c r="T411" s="9">
        <f t="shared" si="74"/>
        <v>31000</v>
      </c>
      <c r="U411" t="str">
        <f t="shared" si="75"/>
        <v>OK</v>
      </c>
      <c r="V411" s="10">
        <f t="shared" si="76"/>
        <v>31000</v>
      </c>
      <c r="W411" t="str">
        <f t="shared" si="77"/>
        <v>OK</v>
      </c>
      <c r="X411" s="3" t="s">
        <v>28</v>
      </c>
      <c r="Y411" t="s">
        <v>29</v>
      </c>
    </row>
    <row r="412" spans="1:25" x14ac:dyDescent="0.2">
      <c r="A412" t="str">
        <f t="shared" si="68"/>
        <v>TRIP-460</v>
      </c>
      <c r="B412" s="2">
        <v>45978</v>
      </c>
      <c r="C412" s="3" t="str">
        <f>_xlfn.XLOOKUP(D412,'[1]Jan Customer Duplicate Hyva'!$B:$B,'[1]Jan Customer Duplicate Hyva'!$A:$A,"NOT FOUND")</f>
        <v>CUST-037</v>
      </c>
      <c r="D412" s="11" t="s">
        <v>99</v>
      </c>
      <c r="E412" s="11" t="s">
        <v>26</v>
      </c>
      <c r="F412" s="5" t="str">
        <f t="shared" si="69"/>
        <v>Anshu</v>
      </c>
      <c r="G412" s="5" t="str">
        <f t="shared" si="70"/>
        <v/>
      </c>
      <c r="H412" s="5" t="str">
        <f t="shared" si="71"/>
        <v/>
      </c>
      <c r="I412" s="5" t="str">
        <f>_xlfn.XLOOKUP(F412,'[1]Jan Labour Nd Drivers Hyva'!$B:$B,'[2]Jan Labour Nd Drivers Hyva'!$A:$A,"NOT FOUND")</f>
        <v>LAB-002</v>
      </c>
      <c r="J412" s="5" t="str">
        <f>IF(G412="","",_xlfn.XLOOKUP(G412,'[3]Jan Labour Nd Drivers Hyva'!$B:$B,'[2]Jan Labour Nd Drivers Hyva'!$A:$A,"NOT FOUND"))</f>
        <v/>
      </c>
      <c r="K412" s="5" t="str">
        <f>IF(H412="","",_xlfn.XLOOKUP(H412,'[2]Jan Labour Nd Drivers Hyva'!$B:$B,'[2]Jan Labour Nd Drivers Hyva'!$A:$A,"NOT FOUND"))</f>
        <v/>
      </c>
      <c r="L412" s="11" t="s">
        <v>311</v>
      </c>
      <c r="M412" s="12">
        <v>1</v>
      </c>
      <c r="N412" s="13">
        <v>25000</v>
      </c>
      <c r="O412" s="8">
        <f t="shared" si="72"/>
        <v>25000</v>
      </c>
      <c r="P412" s="13"/>
      <c r="Q412" s="7">
        <f t="shared" si="78"/>
        <v>25000</v>
      </c>
      <c r="R412" t="str">
        <f t="shared" si="73"/>
        <v>UNPAID</v>
      </c>
      <c r="S412" s="3"/>
      <c r="T412" s="9">
        <f t="shared" si="74"/>
        <v>25000</v>
      </c>
      <c r="U412" t="str">
        <f t="shared" si="75"/>
        <v>OK</v>
      </c>
      <c r="V412" s="10">
        <f t="shared" si="76"/>
        <v>25000</v>
      </c>
      <c r="W412" t="str">
        <f t="shared" si="77"/>
        <v>OK</v>
      </c>
      <c r="X412" s="3" t="s">
        <v>28</v>
      </c>
      <c r="Y412" t="s">
        <v>29</v>
      </c>
    </row>
    <row r="413" spans="1:25" x14ac:dyDescent="0.2">
      <c r="A413" t="str">
        <f t="shared" si="68"/>
        <v>TRIP-461</v>
      </c>
      <c r="B413" s="2">
        <v>45978</v>
      </c>
      <c r="C413" s="3" t="str">
        <f>_xlfn.XLOOKUP(D413,'[1]Jan Customer Duplicate Hyva'!$B:$B,'[1]Jan Customer Duplicate Hyva'!$A:$A,"NOT FOUND")</f>
        <v>CUST-143</v>
      </c>
      <c r="D413" s="11" t="s">
        <v>290</v>
      </c>
      <c r="E413" s="11" t="s">
        <v>309</v>
      </c>
      <c r="F413" s="5" t="str">
        <f t="shared" si="69"/>
        <v>Santosh</v>
      </c>
      <c r="G413" s="5" t="str">
        <f t="shared" si="70"/>
        <v/>
      </c>
      <c r="H413" s="5" t="str">
        <f t="shared" si="71"/>
        <v/>
      </c>
      <c r="I413" s="5" t="str">
        <f>_xlfn.XLOOKUP(F413,'[1]Jan Labour Nd Drivers Hyva'!$B:$B,'[2]Jan Labour Nd Drivers Hyva'!$A:$A,"NOT FOUND")</f>
        <v>LAB-009</v>
      </c>
      <c r="J413" s="5" t="str">
        <f>IF(G413="","",_xlfn.XLOOKUP(G413,'[3]Jan Labour Nd Drivers Hyva'!$B:$B,'[2]Jan Labour Nd Drivers Hyva'!$A:$A,"NOT FOUND"))</f>
        <v/>
      </c>
      <c r="K413" s="5" t="str">
        <f>IF(H413="","",_xlfn.XLOOKUP(H413,'[2]Jan Labour Nd Drivers Hyva'!$B:$B,'[2]Jan Labour Nd Drivers Hyva'!$A:$A,"NOT FOUND"))</f>
        <v/>
      </c>
      <c r="L413" s="11" t="s">
        <v>312</v>
      </c>
      <c r="M413" s="12">
        <v>1</v>
      </c>
      <c r="N413" s="13">
        <v>28000</v>
      </c>
      <c r="O413" s="8">
        <f t="shared" si="72"/>
        <v>28000</v>
      </c>
      <c r="P413" s="13">
        <v>28000</v>
      </c>
      <c r="Q413" s="7">
        <f t="shared" si="78"/>
        <v>0</v>
      </c>
      <c r="R413" t="str">
        <f t="shared" si="73"/>
        <v>PAID</v>
      </c>
      <c r="S413" s="3"/>
      <c r="T413" s="9">
        <f t="shared" si="74"/>
        <v>28000</v>
      </c>
      <c r="U413" t="str">
        <f t="shared" si="75"/>
        <v>OK</v>
      </c>
      <c r="V413" s="10">
        <f t="shared" si="76"/>
        <v>0</v>
      </c>
      <c r="W413" t="str">
        <f t="shared" si="77"/>
        <v>OK</v>
      </c>
      <c r="X413" s="3" t="s">
        <v>28</v>
      </c>
      <c r="Y413" t="s">
        <v>29</v>
      </c>
    </row>
    <row r="414" spans="1:25" x14ac:dyDescent="0.2">
      <c r="A414" t="str">
        <f t="shared" si="68"/>
        <v>TRIP-462</v>
      </c>
      <c r="B414" s="2">
        <v>45979</v>
      </c>
      <c r="C414" s="3" t="str">
        <f>_xlfn.XLOOKUP(D414,'[1]Jan Customer Duplicate Hyva'!$B:$B,'[1]Jan Customer Duplicate Hyva'!$A:$A,"NOT FOUND")</f>
        <v>CUST-037</v>
      </c>
      <c r="D414" s="11" t="s">
        <v>99</v>
      </c>
      <c r="E414" s="11" t="s">
        <v>313</v>
      </c>
      <c r="F414" s="5" t="str">
        <f t="shared" si="69"/>
        <v>Anshu</v>
      </c>
      <c r="G414" s="5" t="str">
        <f t="shared" si="70"/>
        <v>Santosh</v>
      </c>
      <c r="H414" s="5" t="str">
        <f t="shared" si="71"/>
        <v/>
      </c>
      <c r="I414" s="5" t="str">
        <f>_xlfn.XLOOKUP(F414,'[1]Jan Labour Nd Drivers Hyva'!$B:$B,'[2]Jan Labour Nd Drivers Hyva'!$A:$A,"NOT FOUND")</f>
        <v>LAB-002</v>
      </c>
      <c r="J414" s="5" t="str">
        <f>IF(G414="","",_xlfn.XLOOKUP(G414,'[3]Jan Labour Nd Drivers Hyva'!$B:$B,'[2]Jan Labour Nd Drivers Hyva'!$A:$A,"NOT FOUND"))</f>
        <v>LAB-009</v>
      </c>
      <c r="K414" s="5" t="str">
        <f>IF(H414="","",_xlfn.XLOOKUP(H414,'[2]Jan Labour Nd Drivers Hyva'!$B:$B,'[2]Jan Labour Nd Drivers Hyva'!$A:$A,"NOT FOUND"))</f>
        <v/>
      </c>
      <c r="L414" s="11" t="s">
        <v>314</v>
      </c>
      <c r="M414" s="12">
        <v>2</v>
      </c>
      <c r="N414" s="13">
        <v>25000</v>
      </c>
      <c r="O414" s="8">
        <f t="shared" si="72"/>
        <v>50000</v>
      </c>
      <c r="P414" s="13"/>
      <c r="Q414" s="7">
        <f t="shared" si="78"/>
        <v>50000</v>
      </c>
      <c r="R414" t="str">
        <f t="shared" si="73"/>
        <v>UNPAID</v>
      </c>
      <c r="S414" s="3"/>
      <c r="T414" s="9">
        <f t="shared" si="74"/>
        <v>50000</v>
      </c>
      <c r="U414" t="str">
        <f t="shared" si="75"/>
        <v>OK</v>
      </c>
      <c r="V414" s="10">
        <f t="shared" si="76"/>
        <v>50000</v>
      </c>
      <c r="W414" t="str">
        <f t="shared" si="77"/>
        <v>OK</v>
      </c>
      <c r="X414" s="3" t="s">
        <v>28</v>
      </c>
      <c r="Y414" t="s">
        <v>29</v>
      </c>
    </row>
    <row r="415" spans="1:25" x14ac:dyDescent="0.2">
      <c r="A415" t="str">
        <f t="shared" si="68"/>
        <v>TRIP-463</v>
      </c>
      <c r="B415" s="2">
        <v>45979</v>
      </c>
      <c r="C415" s="3" t="str">
        <f>_xlfn.XLOOKUP(D415,'[1]Jan Customer Duplicate Hyva'!$B:$B,'[1]Jan Customer Duplicate Hyva'!$A:$A,"NOT FOUND")</f>
        <v>NOT FOUND</v>
      </c>
      <c r="D415" s="11" t="s">
        <v>315</v>
      </c>
      <c r="E415" s="11" t="s">
        <v>30</v>
      </c>
      <c r="F415" s="5" t="str">
        <f t="shared" si="69"/>
        <v>Ravi</v>
      </c>
      <c r="G415" s="5" t="str">
        <f t="shared" si="70"/>
        <v/>
      </c>
      <c r="H415" s="5" t="str">
        <f t="shared" si="71"/>
        <v/>
      </c>
      <c r="I415" s="5" t="str">
        <f>_xlfn.XLOOKUP(F415,'[1]Jan Labour Nd Drivers Hyva'!$B:$B,'[2]Jan Labour Nd Drivers Hyva'!$A:$A,"NOT FOUND")</f>
        <v>LAB-003</v>
      </c>
      <c r="J415" s="5" t="str">
        <f>IF(G415="","",_xlfn.XLOOKUP(G415,'[3]Jan Labour Nd Drivers Hyva'!$B:$B,'[2]Jan Labour Nd Drivers Hyva'!$A:$A,"NOT FOUND"))</f>
        <v/>
      </c>
      <c r="K415" s="5" t="str">
        <f>IF(H415="","",_xlfn.XLOOKUP(H415,'[2]Jan Labour Nd Drivers Hyva'!$B:$B,'[2]Jan Labour Nd Drivers Hyva'!$A:$A,"NOT FOUND"))</f>
        <v/>
      </c>
      <c r="L415" s="11" t="s">
        <v>280</v>
      </c>
      <c r="M415" s="12">
        <v>1</v>
      </c>
      <c r="N415" s="13">
        <v>34000</v>
      </c>
      <c r="O415" s="8">
        <f t="shared" si="72"/>
        <v>34000</v>
      </c>
      <c r="P415" s="13"/>
      <c r="Q415" s="7">
        <f t="shared" si="78"/>
        <v>34000</v>
      </c>
      <c r="R415" t="str">
        <f t="shared" si="73"/>
        <v>UNPAID</v>
      </c>
      <c r="S415" s="3"/>
      <c r="T415" s="9">
        <f t="shared" si="74"/>
        <v>34000</v>
      </c>
      <c r="U415" t="str">
        <f t="shared" si="75"/>
        <v>OK</v>
      </c>
      <c r="V415" s="10">
        <f t="shared" si="76"/>
        <v>34000</v>
      </c>
      <c r="W415" t="str">
        <f t="shared" si="77"/>
        <v>OK</v>
      </c>
      <c r="X415" s="3" t="s">
        <v>28</v>
      </c>
      <c r="Y415" t="s">
        <v>29</v>
      </c>
    </row>
    <row r="416" spans="1:25" x14ac:dyDescent="0.2">
      <c r="A416" t="str">
        <f t="shared" si="68"/>
        <v>TRIP-464</v>
      </c>
      <c r="B416" s="2">
        <v>45980</v>
      </c>
      <c r="C416" s="3" t="str">
        <f>_xlfn.XLOOKUP(D416,'[1]Jan Customer Duplicate Hyva'!$B:$B,'[1]Jan Customer Duplicate Hyva'!$A:$A,"NOT FOUND")</f>
        <v>CUST-037</v>
      </c>
      <c r="D416" s="11" t="s">
        <v>99</v>
      </c>
      <c r="E416" s="11" t="s">
        <v>30</v>
      </c>
      <c r="F416" s="5" t="str">
        <f t="shared" si="69"/>
        <v>Ravi</v>
      </c>
      <c r="G416" s="5" t="str">
        <f t="shared" si="70"/>
        <v/>
      </c>
      <c r="H416" s="5" t="str">
        <f t="shared" si="71"/>
        <v/>
      </c>
      <c r="I416" s="5" t="str">
        <f>_xlfn.XLOOKUP(F416,'[1]Jan Labour Nd Drivers Hyva'!$B:$B,'[2]Jan Labour Nd Drivers Hyva'!$A:$A,"NOT FOUND")</f>
        <v>LAB-003</v>
      </c>
      <c r="J416" s="5" t="str">
        <f>IF(G416="","",_xlfn.XLOOKUP(G416,'[3]Jan Labour Nd Drivers Hyva'!$B:$B,'[2]Jan Labour Nd Drivers Hyva'!$A:$A,"NOT FOUND"))</f>
        <v/>
      </c>
      <c r="K416" s="5" t="str">
        <f>IF(H416="","",_xlfn.XLOOKUP(H416,'[2]Jan Labour Nd Drivers Hyva'!$B:$B,'[2]Jan Labour Nd Drivers Hyva'!$A:$A,"NOT FOUND"))</f>
        <v/>
      </c>
      <c r="L416" s="11" t="s">
        <v>316</v>
      </c>
      <c r="M416" s="12">
        <v>2</v>
      </c>
      <c r="N416" s="13">
        <v>22000</v>
      </c>
      <c r="O416" s="8">
        <f t="shared" si="72"/>
        <v>44000</v>
      </c>
      <c r="P416" s="13"/>
      <c r="Q416" s="7">
        <f t="shared" si="78"/>
        <v>44000</v>
      </c>
      <c r="R416" t="str">
        <f t="shared" si="73"/>
        <v>UNPAID</v>
      </c>
      <c r="S416" s="3"/>
      <c r="T416" s="9">
        <f t="shared" si="74"/>
        <v>44000</v>
      </c>
      <c r="U416" t="str">
        <f t="shared" si="75"/>
        <v>OK</v>
      </c>
      <c r="V416" s="10">
        <f t="shared" si="76"/>
        <v>44000</v>
      </c>
      <c r="W416" t="str">
        <f t="shared" si="77"/>
        <v>OK</v>
      </c>
      <c r="X416" s="3" t="s">
        <v>28</v>
      </c>
      <c r="Y416" t="s">
        <v>29</v>
      </c>
    </row>
    <row r="417" spans="1:25" x14ac:dyDescent="0.2">
      <c r="A417" t="str">
        <f t="shared" si="68"/>
        <v>TRIP-465</v>
      </c>
      <c r="B417" s="2">
        <v>45982</v>
      </c>
      <c r="C417" s="3" t="str">
        <f>_xlfn.XLOOKUP(D417,'[1]Jan Customer Duplicate Hyva'!$B:$B,'[1]Jan Customer Duplicate Hyva'!$A:$A,"NOT FOUND")</f>
        <v>CUST-255</v>
      </c>
      <c r="D417" s="11" t="s">
        <v>75</v>
      </c>
      <c r="E417" s="11" t="s">
        <v>30</v>
      </c>
      <c r="F417" s="5" t="str">
        <f t="shared" si="69"/>
        <v>Ravi</v>
      </c>
      <c r="G417" s="5" t="str">
        <f t="shared" si="70"/>
        <v/>
      </c>
      <c r="H417" s="5" t="str">
        <f t="shared" si="71"/>
        <v/>
      </c>
      <c r="I417" s="5" t="str">
        <f>_xlfn.XLOOKUP(F417,'[1]Jan Labour Nd Drivers Hyva'!$B:$B,'[2]Jan Labour Nd Drivers Hyva'!$A:$A,"NOT FOUND")</f>
        <v>LAB-003</v>
      </c>
      <c r="J417" s="5" t="str">
        <f>IF(G417="","",_xlfn.XLOOKUP(G417,'[3]Jan Labour Nd Drivers Hyva'!$B:$B,'[2]Jan Labour Nd Drivers Hyva'!$A:$A,"NOT FOUND"))</f>
        <v/>
      </c>
      <c r="K417" s="5" t="str">
        <f>IF(H417="","",_xlfn.XLOOKUP(H417,'[2]Jan Labour Nd Drivers Hyva'!$B:$B,'[2]Jan Labour Nd Drivers Hyva'!$A:$A,"NOT FOUND"))</f>
        <v/>
      </c>
      <c r="L417" s="11" t="s">
        <v>116</v>
      </c>
      <c r="M417" s="12">
        <v>2</v>
      </c>
      <c r="N417" s="13">
        <v>26000</v>
      </c>
      <c r="O417" s="8">
        <f t="shared" si="72"/>
        <v>52000</v>
      </c>
      <c r="P417" s="13">
        <v>52000</v>
      </c>
      <c r="Q417" s="7">
        <f t="shared" si="78"/>
        <v>0</v>
      </c>
      <c r="R417" t="str">
        <f t="shared" si="73"/>
        <v>PAID</v>
      </c>
      <c r="S417" s="3"/>
      <c r="T417" s="9">
        <f t="shared" si="74"/>
        <v>52000</v>
      </c>
      <c r="U417" t="str">
        <f t="shared" si="75"/>
        <v>OK</v>
      </c>
      <c r="V417" s="10">
        <f t="shared" si="76"/>
        <v>0</v>
      </c>
      <c r="W417" t="str">
        <f t="shared" si="77"/>
        <v>OK</v>
      </c>
      <c r="X417" s="3" t="s">
        <v>28</v>
      </c>
      <c r="Y417" t="s">
        <v>29</v>
      </c>
    </row>
    <row r="418" spans="1:25" x14ac:dyDescent="0.2">
      <c r="A418" t="str">
        <f t="shared" si="68"/>
        <v>TRIP-466</v>
      </c>
      <c r="B418" s="2">
        <v>45983</v>
      </c>
      <c r="C418" s="3" t="str">
        <f>_xlfn.XLOOKUP(D418,'[1]Jan Customer Duplicate Hyva'!$B:$B,'[1]Jan Customer Duplicate Hyva'!$A:$A,"NOT FOUND")</f>
        <v>CUST-009</v>
      </c>
      <c r="D418" s="11" t="s">
        <v>317</v>
      </c>
      <c r="E418" s="11" t="s">
        <v>30</v>
      </c>
      <c r="F418" s="5" t="str">
        <f t="shared" si="69"/>
        <v>Ravi</v>
      </c>
      <c r="G418" s="5" t="str">
        <f t="shared" si="70"/>
        <v/>
      </c>
      <c r="H418" s="5" t="str">
        <f t="shared" si="71"/>
        <v/>
      </c>
      <c r="I418" s="5" t="str">
        <f>_xlfn.XLOOKUP(F418,'[1]Jan Labour Nd Drivers Hyva'!$B:$B,'[2]Jan Labour Nd Drivers Hyva'!$A:$A,"NOT FOUND")</f>
        <v>LAB-003</v>
      </c>
      <c r="J418" s="5" t="str">
        <f>IF(G418="","",_xlfn.XLOOKUP(G418,'[3]Jan Labour Nd Drivers Hyva'!$B:$B,'[2]Jan Labour Nd Drivers Hyva'!$A:$A,"NOT FOUND"))</f>
        <v/>
      </c>
      <c r="K418" s="5" t="str">
        <f>IF(H418="","",_xlfn.XLOOKUP(H418,'[2]Jan Labour Nd Drivers Hyva'!$B:$B,'[2]Jan Labour Nd Drivers Hyva'!$A:$A,"NOT FOUND"))</f>
        <v/>
      </c>
      <c r="L418" s="11" t="s">
        <v>33</v>
      </c>
      <c r="M418" s="12">
        <v>1</v>
      </c>
      <c r="N418" s="13">
        <v>0</v>
      </c>
      <c r="O418" s="8">
        <f t="shared" si="72"/>
        <v>0</v>
      </c>
      <c r="P418" s="13"/>
      <c r="Q418" s="7">
        <f t="shared" si="78"/>
        <v>0</v>
      </c>
      <c r="R418" t="str">
        <f t="shared" si="73"/>
        <v>PAID</v>
      </c>
      <c r="S418" s="3"/>
      <c r="T418" s="9">
        <f t="shared" si="74"/>
        <v>0</v>
      </c>
      <c r="U418" t="str">
        <f t="shared" si="75"/>
        <v>OK</v>
      </c>
      <c r="V418" s="10">
        <f t="shared" si="76"/>
        <v>0</v>
      </c>
      <c r="W418" t="str">
        <f t="shared" si="77"/>
        <v>OK</v>
      </c>
      <c r="X418" s="3" t="s">
        <v>28</v>
      </c>
      <c r="Y418" t="s">
        <v>29</v>
      </c>
    </row>
    <row r="419" spans="1:25" x14ac:dyDescent="0.2">
      <c r="A419" t="str">
        <f t="shared" si="68"/>
        <v>TRIP-467</v>
      </c>
      <c r="B419" s="2">
        <v>45984</v>
      </c>
      <c r="C419" s="3" t="str">
        <f>_xlfn.XLOOKUP(D419,'[1]Jan Customer Duplicate Hyva'!$B:$B,'[1]Jan Customer Duplicate Hyva'!$A:$A,"NOT FOUND")</f>
        <v>CUST-003</v>
      </c>
      <c r="D419" s="11" t="s">
        <v>318</v>
      </c>
      <c r="E419" s="11" t="s">
        <v>30</v>
      </c>
      <c r="F419" s="5" t="str">
        <f t="shared" si="69"/>
        <v>Ravi</v>
      </c>
      <c r="G419" s="5" t="str">
        <f t="shared" si="70"/>
        <v/>
      </c>
      <c r="H419" s="5" t="str">
        <f t="shared" si="71"/>
        <v/>
      </c>
      <c r="I419" s="5" t="str">
        <f>_xlfn.XLOOKUP(F419,'[1]Jan Labour Nd Drivers Hyva'!$B:$B,'[2]Jan Labour Nd Drivers Hyva'!$A:$A,"NOT FOUND")</f>
        <v>LAB-003</v>
      </c>
      <c r="J419" s="5" t="str">
        <f>IF(G419="","",_xlfn.XLOOKUP(G419,'[3]Jan Labour Nd Drivers Hyva'!$B:$B,'[2]Jan Labour Nd Drivers Hyva'!$A:$A,"NOT FOUND"))</f>
        <v/>
      </c>
      <c r="K419" s="5" t="str">
        <f>IF(H419="","",_xlfn.XLOOKUP(H419,'[2]Jan Labour Nd Drivers Hyva'!$B:$B,'[2]Jan Labour Nd Drivers Hyva'!$A:$A,"NOT FOUND"))</f>
        <v/>
      </c>
      <c r="L419" s="11" t="s">
        <v>319</v>
      </c>
      <c r="M419" s="12">
        <v>1</v>
      </c>
      <c r="N419" s="13">
        <v>25000</v>
      </c>
      <c r="O419" s="8">
        <f t="shared" si="72"/>
        <v>25000</v>
      </c>
      <c r="P419" s="13">
        <v>25000</v>
      </c>
      <c r="Q419" s="7">
        <f t="shared" si="78"/>
        <v>0</v>
      </c>
      <c r="R419" t="str">
        <f t="shared" si="73"/>
        <v>PAID</v>
      </c>
      <c r="S419" s="3"/>
      <c r="T419" s="9">
        <f t="shared" si="74"/>
        <v>25000</v>
      </c>
      <c r="U419" t="str">
        <f t="shared" si="75"/>
        <v>OK</v>
      </c>
      <c r="V419" s="10">
        <f t="shared" si="76"/>
        <v>0</v>
      </c>
      <c r="W419" t="str">
        <f t="shared" si="77"/>
        <v>OK</v>
      </c>
      <c r="X419" s="3" t="s">
        <v>28</v>
      </c>
      <c r="Y419" t="s">
        <v>29</v>
      </c>
    </row>
    <row r="420" spans="1:25" x14ac:dyDescent="0.2">
      <c r="A420" t="str">
        <f t="shared" si="68"/>
        <v>TRIP-468</v>
      </c>
      <c r="B420" s="2">
        <v>45985</v>
      </c>
      <c r="C420" s="3" t="str">
        <f>_xlfn.XLOOKUP(D420,'[1]Jan Customer Duplicate Hyva'!$B:$B,'[1]Jan Customer Duplicate Hyva'!$A:$A,"NOT FOUND")</f>
        <v>CUST-011</v>
      </c>
      <c r="D420" s="11" t="s">
        <v>35</v>
      </c>
      <c r="E420" s="11" t="s">
        <v>30</v>
      </c>
      <c r="F420" s="5" t="str">
        <f t="shared" si="69"/>
        <v>Ravi</v>
      </c>
      <c r="G420" s="5" t="str">
        <f t="shared" si="70"/>
        <v/>
      </c>
      <c r="H420" s="5" t="str">
        <f t="shared" si="71"/>
        <v/>
      </c>
      <c r="I420" s="5" t="str">
        <f>_xlfn.XLOOKUP(F420,'[1]Jan Labour Nd Drivers Hyva'!$B:$B,'[2]Jan Labour Nd Drivers Hyva'!$A:$A,"NOT FOUND")</f>
        <v>LAB-003</v>
      </c>
      <c r="J420" s="5" t="str">
        <f>IF(G420="","",_xlfn.XLOOKUP(G420,'[3]Jan Labour Nd Drivers Hyva'!$B:$B,'[2]Jan Labour Nd Drivers Hyva'!$A:$A,"NOT FOUND"))</f>
        <v/>
      </c>
      <c r="K420" s="5" t="str">
        <f>IF(H420="","",_xlfn.XLOOKUP(H420,'[2]Jan Labour Nd Drivers Hyva'!$B:$B,'[2]Jan Labour Nd Drivers Hyva'!$A:$A,"NOT FOUND"))</f>
        <v/>
      </c>
      <c r="L420" s="11" t="s">
        <v>302</v>
      </c>
      <c r="M420" s="12">
        <v>2</v>
      </c>
      <c r="N420" s="13">
        <v>22000</v>
      </c>
      <c r="O420" s="8">
        <f t="shared" si="72"/>
        <v>44000</v>
      </c>
      <c r="P420" s="13"/>
      <c r="Q420" s="7">
        <f t="shared" si="78"/>
        <v>44000</v>
      </c>
      <c r="R420" t="str">
        <f t="shared" si="73"/>
        <v>UNPAID</v>
      </c>
      <c r="S420" s="3"/>
      <c r="T420" s="9">
        <f t="shared" si="74"/>
        <v>44000</v>
      </c>
      <c r="U420" t="str">
        <f t="shared" si="75"/>
        <v>OK</v>
      </c>
      <c r="V420" s="10">
        <f t="shared" si="76"/>
        <v>44000</v>
      </c>
      <c r="W420" t="str">
        <f t="shared" si="77"/>
        <v>OK</v>
      </c>
      <c r="X420" s="3" t="s">
        <v>28</v>
      </c>
      <c r="Y420" t="s">
        <v>29</v>
      </c>
    </row>
    <row r="421" spans="1:25" x14ac:dyDescent="0.2">
      <c r="A421" t="str">
        <f t="shared" si="68"/>
        <v>TRIP-469</v>
      </c>
      <c r="B421" s="2">
        <v>45986</v>
      </c>
      <c r="C421" s="3" t="str">
        <f>_xlfn.XLOOKUP(D421,'[1]Jan Customer Duplicate Hyva'!$B:$B,'[1]Jan Customer Duplicate Hyva'!$A:$A,"NOT FOUND")</f>
        <v>NOT FOUND</v>
      </c>
      <c r="D421" s="11" t="s">
        <v>320</v>
      </c>
      <c r="E421" s="11" t="s">
        <v>309</v>
      </c>
      <c r="F421" s="5" t="str">
        <f t="shared" si="69"/>
        <v>Santosh</v>
      </c>
      <c r="G421" s="5" t="str">
        <f t="shared" si="70"/>
        <v/>
      </c>
      <c r="H421" s="5" t="str">
        <f t="shared" si="71"/>
        <v/>
      </c>
      <c r="I421" s="5" t="str">
        <f>_xlfn.XLOOKUP(F421,'[1]Jan Labour Nd Drivers Hyva'!$B:$B,'[2]Jan Labour Nd Drivers Hyva'!$A:$A,"NOT FOUND")</f>
        <v>LAB-009</v>
      </c>
      <c r="J421" s="5" t="str">
        <f>IF(G421="","",_xlfn.XLOOKUP(G421,'[3]Jan Labour Nd Drivers Hyva'!$B:$B,'[2]Jan Labour Nd Drivers Hyva'!$A:$A,"NOT FOUND"))</f>
        <v/>
      </c>
      <c r="K421" s="5" t="str">
        <f>IF(H421="","",_xlfn.XLOOKUP(H421,'[2]Jan Labour Nd Drivers Hyva'!$B:$B,'[2]Jan Labour Nd Drivers Hyva'!$A:$A,"NOT FOUND"))</f>
        <v/>
      </c>
      <c r="L421" s="11" t="s">
        <v>33</v>
      </c>
      <c r="M421" s="12">
        <v>1</v>
      </c>
      <c r="N421" s="13">
        <v>26000</v>
      </c>
      <c r="O421" s="8">
        <f t="shared" si="72"/>
        <v>26000</v>
      </c>
      <c r="P421" s="13">
        <v>26000</v>
      </c>
      <c r="Q421" s="7">
        <f t="shared" si="78"/>
        <v>0</v>
      </c>
      <c r="R421" t="str">
        <f t="shared" si="73"/>
        <v>PAID</v>
      </c>
      <c r="S421" s="3"/>
      <c r="T421" s="9">
        <f t="shared" si="74"/>
        <v>26000</v>
      </c>
      <c r="U421" t="str">
        <f t="shared" si="75"/>
        <v>OK</v>
      </c>
      <c r="V421" s="10">
        <f t="shared" si="76"/>
        <v>0</v>
      </c>
      <c r="W421" t="str">
        <f t="shared" si="77"/>
        <v>OK</v>
      </c>
      <c r="X421" s="3" t="s">
        <v>28</v>
      </c>
      <c r="Y421" t="s">
        <v>29</v>
      </c>
    </row>
    <row r="422" spans="1:25" x14ac:dyDescent="0.2">
      <c r="A422" t="str">
        <f t="shared" si="68"/>
        <v>TRIP-470</v>
      </c>
      <c r="B422" s="2">
        <v>45986</v>
      </c>
      <c r="C422" s="3" t="str">
        <f>_xlfn.XLOOKUP(D422,'[1]Jan Customer Duplicate Hyva'!$B:$B,'[1]Jan Customer Duplicate Hyva'!$A:$A,"NOT FOUND")</f>
        <v>CUST-037</v>
      </c>
      <c r="D422" s="11" t="s">
        <v>99</v>
      </c>
      <c r="E422" s="11" t="s">
        <v>30</v>
      </c>
      <c r="F422" s="5" t="str">
        <f t="shared" si="69"/>
        <v>Ravi</v>
      </c>
      <c r="G422" s="5" t="str">
        <f t="shared" si="70"/>
        <v/>
      </c>
      <c r="H422" s="5" t="str">
        <f t="shared" si="71"/>
        <v/>
      </c>
      <c r="I422" s="5" t="str">
        <f>_xlfn.XLOOKUP(F422,'[1]Jan Labour Nd Drivers Hyva'!$B:$B,'[2]Jan Labour Nd Drivers Hyva'!$A:$A,"NOT FOUND")</f>
        <v>LAB-003</v>
      </c>
      <c r="J422" s="5" t="str">
        <f>IF(G422="","",_xlfn.XLOOKUP(G422,'[3]Jan Labour Nd Drivers Hyva'!$B:$B,'[2]Jan Labour Nd Drivers Hyva'!$A:$A,"NOT FOUND"))</f>
        <v/>
      </c>
      <c r="K422" s="5" t="str">
        <f>IF(H422="","",_xlfn.XLOOKUP(H422,'[2]Jan Labour Nd Drivers Hyva'!$B:$B,'[2]Jan Labour Nd Drivers Hyva'!$A:$A,"NOT FOUND"))</f>
        <v/>
      </c>
      <c r="L422" s="11" t="s">
        <v>321</v>
      </c>
      <c r="M422" s="12">
        <v>1</v>
      </c>
      <c r="N422" s="13">
        <v>22000</v>
      </c>
      <c r="O422" s="8">
        <f t="shared" si="72"/>
        <v>22000</v>
      </c>
      <c r="P422" s="13"/>
      <c r="Q422" s="7">
        <f t="shared" si="78"/>
        <v>22000</v>
      </c>
      <c r="R422" t="str">
        <f t="shared" si="73"/>
        <v>UNPAID</v>
      </c>
      <c r="S422" s="3"/>
      <c r="T422" s="9">
        <f t="shared" si="74"/>
        <v>22000</v>
      </c>
      <c r="U422" t="str">
        <f t="shared" si="75"/>
        <v>OK</v>
      </c>
      <c r="V422" s="10">
        <f t="shared" si="76"/>
        <v>22000</v>
      </c>
      <c r="W422" t="str">
        <f t="shared" si="77"/>
        <v>OK</v>
      </c>
      <c r="X422" s="3" t="s">
        <v>28</v>
      </c>
      <c r="Y422" t="s">
        <v>29</v>
      </c>
    </row>
    <row r="423" spans="1:25" x14ac:dyDescent="0.2">
      <c r="A423" t="str">
        <f t="shared" si="68"/>
        <v>TRIP-471</v>
      </c>
      <c r="B423" s="2">
        <v>45986</v>
      </c>
      <c r="C423" s="3" t="str">
        <f>_xlfn.XLOOKUP(D423,'[1]Jan Customer Duplicate Hyva'!$B:$B,'[1]Jan Customer Duplicate Hyva'!$A:$A,"NOT FOUND")</f>
        <v>CUST-037</v>
      </c>
      <c r="D423" s="11" t="s">
        <v>99</v>
      </c>
      <c r="E423" s="11" t="s">
        <v>30</v>
      </c>
      <c r="F423" s="5" t="str">
        <f t="shared" si="69"/>
        <v>Ravi</v>
      </c>
      <c r="G423" s="5" t="str">
        <f t="shared" si="70"/>
        <v/>
      </c>
      <c r="H423" s="5" t="str">
        <f t="shared" si="71"/>
        <v/>
      </c>
      <c r="I423" s="5" t="str">
        <f>_xlfn.XLOOKUP(F423,'[1]Jan Labour Nd Drivers Hyva'!$B:$B,'[2]Jan Labour Nd Drivers Hyva'!$A:$A,"NOT FOUND")</f>
        <v>LAB-003</v>
      </c>
      <c r="J423" s="5" t="str">
        <f>IF(G423="","",_xlfn.XLOOKUP(G423,'[3]Jan Labour Nd Drivers Hyva'!$B:$B,'[2]Jan Labour Nd Drivers Hyva'!$A:$A,"NOT FOUND"))</f>
        <v/>
      </c>
      <c r="K423" s="5" t="str">
        <f>IF(H423="","",_xlfn.XLOOKUP(H423,'[2]Jan Labour Nd Drivers Hyva'!$B:$B,'[2]Jan Labour Nd Drivers Hyva'!$A:$A,"NOT FOUND"))</f>
        <v/>
      </c>
      <c r="L423" s="11" t="s">
        <v>316</v>
      </c>
      <c r="M423" s="12">
        <v>1</v>
      </c>
      <c r="N423" s="13">
        <v>22000</v>
      </c>
      <c r="O423" s="8">
        <f t="shared" si="72"/>
        <v>22000</v>
      </c>
      <c r="P423" s="13"/>
      <c r="Q423" s="7">
        <f t="shared" si="78"/>
        <v>22000</v>
      </c>
      <c r="R423" t="str">
        <f t="shared" si="73"/>
        <v>UNPAID</v>
      </c>
      <c r="S423" s="3"/>
      <c r="T423" s="9">
        <f t="shared" si="74"/>
        <v>22000</v>
      </c>
      <c r="U423" t="str">
        <f t="shared" si="75"/>
        <v>OK</v>
      </c>
      <c r="V423" s="10">
        <f t="shared" si="76"/>
        <v>22000</v>
      </c>
      <c r="W423" t="str">
        <f t="shared" si="77"/>
        <v>OK</v>
      </c>
      <c r="X423" s="3" t="s">
        <v>28</v>
      </c>
      <c r="Y423" t="s">
        <v>29</v>
      </c>
    </row>
    <row r="424" spans="1:25" x14ac:dyDescent="0.2">
      <c r="A424" t="str">
        <f t="shared" si="68"/>
        <v>TRIP-472</v>
      </c>
      <c r="B424" s="2">
        <v>45986</v>
      </c>
      <c r="C424" s="3" t="str">
        <f>_xlfn.XLOOKUP(D424,'[1]Jan Customer Duplicate Hyva'!$B:$B,'[1]Jan Customer Duplicate Hyva'!$A:$A,"NOT FOUND")</f>
        <v>CUST-255</v>
      </c>
      <c r="D424" s="11" t="s">
        <v>75</v>
      </c>
      <c r="E424" s="11" t="s">
        <v>30</v>
      </c>
      <c r="F424" s="5" t="str">
        <f t="shared" si="69"/>
        <v>Ravi</v>
      </c>
      <c r="G424" s="5" t="str">
        <f t="shared" si="70"/>
        <v/>
      </c>
      <c r="H424" s="5" t="str">
        <f t="shared" si="71"/>
        <v/>
      </c>
      <c r="I424" s="5" t="str">
        <f>_xlfn.XLOOKUP(F424,'[1]Jan Labour Nd Drivers Hyva'!$B:$B,'[2]Jan Labour Nd Drivers Hyva'!$A:$A,"NOT FOUND")</f>
        <v>LAB-003</v>
      </c>
      <c r="J424" s="5" t="str">
        <f>IF(G424="","",_xlfn.XLOOKUP(G424,'[3]Jan Labour Nd Drivers Hyva'!$B:$B,'[2]Jan Labour Nd Drivers Hyva'!$A:$A,"NOT FOUND"))</f>
        <v/>
      </c>
      <c r="K424" s="5" t="str">
        <f>IF(H424="","",_xlfn.XLOOKUP(H424,'[2]Jan Labour Nd Drivers Hyva'!$B:$B,'[2]Jan Labour Nd Drivers Hyva'!$A:$A,"NOT FOUND"))</f>
        <v/>
      </c>
      <c r="L424" s="11" t="s">
        <v>116</v>
      </c>
      <c r="M424" s="12">
        <v>1</v>
      </c>
      <c r="N424" s="13">
        <v>26000</v>
      </c>
      <c r="O424" s="8">
        <f t="shared" si="72"/>
        <v>26000</v>
      </c>
      <c r="P424" s="13">
        <v>26000</v>
      </c>
      <c r="Q424" s="7">
        <f t="shared" si="78"/>
        <v>0</v>
      </c>
      <c r="R424" t="str">
        <f t="shared" si="73"/>
        <v>PAID</v>
      </c>
      <c r="S424" s="3"/>
      <c r="T424" s="9">
        <f t="shared" si="74"/>
        <v>26000</v>
      </c>
      <c r="U424" t="str">
        <f t="shared" si="75"/>
        <v>OK</v>
      </c>
      <c r="V424" s="10">
        <f t="shared" si="76"/>
        <v>0</v>
      </c>
      <c r="W424" t="str">
        <f t="shared" si="77"/>
        <v>OK</v>
      </c>
      <c r="X424" s="3" t="s">
        <v>28</v>
      </c>
      <c r="Y424" t="s">
        <v>29</v>
      </c>
    </row>
    <row r="425" spans="1:25" x14ac:dyDescent="0.2">
      <c r="A425" t="str">
        <f t="shared" si="68"/>
        <v>TRIP-473</v>
      </c>
      <c r="B425" s="2">
        <v>45987</v>
      </c>
      <c r="C425" s="3" t="str">
        <f>_xlfn.XLOOKUP(D425,'[1]Jan Customer Duplicate Hyva'!$B:$B,'[1]Jan Customer Duplicate Hyva'!$A:$A,"NOT FOUND")</f>
        <v>NOT FOUND</v>
      </c>
      <c r="D425" s="11" t="s">
        <v>322</v>
      </c>
      <c r="E425" s="11" t="s">
        <v>30</v>
      </c>
      <c r="F425" s="5" t="str">
        <f t="shared" si="69"/>
        <v>Ravi</v>
      </c>
      <c r="G425" s="5" t="str">
        <f t="shared" si="70"/>
        <v/>
      </c>
      <c r="H425" s="5" t="str">
        <f t="shared" si="71"/>
        <v/>
      </c>
      <c r="I425" s="5" t="str">
        <f>_xlfn.XLOOKUP(F425,'[1]Jan Labour Nd Drivers Hyva'!$B:$B,'[2]Jan Labour Nd Drivers Hyva'!$A:$A,"NOT FOUND")</f>
        <v>LAB-003</v>
      </c>
      <c r="J425" s="5" t="str">
        <f>IF(G425="","",_xlfn.XLOOKUP(G425,'[3]Jan Labour Nd Drivers Hyva'!$B:$B,'[2]Jan Labour Nd Drivers Hyva'!$A:$A,"NOT FOUND"))</f>
        <v/>
      </c>
      <c r="K425" s="5" t="str">
        <f>IF(H425="","",_xlfn.XLOOKUP(H425,'[2]Jan Labour Nd Drivers Hyva'!$B:$B,'[2]Jan Labour Nd Drivers Hyva'!$A:$A,"NOT FOUND"))</f>
        <v/>
      </c>
      <c r="L425" s="11" t="s">
        <v>322</v>
      </c>
      <c r="M425" s="12">
        <v>1</v>
      </c>
      <c r="N425" s="13">
        <v>0</v>
      </c>
      <c r="O425" s="8">
        <f t="shared" si="72"/>
        <v>0</v>
      </c>
      <c r="P425" s="13"/>
      <c r="Q425" s="7">
        <f t="shared" si="78"/>
        <v>0</v>
      </c>
      <c r="R425" t="str">
        <f t="shared" si="73"/>
        <v>PAID</v>
      </c>
      <c r="S425" s="3"/>
      <c r="T425" s="9">
        <f t="shared" si="74"/>
        <v>0</v>
      </c>
      <c r="U425" t="str">
        <f t="shared" si="75"/>
        <v>OK</v>
      </c>
      <c r="V425" s="10">
        <f t="shared" si="76"/>
        <v>0</v>
      </c>
      <c r="W425" t="str">
        <f t="shared" si="77"/>
        <v>OK</v>
      </c>
      <c r="X425" s="3" t="s">
        <v>28</v>
      </c>
      <c r="Y425" t="s">
        <v>29</v>
      </c>
    </row>
    <row r="426" spans="1:25" x14ac:dyDescent="0.2">
      <c r="A426" t="str">
        <f t="shared" si="68"/>
        <v>TRIP-474</v>
      </c>
      <c r="B426" s="2">
        <v>45987</v>
      </c>
      <c r="C426" s="3" t="str">
        <f>_xlfn.XLOOKUP(D426,'[1]Jan Customer Duplicate Hyva'!$B:$B,'[1]Jan Customer Duplicate Hyva'!$A:$A,"NOT FOUND")</f>
        <v>CUST-120</v>
      </c>
      <c r="D426" s="11" t="s">
        <v>122</v>
      </c>
      <c r="E426" s="11" t="s">
        <v>30</v>
      </c>
      <c r="F426" s="5" t="str">
        <f t="shared" si="69"/>
        <v>Ravi</v>
      </c>
      <c r="G426" s="5" t="str">
        <f t="shared" si="70"/>
        <v/>
      </c>
      <c r="H426" s="5" t="str">
        <f t="shared" si="71"/>
        <v/>
      </c>
      <c r="I426" s="5" t="str">
        <f>_xlfn.XLOOKUP(F426,'[1]Jan Labour Nd Drivers Hyva'!$B:$B,'[2]Jan Labour Nd Drivers Hyva'!$A:$A,"NOT FOUND")</f>
        <v>LAB-003</v>
      </c>
      <c r="J426" s="5" t="str">
        <f>IF(G426="","",_xlfn.XLOOKUP(G426,'[3]Jan Labour Nd Drivers Hyva'!$B:$B,'[2]Jan Labour Nd Drivers Hyva'!$A:$A,"NOT FOUND"))</f>
        <v/>
      </c>
      <c r="K426" s="5" t="str">
        <f>IF(H426="","",_xlfn.XLOOKUP(H426,'[2]Jan Labour Nd Drivers Hyva'!$B:$B,'[2]Jan Labour Nd Drivers Hyva'!$A:$A,"NOT FOUND"))</f>
        <v/>
      </c>
      <c r="L426" s="11" t="s">
        <v>142</v>
      </c>
      <c r="M426" s="12">
        <v>1</v>
      </c>
      <c r="N426" s="13">
        <v>25000</v>
      </c>
      <c r="O426" s="8">
        <f t="shared" si="72"/>
        <v>25000</v>
      </c>
      <c r="P426" s="13">
        <v>25000</v>
      </c>
      <c r="Q426" s="7">
        <f t="shared" si="78"/>
        <v>0</v>
      </c>
      <c r="R426" t="str">
        <f t="shared" si="73"/>
        <v>PAID</v>
      </c>
      <c r="S426" s="3"/>
      <c r="T426" s="9">
        <f t="shared" si="74"/>
        <v>25000</v>
      </c>
      <c r="U426" t="str">
        <f t="shared" si="75"/>
        <v>OK</v>
      </c>
      <c r="V426" s="10">
        <f t="shared" si="76"/>
        <v>0</v>
      </c>
      <c r="W426" t="str">
        <f t="shared" si="77"/>
        <v>OK</v>
      </c>
      <c r="X426" s="3" t="s">
        <v>28</v>
      </c>
      <c r="Y426" t="s">
        <v>29</v>
      </c>
    </row>
    <row r="427" spans="1:25" x14ac:dyDescent="0.2">
      <c r="A427" t="str">
        <f t="shared" si="68"/>
        <v>TRIP-475</v>
      </c>
      <c r="B427" s="2">
        <v>45988</v>
      </c>
      <c r="C427" s="3" t="str">
        <f>_xlfn.XLOOKUP(D427,'[1]Jan Customer Duplicate Hyva'!$B:$B,'[1]Jan Customer Duplicate Hyva'!$A:$A,"NOT FOUND")</f>
        <v>CUST-037</v>
      </c>
      <c r="D427" s="11" t="s">
        <v>99</v>
      </c>
      <c r="E427" s="11" t="s">
        <v>30</v>
      </c>
      <c r="F427" s="5" t="str">
        <f t="shared" si="69"/>
        <v>Ravi</v>
      </c>
      <c r="G427" s="5" t="str">
        <f t="shared" si="70"/>
        <v/>
      </c>
      <c r="H427" s="5" t="str">
        <f t="shared" si="71"/>
        <v/>
      </c>
      <c r="I427" s="5" t="str">
        <f>_xlfn.XLOOKUP(F427,'[1]Jan Labour Nd Drivers Hyva'!$B:$B,'[2]Jan Labour Nd Drivers Hyva'!$A:$A,"NOT FOUND")</f>
        <v>LAB-003</v>
      </c>
      <c r="J427" s="5" t="str">
        <f>IF(G427="","",_xlfn.XLOOKUP(G427,'[3]Jan Labour Nd Drivers Hyva'!$B:$B,'[2]Jan Labour Nd Drivers Hyva'!$A:$A,"NOT FOUND"))</f>
        <v/>
      </c>
      <c r="K427" s="5" t="str">
        <f>IF(H427="","",_xlfn.XLOOKUP(H427,'[2]Jan Labour Nd Drivers Hyva'!$B:$B,'[2]Jan Labour Nd Drivers Hyva'!$A:$A,"NOT FOUND"))</f>
        <v/>
      </c>
      <c r="L427" s="11" t="s">
        <v>316</v>
      </c>
      <c r="M427" s="12">
        <v>2</v>
      </c>
      <c r="N427" s="13">
        <v>22000</v>
      </c>
      <c r="O427" s="8">
        <f t="shared" si="72"/>
        <v>44000</v>
      </c>
      <c r="P427" s="13"/>
      <c r="Q427" s="7">
        <f t="shared" si="78"/>
        <v>44000</v>
      </c>
      <c r="R427" t="str">
        <f t="shared" si="73"/>
        <v>UNPAID</v>
      </c>
      <c r="S427" s="3"/>
      <c r="T427" s="9">
        <f t="shared" si="74"/>
        <v>44000</v>
      </c>
      <c r="U427" t="str">
        <f t="shared" si="75"/>
        <v>OK</v>
      </c>
      <c r="V427" s="10">
        <f t="shared" si="76"/>
        <v>44000</v>
      </c>
      <c r="W427" t="str">
        <f t="shared" si="77"/>
        <v>OK</v>
      </c>
      <c r="X427" s="3" t="s">
        <v>28</v>
      </c>
      <c r="Y427" t="s">
        <v>29</v>
      </c>
    </row>
    <row r="428" spans="1:25" x14ac:dyDescent="0.2">
      <c r="A428" t="str">
        <f t="shared" si="68"/>
        <v>TRIP-476</v>
      </c>
      <c r="B428" s="2">
        <v>45989</v>
      </c>
      <c r="C428" s="3" t="str">
        <f>_xlfn.XLOOKUP(D428,'[1]Jan Customer Duplicate Hyva'!$B:$B,'[1]Jan Customer Duplicate Hyva'!$A:$A,"NOT FOUND")</f>
        <v>CUST-037</v>
      </c>
      <c r="D428" s="11" t="s">
        <v>99</v>
      </c>
      <c r="E428" s="11" t="s">
        <v>30</v>
      </c>
      <c r="F428" s="5" t="str">
        <f t="shared" si="69"/>
        <v>Ravi</v>
      </c>
      <c r="G428" s="5" t="str">
        <f t="shared" si="70"/>
        <v/>
      </c>
      <c r="H428" s="5" t="str">
        <f t="shared" si="71"/>
        <v/>
      </c>
      <c r="I428" s="5" t="str">
        <f>_xlfn.XLOOKUP(F428,'[1]Jan Labour Nd Drivers Hyva'!$B:$B,'[2]Jan Labour Nd Drivers Hyva'!$A:$A,"NOT FOUND")</f>
        <v>LAB-003</v>
      </c>
      <c r="J428" s="5" t="str">
        <f>IF(G428="","",_xlfn.XLOOKUP(G428,'[3]Jan Labour Nd Drivers Hyva'!$B:$B,'[2]Jan Labour Nd Drivers Hyva'!$A:$A,"NOT FOUND"))</f>
        <v/>
      </c>
      <c r="K428" s="5" t="str">
        <f>IF(H428="","",_xlfn.XLOOKUP(H428,'[2]Jan Labour Nd Drivers Hyva'!$B:$B,'[2]Jan Labour Nd Drivers Hyva'!$A:$A,"NOT FOUND"))</f>
        <v/>
      </c>
      <c r="L428" s="11" t="s">
        <v>316</v>
      </c>
      <c r="M428" s="12">
        <v>1</v>
      </c>
      <c r="N428" s="13">
        <v>22000</v>
      </c>
      <c r="O428" s="8">
        <f t="shared" si="72"/>
        <v>22000</v>
      </c>
      <c r="P428" s="13"/>
      <c r="Q428" s="7">
        <f t="shared" si="78"/>
        <v>22000</v>
      </c>
      <c r="R428" t="str">
        <f t="shared" si="73"/>
        <v>UNPAID</v>
      </c>
      <c r="S428" s="3"/>
      <c r="T428" s="9">
        <f t="shared" si="74"/>
        <v>22000</v>
      </c>
      <c r="U428" t="str">
        <f t="shared" si="75"/>
        <v>OK</v>
      </c>
      <c r="V428" s="10">
        <f t="shared" si="76"/>
        <v>22000</v>
      </c>
      <c r="W428" t="str">
        <f t="shared" si="77"/>
        <v>OK</v>
      </c>
      <c r="X428" s="3" t="s">
        <v>28</v>
      </c>
      <c r="Y428" t="s">
        <v>29</v>
      </c>
    </row>
    <row r="429" spans="1:25" x14ac:dyDescent="0.2">
      <c r="A429" t="str">
        <f t="shared" si="68"/>
        <v>TRIP-477</v>
      </c>
      <c r="B429" s="2">
        <v>45989</v>
      </c>
      <c r="C429" s="3" t="str">
        <f>_xlfn.XLOOKUP(D429,'[1]Jan Customer Duplicate Hyva'!$B:$B,'[1]Jan Customer Duplicate Hyva'!$A:$A,"NOT FOUND")</f>
        <v>CUST-276</v>
      </c>
      <c r="D429" s="11" t="s">
        <v>323</v>
      </c>
      <c r="E429" s="11" t="s">
        <v>30</v>
      </c>
      <c r="F429" s="5" t="str">
        <f t="shared" si="69"/>
        <v>Ravi</v>
      </c>
      <c r="G429" s="5" t="str">
        <f t="shared" si="70"/>
        <v/>
      </c>
      <c r="H429" s="5" t="str">
        <f t="shared" si="71"/>
        <v/>
      </c>
      <c r="I429" s="5" t="str">
        <f>_xlfn.XLOOKUP(F429,'[1]Jan Labour Nd Drivers Hyva'!$B:$B,'[2]Jan Labour Nd Drivers Hyva'!$A:$A,"NOT FOUND")</f>
        <v>LAB-003</v>
      </c>
      <c r="J429" s="5" t="str">
        <f>IF(G429="","",_xlfn.XLOOKUP(G429,'[3]Jan Labour Nd Drivers Hyva'!$B:$B,'[2]Jan Labour Nd Drivers Hyva'!$A:$A,"NOT FOUND"))</f>
        <v/>
      </c>
      <c r="K429" s="5" t="str">
        <f>IF(H429="","",_xlfn.XLOOKUP(H429,'[2]Jan Labour Nd Drivers Hyva'!$B:$B,'[2]Jan Labour Nd Drivers Hyva'!$A:$A,"NOT FOUND"))</f>
        <v/>
      </c>
      <c r="L429" s="11" t="s">
        <v>108</v>
      </c>
      <c r="M429" s="12">
        <v>1</v>
      </c>
      <c r="N429" s="13">
        <v>25000</v>
      </c>
      <c r="O429" s="8">
        <f t="shared" si="72"/>
        <v>25000</v>
      </c>
      <c r="P429" s="13">
        <v>25000</v>
      </c>
      <c r="Q429" s="7">
        <f t="shared" si="78"/>
        <v>0</v>
      </c>
      <c r="R429" t="str">
        <f t="shared" si="73"/>
        <v>PAID</v>
      </c>
      <c r="S429" s="3"/>
      <c r="T429" s="9">
        <f t="shared" si="74"/>
        <v>25000</v>
      </c>
      <c r="U429" t="str">
        <f t="shared" si="75"/>
        <v>OK</v>
      </c>
      <c r="V429" s="10">
        <f t="shared" si="76"/>
        <v>0</v>
      </c>
      <c r="W429" t="str">
        <f t="shared" si="77"/>
        <v>OK</v>
      </c>
      <c r="X429" s="3" t="s">
        <v>28</v>
      </c>
      <c r="Y429" t="s">
        <v>29</v>
      </c>
    </row>
    <row r="430" spans="1:25" x14ac:dyDescent="0.2">
      <c r="A430" t="str">
        <f t="shared" si="68"/>
        <v>TRIP-478</v>
      </c>
      <c r="B430" s="2">
        <v>45990</v>
      </c>
      <c r="C430" s="3" t="str">
        <f>_xlfn.XLOOKUP(D430,'[1]Jan Customer Duplicate Hyva'!$B:$B,'[1]Jan Customer Duplicate Hyva'!$A:$A,"NOT FOUND")</f>
        <v>CUST-037</v>
      </c>
      <c r="D430" s="11" t="s">
        <v>99</v>
      </c>
      <c r="E430" s="11" t="s">
        <v>30</v>
      </c>
      <c r="F430" s="5" t="str">
        <f t="shared" si="69"/>
        <v>Ravi</v>
      </c>
      <c r="G430" s="5" t="str">
        <f t="shared" si="70"/>
        <v/>
      </c>
      <c r="H430" s="5" t="str">
        <f t="shared" si="71"/>
        <v/>
      </c>
      <c r="I430" s="5" t="str">
        <f>_xlfn.XLOOKUP(F430,'[1]Jan Labour Nd Drivers Hyva'!$B:$B,'[2]Jan Labour Nd Drivers Hyva'!$A:$A,"NOT FOUND")</f>
        <v>LAB-003</v>
      </c>
      <c r="J430" s="5" t="str">
        <f>IF(G430="","",_xlfn.XLOOKUP(G430,'[3]Jan Labour Nd Drivers Hyva'!$B:$B,'[2]Jan Labour Nd Drivers Hyva'!$A:$A,"NOT FOUND"))</f>
        <v/>
      </c>
      <c r="K430" s="5" t="str">
        <f>IF(H430="","",_xlfn.XLOOKUP(H430,'[2]Jan Labour Nd Drivers Hyva'!$B:$B,'[2]Jan Labour Nd Drivers Hyva'!$A:$A,"NOT FOUND"))</f>
        <v/>
      </c>
      <c r="L430" s="11" t="s">
        <v>316</v>
      </c>
      <c r="M430" s="12">
        <v>2</v>
      </c>
      <c r="N430" s="13">
        <v>22000</v>
      </c>
      <c r="O430" s="8">
        <f t="shared" si="72"/>
        <v>44000</v>
      </c>
      <c r="P430" s="13"/>
      <c r="Q430" s="7">
        <f t="shared" si="78"/>
        <v>44000</v>
      </c>
      <c r="R430" t="str">
        <f t="shared" si="73"/>
        <v>UNPAID</v>
      </c>
      <c r="S430" s="3"/>
      <c r="T430" s="9">
        <f t="shared" si="74"/>
        <v>44000</v>
      </c>
      <c r="U430" t="str">
        <f t="shared" si="75"/>
        <v>OK</v>
      </c>
      <c r="V430" s="10">
        <f t="shared" si="76"/>
        <v>44000</v>
      </c>
      <c r="W430" t="str">
        <f t="shared" si="77"/>
        <v>OK</v>
      </c>
      <c r="X430" s="3" t="s">
        <v>28</v>
      </c>
      <c r="Y430" t="s">
        <v>29</v>
      </c>
    </row>
    <row r="431" spans="1:25" x14ac:dyDescent="0.2">
      <c r="A431" t="str">
        <f t="shared" si="68"/>
        <v>TRIP-479</v>
      </c>
      <c r="B431" s="2">
        <v>45990</v>
      </c>
      <c r="C431" s="3" t="str">
        <f>_xlfn.XLOOKUP(D431,'[1]Jan Customer Duplicate Hyva'!$B:$B,'[1]Jan Customer Duplicate Hyva'!$A:$A,"NOT FOUND")</f>
        <v>CUST-255</v>
      </c>
      <c r="D431" s="11" t="s">
        <v>75</v>
      </c>
      <c r="E431" s="11" t="s">
        <v>30</v>
      </c>
      <c r="F431" s="5" t="str">
        <f t="shared" si="69"/>
        <v>Ravi</v>
      </c>
      <c r="G431" s="5" t="str">
        <f t="shared" si="70"/>
        <v/>
      </c>
      <c r="H431" s="5" t="str">
        <f t="shared" si="71"/>
        <v/>
      </c>
      <c r="I431" s="5" t="str">
        <f>_xlfn.XLOOKUP(F431,'[1]Jan Labour Nd Drivers Hyva'!$B:$B,'[2]Jan Labour Nd Drivers Hyva'!$A:$A,"NOT FOUND")</f>
        <v>LAB-003</v>
      </c>
      <c r="J431" s="5" t="str">
        <f>IF(G431="","",_xlfn.XLOOKUP(G431,'[3]Jan Labour Nd Drivers Hyva'!$B:$B,'[2]Jan Labour Nd Drivers Hyva'!$A:$A,"NOT FOUND"))</f>
        <v/>
      </c>
      <c r="K431" s="5" t="str">
        <f>IF(H431="","",_xlfn.XLOOKUP(H431,'[2]Jan Labour Nd Drivers Hyva'!$B:$B,'[2]Jan Labour Nd Drivers Hyva'!$A:$A,"NOT FOUND"))</f>
        <v/>
      </c>
      <c r="L431" s="11" t="s">
        <v>116</v>
      </c>
      <c r="M431" s="12">
        <v>2</v>
      </c>
      <c r="N431" s="13">
        <v>26000</v>
      </c>
      <c r="O431" s="8">
        <f t="shared" si="72"/>
        <v>52000</v>
      </c>
      <c r="P431" s="13">
        <v>52000</v>
      </c>
      <c r="Q431" s="7">
        <f t="shared" si="78"/>
        <v>0</v>
      </c>
      <c r="R431" t="str">
        <f t="shared" si="73"/>
        <v>PAID</v>
      </c>
      <c r="S431" s="3"/>
      <c r="T431" s="9">
        <f t="shared" si="74"/>
        <v>52000</v>
      </c>
      <c r="U431" t="str">
        <f t="shared" si="75"/>
        <v>OK</v>
      </c>
      <c r="V431" s="10">
        <f t="shared" si="76"/>
        <v>0</v>
      </c>
      <c r="W431" t="str">
        <f t="shared" si="77"/>
        <v>OK</v>
      </c>
      <c r="X431" s="3" t="s">
        <v>28</v>
      </c>
      <c r="Y431" t="s">
        <v>29</v>
      </c>
    </row>
    <row r="432" spans="1:25" x14ac:dyDescent="0.2">
      <c r="A432" t="str">
        <f t="shared" si="68"/>
        <v>TRIP-480</v>
      </c>
      <c r="B432" s="2">
        <v>45991</v>
      </c>
      <c r="C432" s="3" t="str">
        <f>_xlfn.XLOOKUP(D432,'[1]Jan Customer Duplicate Hyva'!$B:$B,'[1]Jan Customer Duplicate Hyva'!$A:$A,"NOT FOUND")</f>
        <v>CUST-037</v>
      </c>
      <c r="D432" s="11" t="s">
        <v>99</v>
      </c>
      <c r="E432" s="11" t="s">
        <v>30</v>
      </c>
      <c r="F432" s="5" t="str">
        <f t="shared" si="69"/>
        <v>Ravi</v>
      </c>
      <c r="G432" s="5" t="str">
        <f t="shared" si="70"/>
        <v/>
      </c>
      <c r="H432" s="5" t="str">
        <f t="shared" si="71"/>
        <v/>
      </c>
      <c r="I432" s="5" t="str">
        <f>_xlfn.XLOOKUP(F432,'[1]Jan Labour Nd Drivers Hyva'!$B:$B,'[2]Jan Labour Nd Drivers Hyva'!$A:$A,"NOT FOUND")</f>
        <v>LAB-003</v>
      </c>
      <c r="J432" s="5" t="str">
        <f>IF(G432="","",_xlfn.XLOOKUP(G432,'[3]Jan Labour Nd Drivers Hyva'!$B:$B,'[2]Jan Labour Nd Drivers Hyva'!$A:$A,"NOT FOUND"))</f>
        <v/>
      </c>
      <c r="K432" s="5" t="str">
        <f>IF(H432="","",_xlfn.XLOOKUP(H432,'[2]Jan Labour Nd Drivers Hyva'!$B:$B,'[2]Jan Labour Nd Drivers Hyva'!$A:$A,"NOT FOUND"))</f>
        <v/>
      </c>
      <c r="L432" s="11" t="s">
        <v>229</v>
      </c>
      <c r="M432" s="12">
        <v>1</v>
      </c>
      <c r="N432" s="13">
        <v>22000</v>
      </c>
      <c r="O432" s="8">
        <f t="shared" si="72"/>
        <v>22000</v>
      </c>
      <c r="P432" s="13"/>
      <c r="Q432" s="7">
        <f t="shared" si="78"/>
        <v>22000</v>
      </c>
      <c r="R432" t="str">
        <f t="shared" si="73"/>
        <v>UNPAID</v>
      </c>
      <c r="S432" s="3"/>
      <c r="T432" s="9">
        <f t="shared" si="74"/>
        <v>22000</v>
      </c>
      <c r="U432" t="str">
        <f t="shared" si="75"/>
        <v>OK</v>
      </c>
      <c r="V432" s="10">
        <f t="shared" si="76"/>
        <v>22000</v>
      </c>
      <c r="W432" t="str">
        <f t="shared" si="77"/>
        <v>OK</v>
      </c>
      <c r="X432" s="3" t="s">
        <v>28</v>
      </c>
      <c r="Y432" t="s">
        <v>29</v>
      </c>
    </row>
    <row r="433" spans="1:25" x14ac:dyDescent="0.2">
      <c r="A433" t="str">
        <f t="shared" si="68"/>
        <v>TRIP-481</v>
      </c>
      <c r="B433" s="2">
        <v>45992</v>
      </c>
      <c r="C433" s="3" t="str">
        <f>_xlfn.XLOOKUP(D433,'[1]Jan Customer Duplicate Hyva'!$B:$B,'[1]Jan Customer Duplicate Hyva'!$A:$A,"NOT FOUND")</f>
        <v>CUST-099</v>
      </c>
      <c r="D433" s="11" t="s">
        <v>324</v>
      </c>
      <c r="E433" s="11" t="s">
        <v>309</v>
      </c>
      <c r="F433" s="5" t="str">
        <f t="shared" si="69"/>
        <v>Santosh</v>
      </c>
      <c r="G433" s="5" t="str">
        <f t="shared" si="70"/>
        <v/>
      </c>
      <c r="H433" s="5" t="str">
        <f t="shared" si="71"/>
        <v/>
      </c>
      <c r="I433" s="5" t="str">
        <f>_xlfn.XLOOKUP(F433,'[1]Jan Labour Nd Drivers Hyva'!$B:$B,'[2]Jan Labour Nd Drivers Hyva'!$A:$A,"NOT FOUND")</f>
        <v>LAB-009</v>
      </c>
      <c r="J433" s="5" t="str">
        <f>IF(G433="","",_xlfn.XLOOKUP(G433,'[3]Jan Labour Nd Drivers Hyva'!$B:$B,'[2]Jan Labour Nd Drivers Hyva'!$A:$A,"NOT FOUND"))</f>
        <v/>
      </c>
      <c r="K433" s="5" t="str">
        <f>IF(H433="","",_xlfn.XLOOKUP(H433,'[2]Jan Labour Nd Drivers Hyva'!$B:$B,'[2]Jan Labour Nd Drivers Hyva'!$A:$A,"NOT FOUND"))</f>
        <v/>
      </c>
      <c r="L433" s="11" t="s">
        <v>126</v>
      </c>
      <c r="M433" s="12">
        <v>1</v>
      </c>
      <c r="N433" s="13">
        <v>26000</v>
      </c>
      <c r="O433" s="8">
        <f t="shared" si="72"/>
        <v>26000</v>
      </c>
      <c r="P433" s="13">
        <v>26000</v>
      </c>
      <c r="Q433" s="7">
        <f t="shared" si="78"/>
        <v>0</v>
      </c>
      <c r="R433" t="str">
        <f t="shared" si="73"/>
        <v>PAID</v>
      </c>
      <c r="S433" s="3"/>
      <c r="T433" s="9">
        <f t="shared" si="74"/>
        <v>26000</v>
      </c>
      <c r="U433" t="str">
        <f t="shared" si="75"/>
        <v>OK</v>
      </c>
      <c r="V433" s="10">
        <f t="shared" si="76"/>
        <v>0</v>
      </c>
      <c r="W433" t="str">
        <f t="shared" si="77"/>
        <v>OK</v>
      </c>
      <c r="X433" s="3" t="s">
        <v>28</v>
      </c>
      <c r="Y433" t="s">
        <v>29</v>
      </c>
    </row>
    <row r="434" spans="1:25" x14ac:dyDescent="0.2">
      <c r="A434" t="str">
        <f t="shared" si="68"/>
        <v>TRIP-482</v>
      </c>
      <c r="B434" s="2">
        <v>45992</v>
      </c>
      <c r="C434" s="3" t="str">
        <f>_xlfn.XLOOKUP(D434,'[1]Jan Customer Duplicate Hyva'!$B:$B,'[1]Jan Customer Duplicate Hyva'!$A:$A,"NOT FOUND")</f>
        <v>CUST-256</v>
      </c>
      <c r="D434" s="11" t="s">
        <v>325</v>
      </c>
      <c r="E434" s="11" t="s">
        <v>326</v>
      </c>
      <c r="F434" s="5" t="str">
        <f t="shared" si="69"/>
        <v>Mangesh</v>
      </c>
      <c r="G434" s="5" t="str">
        <f t="shared" si="70"/>
        <v/>
      </c>
      <c r="H434" s="5" t="str">
        <f t="shared" si="71"/>
        <v/>
      </c>
      <c r="I434" s="5" t="str">
        <f>_xlfn.XLOOKUP(F434,'[1]Jan Labour Nd Drivers Hyva'!$B:$B,'[2]Jan Labour Nd Drivers Hyva'!$A:$A,"NOT FOUND")</f>
        <v>LAB-011</v>
      </c>
      <c r="J434" s="5" t="str">
        <f>IF(G434="","",_xlfn.XLOOKUP(G434,'[3]Jan Labour Nd Drivers Hyva'!$B:$B,'[2]Jan Labour Nd Drivers Hyva'!$A:$A,"NOT FOUND"))</f>
        <v/>
      </c>
      <c r="K434" s="5" t="str">
        <f>IF(H434="","",_xlfn.XLOOKUP(H434,'[2]Jan Labour Nd Drivers Hyva'!$B:$B,'[2]Jan Labour Nd Drivers Hyva'!$A:$A,"NOT FOUND"))</f>
        <v/>
      </c>
      <c r="L434" s="11" t="s">
        <v>157</v>
      </c>
      <c r="M434" s="12">
        <v>1</v>
      </c>
      <c r="N434" s="13">
        <v>23000</v>
      </c>
      <c r="O434" s="8">
        <f t="shared" si="72"/>
        <v>23000</v>
      </c>
      <c r="P434" s="13">
        <v>23000</v>
      </c>
      <c r="Q434" s="7">
        <f t="shared" si="78"/>
        <v>0</v>
      </c>
      <c r="R434" t="str">
        <f t="shared" si="73"/>
        <v>PAID</v>
      </c>
      <c r="S434" s="3"/>
      <c r="T434" s="9">
        <f t="shared" si="74"/>
        <v>23000</v>
      </c>
      <c r="U434" t="str">
        <f t="shared" si="75"/>
        <v>OK</v>
      </c>
      <c r="V434" s="10">
        <f t="shared" si="76"/>
        <v>0</v>
      </c>
      <c r="W434" t="str">
        <f t="shared" si="77"/>
        <v>OK</v>
      </c>
      <c r="X434" s="3" t="s">
        <v>28</v>
      </c>
      <c r="Y434" t="s">
        <v>29</v>
      </c>
    </row>
    <row r="435" spans="1:25" x14ac:dyDescent="0.2">
      <c r="A435" t="str">
        <f t="shared" si="68"/>
        <v>TRIP-483</v>
      </c>
      <c r="B435" s="2">
        <v>45992</v>
      </c>
      <c r="C435" s="3" t="str">
        <f>_xlfn.XLOOKUP(D435,'[1]Jan Customer Duplicate Hyva'!$B:$B,'[1]Jan Customer Duplicate Hyva'!$A:$A,"NOT FOUND")</f>
        <v>CUST-006</v>
      </c>
      <c r="D435" s="11" t="s">
        <v>327</v>
      </c>
      <c r="E435" s="11" t="s">
        <v>326</v>
      </c>
      <c r="F435" s="5" t="str">
        <f t="shared" si="69"/>
        <v>Mangesh</v>
      </c>
      <c r="G435" s="5" t="str">
        <f t="shared" si="70"/>
        <v/>
      </c>
      <c r="H435" s="5" t="str">
        <f t="shared" si="71"/>
        <v/>
      </c>
      <c r="I435" s="5" t="str">
        <f>_xlfn.XLOOKUP(F435,'[1]Jan Labour Nd Drivers Hyva'!$B:$B,'[2]Jan Labour Nd Drivers Hyva'!$A:$A,"NOT FOUND")</f>
        <v>LAB-011</v>
      </c>
      <c r="J435" s="5" t="str">
        <f>IF(G435="","",_xlfn.XLOOKUP(G435,'[3]Jan Labour Nd Drivers Hyva'!$B:$B,'[2]Jan Labour Nd Drivers Hyva'!$A:$A,"NOT FOUND"))</f>
        <v/>
      </c>
      <c r="K435" s="5" t="str">
        <f>IF(H435="","",_xlfn.XLOOKUP(H435,'[2]Jan Labour Nd Drivers Hyva'!$B:$B,'[2]Jan Labour Nd Drivers Hyva'!$A:$A,"NOT FOUND"))</f>
        <v/>
      </c>
      <c r="L435" s="11" t="s">
        <v>180</v>
      </c>
      <c r="M435" s="12">
        <v>1</v>
      </c>
      <c r="N435" s="13">
        <v>23500</v>
      </c>
      <c r="O435" s="8">
        <f t="shared" si="72"/>
        <v>23500</v>
      </c>
      <c r="P435" s="13">
        <v>23500</v>
      </c>
      <c r="Q435" s="7">
        <f t="shared" si="78"/>
        <v>0</v>
      </c>
      <c r="R435" t="str">
        <f t="shared" si="73"/>
        <v>PAID</v>
      </c>
      <c r="S435" s="3"/>
      <c r="T435" s="9">
        <f t="shared" si="74"/>
        <v>23500</v>
      </c>
      <c r="U435" t="str">
        <f t="shared" si="75"/>
        <v>OK</v>
      </c>
      <c r="V435" s="10">
        <f t="shared" si="76"/>
        <v>0</v>
      </c>
      <c r="W435" t="str">
        <f t="shared" si="77"/>
        <v>OK</v>
      </c>
      <c r="X435" s="3" t="s">
        <v>28</v>
      </c>
      <c r="Y435" t="s">
        <v>29</v>
      </c>
    </row>
    <row r="436" spans="1:25" x14ac:dyDescent="0.2">
      <c r="A436" t="str">
        <f t="shared" si="68"/>
        <v>TRIP-484</v>
      </c>
      <c r="B436" s="2">
        <v>45992</v>
      </c>
      <c r="C436" s="3" t="str">
        <f>_xlfn.XLOOKUP(D436,'[1]Jan Customer Duplicate Hyva'!$B:$B,'[1]Jan Customer Duplicate Hyva'!$A:$A,"NOT FOUND")</f>
        <v>CUST-037</v>
      </c>
      <c r="D436" s="11" t="s">
        <v>99</v>
      </c>
      <c r="E436" s="11" t="s">
        <v>309</v>
      </c>
      <c r="F436" s="5" t="str">
        <f t="shared" si="69"/>
        <v>Santosh</v>
      </c>
      <c r="G436" s="5" t="str">
        <f t="shared" si="70"/>
        <v/>
      </c>
      <c r="H436" s="5" t="str">
        <f t="shared" si="71"/>
        <v/>
      </c>
      <c r="I436" s="5" t="str">
        <f>_xlfn.XLOOKUP(F436,'[1]Jan Labour Nd Drivers Hyva'!$B:$B,'[2]Jan Labour Nd Drivers Hyva'!$A:$A,"NOT FOUND")</f>
        <v>LAB-009</v>
      </c>
      <c r="J436" s="5" t="str">
        <f>IF(G436="","",_xlfn.XLOOKUP(G436,'[3]Jan Labour Nd Drivers Hyva'!$B:$B,'[2]Jan Labour Nd Drivers Hyva'!$A:$A,"NOT FOUND"))</f>
        <v/>
      </c>
      <c r="K436" s="5" t="str">
        <f>IF(H436="","",_xlfn.XLOOKUP(H436,'[2]Jan Labour Nd Drivers Hyva'!$B:$B,'[2]Jan Labour Nd Drivers Hyva'!$A:$A,"NOT FOUND"))</f>
        <v/>
      </c>
      <c r="L436" s="11" t="s">
        <v>328</v>
      </c>
      <c r="M436" s="12">
        <v>1</v>
      </c>
      <c r="N436" s="13">
        <v>23000</v>
      </c>
      <c r="O436" s="8">
        <f t="shared" si="72"/>
        <v>23000</v>
      </c>
      <c r="P436" s="13"/>
      <c r="Q436" s="7">
        <f t="shared" si="78"/>
        <v>23000</v>
      </c>
      <c r="R436" t="str">
        <f t="shared" si="73"/>
        <v>UNPAID</v>
      </c>
      <c r="S436" s="3"/>
      <c r="T436" s="9">
        <f t="shared" si="74"/>
        <v>23000</v>
      </c>
      <c r="U436" t="str">
        <f t="shared" si="75"/>
        <v>OK</v>
      </c>
      <c r="V436" s="10">
        <f t="shared" si="76"/>
        <v>23000</v>
      </c>
      <c r="W436" t="str">
        <f t="shared" si="77"/>
        <v>OK</v>
      </c>
      <c r="X436" s="3" t="s">
        <v>28</v>
      </c>
      <c r="Y436" t="s">
        <v>29</v>
      </c>
    </row>
    <row r="437" spans="1:25" x14ac:dyDescent="0.2">
      <c r="A437" t="str">
        <f t="shared" si="68"/>
        <v>TRIP-485</v>
      </c>
      <c r="B437" s="2">
        <v>45992</v>
      </c>
      <c r="C437" s="3" t="str">
        <f>_xlfn.XLOOKUP(D437,'[1]Jan Customer Duplicate Hyva'!$B:$B,'[1]Jan Customer Duplicate Hyva'!$A:$A,"NOT FOUND")</f>
        <v>CUST-037</v>
      </c>
      <c r="D437" s="11" t="s">
        <v>99</v>
      </c>
      <c r="E437" s="11" t="s">
        <v>326</v>
      </c>
      <c r="F437" s="5" t="str">
        <f t="shared" si="69"/>
        <v>Mangesh</v>
      </c>
      <c r="G437" s="5" t="str">
        <f t="shared" si="70"/>
        <v/>
      </c>
      <c r="H437" s="5" t="str">
        <f t="shared" si="71"/>
        <v/>
      </c>
      <c r="I437" s="5" t="str">
        <f>_xlfn.XLOOKUP(F437,'[1]Jan Labour Nd Drivers Hyva'!$B:$B,'[2]Jan Labour Nd Drivers Hyva'!$A:$A,"NOT FOUND")</f>
        <v>LAB-011</v>
      </c>
      <c r="J437" s="5" t="str">
        <f>IF(G437="","",_xlfn.XLOOKUP(G437,'[3]Jan Labour Nd Drivers Hyva'!$B:$B,'[2]Jan Labour Nd Drivers Hyva'!$A:$A,"NOT FOUND"))</f>
        <v/>
      </c>
      <c r="K437" s="5" t="str">
        <f>IF(H437="","",_xlfn.XLOOKUP(H437,'[2]Jan Labour Nd Drivers Hyva'!$B:$B,'[2]Jan Labour Nd Drivers Hyva'!$A:$A,"NOT FOUND"))</f>
        <v/>
      </c>
      <c r="L437" s="11" t="s">
        <v>329</v>
      </c>
      <c r="M437" s="12">
        <v>1</v>
      </c>
      <c r="N437" s="13">
        <v>23000</v>
      </c>
      <c r="O437" s="8">
        <f t="shared" si="72"/>
        <v>23000</v>
      </c>
      <c r="P437" s="13"/>
      <c r="Q437" s="7">
        <f t="shared" si="78"/>
        <v>23000</v>
      </c>
      <c r="R437" t="str">
        <f t="shared" si="73"/>
        <v>UNPAID</v>
      </c>
      <c r="S437" s="3"/>
      <c r="T437" s="9">
        <f t="shared" si="74"/>
        <v>23000</v>
      </c>
      <c r="U437" t="str">
        <f t="shared" si="75"/>
        <v>OK</v>
      </c>
      <c r="V437" s="10">
        <f t="shared" si="76"/>
        <v>23000</v>
      </c>
      <c r="W437" t="str">
        <f t="shared" si="77"/>
        <v>OK</v>
      </c>
      <c r="X437" s="3" t="s">
        <v>28</v>
      </c>
      <c r="Y437" t="s">
        <v>29</v>
      </c>
    </row>
    <row r="438" spans="1:25" x14ac:dyDescent="0.2">
      <c r="A438" t="str">
        <f t="shared" si="68"/>
        <v>TRIP-486</v>
      </c>
      <c r="B438" s="2">
        <v>45993</v>
      </c>
      <c r="C438" s="3" t="str">
        <f>_xlfn.XLOOKUP(D438,'[1]Jan Customer Duplicate Hyva'!$B:$B,'[1]Jan Customer Duplicate Hyva'!$A:$A,"NOT FOUND")</f>
        <v>CUST-172</v>
      </c>
      <c r="D438" s="3" t="s">
        <v>54</v>
      </c>
      <c r="E438" s="11" t="s">
        <v>30</v>
      </c>
      <c r="F438" s="5" t="str">
        <f t="shared" si="69"/>
        <v>Ravi</v>
      </c>
      <c r="G438" s="5" t="str">
        <f t="shared" si="70"/>
        <v/>
      </c>
      <c r="H438" s="5" t="str">
        <f t="shared" si="71"/>
        <v/>
      </c>
      <c r="I438" s="5" t="str">
        <f>_xlfn.XLOOKUP(F438,'[1]Jan Labour Nd Drivers Hyva'!$B:$B,'[2]Jan Labour Nd Drivers Hyva'!$A:$A,"NOT FOUND")</f>
        <v>LAB-003</v>
      </c>
      <c r="J438" s="5" t="str">
        <f>IF(G438="","",_xlfn.XLOOKUP(G438,'[3]Jan Labour Nd Drivers Hyva'!$B:$B,'[2]Jan Labour Nd Drivers Hyva'!$A:$A,"NOT FOUND"))</f>
        <v/>
      </c>
      <c r="K438" s="5" t="str">
        <f>IF(H438="","",_xlfn.XLOOKUP(H438,'[2]Jan Labour Nd Drivers Hyva'!$B:$B,'[2]Jan Labour Nd Drivers Hyva'!$A:$A,"NOT FOUND"))</f>
        <v/>
      </c>
      <c r="L438" s="11" t="s">
        <v>36</v>
      </c>
      <c r="M438" s="12">
        <v>1</v>
      </c>
      <c r="N438" s="13">
        <v>23000</v>
      </c>
      <c r="O438" s="8">
        <f t="shared" si="72"/>
        <v>23000</v>
      </c>
      <c r="P438" s="13">
        <v>23000</v>
      </c>
      <c r="Q438" s="7">
        <f t="shared" si="78"/>
        <v>0</v>
      </c>
      <c r="R438" t="str">
        <f t="shared" si="73"/>
        <v>PAID</v>
      </c>
      <c r="S438" s="3"/>
      <c r="T438" s="9">
        <f t="shared" si="74"/>
        <v>23000</v>
      </c>
      <c r="U438" t="str">
        <f t="shared" si="75"/>
        <v>OK</v>
      </c>
      <c r="V438" s="10">
        <f t="shared" si="76"/>
        <v>0</v>
      </c>
      <c r="W438" t="str">
        <f t="shared" si="77"/>
        <v>OK</v>
      </c>
      <c r="X438" s="3" t="s">
        <v>28</v>
      </c>
      <c r="Y438" t="s">
        <v>29</v>
      </c>
    </row>
    <row r="439" spans="1:25" x14ac:dyDescent="0.2">
      <c r="A439" t="str">
        <f t="shared" si="68"/>
        <v>TRIP-487</v>
      </c>
      <c r="B439" s="2">
        <v>45993</v>
      </c>
      <c r="C439" s="3" t="str">
        <f>_xlfn.XLOOKUP(D439,'[1]Jan Customer Duplicate Hyva'!$B:$B,'[1]Jan Customer Duplicate Hyva'!$A:$A,"NOT FOUND")</f>
        <v>CUST-172</v>
      </c>
      <c r="D439" s="3" t="s">
        <v>54</v>
      </c>
      <c r="E439" s="11" t="s">
        <v>30</v>
      </c>
      <c r="F439" s="5" t="str">
        <f t="shared" si="69"/>
        <v>Ravi</v>
      </c>
      <c r="G439" s="5" t="str">
        <f t="shared" si="70"/>
        <v/>
      </c>
      <c r="H439" s="5" t="str">
        <f t="shared" si="71"/>
        <v/>
      </c>
      <c r="I439" s="5" t="str">
        <f>_xlfn.XLOOKUP(F439,'[1]Jan Labour Nd Drivers Hyva'!$B:$B,'[2]Jan Labour Nd Drivers Hyva'!$A:$A,"NOT FOUND")</f>
        <v>LAB-003</v>
      </c>
      <c r="J439" s="5" t="str">
        <f>IF(G439="","",_xlfn.XLOOKUP(G439,'[3]Jan Labour Nd Drivers Hyva'!$B:$B,'[2]Jan Labour Nd Drivers Hyva'!$A:$A,"NOT FOUND"))</f>
        <v/>
      </c>
      <c r="K439" s="5" t="str">
        <f>IF(H439="","",_xlfn.XLOOKUP(H439,'[2]Jan Labour Nd Drivers Hyva'!$B:$B,'[2]Jan Labour Nd Drivers Hyva'!$A:$A,"NOT FOUND"))</f>
        <v/>
      </c>
      <c r="L439" s="11" t="s">
        <v>185</v>
      </c>
      <c r="M439" s="12">
        <v>1</v>
      </c>
      <c r="N439" s="13">
        <v>23000</v>
      </c>
      <c r="O439" s="8">
        <f t="shared" si="72"/>
        <v>23000</v>
      </c>
      <c r="P439" s="13">
        <v>23000</v>
      </c>
      <c r="Q439" s="7">
        <f t="shared" si="78"/>
        <v>0</v>
      </c>
      <c r="R439" t="str">
        <f t="shared" si="73"/>
        <v>PAID</v>
      </c>
      <c r="S439" s="3"/>
      <c r="T439" s="9">
        <f t="shared" si="74"/>
        <v>23000</v>
      </c>
      <c r="U439" t="str">
        <f t="shared" si="75"/>
        <v>OK</v>
      </c>
      <c r="V439" s="10">
        <f t="shared" si="76"/>
        <v>0</v>
      </c>
      <c r="W439" t="str">
        <f t="shared" si="77"/>
        <v>OK</v>
      </c>
      <c r="X439" s="3" t="s">
        <v>28</v>
      </c>
      <c r="Y439" t="s">
        <v>29</v>
      </c>
    </row>
    <row r="440" spans="1:25" x14ac:dyDescent="0.2">
      <c r="A440" t="str">
        <f t="shared" si="68"/>
        <v>TRIP-488</v>
      </c>
      <c r="B440" s="2">
        <v>45994</v>
      </c>
      <c r="C440" s="3" t="str">
        <f>_xlfn.XLOOKUP(D440,'[1]Jan Customer Duplicate Hyva'!$B:$B,'[1]Jan Customer Duplicate Hyva'!$A:$A,"NOT FOUND")</f>
        <v>CUST-037</v>
      </c>
      <c r="D440" s="11" t="s">
        <v>99</v>
      </c>
      <c r="E440" s="11" t="s">
        <v>30</v>
      </c>
      <c r="F440" s="5" t="str">
        <f t="shared" si="69"/>
        <v>Ravi</v>
      </c>
      <c r="G440" s="5" t="str">
        <f t="shared" si="70"/>
        <v/>
      </c>
      <c r="H440" s="5" t="str">
        <f t="shared" si="71"/>
        <v/>
      </c>
      <c r="I440" s="5" t="str">
        <f>_xlfn.XLOOKUP(F440,'[1]Jan Labour Nd Drivers Hyva'!$B:$B,'[2]Jan Labour Nd Drivers Hyva'!$A:$A,"NOT FOUND")</f>
        <v>LAB-003</v>
      </c>
      <c r="J440" s="5" t="str">
        <f>IF(G440="","",_xlfn.XLOOKUP(G440,'[3]Jan Labour Nd Drivers Hyva'!$B:$B,'[2]Jan Labour Nd Drivers Hyva'!$A:$A,"NOT FOUND"))</f>
        <v/>
      </c>
      <c r="K440" s="5" t="str">
        <f>IF(H440="","",_xlfn.XLOOKUP(H440,'[2]Jan Labour Nd Drivers Hyva'!$B:$B,'[2]Jan Labour Nd Drivers Hyva'!$A:$A,"NOT FOUND"))</f>
        <v/>
      </c>
      <c r="L440" s="11" t="s">
        <v>316</v>
      </c>
      <c r="M440" s="12">
        <v>2</v>
      </c>
      <c r="N440" s="13">
        <v>23000</v>
      </c>
      <c r="O440" s="8">
        <f t="shared" si="72"/>
        <v>46000</v>
      </c>
      <c r="P440" s="13"/>
      <c r="Q440" s="7">
        <f t="shared" si="78"/>
        <v>46000</v>
      </c>
      <c r="R440" t="str">
        <f t="shared" si="73"/>
        <v>UNPAID</v>
      </c>
      <c r="S440" s="3"/>
      <c r="T440" s="9">
        <f t="shared" si="74"/>
        <v>46000</v>
      </c>
      <c r="U440" t="str">
        <f t="shared" si="75"/>
        <v>OK</v>
      </c>
      <c r="V440" s="10">
        <f t="shared" si="76"/>
        <v>46000</v>
      </c>
      <c r="W440" t="str">
        <f t="shared" si="77"/>
        <v>OK</v>
      </c>
      <c r="X440" s="3" t="s">
        <v>28</v>
      </c>
      <c r="Y440" t="s">
        <v>29</v>
      </c>
    </row>
    <row r="441" spans="1:25" x14ac:dyDescent="0.2">
      <c r="A441" t="str">
        <f t="shared" si="68"/>
        <v>TRIP-489</v>
      </c>
      <c r="B441" s="2">
        <v>45994</v>
      </c>
      <c r="C441" s="3" t="str">
        <f>_xlfn.XLOOKUP(D441,'[1]Jan Customer Duplicate Hyva'!$B:$B,'[1]Jan Customer Duplicate Hyva'!$A:$A,"NOT FOUND")</f>
        <v>CUST-255</v>
      </c>
      <c r="D441" s="11" t="s">
        <v>75</v>
      </c>
      <c r="E441" s="11" t="s">
        <v>30</v>
      </c>
      <c r="F441" s="5" t="str">
        <f t="shared" si="69"/>
        <v>Ravi</v>
      </c>
      <c r="G441" s="5" t="str">
        <f t="shared" si="70"/>
        <v/>
      </c>
      <c r="H441" s="5" t="str">
        <f t="shared" si="71"/>
        <v/>
      </c>
      <c r="I441" s="5" t="str">
        <f>_xlfn.XLOOKUP(F441,'[1]Jan Labour Nd Drivers Hyva'!$B:$B,'[2]Jan Labour Nd Drivers Hyva'!$A:$A,"NOT FOUND")</f>
        <v>LAB-003</v>
      </c>
      <c r="J441" s="5" t="str">
        <f>IF(G441="","",_xlfn.XLOOKUP(G441,'[3]Jan Labour Nd Drivers Hyva'!$B:$B,'[2]Jan Labour Nd Drivers Hyva'!$A:$A,"NOT FOUND"))</f>
        <v/>
      </c>
      <c r="K441" s="5" t="str">
        <f>IF(H441="","",_xlfn.XLOOKUP(H441,'[2]Jan Labour Nd Drivers Hyva'!$B:$B,'[2]Jan Labour Nd Drivers Hyva'!$A:$A,"NOT FOUND"))</f>
        <v/>
      </c>
      <c r="L441" s="11" t="s">
        <v>116</v>
      </c>
      <c r="M441" s="12">
        <v>1</v>
      </c>
      <c r="N441" s="13">
        <v>26000</v>
      </c>
      <c r="O441" s="8">
        <f t="shared" si="72"/>
        <v>26000</v>
      </c>
      <c r="P441" s="13">
        <v>26000</v>
      </c>
      <c r="Q441" s="7">
        <f t="shared" si="78"/>
        <v>0</v>
      </c>
      <c r="R441" t="str">
        <f t="shared" si="73"/>
        <v>PAID</v>
      </c>
      <c r="S441" s="3"/>
      <c r="T441" s="9">
        <f t="shared" si="74"/>
        <v>26000</v>
      </c>
      <c r="U441" t="str">
        <f t="shared" si="75"/>
        <v>OK</v>
      </c>
      <c r="V441" s="10">
        <f t="shared" si="76"/>
        <v>0</v>
      </c>
      <c r="W441" t="str">
        <f t="shared" si="77"/>
        <v>OK</v>
      </c>
      <c r="X441" s="3" t="s">
        <v>28</v>
      </c>
      <c r="Y441" t="s">
        <v>29</v>
      </c>
    </row>
    <row r="442" spans="1:25" x14ac:dyDescent="0.2">
      <c r="A442" t="str">
        <f t="shared" si="68"/>
        <v>TRIP-490</v>
      </c>
      <c r="B442" s="2">
        <v>45994</v>
      </c>
      <c r="C442" s="3" t="str">
        <f>_xlfn.XLOOKUP(D442,'[1]Jan Customer Duplicate Hyva'!$B:$B,'[1]Jan Customer Duplicate Hyva'!$A:$A,"NOT FOUND")</f>
        <v>CUST-120</v>
      </c>
      <c r="D442" s="11" t="s">
        <v>122</v>
      </c>
      <c r="E442" s="11" t="s">
        <v>30</v>
      </c>
      <c r="F442" s="5" t="str">
        <f t="shared" si="69"/>
        <v>Ravi</v>
      </c>
      <c r="G442" s="5" t="str">
        <f t="shared" si="70"/>
        <v/>
      </c>
      <c r="H442" s="5" t="str">
        <f t="shared" si="71"/>
        <v/>
      </c>
      <c r="I442" s="5" t="str">
        <f>_xlfn.XLOOKUP(F442,'[1]Jan Labour Nd Drivers Hyva'!$B:$B,'[2]Jan Labour Nd Drivers Hyva'!$A:$A,"NOT FOUND")</f>
        <v>LAB-003</v>
      </c>
      <c r="J442" s="5" t="str">
        <f>IF(G442="","",_xlfn.XLOOKUP(G442,'[3]Jan Labour Nd Drivers Hyva'!$B:$B,'[2]Jan Labour Nd Drivers Hyva'!$A:$A,"NOT FOUND"))</f>
        <v/>
      </c>
      <c r="K442" s="5" t="str">
        <f>IF(H442="","",_xlfn.XLOOKUP(H442,'[2]Jan Labour Nd Drivers Hyva'!$B:$B,'[2]Jan Labour Nd Drivers Hyva'!$A:$A,"NOT FOUND"))</f>
        <v/>
      </c>
      <c r="L442" s="11" t="s">
        <v>305</v>
      </c>
      <c r="M442" s="12">
        <v>1</v>
      </c>
      <c r="N442" s="13">
        <v>23000</v>
      </c>
      <c r="O442" s="8">
        <f t="shared" si="72"/>
        <v>23000</v>
      </c>
      <c r="P442" s="13">
        <v>23000</v>
      </c>
      <c r="Q442" s="7">
        <f t="shared" si="78"/>
        <v>0</v>
      </c>
      <c r="R442" t="str">
        <f t="shared" si="73"/>
        <v>PAID</v>
      </c>
      <c r="S442" s="3"/>
      <c r="T442" s="9">
        <f t="shared" si="74"/>
        <v>23000</v>
      </c>
      <c r="U442" t="str">
        <f t="shared" si="75"/>
        <v>OK</v>
      </c>
      <c r="V442" s="10">
        <f t="shared" si="76"/>
        <v>0</v>
      </c>
      <c r="W442" t="str">
        <f t="shared" si="77"/>
        <v>OK</v>
      </c>
      <c r="X442" s="3" t="s">
        <v>28</v>
      </c>
      <c r="Y442" t="s">
        <v>29</v>
      </c>
    </row>
    <row r="443" spans="1:25" x14ac:dyDescent="0.2">
      <c r="A443" t="str">
        <f t="shared" si="68"/>
        <v>TRIP-491</v>
      </c>
      <c r="B443" s="2">
        <v>45994</v>
      </c>
      <c r="C443" s="3" t="str">
        <f>_xlfn.XLOOKUP(D443,'[1]Jan Customer Duplicate Hyva'!$B:$B,'[1]Jan Customer Duplicate Hyva'!$A:$A,"NOT FOUND")</f>
        <v>CUST-236</v>
      </c>
      <c r="D443" s="11" t="s">
        <v>58</v>
      </c>
      <c r="E443" s="11" t="s">
        <v>30</v>
      </c>
      <c r="F443" s="5" t="str">
        <f t="shared" si="69"/>
        <v>Ravi</v>
      </c>
      <c r="G443" s="5" t="str">
        <f t="shared" si="70"/>
        <v/>
      </c>
      <c r="H443" s="5" t="str">
        <f t="shared" si="71"/>
        <v/>
      </c>
      <c r="I443" s="5" t="str">
        <f>_xlfn.XLOOKUP(F443,'[1]Jan Labour Nd Drivers Hyva'!$B:$B,'[2]Jan Labour Nd Drivers Hyva'!$A:$A,"NOT FOUND")</f>
        <v>LAB-003</v>
      </c>
      <c r="J443" s="5" t="str">
        <f>IF(G443="","",_xlfn.XLOOKUP(G443,'[3]Jan Labour Nd Drivers Hyva'!$B:$B,'[2]Jan Labour Nd Drivers Hyva'!$A:$A,"NOT FOUND"))</f>
        <v/>
      </c>
      <c r="K443" s="5" t="str">
        <f>IF(H443="","",_xlfn.XLOOKUP(H443,'[2]Jan Labour Nd Drivers Hyva'!$B:$B,'[2]Jan Labour Nd Drivers Hyva'!$A:$A,"NOT FOUND"))</f>
        <v/>
      </c>
      <c r="L443" s="11" t="s">
        <v>33</v>
      </c>
      <c r="M443" s="12">
        <v>1</v>
      </c>
      <c r="N443" s="13">
        <v>22000</v>
      </c>
      <c r="O443" s="8">
        <f t="shared" si="72"/>
        <v>22000</v>
      </c>
      <c r="P443" s="13"/>
      <c r="Q443" s="7">
        <f t="shared" si="78"/>
        <v>22000</v>
      </c>
      <c r="R443" t="str">
        <f t="shared" si="73"/>
        <v>UNPAID</v>
      </c>
      <c r="S443" s="3"/>
      <c r="T443" s="9">
        <f t="shared" si="74"/>
        <v>22000</v>
      </c>
      <c r="U443" t="str">
        <f t="shared" si="75"/>
        <v>OK</v>
      </c>
      <c r="V443" s="10">
        <f t="shared" si="76"/>
        <v>22000</v>
      </c>
      <c r="W443" t="str">
        <f t="shared" si="77"/>
        <v>OK</v>
      </c>
      <c r="X443" s="3" t="s">
        <v>28</v>
      </c>
      <c r="Y443" t="s">
        <v>29</v>
      </c>
    </row>
    <row r="444" spans="1:25" x14ac:dyDescent="0.2">
      <c r="A444" t="str">
        <f t="shared" si="68"/>
        <v>TRIP-492</v>
      </c>
      <c r="B444" s="2">
        <v>45996</v>
      </c>
      <c r="C444" s="3" t="str">
        <f>_xlfn.XLOOKUP(D444,'[1]Jan Customer Duplicate Hyva'!$B:$B,'[1]Jan Customer Duplicate Hyva'!$A:$A,"NOT FOUND")</f>
        <v>CUST-037</v>
      </c>
      <c r="D444" s="11" t="s">
        <v>99</v>
      </c>
      <c r="E444" s="11" t="s">
        <v>30</v>
      </c>
      <c r="F444" s="5" t="str">
        <f t="shared" si="69"/>
        <v>Ravi</v>
      </c>
      <c r="G444" s="5" t="str">
        <f t="shared" si="70"/>
        <v/>
      </c>
      <c r="H444" s="5" t="str">
        <f t="shared" si="71"/>
        <v/>
      </c>
      <c r="I444" s="5" t="str">
        <f>_xlfn.XLOOKUP(F444,'[1]Jan Labour Nd Drivers Hyva'!$B:$B,'[2]Jan Labour Nd Drivers Hyva'!$A:$A,"NOT FOUND")</f>
        <v>LAB-003</v>
      </c>
      <c r="J444" s="5" t="str">
        <f>IF(G444="","",_xlfn.XLOOKUP(G444,'[3]Jan Labour Nd Drivers Hyva'!$B:$B,'[2]Jan Labour Nd Drivers Hyva'!$A:$A,"NOT FOUND"))</f>
        <v/>
      </c>
      <c r="K444" s="5" t="str">
        <f>IF(H444="","",_xlfn.XLOOKUP(H444,'[2]Jan Labour Nd Drivers Hyva'!$B:$B,'[2]Jan Labour Nd Drivers Hyva'!$A:$A,"NOT FOUND"))</f>
        <v/>
      </c>
      <c r="L444" s="11" t="s">
        <v>316</v>
      </c>
      <c r="M444" s="12">
        <v>1</v>
      </c>
      <c r="N444" s="13">
        <v>23000</v>
      </c>
      <c r="O444" s="8">
        <f t="shared" si="72"/>
        <v>23000</v>
      </c>
      <c r="P444" s="13"/>
      <c r="Q444" s="7">
        <f t="shared" si="78"/>
        <v>23000</v>
      </c>
      <c r="R444" t="str">
        <f t="shared" si="73"/>
        <v>UNPAID</v>
      </c>
      <c r="S444" s="3"/>
      <c r="T444" s="9">
        <f t="shared" si="74"/>
        <v>23000</v>
      </c>
      <c r="U444" t="str">
        <f t="shared" si="75"/>
        <v>OK</v>
      </c>
      <c r="V444" s="10">
        <f t="shared" si="76"/>
        <v>23000</v>
      </c>
      <c r="W444" t="str">
        <f t="shared" si="77"/>
        <v>OK</v>
      </c>
      <c r="X444" s="3" t="s">
        <v>28</v>
      </c>
      <c r="Y444" t="s">
        <v>29</v>
      </c>
    </row>
    <row r="445" spans="1:25" x14ac:dyDescent="0.2">
      <c r="A445" t="str">
        <f t="shared" si="68"/>
        <v>TRIP-493</v>
      </c>
      <c r="B445" s="2">
        <v>45996</v>
      </c>
      <c r="C445" s="3" t="str">
        <f>_xlfn.XLOOKUP(D445,'[1]Jan Customer Duplicate Hyva'!$B:$B,'[1]Jan Customer Duplicate Hyva'!$A:$A,"NOT FOUND")</f>
        <v>CUST-255</v>
      </c>
      <c r="D445" s="11" t="s">
        <v>75</v>
      </c>
      <c r="E445" s="11" t="s">
        <v>30</v>
      </c>
      <c r="F445" s="5" t="str">
        <f t="shared" si="69"/>
        <v>Ravi</v>
      </c>
      <c r="G445" s="5" t="str">
        <f t="shared" si="70"/>
        <v/>
      </c>
      <c r="H445" s="5" t="str">
        <f t="shared" si="71"/>
        <v/>
      </c>
      <c r="I445" s="5" t="str">
        <f>_xlfn.XLOOKUP(F445,'[1]Jan Labour Nd Drivers Hyva'!$B:$B,'[2]Jan Labour Nd Drivers Hyva'!$A:$A,"NOT FOUND")</f>
        <v>LAB-003</v>
      </c>
      <c r="J445" s="5" t="str">
        <f>IF(G445="","",_xlfn.XLOOKUP(G445,'[3]Jan Labour Nd Drivers Hyva'!$B:$B,'[2]Jan Labour Nd Drivers Hyva'!$A:$A,"NOT FOUND"))</f>
        <v/>
      </c>
      <c r="K445" s="5" t="str">
        <f>IF(H445="","",_xlfn.XLOOKUP(H445,'[2]Jan Labour Nd Drivers Hyva'!$B:$B,'[2]Jan Labour Nd Drivers Hyva'!$A:$A,"NOT FOUND"))</f>
        <v/>
      </c>
      <c r="L445" s="11" t="s">
        <v>116</v>
      </c>
      <c r="M445" s="12">
        <v>1</v>
      </c>
      <c r="N445" s="13">
        <v>26000</v>
      </c>
      <c r="O445" s="8">
        <f t="shared" si="72"/>
        <v>26000</v>
      </c>
      <c r="P445" s="13">
        <v>26000</v>
      </c>
      <c r="Q445" s="7">
        <f t="shared" si="78"/>
        <v>0</v>
      </c>
      <c r="R445" t="str">
        <f t="shared" si="73"/>
        <v>PAID</v>
      </c>
      <c r="S445" s="3"/>
      <c r="T445" s="9">
        <f t="shared" si="74"/>
        <v>26000</v>
      </c>
      <c r="U445" t="str">
        <f t="shared" si="75"/>
        <v>OK</v>
      </c>
      <c r="V445" s="10">
        <f t="shared" si="76"/>
        <v>0</v>
      </c>
      <c r="W445" t="str">
        <f t="shared" si="77"/>
        <v>OK</v>
      </c>
      <c r="X445" s="3" t="s">
        <v>28</v>
      </c>
      <c r="Y445" t="s">
        <v>29</v>
      </c>
    </row>
    <row r="446" spans="1:25" x14ac:dyDescent="0.2">
      <c r="A446" t="str">
        <f t="shared" si="68"/>
        <v>TRIP-494</v>
      </c>
      <c r="B446" s="2">
        <v>45996</v>
      </c>
      <c r="C446" s="3" t="str">
        <f>_xlfn.XLOOKUP(D446,'[1]Jan Customer Duplicate Hyva'!$B:$B,'[1]Jan Customer Duplicate Hyva'!$A:$A,"NOT FOUND")</f>
        <v>CUST-236</v>
      </c>
      <c r="D446" s="11" t="s">
        <v>58</v>
      </c>
      <c r="E446" s="11" t="s">
        <v>30</v>
      </c>
      <c r="F446" s="5" t="str">
        <f t="shared" si="69"/>
        <v>Ravi</v>
      </c>
      <c r="G446" s="5" t="str">
        <f t="shared" si="70"/>
        <v/>
      </c>
      <c r="H446" s="5" t="str">
        <f t="shared" si="71"/>
        <v/>
      </c>
      <c r="I446" s="5" t="str">
        <f>_xlfn.XLOOKUP(F446,'[1]Jan Labour Nd Drivers Hyva'!$B:$B,'[2]Jan Labour Nd Drivers Hyva'!$A:$A,"NOT FOUND")</f>
        <v>LAB-003</v>
      </c>
      <c r="J446" s="5" t="str">
        <f>IF(G446="","",_xlfn.XLOOKUP(G446,'[3]Jan Labour Nd Drivers Hyva'!$B:$B,'[2]Jan Labour Nd Drivers Hyva'!$A:$A,"NOT FOUND"))</f>
        <v/>
      </c>
      <c r="K446" s="5" t="str">
        <f>IF(H446="","",_xlfn.XLOOKUP(H446,'[2]Jan Labour Nd Drivers Hyva'!$B:$B,'[2]Jan Labour Nd Drivers Hyva'!$A:$A,"NOT FOUND"))</f>
        <v/>
      </c>
      <c r="L446" s="11" t="s">
        <v>81</v>
      </c>
      <c r="M446" s="12">
        <v>1</v>
      </c>
      <c r="N446" s="13">
        <v>22000</v>
      </c>
      <c r="O446" s="8">
        <f t="shared" si="72"/>
        <v>22000</v>
      </c>
      <c r="P446" s="13"/>
      <c r="Q446" s="7">
        <f t="shared" si="78"/>
        <v>22000</v>
      </c>
      <c r="R446" t="str">
        <f t="shared" si="73"/>
        <v>UNPAID</v>
      </c>
      <c r="S446" s="3"/>
      <c r="T446" s="9">
        <f t="shared" si="74"/>
        <v>22000</v>
      </c>
      <c r="U446" t="str">
        <f t="shared" si="75"/>
        <v>OK</v>
      </c>
      <c r="V446" s="10">
        <f t="shared" si="76"/>
        <v>22000</v>
      </c>
      <c r="W446" t="str">
        <f t="shared" si="77"/>
        <v>OK</v>
      </c>
      <c r="X446" s="3" t="s">
        <v>28</v>
      </c>
      <c r="Y446" t="s">
        <v>29</v>
      </c>
    </row>
    <row r="447" spans="1:25" x14ac:dyDescent="0.2">
      <c r="A447" t="str">
        <f t="shared" si="68"/>
        <v>TRIP-495</v>
      </c>
      <c r="B447" s="2">
        <v>45996</v>
      </c>
      <c r="C447" s="3" t="str">
        <f>_xlfn.XLOOKUP(D447,'[1]Jan Customer Duplicate Hyva'!$B:$B,'[1]Jan Customer Duplicate Hyva'!$A:$A,"NOT FOUND")</f>
        <v>CUST-323</v>
      </c>
      <c r="D447" s="3" t="s">
        <v>51</v>
      </c>
      <c r="E447" s="11" t="s">
        <v>30</v>
      </c>
      <c r="F447" s="5" t="str">
        <f t="shared" si="69"/>
        <v>Ravi</v>
      </c>
      <c r="G447" s="5" t="str">
        <f t="shared" si="70"/>
        <v/>
      </c>
      <c r="H447" s="5" t="str">
        <f t="shared" si="71"/>
        <v/>
      </c>
      <c r="I447" s="5" t="str">
        <f>_xlfn.XLOOKUP(F447,'[1]Jan Labour Nd Drivers Hyva'!$B:$B,'[2]Jan Labour Nd Drivers Hyva'!$A:$A,"NOT FOUND")</f>
        <v>LAB-003</v>
      </c>
      <c r="J447" s="5" t="str">
        <f>IF(G447="","",_xlfn.XLOOKUP(G447,'[3]Jan Labour Nd Drivers Hyva'!$B:$B,'[2]Jan Labour Nd Drivers Hyva'!$A:$A,"NOT FOUND"))</f>
        <v/>
      </c>
      <c r="K447" s="5" t="str">
        <f>IF(H447="","",_xlfn.XLOOKUP(H447,'[2]Jan Labour Nd Drivers Hyva'!$B:$B,'[2]Jan Labour Nd Drivers Hyva'!$A:$A,"NOT FOUND"))</f>
        <v/>
      </c>
      <c r="L447" s="11" t="s">
        <v>89</v>
      </c>
      <c r="M447" s="12">
        <v>1</v>
      </c>
      <c r="N447" s="13">
        <v>26000</v>
      </c>
      <c r="O447" s="8">
        <f t="shared" si="72"/>
        <v>26000</v>
      </c>
      <c r="P447" s="13">
        <v>26000</v>
      </c>
      <c r="Q447" s="7">
        <f t="shared" si="78"/>
        <v>0</v>
      </c>
      <c r="R447" t="str">
        <f t="shared" si="73"/>
        <v>PAID</v>
      </c>
      <c r="S447" s="3"/>
      <c r="T447" s="9">
        <f t="shared" si="74"/>
        <v>26000</v>
      </c>
      <c r="U447" t="str">
        <f t="shared" si="75"/>
        <v>OK</v>
      </c>
      <c r="V447" s="10">
        <f t="shared" si="76"/>
        <v>0</v>
      </c>
      <c r="W447" t="str">
        <f t="shared" si="77"/>
        <v>OK</v>
      </c>
      <c r="X447" s="3" t="s">
        <v>28</v>
      </c>
      <c r="Y447" t="s">
        <v>29</v>
      </c>
    </row>
    <row r="448" spans="1:25" x14ac:dyDescent="0.2">
      <c r="A448" t="str">
        <f t="shared" si="68"/>
        <v>TRIP-496</v>
      </c>
      <c r="B448" s="2">
        <v>45996</v>
      </c>
      <c r="C448" s="3" t="str">
        <f>_xlfn.XLOOKUP(D448,'[1]Jan Customer Duplicate Hyva'!$B:$B,'[1]Jan Customer Duplicate Hyva'!$A:$A,"NOT FOUND")</f>
        <v>CUST-280</v>
      </c>
      <c r="D448" s="11" t="s">
        <v>171</v>
      </c>
      <c r="E448" s="11" t="s">
        <v>30</v>
      </c>
      <c r="F448" s="5" t="str">
        <f t="shared" si="69"/>
        <v>Ravi</v>
      </c>
      <c r="G448" s="5" t="str">
        <f t="shared" si="70"/>
        <v/>
      </c>
      <c r="H448" s="5" t="str">
        <f t="shared" si="71"/>
        <v/>
      </c>
      <c r="I448" s="5" t="str">
        <f>_xlfn.XLOOKUP(F448,'[1]Jan Labour Nd Drivers Hyva'!$B:$B,'[2]Jan Labour Nd Drivers Hyva'!$A:$A,"NOT FOUND")</f>
        <v>LAB-003</v>
      </c>
      <c r="J448" s="5" t="str">
        <f>IF(G448="","",_xlfn.XLOOKUP(G448,'[3]Jan Labour Nd Drivers Hyva'!$B:$B,'[2]Jan Labour Nd Drivers Hyva'!$A:$A,"NOT FOUND"))</f>
        <v/>
      </c>
      <c r="K448" s="5" t="str">
        <f>IF(H448="","",_xlfn.XLOOKUP(H448,'[2]Jan Labour Nd Drivers Hyva'!$B:$B,'[2]Jan Labour Nd Drivers Hyva'!$A:$A,"NOT FOUND"))</f>
        <v/>
      </c>
      <c r="L448" s="11" t="s">
        <v>297</v>
      </c>
      <c r="M448" s="12">
        <v>1</v>
      </c>
      <c r="N448" s="13">
        <v>32000</v>
      </c>
      <c r="O448" s="8">
        <f t="shared" si="72"/>
        <v>32000</v>
      </c>
      <c r="P448" s="13">
        <v>32000</v>
      </c>
      <c r="Q448" s="7">
        <f t="shared" si="78"/>
        <v>0</v>
      </c>
      <c r="R448" t="str">
        <f t="shared" si="73"/>
        <v>PAID</v>
      </c>
      <c r="S448" s="3"/>
      <c r="T448" s="9">
        <f t="shared" si="74"/>
        <v>32000</v>
      </c>
      <c r="U448" t="str">
        <f t="shared" si="75"/>
        <v>OK</v>
      </c>
      <c r="V448" s="10">
        <f t="shared" si="76"/>
        <v>0</v>
      </c>
      <c r="W448" t="str">
        <f t="shared" si="77"/>
        <v>OK</v>
      </c>
      <c r="X448" s="3" t="s">
        <v>28</v>
      </c>
      <c r="Y448" t="s">
        <v>29</v>
      </c>
    </row>
    <row r="449" spans="1:25" x14ac:dyDescent="0.2">
      <c r="A449" t="str">
        <f t="shared" si="68"/>
        <v>TRIP-497</v>
      </c>
      <c r="B449" s="2">
        <v>45997</v>
      </c>
      <c r="C449" s="3" t="str">
        <f>_xlfn.XLOOKUP(D449,'[1]Jan Customer Duplicate Hyva'!$B:$B,'[1]Jan Customer Duplicate Hyva'!$A:$A,"NOT FOUND")</f>
        <v>CUST-256</v>
      </c>
      <c r="D449" s="11" t="s">
        <v>325</v>
      </c>
      <c r="E449" s="11" t="s">
        <v>30</v>
      </c>
      <c r="F449" s="5" t="str">
        <f t="shared" si="69"/>
        <v>Ravi</v>
      </c>
      <c r="G449" s="5" t="str">
        <f t="shared" si="70"/>
        <v/>
      </c>
      <c r="H449" s="5" t="str">
        <f t="shared" si="71"/>
        <v/>
      </c>
      <c r="I449" s="5" t="str">
        <f>_xlfn.XLOOKUP(F449,'[1]Jan Labour Nd Drivers Hyva'!$B:$B,'[2]Jan Labour Nd Drivers Hyva'!$A:$A,"NOT FOUND")</f>
        <v>LAB-003</v>
      </c>
      <c r="J449" s="5" t="str">
        <f>IF(G449="","",_xlfn.XLOOKUP(G449,'[3]Jan Labour Nd Drivers Hyva'!$B:$B,'[2]Jan Labour Nd Drivers Hyva'!$A:$A,"NOT FOUND"))</f>
        <v/>
      </c>
      <c r="K449" s="5" t="str">
        <f>IF(H449="","",_xlfn.XLOOKUP(H449,'[2]Jan Labour Nd Drivers Hyva'!$B:$B,'[2]Jan Labour Nd Drivers Hyva'!$A:$A,"NOT FOUND"))</f>
        <v/>
      </c>
      <c r="L449" s="11" t="s">
        <v>157</v>
      </c>
      <c r="M449" s="12">
        <v>1</v>
      </c>
      <c r="N449" s="13">
        <v>23000</v>
      </c>
      <c r="O449" s="8">
        <f t="shared" si="72"/>
        <v>23000</v>
      </c>
      <c r="P449" s="13">
        <v>23000</v>
      </c>
      <c r="Q449" s="7">
        <f t="shared" si="78"/>
        <v>0</v>
      </c>
      <c r="R449" t="str">
        <f t="shared" si="73"/>
        <v>PAID</v>
      </c>
      <c r="S449" s="3"/>
      <c r="T449" s="9">
        <f t="shared" si="74"/>
        <v>23000</v>
      </c>
      <c r="U449" t="str">
        <f t="shared" si="75"/>
        <v>OK</v>
      </c>
      <c r="V449" s="10">
        <f t="shared" si="76"/>
        <v>0</v>
      </c>
      <c r="W449" t="str">
        <f t="shared" si="77"/>
        <v>OK</v>
      </c>
      <c r="X449" s="3" t="s">
        <v>28</v>
      </c>
      <c r="Y449" t="s">
        <v>29</v>
      </c>
    </row>
    <row r="450" spans="1:25" x14ac:dyDescent="0.2">
      <c r="A450" t="str">
        <f t="shared" si="68"/>
        <v>TRIP-498</v>
      </c>
      <c r="B450" s="2">
        <v>45997</v>
      </c>
      <c r="C450" s="3" t="str">
        <f>_xlfn.XLOOKUP(D450,'[1]Jan Customer Duplicate Hyva'!$B:$B,'[1]Jan Customer Duplicate Hyva'!$A:$A,"NOT FOUND")</f>
        <v>CUST-380</v>
      </c>
      <c r="D450" s="11" t="s">
        <v>112</v>
      </c>
      <c r="E450" s="11" t="s">
        <v>30</v>
      </c>
      <c r="F450" s="5" t="str">
        <f t="shared" si="69"/>
        <v>Ravi</v>
      </c>
      <c r="G450" s="5" t="str">
        <f t="shared" si="70"/>
        <v/>
      </c>
      <c r="H450" s="5" t="str">
        <f t="shared" si="71"/>
        <v/>
      </c>
      <c r="I450" s="5" t="str">
        <f>_xlfn.XLOOKUP(F450,'[1]Jan Labour Nd Drivers Hyva'!$B:$B,'[2]Jan Labour Nd Drivers Hyva'!$A:$A,"NOT FOUND")</f>
        <v>LAB-003</v>
      </c>
      <c r="J450" s="5" t="str">
        <f>IF(G450="","",_xlfn.XLOOKUP(G450,'[3]Jan Labour Nd Drivers Hyva'!$B:$B,'[2]Jan Labour Nd Drivers Hyva'!$A:$A,"NOT FOUND"))</f>
        <v/>
      </c>
      <c r="K450" s="5" t="str">
        <f>IF(H450="","",_xlfn.XLOOKUP(H450,'[2]Jan Labour Nd Drivers Hyva'!$B:$B,'[2]Jan Labour Nd Drivers Hyva'!$A:$A,"NOT FOUND"))</f>
        <v/>
      </c>
      <c r="L450" s="11" t="s">
        <v>305</v>
      </c>
      <c r="M450" s="12">
        <v>1</v>
      </c>
      <c r="N450" s="13">
        <v>23000</v>
      </c>
      <c r="O450" s="8">
        <f t="shared" si="72"/>
        <v>23000</v>
      </c>
      <c r="P450" s="13"/>
      <c r="Q450" s="7">
        <f t="shared" si="78"/>
        <v>23000</v>
      </c>
      <c r="R450" t="str">
        <f t="shared" si="73"/>
        <v>UNPAID</v>
      </c>
      <c r="S450" s="3"/>
      <c r="T450" s="9">
        <f t="shared" si="74"/>
        <v>23000</v>
      </c>
      <c r="U450" t="str">
        <f t="shared" si="75"/>
        <v>OK</v>
      </c>
      <c r="V450" s="10">
        <f t="shared" si="76"/>
        <v>23000</v>
      </c>
      <c r="W450" t="str">
        <f t="shared" si="77"/>
        <v>OK</v>
      </c>
      <c r="X450" s="3" t="s">
        <v>28</v>
      </c>
      <c r="Y450" t="s">
        <v>29</v>
      </c>
    </row>
    <row r="451" spans="1:25" x14ac:dyDescent="0.2">
      <c r="A451" t="str">
        <f t="shared" ref="A451:A514" si="79">"TRIP-"&amp;TEXT(ROW()+48,"000")</f>
        <v>TRIP-499</v>
      </c>
      <c r="B451" s="2">
        <v>45997</v>
      </c>
      <c r="C451" s="3" t="str">
        <f>_xlfn.XLOOKUP(D451,'[1]Jan Customer Duplicate Hyva'!$B:$B,'[1]Jan Customer Duplicate Hyva'!$A:$A,"NOT FOUND")</f>
        <v>CUST-236</v>
      </c>
      <c r="D451" s="11" t="s">
        <v>58</v>
      </c>
      <c r="E451" s="11" t="s">
        <v>30</v>
      </c>
      <c r="F451" s="5" t="str">
        <f t="shared" ref="F451:F514" si="80">TRIM(_xlfn.TEXTBEFORE(E451&amp;" / "," / "))</f>
        <v>Ravi</v>
      </c>
      <c r="G451" s="5" t="str">
        <f t="shared" ref="G451:G514" si="81">IFERROR(TRIM(_xlfn.TEXTBEFORE(_xlfn.TEXTAFTER(E451," / ")&amp;" / "," / ")),"")</f>
        <v/>
      </c>
      <c r="H451" s="5" t="str">
        <f t="shared" ref="H451:H514" si="82">IFERROR(TRIM(_xlfn.TEXTAFTER(E451," / ","2")),"")</f>
        <v/>
      </c>
      <c r="I451" s="5" t="str">
        <f>_xlfn.XLOOKUP(F451,'[1]Jan Labour Nd Drivers Hyva'!$B:$B,'[2]Jan Labour Nd Drivers Hyva'!$A:$A,"NOT FOUND")</f>
        <v>LAB-003</v>
      </c>
      <c r="J451" s="5" t="str">
        <f>IF(G451="","",_xlfn.XLOOKUP(G451,'[3]Jan Labour Nd Drivers Hyva'!$B:$B,'[2]Jan Labour Nd Drivers Hyva'!$A:$A,"NOT FOUND"))</f>
        <v/>
      </c>
      <c r="K451" s="5" t="str">
        <f>IF(H451="","",_xlfn.XLOOKUP(H451,'[2]Jan Labour Nd Drivers Hyva'!$B:$B,'[2]Jan Labour Nd Drivers Hyva'!$A:$A,"NOT FOUND"))</f>
        <v/>
      </c>
      <c r="L451" s="11" t="s">
        <v>45</v>
      </c>
      <c r="M451" s="12">
        <v>1</v>
      </c>
      <c r="N451" s="13">
        <v>23000</v>
      </c>
      <c r="O451" s="8">
        <f t="shared" ref="O451:O514" si="83">N451*M451</f>
        <v>23000</v>
      </c>
      <c r="P451" s="13"/>
      <c r="Q451" s="7">
        <f t="shared" si="78"/>
        <v>23000</v>
      </c>
      <c r="R451" t="str">
        <f t="shared" ref="R451:R514" si="84">IF(Q451=0,"PAID",IF(P451=0,"UNPAID","PARTIAL"))</f>
        <v>UNPAID</v>
      </c>
      <c r="S451" s="3"/>
      <c r="T451" s="9">
        <f t="shared" ref="T451:T514" si="85">M451*N451</f>
        <v>23000</v>
      </c>
      <c r="U451" t="str">
        <f t="shared" ref="U451:U514" si="86">IF(ROUND(T451,2)=ROUND(O451,2),"OK","CHECK")</f>
        <v>OK</v>
      </c>
      <c r="V451" s="10">
        <f t="shared" ref="V451:V514" si="87">O451-P451</f>
        <v>23000</v>
      </c>
      <c r="W451" t="str">
        <f t="shared" ref="W451:W514" si="88">IF(ROUND(V451,2)=ROUND(Q451,2),"OK","CHECK")</f>
        <v>OK</v>
      </c>
      <c r="X451" s="3" t="s">
        <v>28</v>
      </c>
      <c r="Y451" t="s">
        <v>29</v>
      </c>
    </row>
    <row r="452" spans="1:25" x14ac:dyDescent="0.2">
      <c r="A452" t="str">
        <f t="shared" si="79"/>
        <v>TRIP-500</v>
      </c>
      <c r="B452" s="2">
        <v>45997</v>
      </c>
      <c r="C452" s="3" t="str">
        <f>_xlfn.XLOOKUP(D452,'[1]Jan Customer Duplicate Hyva'!$B:$B,'[1]Jan Customer Duplicate Hyva'!$A:$A,"NOT FOUND")</f>
        <v>CUST-054</v>
      </c>
      <c r="D452" s="11" t="s">
        <v>216</v>
      </c>
      <c r="E452" s="11" t="s">
        <v>30</v>
      </c>
      <c r="F452" s="5" t="str">
        <f t="shared" si="80"/>
        <v>Ravi</v>
      </c>
      <c r="G452" s="5" t="str">
        <f t="shared" si="81"/>
        <v/>
      </c>
      <c r="H452" s="5" t="str">
        <f t="shared" si="82"/>
        <v/>
      </c>
      <c r="I452" s="5" t="str">
        <f>_xlfn.XLOOKUP(F452,'[1]Jan Labour Nd Drivers Hyva'!$B:$B,'[2]Jan Labour Nd Drivers Hyva'!$A:$A,"NOT FOUND")</f>
        <v>LAB-003</v>
      </c>
      <c r="J452" s="5" t="str">
        <f>IF(G452="","",_xlfn.XLOOKUP(G452,'[3]Jan Labour Nd Drivers Hyva'!$B:$B,'[2]Jan Labour Nd Drivers Hyva'!$A:$A,"NOT FOUND"))</f>
        <v/>
      </c>
      <c r="K452" s="5" t="str">
        <f>IF(H452="","",_xlfn.XLOOKUP(H452,'[2]Jan Labour Nd Drivers Hyva'!$B:$B,'[2]Jan Labour Nd Drivers Hyva'!$A:$A,"NOT FOUND"))</f>
        <v/>
      </c>
      <c r="L452" s="11" t="s">
        <v>330</v>
      </c>
      <c r="M452" s="12">
        <v>1</v>
      </c>
      <c r="N452" s="13">
        <v>24000</v>
      </c>
      <c r="O452" s="8">
        <f t="shared" si="83"/>
        <v>24000</v>
      </c>
      <c r="P452" s="13">
        <v>24000</v>
      </c>
      <c r="Q452" s="7">
        <f t="shared" si="78"/>
        <v>0</v>
      </c>
      <c r="R452" t="str">
        <f t="shared" si="84"/>
        <v>PAID</v>
      </c>
      <c r="S452" s="3"/>
      <c r="T452" s="9">
        <f t="shared" si="85"/>
        <v>24000</v>
      </c>
      <c r="U452" t="str">
        <f t="shared" si="86"/>
        <v>OK</v>
      </c>
      <c r="V452" s="10">
        <f t="shared" si="87"/>
        <v>0</v>
      </c>
      <c r="W452" t="str">
        <f t="shared" si="88"/>
        <v>OK</v>
      </c>
      <c r="X452" s="3" t="s">
        <v>28</v>
      </c>
      <c r="Y452" t="s">
        <v>29</v>
      </c>
    </row>
    <row r="453" spans="1:25" x14ac:dyDescent="0.2">
      <c r="A453" t="str">
        <f t="shared" si="79"/>
        <v>TRIP-501</v>
      </c>
      <c r="B453" s="2">
        <v>45997</v>
      </c>
      <c r="C453" s="3" t="str">
        <f>_xlfn.XLOOKUP(D453,'[1]Jan Customer Duplicate Hyva'!$B:$B,'[1]Jan Customer Duplicate Hyva'!$A:$A,"NOT FOUND")</f>
        <v>CUST-120</v>
      </c>
      <c r="D453" s="11" t="s">
        <v>122</v>
      </c>
      <c r="E453" s="11" t="s">
        <v>309</v>
      </c>
      <c r="F453" s="5" t="str">
        <f t="shared" si="80"/>
        <v>Santosh</v>
      </c>
      <c r="G453" s="5" t="str">
        <f t="shared" si="81"/>
        <v/>
      </c>
      <c r="H453" s="5" t="str">
        <f t="shared" si="82"/>
        <v/>
      </c>
      <c r="I453" s="5" t="str">
        <f>_xlfn.XLOOKUP(F453,'[1]Jan Labour Nd Drivers Hyva'!$B:$B,'[2]Jan Labour Nd Drivers Hyva'!$A:$A,"NOT FOUND")</f>
        <v>LAB-009</v>
      </c>
      <c r="J453" s="5" t="str">
        <f>IF(G453="","",_xlfn.XLOOKUP(G453,'[3]Jan Labour Nd Drivers Hyva'!$B:$B,'[2]Jan Labour Nd Drivers Hyva'!$A:$A,"NOT FOUND"))</f>
        <v/>
      </c>
      <c r="K453" s="5" t="str">
        <f>IF(H453="","",_xlfn.XLOOKUP(H453,'[2]Jan Labour Nd Drivers Hyva'!$B:$B,'[2]Jan Labour Nd Drivers Hyva'!$A:$A,"NOT FOUND"))</f>
        <v/>
      </c>
      <c r="L453" s="11" t="s">
        <v>305</v>
      </c>
      <c r="M453" s="12">
        <v>1</v>
      </c>
      <c r="N453" s="13">
        <v>25000</v>
      </c>
      <c r="O453" s="8">
        <f t="shared" si="83"/>
        <v>25000</v>
      </c>
      <c r="P453" s="13">
        <v>25000</v>
      </c>
      <c r="Q453" s="7">
        <f t="shared" si="78"/>
        <v>0</v>
      </c>
      <c r="R453" t="str">
        <f t="shared" si="84"/>
        <v>PAID</v>
      </c>
      <c r="S453" s="3"/>
      <c r="T453" s="9">
        <f t="shared" si="85"/>
        <v>25000</v>
      </c>
      <c r="U453" t="str">
        <f t="shared" si="86"/>
        <v>OK</v>
      </c>
      <c r="V453" s="10">
        <f t="shared" si="87"/>
        <v>0</v>
      </c>
      <c r="W453" t="str">
        <f t="shared" si="88"/>
        <v>OK</v>
      </c>
      <c r="X453" s="3" t="s">
        <v>28</v>
      </c>
      <c r="Y453" t="s">
        <v>29</v>
      </c>
    </row>
    <row r="454" spans="1:25" x14ac:dyDescent="0.2">
      <c r="A454" t="str">
        <f t="shared" si="79"/>
        <v>TRIP-502</v>
      </c>
      <c r="B454" s="2">
        <v>45998</v>
      </c>
      <c r="C454" s="3" t="str">
        <f>_xlfn.XLOOKUP(D454,'[1]Jan Customer Duplicate Hyva'!$B:$B,'[1]Jan Customer Duplicate Hyva'!$A:$A,"NOT FOUND")</f>
        <v>CUST-323</v>
      </c>
      <c r="D454" s="3" t="s">
        <v>51</v>
      </c>
      <c r="E454" s="11" t="s">
        <v>30</v>
      </c>
      <c r="F454" s="5" t="str">
        <f t="shared" si="80"/>
        <v>Ravi</v>
      </c>
      <c r="G454" s="5" t="str">
        <f t="shared" si="81"/>
        <v/>
      </c>
      <c r="H454" s="5" t="str">
        <f t="shared" si="82"/>
        <v/>
      </c>
      <c r="I454" s="5" t="str">
        <f>_xlfn.XLOOKUP(F454,'[1]Jan Labour Nd Drivers Hyva'!$B:$B,'[2]Jan Labour Nd Drivers Hyva'!$A:$A,"NOT FOUND")</f>
        <v>LAB-003</v>
      </c>
      <c r="J454" s="5" t="str">
        <f>IF(G454="","",_xlfn.XLOOKUP(G454,'[3]Jan Labour Nd Drivers Hyva'!$B:$B,'[2]Jan Labour Nd Drivers Hyva'!$A:$A,"NOT FOUND"))</f>
        <v/>
      </c>
      <c r="K454" s="5" t="str">
        <f>IF(H454="","",_xlfn.XLOOKUP(H454,'[2]Jan Labour Nd Drivers Hyva'!$B:$B,'[2]Jan Labour Nd Drivers Hyva'!$A:$A,"NOT FOUND"))</f>
        <v/>
      </c>
      <c r="L454" s="11" t="s">
        <v>331</v>
      </c>
      <c r="M454" s="12">
        <v>1</v>
      </c>
      <c r="N454" s="13">
        <v>26000</v>
      </c>
      <c r="O454" s="8">
        <f t="shared" si="83"/>
        <v>26000</v>
      </c>
      <c r="P454" s="13">
        <v>26000</v>
      </c>
      <c r="Q454" s="7">
        <f t="shared" si="78"/>
        <v>0</v>
      </c>
      <c r="R454" t="str">
        <f t="shared" si="84"/>
        <v>PAID</v>
      </c>
      <c r="S454" s="3"/>
      <c r="T454" s="9">
        <f t="shared" si="85"/>
        <v>26000</v>
      </c>
      <c r="U454" t="str">
        <f t="shared" si="86"/>
        <v>OK</v>
      </c>
      <c r="V454" s="10">
        <f t="shared" si="87"/>
        <v>0</v>
      </c>
      <c r="W454" t="str">
        <f t="shared" si="88"/>
        <v>OK</v>
      </c>
      <c r="X454" s="3" t="s">
        <v>28</v>
      </c>
      <c r="Y454" t="s">
        <v>29</v>
      </c>
    </row>
    <row r="455" spans="1:25" x14ac:dyDescent="0.2">
      <c r="A455" t="str">
        <f t="shared" si="79"/>
        <v>TRIP-503</v>
      </c>
      <c r="B455" s="2">
        <v>45998</v>
      </c>
      <c r="C455" s="3" t="str">
        <f>_xlfn.XLOOKUP(D455,'[1]Jan Customer Duplicate Hyva'!$B:$B,'[1]Jan Customer Duplicate Hyva'!$A:$A,"NOT FOUND")</f>
        <v>CUST-380</v>
      </c>
      <c r="D455" s="11" t="s">
        <v>112</v>
      </c>
      <c r="E455" s="11" t="s">
        <v>30</v>
      </c>
      <c r="F455" s="5" t="str">
        <f t="shared" si="80"/>
        <v>Ravi</v>
      </c>
      <c r="G455" s="5" t="str">
        <f t="shared" si="81"/>
        <v/>
      </c>
      <c r="H455" s="5" t="str">
        <f t="shared" si="82"/>
        <v/>
      </c>
      <c r="I455" s="5" t="str">
        <f>_xlfn.XLOOKUP(F455,'[1]Jan Labour Nd Drivers Hyva'!$B:$B,'[2]Jan Labour Nd Drivers Hyva'!$A:$A,"NOT FOUND")</f>
        <v>LAB-003</v>
      </c>
      <c r="J455" s="5" t="str">
        <f>IF(G455="","",_xlfn.XLOOKUP(G455,'[3]Jan Labour Nd Drivers Hyva'!$B:$B,'[2]Jan Labour Nd Drivers Hyva'!$A:$A,"NOT FOUND"))</f>
        <v/>
      </c>
      <c r="K455" s="5" t="str">
        <f>IF(H455="","",_xlfn.XLOOKUP(H455,'[2]Jan Labour Nd Drivers Hyva'!$B:$B,'[2]Jan Labour Nd Drivers Hyva'!$A:$A,"NOT FOUND"))</f>
        <v/>
      </c>
      <c r="L455" s="11" t="s">
        <v>185</v>
      </c>
      <c r="M455" s="12">
        <v>1</v>
      </c>
      <c r="N455" s="13">
        <v>23000</v>
      </c>
      <c r="O455" s="8">
        <f t="shared" si="83"/>
        <v>23000</v>
      </c>
      <c r="P455" s="13"/>
      <c r="Q455" s="7">
        <f t="shared" si="78"/>
        <v>23000</v>
      </c>
      <c r="R455" t="str">
        <f t="shared" si="84"/>
        <v>UNPAID</v>
      </c>
      <c r="S455" s="3"/>
      <c r="T455" s="9">
        <f t="shared" si="85"/>
        <v>23000</v>
      </c>
      <c r="U455" t="str">
        <f t="shared" si="86"/>
        <v>OK</v>
      </c>
      <c r="V455" s="10">
        <f t="shared" si="87"/>
        <v>23000</v>
      </c>
      <c r="W455" t="str">
        <f t="shared" si="88"/>
        <v>OK</v>
      </c>
      <c r="X455" s="3" t="s">
        <v>28</v>
      </c>
      <c r="Y455" t="s">
        <v>29</v>
      </c>
    </row>
    <row r="456" spans="1:25" x14ac:dyDescent="0.2">
      <c r="A456" t="str">
        <f t="shared" si="79"/>
        <v>TRIP-504</v>
      </c>
      <c r="B456" s="2">
        <v>45998</v>
      </c>
      <c r="C456" s="3" t="str">
        <f>_xlfn.XLOOKUP(D456,'[1]Jan Customer Duplicate Hyva'!$B:$B,'[1]Jan Customer Duplicate Hyva'!$A:$A,"NOT FOUND")</f>
        <v>CUST-207</v>
      </c>
      <c r="D456" s="11" t="s">
        <v>25</v>
      </c>
      <c r="E456" s="11" t="s">
        <v>30</v>
      </c>
      <c r="F456" s="5" t="str">
        <f t="shared" si="80"/>
        <v>Ravi</v>
      </c>
      <c r="G456" s="5" t="str">
        <f t="shared" si="81"/>
        <v/>
      </c>
      <c r="H456" s="5" t="str">
        <f t="shared" si="82"/>
        <v/>
      </c>
      <c r="I456" s="5" t="str">
        <f>_xlfn.XLOOKUP(F456,'[1]Jan Labour Nd Drivers Hyva'!$B:$B,'[2]Jan Labour Nd Drivers Hyva'!$A:$A,"NOT FOUND")</f>
        <v>LAB-003</v>
      </c>
      <c r="J456" s="5" t="str">
        <f>IF(G456="","",_xlfn.XLOOKUP(G456,'[3]Jan Labour Nd Drivers Hyva'!$B:$B,'[2]Jan Labour Nd Drivers Hyva'!$A:$A,"NOT FOUND"))</f>
        <v/>
      </c>
      <c r="K456" s="5" t="str">
        <f>IF(H456="","",_xlfn.XLOOKUP(H456,'[2]Jan Labour Nd Drivers Hyva'!$B:$B,'[2]Jan Labour Nd Drivers Hyva'!$A:$A,"NOT FOUND"))</f>
        <v/>
      </c>
      <c r="L456" s="11" t="s">
        <v>332</v>
      </c>
      <c r="M456" s="12">
        <v>1</v>
      </c>
      <c r="N456" s="13">
        <v>23000</v>
      </c>
      <c r="O456" s="8">
        <f t="shared" si="83"/>
        <v>23000</v>
      </c>
      <c r="P456" s="13"/>
      <c r="Q456" s="7">
        <f t="shared" si="78"/>
        <v>23000</v>
      </c>
      <c r="R456" t="str">
        <f t="shared" si="84"/>
        <v>UNPAID</v>
      </c>
      <c r="S456" s="3"/>
      <c r="T456" s="9">
        <f t="shared" si="85"/>
        <v>23000</v>
      </c>
      <c r="U456" t="str">
        <f t="shared" si="86"/>
        <v>OK</v>
      </c>
      <c r="V456" s="10">
        <f t="shared" si="87"/>
        <v>23000</v>
      </c>
      <c r="W456" t="str">
        <f t="shared" si="88"/>
        <v>OK</v>
      </c>
      <c r="X456" s="3" t="s">
        <v>28</v>
      </c>
      <c r="Y456" t="s">
        <v>29</v>
      </c>
    </row>
    <row r="457" spans="1:25" x14ac:dyDescent="0.2">
      <c r="A457" t="str">
        <f t="shared" si="79"/>
        <v>TRIP-505</v>
      </c>
      <c r="B457" s="2">
        <v>45998</v>
      </c>
      <c r="C457" s="3" t="str">
        <f>_xlfn.XLOOKUP(D457,'[1]Jan Customer Duplicate Hyva'!$B:$B,'[1]Jan Customer Duplicate Hyva'!$A:$A,"NOT FOUND")</f>
        <v>CUST-207</v>
      </c>
      <c r="D457" s="11" t="s">
        <v>25</v>
      </c>
      <c r="E457" s="11" t="s">
        <v>309</v>
      </c>
      <c r="F457" s="5" t="str">
        <f t="shared" si="80"/>
        <v>Santosh</v>
      </c>
      <c r="G457" s="5" t="str">
        <f t="shared" si="81"/>
        <v/>
      </c>
      <c r="H457" s="5" t="str">
        <f t="shared" si="82"/>
        <v/>
      </c>
      <c r="I457" s="5" t="str">
        <f>_xlfn.XLOOKUP(F457,'[1]Jan Labour Nd Drivers Hyva'!$B:$B,'[2]Jan Labour Nd Drivers Hyva'!$A:$A,"NOT FOUND")</f>
        <v>LAB-009</v>
      </c>
      <c r="J457" s="5" t="str">
        <f>IF(G457="","",_xlfn.XLOOKUP(G457,'[3]Jan Labour Nd Drivers Hyva'!$B:$B,'[2]Jan Labour Nd Drivers Hyva'!$A:$A,"NOT FOUND"))</f>
        <v/>
      </c>
      <c r="K457" s="5" t="str">
        <f>IF(H457="","",_xlfn.XLOOKUP(H457,'[2]Jan Labour Nd Drivers Hyva'!$B:$B,'[2]Jan Labour Nd Drivers Hyva'!$A:$A,"NOT FOUND"))</f>
        <v/>
      </c>
      <c r="L457" s="11" t="s">
        <v>333</v>
      </c>
      <c r="M457" s="12">
        <v>1</v>
      </c>
      <c r="N457" s="13">
        <v>23000</v>
      </c>
      <c r="O457" s="8">
        <f t="shared" si="83"/>
        <v>23000</v>
      </c>
      <c r="P457" s="13"/>
      <c r="Q457" s="7">
        <f t="shared" si="78"/>
        <v>23000</v>
      </c>
      <c r="R457" t="str">
        <f t="shared" si="84"/>
        <v>UNPAID</v>
      </c>
      <c r="S457" s="3"/>
      <c r="T457" s="9">
        <f t="shared" si="85"/>
        <v>23000</v>
      </c>
      <c r="U457" t="str">
        <f t="shared" si="86"/>
        <v>OK</v>
      </c>
      <c r="V457" s="10">
        <f t="shared" si="87"/>
        <v>23000</v>
      </c>
      <c r="W457" t="str">
        <f t="shared" si="88"/>
        <v>OK</v>
      </c>
      <c r="X457" s="3" t="s">
        <v>28</v>
      </c>
      <c r="Y457" t="s">
        <v>29</v>
      </c>
    </row>
    <row r="458" spans="1:25" x14ac:dyDescent="0.2">
      <c r="A458" t="str">
        <f t="shared" si="79"/>
        <v>TRIP-506</v>
      </c>
      <c r="B458" s="2">
        <v>45999</v>
      </c>
      <c r="C458" s="3" t="str">
        <f>_xlfn.XLOOKUP(D458,'[1]Jan Customer Duplicate Hyva'!$B:$B,'[1]Jan Customer Duplicate Hyva'!$A:$A,"NOT FOUND")</f>
        <v>CUST-280</v>
      </c>
      <c r="D458" s="11" t="s">
        <v>171</v>
      </c>
      <c r="E458" s="11" t="s">
        <v>268</v>
      </c>
      <c r="F458" s="5" t="str">
        <f t="shared" si="80"/>
        <v>Anna</v>
      </c>
      <c r="G458" s="5" t="str">
        <f t="shared" si="81"/>
        <v/>
      </c>
      <c r="H458" s="5" t="str">
        <f t="shared" si="82"/>
        <v/>
      </c>
      <c r="I458" s="5" t="str">
        <f>_xlfn.XLOOKUP(F458,'[1]Jan Labour Nd Drivers Hyva'!$B:$B,'[2]Jan Labour Nd Drivers Hyva'!$A:$A,"NOT FOUND")</f>
        <v>LAB-004</v>
      </c>
      <c r="J458" s="5" t="str">
        <f>IF(G458="","",_xlfn.XLOOKUP(G458,'[3]Jan Labour Nd Drivers Hyva'!$B:$B,'[2]Jan Labour Nd Drivers Hyva'!$A:$A,"NOT FOUND"))</f>
        <v/>
      </c>
      <c r="K458" s="5" t="str">
        <f>IF(H458="","",_xlfn.XLOOKUP(H458,'[2]Jan Labour Nd Drivers Hyva'!$B:$B,'[2]Jan Labour Nd Drivers Hyva'!$A:$A,"NOT FOUND"))</f>
        <v/>
      </c>
      <c r="L458" s="11" t="s">
        <v>334</v>
      </c>
      <c r="M458" s="12">
        <v>1</v>
      </c>
      <c r="N458" s="13">
        <v>32000</v>
      </c>
      <c r="O458" s="8">
        <f t="shared" si="83"/>
        <v>32000</v>
      </c>
      <c r="P458" s="13">
        <v>32000</v>
      </c>
      <c r="Q458" s="7">
        <f t="shared" si="78"/>
        <v>0</v>
      </c>
      <c r="R458" t="str">
        <f t="shared" si="84"/>
        <v>PAID</v>
      </c>
      <c r="S458" s="3"/>
      <c r="T458" s="9">
        <f t="shared" si="85"/>
        <v>32000</v>
      </c>
      <c r="U458" t="str">
        <f t="shared" si="86"/>
        <v>OK</v>
      </c>
      <c r="V458" s="10">
        <f t="shared" si="87"/>
        <v>0</v>
      </c>
      <c r="W458" t="str">
        <f t="shared" si="88"/>
        <v>OK</v>
      </c>
      <c r="X458" s="3" t="s">
        <v>28</v>
      </c>
      <c r="Y458" t="s">
        <v>29</v>
      </c>
    </row>
    <row r="459" spans="1:25" x14ac:dyDescent="0.2">
      <c r="A459" t="str">
        <f t="shared" si="79"/>
        <v>TRIP-507</v>
      </c>
      <c r="B459" s="2">
        <v>45999</v>
      </c>
      <c r="C459" s="3" t="str">
        <f>_xlfn.XLOOKUP(D459,'[1]Jan Customer Duplicate Hyva'!$B:$B,'[1]Jan Customer Duplicate Hyva'!$A:$A,"NOT FOUND")</f>
        <v>CUST-003</v>
      </c>
      <c r="D459" s="11" t="s">
        <v>318</v>
      </c>
      <c r="E459" s="11" t="s">
        <v>268</v>
      </c>
      <c r="F459" s="5" t="str">
        <f t="shared" si="80"/>
        <v>Anna</v>
      </c>
      <c r="G459" s="5" t="str">
        <f t="shared" si="81"/>
        <v/>
      </c>
      <c r="H459" s="5" t="str">
        <f t="shared" si="82"/>
        <v/>
      </c>
      <c r="I459" s="5" t="str">
        <f>_xlfn.XLOOKUP(F459,'[1]Jan Labour Nd Drivers Hyva'!$B:$B,'[2]Jan Labour Nd Drivers Hyva'!$A:$A,"NOT FOUND")</f>
        <v>LAB-004</v>
      </c>
      <c r="J459" s="5" t="str">
        <f>IF(G459="","",_xlfn.XLOOKUP(G459,'[3]Jan Labour Nd Drivers Hyva'!$B:$B,'[2]Jan Labour Nd Drivers Hyva'!$A:$A,"NOT FOUND"))</f>
        <v/>
      </c>
      <c r="K459" s="5" t="str">
        <f>IF(H459="","",_xlfn.XLOOKUP(H459,'[2]Jan Labour Nd Drivers Hyva'!$B:$B,'[2]Jan Labour Nd Drivers Hyva'!$A:$A,"NOT FOUND"))</f>
        <v/>
      </c>
      <c r="L459" s="11" t="s">
        <v>319</v>
      </c>
      <c r="M459" s="12">
        <v>1</v>
      </c>
      <c r="N459" s="13">
        <v>25500</v>
      </c>
      <c r="O459" s="8">
        <f t="shared" si="83"/>
        <v>25500</v>
      </c>
      <c r="P459" s="13">
        <v>25500</v>
      </c>
      <c r="Q459" s="7">
        <f t="shared" si="78"/>
        <v>0</v>
      </c>
      <c r="R459" t="str">
        <f t="shared" si="84"/>
        <v>PAID</v>
      </c>
      <c r="S459" s="3"/>
      <c r="T459" s="9">
        <f t="shared" si="85"/>
        <v>25500</v>
      </c>
      <c r="U459" t="str">
        <f t="shared" si="86"/>
        <v>OK</v>
      </c>
      <c r="V459" s="10">
        <f t="shared" si="87"/>
        <v>0</v>
      </c>
      <c r="W459" t="str">
        <f t="shared" si="88"/>
        <v>OK</v>
      </c>
      <c r="X459" s="3" t="s">
        <v>28</v>
      </c>
      <c r="Y459" t="s">
        <v>29</v>
      </c>
    </row>
    <row r="460" spans="1:25" x14ac:dyDescent="0.2">
      <c r="A460" t="str">
        <f t="shared" si="79"/>
        <v>TRIP-508</v>
      </c>
      <c r="B460" s="2">
        <v>46000</v>
      </c>
      <c r="C460" s="3" t="str">
        <f>_xlfn.XLOOKUP(D460,'[1]Jan Customer Duplicate Hyva'!$B:$B,'[1]Jan Customer Duplicate Hyva'!$A:$A,"NOT FOUND")</f>
        <v>CUST-323</v>
      </c>
      <c r="D460" s="3" t="s">
        <v>51</v>
      </c>
      <c r="E460" s="3" t="s">
        <v>30</v>
      </c>
      <c r="F460" s="5" t="str">
        <f t="shared" si="80"/>
        <v>Ravi</v>
      </c>
      <c r="G460" s="5" t="str">
        <f t="shared" si="81"/>
        <v/>
      </c>
      <c r="H460" s="5" t="str">
        <f t="shared" si="82"/>
        <v/>
      </c>
      <c r="I460" s="5" t="str">
        <f>_xlfn.XLOOKUP(F460,'[1]Jan Labour Nd Drivers Hyva'!$B:$B,'[2]Jan Labour Nd Drivers Hyva'!$A:$A,"NOT FOUND")</f>
        <v>LAB-003</v>
      </c>
      <c r="J460" s="5" t="str">
        <f>IF(G460="","",_xlfn.XLOOKUP(G460,'[3]Jan Labour Nd Drivers Hyva'!$B:$B,'[2]Jan Labour Nd Drivers Hyva'!$A:$A,"NOT FOUND"))</f>
        <v/>
      </c>
      <c r="K460" s="5" t="str">
        <f>IF(H460="","",_xlfn.XLOOKUP(H460,'[2]Jan Labour Nd Drivers Hyva'!$B:$B,'[2]Jan Labour Nd Drivers Hyva'!$A:$A,"NOT FOUND"))</f>
        <v/>
      </c>
      <c r="L460" s="3" t="s">
        <v>335</v>
      </c>
      <c r="M460" s="12">
        <v>1</v>
      </c>
      <c r="N460" s="13">
        <v>26000</v>
      </c>
      <c r="O460" s="8">
        <f t="shared" si="83"/>
        <v>26000</v>
      </c>
      <c r="P460" s="13">
        <v>26000</v>
      </c>
      <c r="Q460" s="7">
        <f t="shared" si="78"/>
        <v>0</v>
      </c>
      <c r="R460" t="str">
        <f t="shared" si="84"/>
        <v>PAID</v>
      </c>
      <c r="S460" s="3"/>
      <c r="T460" s="9">
        <f t="shared" si="85"/>
        <v>26000</v>
      </c>
      <c r="U460" t="str">
        <f t="shared" si="86"/>
        <v>OK</v>
      </c>
      <c r="V460" s="10">
        <f t="shared" si="87"/>
        <v>0</v>
      </c>
      <c r="W460" t="str">
        <f t="shared" si="88"/>
        <v>OK</v>
      </c>
      <c r="X460" s="3" t="s">
        <v>28</v>
      </c>
      <c r="Y460" t="s">
        <v>29</v>
      </c>
    </row>
    <row r="461" spans="1:25" x14ac:dyDescent="0.2">
      <c r="A461" t="str">
        <f t="shared" si="79"/>
        <v>TRIP-509</v>
      </c>
      <c r="B461" s="2">
        <v>46000</v>
      </c>
      <c r="C461" s="3" t="str">
        <f>_xlfn.XLOOKUP(D461,'[1]Jan Customer Duplicate Hyva'!$B:$B,'[1]Jan Customer Duplicate Hyva'!$A:$A,"NOT FOUND")</f>
        <v>CUST-207</v>
      </c>
      <c r="D461" s="3" t="s">
        <v>25</v>
      </c>
      <c r="E461" s="3" t="s">
        <v>30</v>
      </c>
      <c r="F461" s="5" t="str">
        <f t="shared" si="80"/>
        <v>Ravi</v>
      </c>
      <c r="G461" s="5" t="str">
        <f t="shared" si="81"/>
        <v/>
      </c>
      <c r="H461" s="5" t="str">
        <f t="shared" si="82"/>
        <v/>
      </c>
      <c r="I461" s="5" t="str">
        <f>_xlfn.XLOOKUP(F461,'[1]Jan Labour Nd Drivers Hyva'!$B:$B,'[2]Jan Labour Nd Drivers Hyva'!$A:$A,"NOT FOUND")</f>
        <v>LAB-003</v>
      </c>
      <c r="J461" s="5" t="str">
        <f>IF(G461="","",_xlfn.XLOOKUP(G461,'[3]Jan Labour Nd Drivers Hyva'!$B:$B,'[2]Jan Labour Nd Drivers Hyva'!$A:$A,"NOT FOUND"))</f>
        <v/>
      </c>
      <c r="K461" s="5" t="str">
        <f>IF(H461="","",_xlfn.XLOOKUP(H461,'[2]Jan Labour Nd Drivers Hyva'!$B:$B,'[2]Jan Labour Nd Drivers Hyva'!$A:$A,"NOT FOUND"))</f>
        <v/>
      </c>
      <c r="L461" s="3" t="s">
        <v>336</v>
      </c>
      <c r="M461" s="12">
        <v>1</v>
      </c>
      <c r="N461" s="13">
        <v>23000</v>
      </c>
      <c r="O461" s="8">
        <f t="shared" si="83"/>
        <v>23000</v>
      </c>
      <c r="P461" s="13"/>
      <c r="Q461" s="7">
        <f t="shared" si="78"/>
        <v>23000</v>
      </c>
      <c r="R461" t="str">
        <f t="shared" si="84"/>
        <v>UNPAID</v>
      </c>
      <c r="S461" s="3"/>
      <c r="T461" s="9">
        <f t="shared" si="85"/>
        <v>23000</v>
      </c>
      <c r="U461" t="str">
        <f t="shared" si="86"/>
        <v>OK</v>
      </c>
      <c r="V461" s="10">
        <f t="shared" si="87"/>
        <v>23000</v>
      </c>
      <c r="W461" t="str">
        <f t="shared" si="88"/>
        <v>OK</v>
      </c>
      <c r="X461" s="3" t="s">
        <v>28</v>
      </c>
      <c r="Y461" t="s">
        <v>29</v>
      </c>
    </row>
    <row r="462" spans="1:25" x14ac:dyDescent="0.2">
      <c r="A462" t="str">
        <f t="shared" si="79"/>
        <v>TRIP-510</v>
      </c>
      <c r="B462" s="2">
        <v>46000</v>
      </c>
      <c r="C462" s="3" t="str">
        <f>_xlfn.XLOOKUP(D462,'[1]Jan Customer Duplicate Hyva'!$B:$B,'[1]Jan Customer Duplicate Hyva'!$A:$A,"NOT FOUND")</f>
        <v>CUST-037</v>
      </c>
      <c r="D462" s="3" t="s">
        <v>99</v>
      </c>
      <c r="E462" s="3" t="s">
        <v>309</v>
      </c>
      <c r="F462" s="5" t="str">
        <f t="shared" si="80"/>
        <v>Santosh</v>
      </c>
      <c r="G462" s="5" t="str">
        <f t="shared" si="81"/>
        <v/>
      </c>
      <c r="H462" s="5" t="str">
        <f t="shared" si="82"/>
        <v/>
      </c>
      <c r="I462" s="5" t="str">
        <f>_xlfn.XLOOKUP(F462,'[1]Jan Labour Nd Drivers Hyva'!$B:$B,'[2]Jan Labour Nd Drivers Hyva'!$A:$A,"NOT FOUND")</f>
        <v>LAB-009</v>
      </c>
      <c r="J462" s="5" t="str">
        <f>IF(G462="","",_xlfn.XLOOKUP(G462,'[3]Jan Labour Nd Drivers Hyva'!$B:$B,'[2]Jan Labour Nd Drivers Hyva'!$A:$A,"NOT FOUND"))</f>
        <v/>
      </c>
      <c r="K462" s="5" t="str">
        <f>IF(H462="","",_xlfn.XLOOKUP(H462,'[2]Jan Labour Nd Drivers Hyva'!$B:$B,'[2]Jan Labour Nd Drivers Hyva'!$A:$A,"NOT FOUND"))</f>
        <v/>
      </c>
      <c r="L462" s="3" t="s">
        <v>337</v>
      </c>
      <c r="M462" s="12">
        <v>1</v>
      </c>
      <c r="N462" s="13">
        <v>23000</v>
      </c>
      <c r="O462" s="8">
        <f t="shared" si="83"/>
        <v>23000</v>
      </c>
      <c r="P462" s="13"/>
      <c r="Q462" s="7">
        <f t="shared" si="78"/>
        <v>23000</v>
      </c>
      <c r="R462" t="str">
        <f t="shared" si="84"/>
        <v>UNPAID</v>
      </c>
      <c r="S462" s="3"/>
      <c r="T462" s="9">
        <f t="shared" si="85"/>
        <v>23000</v>
      </c>
      <c r="U462" t="str">
        <f t="shared" si="86"/>
        <v>OK</v>
      </c>
      <c r="V462" s="10">
        <f t="shared" si="87"/>
        <v>23000</v>
      </c>
      <c r="W462" t="str">
        <f t="shared" si="88"/>
        <v>OK</v>
      </c>
      <c r="X462" s="3" t="s">
        <v>28</v>
      </c>
      <c r="Y462" t="s">
        <v>29</v>
      </c>
    </row>
    <row r="463" spans="1:25" x14ac:dyDescent="0.2">
      <c r="A463" t="str">
        <f t="shared" si="79"/>
        <v>TRIP-511</v>
      </c>
      <c r="B463" s="2">
        <v>46001</v>
      </c>
      <c r="C463" s="3" t="str">
        <f>_xlfn.XLOOKUP(D463,'[1]Jan Customer Duplicate Hyva'!$B:$B,'[1]Jan Customer Duplicate Hyva'!$A:$A,"NOT FOUND")</f>
        <v>CUST-207</v>
      </c>
      <c r="D463" s="3" t="s">
        <v>25</v>
      </c>
      <c r="E463" s="3" t="s">
        <v>30</v>
      </c>
      <c r="F463" s="5" t="str">
        <f t="shared" si="80"/>
        <v>Ravi</v>
      </c>
      <c r="G463" s="5" t="str">
        <f t="shared" si="81"/>
        <v/>
      </c>
      <c r="H463" s="5" t="str">
        <f t="shared" si="82"/>
        <v/>
      </c>
      <c r="I463" s="5" t="str">
        <f>_xlfn.XLOOKUP(F463,'[1]Jan Labour Nd Drivers Hyva'!$B:$B,'[2]Jan Labour Nd Drivers Hyva'!$A:$A,"NOT FOUND")</f>
        <v>LAB-003</v>
      </c>
      <c r="J463" s="5" t="str">
        <f>IF(G463="","",_xlfn.XLOOKUP(G463,'[3]Jan Labour Nd Drivers Hyva'!$B:$B,'[2]Jan Labour Nd Drivers Hyva'!$A:$A,"NOT FOUND"))</f>
        <v/>
      </c>
      <c r="K463" s="5" t="str">
        <f>IF(H463="","",_xlfn.XLOOKUP(H463,'[2]Jan Labour Nd Drivers Hyva'!$B:$B,'[2]Jan Labour Nd Drivers Hyva'!$A:$A,"NOT FOUND"))</f>
        <v/>
      </c>
      <c r="L463" s="3" t="s">
        <v>157</v>
      </c>
      <c r="M463" s="12">
        <v>1</v>
      </c>
      <c r="N463" s="13">
        <v>23000</v>
      </c>
      <c r="O463" s="8">
        <f t="shared" si="83"/>
        <v>23000</v>
      </c>
      <c r="P463" s="16"/>
      <c r="Q463" s="7">
        <f t="shared" si="78"/>
        <v>23000</v>
      </c>
      <c r="R463" t="str">
        <f t="shared" si="84"/>
        <v>UNPAID</v>
      </c>
      <c r="S463" s="3"/>
      <c r="T463" s="9">
        <f t="shared" si="85"/>
        <v>23000</v>
      </c>
      <c r="U463" t="str">
        <f t="shared" si="86"/>
        <v>OK</v>
      </c>
      <c r="V463" s="10">
        <f t="shared" si="87"/>
        <v>23000</v>
      </c>
      <c r="W463" t="str">
        <f t="shared" si="88"/>
        <v>OK</v>
      </c>
      <c r="X463" s="3" t="s">
        <v>28</v>
      </c>
      <c r="Y463" t="s">
        <v>29</v>
      </c>
    </row>
    <row r="464" spans="1:25" x14ac:dyDescent="0.2">
      <c r="A464" t="str">
        <f t="shared" si="79"/>
        <v>TRIP-512</v>
      </c>
      <c r="B464" s="2">
        <v>46001</v>
      </c>
      <c r="C464" s="3" t="str">
        <f>_xlfn.XLOOKUP(D464,'[1]Jan Customer Duplicate Hyva'!$B:$B,'[1]Jan Customer Duplicate Hyva'!$A:$A,"NOT FOUND")</f>
        <v>CUST-037</v>
      </c>
      <c r="D464" s="3" t="s">
        <v>99</v>
      </c>
      <c r="E464" s="3" t="s">
        <v>30</v>
      </c>
      <c r="F464" s="5" t="str">
        <f t="shared" si="80"/>
        <v>Ravi</v>
      </c>
      <c r="G464" s="5" t="str">
        <f t="shared" si="81"/>
        <v/>
      </c>
      <c r="H464" s="5" t="str">
        <f t="shared" si="82"/>
        <v/>
      </c>
      <c r="I464" s="5" t="str">
        <f>_xlfn.XLOOKUP(F464,'[1]Jan Labour Nd Drivers Hyva'!$B:$B,'[2]Jan Labour Nd Drivers Hyva'!$A:$A,"NOT FOUND")</f>
        <v>LAB-003</v>
      </c>
      <c r="J464" s="5" t="str">
        <f>IF(G464="","",_xlfn.XLOOKUP(G464,'[3]Jan Labour Nd Drivers Hyva'!$B:$B,'[2]Jan Labour Nd Drivers Hyva'!$A:$A,"NOT FOUND"))</f>
        <v/>
      </c>
      <c r="K464" s="5" t="str">
        <f>IF(H464="","",_xlfn.XLOOKUP(H464,'[2]Jan Labour Nd Drivers Hyva'!$B:$B,'[2]Jan Labour Nd Drivers Hyva'!$A:$A,"NOT FOUND"))</f>
        <v/>
      </c>
      <c r="L464" s="3" t="s">
        <v>107</v>
      </c>
      <c r="M464" s="12">
        <v>1</v>
      </c>
      <c r="N464" s="13">
        <v>23000</v>
      </c>
      <c r="O464" s="8">
        <f t="shared" si="83"/>
        <v>23000</v>
      </c>
      <c r="P464" s="16"/>
      <c r="Q464" s="7">
        <f t="shared" si="78"/>
        <v>23000</v>
      </c>
      <c r="R464" t="str">
        <f t="shared" si="84"/>
        <v>UNPAID</v>
      </c>
      <c r="S464" s="3"/>
      <c r="T464" s="9">
        <f t="shared" si="85"/>
        <v>23000</v>
      </c>
      <c r="U464" t="str">
        <f t="shared" si="86"/>
        <v>OK</v>
      </c>
      <c r="V464" s="10">
        <f t="shared" si="87"/>
        <v>23000</v>
      </c>
      <c r="W464" t="str">
        <f t="shared" si="88"/>
        <v>OK</v>
      </c>
      <c r="X464" s="3" t="s">
        <v>28</v>
      </c>
      <c r="Y464" t="s">
        <v>29</v>
      </c>
    </row>
    <row r="465" spans="1:25" x14ac:dyDescent="0.2">
      <c r="A465" t="str">
        <f t="shared" si="79"/>
        <v>TRIP-513</v>
      </c>
      <c r="B465" s="2">
        <v>46001</v>
      </c>
      <c r="C465" s="3" t="str">
        <f>_xlfn.XLOOKUP(D465,'[1]Jan Customer Duplicate Hyva'!$B:$B,'[1]Jan Customer Duplicate Hyva'!$A:$A,"NOT FOUND")</f>
        <v>CUST-207</v>
      </c>
      <c r="D465" s="3" t="s">
        <v>25</v>
      </c>
      <c r="E465" s="3" t="s">
        <v>30</v>
      </c>
      <c r="F465" s="5" t="str">
        <f t="shared" si="80"/>
        <v>Ravi</v>
      </c>
      <c r="G465" s="5" t="str">
        <f t="shared" si="81"/>
        <v/>
      </c>
      <c r="H465" s="5" t="str">
        <f t="shared" si="82"/>
        <v/>
      </c>
      <c r="I465" s="5" t="str">
        <f>_xlfn.XLOOKUP(F465,'[1]Jan Labour Nd Drivers Hyva'!$B:$B,'[2]Jan Labour Nd Drivers Hyva'!$A:$A,"NOT FOUND")</f>
        <v>LAB-003</v>
      </c>
      <c r="J465" s="5" t="str">
        <f>IF(G465="","",_xlfn.XLOOKUP(G465,'[3]Jan Labour Nd Drivers Hyva'!$B:$B,'[2]Jan Labour Nd Drivers Hyva'!$A:$A,"NOT FOUND"))</f>
        <v/>
      </c>
      <c r="K465" s="5" t="str">
        <f>IF(H465="","",_xlfn.XLOOKUP(H465,'[2]Jan Labour Nd Drivers Hyva'!$B:$B,'[2]Jan Labour Nd Drivers Hyva'!$A:$A,"NOT FOUND"))</f>
        <v/>
      </c>
      <c r="L465" s="3" t="s">
        <v>34</v>
      </c>
      <c r="M465" s="12">
        <v>1</v>
      </c>
      <c r="N465" s="13">
        <v>23000</v>
      </c>
      <c r="O465" s="8">
        <f t="shared" si="83"/>
        <v>23000</v>
      </c>
      <c r="P465" s="16"/>
      <c r="Q465" s="7">
        <f t="shared" si="78"/>
        <v>23000</v>
      </c>
      <c r="R465" t="str">
        <f t="shared" si="84"/>
        <v>UNPAID</v>
      </c>
      <c r="S465" s="3"/>
      <c r="T465" s="9">
        <f t="shared" si="85"/>
        <v>23000</v>
      </c>
      <c r="U465" t="str">
        <f t="shared" si="86"/>
        <v>OK</v>
      </c>
      <c r="V465" s="10">
        <f t="shared" si="87"/>
        <v>23000</v>
      </c>
      <c r="W465" t="str">
        <f t="shared" si="88"/>
        <v>OK</v>
      </c>
      <c r="X465" s="3" t="s">
        <v>28</v>
      </c>
      <c r="Y465" t="s">
        <v>29</v>
      </c>
    </row>
    <row r="466" spans="1:25" x14ac:dyDescent="0.2">
      <c r="A466" t="str">
        <f t="shared" si="79"/>
        <v>TRIP-514</v>
      </c>
      <c r="B466" s="2">
        <v>46001</v>
      </c>
      <c r="C466" s="3" t="str">
        <f>_xlfn.XLOOKUP(D466,'[1]Jan Customer Duplicate Hyva'!$B:$B,'[1]Jan Customer Duplicate Hyva'!$A:$A,"NOT FOUND")</f>
        <v>CUST-255</v>
      </c>
      <c r="D466" s="11" t="s">
        <v>75</v>
      </c>
      <c r="E466" s="3" t="s">
        <v>30</v>
      </c>
      <c r="F466" s="5" t="str">
        <f t="shared" si="80"/>
        <v>Ravi</v>
      </c>
      <c r="G466" s="5" t="str">
        <f t="shared" si="81"/>
        <v/>
      </c>
      <c r="H466" s="5" t="str">
        <f t="shared" si="82"/>
        <v/>
      </c>
      <c r="I466" s="5" t="str">
        <f>_xlfn.XLOOKUP(F466,'[1]Jan Labour Nd Drivers Hyva'!$B:$B,'[2]Jan Labour Nd Drivers Hyva'!$A:$A,"NOT FOUND")</f>
        <v>LAB-003</v>
      </c>
      <c r="J466" s="5" t="str">
        <f>IF(G466="","",_xlfn.XLOOKUP(G466,'[3]Jan Labour Nd Drivers Hyva'!$B:$B,'[2]Jan Labour Nd Drivers Hyva'!$A:$A,"NOT FOUND"))</f>
        <v/>
      </c>
      <c r="K466" s="5" t="str">
        <f>IF(H466="","",_xlfn.XLOOKUP(H466,'[2]Jan Labour Nd Drivers Hyva'!$B:$B,'[2]Jan Labour Nd Drivers Hyva'!$A:$A,"NOT FOUND"))</f>
        <v/>
      </c>
      <c r="L466" s="3" t="s">
        <v>116</v>
      </c>
      <c r="M466" s="12">
        <v>1</v>
      </c>
      <c r="N466" s="13">
        <v>26000</v>
      </c>
      <c r="O466" s="8">
        <f t="shared" si="83"/>
        <v>26000</v>
      </c>
      <c r="P466" s="13">
        <v>26000</v>
      </c>
      <c r="Q466" s="7">
        <f t="shared" ref="Q466:Q529" si="89">O466-P466</f>
        <v>0</v>
      </c>
      <c r="R466" t="str">
        <f t="shared" si="84"/>
        <v>PAID</v>
      </c>
      <c r="S466" s="3"/>
      <c r="T466" s="9">
        <f t="shared" si="85"/>
        <v>26000</v>
      </c>
      <c r="U466" t="str">
        <f t="shared" si="86"/>
        <v>OK</v>
      </c>
      <c r="V466" s="10">
        <f t="shared" si="87"/>
        <v>0</v>
      </c>
      <c r="W466" t="str">
        <f t="shared" si="88"/>
        <v>OK</v>
      </c>
      <c r="X466" s="3" t="s">
        <v>28</v>
      </c>
      <c r="Y466" t="s">
        <v>29</v>
      </c>
    </row>
    <row r="467" spans="1:25" x14ac:dyDescent="0.2">
      <c r="A467" t="str">
        <f t="shared" si="79"/>
        <v>TRIP-515</v>
      </c>
      <c r="B467" s="2">
        <v>46001</v>
      </c>
      <c r="C467" s="3" t="str">
        <f>_xlfn.XLOOKUP(D467,'[1]Jan Customer Duplicate Hyva'!$B:$B,'[1]Jan Customer Duplicate Hyva'!$A:$A,"NOT FOUND")</f>
        <v>CUST-011</v>
      </c>
      <c r="D467" s="3" t="s">
        <v>35</v>
      </c>
      <c r="E467" s="3" t="s">
        <v>30</v>
      </c>
      <c r="F467" s="5" t="str">
        <f t="shared" si="80"/>
        <v>Ravi</v>
      </c>
      <c r="G467" s="5" t="str">
        <f t="shared" si="81"/>
        <v/>
      </c>
      <c r="H467" s="5" t="str">
        <f t="shared" si="82"/>
        <v/>
      </c>
      <c r="I467" s="5" t="str">
        <f>_xlfn.XLOOKUP(F467,'[1]Jan Labour Nd Drivers Hyva'!$B:$B,'[2]Jan Labour Nd Drivers Hyva'!$A:$A,"NOT FOUND")</f>
        <v>LAB-003</v>
      </c>
      <c r="J467" s="5" t="str">
        <f>IF(G467="","",_xlfn.XLOOKUP(G467,'[3]Jan Labour Nd Drivers Hyva'!$B:$B,'[2]Jan Labour Nd Drivers Hyva'!$A:$A,"NOT FOUND"))</f>
        <v/>
      </c>
      <c r="K467" s="5" t="str">
        <f>IF(H467="","",_xlfn.XLOOKUP(H467,'[2]Jan Labour Nd Drivers Hyva'!$B:$B,'[2]Jan Labour Nd Drivers Hyva'!$A:$A,"NOT FOUND"))</f>
        <v/>
      </c>
      <c r="L467" s="3" t="s">
        <v>338</v>
      </c>
      <c r="M467" s="12">
        <v>1</v>
      </c>
      <c r="N467" s="13">
        <v>23000</v>
      </c>
      <c r="O467" s="8">
        <f t="shared" si="83"/>
        <v>23000</v>
      </c>
      <c r="P467" s="16">
        <v>23000</v>
      </c>
      <c r="Q467" s="7">
        <f t="shared" si="89"/>
        <v>0</v>
      </c>
      <c r="R467" t="str">
        <f t="shared" si="84"/>
        <v>PAID</v>
      </c>
      <c r="S467" s="3"/>
      <c r="T467" s="9">
        <f t="shared" si="85"/>
        <v>23000</v>
      </c>
      <c r="U467" t="str">
        <f t="shared" si="86"/>
        <v>OK</v>
      </c>
      <c r="V467" s="10">
        <f t="shared" si="87"/>
        <v>0</v>
      </c>
      <c r="W467" t="str">
        <f t="shared" si="88"/>
        <v>OK</v>
      </c>
      <c r="X467" s="3" t="s">
        <v>28</v>
      </c>
      <c r="Y467" t="s">
        <v>29</v>
      </c>
    </row>
    <row r="468" spans="1:25" x14ac:dyDescent="0.2">
      <c r="A468" t="str">
        <f t="shared" si="79"/>
        <v>TRIP-516</v>
      </c>
      <c r="B468" s="2">
        <v>46002</v>
      </c>
      <c r="C468" s="3" t="str">
        <f>_xlfn.XLOOKUP(D468,'[1]Jan Customer Duplicate Hyva'!$B:$B,'[1]Jan Customer Duplicate Hyva'!$A:$A,"NOT FOUND")</f>
        <v>CUST-207</v>
      </c>
      <c r="D468" s="11" t="s">
        <v>25</v>
      </c>
      <c r="E468" s="11" t="s">
        <v>30</v>
      </c>
      <c r="F468" s="5" t="str">
        <f t="shared" si="80"/>
        <v>Ravi</v>
      </c>
      <c r="G468" s="5" t="str">
        <f t="shared" si="81"/>
        <v/>
      </c>
      <c r="H468" s="5" t="str">
        <f t="shared" si="82"/>
        <v/>
      </c>
      <c r="I468" s="5" t="str">
        <f>_xlfn.XLOOKUP(F468,'[1]Jan Labour Nd Drivers Hyva'!$B:$B,'[2]Jan Labour Nd Drivers Hyva'!$A:$A,"NOT FOUND")</f>
        <v>LAB-003</v>
      </c>
      <c r="J468" s="5" t="str">
        <f>IF(G468="","",_xlfn.XLOOKUP(G468,'[3]Jan Labour Nd Drivers Hyva'!$B:$B,'[2]Jan Labour Nd Drivers Hyva'!$A:$A,"NOT FOUND"))</f>
        <v/>
      </c>
      <c r="K468" s="5" t="str">
        <f>IF(H468="","",_xlfn.XLOOKUP(H468,'[2]Jan Labour Nd Drivers Hyva'!$B:$B,'[2]Jan Labour Nd Drivers Hyva'!$A:$A,"NOT FOUND"))</f>
        <v/>
      </c>
      <c r="L468" s="11" t="s">
        <v>34</v>
      </c>
      <c r="M468" s="12">
        <v>2</v>
      </c>
      <c r="N468" s="13">
        <v>23000</v>
      </c>
      <c r="O468" s="8">
        <f t="shared" si="83"/>
        <v>46000</v>
      </c>
      <c r="P468" s="13"/>
      <c r="Q468" s="7">
        <f t="shared" si="89"/>
        <v>46000</v>
      </c>
      <c r="R468" t="str">
        <f t="shared" si="84"/>
        <v>UNPAID</v>
      </c>
      <c r="S468" s="3"/>
      <c r="T468" s="9">
        <f t="shared" si="85"/>
        <v>46000</v>
      </c>
      <c r="U468" t="str">
        <f t="shared" si="86"/>
        <v>OK</v>
      </c>
      <c r="V468" s="10">
        <f t="shared" si="87"/>
        <v>46000</v>
      </c>
      <c r="W468" t="str">
        <f t="shared" si="88"/>
        <v>OK</v>
      </c>
      <c r="X468" s="3" t="s">
        <v>28</v>
      </c>
      <c r="Y468" t="s">
        <v>29</v>
      </c>
    </row>
    <row r="469" spans="1:25" x14ac:dyDescent="0.2">
      <c r="A469" t="str">
        <f t="shared" si="79"/>
        <v>TRIP-517</v>
      </c>
      <c r="B469" s="2">
        <v>46004</v>
      </c>
      <c r="C469" s="3" t="str">
        <f>_xlfn.XLOOKUP(D469,'[1]Jan Customer Duplicate Hyva'!$B:$B,'[1]Jan Customer Duplicate Hyva'!$A:$A,"NOT FOUND")</f>
        <v>CUST-037</v>
      </c>
      <c r="D469" s="11" t="s">
        <v>99</v>
      </c>
      <c r="E469" s="11" t="s">
        <v>30</v>
      </c>
      <c r="F469" s="5" t="str">
        <f t="shared" si="80"/>
        <v>Ravi</v>
      </c>
      <c r="G469" s="5" t="str">
        <f t="shared" si="81"/>
        <v/>
      </c>
      <c r="H469" s="5" t="str">
        <f t="shared" si="82"/>
        <v/>
      </c>
      <c r="I469" s="5" t="str">
        <f>_xlfn.XLOOKUP(F469,'[1]Jan Labour Nd Drivers Hyva'!$B:$B,'[2]Jan Labour Nd Drivers Hyva'!$A:$A,"NOT FOUND")</f>
        <v>LAB-003</v>
      </c>
      <c r="J469" s="5" t="str">
        <f>IF(G469="","",_xlfn.XLOOKUP(G469,'[3]Jan Labour Nd Drivers Hyva'!$B:$B,'[2]Jan Labour Nd Drivers Hyva'!$A:$A,"NOT FOUND"))</f>
        <v/>
      </c>
      <c r="K469" s="5" t="str">
        <f>IF(H469="","",_xlfn.XLOOKUP(H469,'[2]Jan Labour Nd Drivers Hyva'!$B:$B,'[2]Jan Labour Nd Drivers Hyva'!$A:$A,"NOT FOUND"))</f>
        <v/>
      </c>
      <c r="L469" s="11" t="s">
        <v>128</v>
      </c>
      <c r="M469" s="12">
        <v>1</v>
      </c>
      <c r="N469" s="13">
        <v>23000</v>
      </c>
      <c r="O469" s="8">
        <f t="shared" si="83"/>
        <v>23000</v>
      </c>
      <c r="P469" s="13"/>
      <c r="Q469" s="7">
        <f t="shared" si="89"/>
        <v>23000</v>
      </c>
      <c r="R469" t="str">
        <f t="shared" si="84"/>
        <v>UNPAID</v>
      </c>
      <c r="S469" s="3"/>
      <c r="T469" s="9">
        <f t="shared" si="85"/>
        <v>23000</v>
      </c>
      <c r="U469" t="str">
        <f t="shared" si="86"/>
        <v>OK</v>
      </c>
      <c r="V469" s="10">
        <f t="shared" si="87"/>
        <v>23000</v>
      </c>
      <c r="W469" t="str">
        <f t="shared" si="88"/>
        <v>OK</v>
      </c>
      <c r="X469" s="3" t="s">
        <v>28</v>
      </c>
      <c r="Y469" t="s">
        <v>29</v>
      </c>
    </row>
    <row r="470" spans="1:25" x14ac:dyDescent="0.2">
      <c r="A470" t="str">
        <f t="shared" si="79"/>
        <v>TRIP-518</v>
      </c>
      <c r="B470" s="2">
        <v>46004</v>
      </c>
      <c r="C470" s="3" t="str">
        <f>_xlfn.XLOOKUP(D470,'[1]Jan Customer Duplicate Hyva'!$B:$B,'[1]Jan Customer Duplicate Hyva'!$A:$A,"NOT FOUND")</f>
        <v>CUST-388</v>
      </c>
      <c r="D470" s="11" t="s">
        <v>339</v>
      </c>
      <c r="E470" s="11" t="s">
        <v>30</v>
      </c>
      <c r="F470" s="5" t="str">
        <f t="shared" si="80"/>
        <v>Ravi</v>
      </c>
      <c r="G470" s="5" t="str">
        <f t="shared" si="81"/>
        <v/>
      </c>
      <c r="H470" s="5" t="str">
        <f t="shared" si="82"/>
        <v/>
      </c>
      <c r="I470" s="5" t="str">
        <f>_xlfn.XLOOKUP(F470,'[1]Jan Labour Nd Drivers Hyva'!$B:$B,'[2]Jan Labour Nd Drivers Hyva'!$A:$A,"NOT FOUND")</f>
        <v>LAB-003</v>
      </c>
      <c r="J470" s="5" t="str">
        <f>IF(G470="","",_xlfn.XLOOKUP(G470,'[3]Jan Labour Nd Drivers Hyva'!$B:$B,'[2]Jan Labour Nd Drivers Hyva'!$A:$A,"NOT FOUND"))</f>
        <v/>
      </c>
      <c r="K470" s="5" t="str">
        <f>IF(H470="","",_xlfn.XLOOKUP(H470,'[2]Jan Labour Nd Drivers Hyva'!$B:$B,'[2]Jan Labour Nd Drivers Hyva'!$A:$A,"NOT FOUND"))</f>
        <v/>
      </c>
      <c r="L470" s="11" t="s">
        <v>229</v>
      </c>
      <c r="M470" s="12">
        <v>1</v>
      </c>
      <c r="N470" s="13">
        <v>23000</v>
      </c>
      <c r="O470" s="8">
        <f t="shared" si="83"/>
        <v>23000</v>
      </c>
      <c r="P470" s="13">
        <v>23000</v>
      </c>
      <c r="Q470" s="7">
        <f t="shared" si="89"/>
        <v>0</v>
      </c>
      <c r="R470" t="str">
        <f t="shared" si="84"/>
        <v>PAID</v>
      </c>
      <c r="S470" s="3"/>
      <c r="T470" s="9">
        <f t="shared" si="85"/>
        <v>23000</v>
      </c>
      <c r="U470" t="str">
        <f t="shared" si="86"/>
        <v>OK</v>
      </c>
      <c r="V470" s="10">
        <f t="shared" si="87"/>
        <v>0</v>
      </c>
      <c r="W470" t="str">
        <f t="shared" si="88"/>
        <v>OK</v>
      </c>
      <c r="X470" s="3" t="s">
        <v>28</v>
      </c>
      <c r="Y470" t="s">
        <v>29</v>
      </c>
    </row>
    <row r="471" spans="1:25" x14ac:dyDescent="0.2">
      <c r="A471" t="str">
        <f t="shared" si="79"/>
        <v>TRIP-519</v>
      </c>
      <c r="B471" s="2">
        <v>46004</v>
      </c>
      <c r="C471" s="3" t="str">
        <f>_xlfn.XLOOKUP(D471,'[1]Jan Customer Duplicate Hyva'!$B:$B,'[1]Jan Customer Duplicate Hyva'!$A:$A,"NOT FOUND")</f>
        <v>CUST-256</v>
      </c>
      <c r="D471" s="11" t="s">
        <v>325</v>
      </c>
      <c r="E471" s="11" t="s">
        <v>309</v>
      </c>
      <c r="F471" s="5" t="str">
        <f t="shared" si="80"/>
        <v>Santosh</v>
      </c>
      <c r="G471" s="5" t="str">
        <f t="shared" si="81"/>
        <v/>
      </c>
      <c r="H471" s="5" t="str">
        <f t="shared" si="82"/>
        <v/>
      </c>
      <c r="I471" s="5" t="str">
        <f>_xlfn.XLOOKUP(F471,'[1]Jan Labour Nd Drivers Hyva'!$B:$B,'[2]Jan Labour Nd Drivers Hyva'!$A:$A,"NOT FOUND")</f>
        <v>LAB-009</v>
      </c>
      <c r="J471" s="5" t="str">
        <f>IF(G471="","",_xlfn.XLOOKUP(G471,'[3]Jan Labour Nd Drivers Hyva'!$B:$B,'[2]Jan Labour Nd Drivers Hyva'!$A:$A,"NOT FOUND"))</f>
        <v/>
      </c>
      <c r="K471" s="5" t="str">
        <f>IF(H471="","",_xlfn.XLOOKUP(H471,'[2]Jan Labour Nd Drivers Hyva'!$B:$B,'[2]Jan Labour Nd Drivers Hyva'!$A:$A,"NOT FOUND"))</f>
        <v/>
      </c>
      <c r="L471" s="11" t="s">
        <v>157</v>
      </c>
      <c r="M471" s="12">
        <v>1</v>
      </c>
      <c r="N471" s="13">
        <v>23000</v>
      </c>
      <c r="O471" s="8">
        <f t="shared" si="83"/>
        <v>23000</v>
      </c>
      <c r="P471" s="13">
        <v>23000</v>
      </c>
      <c r="Q471" s="7">
        <f t="shared" si="89"/>
        <v>0</v>
      </c>
      <c r="R471" t="str">
        <f t="shared" si="84"/>
        <v>PAID</v>
      </c>
      <c r="S471" s="3"/>
      <c r="T471" s="9">
        <f t="shared" si="85"/>
        <v>23000</v>
      </c>
      <c r="U471" t="str">
        <f t="shared" si="86"/>
        <v>OK</v>
      </c>
      <c r="V471" s="10">
        <f t="shared" si="87"/>
        <v>0</v>
      </c>
      <c r="W471" t="str">
        <f t="shared" si="88"/>
        <v>OK</v>
      </c>
      <c r="X471" s="3" t="s">
        <v>28</v>
      </c>
      <c r="Y471" t="s">
        <v>29</v>
      </c>
    </row>
    <row r="472" spans="1:25" x14ac:dyDescent="0.2">
      <c r="A472" t="str">
        <f t="shared" si="79"/>
        <v>TRIP-520</v>
      </c>
      <c r="B472" s="2">
        <v>46004</v>
      </c>
      <c r="C472" s="3" t="str">
        <f>_xlfn.XLOOKUP(D472,'[1]Jan Customer Duplicate Hyva'!$B:$B,'[1]Jan Customer Duplicate Hyva'!$A:$A,"NOT FOUND")</f>
        <v>CUST-380</v>
      </c>
      <c r="D472" s="11" t="s">
        <v>112</v>
      </c>
      <c r="E472" s="11" t="s">
        <v>30</v>
      </c>
      <c r="F472" s="5" t="str">
        <f t="shared" si="80"/>
        <v>Ravi</v>
      </c>
      <c r="G472" s="5" t="str">
        <f t="shared" si="81"/>
        <v/>
      </c>
      <c r="H472" s="5" t="str">
        <f t="shared" si="82"/>
        <v/>
      </c>
      <c r="I472" s="5" t="str">
        <f>_xlfn.XLOOKUP(F472,'[1]Jan Labour Nd Drivers Hyva'!$B:$B,'[2]Jan Labour Nd Drivers Hyva'!$A:$A,"NOT FOUND")</f>
        <v>LAB-003</v>
      </c>
      <c r="J472" s="5" t="str">
        <f>IF(G472="","",_xlfn.XLOOKUP(G472,'[3]Jan Labour Nd Drivers Hyva'!$B:$B,'[2]Jan Labour Nd Drivers Hyva'!$A:$A,"NOT FOUND"))</f>
        <v/>
      </c>
      <c r="K472" s="5" t="str">
        <f>IF(H472="","",_xlfn.XLOOKUP(H472,'[2]Jan Labour Nd Drivers Hyva'!$B:$B,'[2]Jan Labour Nd Drivers Hyva'!$A:$A,"NOT FOUND"))</f>
        <v/>
      </c>
      <c r="L472" s="11" t="s">
        <v>185</v>
      </c>
      <c r="M472" s="12">
        <v>1</v>
      </c>
      <c r="N472" s="13">
        <v>23000</v>
      </c>
      <c r="O472" s="8">
        <f t="shared" si="83"/>
        <v>23000</v>
      </c>
      <c r="P472" s="13"/>
      <c r="Q472" s="7">
        <f t="shared" si="89"/>
        <v>23000</v>
      </c>
      <c r="R472" t="str">
        <f t="shared" si="84"/>
        <v>UNPAID</v>
      </c>
      <c r="S472" s="3"/>
      <c r="T472" s="9">
        <f t="shared" si="85"/>
        <v>23000</v>
      </c>
      <c r="U472" t="str">
        <f t="shared" si="86"/>
        <v>OK</v>
      </c>
      <c r="V472" s="10">
        <f t="shared" si="87"/>
        <v>23000</v>
      </c>
      <c r="W472" t="str">
        <f t="shared" si="88"/>
        <v>OK</v>
      </c>
      <c r="X472" s="3" t="s">
        <v>28</v>
      </c>
      <c r="Y472" t="s">
        <v>29</v>
      </c>
    </row>
    <row r="473" spans="1:25" x14ac:dyDescent="0.2">
      <c r="A473" t="str">
        <f t="shared" si="79"/>
        <v>TRIP-521</v>
      </c>
      <c r="B473" s="2">
        <v>46004</v>
      </c>
      <c r="C473" s="3" t="str">
        <f>_xlfn.XLOOKUP(D473,'[1]Jan Customer Duplicate Hyva'!$B:$B,'[1]Jan Customer Duplicate Hyva'!$A:$A,"NOT FOUND")</f>
        <v>CUST-380</v>
      </c>
      <c r="D473" s="11" t="s">
        <v>112</v>
      </c>
      <c r="E473" s="11" t="s">
        <v>30</v>
      </c>
      <c r="F473" s="5" t="str">
        <f t="shared" si="80"/>
        <v>Ravi</v>
      </c>
      <c r="G473" s="5" t="str">
        <f t="shared" si="81"/>
        <v/>
      </c>
      <c r="H473" s="5" t="str">
        <f t="shared" si="82"/>
        <v/>
      </c>
      <c r="I473" s="5" t="str">
        <f>_xlfn.XLOOKUP(F473,'[1]Jan Labour Nd Drivers Hyva'!$B:$B,'[2]Jan Labour Nd Drivers Hyva'!$A:$A,"NOT FOUND")</f>
        <v>LAB-003</v>
      </c>
      <c r="J473" s="5" t="str">
        <f>IF(G473="","",_xlfn.XLOOKUP(G473,'[3]Jan Labour Nd Drivers Hyva'!$B:$B,'[2]Jan Labour Nd Drivers Hyva'!$A:$A,"NOT FOUND"))</f>
        <v/>
      </c>
      <c r="K473" s="5" t="str">
        <f>IF(H473="","",_xlfn.XLOOKUP(H473,'[2]Jan Labour Nd Drivers Hyva'!$B:$B,'[2]Jan Labour Nd Drivers Hyva'!$A:$A,"NOT FOUND"))</f>
        <v/>
      </c>
      <c r="L473" s="11" t="s">
        <v>340</v>
      </c>
      <c r="M473" s="12">
        <v>1</v>
      </c>
      <c r="N473" s="13">
        <v>24000</v>
      </c>
      <c r="O473" s="8">
        <f t="shared" si="83"/>
        <v>24000</v>
      </c>
      <c r="P473" s="13"/>
      <c r="Q473" s="7">
        <f t="shared" si="89"/>
        <v>24000</v>
      </c>
      <c r="R473" t="str">
        <f t="shared" si="84"/>
        <v>UNPAID</v>
      </c>
      <c r="S473" s="3"/>
      <c r="T473" s="9">
        <f t="shared" si="85"/>
        <v>24000</v>
      </c>
      <c r="U473" t="str">
        <f t="shared" si="86"/>
        <v>OK</v>
      </c>
      <c r="V473" s="10">
        <f t="shared" si="87"/>
        <v>24000</v>
      </c>
      <c r="W473" t="str">
        <f t="shared" si="88"/>
        <v>OK</v>
      </c>
      <c r="X473" s="3" t="s">
        <v>28</v>
      </c>
      <c r="Y473" t="s">
        <v>29</v>
      </c>
    </row>
    <row r="474" spans="1:25" x14ac:dyDescent="0.2">
      <c r="A474" t="str">
        <f t="shared" si="79"/>
        <v>TRIP-522</v>
      </c>
      <c r="B474" s="2">
        <v>46004</v>
      </c>
      <c r="C474" s="3" t="str">
        <f>_xlfn.XLOOKUP(D474,'[1]Jan Customer Duplicate Hyva'!$B:$B,'[1]Jan Customer Duplicate Hyva'!$A:$A,"NOT FOUND")</f>
        <v>CUST-255</v>
      </c>
      <c r="D474" s="11" t="s">
        <v>75</v>
      </c>
      <c r="E474" s="11" t="s">
        <v>30</v>
      </c>
      <c r="F474" s="5" t="str">
        <f t="shared" si="80"/>
        <v>Ravi</v>
      </c>
      <c r="G474" s="5" t="str">
        <f t="shared" si="81"/>
        <v/>
      </c>
      <c r="H474" s="5" t="str">
        <f t="shared" si="82"/>
        <v/>
      </c>
      <c r="I474" s="5" t="str">
        <f>_xlfn.XLOOKUP(F474,'[1]Jan Labour Nd Drivers Hyva'!$B:$B,'[2]Jan Labour Nd Drivers Hyva'!$A:$A,"NOT FOUND")</f>
        <v>LAB-003</v>
      </c>
      <c r="J474" s="5" t="str">
        <f>IF(G474="","",_xlfn.XLOOKUP(G474,'[3]Jan Labour Nd Drivers Hyva'!$B:$B,'[2]Jan Labour Nd Drivers Hyva'!$A:$A,"NOT FOUND"))</f>
        <v/>
      </c>
      <c r="K474" s="5" t="str">
        <f>IF(H474="","",_xlfn.XLOOKUP(H474,'[2]Jan Labour Nd Drivers Hyva'!$B:$B,'[2]Jan Labour Nd Drivers Hyva'!$A:$A,"NOT FOUND"))</f>
        <v/>
      </c>
      <c r="L474" s="11" t="s">
        <v>116</v>
      </c>
      <c r="M474" s="12">
        <v>1</v>
      </c>
      <c r="N474" s="13">
        <v>26000</v>
      </c>
      <c r="O474" s="8">
        <f t="shared" si="83"/>
        <v>26000</v>
      </c>
      <c r="P474" s="13">
        <v>26000</v>
      </c>
      <c r="Q474" s="7">
        <f t="shared" si="89"/>
        <v>0</v>
      </c>
      <c r="R474" t="str">
        <f t="shared" si="84"/>
        <v>PAID</v>
      </c>
      <c r="S474" s="3"/>
      <c r="T474" s="9">
        <f t="shared" si="85"/>
        <v>26000</v>
      </c>
      <c r="U474" t="str">
        <f t="shared" si="86"/>
        <v>OK</v>
      </c>
      <c r="V474" s="10">
        <f t="shared" si="87"/>
        <v>0</v>
      </c>
      <c r="W474" t="str">
        <f t="shared" si="88"/>
        <v>OK</v>
      </c>
      <c r="X474" s="3" t="s">
        <v>28</v>
      </c>
      <c r="Y474" t="s">
        <v>29</v>
      </c>
    </row>
    <row r="475" spans="1:25" x14ac:dyDescent="0.2">
      <c r="A475" t="str">
        <f t="shared" si="79"/>
        <v>TRIP-523</v>
      </c>
      <c r="B475" s="2">
        <v>46004</v>
      </c>
      <c r="C475" s="3" t="str">
        <f>_xlfn.XLOOKUP(D475,'[1]Jan Customer Duplicate Hyva'!$B:$B,'[1]Jan Customer Duplicate Hyva'!$A:$A,"NOT FOUND")</f>
        <v>CUST-236</v>
      </c>
      <c r="D475" s="11" t="s">
        <v>58</v>
      </c>
      <c r="E475" s="11" t="s">
        <v>30</v>
      </c>
      <c r="F475" s="5" t="str">
        <f t="shared" si="80"/>
        <v>Ravi</v>
      </c>
      <c r="G475" s="5" t="str">
        <f t="shared" si="81"/>
        <v/>
      </c>
      <c r="H475" s="5" t="str">
        <f t="shared" si="82"/>
        <v/>
      </c>
      <c r="I475" s="5" t="str">
        <f>_xlfn.XLOOKUP(F475,'[1]Jan Labour Nd Drivers Hyva'!$B:$B,'[2]Jan Labour Nd Drivers Hyva'!$A:$A,"NOT FOUND")</f>
        <v>LAB-003</v>
      </c>
      <c r="J475" s="5" t="str">
        <f>IF(G475="","",_xlfn.XLOOKUP(G475,'[3]Jan Labour Nd Drivers Hyva'!$B:$B,'[2]Jan Labour Nd Drivers Hyva'!$A:$A,"NOT FOUND"))</f>
        <v/>
      </c>
      <c r="K475" s="5" t="str">
        <f>IF(H475="","",_xlfn.XLOOKUP(H475,'[2]Jan Labour Nd Drivers Hyva'!$B:$B,'[2]Jan Labour Nd Drivers Hyva'!$A:$A,"NOT FOUND"))</f>
        <v/>
      </c>
      <c r="L475" s="11" t="s">
        <v>120</v>
      </c>
      <c r="M475" s="12">
        <v>1</v>
      </c>
      <c r="N475" s="13">
        <v>23000</v>
      </c>
      <c r="O475" s="8">
        <f t="shared" si="83"/>
        <v>23000</v>
      </c>
      <c r="P475" s="13"/>
      <c r="Q475" s="7">
        <f t="shared" si="89"/>
        <v>23000</v>
      </c>
      <c r="R475" t="str">
        <f t="shared" si="84"/>
        <v>UNPAID</v>
      </c>
      <c r="S475" s="3"/>
      <c r="T475" s="9">
        <f t="shared" si="85"/>
        <v>23000</v>
      </c>
      <c r="U475" t="str">
        <f t="shared" si="86"/>
        <v>OK</v>
      </c>
      <c r="V475" s="10">
        <f t="shared" si="87"/>
        <v>23000</v>
      </c>
      <c r="W475" t="str">
        <f t="shared" si="88"/>
        <v>OK</v>
      </c>
      <c r="X475" s="3" t="s">
        <v>28</v>
      </c>
      <c r="Y475" t="s">
        <v>29</v>
      </c>
    </row>
    <row r="476" spans="1:25" x14ac:dyDescent="0.2">
      <c r="A476" t="str">
        <f t="shared" si="79"/>
        <v>TRIP-524</v>
      </c>
      <c r="B476" s="2">
        <v>46004</v>
      </c>
      <c r="C476" s="3" t="str">
        <f>_xlfn.XLOOKUP(D476,'[1]Jan Customer Duplicate Hyva'!$B:$B,'[1]Jan Customer Duplicate Hyva'!$A:$A,"NOT FOUND")</f>
        <v>CUST-243</v>
      </c>
      <c r="D476" s="11" t="s">
        <v>341</v>
      </c>
      <c r="E476" s="11" t="s">
        <v>30</v>
      </c>
      <c r="F476" s="5" t="str">
        <f t="shared" si="80"/>
        <v>Ravi</v>
      </c>
      <c r="G476" s="5" t="str">
        <f t="shared" si="81"/>
        <v/>
      </c>
      <c r="H476" s="5" t="str">
        <f t="shared" si="82"/>
        <v/>
      </c>
      <c r="I476" s="5" t="str">
        <f>_xlfn.XLOOKUP(F476,'[1]Jan Labour Nd Drivers Hyva'!$B:$B,'[2]Jan Labour Nd Drivers Hyva'!$A:$A,"NOT FOUND")</f>
        <v>LAB-003</v>
      </c>
      <c r="J476" s="5" t="str">
        <f>IF(G476="","",_xlfn.XLOOKUP(G476,'[3]Jan Labour Nd Drivers Hyva'!$B:$B,'[2]Jan Labour Nd Drivers Hyva'!$A:$A,"NOT FOUND"))</f>
        <v/>
      </c>
      <c r="K476" s="5" t="str">
        <f>IF(H476="","",_xlfn.XLOOKUP(H476,'[2]Jan Labour Nd Drivers Hyva'!$B:$B,'[2]Jan Labour Nd Drivers Hyva'!$A:$A,"NOT FOUND"))</f>
        <v/>
      </c>
      <c r="L476" s="11" t="s">
        <v>120</v>
      </c>
      <c r="M476" s="12">
        <v>1</v>
      </c>
      <c r="N476" s="13">
        <v>23000</v>
      </c>
      <c r="O476" s="8">
        <f t="shared" si="83"/>
        <v>23000</v>
      </c>
      <c r="P476" s="13"/>
      <c r="Q476" s="7">
        <f t="shared" si="89"/>
        <v>23000</v>
      </c>
      <c r="R476" t="str">
        <f t="shared" si="84"/>
        <v>UNPAID</v>
      </c>
      <c r="S476" s="3"/>
      <c r="T476" s="9">
        <f t="shared" si="85"/>
        <v>23000</v>
      </c>
      <c r="U476" t="str">
        <f t="shared" si="86"/>
        <v>OK</v>
      </c>
      <c r="V476" s="10">
        <f t="shared" si="87"/>
        <v>23000</v>
      </c>
      <c r="W476" t="str">
        <f t="shared" si="88"/>
        <v>OK</v>
      </c>
      <c r="X476" s="3" t="s">
        <v>28</v>
      </c>
      <c r="Y476" t="s">
        <v>29</v>
      </c>
    </row>
    <row r="477" spans="1:25" x14ac:dyDescent="0.2">
      <c r="A477" t="str">
        <f t="shared" si="79"/>
        <v>TRIP-525</v>
      </c>
      <c r="B477" s="2">
        <v>46004</v>
      </c>
      <c r="C477" s="3" t="str">
        <f>_xlfn.XLOOKUP(D477,'[1]Jan Customer Duplicate Hyva'!$B:$B,'[1]Jan Customer Duplicate Hyva'!$A:$A,"NOT FOUND")</f>
        <v>CUST-041</v>
      </c>
      <c r="D477" s="3" t="s">
        <v>342</v>
      </c>
      <c r="E477" s="11" t="s">
        <v>30</v>
      </c>
      <c r="F477" s="5" t="str">
        <f t="shared" si="80"/>
        <v>Ravi</v>
      </c>
      <c r="G477" s="5" t="str">
        <f t="shared" si="81"/>
        <v/>
      </c>
      <c r="H477" s="5" t="str">
        <f t="shared" si="82"/>
        <v/>
      </c>
      <c r="I477" s="5" t="str">
        <f>_xlfn.XLOOKUP(F477,'[1]Jan Labour Nd Drivers Hyva'!$B:$B,'[2]Jan Labour Nd Drivers Hyva'!$A:$A,"NOT FOUND")</f>
        <v>LAB-003</v>
      </c>
      <c r="J477" s="5" t="str">
        <f>IF(G477="","",_xlfn.XLOOKUP(G477,'[3]Jan Labour Nd Drivers Hyva'!$B:$B,'[2]Jan Labour Nd Drivers Hyva'!$A:$A,"NOT FOUND"))</f>
        <v/>
      </c>
      <c r="K477" s="5" t="str">
        <f>IF(H477="","",_xlfn.XLOOKUP(H477,'[2]Jan Labour Nd Drivers Hyva'!$B:$B,'[2]Jan Labour Nd Drivers Hyva'!$A:$A,"NOT FOUND"))</f>
        <v/>
      </c>
      <c r="L477" s="11" t="s">
        <v>47</v>
      </c>
      <c r="M477" s="12">
        <v>1</v>
      </c>
      <c r="N477" s="13">
        <v>26000</v>
      </c>
      <c r="O477" s="8">
        <f t="shared" si="83"/>
        <v>26000</v>
      </c>
      <c r="P477" s="13"/>
      <c r="Q477" s="7">
        <f t="shared" si="89"/>
        <v>26000</v>
      </c>
      <c r="R477" t="str">
        <f t="shared" si="84"/>
        <v>UNPAID</v>
      </c>
      <c r="S477" s="3"/>
      <c r="T477" s="9">
        <f t="shared" si="85"/>
        <v>26000</v>
      </c>
      <c r="U477" t="str">
        <f t="shared" si="86"/>
        <v>OK</v>
      </c>
      <c r="V477" s="10">
        <f t="shared" si="87"/>
        <v>26000</v>
      </c>
      <c r="W477" t="str">
        <f t="shared" si="88"/>
        <v>OK</v>
      </c>
      <c r="X477" s="3" t="s">
        <v>28</v>
      </c>
      <c r="Y477" t="s">
        <v>29</v>
      </c>
    </row>
    <row r="478" spans="1:25" x14ac:dyDescent="0.2">
      <c r="A478" t="str">
        <f t="shared" si="79"/>
        <v>TRIP-526</v>
      </c>
      <c r="B478" s="2">
        <v>46005</v>
      </c>
      <c r="C478" s="3" t="str">
        <f>_xlfn.XLOOKUP(D478,'[1]Jan Customer Duplicate Hyva'!$B:$B,'[1]Jan Customer Duplicate Hyva'!$A:$A,"NOT FOUND")</f>
        <v>CUST-037</v>
      </c>
      <c r="D478" s="11" t="s">
        <v>99</v>
      </c>
      <c r="E478" s="11" t="s">
        <v>294</v>
      </c>
      <c r="F478" s="5" t="str">
        <f t="shared" si="80"/>
        <v>Ravi</v>
      </c>
      <c r="G478" s="5" t="str">
        <f t="shared" si="81"/>
        <v>Santosh</v>
      </c>
      <c r="H478" s="5" t="str">
        <f t="shared" si="82"/>
        <v/>
      </c>
      <c r="I478" s="5" t="str">
        <f>_xlfn.XLOOKUP(F478,'[1]Jan Labour Nd Drivers Hyva'!$B:$B,'[2]Jan Labour Nd Drivers Hyva'!$A:$A,"NOT FOUND")</f>
        <v>LAB-003</v>
      </c>
      <c r="J478" s="5" t="str">
        <f>IF(G478="","",_xlfn.XLOOKUP(G478,'[3]Jan Labour Nd Drivers Hyva'!$B:$B,'[2]Jan Labour Nd Drivers Hyva'!$A:$A,"NOT FOUND"))</f>
        <v>LAB-009</v>
      </c>
      <c r="K478" s="5" t="str">
        <f>IF(H478="","",_xlfn.XLOOKUP(H478,'[2]Jan Labour Nd Drivers Hyva'!$B:$B,'[2]Jan Labour Nd Drivers Hyva'!$A:$A,"NOT FOUND"))</f>
        <v/>
      </c>
      <c r="L478" s="11" t="s">
        <v>316</v>
      </c>
      <c r="M478" s="12">
        <v>2</v>
      </c>
      <c r="N478" s="13">
        <v>23000</v>
      </c>
      <c r="O478" s="8">
        <f t="shared" si="83"/>
        <v>46000</v>
      </c>
      <c r="P478" s="13"/>
      <c r="Q478" s="7">
        <f t="shared" si="89"/>
        <v>46000</v>
      </c>
      <c r="R478" t="str">
        <f t="shared" si="84"/>
        <v>UNPAID</v>
      </c>
      <c r="S478" s="3"/>
      <c r="T478" s="9">
        <f t="shared" si="85"/>
        <v>46000</v>
      </c>
      <c r="U478" t="str">
        <f t="shared" si="86"/>
        <v>OK</v>
      </c>
      <c r="V478" s="10">
        <f t="shared" si="87"/>
        <v>46000</v>
      </c>
      <c r="W478" t="str">
        <f t="shared" si="88"/>
        <v>OK</v>
      </c>
      <c r="X478" s="3" t="s">
        <v>28</v>
      </c>
      <c r="Y478" t="s">
        <v>29</v>
      </c>
    </row>
    <row r="479" spans="1:25" x14ac:dyDescent="0.2">
      <c r="A479" t="str">
        <f t="shared" si="79"/>
        <v>TRIP-527</v>
      </c>
      <c r="B479" s="2">
        <v>46005</v>
      </c>
      <c r="C479" s="3" t="str">
        <f>_xlfn.XLOOKUP(D479,'[1]Jan Customer Duplicate Hyva'!$B:$B,'[1]Jan Customer Duplicate Hyva'!$A:$A,"NOT FOUND")</f>
        <v>CUST-041</v>
      </c>
      <c r="D479" s="3" t="s">
        <v>342</v>
      </c>
      <c r="E479" s="11" t="s">
        <v>30</v>
      </c>
      <c r="F479" s="5" t="str">
        <f t="shared" si="80"/>
        <v>Ravi</v>
      </c>
      <c r="G479" s="5" t="str">
        <f t="shared" si="81"/>
        <v/>
      </c>
      <c r="H479" s="5" t="str">
        <f t="shared" si="82"/>
        <v/>
      </c>
      <c r="I479" s="5" t="str">
        <f>_xlfn.XLOOKUP(F479,'[1]Jan Labour Nd Drivers Hyva'!$B:$B,'[2]Jan Labour Nd Drivers Hyva'!$A:$A,"NOT FOUND")</f>
        <v>LAB-003</v>
      </c>
      <c r="J479" s="5" t="str">
        <f>IF(G479="","",_xlfn.XLOOKUP(G479,'[3]Jan Labour Nd Drivers Hyva'!$B:$B,'[2]Jan Labour Nd Drivers Hyva'!$A:$A,"NOT FOUND"))</f>
        <v/>
      </c>
      <c r="K479" s="5" t="str">
        <f>IF(H479="","",_xlfn.XLOOKUP(H479,'[2]Jan Labour Nd Drivers Hyva'!$B:$B,'[2]Jan Labour Nd Drivers Hyva'!$A:$A,"NOT FOUND"))</f>
        <v/>
      </c>
      <c r="L479" s="11" t="s">
        <v>157</v>
      </c>
      <c r="M479" s="12">
        <v>1</v>
      </c>
      <c r="N479" s="13">
        <v>26000</v>
      </c>
      <c r="O479" s="8">
        <f t="shared" si="83"/>
        <v>26000</v>
      </c>
      <c r="P479" s="13"/>
      <c r="Q479" s="7">
        <f t="shared" si="89"/>
        <v>26000</v>
      </c>
      <c r="R479" t="str">
        <f t="shared" si="84"/>
        <v>UNPAID</v>
      </c>
      <c r="S479" s="3"/>
      <c r="T479" s="9">
        <f t="shared" si="85"/>
        <v>26000</v>
      </c>
      <c r="U479" t="str">
        <f t="shared" si="86"/>
        <v>OK</v>
      </c>
      <c r="V479" s="10">
        <f t="shared" si="87"/>
        <v>26000</v>
      </c>
      <c r="W479" t="str">
        <f t="shared" si="88"/>
        <v>OK</v>
      </c>
      <c r="X479" s="3" t="s">
        <v>28</v>
      </c>
      <c r="Y479" t="s">
        <v>29</v>
      </c>
    </row>
    <row r="480" spans="1:25" x14ac:dyDescent="0.2">
      <c r="A480" t="str">
        <f t="shared" si="79"/>
        <v>TRIP-528</v>
      </c>
      <c r="B480" s="2">
        <v>46005</v>
      </c>
      <c r="C480" s="3" t="str">
        <f>_xlfn.XLOOKUP(D480,'[1]Jan Customer Duplicate Hyva'!$B:$B,'[1]Jan Customer Duplicate Hyva'!$A:$A,"NOT FOUND")</f>
        <v>CUST-392</v>
      </c>
      <c r="D480" s="11" t="s">
        <v>37</v>
      </c>
      <c r="E480" s="11" t="s">
        <v>30</v>
      </c>
      <c r="F480" s="5" t="str">
        <f t="shared" si="80"/>
        <v>Ravi</v>
      </c>
      <c r="G480" s="5" t="str">
        <f t="shared" si="81"/>
        <v/>
      </c>
      <c r="H480" s="5" t="str">
        <f t="shared" si="82"/>
        <v/>
      </c>
      <c r="I480" s="5" t="str">
        <f>_xlfn.XLOOKUP(F480,'[1]Jan Labour Nd Drivers Hyva'!$B:$B,'[2]Jan Labour Nd Drivers Hyva'!$A:$A,"NOT FOUND")</f>
        <v>LAB-003</v>
      </c>
      <c r="J480" s="5" t="str">
        <f>IF(G480="","",_xlfn.XLOOKUP(G480,'[3]Jan Labour Nd Drivers Hyva'!$B:$B,'[2]Jan Labour Nd Drivers Hyva'!$A:$A,"NOT FOUND"))</f>
        <v/>
      </c>
      <c r="K480" s="5" t="str">
        <f>IF(H480="","",_xlfn.XLOOKUP(H480,'[2]Jan Labour Nd Drivers Hyva'!$B:$B,'[2]Jan Labour Nd Drivers Hyva'!$A:$A,"NOT FOUND"))</f>
        <v/>
      </c>
      <c r="L480" s="11" t="s">
        <v>157</v>
      </c>
      <c r="M480" s="12">
        <v>1</v>
      </c>
      <c r="N480" s="13">
        <v>26000</v>
      </c>
      <c r="O480" s="8">
        <f t="shared" si="83"/>
        <v>26000</v>
      </c>
      <c r="P480" s="13"/>
      <c r="Q480" s="7">
        <f t="shared" si="89"/>
        <v>26000</v>
      </c>
      <c r="R480" t="str">
        <f t="shared" si="84"/>
        <v>UNPAID</v>
      </c>
      <c r="S480" s="3"/>
      <c r="T480" s="9">
        <f t="shared" si="85"/>
        <v>26000</v>
      </c>
      <c r="U480" t="str">
        <f t="shared" si="86"/>
        <v>OK</v>
      </c>
      <c r="V480" s="10">
        <f t="shared" si="87"/>
        <v>26000</v>
      </c>
      <c r="W480" t="str">
        <f t="shared" si="88"/>
        <v>OK</v>
      </c>
      <c r="X480" s="3" t="s">
        <v>28</v>
      </c>
      <c r="Y480" t="s">
        <v>29</v>
      </c>
    </row>
    <row r="481" spans="1:25" x14ac:dyDescent="0.2">
      <c r="A481" t="str">
        <f t="shared" si="79"/>
        <v>TRIP-529</v>
      </c>
      <c r="B481" s="2">
        <v>46005</v>
      </c>
      <c r="C481" s="3" t="str">
        <f>_xlfn.XLOOKUP(D481,'[1]Jan Customer Duplicate Hyva'!$B:$B,'[1]Jan Customer Duplicate Hyva'!$A:$A,"NOT FOUND")</f>
        <v>CUST-236</v>
      </c>
      <c r="D481" s="11" t="s">
        <v>58</v>
      </c>
      <c r="E481" s="11" t="s">
        <v>30</v>
      </c>
      <c r="F481" s="5" t="str">
        <f t="shared" si="80"/>
        <v>Ravi</v>
      </c>
      <c r="G481" s="5" t="str">
        <f t="shared" si="81"/>
        <v/>
      </c>
      <c r="H481" s="5" t="str">
        <f t="shared" si="82"/>
        <v/>
      </c>
      <c r="I481" s="5" t="str">
        <f>_xlfn.XLOOKUP(F481,'[1]Jan Labour Nd Drivers Hyva'!$B:$B,'[2]Jan Labour Nd Drivers Hyva'!$A:$A,"NOT FOUND")</f>
        <v>LAB-003</v>
      </c>
      <c r="J481" s="5" t="str">
        <f>IF(G481="","",_xlfn.XLOOKUP(G481,'[3]Jan Labour Nd Drivers Hyva'!$B:$B,'[2]Jan Labour Nd Drivers Hyva'!$A:$A,"NOT FOUND"))</f>
        <v/>
      </c>
      <c r="K481" s="5" t="str">
        <f>IF(H481="","",_xlfn.XLOOKUP(H481,'[2]Jan Labour Nd Drivers Hyva'!$B:$B,'[2]Jan Labour Nd Drivers Hyva'!$A:$A,"NOT FOUND"))</f>
        <v/>
      </c>
      <c r="L481" s="11" t="s">
        <v>34</v>
      </c>
      <c r="M481" s="12">
        <v>1</v>
      </c>
      <c r="N481" s="13">
        <v>26000</v>
      </c>
      <c r="O481" s="8">
        <f t="shared" si="83"/>
        <v>26000</v>
      </c>
      <c r="P481" s="13"/>
      <c r="Q481" s="7">
        <f t="shared" si="89"/>
        <v>26000</v>
      </c>
      <c r="R481" t="str">
        <f t="shared" si="84"/>
        <v>UNPAID</v>
      </c>
      <c r="S481" s="3"/>
      <c r="T481" s="9">
        <f t="shared" si="85"/>
        <v>26000</v>
      </c>
      <c r="U481" t="str">
        <f t="shared" si="86"/>
        <v>OK</v>
      </c>
      <c r="V481" s="10">
        <f t="shared" si="87"/>
        <v>26000</v>
      </c>
      <c r="W481" t="str">
        <f t="shared" si="88"/>
        <v>OK</v>
      </c>
      <c r="X481" s="3" t="s">
        <v>28</v>
      </c>
      <c r="Y481" t="s">
        <v>29</v>
      </c>
    </row>
    <row r="482" spans="1:25" x14ac:dyDescent="0.2">
      <c r="A482" t="str">
        <f t="shared" si="79"/>
        <v>TRIP-530</v>
      </c>
      <c r="B482" s="2">
        <v>46005</v>
      </c>
      <c r="C482" s="3" t="str">
        <f>_xlfn.XLOOKUP(D482,'[1]Jan Customer Duplicate Hyva'!$B:$B,'[1]Jan Customer Duplicate Hyva'!$A:$A,"NOT FOUND")</f>
        <v>CUST-380</v>
      </c>
      <c r="D482" s="11" t="s">
        <v>112</v>
      </c>
      <c r="E482" s="11" t="s">
        <v>26</v>
      </c>
      <c r="F482" s="5" t="str">
        <f t="shared" si="80"/>
        <v>Anshu</v>
      </c>
      <c r="G482" s="5" t="str">
        <f t="shared" si="81"/>
        <v/>
      </c>
      <c r="H482" s="5" t="str">
        <f t="shared" si="82"/>
        <v/>
      </c>
      <c r="I482" s="5" t="str">
        <f>_xlfn.XLOOKUP(F482,'[1]Jan Labour Nd Drivers Hyva'!$B:$B,'[2]Jan Labour Nd Drivers Hyva'!$A:$A,"NOT FOUND")</f>
        <v>LAB-002</v>
      </c>
      <c r="J482" s="5" t="str">
        <f>IF(G482="","",_xlfn.XLOOKUP(G482,'[3]Jan Labour Nd Drivers Hyva'!$B:$B,'[2]Jan Labour Nd Drivers Hyva'!$A:$A,"NOT FOUND"))</f>
        <v/>
      </c>
      <c r="K482" s="5" t="str">
        <f>IF(H482="","",_xlfn.XLOOKUP(H482,'[2]Jan Labour Nd Drivers Hyva'!$B:$B,'[2]Jan Labour Nd Drivers Hyva'!$A:$A,"NOT FOUND"))</f>
        <v/>
      </c>
      <c r="L482" s="11" t="s">
        <v>343</v>
      </c>
      <c r="M482" s="12">
        <v>1</v>
      </c>
      <c r="N482" s="13">
        <v>26000</v>
      </c>
      <c r="O482" s="8">
        <f t="shared" si="83"/>
        <v>26000</v>
      </c>
      <c r="P482" s="13"/>
      <c r="Q482" s="7">
        <f t="shared" si="89"/>
        <v>26000</v>
      </c>
      <c r="R482" t="str">
        <f t="shared" si="84"/>
        <v>UNPAID</v>
      </c>
      <c r="S482" s="3"/>
      <c r="T482" s="9">
        <f t="shared" si="85"/>
        <v>26000</v>
      </c>
      <c r="U482" t="str">
        <f t="shared" si="86"/>
        <v>OK</v>
      </c>
      <c r="V482" s="10">
        <f t="shared" si="87"/>
        <v>26000</v>
      </c>
      <c r="W482" t="str">
        <f t="shared" si="88"/>
        <v>OK</v>
      </c>
      <c r="X482" s="3" t="s">
        <v>28</v>
      </c>
      <c r="Y482" t="s">
        <v>29</v>
      </c>
    </row>
    <row r="483" spans="1:25" x14ac:dyDescent="0.2">
      <c r="A483" t="str">
        <f t="shared" si="79"/>
        <v>TRIP-531</v>
      </c>
      <c r="B483" s="2">
        <v>46005</v>
      </c>
      <c r="C483" s="3" t="str">
        <f>_xlfn.XLOOKUP(D483,'[1]Jan Customer Duplicate Hyva'!$B:$B,'[1]Jan Customer Duplicate Hyva'!$A:$A,"NOT FOUND")</f>
        <v>CUST-280</v>
      </c>
      <c r="D483" s="11" t="s">
        <v>171</v>
      </c>
      <c r="E483" s="11" t="s">
        <v>30</v>
      </c>
      <c r="F483" s="5" t="str">
        <f t="shared" si="80"/>
        <v>Ravi</v>
      </c>
      <c r="G483" s="5" t="str">
        <f t="shared" si="81"/>
        <v/>
      </c>
      <c r="H483" s="5" t="str">
        <f t="shared" si="82"/>
        <v/>
      </c>
      <c r="I483" s="5" t="str">
        <f>_xlfn.XLOOKUP(F483,'[1]Jan Labour Nd Drivers Hyva'!$B:$B,'[2]Jan Labour Nd Drivers Hyva'!$A:$A,"NOT FOUND")</f>
        <v>LAB-003</v>
      </c>
      <c r="J483" s="5" t="str">
        <f>IF(G483="","",_xlfn.XLOOKUP(G483,'[3]Jan Labour Nd Drivers Hyva'!$B:$B,'[2]Jan Labour Nd Drivers Hyva'!$A:$A,"NOT FOUND"))</f>
        <v/>
      </c>
      <c r="K483" s="5" t="str">
        <f>IF(H483="","",_xlfn.XLOOKUP(H483,'[2]Jan Labour Nd Drivers Hyva'!$B:$B,'[2]Jan Labour Nd Drivers Hyva'!$A:$A,"NOT FOUND"))</f>
        <v/>
      </c>
      <c r="L483" s="11" t="s">
        <v>344</v>
      </c>
      <c r="M483" s="12">
        <v>1</v>
      </c>
      <c r="N483" s="13">
        <v>27000</v>
      </c>
      <c r="O483" s="8">
        <f t="shared" si="83"/>
        <v>27000</v>
      </c>
      <c r="P483" s="13"/>
      <c r="Q483" s="7">
        <f t="shared" si="89"/>
        <v>27000</v>
      </c>
      <c r="R483" t="str">
        <f t="shared" si="84"/>
        <v>UNPAID</v>
      </c>
      <c r="S483" s="3"/>
      <c r="T483" s="9">
        <f t="shared" si="85"/>
        <v>27000</v>
      </c>
      <c r="U483" t="str">
        <f t="shared" si="86"/>
        <v>OK</v>
      </c>
      <c r="V483" s="10">
        <f t="shared" si="87"/>
        <v>27000</v>
      </c>
      <c r="W483" t="str">
        <f t="shared" si="88"/>
        <v>OK</v>
      </c>
      <c r="X483" s="3" t="s">
        <v>28</v>
      </c>
      <c r="Y483" t="s">
        <v>29</v>
      </c>
    </row>
    <row r="484" spans="1:25" x14ac:dyDescent="0.2">
      <c r="A484" t="str">
        <f t="shared" si="79"/>
        <v>TRIP-532</v>
      </c>
      <c r="B484" s="2">
        <v>46005</v>
      </c>
      <c r="C484" s="3" t="str">
        <f>_xlfn.XLOOKUP(D484,'[1]Jan Customer Duplicate Hyva'!$B:$B,'[1]Jan Customer Duplicate Hyva'!$A:$A,"NOT FOUND")</f>
        <v>CUST-207</v>
      </c>
      <c r="D484" s="11" t="s">
        <v>25</v>
      </c>
      <c r="E484" s="11" t="s">
        <v>26</v>
      </c>
      <c r="F484" s="5" t="str">
        <f t="shared" si="80"/>
        <v>Anshu</v>
      </c>
      <c r="G484" s="5" t="str">
        <f t="shared" si="81"/>
        <v/>
      </c>
      <c r="H484" s="5" t="str">
        <f t="shared" si="82"/>
        <v/>
      </c>
      <c r="I484" s="5" t="str">
        <f>_xlfn.XLOOKUP(F484,'[1]Jan Labour Nd Drivers Hyva'!$B:$B,'[2]Jan Labour Nd Drivers Hyva'!$A:$A,"NOT FOUND")</f>
        <v>LAB-002</v>
      </c>
      <c r="J484" s="5" t="str">
        <f>IF(G484="","",_xlfn.XLOOKUP(G484,'[3]Jan Labour Nd Drivers Hyva'!$B:$B,'[2]Jan Labour Nd Drivers Hyva'!$A:$A,"NOT FOUND"))</f>
        <v/>
      </c>
      <c r="K484" s="5" t="str">
        <f>IF(H484="","",_xlfn.XLOOKUP(H484,'[2]Jan Labour Nd Drivers Hyva'!$B:$B,'[2]Jan Labour Nd Drivers Hyva'!$A:$A,"NOT FOUND"))</f>
        <v/>
      </c>
      <c r="L484" s="11" t="s">
        <v>345</v>
      </c>
      <c r="M484" s="12">
        <v>1</v>
      </c>
      <c r="N484" s="13">
        <v>26000</v>
      </c>
      <c r="O484" s="8">
        <f t="shared" si="83"/>
        <v>26000</v>
      </c>
      <c r="P484" s="13"/>
      <c r="Q484" s="7">
        <f t="shared" si="89"/>
        <v>26000</v>
      </c>
      <c r="R484" t="str">
        <f t="shared" si="84"/>
        <v>UNPAID</v>
      </c>
      <c r="S484" s="3"/>
      <c r="T484" s="9">
        <f t="shared" si="85"/>
        <v>26000</v>
      </c>
      <c r="U484" t="str">
        <f t="shared" si="86"/>
        <v>OK</v>
      </c>
      <c r="V484" s="10">
        <f t="shared" si="87"/>
        <v>26000</v>
      </c>
      <c r="W484" t="str">
        <f t="shared" si="88"/>
        <v>OK</v>
      </c>
      <c r="X484" s="3" t="s">
        <v>28</v>
      </c>
      <c r="Y484" t="s">
        <v>29</v>
      </c>
    </row>
    <row r="485" spans="1:25" x14ac:dyDescent="0.2">
      <c r="A485" t="str">
        <f t="shared" si="79"/>
        <v>TRIP-533</v>
      </c>
      <c r="B485" s="2">
        <v>46005</v>
      </c>
      <c r="C485" s="3" t="str">
        <f>_xlfn.XLOOKUP(D485,'[1]Jan Customer Duplicate Hyva'!$B:$B,'[1]Jan Customer Duplicate Hyva'!$A:$A,"NOT FOUND")</f>
        <v>CUST-380</v>
      </c>
      <c r="D485" s="11" t="s">
        <v>112</v>
      </c>
      <c r="E485" s="11" t="s">
        <v>26</v>
      </c>
      <c r="F485" s="5" t="str">
        <f t="shared" si="80"/>
        <v>Anshu</v>
      </c>
      <c r="G485" s="5" t="str">
        <f t="shared" si="81"/>
        <v/>
      </c>
      <c r="H485" s="5" t="str">
        <f t="shared" si="82"/>
        <v/>
      </c>
      <c r="I485" s="5" t="str">
        <f>_xlfn.XLOOKUP(F485,'[1]Jan Labour Nd Drivers Hyva'!$B:$B,'[2]Jan Labour Nd Drivers Hyva'!$A:$A,"NOT FOUND")</f>
        <v>LAB-002</v>
      </c>
      <c r="J485" s="5" t="str">
        <f>IF(G485="","",_xlfn.XLOOKUP(G485,'[3]Jan Labour Nd Drivers Hyva'!$B:$B,'[2]Jan Labour Nd Drivers Hyva'!$A:$A,"NOT FOUND"))</f>
        <v/>
      </c>
      <c r="K485" s="5" t="str">
        <f>IF(H485="","",_xlfn.XLOOKUP(H485,'[2]Jan Labour Nd Drivers Hyva'!$B:$B,'[2]Jan Labour Nd Drivers Hyva'!$A:$A,"NOT FOUND"))</f>
        <v/>
      </c>
      <c r="L485" s="11" t="s">
        <v>185</v>
      </c>
      <c r="M485" s="12">
        <v>1</v>
      </c>
      <c r="N485" s="13">
        <v>26000</v>
      </c>
      <c r="O485" s="8">
        <f t="shared" si="83"/>
        <v>26000</v>
      </c>
      <c r="P485" s="13"/>
      <c r="Q485" s="7">
        <f t="shared" si="89"/>
        <v>26000</v>
      </c>
      <c r="R485" t="str">
        <f t="shared" si="84"/>
        <v>UNPAID</v>
      </c>
      <c r="S485" s="3"/>
      <c r="T485" s="9">
        <f t="shared" si="85"/>
        <v>26000</v>
      </c>
      <c r="U485" t="str">
        <f t="shared" si="86"/>
        <v>OK</v>
      </c>
      <c r="V485" s="10">
        <f t="shared" si="87"/>
        <v>26000</v>
      </c>
      <c r="W485" t="str">
        <f t="shared" si="88"/>
        <v>OK</v>
      </c>
      <c r="X485" s="3" t="s">
        <v>28</v>
      </c>
      <c r="Y485" t="s">
        <v>29</v>
      </c>
    </row>
    <row r="486" spans="1:25" x14ac:dyDescent="0.2">
      <c r="A486" t="str">
        <f t="shared" si="79"/>
        <v>TRIP-534</v>
      </c>
      <c r="B486" s="2">
        <v>46005</v>
      </c>
      <c r="C486" s="3" t="str">
        <f>_xlfn.XLOOKUP(D486,'[1]Jan Customer Duplicate Hyva'!$B:$B,'[1]Jan Customer Duplicate Hyva'!$A:$A,"NOT FOUND")</f>
        <v>CUST-041</v>
      </c>
      <c r="D486" s="3" t="s">
        <v>342</v>
      </c>
      <c r="E486" s="11" t="s">
        <v>30</v>
      </c>
      <c r="F486" s="5" t="str">
        <f t="shared" si="80"/>
        <v>Ravi</v>
      </c>
      <c r="G486" s="5" t="str">
        <f t="shared" si="81"/>
        <v/>
      </c>
      <c r="H486" s="5" t="str">
        <f t="shared" si="82"/>
        <v/>
      </c>
      <c r="I486" s="5" t="str">
        <f>_xlfn.XLOOKUP(F486,'[1]Jan Labour Nd Drivers Hyva'!$B:$B,'[2]Jan Labour Nd Drivers Hyva'!$A:$A,"NOT FOUND")</f>
        <v>LAB-003</v>
      </c>
      <c r="J486" s="5" t="str">
        <f>IF(G486="","",_xlfn.XLOOKUP(G486,'[3]Jan Labour Nd Drivers Hyva'!$B:$B,'[2]Jan Labour Nd Drivers Hyva'!$A:$A,"NOT FOUND"))</f>
        <v/>
      </c>
      <c r="K486" s="5" t="str">
        <f>IF(H486="","",_xlfn.XLOOKUP(H486,'[2]Jan Labour Nd Drivers Hyva'!$B:$B,'[2]Jan Labour Nd Drivers Hyva'!$A:$A,"NOT FOUND"))</f>
        <v/>
      </c>
      <c r="L486" s="11" t="s">
        <v>47</v>
      </c>
      <c r="M486" s="12">
        <v>1</v>
      </c>
      <c r="N486" s="13">
        <v>26000</v>
      </c>
      <c r="O486" s="8">
        <f t="shared" si="83"/>
        <v>26000</v>
      </c>
      <c r="P486" s="13"/>
      <c r="Q486" s="7">
        <f t="shared" si="89"/>
        <v>26000</v>
      </c>
      <c r="R486" t="str">
        <f t="shared" si="84"/>
        <v>UNPAID</v>
      </c>
      <c r="S486" s="3"/>
      <c r="T486" s="9">
        <f t="shared" si="85"/>
        <v>26000</v>
      </c>
      <c r="U486" t="str">
        <f t="shared" si="86"/>
        <v>OK</v>
      </c>
      <c r="V486" s="10">
        <f t="shared" si="87"/>
        <v>26000</v>
      </c>
      <c r="W486" t="str">
        <f t="shared" si="88"/>
        <v>OK</v>
      </c>
      <c r="X486" s="3" t="s">
        <v>28</v>
      </c>
      <c r="Y486" t="s">
        <v>29</v>
      </c>
    </row>
    <row r="487" spans="1:25" x14ac:dyDescent="0.2">
      <c r="A487" t="str">
        <f t="shared" si="79"/>
        <v>TRIP-535</v>
      </c>
      <c r="B487" s="2">
        <v>46006</v>
      </c>
      <c r="C487" s="3" t="str">
        <f>_xlfn.XLOOKUP(D487,'[1]Jan Customer Duplicate Hyva'!$B:$B,'[1]Jan Customer Duplicate Hyva'!$A:$A,"NOT FOUND")</f>
        <v>CUST-207</v>
      </c>
      <c r="D487" s="11" t="s">
        <v>25</v>
      </c>
      <c r="E487" s="11" t="s">
        <v>30</v>
      </c>
      <c r="F487" s="5" t="str">
        <f t="shared" si="80"/>
        <v>Ravi</v>
      </c>
      <c r="G487" s="5" t="str">
        <f t="shared" si="81"/>
        <v/>
      </c>
      <c r="H487" s="5" t="str">
        <f t="shared" si="82"/>
        <v/>
      </c>
      <c r="I487" s="5" t="str">
        <f>_xlfn.XLOOKUP(F487,'[1]Jan Labour Nd Drivers Hyva'!$B:$B,'[2]Jan Labour Nd Drivers Hyva'!$A:$A,"NOT FOUND")</f>
        <v>LAB-003</v>
      </c>
      <c r="J487" s="5" t="str">
        <f>IF(G487="","",_xlfn.XLOOKUP(G487,'[3]Jan Labour Nd Drivers Hyva'!$B:$B,'[2]Jan Labour Nd Drivers Hyva'!$A:$A,"NOT FOUND"))</f>
        <v/>
      </c>
      <c r="K487" s="5" t="str">
        <f>IF(H487="","",_xlfn.XLOOKUP(H487,'[2]Jan Labour Nd Drivers Hyva'!$B:$B,'[2]Jan Labour Nd Drivers Hyva'!$A:$A,"NOT FOUND"))</f>
        <v/>
      </c>
      <c r="L487" s="11" t="s">
        <v>346</v>
      </c>
      <c r="M487" s="12">
        <v>1</v>
      </c>
      <c r="N487" s="13">
        <v>26000</v>
      </c>
      <c r="O487" s="8">
        <f t="shared" si="83"/>
        <v>26000</v>
      </c>
      <c r="P487" s="13"/>
      <c r="Q487" s="7">
        <f t="shared" si="89"/>
        <v>26000</v>
      </c>
      <c r="R487" t="str">
        <f t="shared" si="84"/>
        <v>UNPAID</v>
      </c>
      <c r="S487" s="3"/>
      <c r="T487" s="9">
        <f t="shared" si="85"/>
        <v>26000</v>
      </c>
      <c r="U487" t="str">
        <f t="shared" si="86"/>
        <v>OK</v>
      </c>
      <c r="V487" s="10">
        <f t="shared" si="87"/>
        <v>26000</v>
      </c>
      <c r="W487" t="str">
        <f t="shared" si="88"/>
        <v>OK</v>
      </c>
      <c r="X487" s="3" t="s">
        <v>28</v>
      </c>
      <c r="Y487" t="s">
        <v>29</v>
      </c>
    </row>
    <row r="488" spans="1:25" x14ac:dyDescent="0.2">
      <c r="A488" t="str">
        <f t="shared" si="79"/>
        <v>TRIP-536</v>
      </c>
      <c r="B488" s="2">
        <v>46006</v>
      </c>
      <c r="C488" s="3" t="str">
        <f>_xlfn.XLOOKUP(D488,'[1]Jan Customer Duplicate Hyva'!$B:$B,'[1]Jan Customer Duplicate Hyva'!$A:$A,"NOT FOUND")</f>
        <v>CUST-380</v>
      </c>
      <c r="D488" s="11" t="s">
        <v>112</v>
      </c>
      <c r="E488" s="11" t="s">
        <v>30</v>
      </c>
      <c r="F488" s="5" t="str">
        <f t="shared" si="80"/>
        <v>Ravi</v>
      </c>
      <c r="G488" s="5" t="str">
        <f t="shared" si="81"/>
        <v/>
      </c>
      <c r="H488" s="5" t="str">
        <f t="shared" si="82"/>
        <v/>
      </c>
      <c r="I488" s="5" t="str">
        <f>_xlfn.XLOOKUP(F488,'[1]Jan Labour Nd Drivers Hyva'!$B:$B,'[2]Jan Labour Nd Drivers Hyva'!$A:$A,"NOT FOUND")</f>
        <v>LAB-003</v>
      </c>
      <c r="J488" s="5" t="str">
        <f>IF(G488="","",_xlfn.XLOOKUP(G488,'[3]Jan Labour Nd Drivers Hyva'!$B:$B,'[2]Jan Labour Nd Drivers Hyva'!$A:$A,"NOT FOUND"))</f>
        <v/>
      </c>
      <c r="K488" s="5" t="str">
        <f>IF(H488="","",_xlfn.XLOOKUP(H488,'[2]Jan Labour Nd Drivers Hyva'!$B:$B,'[2]Jan Labour Nd Drivers Hyva'!$A:$A,"NOT FOUND"))</f>
        <v/>
      </c>
      <c r="L488" s="11" t="s">
        <v>347</v>
      </c>
      <c r="M488" s="12">
        <v>1</v>
      </c>
      <c r="N488" s="13">
        <v>26000</v>
      </c>
      <c r="O488" s="8">
        <f t="shared" si="83"/>
        <v>26000</v>
      </c>
      <c r="P488" s="13"/>
      <c r="Q488" s="7">
        <f t="shared" si="89"/>
        <v>26000</v>
      </c>
      <c r="R488" t="str">
        <f t="shared" si="84"/>
        <v>UNPAID</v>
      </c>
      <c r="S488" s="3"/>
      <c r="T488" s="9">
        <f t="shared" si="85"/>
        <v>26000</v>
      </c>
      <c r="U488" t="str">
        <f t="shared" si="86"/>
        <v>OK</v>
      </c>
      <c r="V488" s="10">
        <f t="shared" si="87"/>
        <v>26000</v>
      </c>
      <c r="W488" t="str">
        <f t="shared" si="88"/>
        <v>OK</v>
      </c>
      <c r="X488" s="3" t="s">
        <v>28</v>
      </c>
      <c r="Y488" t="s">
        <v>29</v>
      </c>
    </row>
    <row r="489" spans="1:25" x14ac:dyDescent="0.2">
      <c r="A489" t="str">
        <f t="shared" si="79"/>
        <v>TRIP-537</v>
      </c>
      <c r="B489" s="2">
        <v>46006</v>
      </c>
      <c r="C489" s="3" t="str">
        <f>_xlfn.XLOOKUP(D489,'[1]Jan Customer Duplicate Hyva'!$B:$B,'[1]Jan Customer Duplicate Hyva'!$A:$A,"NOT FOUND")</f>
        <v>CUST-236</v>
      </c>
      <c r="D489" s="11" t="s">
        <v>58</v>
      </c>
      <c r="E489" s="11" t="s">
        <v>30</v>
      </c>
      <c r="F489" s="5" t="str">
        <f t="shared" si="80"/>
        <v>Ravi</v>
      </c>
      <c r="G489" s="5" t="str">
        <f t="shared" si="81"/>
        <v/>
      </c>
      <c r="H489" s="5" t="str">
        <f t="shared" si="82"/>
        <v/>
      </c>
      <c r="I489" s="5" t="str">
        <f>_xlfn.XLOOKUP(F489,'[1]Jan Labour Nd Drivers Hyva'!$B:$B,'[2]Jan Labour Nd Drivers Hyva'!$A:$A,"NOT FOUND")</f>
        <v>LAB-003</v>
      </c>
      <c r="J489" s="5" t="str">
        <f>IF(G489="","",_xlfn.XLOOKUP(G489,'[3]Jan Labour Nd Drivers Hyva'!$B:$B,'[2]Jan Labour Nd Drivers Hyva'!$A:$A,"NOT FOUND"))</f>
        <v/>
      </c>
      <c r="K489" s="5" t="str">
        <f>IF(H489="","",_xlfn.XLOOKUP(H489,'[2]Jan Labour Nd Drivers Hyva'!$B:$B,'[2]Jan Labour Nd Drivers Hyva'!$A:$A,"NOT FOUND"))</f>
        <v/>
      </c>
      <c r="L489" s="11" t="s">
        <v>348</v>
      </c>
      <c r="M489" s="12">
        <v>1</v>
      </c>
      <c r="N489" s="13">
        <v>26000</v>
      </c>
      <c r="O489" s="8">
        <f t="shared" si="83"/>
        <v>26000</v>
      </c>
      <c r="P489" s="13"/>
      <c r="Q489" s="7">
        <f t="shared" si="89"/>
        <v>26000</v>
      </c>
      <c r="R489" t="str">
        <f t="shared" si="84"/>
        <v>UNPAID</v>
      </c>
      <c r="S489" s="3"/>
      <c r="T489" s="9">
        <f t="shared" si="85"/>
        <v>26000</v>
      </c>
      <c r="U489" t="str">
        <f t="shared" si="86"/>
        <v>OK</v>
      </c>
      <c r="V489" s="10">
        <f t="shared" si="87"/>
        <v>26000</v>
      </c>
      <c r="W489" t="str">
        <f t="shared" si="88"/>
        <v>OK</v>
      </c>
      <c r="X489" s="3" t="s">
        <v>28</v>
      </c>
      <c r="Y489" t="s">
        <v>29</v>
      </c>
    </row>
    <row r="490" spans="1:25" x14ac:dyDescent="0.2">
      <c r="A490" t="str">
        <f t="shared" si="79"/>
        <v>TRIP-538</v>
      </c>
      <c r="B490" s="2">
        <v>46006</v>
      </c>
      <c r="C490" s="3" t="str">
        <f>_xlfn.XLOOKUP(D490,'[1]Jan Customer Duplicate Hyva'!$B:$B,'[1]Jan Customer Duplicate Hyva'!$A:$A,"NOT FOUND")</f>
        <v>CUST-037</v>
      </c>
      <c r="D490" s="11" t="s">
        <v>99</v>
      </c>
      <c r="E490" s="11" t="s">
        <v>30</v>
      </c>
      <c r="F490" s="5" t="str">
        <f t="shared" si="80"/>
        <v>Ravi</v>
      </c>
      <c r="G490" s="5" t="str">
        <f t="shared" si="81"/>
        <v/>
      </c>
      <c r="H490" s="5" t="str">
        <f t="shared" si="82"/>
        <v/>
      </c>
      <c r="I490" s="5" t="str">
        <f>_xlfn.XLOOKUP(F490,'[1]Jan Labour Nd Drivers Hyva'!$B:$B,'[2]Jan Labour Nd Drivers Hyva'!$A:$A,"NOT FOUND")</f>
        <v>LAB-003</v>
      </c>
      <c r="J490" s="5" t="str">
        <f>IF(G490="","",_xlfn.XLOOKUP(G490,'[3]Jan Labour Nd Drivers Hyva'!$B:$B,'[2]Jan Labour Nd Drivers Hyva'!$A:$A,"NOT FOUND"))</f>
        <v/>
      </c>
      <c r="K490" s="5" t="str">
        <f>IF(H490="","",_xlfn.XLOOKUP(H490,'[2]Jan Labour Nd Drivers Hyva'!$B:$B,'[2]Jan Labour Nd Drivers Hyva'!$A:$A,"NOT FOUND"))</f>
        <v/>
      </c>
      <c r="L490" s="11" t="s">
        <v>349</v>
      </c>
      <c r="M490" s="12">
        <v>1</v>
      </c>
      <c r="N490" s="13">
        <v>25000</v>
      </c>
      <c r="O490" s="8">
        <f t="shared" si="83"/>
        <v>25000</v>
      </c>
      <c r="P490" s="13"/>
      <c r="Q490" s="7">
        <f t="shared" si="89"/>
        <v>25000</v>
      </c>
      <c r="R490" t="str">
        <f t="shared" si="84"/>
        <v>UNPAID</v>
      </c>
      <c r="S490" s="3"/>
      <c r="T490" s="9">
        <f t="shared" si="85"/>
        <v>25000</v>
      </c>
      <c r="U490" t="str">
        <f t="shared" si="86"/>
        <v>OK</v>
      </c>
      <c r="V490" s="10">
        <f t="shared" si="87"/>
        <v>25000</v>
      </c>
      <c r="W490" t="str">
        <f t="shared" si="88"/>
        <v>OK</v>
      </c>
      <c r="X490" s="3" t="s">
        <v>28</v>
      </c>
      <c r="Y490" t="s">
        <v>29</v>
      </c>
    </row>
    <row r="491" spans="1:25" x14ac:dyDescent="0.2">
      <c r="A491" t="str">
        <f t="shared" si="79"/>
        <v>TRIP-539</v>
      </c>
      <c r="B491" s="2">
        <v>46006</v>
      </c>
      <c r="C491" s="3" t="str">
        <f>_xlfn.XLOOKUP(D491,'[1]Jan Customer Duplicate Hyva'!$B:$B,'[1]Jan Customer Duplicate Hyva'!$A:$A,"NOT FOUND")</f>
        <v>CUST-323</v>
      </c>
      <c r="D491" s="3" t="s">
        <v>51</v>
      </c>
      <c r="E491" s="11" t="s">
        <v>30</v>
      </c>
      <c r="F491" s="5" t="str">
        <f t="shared" si="80"/>
        <v>Ravi</v>
      </c>
      <c r="G491" s="5" t="str">
        <f t="shared" si="81"/>
        <v/>
      </c>
      <c r="H491" s="5" t="str">
        <f t="shared" si="82"/>
        <v/>
      </c>
      <c r="I491" s="5" t="str">
        <f>_xlfn.XLOOKUP(F491,'[1]Jan Labour Nd Drivers Hyva'!$B:$B,'[2]Jan Labour Nd Drivers Hyva'!$A:$A,"NOT FOUND")</f>
        <v>LAB-003</v>
      </c>
      <c r="J491" s="5" t="str">
        <f>IF(G491="","",_xlfn.XLOOKUP(G491,'[3]Jan Labour Nd Drivers Hyva'!$B:$B,'[2]Jan Labour Nd Drivers Hyva'!$A:$A,"NOT FOUND"))</f>
        <v/>
      </c>
      <c r="K491" s="5" t="str">
        <f>IF(H491="","",_xlfn.XLOOKUP(H491,'[2]Jan Labour Nd Drivers Hyva'!$B:$B,'[2]Jan Labour Nd Drivers Hyva'!$A:$A,"NOT FOUND"))</f>
        <v/>
      </c>
      <c r="L491" s="11" t="s">
        <v>335</v>
      </c>
      <c r="M491" s="12">
        <v>1</v>
      </c>
      <c r="N491" s="13">
        <v>30000</v>
      </c>
      <c r="O491" s="8">
        <f t="shared" si="83"/>
        <v>30000</v>
      </c>
      <c r="P491" s="13">
        <v>30000</v>
      </c>
      <c r="Q491" s="7">
        <f t="shared" si="89"/>
        <v>0</v>
      </c>
      <c r="R491" t="str">
        <f t="shared" si="84"/>
        <v>PAID</v>
      </c>
      <c r="S491" s="3"/>
      <c r="T491" s="9">
        <f t="shared" si="85"/>
        <v>30000</v>
      </c>
      <c r="U491" t="str">
        <f t="shared" si="86"/>
        <v>OK</v>
      </c>
      <c r="V491" s="10">
        <f t="shared" si="87"/>
        <v>0</v>
      </c>
      <c r="W491" t="str">
        <f t="shared" si="88"/>
        <v>OK</v>
      </c>
      <c r="X491" s="3" t="s">
        <v>28</v>
      </c>
      <c r="Y491" t="s">
        <v>29</v>
      </c>
    </row>
    <row r="492" spans="1:25" x14ac:dyDescent="0.2">
      <c r="A492" t="str">
        <f t="shared" si="79"/>
        <v>TRIP-540</v>
      </c>
      <c r="B492" s="2">
        <v>46007</v>
      </c>
      <c r="C492" s="3" t="str">
        <f>_xlfn.XLOOKUP(D492,'[1]Jan Customer Duplicate Hyva'!$B:$B,'[1]Jan Customer Duplicate Hyva'!$A:$A,"NOT FOUND")</f>
        <v>CUST-280</v>
      </c>
      <c r="D492" s="11" t="s">
        <v>171</v>
      </c>
      <c r="E492" s="11" t="s">
        <v>30</v>
      </c>
      <c r="F492" s="5" t="str">
        <f t="shared" si="80"/>
        <v>Ravi</v>
      </c>
      <c r="G492" s="5" t="str">
        <f t="shared" si="81"/>
        <v/>
      </c>
      <c r="H492" s="5" t="str">
        <f t="shared" si="82"/>
        <v/>
      </c>
      <c r="I492" s="5" t="str">
        <f>_xlfn.XLOOKUP(F492,'[1]Jan Labour Nd Drivers Hyva'!$B:$B,'[2]Jan Labour Nd Drivers Hyva'!$A:$A,"NOT FOUND")</f>
        <v>LAB-003</v>
      </c>
      <c r="J492" s="5" t="str">
        <f>IF(G492="","",_xlfn.XLOOKUP(G492,'[3]Jan Labour Nd Drivers Hyva'!$B:$B,'[2]Jan Labour Nd Drivers Hyva'!$A:$A,"NOT FOUND"))</f>
        <v/>
      </c>
      <c r="K492" s="5" t="str">
        <f>IF(H492="","",_xlfn.XLOOKUP(H492,'[2]Jan Labour Nd Drivers Hyva'!$B:$B,'[2]Jan Labour Nd Drivers Hyva'!$A:$A,"NOT FOUND"))</f>
        <v/>
      </c>
      <c r="L492" s="11" t="s">
        <v>195</v>
      </c>
      <c r="M492" s="12">
        <v>1</v>
      </c>
      <c r="N492" s="13">
        <v>23000</v>
      </c>
      <c r="O492" s="8">
        <f t="shared" si="83"/>
        <v>23000</v>
      </c>
      <c r="P492" s="13">
        <v>23000</v>
      </c>
      <c r="Q492" s="7">
        <f t="shared" si="89"/>
        <v>0</v>
      </c>
      <c r="R492" t="str">
        <f t="shared" si="84"/>
        <v>PAID</v>
      </c>
      <c r="S492" s="3"/>
      <c r="T492" s="9">
        <f t="shared" si="85"/>
        <v>23000</v>
      </c>
      <c r="U492" t="str">
        <f t="shared" si="86"/>
        <v>OK</v>
      </c>
      <c r="V492" s="10">
        <f t="shared" si="87"/>
        <v>0</v>
      </c>
      <c r="W492" t="str">
        <f t="shared" si="88"/>
        <v>OK</v>
      </c>
      <c r="X492" s="3" t="s">
        <v>28</v>
      </c>
      <c r="Y492" t="s">
        <v>29</v>
      </c>
    </row>
    <row r="493" spans="1:25" x14ac:dyDescent="0.2">
      <c r="A493" t="str">
        <f t="shared" si="79"/>
        <v>TRIP-541</v>
      </c>
      <c r="B493" s="2">
        <v>46007</v>
      </c>
      <c r="C493" s="3" t="str">
        <f>_xlfn.XLOOKUP(D493,'[1]Jan Customer Duplicate Hyva'!$B:$B,'[1]Jan Customer Duplicate Hyva'!$A:$A,"NOT FOUND")</f>
        <v>CUST-037</v>
      </c>
      <c r="D493" s="11" t="s">
        <v>99</v>
      </c>
      <c r="E493" s="11" t="s">
        <v>30</v>
      </c>
      <c r="F493" s="5" t="str">
        <f t="shared" si="80"/>
        <v>Ravi</v>
      </c>
      <c r="G493" s="5" t="str">
        <f t="shared" si="81"/>
        <v/>
      </c>
      <c r="H493" s="5" t="str">
        <f t="shared" si="82"/>
        <v/>
      </c>
      <c r="I493" s="5" t="str">
        <f>_xlfn.XLOOKUP(F493,'[1]Jan Labour Nd Drivers Hyva'!$B:$B,'[2]Jan Labour Nd Drivers Hyva'!$A:$A,"NOT FOUND")</f>
        <v>LAB-003</v>
      </c>
      <c r="J493" s="5" t="str">
        <f>IF(G493="","",_xlfn.XLOOKUP(G493,'[3]Jan Labour Nd Drivers Hyva'!$B:$B,'[2]Jan Labour Nd Drivers Hyva'!$A:$A,"NOT FOUND"))</f>
        <v/>
      </c>
      <c r="K493" s="5" t="str">
        <f>IF(H493="","",_xlfn.XLOOKUP(H493,'[2]Jan Labour Nd Drivers Hyva'!$B:$B,'[2]Jan Labour Nd Drivers Hyva'!$A:$A,"NOT FOUND"))</f>
        <v/>
      </c>
      <c r="L493" s="11" t="s">
        <v>350</v>
      </c>
      <c r="M493" s="12">
        <v>1</v>
      </c>
      <c r="N493" s="13">
        <v>25000</v>
      </c>
      <c r="O493" s="8">
        <f t="shared" si="83"/>
        <v>25000</v>
      </c>
      <c r="P493" s="13"/>
      <c r="Q493" s="7">
        <f t="shared" si="89"/>
        <v>25000</v>
      </c>
      <c r="R493" t="str">
        <f t="shared" si="84"/>
        <v>UNPAID</v>
      </c>
      <c r="S493" s="3"/>
      <c r="T493" s="9">
        <f t="shared" si="85"/>
        <v>25000</v>
      </c>
      <c r="U493" t="str">
        <f t="shared" si="86"/>
        <v>OK</v>
      </c>
      <c r="V493" s="10">
        <f t="shared" si="87"/>
        <v>25000</v>
      </c>
      <c r="W493" t="str">
        <f t="shared" si="88"/>
        <v>OK</v>
      </c>
      <c r="X493" s="3" t="s">
        <v>28</v>
      </c>
      <c r="Y493" t="s">
        <v>29</v>
      </c>
    </row>
    <row r="494" spans="1:25" x14ac:dyDescent="0.2">
      <c r="A494" t="str">
        <f t="shared" si="79"/>
        <v>TRIP-542</v>
      </c>
      <c r="B494" s="2">
        <v>46007</v>
      </c>
      <c r="C494" s="3" t="str">
        <f>_xlfn.XLOOKUP(D494,'[1]Jan Customer Duplicate Hyva'!$B:$B,'[1]Jan Customer Duplicate Hyva'!$A:$A,"NOT FOUND")</f>
        <v>CUST-037</v>
      </c>
      <c r="D494" s="11" t="s">
        <v>99</v>
      </c>
      <c r="E494" s="11" t="s">
        <v>30</v>
      </c>
      <c r="F494" s="5" t="str">
        <f t="shared" si="80"/>
        <v>Ravi</v>
      </c>
      <c r="G494" s="5" t="str">
        <f t="shared" si="81"/>
        <v/>
      </c>
      <c r="H494" s="5" t="str">
        <f t="shared" si="82"/>
        <v/>
      </c>
      <c r="I494" s="5" t="str">
        <f>_xlfn.XLOOKUP(F494,'[1]Jan Labour Nd Drivers Hyva'!$B:$B,'[2]Jan Labour Nd Drivers Hyva'!$A:$A,"NOT FOUND")</f>
        <v>LAB-003</v>
      </c>
      <c r="J494" s="5" t="str">
        <f>IF(G494="","",_xlfn.XLOOKUP(G494,'[3]Jan Labour Nd Drivers Hyva'!$B:$B,'[2]Jan Labour Nd Drivers Hyva'!$A:$A,"NOT FOUND"))</f>
        <v/>
      </c>
      <c r="K494" s="5" t="str">
        <f>IF(H494="","",_xlfn.XLOOKUP(H494,'[2]Jan Labour Nd Drivers Hyva'!$B:$B,'[2]Jan Labour Nd Drivers Hyva'!$A:$A,"NOT FOUND"))</f>
        <v/>
      </c>
      <c r="L494" s="11" t="s">
        <v>63</v>
      </c>
      <c r="M494" s="12">
        <v>1</v>
      </c>
      <c r="N494" s="13">
        <v>25000</v>
      </c>
      <c r="O494" s="8">
        <f t="shared" si="83"/>
        <v>25000</v>
      </c>
      <c r="P494" s="13"/>
      <c r="Q494" s="7">
        <f t="shared" si="89"/>
        <v>25000</v>
      </c>
      <c r="R494" t="str">
        <f t="shared" si="84"/>
        <v>UNPAID</v>
      </c>
      <c r="S494" s="3"/>
      <c r="T494" s="9">
        <f t="shared" si="85"/>
        <v>25000</v>
      </c>
      <c r="U494" t="str">
        <f t="shared" si="86"/>
        <v>OK</v>
      </c>
      <c r="V494" s="10">
        <f t="shared" si="87"/>
        <v>25000</v>
      </c>
      <c r="W494" t="str">
        <f t="shared" si="88"/>
        <v>OK</v>
      </c>
      <c r="X494" s="3" t="s">
        <v>28</v>
      </c>
      <c r="Y494" t="s">
        <v>29</v>
      </c>
    </row>
    <row r="495" spans="1:25" x14ac:dyDescent="0.2">
      <c r="A495" t="str">
        <f t="shared" si="79"/>
        <v>TRIP-543</v>
      </c>
      <c r="B495" s="2">
        <v>46007</v>
      </c>
      <c r="C495" s="3" t="str">
        <f>_xlfn.XLOOKUP(D495,'[1]Jan Customer Duplicate Hyva'!$B:$B,'[1]Jan Customer Duplicate Hyva'!$A:$A,"NOT FOUND")</f>
        <v>CUST-324</v>
      </c>
      <c r="D495" s="11" t="s">
        <v>351</v>
      </c>
      <c r="E495" s="11" t="s">
        <v>30</v>
      </c>
      <c r="F495" s="5" t="str">
        <f t="shared" si="80"/>
        <v>Ravi</v>
      </c>
      <c r="G495" s="5" t="str">
        <f t="shared" si="81"/>
        <v/>
      </c>
      <c r="H495" s="5" t="str">
        <f t="shared" si="82"/>
        <v/>
      </c>
      <c r="I495" s="5" t="str">
        <f>_xlfn.XLOOKUP(F495,'[1]Jan Labour Nd Drivers Hyva'!$B:$B,'[2]Jan Labour Nd Drivers Hyva'!$A:$A,"NOT FOUND")</f>
        <v>LAB-003</v>
      </c>
      <c r="J495" s="5" t="str">
        <f>IF(G495="","",_xlfn.XLOOKUP(G495,'[3]Jan Labour Nd Drivers Hyva'!$B:$B,'[2]Jan Labour Nd Drivers Hyva'!$A:$A,"NOT FOUND"))</f>
        <v/>
      </c>
      <c r="K495" s="5" t="str">
        <f>IF(H495="","",_xlfn.XLOOKUP(H495,'[2]Jan Labour Nd Drivers Hyva'!$B:$B,'[2]Jan Labour Nd Drivers Hyva'!$A:$A,"NOT FOUND"))</f>
        <v/>
      </c>
      <c r="L495" s="11" t="s">
        <v>120</v>
      </c>
      <c r="M495" s="12">
        <v>1</v>
      </c>
      <c r="N495" s="13">
        <v>25000</v>
      </c>
      <c r="O495" s="8">
        <f t="shared" si="83"/>
        <v>25000</v>
      </c>
      <c r="P495" s="13">
        <v>25000</v>
      </c>
      <c r="Q495" s="7">
        <f t="shared" si="89"/>
        <v>0</v>
      </c>
      <c r="R495" t="str">
        <f t="shared" si="84"/>
        <v>PAID</v>
      </c>
      <c r="S495" s="3"/>
      <c r="T495" s="9">
        <f t="shared" si="85"/>
        <v>25000</v>
      </c>
      <c r="U495" t="str">
        <f t="shared" si="86"/>
        <v>OK</v>
      </c>
      <c r="V495" s="10">
        <f t="shared" si="87"/>
        <v>0</v>
      </c>
      <c r="W495" t="str">
        <f t="shared" si="88"/>
        <v>OK</v>
      </c>
      <c r="X495" s="3" t="s">
        <v>28</v>
      </c>
      <c r="Y495" t="s">
        <v>29</v>
      </c>
    </row>
    <row r="496" spans="1:25" x14ac:dyDescent="0.2">
      <c r="A496" t="str">
        <f t="shared" si="79"/>
        <v>TRIP-544</v>
      </c>
      <c r="B496" s="2">
        <v>46007</v>
      </c>
      <c r="C496" s="3" t="str">
        <f>_xlfn.XLOOKUP(D496,'[1]Jan Customer Duplicate Hyva'!$B:$B,'[1]Jan Customer Duplicate Hyva'!$A:$A,"NOT FOUND")</f>
        <v>CUST-323</v>
      </c>
      <c r="D496" s="3" t="s">
        <v>51</v>
      </c>
      <c r="E496" s="11" t="s">
        <v>30</v>
      </c>
      <c r="F496" s="5" t="str">
        <f t="shared" si="80"/>
        <v>Ravi</v>
      </c>
      <c r="G496" s="5" t="str">
        <f t="shared" si="81"/>
        <v/>
      </c>
      <c r="H496" s="5" t="str">
        <f t="shared" si="82"/>
        <v/>
      </c>
      <c r="I496" s="5" t="str">
        <f>_xlfn.XLOOKUP(F496,'[1]Jan Labour Nd Drivers Hyva'!$B:$B,'[2]Jan Labour Nd Drivers Hyva'!$A:$A,"NOT FOUND")</f>
        <v>LAB-003</v>
      </c>
      <c r="J496" s="5" t="str">
        <f>IF(G496="","",_xlfn.XLOOKUP(G496,'[3]Jan Labour Nd Drivers Hyva'!$B:$B,'[2]Jan Labour Nd Drivers Hyva'!$A:$A,"NOT FOUND"))</f>
        <v/>
      </c>
      <c r="K496" s="5" t="str">
        <f>IF(H496="","",_xlfn.XLOOKUP(H496,'[2]Jan Labour Nd Drivers Hyva'!$B:$B,'[2]Jan Labour Nd Drivers Hyva'!$A:$A,"NOT FOUND"))</f>
        <v/>
      </c>
      <c r="L496" s="11" t="s">
        <v>89</v>
      </c>
      <c r="M496" s="12">
        <v>1</v>
      </c>
      <c r="N496" s="13">
        <v>28000</v>
      </c>
      <c r="O496" s="8">
        <f t="shared" si="83"/>
        <v>28000</v>
      </c>
      <c r="P496" s="13"/>
      <c r="Q496" s="7">
        <f t="shared" si="89"/>
        <v>28000</v>
      </c>
      <c r="R496" t="str">
        <f t="shared" si="84"/>
        <v>UNPAID</v>
      </c>
      <c r="S496" s="3"/>
      <c r="T496" s="9">
        <f t="shared" si="85"/>
        <v>28000</v>
      </c>
      <c r="U496" t="str">
        <f t="shared" si="86"/>
        <v>OK</v>
      </c>
      <c r="V496" s="10">
        <f t="shared" si="87"/>
        <v>28000</v>
      </c>
      <c r="W496" t="str">
        <f t="shared" si="88"/>
        <v>OK</v>
      </c>
      <c r="X496" s="3" t="s">
        <v>28</v>
      </c>
      <c r="Y496" t="s">
        <v>29</v>
      </c>
    </row>
    <row r="497" spans="1:25" x14ac:dyDescent="0.2">
      <c r="A497" t="str">
        <f t="shared" si="79"/>
        <v>TRIP-545</v>
      </c>
      <c r="B497" s="2">
        <v>46007</v>
      </c>
      <c r="C497" s="3" t="str">
        <f>_xlfn.XLOOKUP(D497,'[1]Jan Customer Duplicate Hyva'!$B:$B,'[1]Jan Customer Duplicate Hyva'!$A:$A,"NOT FOUND")</f>
        <v>CUST-323</v>
      </c>
      <c r="D497" s="3" t="s">
        <v>51</v>
      </c>
      <c r="E497" s="11" t="s">
        <v>30</v>
      </c>
      <c r="F497" s="5" t="str">
        <f t="shared" si="80"/>
        <v>Ravi</v>
      </c>
      <c r="G497" s="5" t="str">
        <f t="shared" si="81"/>
        <v/>
      </c>
      <c r="H497" s="5" t="str">
        <f t="shared" si="82"/>
        <v/>
      </c>
      <c r="I497" s="5" t="str">
        <f>_xlfn.XLOOKUP(F497,'[1]Jan Labour Nd Drivers Hyva'!$B:$B,'[2]Jan Labour Nd Drivers Hyva'!$A:$A,"NOT FOUND")</f>
        <v>LAB-003</v>
      </c>
      <c r="J497" s="5" t="str">
        <f>IF(G497="","",_xlfn.XLOOKUP(G497,'[3]Jan Labour Nd Drivers Hyva'!$B:$B,'[2]Jan Labour Nd Drivers Hyva'!$A:$A,"NOT FOUND"))</f>
        <v/>
      </c>
      <c r="K497" s="5" t="str">
        <f>IF(H497="","",_xlfn.XLOOKUP(H497,'[2]Jan Labour Nd Drivers Hyva'!$B:$B,'[2]Jan Labour Nd Drivers Hyva'!$A:$A,"NOT FOUND"))</f>
        <v/>
      </c>
      <c r="L497" s="11" t="s">
        <v>41</v>
      </c>
      <c r="M497" s="12">
        <v>1</v>
      </c>
      <c r="N497" s="13">
        <v>30000</v>
      </c>
      <c r="O497" s="8">
        <f t="shared" si="83"/>
        <v>30000</v>
      </c>
      <c r="P497" s="13">
        <v>30000</v>
      </c>
      <c r="Q497" s="7">
        <f t="shared" si="89"/>
        <v>0</v>
      </c>
      <c r="R497" t="str">
        <f t="shared" si="84"/>
        <v>PAID</v>
      </c>
      <c r="S497" s="3"/>
      <c r="T497" s="9">
        <f t="shared" si="85"/>
        <v>30000</v>
      </c>
      <c r="U497" t="str">
        <f t="shared" si="86"/>
        <v>OK</v>
      </c>
      <c r="V497" s="10">
        <f t="shared" si="87"/>
        <v>0</v>
      </c>
      <c r="W497" t="str">
        <f t="shared" si="88"/>
        <v>OK</v>
      </c>
      <c r="X497" s="3" t="s">
        <v>28</v>
      </c>
      <c r="Y497" t="s">
        <v>29</v>
      </c>
    </row>
    <row r="498" spans="1:25" x14ac:dyDescent="0.2">
      <c r="A498" t="str">
        <f t="shared" si="79"/>
        <v>TRIP-546</v>
      </c>
      <c r="B498" s="2">
        <v>46007</v>
      </c>
      <c r="C498" s="3" t="str">
        <f>_xlfn.XLOOKUP(D498,'[1]Jan Customer Duplicate Hyva'!$B:$B,'[1]Jan Customer Duplicate Hyva'!$A:$A,"NOT FOUND")</f>
        <v>CUST-118</v>
      </c>
      <c r="D498" s="11" t="s">
        <v>226</v>
      </c>
      <c r="E498" s="11" t="s">
        <v>30</v>
      </c>
      <c r="F498" s="5" t="str">
        <f t="shared" si="80"/>
        <v>Ravi</v>
      </c>
      <c r="G498" s="5" t="str">
        <f t="shared" si="81"/>
        <v/>
      </c>
      <c r="H498" s="5" t="str">
        <f t="shared" si="82"/>
        <v/>
      </c>
      <c r="I498" s="5" t="str">
        <f>_xlfn.XLOOKUP(F498,'[1]Jan Labour Nd Drivers Hyva'!$B:$B,'[2]Jan Labour Nd Drivers Hyva'!$A:$A,"NOT FOUND")</f>
        <v>LAB-003</v>
      </c>
      <c r="J498" s="5" t="str">
        <f>IF(G498="","",_xlfn.XLOOKUP(G498,'[3]Jan Labour Nd Drivers Hyva'!$B:$B,'[2]Jan Labour Nd Drivers Hyva'!$A:$A,"NOT FOUND"))</f>
        <v/>
      </c>
      <c r="K498" s="5" t="str">
        <f>IF(H498="","",_xlfn.XLOOKUP(H498,'[2]Jan Labour Nd Drivers Hyva'!$B:$B,'[2]Jan Labour Nd Drivers Hyva'!$A:$A,"NOT FOUND"))</f>
        <v/>
      </c>
      <c r="L498" s="11" t="s">
        <v>41</v>
      </c>
      <c r="M498" s="12">
        <v>1</v>
      </c>
      <c r="N498" s="13">
        <v>30000</v>
      </c>
      <c r="O498" s="8">
        <f t="shared" si="83"/>
        <v>30000</v>
      </c>
      <c r="P498" s="13"/>
      <c r="Q498" s="7">
        <f t="shared" si="89"/>
        <v>30000</v>
      </c>
      <c r="R498" t="str">
        <f t="shared" si="84"/>
        <v>UNPAID</v>
      </c>
      <c r="S498" s="3"/>
      <c r="T498" s="9">
        <f t="shared" si="85"/>
        <v>30000</v>
      </c>
      <c r="U498" t="str">
        <f t="shared" si="86"/>
        <v>OK</v>
      </c>
      <c r="V498" s="10">
        <f t="shared" si="87"/>
        <v>30000</v>
      </c>
      <c r="W498" t="str">
        <f t="shared" si="88"/>
        <v>OK</v>
      </c>
      <c r="X498" s="3" t="s">
        <v>28</v>
      </c>
      <c r="Y498" t="s">
        <v>29</v>
      </c>
    </row>
    <row r="499" spans="1:25" x14ac:dyDescent="0.2">
      <c r="A499" t="str">
        <f t="shared" si="79"/>
        <v>TRIP-547</v>
      </c>
      <c r="B499" s="2">
        <v>46007</v>
      </c>
      <c r="C499" s="3" t="str">
        <f>_xlfn.XLOOKUP(D499,'[1]Jan Customer Duplicate Hyva'!$B:$B,'[1]Jan Customer Duplicate Hyva'!$A:$A,"NOT FOUND")</f>
        <v>CUST-280</v>
      </c>
      <c r="D499" s="11" t="s">
        <v>171</v>
      </c>
      <c r="E499" s="11" t="s">
        <v>30</v>
      </c>
      <c r="F499" s="5" t="str">
        <f t="shared" si="80"/>
        <v>Ravi</v>
      </c>
      <c r="G499" s="5" t="str">
        <f t="shared" si="81"/>
        <v/>
      </c>
      <c r="H499" s="5" t="str">
        <f t="shared" si="82"/>
        <v/>
      </c>
      <c r="I499" s="5" t="str">
        <f>_xlfn.XLOOKUP(F499,'[1]Jan Labour Nd Drivers Hyva'!$B:$B,'[2]Jan Labour Nd Drivers Hyva'!$A:$A,"NOT FOUND")</f>
        <v>LAB-003</v>
      </c>
      <c r="J499" s="5" t="str">
        <f>IF(G499="","",_xlfn.XLOOKUP(G499,'[3]Jan Labour Nd Drivers Hyva'!$B:$B,'[2]Jan Labour Nd Drivers Hyva'!$A:$A,"NOT FOUND"))</f>
        <v/>
      </c>
      <c r="K499" s="5" t="str">
        <f>IF(H499="","",_xlfn.XLOOKUP(H499,'[2]Jan Labour Nd Drivers Hyva'!$B:$B,'[2]Jan Labour Nd Drivers Hyva'!$A:$A,"NOT FOUND"))</f>
        <v/>
      </c>
      <c r="L499" s="11" t="s">
        <v>334</v>
      </c>
      <c r="M499" s="12">
        <v>1</v>
      </c>
      <c r="N499" s="13">
        <v>33000</v>
      </c>
      <c r="O499" s="8">
        <f t="shared" si="83"/>
        <v>33000</v>
      </c>
      <c r="P499" s="13">
        <v>33000</v>
      </c>
      <c r="Q499" s="7">
        <f t="shared" si="89"/>
        <v>0</v>
      </c>
      <c r="R499" t="str">
        <f t="shared" si="84"/>
        <v>PAID</v>
      </c>
      <c r="S499" s="3"/>
      <c r="T499" s="9">
        <f t="shared" si="85"/>
        <v>33000</v>
      </c>
      <c r="U499" t="str">
        <f t="shared" si="86"/>
        <v>OK</v>
      </c>
      <c r="V499" s="10">
        <f t="shared" si="87"/>
        <v>0</v>
      </c>
      <c r="W499" t="str">
        <f t="shared" si="88"/>
        <v>OK</v>
      </c>
      <c r="X499" s="3" t="s">
        <v>28</v>
      </c>
      <c r="Y499" t="s">
        <v>29</v>
      </c>
    </row>
    <row r="500" spans="1:25" x14ac:dyDescent="0.2">
      <c r="A500" t="str">
        <f t="shared" si="79"/>
        <v>TRIP-548</v>
      </c>
      <c r="B500" s="2">
        <v>46009</v>
      </c>
      <c r="C500" s="3" t="str">
        <f>_xlfn.XLOOKUP(D500,'[1]Jan Customer Duplicate Hyva'!$B:$B,'[1]Jan Customer Duplicate Hyva'!$A:$A,"NOT FOUND")</f>
        <v>CUST-207</v>
      </c>
      <c r="D500" s="11" t="s">
        <v>25</v>
      </c>
      <c r="E500" s="11" t="s">
        <v>30</v>
      </c>
      <c r="F500" s="5" t="str">
        <f t="shared" si="80"/>
        <v>Ravi</v>
      </c>
      <c r="G500" s="5" t="str">
        <f t="shared" si="81"/>
        <v/>
      </c>
      <c r="H500" s="5" t="str">
        <f t="shared" si="82"/>
        <v/>
      </c>
      <c r="I500" s="5" t="str">
        <f>_xlfn.XLOOKUP(F500,'[1]Jan Labour Nd Drivers Hyva'!$B:$B,'[2]Jan Labour Nd Drivers Hyva'!$A:$A,"NOT FOUND")</f>
        <v>LAB-003</v>
      </c>
      <c r="J500" s="5" t="str">
        <f>IF(G500="","",_xlfn.XLOOKUP(G500,'[3]Jan Labour Nd Drivers Hyva'!$B:$B,'[2]Jan Labour Nd Drivers Hyva'!$A:$A,"NOT FOUND"))</f>
        <v/>
      </c>
      <c r="K500" s="5" t="str">
        <f>IF(H500="","",_xlfn.XLOOKUP(H500,'[2]Jan Labour Nd Drivers Hyva'!$B:$B,'[2]Jan Labour Nd Drivers Hyva'!$A:$A,"NOT FOUND"))</f>
        <v/>
      </c>
      <c r="L500" s="11" t="s">
        <v>285</v>
      </c>
      <c r="M500" s="12">
        <v>1</v>
      </c>
      <c r="N500" s="13">
        <v>30000</v>
      </c>
      <c r="O500" s="8">
        <f t="shared" si="83"/>
        <v>30000</v>
      </c>
      <c r="P500" s="13"/>
      <c r="Q500" s="7">
        <f t="shared" si="89"/>
        <v>30000</v>
      </c>
      <c r="R500" t="str">
        <f t="shared" si="84"/>
        <v>UNPAID</v>
      </c>
      <c r="S500" s="3"/>
      <c r="T500" s="9">
        <f t="shared" si="85"/>
        <v>30000</v>
      </c>
      <c r="U500" t="str">
        <f t="shared" si="86"/>
        <v>OK</v>
      </c>
      <c r="V500" s="10">
        <f t="shared" si="87"/>
        <v>30000</v>
      </c>
      <c r="W500" t="str">
        <f t="shared" si="88"/>
        <v>OK</v>
      </c>
      <c r="X500" s="3" t="s">
        <v>28</v>
      </c>
      <c r="Y500" t="s">
        <v>29</v>
      </c>
    </row>
    <row r="501" spans="1:25" x14ac:dyDescent="0.2">
      <c r="A501" t="str">
        <f t="shared" si="79"/>
        <v>TRIP-549</v>
      </c>
      <c r="B501" s="2">
        <v>46009</v>
      </c>
      <c r="C501" s="3" t="str">
        <f>_xlfn.XLOOKUP(D501,'[1]Jan Customer Duplicate Hyva'!$B:$B,'[1]Jan Customer Duplicate Hyva'!$A:$A,"NOT FOUND")</f>
        <v>CUST-037</v>
      </c>
      <c r="D501" s="11" t="s">
        <v>99</v>
      </c>
      <c r="E501" s="11" t="s">
        <v>30</v>
      </c>
      <c r="F501" s="5" t="str">
        <f t="shared" si="80"/>
        <v>Ravi</v>
      </c>
      <c r="G501" s="5" t="str">
        <f t="shared" si="81"/>
        <v/>
      </c>
      <c r="H501" s="5" t="str">
        <f t="shared" si="82"/>
        <v/>
      </c>
      <c r="I501" s="5" t="str">
        <f>_xlfn.XLOOKUP(F501,'[1]Jan Labour Nd Drivers Hyva'!$B:$B,'[2]Jan Labour Nd Drivers Hyva'!$A:$A,"NOT FOUND")</f>
        <v>LAB-003</v>
      </c>
      <c r="J501" s="5" t="str">
        <f>IF(G501="","",_xlfn.XLOOKUP(G501,'[3]Jan Labour Nd Drivers Hyva'!$B:$B,'[2]Jan Labour Nd Drivers Hyva'!$A:$A,"NOT FOUND"))</f>
        <v/>
      </c>
      <c r="K501" s="5" t="str">
        <f>IF(H501="","",_xlfn.XLOOKUP(H501,'[2]Jan Labour Nd Drivers Hyva'!$B:$B,'[2]Jan Labour Nd Drivers Hyva'!$A:$A,"NOT FOUND"))</f>
        <v/>
      </c>
      <c r="L501" s="11" t="s">
        <v>329</v>
      </c>
      <c r="M501" s="12">
        <v>1</v>
      </c>
      <c r="N501" s="13">
        <v>23000</v>
      </c>
      <c r="O501" s="8">
        <f t="shared" si="83"/>
        <v>23000</v>
      </c>
      <c r="P501" s="13"/>
      <c r="Q501" s="7">
        <f t="shared" si="89"/>
        <v>23000</v>
      </c>
      <c r="R501" t="str">
        <f t="shared" si="84"/>
        <v>UNPAID</v>
      </c>
      <c r="S501" s="3"/>
      <c r="T501" s="9">
        <f t="shared" si="85"/>
        <v>23000</v>
      </c>
      <c r="U501" t="str">
        <f t="shared" si="86"/>
        <v>OK</v>
      </c>
      <c r="V501" s="10">
        <f t="shared" si="87"/>
        <v>23000</v>
      </c>
      <c r="W501" t="str">
        <f t="shared" si="88"/>
        <v>OK</v>
      </c>
      <c r="X501" s="3" t="s">
        <v>28</v>
      </c>
      <c r="Y501" t="s">
        <v>29</v>
      </c>
    </row>
    <row r="502" spans="1:25" x14ac:dyDescent="0.2">
      <c r="A502" t="str">
        <f t="shared" si="79"/>
        <v>TRIP-550</v>
      </c>
      <c r="B502" s="2">
        <v>46009</v>
      </c>
      <c r="C502" s="3" t="str">
        <f>_xlfn.XLOOKUP(D502,'[1]Jan Customer Duplicate Hyva'!$B:$B,'[1]Jan Customer Duplicate Hyva'!$A:$A,"NOT FOUND")</f>
        <v>CUST-132</v>
      </c>
      <c r="D502" s="11" t="s">
        <v>352</v>
      </c>
      <c r="E502" s="11" t="s">
        <v>30</v>
      </c>
      <c r="F502" s="5" t="str">
        <f t="shared" si="80"/>
        <v>Ravi</v>
      </c>
      <c r="G502" s="5" t="str">
        <f t="shared" si="81"/>
        <v/>
      </c>
      <c r="H502" s="5" t="str">
        <f t="shared" si="82"/>
        <v/>
      </c>
      <c r="I502" s="5" t="str">
        <f>_xlfn.XLOOKUP(F502,'[1]Jan Labour Nd Drivers Hyva'!$B:$B,'[2]Jan Labour Nd Drivers Hyva'!$A:$A,"NOT FOUND")</f>
        <v>LAB-003</v>
      </c>
      <c r="J502" s="5" t="str">
        <f>IF(G502="","",_xlfn.XLOOKUP(G502,'[3]Jan Labour Nd Drivers Hyva'!$B:$B,'[2]Jan Labour Nd Drivers Hyva'!$A:$A,"NOT FOUND"))</f>
        <v/>
      </c>
      <c r="K502" s="5" t="str">
        <f>IF(H502="","",_xlfn.XLOOKUP(H502,'[2]Jan Labour Nd Drivers Hyva'!$B:$B,'[2]Jan Labour Nd Drivers Hyva'!$A:$A,"NOT FOUND"))</f>
        <v/>
      </c>
      <c r="L502" s="11" t="s">
        <v>353</v>
      </c>
      <c r="M502" s="12">
        <v>1</v>
      </c>
      <c r="N502" s="13">
        <v>30000</v>
      </c>
      <c r="O502" s="8">
        <f t="shared" si="83"/>
        <v>30000</v>
      </c>
      <c r="P502" s="13"/>
      <c r="Q502" s="7">
        <f t="shared" si="89"/>
        <v>30000</v>
      </c>
      <c r="R502" t="str">
        <f t="shared" si="84"/>
        <v>UNPAID</v>
      </c>
      <c r="S502" s="3"/>
      <c r="T502" s="9">
        <f t="shared" si="85"/>
        <v>30000</v>
      </c>
      <c r="U502" t="str">
        <f t="shared" si="86"/>
        <v>OK</v>
      </c>
      <c r="V502" s="10">
        <f t="shared" si="87"/>
        <v>30000</v>
      </c>
      <c r="W502" t="str">
        <f t="shared" si="88"/>
        <v>OK</v>
      </c>
      <c r="X502" s="3" t="s">
        <v>28</v>
      </c>
      <c r="Y502" t="s">
        <v>29</v>
      </c>
    </row>
    <row r="503" spans="1:25" x14ac:dyDescent="0.2">
      <c r="A503" t="str">
        <f t="shared" si="79"/>
        <v>TRIP-551</v>
      </c>
      <c r="B503" s="2">
        <v>46010</v>
      </c>
      <c r="C503" s="3" t="str">
        <f>_xlfn.XLOOKUP(D503,'[1]Jan Customer Duplicate Hyva'!$B:$B,'[1]Jan Customer Duplicate Hyva'!$A:$A,"NOT FOUND")</f>
        <v>CUST-037</v>
      </c>
      <c r="D503" s="11" t="s">
        <v>99</v>
      </c>
      <c r="E503" s="11" t="s">
        <v>307</v>
      </c>
      <c r="F503" s="5" t="str">
        <f t="shared" si="80"/>
        <v>Dhanraj</v>
      </c>
      <c r="G503" s="5" t="str">
        <f t="shared" si="81"/>
        <v/>
      </c>
      <c r="H503" s="5" t="str">
        <f t="shared" si="82"/>
        <v/>
      </c>
      <c r="I503" s="5" t="str">
        <f>_xlfn.XLOOKUP(F503,'[1]Jan Labour Nd Drivers Hyva'!$B:$B,'[2]Jan Labour Nd Drivers Hyva'!$A:$A,"NOT FOUND")</f>
        <v>LAB-010</v>
      </c>
      <c r="J503" s="5" t="str">
        <f>IF(G503="","",_xlfn.XLOOKUP(G503,'[3]Jan Labour Nd Drivers Hyva'!$B:$B,'[2]Jan Labour Nd Drivers Hyva'!$A:$A,"NOT FOUND"))</f>
        <v/>
      </c>
      <c r="K503" s="5" t="str">
        <f>IF(H503="","",_xlfn.XLOOKUP(H503,'[2]Jan Labour Nd Drivers Hyva'!$B:$B,'[2]Jan Labour Nd Drivers Hyva'!$A:$A,"NOT FOUND"))</f>
        <v/>
      </c>
      <c r="L503" s="11" t="s">
        <v>316</v>
      </c>
      <c r="M503" s="12">
        <v>2</v>
      </c>
      <c r="N503" s="13">
        <v>23000</v>
      </c>
      <c r="O503" s="8">
        <f t="shared" si="83"/>
        <v>46000</v>
      </c>
      <c r="P503" s="13"/>
      <c r="Q503" s="7">
        <f t="shared" si="89"/>
        <v>46000</v>
      </c>
      <c r="R503" t="str">
        <f t="shared" si="84"/>
        <v>UNPAID</v>
      </c>
      <c r="S503" s="3"/>
      <c r="T503" s="9">
        <f t="shared" si="85"/>
        <v>46000</v>
      </c>
      <c r="U503" t="str">
        <f t="shared" si="86"/>
        <v>OK</v>
      </c>
      <c r="V503" s="10">
        <f t="shared" si="87"/>
        <v>46000</v>
      </c>
      <c r="W503" t="str">
        <f t="shared" si="88"/>
        <v>OK</v>
      </c>
      <c r="X503" s="3" t="s">
        <v>28</v>
      </c>
      <c r="Y503" t="s">
        <v>29</v>
      </c>
    </row>
    <row r="504" spans="1:25" x14ac:dyDescent="0.2">
      <c r="A504" t="str">
        <f t="shared" si="79"/>
        <v>TRIP-552</v>
      </c>
      <c r="B504" s="2">
        <v>46010</v>
      </c>
      <c r="C504" s="3" t="str">
        <f>_xlfn.XLOOKUP(D504,'[1]Jan Customer Duplicate Hyva'!$B:$B,'[1]Jan Customer Duplicate Hyva'!$A:$A,"NOT FOUND")</f>
        <v>CUST-037</v>
      </c>
      <c r="D504" s="11" t="s">
        <v>99</v>
      </c>
      <c r="E504" s="11" t="s">
        <v>307</v>
      </c>
      <c r="F504" s="5" t="str">
        <f t="shared" si="80"/>
        <v>Dhanraj</v>
      </c>
      <c r="G504" s="5" t="str">
        <f t="shared" si="81"/>
        <v/>
      </c>
      <c r="H504" s="5" t="str">
        <f t="shared" si="82"/>
        <v/>
      </c>
      <c r="I504" s="5" t="str">
        <f>_xlfn.XLOOKUP(F504,'[1]Jan Labour Nd Drivers Hyva'!$B:$B,'[2]Jan Labour Nd Drivers Hyva'!$A:$A,"NOT FOUND")</f>
        <v>LAB-010</v>
      </c>
      <c r="J504" s="5" t="str">
        <f>IF(G504="","",_xlfn.XLOOKUP(G504,'[3]Jan Labour Nd Drivers Hyva'!$B:$B,'[2]Jan Labour Nd Drivers Hyva'!$A:$A,"NOT FOUND"))</f>
        <v/>
      </c>
      <c r="K504" s="5" t="str">
        <f>IF(H504="","",_xlfn.XLOOKUP(H504,'[2]Jan Labour Nd Drivers Hyva'!$B:$B,'[2]Jan Labour Nd Drivers Hyva'!$A:$A,"NOT FOUND"))</f>
        <v/>
      </c>
      <c r="L504" s="11" t="s">
        <v>354</v>
      </c>
      <c r="M504" s="12">
        <v>1</v>
      </c>
      <c r="N504" s="13">
        <v>23000</v>
      </c>
      <c r="O504" s="8">
        <f t="shared" si="83"/>
        <v>23000</v>
      </c>
      <c r="P504" s="13"/>
      <c r="Q504" s="7">
        <f t="shared" si="89"/>
        <v>23000</v>
      </c>
      <c r="R504" t="str">
        <f t="shared" si="84"/>
        <v>UNPAID</v>
      </c>
      <c r="S504" s="3"/>
      <c r="T504" s="9">
        <f t="shared" si="85"/>
        <v>23000</v>
      </c>
      <c r="U504" t="str">
        <f t="shared" si="86"/>
        <v>OK</v>
      </c>
      <c r="V504" s="10">
        <f t="shared" si="87"/>
        <v>23000</v>
      </c>
      <c r="W504" t="str">
        <f t="shared" si="88"/>
        <v>OK</v>
      </c>
      <c r="X504" s="3" t="s">
        <v>28</v>
      </c>
      <c r="Y504" t="s">
        <v>29</v>
      </c>
    </row>
    <row r="505" spans="1:25" x14ac:dyDescent="0.2">
      <c r="A505" t="str">
        <f t="shared" si="79"/>
        <v>TRIP-553</v>
      </c>
      <c r="B505" s="2">
        <v>46010</v>
      </c>
      <c r="C505" s="3" t="str">
        <f>_xlfn.XLOOKUP(D505,'[1]Jan Customer Duplicate Hyva'!$B:$B,'[1]Jan Customer Duplicate Hyva'!$A:$A,"NOT FOUND")</f>
        <v>CUST-207</v>
      </c>
      <c r="D505" s="11" t="s">
        <v>25</v>
      </c>
      <c r="E505" s="11" t="s">
        <v>307</v>
      </c>
      <c r="F505" s="5" t="str">
        <f t="shared" si="80"/>
        <v>Dhanraj</v>
      </c>
      <c r="G505" s="5" t="str">
        <f t="shared" si="81"/>
        <v/>
      </c>
      <c r="H505" s="5" t="str">
        <f t="shared" si="82"/>
        <v/>
      </c>
      <c r="I505" s="5" t="str">
        <f>_xlfn.XLOOKUP(F505,'[1]Jan Labour Nd Drivers Hyva'!$B:$B,'[2]Jan Labour Nd Drivers Hyva'!$A:$A,"NOT FOUND")</f>
        <v>LAB-010</v>
      </c>
      <c r="J505" s="5" t="str">
        <f>IF(G505="","",_xlfn.XLOOKUP(G505,'[3]Jan Labour Nd Drivers Hyva'!$B:$B,'[2]Jan Labour Nd Drivers Hyva'!$A:$A,"NOT FOUND"))</f>
        <v/>
      </c>
      <c r="K505" s="5" t="str">
        <f>IF(H505="","",_xlfn.XLOOKUP(H505,'[2]Jan Labour Nd Drivers Hyva'!$B:$B,'[2]Jan Labour Nd Drivers Hyva'!$A:$A,"NOT FOUND"))</f>
        <v/>
      </c>
      <c r="L505" s="11" t="s">
        <v>355</v>
      </c>
      <c r="M505" s="12">
        <v>1</v>
      </c>
      <c r="N505" s="13">
        <v>23000</v>
      </c>
      <c r="O505" s="8">
        <f t="shared" si="83"/>
        <v>23000</v>
      </c>
      <c r="P505" s="13"/>
      <c r="Q505" s="7">
        <f t="shared" si="89"/>
        <v>23000</v>
      </c>
      <c r="R505" t="str">
        <f t="shared" si="84"/>
        <v>UNPAID</v>
      </c>
      <c r="S505" s="3"/>
      <c r="T505" s="9">
        <f t="shared" si="85"/>
        <v>23000</v>
      </c>
      <c r="U505" t="str">
        <f t="shared" si="86"/>
        <v>OK</v>
      </c>
      <c r="V505" s="10">
        <f t="shared" si="87"/>
        <v>23000</v>
      </c>
      <c r="W505" t="str">
        <f t="shared" si="88"/>
        <v>OK</v>
      </c>
      <c r="X505" s="3" t="s">
        <v>28</v>
      </c>
      <c r="Y505" t="s">
        <v>29</v>
      </c>
    </row>
    <row r="506" spans="1:25" x14ac:dyDescent="0.2">
      <c r="A506" t="str">
        <f t="shared" si="79"/>
        <v>TRIP-554</v>
      </c>
      <c r="B506" s="2">
        <v>46010</v>
      </c>
      <c r="C506" s="3" t="str">
        <f>_xlfn.XLOOKUP(D506,'[1]Jan Customer Duplicate Hyva'!$B:$B,'[1]Jan Customer Duplicate Hyva'!$A:$A,"NOT FOUND")</f>
        <v>CUST-280</v>
      </c>
      <c r="D506" s="11" t="s">
        <v>171</v>
      </c>
      <c r="E506" s="11" t="s">
        <v>307</v>
      </c>
      <c r="F506" s="5" t="str">
        <f t="shared" si="80"/>
        <v>Dhanraj</v>
      </c>
      <c r="G506" s="5" t="str">
        <f t="shared" si="81"/>
        <v/>
      </c>
      <c r="H506" s="5" t="str">
        <f t="shared" si="82"/>
        <v/>
      </c>
      <c r="I506" s="5" t="str">
        <f>_xlfn.XLOOKUP(F506,'[1]Jan Labour Nd Drivers Hyva'!$B:$B,'[2]Jan Labour Nd Drivers Hyva'!$A:$A,"NOT FOUND")</f>
        <v>LAB-010</v>
      </c>
      <c r="J506" s="5" t="str">
        <f>IF(G506="","",_xlfn.XLOOKUP(G506,'[3]Jan Labour Nd Drivers Hyva'!$B:$B,'[2]Jan Labour Nd Drivers Hyva'!$A:$A,"NOT FOUND"))</f>
        <v/>
      </c>
      <c r="K506" s="5" t="str">
        <f>IF(H506="","",_xlfn.XLOOKUP(H506,'[2]Jan Labour Nd Drivers Hyva'!$B:$B,'[2]Jan Labour Nd Drivers Hyva'!$A:$A,"NOT FOUND"))</f>
        <v/>
      </c>
      <c r="L506" s="11" t="s">
        <v>195</v>
      </c>
      <c r="M506" s="12">
        <v>1</v>
      </c>
      <c r="N506" s="13">
        <v>23000</v>
      </c>
      <c r="O506" s="8">
        <f t="shared" si="83"/>
        <v>23000</v>
      </c>
      <c r="P506" s="13">
        <v>23000</v>
      </c>
      <c r="Q506" s="7">
        <f t="shared" si="89"/>
        <v>0</v>
      </c>
      <c r="R506" t="str">
        <f t="shared" si="84"/>
        <v>PAID</v>
      </c>
      <c r="S506" s="3"/>
      <c r="T506" s="9">
        <f t="shared" si="85"/>
        <v>23000</v>
      </c>
      <c r="U506" t="str">
        <f t="shared" si="86"/>
        <v>OK</v>
      </c>
      <c r="V506" s="10">
        <f t="shared" si="87"/>
        <v>0</v>
      </c>
      <c r="W506" t="str">
        <f t="shared" si="88"/>
        <v>OK</v>
      </c>
      <c r="X506" s="3" t="s">
        <v>28</v>
      </c>
      <c r="Y506" t="s">
        <v>29</v>
      </c>
    </row>
    <row r="507" spans="1:25" x14ac:dyDescent="0.2">
      <c r="A507" t="str">
        <f t="shared" si="79"/>
        <v>TRIP-555</v>
      </c>
      <c r="B507" s="2">
        <v>46010</v>
      </c>
      <c r="C507" s="3" t="str">
        <f>_xlfn.XLOOKUP(D507,'[1]Jan Customer Duplicate Hyva'!$B:$B,'[1]Jan Customer Duplicate Hyva'!$A:$A,"NOT FOUND")</f>
        <v>CUST-236</v>
      </c>
      <c r="D507" s="11" t="s">
        <v>58</v>
      </c>
      <c r="E507" s="11" t="s">
        <v>307</v>
      </c>
      <c r="F507" s="5" t="str">
        <f t="shared" si="80"/>
        <v>Dhanraj</v>
      </c>
      <c r="G507" s="5" t="str">
        <f t="shared" si="81"/>
        <v/>
      </c>
      <c r="H507" s="5" t="str">
        <f t="shared" si="82"/>
        <v/>
      </c>
      <c r="I507" s="5" t="str">
        <f>_xlfn.XLOOKUP(F507,'[1]Jan Labour Nd Drivers Hyva'!$B:$B,'[2]Jan Labour Nd Drivers Hyva'!$A:$A,"NOT FOUND")</f>
        <v>LAB-010</v>
      </c>
      <c r="J507" s="5" t="str">
        <f>IF(G507="","",_xlfn.XLOOKUP(G507,'[3]Jan Labour Nd Drivers Hyva'!$B:$B,'[2]Jan Labour Nd Drivers Hyva'!$A:$A,"NOT FOUND"))</f>
        <v/>
      </c>
      <c r="K507" s="5" t="str">
        <f>IF(H507="","",_xlfn.XLOOKUP(H507,'[2]Jan Labour Nd Drivers Hyva'!$B:$B,'[2]Jan Labour Nd Drivers Hyva'!$A:$A,"NOT FOUND"))</f>
        <v/>
      </c>
      <c r="L507" s="11" t="s">
        <v>114</v>
      </c>
      <c r="M507" s="12">
        <v>1</v>
      </c>
      <c r="N507" s="13">
        <v>23000</v>
      </c>
      <c r="O507" s="8">
        <f t="shared" si="83"/>
        <v>23000</v>
      </c>
      <c r="P507" s="13"/>
      <c r="Q507" s="7">
        <f t="shared" si="89"/>
        <v>23000</v>
      </c>
      <c r="R507" t="str">
        <f t="shared" si="84"/>
        <v>UNPAID</v>
      </c>
      <c r="S507" s="3"/>
      <c r="T507" s="9">
        <f t="shared" si="85"/>
        <v>23000</v>
      </c>
      <c r="U507" t="str">
        <f t="shared" si="86"/>
        <v>OK</v>
      </c>
      <c r="V507" s="10">
        <f t="shared" si="87"/>
        <v>23000</v>
      </c>
      <c r="W507" t="str">
        <f t="shared" si="88"/>
        <v>OK</v>
      </c>
      <c r="X507" s="3" t="s">
        <v>28</v>
      </c>
      <c r="Y507" t="s">
        <v>29</v>
      </c>
    </row>
    <row r="508" spans="1:25" x14ac:dyDescent="0.2">
      <c r="A508" t="str">
        <f t="shared" si="79"/>
        <v>TRIP-556</v>
      </c>
      <c r="B508" s="2">
        <v>46011</v>
      </c>
      <c r="C508" s="3" t="str">
        <f>_xlfn.XLOOKUP(D508,'[1]Jan Customer Duplicate Hyva'!$B:$B,'[1]Jan Customer Duplicate Hyva'!$A:$A,"NOT FOUND")</f>
        <v>CUST-319</v>
      </c>
      <c r="D508" s="11" t="s">
        <v>356</v>
      </c>
      <c r="E508" s="11" t="s">
        <v>30</v>
      </c>
      <c r="F508" s="5" t="str">
        <f t="shared" si="80"/>
        <v>Ravi</v>
      </c>
      <c r="G508" s="5" t="str">
        <f t="shared" si="81"/>
        <v/>
      </c>
      <c r="H508" s="5" t="str">
        <f t="shared" si="82"/>
        <v/>
      </c>
      <c r="I508" s="5" t="str">
        <f>_xlfn.XLOOKUP(F508,'[1]Jan Labour Nd Drivers Hyva'!$B:$B,'[2]Jan Labour Nd Drivers Hyva'!$A:$A,"NOT FOUND")</f>
        <v>LAB-003</v>
      </c>
      <c r="J508" s="5" t="str">
        <f>IF(G508="","",_xlfn.XLOOKUP(G508,'[3]Jan Labour Nd Drivers Hyva'!$B:$B,'[2]Jan Labour Nd Drivers Hyva'!$A:$A,"NOT FOUND"))</f>
        <v/>
      </c>
      <c r="K508" s="5" t="str">
        <f>IF(H508="","",_xlfn.XLOOKUP(H508,'[2]Jan Labour Nd Drivers Hyva'!$B:$B,'[2]Jan Labour Nd Drivers Hyva'!$A:$A,"NOT FOUND"))</f>
        <v/>
      </c>
      <c r="L508" s="11" t="s">
        <v>120</v>
      </c>
      <c r="M508" s="12">
        <v>1</v>
      </c>
      <c r="N508" s="13">
        <v>25500</v>
      </c>
      <c r="O508" s="8">
        <f t="shared" si="83"/>
        <v>25500</v>
      </c>
      <c r="P508" s="13">
        <v>25500</v>
      </c>
      <c r="Q508" s="7">
        <f t="shared" si="89"/>
        <v>0</v>
      </c>
      <c r="R508" t="str">
        <f t="shared" si="84"/>
        <v>PAID</v>
      </c>
      <c r="S508" s="3"/>
      <c r="T508" s="9">
        <f t="shared" si="85"/>
        <v>25500</v>
      </c>
      <c r="U508" t="str">
        <f t="shared" si="86"/>
        <v>OK</v>
      </c>
      <c r="V508" s="10">
        <f t="shared" si="87"/>
        <v>0</v>
      </c>
      <c r="W508" t="str">
        <f t="shared" si="88"/>
        <v>OK</v>
      </c>
      <c r="X508" s="3" t="s">
        <v>28</v>
      </c>
      <c r="Y508" t="s">
        <v>29</v>
      </c>
    </row>
    <row r="509" spans="1:25" x14ac:dyDescent="0.2">
      <c r="A509" t="str">
        <f t="shared" si="79"/>
        <v>TRIP-557</v>
      </c>
      <c r="B509" s="2">
        <v>46011</v>
      </c>
      <c r="C509" s="3" t="str">
        <f>_xlfn.XLOOKUP(D509,'[1]Jan Customer Duplicate Hyva'!$B:$B,'[1]Jan Customer Duplicate Hyva'!$A:$A,"NOT FOUND")</f>
        <v>CUST-045</v>
      </c>
      <c r="D509" s="11" t="s">
        <v>82</v>
      </c>
      <c r="E509" s="11" t="s">
        <v>307</v>
      </c>
      <c r="F509" s="5" t="str">
        <f t="shared" si="80"/>
        <v>Dhanraj</v>
      </c>
      <c r="G509" s="5" t="str">
        <f t="shared" si="81"/>
        <v/>
      </c>
      <c r="H509" s="5" t="str">
        <f t="shared" si="82"/>
        <v/>
      </c>
      <c r="I509" s="5" t="str">
        <f>_xlfn.XLOOKUP(F509,'[1]Jan Labour Nd Drivers Hyva'!$B:$B,'[2]Jan Labour Nd Drivers Hyva'!$A:$A,"NOT FOUND")</f>
        <v>LAB-010</v>
      </c>
      <c r="J509" s="5" t="str">
        <f>IF(G509="","",_xlfn.XLOOKUP(G509,'[3]Jan Labour Nd Drivers Hyva'!$B:$B,'[2]Jan Labour Nd Drivers Hyva'!$A:$A,"NOT FOUND"))</f>
        <v/>
      </c>
      <c r="K509" s="5" t="str">
        <f>IF(H509="","",_xlfn.XLOOKUP(H509,'[2]Jan Labour Nd Drivers Hyva'!$B:$B,'[2]Jan Labour Nd Drivers Hyva'!$A:$A,"NOT FOUND"))</f>
        <v/>
      </c>
      <c r="L509" s="11" t="s">
        <v>230</v>
      </c>
      <c r="M509" s="12">
        <v>1</v>
      </c>
      <c r="N509" s="13">
        <v>28000</v>
      </c>
      <c r="O509" s="8">
        <f t="shared" si="83"/>
        <v>28000</v>
      </c>
      <c r="P509" s="13"/>
      <c r="Q509" s="7">
        <f t="shared" si="89"/>
        <v>28000</v>
      </c>
      <c r="R509" t="str">
        <f t="shared" si="84"/>
        <v>UNPAID</v>
      </c>
      <c r="S509" s="3"/>
      <c r="T509" s="9">
        <f t="shared" si="85"/>
        <v>28000</v>
      </c>
      <c r="U509" t="str">
        <f t="shared" si="86"/>
        <v>OK</v>
      </c>
      <c r="V509" s="10">
        <f t="shared" si="87"/>
        <v>28000</v>
      </c>
      <c r="W509" t="str">
        <f t="shared" si="88"/>
        <v>OK</v>
      </c>
      <c r="X509" s="3" t="s">
        <v>28</v>
      </c>
      <c r="Y509" t="s">
        <v>29</v>
      </c>
    </row>
    <row r="510" spans="1:25" x14ac:dyDescent="0.2">
      <c r="A510" t="str">
        <f t="shared" si="79"/>
        <v>TRIP-558</v>
      </c>
      <c r="B510" s="2">
        <v>46012</v>
      </c>
      <c r="C510" s="3" t="str">
        <f>_xlfn.XLOOKUP(D510,'[1]Jan Customer Duplicate Hyva'!$B:$B,'[1]Jan Customer Duplicate Hyva'!$A:$A,"NOT FOUND")</f>
        <v>CUST-321</v>
      </c>
      <c r="D510" s="11" t="s">
        <v>95</v>
      </c>
      <c r="E510" s="11" t="s">
        <v>30</v>
      </c>
      <c r="F510" s="5" t="str">
        <f t="shared" si="80"/>
        <v>Ravi</v>
      </c>
      <c r="G510" s="5" t="str">
        <f t="shared" si="81"/>
        <v/>
      </c>
      <c r="H510" s="5" t="str">
        <f t="shared" si="82"/>
        <v/>
      </c>
      <c r="I510" s="5" t="str">
        <f>_xlfn.XLOOKUP(F510,'[1]Jan Labour Nd Drivers Hyva'!$B:$B,'[2]Jan Labour Nd Drivers Hyva'!$A:$A,"NOT FOUND")</f>
        <v>LAB-003</v>
      </c>
      <c r="J510" s="5" t="str">
        <f>IF(G510="","",_xlfn.XLOOKUP(G510,'[3]Jan Labour Nd Drivers Hyva'!$B:$B,'[2]Jan Labour Nd Drivers Hyva'!$A:$A,"NOT FOUND"))</f>
        <v/>
      </c>
      <c r="K510" s="5" t="str">
        <f>IF(H510="","",_xlfn.XLOOKUP(H510,'[2]Jan Labour Nd Drivers Hyva'!$B:$B,'[2]Jan Labour Nd Drivers Hyva'!$A:$A,"NOT FOUND"))</f>
        <v/>
      </c>
      <c r="L510" s="11" t="s">
        <v>154</v>
      </c>
      <c r="M510" s="12">
        <v>1</v>
      </c>
      <c r="N510" s="13">
        <v>25000</v>
      </c>
      <c r="O510" s="8">
        <f t="shared" si="83"/>
        <v>25000</v>
      </c>
      <c r="P510" s="16"/>
      <c r="Q510" s="7">
        <f t="shared" si="89"/>
        <v>25000</v>
      </c>
      <c r="R510" t="str">
        <f t="shared" si="84"/>
        <v>UNPAID</v>
      </c>
      <c r="S510" s="3"/>
      <c r="T510" s="9">
        <f t="shared" si="85"/>
        <v>25000</v>
      </c>
      <c r="U510" t="str">
        <f t="shared" si="86"/>
        <v>OK</v>
      </c>
      <c r="V510" s="10">
        <f t="shared" si="87"/>
        <v>25000</v>
      </c>
      <c r="W510" t="str">
        <f t="shared" si="88"/>
        <v>OK</v>
      </c>
      <c r="X510" s="3" t="s">
        <v>28</v>
      </c>
      <c r="Y510" t="s">
        <v>29</v>
      </c>
    </row>
    <row r="511" spans="1:25" x14ac:dyDescent="0.2">
      <c r="A511" t="str">
        <f t="shared" si="79"/>
        <v>TRIP-559</v>
      </c>
      <c r="B511" s="2">
        <v>46012</v>
      </c>
      <c r="C511" s="3" t="str">
        <f>_xlfn.XLOOKUP(D511,'[1]Jan Customer Duplicate Hyva'!$B:$B,'[1]Jan Customer Duplicate Hyva'!$A:$A,"NOT FOUND")</f>
        <v>CUST-037</v>
      </c>
      <c r="D511" s="11" t="s">
        <v>99</v>
      </c>
      <c r="E511" s="11" t="s">
        <v>30</v>
      </c>
      <c r="F511" s="5" t="str">
        <f t="shared" si="80"/>
        <v>Ravi</v>
      </c>
      <c r="G511" s="5" t="str">
        <f t="shared" si="81"/>
        <v/>
      </c>
      <c r="H511" s="5" t="str">
        <f t="shared" si="82"/>
        <v/>
      </c>
      <c r="I511" s="5" t="str">
        <f>_xlfn.XLOOKUP(F511,'[1]Jan Labour Nd Drivers Hyva'!$B:$B,'[2]Jan Labour Nd Drivers Hyva'!$A:$A,"NOT FOUND")</f>
        <v>LAB-003</v>
      </c>
      <c r="J511" s="5" t="str">
        <f>IF(G511="","",_xlfn.XLOOKUP(G511,'[3]Jan Labour Nd Drivers Hyva'!$B:$B,'[2]Jan Labour Nd Drivers Hyva'!$A:$A,"NOT FOUND"))</f>
        <v/>
      </c>
      <c r="K511" s="5" t="str">
        <f>IF(H511="","",_xlfn.XLOOKUP(H511,'[2]Jan Labour Nd Drivers Hyva'!$B:$B,'[2]Jan Labour Nd Drivers Hyva'!$A:$A,"NOT FOUND"))</f>
        <v/>
      </c>
      <c r="L511" s="11" t="s">
        <v>229</v>
      </c>
      <c r="M511" s="12">
        <v>1</v>
      </c>
      <c r="N511" s="13">
        <v>23000</v>
      </c>
      <c r="O511" s="8">
        <f t="shared" si="83"/>
        <v>23000</v>
      </c>
      <c r="P511" s="16"/>
      <c r="Q511" s="7">
        <f t="shared" si="89"/>
        <v>23000</v>
      </c>
      <c r="R511" t="str">
        <f t="shared" si="84"/>
        <v>UNPAID</v>
      </c>
      <c r="S511" s="3"/>
      <c r="T511" s="9">
        <f t="shared" si="85"/>
        <v>23000</v>
      </c>
      <c r="U511" t="str">
        <f t="shared" si="86"/>
        <v>OK</v>
      </c>
      <c r="V511" s="10">
        <f t="shared" si="87"/>
        <v>23000</v>
      </c>
      <c r="W511" t="str">
        <f t="shared" si="88"/>
        <v>OK</v>
      </c>
      <c r="X511" s="3" t="s">
        <v>28</v>
      </c>
      <c r="Y511" t="s">
        <v>29</v>
      </c>
    </row>
    <row r="512" spans="1:25" x14ac:dyDescent="0.2">
      <c r="A512" t="str">
        <f t="shared" si="79"/>
        <v>TRIP-560</v>
      </c>
      <c r="B512" s="2">
        <v>46012</v>
      </c>
      <c r="C512" s="3" t="str">
        <f>_xlfn.XLOOKUP(D512,'[1]Jan Customer Duplicate Hyva'!$B:$B,'[1]Jan Customer Duplicate Hyva'!$A:$A,"NOT FOUND")</f>
        <v>CUST-041</v>
      </c>
      <c r="D512" s="3" t="s">
        <v>342</v>
      </c>
      <c r="E512" s="11" t="s">
        <v>30</v>
      </c>
      <c r="F512" s="5" t="str">
        <f t="shared" si="80"/>
        <v>Ravi</v>
      </c>
      <c r="G512" s="5" t="str">
        <f t="shared" si="81"/>
        <v/>
      </c>
      <c r="H512" s="5" t="str">
        <f t="shared" si="82"/>
        <v/>
      </c>
      <c r="I512" s="5" t="str">
        <f>_xlfn.XLOOKUP(F512,'[1]Jan Labour Nd Drivers Hyva'!$B:$B,'[2]Jan Labour Nd Drivers Hyva'!$A:$A,"NOT FOUND")</f>
        <v>LAB-003</v>
      </c>
      <c r="J512" s="5" t="str">
        <f>IF(G512="","",_xlfn.XLOOKUP(G512,'[3]Jan Labour Nd Drivers Hyva'!$B:$B,'[2]Jan Labour Nd Drivers Hyva'!$A:$A,"NOT FOUND"))</f>
        <v/>
      </c>
      <c r="K512" s="5" t="str">
        <f>IF(H512="","",_xlfn.XLOOKUP(H512,'[2]Jan Labour Nd Drivers Hyva'!$B:$B,'[2]Jan Labour Nd Drivers Hyva'!$A:$A,"NOT FOUND"))</f>
        <v/>
      </c>
      <c r="L512" s="11" t="s">
        <v>61</v>
      </c>
      <c r="M512" s="12">
        <v>1</v>
      </c>
      <c r="N512" s="13">
        <v>23500</v>
      </c>
      <c r="O512" s="8">
        <f t="shared" si="83"/>
        <v>23500</v>
      </c>
      <c r="P512" s="16"/>
      <c r="Q512" s="7">
        <f t="shared" si="89"/>
        <v>23500</v>
      </c>
      <c r="R512" t="str">
        <f t="shared" si="84"/>
        <v>UNPAID</v>
      </c>
      <c r="S512" s="3"/>
      <c r="T512" s="9">
        <f t="shared" si="85"/>
        <v>23500</v>
      </c>
      <c r="U512" t="str">
        <f t="shared" si="86"/>
        <v>OK</v>
      </c>
      <c r="V512" s="10">
        <f t="shared" si="87"/>
        <v>23500</v>
      </c>
      <c r="W512" t="str">
        <f t="shared" si="88"/>
        <v>OK</v>
      </c>
      <c r="X512" s="3" t="s">
        <v>28</v>
      </c>
      <c r="Y512" t="s">
        <v>29</v>
      </c>
    </row>
    <row r="513" spans="1:25" x14ac:dyDescent="0.2">
      <c r="A513" t="str">
        <f t="shared" si="79"/>
        <v>TRIP-561</v>
      </c>
      <c r="B513" s="2">
        <v>46012</v>
      </c>
      <c r="C513" s="3" t="str">
        <f>_xlfn.XLOOKUP(D513,'[1]Jan Customer Duplicate Hyva'!$B:$B,'[1]Jan Customer Duplicate Hyva'!$A:$A,"NOT FOUND")</f>
        <v>CUST-037</v>
      </c>
      <c r="D513" s="11" t="s">
        <v>99</v>
      </c>
      <c r="E513" s="11" t="s">
        <v>307</v>
      </c>
      <c r="F513" s="5" t="str">
        <f t="shared" si="80"/>
        <v>Dhanraj</v>
      </c>
      <c r="G513" s="5" t="str">
        <f t="shared" si="81"/>
        <v/>
      </c>
      <c r="H513" s="5" t="str">
        <f t="shared" si="82"/>
        <v/>
      </c>
      <c r="I513" s="5" t="str">
        <f>_xlfn.XLOOKUP(F513,'[1]Jan Labour Nd Drivers Hyva'!$B:$B,'[2]Jan Labour Nd Drivers Hyva'!$A:$A,"NOT FOUND")</f>
        <v>LAB-010</v>
      </c>
      <c r="J513" s="5" t="str">
        <f>IF(G513="","",_xlfn.XLOOKUP(G513,'[3]Jan Labour Nd Drivers Hyva'!$B:$B,'[2]Jan Labour Nd Drivers Hyva'!$A:$A,"NOT FOUND"))</f>
        <v/>
      </c>
      <c r="K513" s="5" t="str">
        <f>IF(H513="","",_xlfn.XLOOKUP(H513,'[2]Jan Labour Nd Drivers Hyva'!$B:$B,'[2]Jan Labour Nd Drivers Hyva'!$A:$A,"NOT FOUND"))</f>
        <v/>
      </c>
      <c r="L513" s="11" t="s">
        <v>305</v>
      </c>
      <c r="M513" s="12">
        <v>1</v>
      </c>
      <c r="N513" s="13">
        <v>23000</v>
      </c>
      <c r="O513" s="8">
        <f t="shared" si="83"/>
        <v>23000</v>
      </c>
      <c r="P513" s="16"/>
      <c r="Q513" s="7">
        <f t="shared" si="89"/>
        <v>23000</v>
      </c>
      <c r="R513" t="str">
        <f t="shared" si="84"/>
        <v>UNPAID</v>
      </c>
      <c r="S513" s="3"/>
      <c r="T513" s="9">
        <f t="shared" si="85"/>
        <v>23000</v>
      </c>
      <c r="U513" t="str">
        <f t="shared" si="86"/>
        <v>OK</v>
      </c>
      <c r="V513" s="10">
        <f t="shared" si="87"/>
        <v>23000</v>
      </c>
      <c r="W513" t="str">
        <f t="shared" si="88"/>
        <v>OK</v>
      </c>
      <c r="X513" s="3" t="s">
        <v>28</v>
      </c>
      <c r="Y513" t="s">
        <v>29</v>
      </c>
    </row>
    <row r="514" spans="1:25" x14ac:dyDescent="0.2">
      <c r="A514" t="str">
        <f t="shared" si="79"/>
        <v>TRIP-562</v>
      </c>
      <c r="B514" s="2">
        <v>46012</v>
      </c>
      <c r="C514" s="3" t="str">
        <f>_xlfn.XLOOKUP(D514,'[1]Jan Customer Duplicate Hyva'!$B:$B,'[1]Jan Customer Duplicate Hyva'!$A:$A,"NOT FOUND")</f>
        <v>CUST-041</v>
      </c>
      <c r="D514" s="3" t="s">
        <v>342</v>
      </c>
      <c r="E514" s="11" t="s">
        <v>307</v>
      </c>
      <c r="F514" s="5" t="str">
        <f t="shared" si="80"/>
        <v>Dhanraj</v>
      </c>
      <c r="G514" s="5" t="str">
        <f t="shared" si="81"/>
        <v/>
      </c>
      <c r="H514" s="5" t="str">
        <f t="shared" si="82"/>
        <v/>
      </c>
      <c r="I514" s="5" t="str">
        <f>_xlfn.XLOOKUP(F514,'[1]Jan Labour Nd Drivers Hyva'!$B:$B,'[2]Jan Labour Nd Drivers Hyva'!$A:$A,"NOT FOUND")</f>
        <v>LAB-010</v>
      </c>
      <c r="J514" s="5" t="str">
        <f>IF(G514="","",_xlfn.XLOOKUP(G514,'[3]Jan Labour Nd Drivers Hyva'!$B:$B,'[2]Jan Labour Nd Drivers Hyva'!$A:$A,"NOT FOUND"))</f>
        <v/>
      </c>
      <c r="K514" s="5" t="str">
        <f>IF(H514="","",_xlfn.XLOOKUP(H514,'[2]Jan Labour Nd Drivers Hyva'!$B:$B,'[2]Jan Labour Nd Drivers Hyva'!$A:$A,"NOT FOUND"))</f>
        <v/>
      </c>
      <c r="L514" s="11" t="s">
        <v>336</v>
      </c>
      <c r="M514" s="12">
        <v>1</v>
      </c>
      <c r="N514" s="13">
        <v>24000</v>
      </c>
      <c r="O514" s="8">
        <f t="shared" si="83"/>
        <v>24000</v>
      </c>
      <c r="P514" s="16"/>
      <c r="Q514" s="7">
        <f t="shared" si="89"/>
        <v>24000</v>
      </c>
      <c r="R514" t="str">
        <f t="shared" si="84"/>
        <v>UNPAID</v>
      </c>
      <c r="S514" s="3"/>
      <c r="T514" s="9">
        <f t="shared" si="85"/>
        <v>24000</v>
      </c>
      <c r="U514" t="str">
        <f t="shared" si="86"/>
        <v>OK</v>
      </c>
      <c r="V514" s="10">
        <f t="shared" si="87"/>
        <v>24000</v>
      </c>
      <c r="W514" t="str">
        <f t="shared" si="88"/>
        <v>OK</v>
      </c>
      <c r="X514" s="3" t="s">
        <v>28</v>
      </c>
      <c r="Y514" t="s">
        <v>29</v>
      </c>
    </row>
    <row r="515" spans="1:25" x14ac:dyDescent="0.2">
      <c r="A515" t="str">
        <f t="shared" ref="A515:A548" si="90">"TRIP-"&amp;TEXT(ROW()+48,"000")</f>
        <v>TRIP-563</v>
      </c>
      <c r="B515" s="2">
        <v>46013</v>
      </c>
      <c r="C515" s="3" t="str">
        <f>_xlfn.XLOOKUP(D515,'[1]Jan Customer Duplicate Hyva'!$B:$B,'[1]Jan Customer Duplicate Hyva'!$A:$A,"NOT FOUND")</f>
        <v>CUST-050</v>
      </c>
      <c r="D515" s="11" t="s">
        <v>69</v>
      </c>
      <c r="E515" s="11" t="s">
        <v>30</v>
      </c>
      <c r="F515" s="5" t="str">
        <f t="shared" ref="F515:F548" si="91">TRIM(_xlfn.TEXTBEFORE(E515&amp;" / "," / "))</f>
        <v>Ravi</v>
      </c>
      <c r="G515" s="5" t="str">
        <f t="shared" ref="G515:G548" si="92">IFERROR(TRIM(_xlfn.TEXTBEFORE(_xlfn.TEXTAFTER(E515," / ")&amp;" / "," / ")),"")</f>
        <v/>
      </c>
      <c r="H515" s="5" t="str">
        <f t="shared" ref="H515:H548" si="93">IFERROR(TRIM(_xlfn.TEXTAFTER(E515," / ","2")),"")</f>
        <v/>
      </c>
      <c r="I515" s="5" t="str">
        <f>_xlfn.XLOOKUP(F515,'[1]Jan Labour Nd Drivers Hyva'!$B:$B,'[2]Jan Labour Nd Drivers Hyva'!$A:$A,"NOT FOUND")</f>
        <v>LAB-003</v>
      </c>
      <c r="J515" s="5" t="str">
        <f>IF(G515="","",_xlfn.XLOOKUP(G515,'[3]Jan Labour Nd Drivers Hyva'!$B:$B,'[2]Jan Labour Nd Drivers Hyva'!$A:$A,"NOT FOUND"))</f>
        <v/>
      </c>
      <c r="K515" s="5" t="str">
        <f>IF(H515="","",_xlfn.XLOOKUP(H515,'[2]Jan Labour Nd Drivers Hyva'!$B:$B,'[2]Jan Labour Nd Drivers Hyva'!$A:$A,"NOT FOUND"))</f>
        <v/>
      </c>
      <c r="L515" s="11" t="s">
        <v>194</v>
      </c>
      <c r="M515" s="12">
        <v>1</v>
      </c>
      <c r="N515" s="13">
        <v>27000</v>
      </c>
      <c r="O515" s="8">
        <f t="shared" ref="O515:O548" si="94">N515*M515</f>
        <v>27000</v>
      </c>
      <c r="P515" s="13"/>
      <c r="Q515" s="7">
        <f t="shared" si="89"/>
        <v>27000</v>
      </c>
      <c r="R515" t="str">
        <f t="shared" ref="R515:R548" si="95">IF(Q515=0,"PAID",IF(P515=0,"UNPAID","PARTIAL"))</f>
        <v>UNPAID</v>
      </c>
      <c r="S515" s="3"/>
      <c r="T515" s="9">
        <f t="shared" ref="T515:T548" si="96">M515*N515</f>
        <v>27000</v>
      </c>
      <c r="U515" t="str">
        <f t="shared" ref="U515:U548" si="97">IF(ROUND(T515,2)=ROUND(O515,2),"OK","CHECK")</f>
        <v>OK</v>
      </c>
      <c r="V515" s="10">
        <f t="shared" ref="V515:V548" si="98">O515-P515</f>
        <v>27000</v>
      </c>
      <c r="W515" t="str">
        <f t="shared" ref="W515:W548" si="99">IF(ROUND(V515,2)=ROUND(Q515,2),"OK","CHECK")</f>
        <v>OK</v>
      </c>
      <c r="X515" s="3" t="s">
        <v>28</v>
      </c>
      <c r="Y515" t="s">
        <v>29</v>
      </c>
    </row>
    <row r="516" spans="1:25" x14ac:dyDescent="0.2">
      <c r="A516" t="str">
        <f t="shared" si="90"/>
        <v>TRIP-564</v>
      </c>
      <c r="B516" s="2">
        <v>46013</v>
      </c>
      <c r="C516" s="3" t="str">
        <f>_xlfn.XLOOKUP(D516,'[1]Jan Customer Duplicate Hyva'!$B:$B,'[1]Jan Customer Duplicate Hyva'!$A:$A,"NOT FOUND")</f>
        <v>CUST-255</v>
      </c>
      <c r="D516" s="11" t="s">
        <v>75</v>
      </c>
      <c r="E516" s="11" t="s">
        <v>30</v>
      </c>
      <c r="F516" s="5" t="str">
        <f t="shared" si="91"/>
        <v>Ravi</v>
      </c>
      <c r="G516" s="5" t="str">
        <f t="shared" si="92"/>
        <v/>
      </c>
      <c r="H516" s="5" t="str">
        <f t="shared" si="93"/>
        <v/>
      </c>
      <c r="I516" s="5" t="str">
        <f>_xlfn.XLOOKUP(F516,'[1]Jan Labour Nd Drivers Hyva'!$B:$B,'[2]Jan Labour Nd Drivers Hyva'!$A:$A,"NOT FOUND")</f>
        <v>LAB-003</v>
      </c>
      <c r="J516" s="5" t="str">
        <f>IF(G516="","",_xlfn.XLOOKUP(G516,'[3]Jan Labour Nd Drivers Hyva'!$B:$B,'[2]Jan Labour Nd Drivers Hyva'!$A:$A,"NOT FOUND"))</f>
        <v/>
      </c>
      <c r="K516" s="5" t="str">
        <f>IF(H516="","",_xlfn.XLOOKUP(H516,'[2]Jan Labour Nd Drivers Hyva'!$B:$B,'[2]Jan Labour Nd Drivers Hyva'!$A:$A,"NOT FOUND"))</f>
        <v/>
      </c>
      <c r="L516" s="11" t="s">
        <v>116</v>
      </c>
      <c r="M516" s="12">
        <v>1</v>
      </c>
      <c r="N516" s="13">
        <v>26000</v>
      </c>
      <c r="O516" s="8">
        <f t="shared" si="94"/>
        <v>26000</v>
      </c>
      <c r="P516" s="13">
        <v>26000</v>
      </c>
      <c r="Q516" s="7">
        <f t="shared" si="89"/>
        <v>0</v>
      </c>
      <c r="R516" t="str">
        <f t="shared" si="95"/>
        <v>PAID</v>
      </c>
      <c r="S516" s="3"/>
      <c r="T516" s="9">
        <f t="shared" si="96"/>
        <v>26000</v>
      </c>
      <c r="U516" t="str">
        <f t="shared" si="97"/>
        <v>OK</v>
      </c>
      <c r="V516" s="10">
        <f t="shared" si="98"/>
        <v>0</v>
      </c>
      <c r="W516" t="str">
        <f t="shared" si="99"/>
        <v>OK</v>
      </c>
      <c r="X516" s="3" t="s">
        <v>28</v>
      </c>
      <c r="Y516" t="s">
        <v>29</v>
      </c>
    </row>
    <row r="517" spans="1:25" x14ac:dyDescent="0.2">
      <c r="A517" t="str">
        <f t="shared" si="90"/>
        <v>TRIP-565</v>
      </c>
      <c r="B517" s="2">
        <v>46013</v>
      </c>
      <c r="C517" s="3" t="str">
        <f>_xlfn.XLOOKUP(D517,'[1]Jan Customer Duplicate Hyva'!$B:$B,'[1]Jan Customer Duplicate Hyva'!$A:$A,"NOT FOUND")</f>
        <v>CUST-256</v>
      </c>
      <c r="D517" s="11" t="s">
        <v>325</v>
      </c>
      <c r="E517" s="11" t="s">
        <v>307</v>
      </c>
      <c r="F517" s="5" t="str">
        <f t="shared" si="91"/>
        <v>Dhanraj</v>
      </c>
      <c r="G517" s="5" t="str">
        <f t="shared" si="92"/>
        <v/>
      </c>
      <c r="H517" s="5" t="str">
        <f t="shared" si="93"/>
        <v/>
      </c>
      <c r="I517" s="5" t="str">
        <f>_xlfn.XLOOKUP(F517,'[1]Jan Labour Nd Drivers Hyva'!$B:$B,'[2]Jan Labour Nd Drivers Hyva'!$A:$A,"NOT FOUND")</f>
        <v>LAB-010</v>
      </c>
      <c r="J517" s="5" t="str">
        <f>IF(G517="","",_xlfn.XLOOKUP(G517,'[3]Jan Labour Nd Drivers Hyva'!$B:$B,'[2]Jan Labour Nd Drivers Hyva'!$A:$A,"NOT FOUND"))</f>
        <v/>
      </c>
      <c r="K517" s="5" t="str">
        <f>IF(H517="","",_xlfn.XLOOKUP(H517,'[2]Jan Labour Nd Drivers Hyva'!$B:$B,'[2]Jan Labour Nd Drivers Hyva'!$A:$A,"NOT FOUND"))</f>
        <v/>
      </c>
      <c r="L517" s="11" t="s">
        <v>157</v>
      </c>
      <c r="M517" s="12">
        <v>1</v>
      </c>
      <c r="N517" s="13">
        <v>24000</v>
      </c>
      <c r="O517" s="8">
        <f t="shared" si="94"/>
        <v>24000</v>
      </c>
      <c r="P517" s="13">
        <v>24000</v>
      </c>
      <c r="Q517" s="7">
        <f t="shared" si="89"/>
        <v>0</v>
      </c>
      <c r="R517" t="str">
        <f t="shared" si="95"/>
        <v>PAID</v>
      </c>
      <c r="S517" s="3"/>
      <c r="T517" s="9">
        <f t="shared" si="96"/>
        <v>24000</v>
      </c>
      <c r="U517" t="str">
        <f t="shared" si="97"/>
        <v>OK</v>
      </c>
      <c r="V517" s="10">
        <f t="shared" si="98"/>
        <v>0</v>
      </c>
      <c r="W517" t="str">
        <f t="shared" si="99"/>
        <v>OK</v>
      </c>
      <c r="X517" s="3" t="s">
        <v>28</v>
      </c>
      <c r="Y517" t="s">
        <v>29</v>
      </c>
    </row>
    <row r="518" spans="1:25" x14ac:dyDescent="0.2">
      <c r="A518" t="str">
        <f t="shared" si="90"/>
        <v>TRIP-566</v>
      </c>
      <c r="B518" s="2">
        <v>46013</v>
      </c>
      <c r="C518" s="3" t="str">
        <f>_xlfn.XLOOKUP(D518,'[1]Jan Customer Duplicate Hyva'!$B:$B,'[1]Jan Customer Duplicate Hyva'!$A:$A,"NOT FOUND")</f>
        <v>CUST-276</v>
      </c>
      <c r="D518" s="11" t="s">
        <v>323</v>
      </c>
      <c r="E518" s="11" t="s">
        <v>307</v>
      </c>
      <c r="F518" s="5" t="str">
        <f t="shared" si="91"/>
        <v>Dhanraj</v>
      </c>
      <c r="G518" s="5" t="str">
        <f t="shared" si="92"/>
        <v/>
      </c>
      <c r="H518" s="5" t="str">
        <f t="shared" si="93"/>
        <v/>
      </c>
      <c r="I518" s="5" t="str">
        <f>_xlfn.XLOOKUP(F518,'[1]Jan Labour Nd Drivers Hyva'!$B:$B,'[2]Jan Labour Nd Drivers Hyva'!$A:$A,"NOT FOUND")</f>
        <v>LAB-010</v>
      </c>
      <c r="J518" s="5" t="str">
        <f>IF(G518="","",_xlfn.XLOOKUP(G518,'[3]Jan Labour Nd Drivers Hyva'!$B:$B,'[2]Jan Labour Nd Drivers Hyva'!$A:$A,"NOT FOUND"))</f>
        <v/>
      </c>
      <c r="K518" s="5" t="str">
        <f>IF(H518="","",_xlfn.XLOOKUP(H518,'[2]Jan Labour Nd Drivers Hyva'!$B:$B,'[2]Jan Labour Nd Drivers Hyva'!$A:$A,"NOT FOUND"))</f>
        <v/>
      </c>
      <c r="L518" s="11" t="s">
        <v>61</v>
      </c>
      <c r="M518" s="12">
        <v>1</v>
      </c>
      <c r="N518" s="13">
        <v>24000</v>
      </c>
      <c r="O518" s="8">
        <f t="shared" si="94"/>
        <v>24000</v>
      </c>
      <c r="P518" s="13">
        <v>24000</v>
      </c>
      <c r="Q518" s="7">
        <f t="shared" si="89"/>
        <v>0</v>
      </c>
      <c r="R518" t="str">
        <f t="shared" si="95"/>
        <v>PAID</v>
      </c>
      <c r="S518" s="3"/>
      <c r="T518" s="9">
        <f t="shared" si="96"/>
        <v>24000</v>
      </c>
      <c r="U518" t="str">
        <f t="shared" si="97"/>
        <v>OK</v>
      </c>
      <c r="V518" s="10">
        <f t="shared" si="98"/>
        <v>0</v>
      </c>
      <c r="W518" t="str">
        <f t="shared" si="99"/>
        <v>OK</v>
      </c>
      <c r="X518" s="3" t="s">
        <v>28</v>
      </c>
      <c r="Y518" t="s">
        <v>29</v>
      </c>
    </row>
    <row r="519" spans="1:25" x14ac:dyDescent="0.2">
      <c r="A519" t="str">
        <f t="shared" si="90"/>
        <v>TRIP-567</v>
      </c>
      <c r="B519" s="2">
        <v>46014</v>
      </c>
      <c r="C519" s="3" t="str">
        <f>_xlfn.XLOOKUP(D519,'[1]Jan Customer Duplicate Hyva'!$B:$B,'[1]Jan Customer Duplicate Hyva'!$A:$A,"NOT FOUND")</f>
        <v>CUST-207</v>
      </c>
      <c r="D519" s="11" t="s">
        <v>25</v>
      </c>
      <c r="E519" s="11" t="s">
        <v>357</v>
      </c>
      <c r="F519" s="5" t="str">
        <f t="shared" si="91"/>
        <v>Santosh</v>
      </c>
      <c r="G519" s="5" t="str">
        <f t="shared" si="92"/>
        <v>Dhanraj</v>
      </c>
      <c r="H519" s="5" t="str">
        <f t="shared" si="93"/>
        <v/>
      </c>
      <c r="I519" s="5" t="str">
        <f>_xlfn.XLOOKUP(F519,'[1]Jan Labour Nd Drivers Hyva'!$B:$B,'[2]Jan Labour Nd Drivers Hyva'!$A:$A,"NOT FOUND")</f>
        <v>LAB-009</v>
      </c>
      <c r="J519" s="5" t="str">
        <f>IF(G519="","",_xlfn.XLOOKUP(G519,'[3]Jan Labour Nd Drivers Hyva'!$B:$B,'[2]Jan Labour Nd Drivers Hyva'!$A:$A,"NOT FOUND"))</f>
        <v>LAB-010</v>
      </c>
      <c r="K519" s="5" t="str">
        <f>IF(H519="","",_xlfn.XLOOKUP(H519,'[2]Jan Labour Nd Drivers Hyva'!$B:$B,'[2]Jan Labour Nd Drivers Hyva'!$A:$A,"NOT FOUND"))</f>
        <v/>
      </c>
      <c r="L519" s="11" t="s">
        <v>345</v>
      </c>
      <c r="M519" s="12">
        <v>2</v>
      </c>
      <c r="N519" s="13">
        <v>26000</v>
      </c>
      <c r="O519" s="8">
        <f t="shared" si="94"/>
        <v>52000</v>
      </c>
      <c r="P519" s="13"/>
      <c r="Q519" s="7">
        <f t="shared" si="89"/>
        <v>52000</v>
      </c>
      <c r="R519" t="str">
        <f t="shared" si="95"/>
        <v>UNPAID</v>
      </c>
      <c r="S519" s="3"/>
      <c r="T519" s="9">
        <f t="shared" si="96"/>
        <v>52000</v>
      </c>
      <c r="U519" t="str">
        <f t="shared" si="97"/>
        <v>OK</v>
      </c>
      <c r="V519" s="10">
        <f t="shared" si="98"/>
        <v>52000</v>
      </c>
      <c r="W519" t="str">
        <f t="shared" si="99"/>
        <v>OK</v>
      </c>
      <c r="X519" s="3" t="s">
        <v>28</v>
      </c>
      <c r="Y519" t="s">
        <v>29</v>
      </c>
    </row>
    <row r="520" spans="1:25" x14ac:dyDescent="0.2">
      <c r="A520" t="str">
        <f t="shared" si="90"/>
        <v>TRIP-568</v>
      </c>
      <c r="B520" s="2">
        <v>46014</v>
      </c>
      <c r="C520" s="3" t="str">
        <f>_xlfn.XLOOKUP(D520,'[1]Jan Customer Duplicate Hyva'!$B:$B,'[1]Jan Customer Duplicate Hyva'!$A:$A,"NOT FOUND")</f>
        <v>NOT FOUND</v>
      </c>
      <c r="D520" s="11" t="s">
        <v>358</v>
      </c>
      <c r="E520" s="11" t="s">
        <v>307</v>
      </c>
      <c r="F520" s="5" t="str">
        <f t="shared" si="91"/>
        <v>Dhanraj</v>
      </c>
      <c r="G520" s="5" t="str">
        <f t="shared" si="92"/>
        <v/>
      </c>
      <c r="H520" s="5" t="str">
        <f t="shared" si="93"/>
        <v/>
      </c>
      <c r="I520" s="5" t="str">
        <f>_xlfn.XLOOKUP(F520,'[1]Jan Labour Nd Drivers Hyva'!$B:$B,'[2]Jan Labour Nd Drivers Hyva'!$A:$A,"NOT FOUND")</f>
        <v>LAB-010</v>
      </c>
      <c r="J520" s="5" t="str">
        <f>IF(G520="","",_xlfn.XLOOKUP(G520,'[3]Jan Labour Nd Drivers Hyva'!$B:$B,'[2]Jan Labour Nd Drivers Hyva'!$A:$A,"NOT FOUND"))</f>
        <v/>
      </c>
      <c r="K520" s="5" t="str">
        <f>IF(H520="","",_xlfn.XLOOKUP(H520,'[2]Jan Labour Nd Drivers Hyva'!$B:$B,'[2]Jan Labour Nd Drivers Hyva'!$A:$A,"NOT FOUND"))</f>
        <v/>
      </c>
      <c r="L520" s="11" t="s">
        <v>359</v>
      </c>
      <c r="M520" s="12">
        <v>1</v>
      </c>
      <c r="N520" s="13">
        <v>26000</v>
      </c>
      <c r="O520" s="8">
        <f t="shared" si="94"/>
        <v>26000</v>
      </c>
      <c r="P520" s="13">
        <v>26000</v>
      </c>
      <c r="Q520" s="7">
        <f t="shared" si="89"/>
        <v>0</v>
      </c>
      <c r="R520" t="str">
        <f t="shared" si="95"/>
        <v>PAID</v>
      </c>
      <c r="S520" s="3"/>
      <c r="T520" s="9">
        <f t="shared" si="96"/>
        <v>26000</v>
      </c>
      <c r="U520" t="str">
        <f t="shared" si="97"/>
        <v>OK</v>
      </c>
      <c r="V520" s="10">
        <f t="shared" si="98"/>
        <v>0</v>
      </c>
      <c r="W520" t="str">
        <f t="shared" si="99"/>
        <v>OK</v>
      </c>
      <c r="X520" s="3" t="s">
        <v>28</v>
      </c>
      <c r="Y520" t="s">
        <v>29</v>
      </c>
    </row>
    <row r="521" spans="1:25" x14ac:dyDescent="0.2">
      <c r="A521" t="str">
        <f t="shared" si="90"/>
        <v>TRIP-569</v>
      </c>
      <c r="B521" s="2">
        <v>46014</v>
      </c>
      <c r="C521" s="3" t="str">
        <f>_xlfn.XLOOKUP(D521,'[1]Jan Customer Duplicate Hyva'!$B:$B,'[1]Jan Customer Duplicate Hyva'!$A:$A,"NOT FOUND")</f>
        <v>NOT FOUND</v>
      </c>
      <c r="D521" s="11" t="s">
        <v>360</v>
      </c>
      <c r="E521" s="11" t="s">
        <v>307</v>
      </c>
      <c r="F521" s="5" t="str">
        <f t="shared" si="91"/>
        <v>Dhanraj</v>
      </c>
      <c r="G521" s="5" t="str">
        <f t="shared" si="92"/>
        <v/>
      </c>
      <c r="H521" s="5" t="str">
        <f t="shared" si="93"/>
        <v/>
      </c>
      <c r="I521" s="5" t="str">
        <f>_xlfn.XLOOKUP(F521,'[1]Jan Labour Nd Drivers Hyva'!$B:$B,'[2]Jan Labour Nd Drivers Hyva'!$A:$A,"NOT FOUND")</f>
        <v>LAB-010</v>
      </c>
      <c r="J521" s="5" t="str">
        <f>IF(G521="","",_xlfn.XLOOKUP(G521,'[3]Jan Labour Nd Drivers Hyva'!$B:$B,'[2]Jan Labour Nd Drivers Hyva'!$A:$A,"NOT FOUND"))</f>
        <v/>
      </c>
      <c r="K521" s="5" t="str">
        <f>IF(H521="","",_xlfn.XLOOKUP(H521,'[2]Jan Labour Nd Drivers Hyva'!$B:$B,'[2]Jan Labour Nd Drivers Hyva'!$A:$A,"NOT FOUND"))</f>
        <v/>
      </c>
      <c r="L521" s="11" t="s">
        <v>280</v>
      </c>
      <c r="M521" s="12">
        <v>1</v>
      </c>
      <c r="N521" s="13">
        <v>35000</v>
      </c>
      <c r="O521" s="8">
        <f t="shared" si="94"/>
        <v>35000</v>
      </c>
      <c r="P521" s="13">
        <v>35000</v>
      </c>
      <c r="Q521" s="7">
        <f t="shared" si="89"/>
        <v>0</v>
      </c>
      <c r="R521" t="str">
        <f t="shared" si="95"/>
        <v>PAID</v>
      </c>
      <c r="S521" s="3"/>
      <c r="T521" s="9">
        <f t="shared" si="96"/>
        <v>35000</v>
      </c>
      <c r="U521" t="str">
        <f t="shared" si="97"/>
        <v>OK</v>
      </c>
      <c r="V521" s="10">
        <f t="shared" si="98"/>
        <v>0</v>
      </c>
      <c r="W521" t="str">
        <f t="shared" si="99"/>
        <v>OK</v>
      </c>
      <c r="X521" s="3" t="s">
        <v>28</v>
      </c>
      <c r="Y521" t="s">
        <v>29</v>
      </c>
    </row>
    <row r="522" spans="1:25" x14ac:dyDescent="0.2">
      <c r="A522" t="str">
        <f t="shared" si="90"/>
        <v>TRIP-570</v>
      </c>
      <c r="B522" s="2">
        <v>46014</v>
      </c>
      <c r="C522" s="3" t="str">
        <f>_xlfn.XLOOKUP(D522,'[1]Jan Customer Duplicate Hyva'!$B:$B,'[1]Jan Customer Duplicate Hyva'!$A:$A,"NOT FOUND")</f>
        <v>CUST-041</v>
      </c>
      <c r="D522" s="3" t="s">
        <v>342</v>
      </c>
      <c r="E522" s="11" t="s">
        <v>307</v>
      </c>
      <c r="F522" s="5" t="str">
        <f t="shared" si="91"/>
        <v>Dhanraj</v>
      </c>
      <c r="G522" s="5" t="str">
        <f t="shared" si="92"/>
        <v/>
      </c>
      <c r="H522" s="5" t="str">
        <f t="shared" si="93"/>
        <v/>
      </c>
      <c r="I522" s="5" t="str">
        <f>_xlfn.XLOOKUP(F522,'[1]Jan Labour Nd Drivers Hyva'!$B:$B,'[2]Jan Labour Nd Drivers Hyva'!$A:$A,"NOT FOUND")</f>
        <v>LAB-010</v>
      </c>
      <c r="J522" s="5" t="str">
        <f>IF(G522="","",_xlfn.XLOOKUP(G522,'[3]Jan Labour Nd Drivers Hyva'!$B:$B,'[2]Jan Labour Nd Drivers Hyva'!$A:$A,"NOT FOUND"))</f>
        <v/>
      </c>
      <c r="K522" s="5" t="str">
        <f>IF(H522="","",_xlfn.XLOOKUP(H522,'[2]Jan Labour Nd Drivers Hyva'!$B:$B,'[2]Jan Labour Nd Drivers Hyva'!$A:$A,"NOT FOUND"))</f>
        <v/>
      </c>
      <c r="L522" s="11" t="s">
        <v>346</v>
      </c>
      <c r="M522" s="12">
        <v>2</v>
      </c>
      <c r="N522" s="13">
        <v>23500</v>
      </c>
      <c r="O522" s="8">
        <f t="shared" si="94"/>
        <v>47000</v>
      </c>
      <c r="P522" s="13"/>
      <c r="Q522" s="7">
        <f t="shared" si="89"/>
        <v>47000</v>
      </c>
      <c r="R522" t="str">
        <f t="shared" si="95"/>
        <v>UNPAID</v>
      </c>
      <c r="S522" s="3"/>
      <c r="T522" s="9">
        <f t="shared" si="96"/>
        <v>47000</v>
      </c>
      <c r="U522" t="str">
        <f t="shared" si="97"/>
        <v>OK</v>
      </c>
      <c r="V522" s="10">
        <f t="shared" si="98"/>
        <v>47000</v>
      </c>
      <c r="W522" t="str">
        <f t="shared" si="99"/>
        <v>OK</v>
      </c>
      <c r="X522" s="3" t="s">
        <v>28</v>
      </c>
      <c r="Y522" t="s">
        <v>29</v>
      </c>
    </row>
    <row r="523" spans="1:25" x14ac:dyDescent="0.2">
      <c r="A523" t="str">
        <f t="shared" si="90"/>
        <v>TRIP-571</v>
      </c>
      <c r="B523" s="2">
        <v>46014</v>
      </c>
      <c r="C523" s="3" t="str">
        <f>_xlfn.XLOOKUP(D523,'[1]Jan Customer Duplicate Hyva'!$B:$B,'[1]Jan Customer Duplicate Hyva'!$A:$A,"NOT FOUND")</f>
        <v>CUST-276</v>
      </c>
      <c r="D523" s="11" t="s">
        <v>323</v>
      </c>
      <c r="E523" s="11" t="s">
        <v>307</v>
      </c>
      <c r="F523" s="5" t="str">
        <f t="shared" si="91"/>
        <v>Dhanraj</v>
      </c>
      <c r="G523" s="5" t="str">
        <f t="shared" si="92"/>
        <v/>
      </c>
      <c r="H523" s="5" t="str">
        <f t="shared" si="93"/>
        <v/>
      </c>
      <c r="I523" s="5" t="str">
        <f>_xlfn.XLOOKUP(F523,'[1]Jan Labour Nd Drivers Hyva'!$B:$B,'[2]Jan Labour Nd Drivers Hyva'!$A:$A,"NOT FOUND")</f>
        <v>LAB-010</v>
      </c>
      <c r="J523" s="5" t="str">
        <f>IF(G523="","",_xlfn.XLOOKUP(G523,'[3]Jan Labour Nd Drivers Hyva'!$B:$B,'[2]Jan Labour Nd Drivers Hyva'!$A:$A,"NOT FOUND"))</f>
        <v/>
      </c>
      <c r="K523" s="5" t="str">
        <f>IF(H523="","",_xlfn.XLOOKUP(H523,'[2]Jan Labour Nd Drivers Hyva'!$B:$B,'[2]Jan Labour Nd Drivers Hyva'!$A:$A,"NOT FOUND"))</f>
        <v/>
      </c>
      <c r="L523" s="11" t="s">
        <v>125</v>
      </c>
      <c r="M523" s="12">
        <v>1</v>
      </c>
      <c r="N523" s="13">
        <v>24000</v>
      </c>
      <c r="O523" s="8">
        <f t="shared" si="94"/>
        <v>24000</v>
      </c>
      <c r="P523" s="13"/>
      <c r="Q523" s="7">
        <f t="shared" si="89"/>
        <v>24000</v>
      </c>
      <c r="R523" t="str">
        <f t="shared" si="95"/>
        <v>UNPAID</v>
      </c>
      <c r="S523" s="3"/>
      <c r="T523" s="9">
        <f t="shared" si="96"/>
        <v>24000</v>
      </c>
      <c r="U523" t="str">
        <f t="shared" si="97"/>
        <v>OK</v>
      </c>
      <c r="V523" s="10">
        <f t="shared" si="98"/>
        <v>24000</v>
      </c>
      <c r="W523" t="str">
        <f t="shared" si="99"/>
        <v>OK</v>
      </c>
      <c r="X523" s="3" t="s">
        <v>28</v>
      </c>
      <c r="Y523" t="s">
        <v>29</v>
      </c>
    </row>
    <row r="524" spans="1:25" x14ac:dyDescent="0.2">
      <c r="A524" t="str">
        <f t="shared" si="90"/>
        <v>TRIP-572</v>
      </c>
      <c r="B524" s="2">
        <v>46014</v>
      </c>
      <c r="C524" s="3" t="str">
        <f>_xlfn.XLOOKUP(D524,'[1]Jan Customer Duplicate Hyva'!$B:$B,'[1]Jan Customer Duplicate Hyva'!$A:$A,"NOT FOUND")</f>
        <v>CUST-323</v>
      </c>
      <c r="D524" s="3" t="s">
        <v>51</v>
      </c>
      <c r="E524" s="11" t="s">
        <v>307</v>
      </c>
      <c r="F524" s="5" t="str">
        <f t="shared" si="91"/>
        <v>Dhanraj</v>
      </c>
      <c r="G524" s="5" t="str">
        <f t="shared" si="92"/>
        <v/>
      </c>
      <c r="H524" s="5" t="str">
        <f t="shared" si="93"/>
        <v/>
      </c>
      <c r="I524" s="5" t="str">
        <f>_xlfn.XLOOKUP(F524,'[1]Jan Labour Nd Drivers Hyva'!$B:$B,'[2]Jan Labour Nd Drivers Hyva'!$A:$A,"NOT FOUND")</f>
        <v>LAB-010</v>
      </c>
      <c r="J524" s="5" t="str">
        <f>IF(G524="","",_xlfn.XLOOKUP(G524,'[3]Jan Labour Nd Drivers Hyva'!$B:$B,'[2]Jan Labour Nd Drivers Hyva'!$A:$A,"NOT FOUND"))</f>
        <v/>
      </c>
      <c r="K524" s="5" t="str">
        <f>IF(H524="","",_xlfn.XLOOKUP(H524,'[2]Jan Labour Nd Drivers Hyva'!$B:$B,'[2]Jan Labour Nd Drivers Hyva'!$A:$A,"NOT FOUND"))</f>
        <v/>
      </c>
      <c r="L524" s="11" t="s">
        <v>89</v>
      </c>
      <c r="M524" s="12">
        <v>1</v>
      </c>
      <c r="N524" s="13">
        <v>26000</v>
      </c>
      <c r="O524" s="8">
        <f t="shared" si="94"/>
        <v>26000</v>
      </c>
      <c r="P524" s="13">
        <v>26000</v>
      </c>
      <c r="Q524" s="7">
        <f t="shared" si="89"/>
        <v>0</v>
      </c>
      <c r="R524" t="str">
        <f t="shared" si="95"/>
        <v>PAID</v>
      </c>
      <c r="S524" s="3"/>
      <c r="T524" s="9">
        <f t="shared" si="96"/>
        <v>26000</v>
      </c>
      <c r="U524" t="str">
        <f t="shared" si="97"/>
        <v>OK</v>
      </c>
      <c r="V524" s="10">
        <f t="shared" si="98"/>
        <v>0</v>
      </c>
      <c r="W524" t="str">
        <f t="shared" si="99"/>
        <v>OK</v>
      </c>
      <c r="X524" s="3" t="s">
        <v>28</v>
      </c>
      <c r="Y524" t="s">
        <v>29</v>
      </c>
    </row>
    <row r="525" spans="1:25" x14ac:dyDescent="0.2">
      <c r="A525" t="str">
        <f t="shared" si="90"/>
        <v>TRIP-573</v>
      </c>
      <c r="B525" s="2">
        <v>46015</v>
      </c>
      <c r="C525" s="3" t="str">
        <f>_xlfn.XLOOKUP(D525,'[1]Jan Customer Duplicate Hyva'!$B:$B,'[1]Jan Customer Duplicate Hyva'!$A:$A,"NOT FOUND")</f>
        <v>CUST-151</v>
      </c>
      <c r="D525" s="11" t="s">
        <v>361</v>
      </c>
      <c r="E525" s="11" t="s">
        <v>362</v>
      </c>
      <c r="F525" s="5" t="str">
        <f t="shared" si="91"/>
        <v>Dhanraj</v>
      </c>
      <c r="G525" s="5" t="str">
        <f t="shared" si="92"/>
        <v>Ravi</v>
      </c>
      <c r="H525" s="5" t="str">
        <f t="shared" si="93"/>
        <v/>
      </c>
      <c r="I525" s="5" t="str">
        <f>_xlfn.XLOOKUP(F525,'[1]Jan Labour Nd Drivers Hyva'!$B:$B,'[2]Jan Labour Nd Drivers Hyva'!$A:$A,"NOT FOUND")</f>
        <v>LAB-010</v>
      </c>
      <c r="J525" s="5" t="str">
        <f>IF(G525="","",_xlfn.XLOOKUP(G525,'[3]Jan Labour Nd Drivers Hyva'!$B:$B,'[2]Jan Labour Nd Drivers Hyva'!$A:$A,"NOT FOUND"))</f>
        <v>LAB-003</v>
      </c>
      <c r="K525" s="5" t="str">
        <f>IF(H525="","",_xlfn.XLOOKUP(H525,'[2]Jan Labour Nd Drivers Hyva'!$B:$B,'[2]Jan Labour Nd Drivers Hyva'!$A:$A,"NOT FOUND"))</f>
        <v/>
      </c>
      <c r="L525" s="11" t="s">
        <v>363</v>
      </c>
      <c r="M525" s="12">
        <v>2</v>
      </c>
      <c r="N525" s="13">
        <v>25000</v>
      </c>
      <c r="O525" s="8">
        <f t="shared" si="94"/>
        <v>50000</v>
      </c>
      <c r="P525" s="13"/>
      <c r="Q525" s="7">
        <f t="shared" si="89"/>
        <v>50000</v>
      </c>
      <c r="R525" t="str">
        <f t="shared" si="95"/>
        <v>UNPAID</v>
      </c>
      <c r="S525" s="3"/>
      <c r="T525" s="9">
        <f t="shared" si="96"/>
        <v>50000</v>
      </c>
      <c r="U525" t="str">
        <f t="shared" si="97"/>
        <v>OK</v>
      </c>
      <c r="V525" s="10">
        <f t="shared" si="98"/>
        <v>50000</v>
      </c>
      <c r="W525" t="str">
        <f t="shared" si="99"/>
        <v>OK</v>
      </c>
      <c r="X525" s="3" t="s">
        <v>28</v>
      </c>
      <c r="Y525" t="s">
        <v>29</v>
      </c>
    </row>
    <row r="526" spans="1:25" x14ac:dyDescent="0.2">
      <c r="A526" t="str">
        <f t="shared" si="90"/>
        <v>TRIP-574</v>
      </c>
      <c r="B526" s="2">
        <v>46015</v>
      </c>
      <c r="C526" s="3" t="str">
        <f>_xlfn.XLOOKUP(D526,'[1]Jan Customer Duplicate Hyva'!$B:$B,'[1]Jan Customer Duplicate Hyva'!$A:$A,"NOT FOUND")</f>
        <v>NOT FOUND</v>
      </c>
      <c r="D526" s="11" t="s">
        <v>364</v>
      </c>
      <c r="E526" s="11" t="s">
        <v>30</v>
      </c>
      <c r="F526" s="5" t="str">
        <f t="shared" si="91"/>
        <v>Ravi</v>
      </c>
      <c r="G526" s="5" t="str">
        <f t="shared" si="92"/>
        <v/>
      </c>
      <c r="H526" s="5" t="str">
        <f t="shared" si="93"/>
        <v/>
      </c>
      <c r="I526" s="5" t="str">
        <f>_xlfn.XLOOKUP(F526,'[1]Jan Labour Nd Drivers Hyva'!$B:$B,'[2]Jan Labour Nd Drivers Hyva'!$A:$A,"NOT FOUND")</f>
        <v>LAB-003</v>
      </c>
      <c r="J526" s="5" t="str">
        <f>IF(G526="","",_xlfn.XLOOKUP(G526,'[3]Jan Labour Nd Drivers Hyva'!$B:$B,'[2]Jan Labour Nd Drivers Hyva'!$A:$A,"NOT FOUND"))</f>
        <v/>
      </c>
      <c r="K526" s="5" t="str">
        <f>IF(H526="","",_xlfn.XLOOKUP(H526,'[2]Jan Labour Nd Drivers Hyva'!$B:$B,'[2]Jan Labour Nd Drivers Hyva'!$A:$A,"NOT FOUND"))</f>
        <v/>
      </c>
      <c r="L526" s="11" t="s">
        <v>120</v>
      </c>
      <c r="M526" s="12">
        <v>1</v>
      </c>
      <c r="N526" s="13">
        <v>23000</v>
      </c>
      <c r="O526" s="8">
        <f t="shared" si="94"/>
        <v>23000</v>
      </c>
      <c r="P526" s="13"/>
      <c r="Q526" s="7">
        <f t="shared" si="89"/>
        <v>23000</v>
      </c>
      <c r="R526" t="str">
        <f t="shared" si="95"/>
        <v>UNPAID</v>
      </c>
      <c r="S526" s="3"/>
      <c r="T526" s="9">
        <f t="shared" si="96"/>
        <v>23000</v>
      </c>
      <c r="U526" t="str">
        <f t="shared" si="97"/>
        <v>OK</v>
      </c>
      <c r="V526" s="10">
        <f t="shared" si="98"/>
        <v>23000</v>
      </c>
      <c r="W526" t="str">
        <f t="shared" si="99"/>
        <v>OK</v>
      </c>
      <c r="X526" s="3" t="s">
        <v>28</v>
      </c>
      <c r="Y526" t="s">
        <v>29</v>
      </c>
    </row>
    <row r="527" spans="1:25" x14ac:dyDescent="0.2">
      <c r="A527" t="str">
        <f t="shared" si="90"/>
        <v>TRIP-575</v>
      </c>
      <c r="B527" s="2">
        <v>46015</v>
      </c>
      <c r="C527" s="3" t="str">
        <f>_xlfn.XLOOKUP(D527,'[1]Jan Customer Duplicate Hyva'!$B:$B,'[1]Jan Customer Duplicate Hyva'!$A:$A,"NOT FOUND")</f>
        <v>CUST-037</v>
      </c>
      <c r="D527" s="11" t="s">
        <v>99</v>
      </c>
      <c r="E527" s="11" t="s">
        <v>307</v>
      </c>
      <c r="F527" s="5" t="str">
        <f t="shared" si="91"/>
        <v>Dhanraj</v>
      </c>
      <c r="G527" s="5" t="str">
        <f t="shared" si="92"/>
        <v/>
      </c>
      <c r="H527" s="5" t="str">
        <f t="shared" si="93"/>
        <v/>
      </c>
      <c r="I527" s="5" t="str">
        <f>_xlfn.XLOOKUP(F527,'[1]Jan Labour Nd Drivers Hyva'!$B:$B,'[2]Jan Labour Nd Drivers Hyva'!$A:$A,"NOT FOUND")</f>
        <v>LAB-010</v>
      </c>
      <c r="J527" s="5" t="str">
        <f>IF(G527="","",_xlfn.XLOOKUP(G527,'[3]Jan Labour Nd Drivers Hyva'!$B:$B,'[2]Jan Labour Nd Drivers Hyva'!$A:$A,"NOT FOUND"))</f>
        <v/>
      </c>
      <c r="K527" s="5" t="str">
        <f>IF(H527="","",_xlfn.XLOOKUP(H527,'[2]Jan Labour Nd Drivers Hyva'!$B:$B,'[2]Jan Labour Nd Drivers Hyva'!$A:$A,"NOT FOUND"))</f>
        <v/>
      </c>
      <c r="L527" s="11" t="s">
        <v>337</v>
      </c>
      <c r="M527" s="12">
        <v>1</v>
      </c>
      <c r="N527" s="13">
        <v>23000</v>
      </c>
      <c r="O527" s="8">
        <f t="shared" si="94"/>
        <v>23000</v>
      </c>
      <c r="P527" s="13"/>
      <c r="Q527" s="7">
        <f t="shared" si="89"/>
        <v>23000</v>
      </c>
      <c r="R527" t="str">
        <f t="shared" si="95"/>
        <v>UNPAID</v>
      </c>
      <c r="S527" s="3"/>
      <c r="T527" s="9">
        <f t="shared" si="96"/>
        <v>23000</v>
      </c>
      <c r="U527" t="str">
        <f t="shared" si="97"/>
        <v>OK</v>
      </c>
      <c r="V527" s="10">
        <f t="shared" si="98"/>
        <v>23000</v>
      </c>
      <c r="W527" t="str">
        <f t="shared" si="99"/>
        <v>OK</v>
      </c>
      <c r="X527" s="3" t="s">
        <v>28</v>
      </c>
      <c r="Y527" t="s">
        <v>29</v>
      </c>
    </row>
    <row r="528" spans="1:25" x14ac:dyDescent="0.2">
      <c r="A528" t="str">
        <f t="shared" si="90"/>
        <v>TRIP-576</v>
      </c>
      <c r="B528" s="2">
        <v>46016</v>
      </c>
      <c r="C528" s="3" t="str">
        <f>_xlfn.XLOOKUP(D528,'[1]Jan Customer Duplicate Hyva'!$B:$B,'[1]Jan Customer Duplicate Hyva'!$A:$A,"NOT FOUND")</f>
        <v>CUST-142</v>
      </c>
      <c r="D528" s="11" t="s">
        <v>365</v>
      </c>
      <c r="E528" s="11" t="s">
        <v>30</v>
      </c>
      <c r="F528" s="5" t="str">
        <f t="shared" si="91"/>
        <v>Ravi</v>
      </c>
      <c r="G528" s="5" t="str">
        <f t="shared" si="92"/>
        <v/>
      </c>
      <c r="H528" s="5" t="str">
        <f t="shared" si="93"/>
        <v/>
      </c>
      <c r="I528" s="5" t="str">
        <f>_xlfn.XLOOKUP(F528,'[1]Jan Labour Nd Drivers Hyva'!$B:$B,'[2]Jan Labour Nd Drivers Hyva'!$A:$A,"NOT FOUND")</f>
        <v>LAB-003</v>
      </c>
      <c r="J528" s="5" t="str">
        <f>IF(G528="","",_xlfn.XLOOKUP(G528,'[3]Jan Labour Nd Drivers Hyva'!$B:$B,'[2]Jan Labour Nd Drivers Hyva'!$A:$A,"NOT FOUND"))</f>
        <v/>
      </c>
      <c r="K528" s="5" t="str">
        <f>IF(H528="","",_xlfn.XLOOKUP(H528,'[2]Jan Labour Nd Drivers Hyva'!$B:$B,'[2]Jan Labour Nd Drivers Hyva'!$A:$A,"NOT FOUND"))</f>
        <v/>
      </c>
      <c r="L528" s="11" t="s">
        <v>366</v>
      </c>
      <c r="M528" s="12">
        <v>1</v>
      </c>
      <c r="N528" s="13">
        <v>24000</v>
      </c>
      <c r="O528" s="8">
        <f t="shared" si="94"/>
        <v>24000</v>
      </c>
      <c r="P528" s="13"/>
      <c r="Q528" s="7">
        <f t="shared" si="89"/>
        <v>24000</v>
      </c>
      <c r="R528" t="str">
        <f t="shared" si="95"/>
        <v>UNPAID</v>
      </c>
      <c r="S528" s="3"/>
      <c r="T528" s="9">
        <f t="shared" si="96"/>
        <v>24000</v>
      </c>
      <c r="U528" t="str">
        <f t="shared" si="97"/>
        <v>OK</v>
      </c>
      <c r="V528" s="10">
        <f t="shared" si="98"/>
        <v>24000</v>
      </c>
      <c r="W528" t="str">
        <f t="shared" si="99"/>
        <v>OK</v>
      </c>
      <c r="X528" s="3" t="s">
        <v>28</v>
      </c>
      <c r="Y528" t="s">
        <v>29</v>
      </c>
    </row>
    <row r="529" spans="1:25" x14ac:dyDescent="0.2">
      <c r="A529" t="str">
        <f t="shared" si="90"/>
        <v>TRIP-577</v>
      </c>
      <c r="B529" s="2">
        <v>46016</v>
      </c>
      <c r="C529" s="3" t="str">
        <f>_xlfn.XLOOKUP(D529,'[1]Jan Customer Duplicate Hyva'!$B:$B,'[1]Jan Customer Duplicate Hyva'!$A:$A,"NOT FOUND")</f>
        <v>CUST-280</v>
      </c>
      <c r="D529" s="11" t="s">
        <v>171</v>
      </c>
      <c r="E529" s="11" t="s">
        <v>307</v>
      </c>
      <c r="F529" s="5" t="str">
        <f t="shared" si="91"/>
        <v>Dhanraj</v>
      </c>
      <c r="G529" s="5" t="str">
        <f t="shared" si="92"/>
        <v/>
      </c>
      <c r="H529" s="5" t="str">
        <f t="shared" si="93"/>
        <v/>
      </c>
      <c r="I529" s="5" t="str">
        <f>_xlfn.XLOOKUP(F529,'[1]Jan Labour Nd Drivers Hyva'!$B:$B,'[2]Jan Labour Nd Drivers Hyva'!$A:$A,"NOT FOUND")</f>
        <v>LAB-010</v>
      </c>
      <c r="J529" s="5" t="str">
        <f>IF(G529="","",_xlfn.XLOOKUP(G529,'[3]Jan Labour Nd Drivers Hyva'!$B:$B,'[2]Jan Labour Nd Drivers Hyva'!$A:$A,"NOT FOUND"))</f>
        <v/>
      </c>
      <c r="K529" s="5" t="str">
        <f>IF(H529="","",_xlfn.XLOOKUP(H529,'[2]Jan Labour Nd Drivers Hyva'!$B:$B,'[2]Jan Labour Nd Drivers Hyva'!$A:$A,"NOT FOUND"))</f>
        <v/>
      </c>
      <c r="L529" s="11" t="s">
        <v>335</v>
      </c>
      <c r="M529" s="12">
        <v>1</v>
      </c>
      <c r="N529" s="13">
        <v>28000</v>
      </c>
      <c r="O529" s="8">
        <f t="shared" si="94"/>
        <v>28000</v>
      </c>
      <c r="P529" s="13"/>
      <c r="Q529" s="7">
        <f t="shared" si="89"/>
        <v>28000</v>
      </c>
      <c r="R529" t="str">
        <f t="shared" si="95"/>
        <v>UNPAID</v>
      </c>
      <c r="S529" s="3"/>
      <c r="T529" s="9">
        <f t="shared" si="96"/>
        <v>28000</v>
      </c>
      <c r="U529" t="str">
        <f t="shared" si="97"/>
        <v>OK</v>
      </c>
      <c r="V529" s="10">
        <f t="shared" si="98"/>
        <v>28000</v>
      </c>
      <c r="W529" t="str">
        <f t="shared" si="99"/>
        <v>OK</v>
      </c>
      <c r="X529" s="3" t="s">
        <v>28</v>
      </c>
      <c r="Y529" t="s">
        <v>29</v>
      </c>
    </row>
    <row r="530" spans="1:25" x14ac:dyDescent="0.2">
      <c r="A530" t="str">
        <f t="shared" si="90"/>
        <v>TRIP-578</v>
      </c>
      <c r="B530" s="2">
        <v>46016</v>
      </c>
      <c r="C530" s="3" t="str">
        <f>_xlfn.XLOOKUP(D530,'[1]Jan Customer Duplicate Hyva'!$B:$B,'[1]Jan Customer Duplicate Hyva'!$A:$A,"NOT FOUND")</f>
        <v>CUST-100</v>
      </c>
      <c r="D530" s="11" t="s">
        <v>367</v>
      </c>
      <c r="E530" s="11" t="s">
        <v>30</v>
      </c>
      <c r="F530" s="5" t="str">
        <f t="shared" si="91"/>
        <v>Ravi</v>
      </c>
      <c r="G530" s="5" t="str">
        <f t="shared" si="92"/>
        <v/>
      </c>
      <c r="H530" s="5" t="str">
        <f t="shared" si="93"/>
        <v/>
      </c>
      <c r="I530" s="5" t="str">
        <f>_xlfn.XLOOKUP(F530,'[1]Jan Labour Nd Drivers Hyva'!$B:$B,'[2]Jan Labour Nd Drivers Hyva'!$A:$A,"NOT FOUND")</f>
        <v>LAB-003</v>
      </c>
      <c r="J530" s="5" t="str">
        <f>IF(G530="","",_xlfn.XLOOKUP(G530,'[3]Jan Labour Nd Drivers Hyva'!$B:$B,'[2]Jan Labour Nd Drivers Hyva'!$A:$A,"NOT FOUND"))</f>
        <v/>
      </c>
      <c r="K530" s="5" t="str">
        <f>IF(H530="","",_xlfn.XLOOKUP(H530,'[2]Jan Labour Nd Drivers Hyva'!$B:$B,'[2]Jan Labour Nd Drivers Hyva'!$A:$A,"NOT FOUND"))</f>
        <v/>
      </c>
      <c r="L530" s="11" t="s">
        <v>126</v>
      </c>
      <c r="M530" s="12">
        <v>1</v>
      </c>
      <c r="N530" s="13">
        <v>26000</v>
      </c>
      <c r="O530" s="8">
        <f t="shared" si="94"/>
        <v>26000</v>
      </c>
      <c r="P530" s="13">
        <v>26000</v>
      </c>
      <c r="Q530" s="7">
        <f t="shared" ref="Q530:Q548" si="100">O530-P530</f>
        <v>0</v>
      </c>
      <c r="R530" t="str">
        <f t="shared" si="95"/>
        <v>PAID</v>
      </c>
      <c r="S530" s="3"/>
      <c r="T530" s="9">
        <f t="shared" si="96"/>
        <v>26000</v>
      </c>
      <c r="U530" t="str">
        <f t="shared" si="97"/>
        <v>OK</v>
      </c>
      <c r="V530" s="10">
        <f t="shared" si="98"/>
        <v>0</v>
      </c>
      <c r="W530" t="str">
        <f t="shared" si="99"/>
        <v>OK</v>
      </c>
      <c r="X530" s="3" t="s">
        <v>28</v>
      </c>
      <c r="Y530" t="s">
        <v>29</v>
      </c>
    </row>
    <row r="531" spans="1:25" x14ac:dyDescent="0.2">
      <c r="A531" t="str">
        <f t="shared" si="90"/>
        <v>TRIP-579</v>
      </c>
      <c r="B531" s="2">
        <v>46016</v>
      </c>
      <c r="C531" s="3" t="str">
        <f>_xlfn.XLOOKUP(D531,'[1]Jan Customer Duplicate Hyva'!$B:$B,'[1]Jan Customer Duplicate Hyva'!$A:$A,"NOT FOUND")</f>
        <v>CUST-255</v>
      </c>
      <c r="D531" s="11" t="s">
        <v>75</v>
      </c>
      <c r="E531" s="11" t="s">
        <v>307</v>
      </c>
      <c r="F531" s="5" t="str">
        <f t="shared" si="91"/>
        <v>Dhanraj</v>
      </c>
      <c r="G531" s="5" t="str">
        <f t="shared" si="92"/>
        <v/>
      </c>
      <c r="H531" s="5" t="str">
        <f t="shared" si="93"/>
        <v/>
      </c>
      <c r="I531" s="5" t="str">
        <f>_xlfn.XLOOKUP(F531,'[1]Jan Labour Nd Drivers Hyva'!$B:$B,'[2]Jan Labour Nd Drivers Hyva'!$A:$A,"NOT FOUND")</f>
        <v>LAB-010</v>
      </c>
      <c r="J531" s="5" t="str">
        <f>IF(G531="","",_xlfn.XLOOKUP(G531,'[3]Jan Labour Nd Drivers Hyva'!$B:$B,'[2]Jan Labour Nd Drivers Hyva'!$A:$A,"NOT FOUND"))</f>
        <v/>
      </c>
      <c r="K531" s="5" t="str">
        <f>IF(H531="","",_xlfn.XLOOKUP(H531,'[2]Jan Labour Nd Drivers Hyva'!$B:$B,'[2]Jan Labour Nd Drivers Hyva'!$A:$A,"NOT FOUND"))</f>
        <v/>
      </c>
      <c r="L531" s="11" t="s">
        <v>116</v>
      </c>
      <c r="M531" s="12">
        <v>1</v>
      </c>
      <c r="N531" s="13">
        <v>26000</v>
      </c>
      <c r="O531" s="8">
        <f t="shared" si="94"/>
        <v>26000</v>
      </c>
      <c r="P531" s="13">
        <v>26000</v>
      </c>
      <c r="Q531" s="7">
        <f t="shared" si="100"/>
        <v>0</v>
      </c>
      <c r="R531" t="str">
        <f t="shared" si="95"/>
        <v>PAID</v>
      </c>
      <c r="S531" s="3"/>
      <c r="T531" s="9">
        <f t="shared" si="96"/>
        <v>26000</v>
      </c>
      <c r="U531" t="str">
        <f t="shared" si="97"/>
        <v>OK</v>
      </c>
      <c r="V531" s="10">
        <f t="shared" si="98"/>
        <v>0</v>
      </c>
      <c r="W531" t="str">
        <f t="shared" si="99"/>
        <v>OK</v>
      </c>
      <c r="X531" s="3" t="s">
        <v>28</v>
      </c>
      <c r="Y531" t="s">
        <v>29</v>
      </c>
    </row>
    <row r="532" spans="1:25" x14ac:dyDescent="0.2">
      <c r="A532" t="str">
        <f t="shared" si="90"/>
        <v>TRIP-580</v>
      </c>
      <c r="B532" s="2">
        <v>46017</v>
      </c>
      <c r="C532" s="3" t="str">
        <f>_xlfn.XLOOKUP(D532,'[1]Jan Customer Duplicate Hyva'!$B:$B,'[1]Jan Customer Duplicate Hyva'!$A:$A,"NOT FOUND")</f>
        <v>CUST-041</v>
      </c>
      <c r="D532" s="3" t="s">
        <v>342</v>
      </c>
      <c r="E532" s="11" t="s">
        <v>362</v>
      </c>
      <c r="F532" s="5" t="str">
        <f t="shared" si="91"/>
        <v>Dhanraj</v>
      </c>
      <c r="G532" s="5" t="str">
        <f t="shared" si="92"/>
        <v>Ravi</v>
      </c>
      <c r="H532" s="5" t="str">
        <f t="shared" si="93"/>
        <v/>
      </c>
      <c r="I532" s="5" t="str">
        <f>_xlfn.XLOOKUP(F532,'[1]Jan Labour Nd Drivers Hyva'!$B:$B,'[2]Jan Labour Nd Drivers Hyva'!$A:$A,"NOT FOUND")</f>
        <v>LAB-010</v>
      </c>
      <c r="J532" s="5" t="str">
        <f>IF(G532="","",_xlfn.XLOOKUP(G532,'[3]Jan Labour Nd Drivers Hyva'!$B:$B,'[2]Jan Labour Nd Drivers Hyva'!$A:$A,"NOT FOUND"))</f>
        <v>LAB-003</v>
      </c>
      <c r="K532" s="5" t="str">
        <f>IF(H532="","",_xlfn.XLOOKUP(H532,'[2]Jan Labour Nd Drivers Hyva'!$B:$B,'[2]Jan Labour Nd Drivers Hyva'!$A:$A,"NOT FOUND"))</f>
        <v/>
      </c>
      <c r="L532" s="11" t="s">
        <v>346</v>
      </c>
      <c r="M532" s="12">
        <v>4</v>
      </c>
      <c r="N532" s="13">
        <v>23500</v>
      </c>
      <c r="O532" s="8">
        <f t="shared" si="94"/>
        <v>94000</v>
      </c>
      <c r="P532" s="13"/>
      <c r="Q532" s="7">
        <f t="shared" si="100"/>
        <v>94000</v>
      </c>
      <c r="R532" t="str">
        <f t="shared" si="95"/>
        <v>UNPAID</v>
      </c>
      <c r="S532" s="3"/>
      <c r="T532" s="9">
        <f t="shared" si="96"/>
        <v>94000</v>
      </c>
      <c r="U532" t="str">
        <f t="shared" si="97"/>
        <v>OK</v>
      </c>
      <c r="V532" s="10">
        <f t="shared" si="98"/>
        <v>94000</v>
      </c>
      <c r="W532" t="str">
        <f t="shared" si="99"/>
        <v>OK</v>
      </c>
      <c r="X532" s="3" t="s">
        <v>28</v>
      </c>
      <c r="Y532" t="s">
        <v>29</v>
      </c>
    </row>
    <row r="533" spans="1:25" x14ac:dyDescent="0.2">
      <c r="A533" t="str">
        <f t="shared" si="90"/>
        <v>TRIP-581</v>
      </c>
      <c r="B533" s="2">
        <v>46018</v>
      </c>
      <c r="C533" s="3" t="str">
        <f>_xlfn.XLOOKUP(D533,'[1]Jan Customer Duplicate Hyva'!$B:$B,'[1]Jan Customer Duplicate Hyva'!$A:$A,"NOT FOUND")</f>
        <v>CUST-037</v>
      </c>
      <c r="D533" s="11" t="s">
        <v>99</v>
      </c>
      <c r="E533" s="11" t="s">
        <v>368</v>
      </c>
      <c r="F533" s="5" t="str">
        <f t="shared" si="91"/>
        <v>Ravi</v>
      </c>
      <c r="G533" s="5" t="str">
        <f t="shared" si="92"/>
        <v>Dhanraj</v>
      </c>
      <c r="H533" s="5" t="str">
        <f t="shared" si="93"/>
        <v/>
      </c>
      <c r="I533" s="5" t="str">
        <f>_xlfn.XLOOKUP(F533,'[1]Jan Labour Nd Drivers Hyva'!$B:$B,'[2]Jan Labour Nd Drivers Hyva'!$A:$A,"NOT FOUND")</f>
        <v>LAB-003</v>
      </c>
      <c r="J533" s="5" t="str">
        <f>IF(G533="","",_xlfn.XLOOKUP(G533,'[3]Jan Labour Nd Drivers Hyva'!$B:$B,'[2]Jan Labour Nd Drivers Hyva'!$A:$A,"NOT FOUND"))</f>
        <v>LAB-010</v>
      </c>
      <c r="K533" s="5" t="str">
        <f>IF(H533="","",_xlfn.XLOOKUP(H533,'[2]Jan Labour Nd Drivers Hyva'!$B:$B,'[2]Jan Labour Nd Drivers Hyva'!$A:$A,"NOT FOUND"))</f>
        <v/>
      </c>
      <c r="L533" s="11" t="s">
        <v>316</v>
      </c>
      <c r="M533" s="12">
        <v>2</v>
      </c>
      <c r="N533" s="13">
        <v>23000</v>
      </c>
      <c r="O533" s="8">
        <f t="shared" si="94"/>
        <v>46000</v>
      </c>
      <c r="P533" s="13"/>
      <c r="Q533" s="7">
        <f t="shared" si="100"/>
        <v>46000</v>
      </c>
      <c r="R533" t="str">
        <f t="shared" si="95"/>
        <v>UNPAID</v>
      </c>
      <c r="S533" s="3"/>
      <c r="T533" s="9">
        <f t="shared" si="96"/>
        <v>46000</v>
      </c>
      <c r="U533" t="str">
        <f t="shared" si="97"/>
        <v>OK</v>
      </c>
      <c r="V533" s="10">
        <f t="shared" si="98"/>
        <v>46000</v>
      </c>
      <c r="W533" t="str">
        <f t="shared" si="99"/>
        <v>OK</v>
      </c>
      <c r="X533" s="3" t="s">
        <v>28</v>
      </c>
      <c r="Y533" t="s">
        <v>29</v>
      </c>
    </row>
    <row r="534" spans="1:25" x14ac:dyDescent="0.2">
      <c r="A534" t="str">
        <f t="shared" si="90"/>
        <v>TRIP-582</v>
      </c>
      <c r="B534" s="2">
        <v>46018</v>
      </c>
      <c r="C534" s="3" t="str">
        <f>_xlfn.XLOOKUP(D534,'[1]Jan Customer Duplicate Hyva'!$B:$B,'[1]Jan Customer Duplicate Hyva'!$A:$A,"NOT FOUND")</f>
        <v>CUST-260</v>
      </c>
      <c r="D534" s="11" t="s">
        <v>369</v>
      </c>
      <c r="E534" s="11" t="s">
        <v>307</v>
      </c>
      <c r="F534" s="5" t="str">
        <f t="shared" si="91"/>
        <v>Dhanraj</v>
      </c>
      <c r="G534" s="5" t="str">
        <f t="shared" si="92"/>
        <v/>
      </c>
      <c r="H534" s="5" t="str">
        <f t="shared" si="93"/>
        <v/>
      </c>
      <c r="I534" s="5" t="str">
        <f>_xlfn.XLOOKUP(F534,'[1]Jan Labour Nd Drivers Hyva'!$B:$B,'[2]Jan Labour Nd Drivers Hyva'!$A:$A,"NOT FOUND")</f>
        <v>LAB-010</v>
      </c>
      <c r="J534" s="5" t="str">
        <f>IF(G534="","",_xlfn.XLOOKUP(G534,'[3]Jan Labour Nd Drivers Hyva'!$B:$B,'[2]Jan Labour Nd Drivers Hyva'!$A:$A,"NOT FOUND"))</f>
        <v/>
      </c>
      <c r="K534" s="5" t="str">
        <f>IF(H534="","",_xlfn.XLOOKUP(H534,'[2]Jan Labour Nd Drivers Hyva'!$B:$B,'[2]Jan Labour Nd Drivers Hyva'!$A:$A,"NOT FOUND"))</f>
        <v/>
      </c>
      <c r="L534" s="11" t="s">
        <v>185</v>
      </c>
      <c r="M534" s="12">
        <v>1</v>
      </c>
      <c r="N534" s="13">
        <v>23000</v>
      </c>
      <c r="O534" s="8">
        <f t="shared" si="94"/>
        <v>23000</v>
      </c>
      <c r="P534" s="13">
        <v>23000</v>
      </c>
      <c r="Q534" s="7">
        <f t="shared" si="100"/>
        <v>0</v>
      </c>
      <c r="R534" t="str">
        <f t="shared" si="95"/>
        <v>PAID</v>
      </c>
      <c r="S534" s="3"/>
      <c r="T534" s="9">
        <f t="shared" si="96"/>
        <v>23000</v>
      </c>
      <c r="U534" t="str">
        <f t="shared" si="97"/>
        <v>OK</v>
      </c>
      <c r="V534" s="10">
        <f t="shared" si="98"/>
        <v>0</v>
      </c>
      <c r="W534" t="str">
        <f t="shared" si="99"/>
        <v>OK</v>
      </c>
      <c r="X534" s="3" t="s">
        <v>28</v>
      </c>
      <c r="Y534" t="s">
        <v>29</v>
      </c>
    </row>
    <row r="535" spans="1:25" x14ac:dyDescent="0.2">
      <c r="A535" t="str">
        <f t="shared" si="90"/>
        <v>TRIP-583</v>
      </c>
      <c r="B535" s="2">
        <v>46018</v>
      </c>
      <c r="C535" s="3" t="str">
        <f>_xlfn.XLOOKUP(D535,'[1]Jan Customer Duplicate Hyva'!$B:$B,'[1]Jan Customer Duplicate Hyva'!$A:$A,"NOT FOUND")</f>
        <v>CUST-255</v>
      </c>
      <c r="D535" s="11" t="s">
        <v>75</v>
      </c>
      <c r="E535" s="11" t="s">
        <v>30</v>
      </c>
      <c r="F535" s="5" t="str">
        <f t="shared" si="91"/>
        <v>Ravi</v>
      </c>
      <c r="G535" s="5" t="str">
        <f t="shared" si="92"/>
        <v/>
      </c>
      <c r="H535" s="5" t="str">
        <f t="shared" si="93"/>
        <v/>
      </c>
      <c r="I535" s="5" t="str">
        <f>_xlfn.XLOOKUP(F535,'[1]Jan Labour Nd Drivers Hyva'!$B:$B,'[2]Jan Labour Nd Drivers Hyva'!$A:$A,"NOT FOUND")</f>
        <v>LAB-003</v>
      </c>
      <c r="J535" s="5" t="str">
        <f>IF(G535="","",_xlfn.XLOOKUP(G535,'[3]Jan Labour Nd Drivers Hyva'!$B:$B,'[2]Jan Labour Nd Drivers Hyva'!$A:$A,"NOT FOUND"))</f>
        <v/>
      </c>
      <c r="K535" s="5" t="str">
        <f>IF(H535="","",_xlfn.XLOOKUP(H535,'[2]Jan Labour Nd Drivers Hyva'!$B:$B,'[2]Jan Labour Nd Drivers Hyva'!$A:$A,"NOT FOUND"))</f>
        <v/>
      </c>
      <c r="L535" s="11" t="s">
        <v>116</v>
      </c>
      <c r="M535" s="12">
        <v>2</v>
      </c>
      <c r="N535" s="13">
        <v>26000</v>
      </c>
      <c r="O535" s="8">
        <f t="shared" si="94"/>
        <v>52000</v>
      </c>
      <c r="P535" s="13">
        <v>52000</v>
      </c>
      <c r="Q535" s="7">
        <f t="shared" si="100"/>
        <v>0</v>
      </c>
      <c r="R535" t="str">
        <f t="shared" si="95"/>
        <v>PAID</v>
      </c>
      <c r="S535" s="3"/>
      <c r="T535" s="9">
        <f t="shared" si="96"/>
        <v>52000</v>
      </c>
      <c r="U535" t="str">
        <f t="shared" si="97"/>
        <v>OK</v>
      </c>
      <c r="V535" s="10">
        <f t="shared" si="98"/>
        <v>0</v>
      </c>
      <c r="W535" t="str">
        <f t="shared" si="99"/>
        <v>OK</v>
      </c>
      <c r="X535" s="3" t="s">
        <v>28</v>
      </c>
      <c r="Y535" t="s">
        <v>29</v>
      </c>
    </row>
    <row r="536" spans="1:25" x14ac:dyDescent="0.2">
      <c r="A536" t="str">
        <f t="shared" si="90"/>
        <v>TRIP-584</v>
      </c>
      <c r="B536" s="2">
        <v>46019</v>
      </c>
      <c r="C536" s="3" t="str">
        <f>_xlfn.XLOOKUP(D536,'[1]Jan Customer Duplicate Hyva'!$B:$B,'[1]Jan Customer Duplicate Hyva'!$A:$A,"NOT FOUND")</f>
        <v>CUST-037</v>
      </c>
      <c r="D536" s="11" t="s">
        <v>99</v>
      </c>
      <c r="E536" s="11" t="s">
        <v>30</v>
      </c>
      <c r="F536" s="5" t="str">
        <f t="shared" si="91"/>
        <v>Ravi</v>
      </c>
      <c r="G536" s="5" t="str">
        <f t="shared" si="92"/>
        <v/>
      </c>
      <c r="H536" s="5" t="str">
        <f t="shared" si="93"/>
        <v/>
      </c>
      <c r="I536" s="5" t="str">
        <f>_xlfn.XLOOKUP(F536,'[1]Jan Labour Nd Drivers Hyva'!$B:$B,'[2]Jan Labour Nd Drivers Hyva'!$A:$A,"NOT FOUND")</f>
        <v>LAB-003</v>
      </c>
      <c r="J536" s="5" t="str">
        <f>IF(G536="","",_xlfn.XLOOKUP(G536,'[3]Jan Labour Nd Drivers Hyva'!$B:$B,'[2]Jan Labour Nd Drivers Hyva'!$A:$A,"NOT FOUND"))</f>
        <v/>
      </c>
      <c r="K536" s="5" t="str">
        <f>IF(H536="","",_xlfn.XLOOKUP(H536,'[2]Jan Labour Nd Drivers Hyva'!$B:$B,'[2]Jan Labour Nd Drivers Hyva'!$A:$A,"NOT FOUND"))</f>
        <v/>
      </c>
      <c r="L536" s="11" t="s">
        <v>316</v>
      </c>
      <c r="M536" s="12">
        <v>1</v>
      </c>
      <c r="N536" s="13">
        <v>23000</v>
      </c>
      <c r="O536" s="8">
        <f t="shared" si="94"/>
        <v>23000</v>
      </c>
      <c r="P536" s="13"/>
      <c r="Q536" s="7">
        <f t="shared" si="100"/>
        <v>23000</v>
      </c>
      <c r="R536" t="str">
        <f t="shared" si="95"/>
        <v>UNPAID</v>
      </c>
      <c r="S536" s="3"/>
      <c r="T536" s="9">
        <f t="shared" si="96"/>
        <v>23000</v>
      </c>
      <c r="U536" t="str">
        <f t="shared" si="97"/>
        <v>OK</v>
      </c>
      <c r="V536" s="10">
        <f t="shared" si="98"/>
        <v>23000</v>
      </c>
      <c r="W536" t="str">
        <f t="shared" si="99"/>
        <v>OK</v>
      </c>
      <c r="X536" s="3" t="s">
        <v>28</v>
      </c>
      <c r="Y536" t="s">
        <v>29</v>
      </c>
    </row>
    <row r="537" spans="1:25" x14ac:dyDescent="0.2">
      <c r="A537" t="str">
        <f t="shared" si="90"/>
        <v>TRIP-585</v>
      </c>
      <c r="B537" s="2">
        <v>46019</v>
      </c>
      <c r="C537" s="3" t="str">
        <f>_xlfn.XLOOKUP(D537,'[1]Jan Customer Duplicate Hyva'!$B:$B,'[1]Jan Customer Duplicate Hyva'!$A:$A,"NOT FOUND")</f>
        <v>CUST-255</v>
      </c>
      <c r="D537" s="11" t="s">
        <v>75</v>
      </c>
      <c r="E537" s="11" t="s">
        <v>30</v>
      </c>
      <c r="F537" s="5" t="str">
        <f t="shared" si="91"/>
        <v>Ravi</v>
      </c>
      <c r="G537" s="5" t="str">
        <f t="shared" si="92"/>
        <v/>
      </c>
      <c r="H537" s="5" t="str">
        <f t="shared" si="93"/>
        <v/>
      </c>
      <c r="I537" s="5" t="str">
        <f>_xlfn.XLOOKUP(F537,'[1]Jan Labour Nd Drivers Hyva'!$B:$B,'[2]Jan Labour Nd Drivers Hyva'!$A:$A,"NOT FOUND")</f>
        <v>LAB-003</v>
      </c>
      <c r="J537" s="5" t="str">
        <f>IF(G537="","",_xlfn.XLOOKUP(G537,'[3]Jan Labour Nd Drivers Hyva'!$B:$B,'[2]Jan Labour Nd Drivers Hyva'!$A:$A,"NOT FOUND"))</f>
        <v/>
      </c>
      <c r="K537" s="5" t="str">
        <f>IF(H537="","",_xlfn.XLOOKUP(H537,'[2]Jan Labour Nd Drivers Hyva'!$B:$B,'[2]Jan Labour Nd Drivers Hyva'!$A:$A,"NOT FOUND"))</f>
        <v/>
      </c>
      <c r="L537" s="11" t="s">
        <v>116</v>
      </c>
      <c r="M537" s="12">
        <v>1</v>
      </c>
      <c r="N537" s="13">
        <v>26000</v>
      </c>
      <c r="O537" s="8">
        <f t="shared" si="94"/>
        <v>26000</v>
      </c>
      <c r="P537" s="13">
        <v>26000</v>
      </c>
      <c r="Q537" s="7">
        <f t="shared" si="100"/>
        <v>0</v>
      </c>
      <c r="R537" t="str">
        <f t="shared" si="95"/>
        <v>PAID</v>
      </c>
      <c r="S537" s="3"/>
      <c r="T537" s="9">
        <f t="shared" si="96"/>
        <v>26000</v>
      </c>
      <c r="U537" t="str">
        <f t="shared" si="97"/>
        <v>OK</v>
      </c>
      <c r="V537" s="10">
        <f t="shared" si="98"/>
        <v>0</v>
      </c>
      <c r="W537" t="str">
        <f t="shared" si="99"/>
        <v>OK</v>
      </c>
      <c r="X537" s="3" t="s">
        <v>28</v>
      </c>
      <c r="Y537" t="s">
        <v>29</v>
      </c>
    </row>
    <row r="538" spans="1:25" x14ac:dyDescent="0.2">
      <c r="A538" t="str">
        <f t="shared" si="90"/>
        <v>TRIP-586</v>
      </c>
      <c r="B538" s="2">
        <v>46019</v>
      </c>
      <c r="C538" s="3" t="str">
        <f>_xlfn.XLOOKUP(D538,'[1]Jan Customer Duplicate Hyva'!$B:$B,'[1]Jan Customer Duplicate Hyva'!$A:$A,"NOT FOUND")</f>
        <v>CUST-172</v>
      </c>
      <c r="D538" s="3" t="s">
        <v>54</v>
      </c>
      <c r="E538" s="11" t="s">
        <v>30</v>
      </c>
      <c r="F538" s="5" t="str">
        <f t="shared" si="91"/>
        <v>Ravi</v>
      </c>
      <c r="G538" s="5" t="str">
        <f t="shared" si="92"/>
        <v/>
      </c>
      <c r="H538" s="5" t="str">
        <f t="shared" si="93"/>
        <v/>
      </c>
      <c r="I538" s="5" t="str">
        <f>_xlfn.XLOOKUP(F538,'[1]Jan Labour Nd Drivers Hyva'!$B:$B,'[2]Jan Labour Nd Drivers Hyva'!$A:$A,"NOT FOUND")</f>
        <v>LAB-003</v>
      </c>
      <c r="J538" s="5" t="str">
        <f>IF(G538="","",_xlfn.XLOOKUP(G538,'[3]Jan Labour Nd Drivers Hyva'!$B:$B,'[2]Jan Labour Nd Drivers Hyva'!$A:$A,"NOT FOUND"))</f>
        <v/>
      </c>
      <c r="K538" s="5" t="str">
        <f>IF(H538="","",_xlfn.XLOOKUP(H538,'[2]Jan Labour Nd Drivers Hyva'!$B:$B,'[2]Jan Labour Nd Drivers Hyva'!$A:$A,"NOT FOUND"))</f>
        <v/>
      </c>
      <c r="L538" s="11" t="s">
        <v>142</v>
      </c>
      <c r="M538" s="12">
        <v>1</v>
      </c>
      <c r="N538" s="13">
        <v>23000</v>
      </c>
      <c r="O538" s="8">
        <f t="shared" si="94"/>
        <v>23000</v>
      </c>
      <c r="P538" s="13">
        <v>23000</v>
      </c>
      <c r="Q538" s="7">
        <f t="shared" si="100"/>
        <v>0</v>
      </c>
      <c r="R538" t="str">
        <f t="shared" si="95"/>
        <v>PAID</v>
      </c>
      <c r="S538" s="3"/>
      <c r="T538" s="9">
        <f t="shared" si="96"/>
        <v>23000</v>
      </c>
      <c r="U538" t="str">
        <f t="shared" si="97"/>
        <v>OK</v>
      </c>
      <c r="V538" s="10">
        <f t="shared" si="98"/>
        <v>0</v>
      </c>
      <c r="W538" t="str">
        <f t="shared" si="99"/>
        <v>OK</v>
      </c>
      <c r="X538" s="3" t="s">
        <v>28</v>
      </c>
      <c r="Y538" t="s">
        <v>29</v>
      </c>
    </row>
    <row r="539" spans="1:25" x14ac:dyDescent="0.2">
      <c r="A539" t="str">
        <f t="shared" si="90"/>
        <v>TRIP-587</v>
      </c>
      <c r="B539" s="2">
        <v>46020</v>
      </c>
      <c r="C539" s="3" t="str">
        <f>_xlfn.XLOOKUP(D539,'[1]Jan Customer Duplicate Hyva'!$B:$B,'[1]Jan Customer Duplicate Hyva'!$A:$A,"NOT FOUND")</f>
        <v>CUST-037</v>
      </c>
      <c r="D539" s="11" t="s">
        <v>99</v>
      </c>
      <c r="E539" s="11" t="s">
        <v>30</v>
      </c>
      <c r="F539" s="5" t="str">
        <f t="shared" si="91"/>
        <v>Ravi</v>
      </c>
      <c r="G539" s="5" t="str">
        <f t="shared" si="92"/>
        <v/>
      </c>
      <c r="H539" s="5" t="str">
        <f t="shared" si="93"/>
        <v/>
      </c>
      <c r="I539" s="5" t="str">
        <f>_xlfn.XLOOKUP(F539,'[1]Jan Labour Nd Drivers Hyva'!$B:$B,'[2]Jan Labour Nd Drivers Hyva'!$A:$A,"NOT FOUND")</f>
        <v>LAB-003</v>
      </c>
      <c r="J539" s="5" t="str">
        <f>IF(G539="","",_xlfn.XLOOKUP(G539,'[3]Jan Labour Nd Drivers Hyva'!$B:$B,'[2]Jan Labour Nd Drivers Hyva'!$A:$A,"NOT FOUND"))</f>
        <v/>
      </c>
      <c r="K539" s="5" t="str">
        <f>IF(H539="","",_xlfn.XLOOKUP(H539,'[2]Jan Labour Nd Drivers Hyva'!$B:$B,'[2]Jan Labour Nd Drivers Hyva'!$A:$A,"NOT FOUND"))</f>
        <v/>
      </c>
      <c r="L539" s="11" t="s">
        <v>316</v>
      </c>
      <c r="M539" s="12">
        <v>1</v>
      </c>
      <c r="N539" s="13">
        <v>23000</v>
      </c>
      <c r="O539" s="8">
        <f t="shared" si="94"/>
        <v>23000</v>
      </c>
      <c r="P539" s="13"/>
      <c r="Q539" s="7">
        <f t="shared" si="100"/>
        <v>23000</v>
      </c>
      <c r="R539" t="str">
        <f t="shared" si="95"/>
        <v>UNPAID</v>
      </c>
      <c r="S539" s="3"/>
      <c r="T539" s="9">
        <f t="shared" si="96"/>
        <v>23000</v>
      </c>
      <c r="U539" t="str">
        <f t="shared" si="97"/>
        <v>OK</v>
      </c>
      <c r="V539" s="10">
        <f t="shared" si="98"/>
        <v>23000</v>
      </c>
      <c r="W539" t="str">
        <f t="shared" si="99"/>
        <v>OK</v>
      </c>
      <c r="X539" s="3" t="s">
        <v>28</v>
      </c>
      <c r="Y539" t="s">
        <v>29</v>
      </c>
    </row>
    <row r="540" spans="1:25" x14ac:dyDescent="0.2">
      <c r="A540" t="str">
        <f t="shared" si="90"/>
        <v>TRIP-588</v>
      </c>
      <c r="B540" s="2">
        <v>46020</v>
      </c>
      <c r="C540" s="3" t="str">
        <f>_xlfn.XLOOKUP(D540,'[1]Jan Customer Duplicate Hyva'!$B:$B,'[1]Jan Customer Duplicate Hyva'!$A:$A,"NOT FOUND")</f>
        <v>CUST-172</v>
      </c>
      <c r="D540" s="3" t="s">
        <v>54</v>
      </c>
      <c r="E540" s="11" t="s">
        <v>307</v>
      </c>
      <c r="F540" s="5" t="str">
        <f t="shared" si="91"/>
        <v>Dhanraj</v>
      </c>
      <c r="G540" s="5" t="str">
        <f t="shared" si="92"/>
        <v/>
      </c>
      <c r="H540" s="5" t="str">
        <f t="shared" si="93"/>
        <v/>
      </c>
      <c r="I540" s="5" t="str">
        <f>_xlfn.XLOOKUP(F540,'[1]Jan Labour Nd Drivers Hyva'!$B:$B,'[2]Jan Labour Nd Drivers Hyva'!$A:$A,"NOT FOUND")</f>
        <v>LAB-010</v>
      </c>
      <c r="J540" s="5" t="str">
        <f>IF(G540="","",_xlfn.XLOOKUP(G540,'[3]Jan Labour Nd Drivers Hyva'!$B:$B,'[2]Jan Labour Nd Drivers Hyva'!$A:$A,"NOT FOUND"))</f>
        <v/>
      </c>
      <c r="K540" s="5" t="str">
        <f>IF(H540="","",_xlfn.XLOOKUP(H540,'[2]Jan Labour Nd Drivers Hyva'!$B:$B,'[2]Jan Labour Nd Drivers Hyva'!$A:$A,"NOT FOUND"))</f>
        <v/>
      </c>
      <c r="L540" s="11" t="s">
        <v>56</v>
      </c>
      <c r="M540" s="12">
        <v>1</v>
      </c>
      <c r="N540" s="13">
        <v>23000</v>
      </c>
      <c r="O540" s="8">
        <f t="shared" si="94"/>
        <v>23000</v>
      </c>
      <c r="P540" s="13">
        <v>23000</v>
      </c>
      <c r="Q540" s="7">
        <f t="shared" si="100"/>
        <v>0</v>
      </c>
      <c r="R540" t="str">
        <f t="shared" si="95"/>
        <v>PAID</v>
      </c>
      <c r="S540" s="3"/>
      <c r="T540" s="9">
        <f t="shared" si="96"/>
        <v>23000</v>
      </c>
      <c r="U540" t="str">
        <f t="shared" si="97"/>
        <v>OK</v>
      </c>
      <c r="V540" s="10">
        <f t="shared" si="98"/>
        <v>0</v>
      </c>
      <c r="W540" t="str">
        <f t="shared" si="99"/>
        <v>OK</v>
      </c>
      <c r="X540" s="3" t="s">
        <v>28</v>
      </c>
      <c r="Y540" t="s">
        <v>29</v>
      </c>
    </row>
    <row r="541" spans="1:25" x14ac:dyDescent="0.2">
      <c r="A541" t="str">
        <f t="shared" si="90"/>
        <v>TRIP-589</v>
      </c>
      <c r="B541" s="2">
        <v>46021</v>
      </c>
      <c r="C541" s="3" t="str">
        <f>_xlfn.XLOOKUP(D541,'[1]Jan Customer Duplicate Hyva'!$B:$B,'[1]Jan Customer Duplicate Hyva'!$A:$A,"NOT FOUND")</f>
        <v>CUST-050</v>
      </c>
      <c r="D541" s="11" t="s">
        <v>69</v>
      </c>
      <c r="E541" s="11" t="s">
        <v>307</v>
      </c>
      <c r="F541" s="5" t="str">
        <f t="shared" si="91"/>
        <v>Dhanraj</v>
      </c>
      <c r="G541" s="5" t="str">
        <f t="shared" si="92"/>
        <v/>
      </c>
      <c r="H541" s="5" t="str">
        <f t="shared" si="93"/>
        <v/>
      </c>
      <c r="I541" s="5" t="str">
        <f>_xlfn.XLOOKUP(F541,'[1]Jan Labour Nd Drivers Hyva'!$B:$B,'[2]Jan Labour Nd Drivers Hyva'!$A:$A,"NOT FOUND")</f>
        <v>LAB-010</v>
      </c>
      <c r="J541" s="5" t="str">
        <f>IF(G541="","",_xlfn.XLOOKUP(G541,'[3]Jan Labour Nd Drivers Hyva'!$B:$B,'[2]Jan Labour Nd Drivers Hyva'!$A:$A,"NOT FOUND"))</f>
        <v/>
      </c>
      <c r="K541" s="5" t="str">
        <f>IF(H541="","",_xlfn.XLOOKUP(H541,'[2]Jan Labour Nd Drivers Hyva'!$B:$B,'[2]Jan Labour Nd Drivers Hyva'!$A:$A,"NOT FOUND"))</f>
        <v/>
      </c>
      <c r="L541" s="11" t="s">
        <v>194</v>
      </c>
      <c r="M541" s="12">
        <v>1</v>
      </c>
      <c r="N541" s="13">
        <v>27000</v>
      </c>
      <c r="O541" s="8">
        <f t="shared" si="94"/>
        <v>27000</v>
      </c>
      <c r="P541" s="13"/>
      <c r="Q541" s="7">
        <f t="shared" si="100"/>
        <v>27000</v>
      </c>
      <c r="R541" t="str">
        <f t="shared" si="95"/>
        <v>UNPAID</v>
      </c>
      <c r="S541" s="3"/>
      <c r="T541" s="9">
        <f t="shared" si="96"/>
        <v>27000</v>
      </c>
      <c r="U541" t="str">
        <f t="shared" si="97"/>
        <v>OK</v>
      </c>
      <c r="V541" s="10">
        <f t="shared" si="98"/>
        <v>27000</v>
      </c>
      <c r="W541" t="str">
        <f t="shared" si="99"/>
        <v>OK</v>
      </c>
      <c r="X541" s="3" t="s">
        <v>28</v>
      </c>
      <c r="Y541" t="s">
        <v>29</v>
      </c>
    </row>
    <row r="542" spans="1:25" x14ac:dyDescent="0.2">
      <c r="A542" t="str">
        <f t="shared" si="90"/>
        <v>TRIP-590</v>
      </c>
      <c r="B542" s="2">
        <v>46021</v>
      </c>
      <c r="C542" s="3" t="str">
        <f>_xlfn.XLOOKUP(D542,'[1]Jan Customer Duplicate Hyva'!$B:$B,'[1]Jan Customer Duplicate Hyva'!$A:$A,"NOT FOUND")</f>
        <v>CUST-172</v>
      </c>
      <c r="D542" s="3" t="s">
        <v>54</v>
      </c>
      <c r="E542" s="11" t="s">
        <v>30</v>
      </c>
      <c r="F542" s="5" t="str">
        <f t="shared" si="91"/>
        <v>Ravi</v>
      </c>
      <c r="G542" s="5" t="str">
        <f t="shared" si="92"/>
        <v/>
      </c>
      <c r="H542" s="5" t="str">
        <f t="shared" si="93"/>
        <v/>
      </c>
      <c r="I542" s="5" t="str">
        <f>_xlfn.XLOOKUP(F542,'[1]Jan Labour Nd Drivers Hyva'!$B:$B,'[2]Jan Labour Nd Drivers Hyva'!$A:$A,"NOT FOUND")</f>
        <v>LAB-003</v>
      </c>
      <c r="J542" s="5" t="str">
        <f>IF(G542="","",_xlfn.XLOOKUP(G542,'[3]Jan Labour Nd Drivers Hyva'!$B:$B,'[2]Jan Labour Nd Drivers Hyva'!$A:$A,"NOT FOUND"))</f>
        <v/>
      </c>
      <c r="K542" s="5" t="str">
        <f>IF(H542="","",_xlfn.XLOOKUP(H542,'[2]Jan Labour Nd Drivers Hyva'!$B:$B,'[2]Jan Labour Nd Drivers Hyva'!$A:$A,"NOT FOUND"))</f>
        <v/>
      </c>
      <c r="L542" s="11" t="s">
        <v>311</v>
      </c>
      <c r="M542" s="12">
        <v>1</v>
      </c>
      <c r="N542" s="13">
        <v>23000</v>
      </c>
      <c r="O542" s="8">
        <f t="shared" si="94"/>
        <v>23000</v>
      </c>
      <c r="P542" s="13">
        <v>23000</v>
      </c>
      <c r="Q542" s="7">
        <f t="shared" si="100"/>
        <v>0</v>
      </c>
      <c r="R542" t="str">
        <f t="shared" si="95"/>
        <v>PAID</v>
      </c>
      <c r="S542" s="3"/>
      <c r="T542" s="9">
        <f t="shared" si="96"/>
        <v>23000</v>
      </c>
      <c r="U542" t="str">
        <f t="shared" si="97"/>
        <v>OK</v>
      </c>
      <c r="V542" s="10">
        <f t="shared" si="98"/>
        <v>0</v>
      </c>
      <c r="W542" t="str">
        <f t="shared" si="99"/>
        <v>OK</v>
      </c>
      <c r="X542" s="3" t="s">
        <v>28</v>
      </c>
      <c r="Y542" t="s">
        <v>29</v>
      </c>
    </row>
    <row r="543" spans="1:25" x14ac:dyDescent="0.2">
      <c r="A543" t="str">
        <f t="shared" si="90"/>
        <v>TRIP-591</v>
      </c>
      <c r="B543" s="2">
        <v>46021</v>
      </c>
      <c r="C543" s="3" t="str">
        <f>_xlfn.XLOOKUP(D543,'[1]Jan Customer Duplicate Hyva'!$B:$B,'[1]Jan Customer Duplicate Hyva'!$A:$A,"NOT FOUND")</f>
        <v>CUST-172</v>
      </c>
      <c r="D543" s="3" t="s">
        <v>54</v>
      </c>
      <c r="E543" s="11" t="s">
        <v>30</v>
      </c>
      <c r="F543" s="5" t="str">
        <f t="shared" si="91"/>
        <v>Ravi</v>
      </c>
      <c r="G543" s="5" t="str">
        <f t="shared" si="92"/>
        <v/>
      </c>
      <c r="H543" s="5" t="str">
        <f t="shared" si="93"/>
        <v/>
      </c>
      <c r="I543" s="5" t="str">
        <f>_xlfn.XLOOKUP(F543,'[1]Jan Labour Nd Drivers Hyva'!$B:$B,'[2]Jan Labour Nd Drivers Hyva'!$A:$A,"NOT FOUND")</f>
        <v>LAB-003</v>
      </c>
      <c r="J543" s="5" t="str">
        <f>IF(G543="","",_xlfn.XLOOKUP(G543,'[3]Jan Labour Nd Drivers Hyva'!$B:$B,'[2]Jan Labour Nd Drivers Hyva'!$A:$A,"NOT FOUND"))</f>
        <v/>
      </c>
      <c r="K543" s="5" t="str">
        <f>IF(H543="","",_xlfn.XLOOKUP(H543,'[2]Jan Labour Nd Drivers Hyva'!$B:$B,'[2]Jan Labour Nd Drivers Hyva'!$A:$A,"NOT FOUND"))</f>
        <v/>
      </c>
      <c r="L543" s="11" t="s">
        <v>120</v>
      </c>
      <c r="M543" s="12">
        <v>1</v>
      </c>
      <c r="N543" s="13">
        <v>23000</v>
      </c>
      <c r="O543" s="8">
        <f t="shared" si="94"/>
        <v>23000</v>
      </c>
      <c r="P543" s="13">
        <v>23000</v>
      </c>
      <c r="Q543" s="7">
        <f t="shared" si="100"/>
        <v>0</v>
      </c>
      <c r="R543" t="str">
        <f t="shared" si="95"/>
        <v>PAID</v>
      </c>
      <c r="S543" s="3"/>
      <c r="T543" s="9">
        <f t="shared" si="96"/>
        <v>23000</v>
      </c>
      <c r="U543" t="str">
        <f t="shared" si="97"/>
        <v>OK</v>
      </c>
      <c r="V543" s="10">
        <f t="shared" si="98"/>
        <v>0</v>
      </c>
      <c r="W543" t="str">
        <f t="shared" si="99"/>
        <v>OK</v>
      </c>
      <c r="X543" s="3" t="s">
        <v>28</v>
      </c>
      <c r="Y543" t="s">
        <v>29</v>
      </c>
    </row>
    <row r="544" spans="1:25" x14ac:dyDescent="0.2">
      <c r="A544" t="str">
        <f t="shared" si="90"/>
        <v>TRIP-592</v>
      </c>
      <c r="B544" s="2">
        <v>46021</v>
      </c>
      <c r="C544" s="3" t="str">
        <f>_xlfn.XLOOKUP(D544,'[1]Jan Customer Duplicate Hyva'!$B:$B,'[1]Jan Customer Duplicate Hyva'!$A:$A,"NOT FOUND")</f>
        <v>CUST-323</v>
      </c>
      <c r="D544" s="3" t="s">
        <v>51</v>
      </c>
      <c r="E544" s="11" t="s">
        <v>307</v>
      </c>
      <c r="F544" s="5" t="str">
        <f t="shared" si="91"/>
        <v>Dhanraj</v>
      </c>
      <c r="G544" s="5" t="str">
        <f t="shared" si="92"/>
        <v/>
      </c>
      <c r="H544" s="5" t="str">
        <f t="shared" si="93"/>
        <v/>
      </c>
      <c r="I544" s="5" t="str">
        <f>_xlfn.XLOOKUP(F544,'[1]Jan Labour Nd Drivers Hyva'!$B:$B,'[2]Jan Labour Nd Drivers Hyva'!$A:$A,"NOT FOUND")</f>
        <v>LAB-010</v>
      </c>
      <c r="J544" s="5" t="str">
        <f>IF(G544="","",_xlfn.XLOOKUP(G544,'[3]Jan Labour Nd Drivers Hyva'!$B:$B,'[2]Jan Labour Nd Drivers Hyva'!$A:$A,"NOT FOUND"))</f>
        <v/>
      </c>
      <c r="K544" s="5" t="str">
        <f>IF(H544="","",_xlfn.XLOOKUP(H544,'[2]Jan Labour Nd Drivers Hyva'!$B:$B,'[2]Jan Labour Nd Drivers Hyva'!$A:$A,"NOT FOUND"))</f>
        <v/>
      </c>
      <c r="L544" s="11" t="s">
        <v>41</v>
      </c>
      <c r="M544" s="12">
        <v>1</v>
      </c>
      <c r="N544" s="13">
        <v>29000</v>
      </c>
      <c r="O544" s="8">
        <f t="shared" si="94"/>
        <v>29000</v>
      </c>
      <c r="P544" s="13">
        <v>29000</v>
      </c>
      <c r="Q544" s="7">
        <f t="shared" si="100"/>
        <v>0</v>
      </c>
      <c r="R544" t="str">
        <f t="shared" si="95"/>
        <v>PAID</v>
      </c>
      <c r="S544" s="3"/>
      <c r="T544" s="9">
        <f t="shared" si="96"/>
        <v>29000</v>
      </c>
      <c r="U544" t="str">
        <f t="shared" si="97"/>
        <v>OK</v>
      </c>
      <c r="V544" s="10">
        <f t="shared" si="98"/>
        <v>0</v>
      </c>
      <c r="W544" t="str">
        <f t="shared" si="99"/>
        <v>OK</v>
      </c>
      <c r="X544" s="3" t="s">
        <v>28</v>
      </c>
      <c r="Y544" t="s">
        <v>29</v>
      </c>
    </row>
    <row r="545" spans="1:25" x14ac:dyDescent="0.2">
      <c r="A545" t="str">
        <f t="shared" si="90"/>
        <v>TRIP-593</v>
      </c>
      <c r="B545" s="2">
        <v>46022</v>
      </c>
      <c r="C545" s="3" t="str">
        <f>_xlfn.XLOOKUP(D545,'[1]Jan Customer Duplicate Hyva'!$B:$B,'[1]Jan Customer Duplicate Hyva'!$A:$A,"NOT FOUND")</f>
        <v>CUST-037</v>
      </c>
      <c r="D545" s="11" t="s">
        <v>99</v>
      </c>
      <c r="E545" s="11" t="s">
        <v>368</v>
      </c>
      <c r="F545" s="5" t="str">
        <f t="shared" si="91"/>
        <v>Ravi</v>
      </c>
      <c r="G545" s="5" t="str">
        <f t="shared" si="92"/>
        <v>Dhanraj</v>
      </c>
      <c r="H545" s="5" t="str">
        <f t="shared" si="93"/>
        <v/>
      </c>
      <c r="I545" s="5" t="str">
        <f>_xlfn.XLOOKUP(F545,'[1]Jan Labour Nd Drivers Hyva'!$B:$B,'[2]Jan Labour Nd Drivers Hyva'!$A:$A,"NOT FOUND")</f>
        <v>LAB-003</v>
      </c>
      <c r="J545" s="5" t="str">
        <f>IF(G545="","",_xlfn.XLOOKUP(G545,'[3]Jan Labour Nd Drivers Hyva'!$B:$B,'[2]Jan Labour Nd Drivers Hyva'!$A:$A,"NOT FOUND"))</f>
        <v>LAB-010</v>
      </c>
      <c r="K545" s="5" t="str">
        <f>IF(H545="","",_xlfn.XLOOKUP(H545,'[2]Jan Labour Nd Drivers Hyva'!$B:$B,'[2]Jan Labour Nd Drivers Hyva'!$A:$A,"NOT FOUND"))</f>
        <v/>
      </c>
      <c r="L545" s="11" t="s">
        <v>316</v>
      </c>
      <c r="M545" s="12">
        <v>2</v>
      </c>
      <c r="N545" s="13">
        <v>23000</v>
      </c>
      <c r="O545" s="8">
        <f t="shared" si="94"/>
        <v>46000</v>
      </c>
      <c r="P545" s="13"/>
      <c r="Q545" s="7">
        <f t="shared" si="100"/>
        <v>46000</v>
      </c>
      <c r="R545" t="str">
        <f t="shared" si="95"/>
        <v>UNPAID</v>
      </c>
      <c r="S545" s="3"/>
      <c r="T545" s="9">
        <f t="shared" si="96"/>
        <v>46000</v>
      </c>
      <c r="U545" t="str">
        <f t="shared" si="97"/>
        <v>OK</v>
      </c>
      <c r="V545" s="10">
        <f t="shared" si="98"/>
        <v>46000</v>
      </c>
      <c r="W545" t="str">
        <f t="shared" si="99"/>
        <v>OK</v>
      </c>
      <c r="X545" s="3" t="s">
        <v>28</v>
      </c>
      <c r="Y545" t="s">
        <v>29</v>
      </c>
    </row>
    <row r="546" spans="1:25" x14ac:dyDescent="0.2">
      <c r="A546" t="str">
        <f t="shared" si="90"/>
        <v>TRIP-594</v>
      </c>
      <c r="B546" s="2">
        <v>46022</v>
      </c>
      <c r="C546" s="3" t="str">
        <f>_xlfn.XLOOKUP(D546,'[1]Jan Customer Duplicate Hyva'!$B:$B,'[1]Jan Customer Duplicate Hyva'!$A:$A,"NOT FOUND")</f>
        <v>CUST-172</v>
      </c>
      <c r="D546" s="3" t="s">
        <v>54</v>
      </c>
      <c r="E546" s="11" t="s">
        <v>30</v>
      </c>
      <c r="F546" s="5" t="str">
        <f t="shared" si="91"/>
        <v>Ravi</v>
      </c>
      <c r="G546" s="5" t="str">
        <f t="shared" si="92"/>
        <v/>
      </c>
      <c r="H546" s="5" t="str">
        <f t="shared" si="93"/>
        <v/>
      </c>
      <c r="I546" s="5" t="str">
        <f>_xlfn.XLOOKUP(F546,'[1]Jan Labour Nd Drivers Hyva'!$B:$B,'[2]Jan Labour Nd Drivers Hyva'!$A:$A,"NOT FOUND")</f>
        <v>LAB-003</v>
      </c>
      <c r="J546" s="5" t="str">
        <f>IF(G546="","",_xlfn.XLOOKUP(G546,'[3]Jan Labour Nd Drivers Hyva'!$B:$B,'[2]Jan Labour Nd Drivers Hyva'!$A:$A,"NOT FOUND"))</f>
        <v/>
      </c>
      <c r="K546" s="5" t="str">
        <f>IF(H546="","",_xlfn.XLOOKUP(H546,'[2]Jan Labour Nd Drivers Hyva'!$B:$B,'[2]Jan Labour Nd Drivers Hyva'!$A:$A,"NOT FOUND"))</f>
        <v/>
      </c>
      <c r="L546" s="11" t="s">
        <v>56</v>
      </c>
      <c r="M546" s="12">
        <v>1</v>
      </c>
      <c r="N546" s="13">
        <v>23000</v>
      </c>
      <c r="O546" s="8">
        <f t="shared" si="94"/>
        <v>23000</v>
      </c>
      <c r="P546" s="13">
        <v>23000</v>
      </c>
      <c r="Q546" s="7">
        <f t="shared" si="100"/>
        <v>0</v>
      </c>
      <c r="R546" t="str">
        <f t="shared" si="95"/>
        <v>PAID</v>
      </c>
      <c r="S546" s="3"/>
      <c r="T546" s="9">
        <f t="shared" si="96"/>
        <v>23000</v>
      </c>
      <c r="U546" t="str">
        <f t="shared" si="97"/>
        <v>OK</v>
      </c>
      <c r="V546" s="10">
        <f t="shared" si="98"/>
        <v>0</v>
      </c>
      <c r="W546" t="str">
        <f t="shared" si="99"/>
        <v>OK</v>
      </c>
      <c r="X546" s="3" t="s">
        <v>28</v>
      </c>
      <c r="Y546" t="s">
        <v>29</v>
      </c>
    </row>
    <row r="547" spans="1:25" x14ac:dyDescent="0.2">
      <c r="A547" t="str">
        <f t="shared" si="90"/>
        <v>TRIP-595</v>
      </c>
      <c r="B547" s="2">
        <v>46022</v>
      </c>
      <c r="C547" s="3" t="str">
        <f>_xlfn.XLOOKUP(D547,'[1]Jan Customer Duplicate Hyva'!$B:$B,'[1]Jan Customer Duplicate Hyva'!$A:$A,"NOT FOUND")</f>
        <v>CUST-050</v>
      </c>
      <c r="D547" s="11" t="s">
        <v>69</v>
      </c>
      <c r="E547" s="11" t="s">
        <v>362</v>
      </c>
      <c r="F547" s="5" t="str">
        <f t="shared" si="91"/>
        <v>Dhanraj</v>
      </c>
      <c r="G547" s="5" t="str">
        <f t="shared" si="92"/>
        <v>Ravi</v>
      </c>
      <c r="H547" s="5" t="str">
        <f t="shared" si="93"/>
        <v/>
      </c>
      <c r="I547" s="5" t="str">
        <f>_xlfn.XLOOKUP(F547,'[1]Jan Labour Nd Drivers Hyva'!$B:$B,'[2]Jan Labour Nd Drivers Hyva'!$A:$A,"NOT FOUND")</f>
        <v>LAB-010</v>
      </c>
      <c r="J547" s="5" t="str">
        <f>IF(G547="","",_xlfn.XLOOKUP(G547,'[3]Jan Labour Nd Drivers Hyva'!$B:$B,'[2]Jan Labour Nd Drivers Hyva'!$A:$A,"NOT FOUND"))</f>
        <v>LAB-003</v>
      </c>
      <c r="K547" s="5" t="str">
        <f>IF(H547="","",_xlfn.XLOOKUP(H547,'[2]Jan Labour Nd Drivers Hyva'!$B:$B,'[2]Jan Labour Nd Drivers Hyva'!$A:$A,"NOT FOUND"))</f>
        <v/>
      </c>
      <c r="L547" s="11" t="s">
        <v>194</v>
      </c>
      <c r="M547" s="12">
        <v>3</v>
      </c>
      <c r="N547" s="13">
        <v>27000</v>
      </c>
      <c r="O547" s="8">
        <f t="shared" si="94"/>
        <v>81000</v>
      </c>
      <c r="P547" s="13"/>
      <c r="Q547" s="7">
        <f t="shared" si="100"/>
        <v>81000</v>
      </c>
      <c r="R547" t="str">
        <f t="shared" si="95"/>
        <v>UNPAID</v>
      </c>
      <c r="S547" s="3"/>
      <c r="T547" s="9">
        <f t="shared" si="96"/>
        <v>81000</v>
      </c>
      <c r="U547" t="str">
        <f t="shared" si="97"/>
        <v>OK</v>
      </c>
      <c r="V547" s="10">
        <f t="shared" si="98"/>
        <v>81000</v>
      </c>
      <c r="W547" t="str">
        <f t="shared" si="99"/>
        <v>OK</v>
      </c>
      <c r="X547" s="3" t="s">
        <v>28</v>
      </c>
      <c r="Y547" t="s">
        <v>29</v>
      </c>
    </row>
    <row r="548" spans="1:25" x14ac:dyDescent="0.2">
      <c r="A548" t="str">
        <f t="shared" si="90"/>
        <v>TRIP-596</v>
      </c>
      <c r="B548" s="2">
        <v>46022</v>
      </c>
      <c r="C548" s="3" t="str">
        <f>_xlfn.XLOOKUP(D548,'[1]Jan Customer Duplicate Hyva'!$B:$B,'[1]Jan Customer Duplicate Hyva'!$A:$A,"NOT FOUND")</f>
        <v>CUST-118</v>
      </c>
      <c r="D548" s="11" t="s">
        <v>226</v>
      </c>
      <c r="E548" s="11" t="s">
        <v>30</v>
      </c>
      <c r="F548" s="5" t="str">
        <f t="shared" si="91"/>
        <v>Ravi</v>
      </c>
      <c r="G548" s="5" t="str">
        <f t="shared" si="92"/>
        <v/>
      </c>
      <c r="H548" s="5" t="str">
        <f t="shared" si="93"/>
        <v/>
      </c>
      <c r="I548" s="5" t="str">
        <f>_xlfn.XLOOKUP(F548,'[1]Jan Labour Nd Drivers Hyva'!$B:$B,'[2]Jan Labour Nd Drivers Hyva'!$A:$A,"NOT FOUND")</f>
        <v>LAB-003</v>
      </c>
      <c r="J548" s="5" t="str">
        <f>IF(G548="","",_xlfn.XLOOKUP(G548,'[3]Jan Labour Nd Drivers Hyva'!$B:$B,'[2]Jan Labour Nd Drivers Hyva'!$A:$A,"NOT FOUND"))</f>
        <v/>
      </c>
      <c r="K548" s="5" t="str">
        <f>IF(H548="","",_xlfn.XLOOKUP(H548,'[2]Jan Labour Nd Drivers Hyva'!$B:$B,'[2]Jan Labour Nd Drivers Hyva'!$A:$A,"NOT FOUND"))</f>
        <v/>
      </c>
      <c r="L548" s="11" t="s">
        <v>41</v>
      </c>
      <c r="M548" s="12">
        <v>1</v>
      </c>
      <c r="N548" s="13">
        <v>29000</v>
      </c>
      <c r="O548" s="8">
        <f t="shared" si="94"/>
        <v>29000</v>
      </c>
      <c r="P548" s="13"/>
      <c r="Q548" s="7">
        <f t="shared" si="100"/>
        <v>29000</v>
      </c>
      <c r="R548" t="str">
        <f t="shared" si="95"/>
        <v>UNPAID</v>
      </c>
      <c r="S548" s="3"/>
      <c r="T548" s="9">
        <f t="shared" si="96"/>
        <v>29000</v>
      </c>
      <c r="U548" t="str">
        <f t="shared" si="97"/>
        <v>OK</v>
      </c>
      <c r="V548" s="10">
        <f t="shared" si="98"/>
        <v>29000</v>
      </c>
      <c r="W548" t="str">
        <f t="shared" si="99"/>
        <v>OK</v>
      </c>
      <c r="X548" s="3" t="s">
        <v>28</v>
      </c>
      <c r="Y548" t="s">
        <v>29</v>
      </c>
    </row>
    <row r="549" spans="1: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3834-F5AD-4B49-9253-AA2BCC2B8D8A}">
  <dimension ref="A1:X143"/>
  <sheetViews>
    <sheetView topLeftCell="A73" workbookViewId="0">
      <selection activeCell="K98" sqref="K98"/>
    </sheetView>
  </sheetViews>
  <sheetFormatPr baseColWidth="10" defaultRowHeight="16" x14ac:dyDescent="0.2"/>
  <cols>
    <col min="1" max="1" width="11.5" bestFit="1" customWidth="1"/>
    <col min="2" max="2" width="32" bestFit="1" customWidth="1"/>
    <col min="3" max="3" width="14.1640625" bestFit="1" customWidth="1"/>
    <col min="4" max="4" width="18.5" bestFit="1" customWidth="1"/>
    <col min="5" max="5" width="23.33203125" bestFit="1" customWidth="1"/>
    <col min="6" max="7" width="12" bestFit="1" customWidth="1"/>
    <col min="8" max="8" width="7.5" bestFit="1" customWidth="1"/>
    <col min="9" max="11" width="12.1640625" bestFit="1" customWidth="1"/>
    <col min="12" max="12" width="28.5" bestFit="1" customWidth="1"/>
    <col min="13" max="13" width="8.1640625" bestFit="1" customWidth="1"/>
    <col min="14" max="14" width="11.1640625" bestFit="1" customWidth="1"/>
    <col min="15" max="16" width="12.33203125" bestFit="1" customWidth="1"/>
    <col min="17" max="17" width="11.1640625" bestFit="1" customWidth="1"/>
    <col min="18" max="18" width="14.1640625" bestFit="1" customWidth="1"/>
    <col min="19" max="19" width="6.1640625" bestFit="1" customWidth="1"/>
    <col min="20" max="20" width="14.5" bestFit="1" customWidth="1"/>
    <col min="21" max="21" width="13.33203125" bestFit="1" customWidth="1"/>
    <col min="22" max="22" width="17.33203125" bestFit="1" customWidth="1"/>
    <col min="23" max="23" width="13.5" bestFit="1" customWidth="1"/>
    <col min="24" max="24" width="12.332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9" x14ac:dyDescent="0.25">
      <c r="A2" t="str">
        <f>"TRIP-HR-"&amp;TEXT(ROW()+41,"000")</f>
        <v>TRIP-HR-043</v>
      </c>
      <c r="B2" s="17">
        <v>45689</v>
      </c>
      <c r="C2" s="3" t="str">
        <f>_xlfn.XLOOKUP(D2,'[1]Jan Customer Duplicate Hyva'!$B:$B,'[1]Jan Customer Duplicate Hyva'!$A:$A,"NOT FOUND")</f>
        <v>CUST-218</v>
      </c>
      <c r="D2" s="18" t="s">
        <v>60</v>
      </c>
      <c r="E2" s="18" t="s">
        <v>55</v>
      </c>
      <c r="F2" s="5" t="str">
        <f>TRIM(_xlfn.TEXTBEFORE(E2&amp;" / "," / "))</f>
        <v>Gaju Bhau</v>
      </c>
      <c r="G2" s="5" t="str">
        <f>IFERROR(TRIM(_xlfn.TEXTBEFORE(_xlfn.TEXTAFTER(E2," / ")&amp;" / "," / ")),"")</f>
        <v/>
      </c>
      <c r="H2" s="5" t="str">
        <f>IFERROR(TRIM(_xlfn.TEXTAFTER(E2," / ","2")),"")</f>
        <v/>
      </c>
      <c r="I2" s="5" t="str">
        <f>_xlfn.XLOOKUP(F2,'[1]Jan Labour Nd Drivers Hyva'!$B:$B,'[2]Jan Labour Nd Drivers Hyva'!$A:$A,"NOT FOUND")</f>
        <v>LAB-001</v>
      </c>
      <c r="J2" s="5" t="str">
        <f>IF(G2="","",_xlfn.XLOOKUP(G2,'[3]Jan Labour Nd Drivers Hyva'!$B:$B,'[2]Jan Labour Nd Drivers Hyva'!$A:$A,"NOT FOUND"))</f>
        <v/>
      </c>
      <c r="K2" s="5" t="str">
        <f>IF(H2="","",_xlfn.XLOOKUP(H2,'[2]Jan Labour Nd Drivers Hyva'!$B:$B,'[2]Jan Labour Nd Drivers Hyva'!$A:$A,"NOT FOUND"))</f>
        <v/>
      </c>
      <c r="L2" s="18" t="s">
        <v>61</v>
      </c>
      <c r="M2" s="19">
        <v>2</v>
      </c>
      <c r="N2" s="20">
        <v>3000</v>
      </c>
      <c r="O2" s="20">
        <f>N2*M2</f>
        <v>6000</v>
      </c>
      <c r="P2" s="20">
        <v>6000</v>
      </c>
      <c r="Q2" s="20">
        <f>O2-P2</f>
        <v>0</v>
      </c>
      <c r="R2" s="3" t="str">
        <f>IF(Q2=0,"PAID",IF(P2=0,"UNPAID","PARTIAL"))</f>
        <v>PAID</v>
      </c>
      <c r="S2" s="3"/>
      <c r="T2" s="3">
        <f>M2*N2</f>
        <v>6000</v>
      </c>
      <c r="U2" s="3" t="str">
        <f>IF(ROUND(T2,2)=ROUND(O2,2),"OK","CHECK")</f>
        <v>OK</v>
      </c>
      <c r="V2" s="21">
        <f>O2-P2</f>
        <v>0</v>
      </c>
      <c r="W2" s="3" t="str">
        <f>IF(ROUND(V2,2)=ROUND(Q2,2),"OK","CHECK")</f>
        <v>OK</v>
      </c>
      <c r="X2" s="3" t="s">
        <v>370</v>
      </c>
    </row>
    <row r="3" spans="1:24" ht="19" x14ac:dyDescent="0.25">
      <c r="A3" t="str">
        <f t="shared" ref="A3:A66" si="0">"TRIP-HR-"&amp;TEXT(ROW()+41,"000")</f>
        <v>TRIP-HR-044</v>
      </c>
      <c r="B3" s="17">
        <v>45689</v>
      </c>
      <c r="C3" s="3" t="str">
        <f>_xlfn.XLOOKUP(D3,'[1]Jan Customer Duplicate Hyva'!$B:$B,'[1]Jan Customer Duplicate Hyva'!$A:$A,"NOT FOUND")</f>
        <v>CUST-218</v>
      </c>
      <c r="D3" s="18" t="s">
        <v>60</v>
      </c>
      <c r="E3" s="18" t="s">
        <v>30</v>
      </c>
      <c r="F3" s="5" t="str">
        <f t="shared" ref="F3:F66" si="1">TRIM(_xlfn.TEXTBEFORE(E3&amp;" / "," / "))</f>
        <v>Ravi</v>
      </c>
      <c r="G3" s="5" t="str">
        <f t="shared" ref="G3:G66" si="2">IFERROR(TRIM(_xlfn.TEXTBEFORE(_xlfn.TEXTAFTER(E3," / ")&amp;" / "," / ")),"")</f>
        <v/>
      </c>
      <c r="H3" s="5" t="str">
        <f t="shared" ref="H3:H66" si="3">IFERROR(TRIM(_xlfn.TEXTAFTER(E3," / ","2")),"")</f>
        <v/>
      </c>
      <c r="I3" s="5" t="str">
        <f>_xlfn.XLOOKUP(F3,'[1]Jan Labour Nd Drivers Hyva'!$B:$B,'[2]Jan Labour Nd Drivers Hyva'!$A:$A,"NOT FOUND")</f>
        <v>LAB-003</v>
      </c>
      <c r="J3" s="5" t="str">
        <f>IF(G3="","",_xlfn.XLOOKUP(G3,'[3]Jan Labour Nd Drivers Hyva'!$B:$B,'[2]Jan Labour Nd Drivers Hyva'!$A:$A,"NOT FOUND"))</f>
        <v/>
      </c>
      <c r="K3" s="5" t="str">
        <f>IF(H3="","",_xlfn.XLOOKUP(H3,'[2]Jan Labour Nd Drivers Hyva'!$B:$B,'[2]Jan Labour Nd Drivers Hyva'!$A:$A,"NOT FOUND"))</f>
        <v/>
      </c>
      <c r="L3" s="18" t="s">
        <v>61</v>
      </c>
      <c r="M3" s="19">
        <v>4</v>
      </c>
      <c r="N3" s="20">
        <v>3000</v>
      </c>
      <c r="O3" s="20">
        <f t="shared" ref="O3:O66" si="4">N3*M3</f>
        <v>12000</v>
      </c>
      <c r="P3" s="20">
        <v>12000</v>
      </c>
      <c r="Q3" s="20">
        <f t="shared" ref="Q3:Q21" si="5">O3-P3</f>
        <v>0</v>
      </c>
      <c r="R3" s="3" t="str">
        <f t="shared" ref="R3:R66" si="6">IF(Q3=0,"PAID",IF(P3=0,"UNPAID","PARTIAL"))</f>
        <v>PAID</v>
      </c>
      <c r="S3" s="3"/>
      <c r="T3" s="3">
        <f t="shared" ref="T3:T66" si="7">M3*N3</f>
        <v>12000</v>
      </c>
      <c r="U3" s="3" t="str">
        <f t="shared" ref="U3:U66" si="8">IF(ROUND(T3,2)=ROUND(O3,2),"OK","CHECK")</f>
        <v>OK</v>
      </c>
      <c r="V3" s="21">
        <f t="shared" ref="V3:V66" si="9">O3-P3</f>
        <v>0</v>
      </c>
      <c r="W3" s="3" t="str">
        <f t="shared" ref="W3:W66" si="10">IF(ROUND(V3,2)=ROUND(Q3,2),"OK","CHECK")</f>
        <v>OK</v>
      </c>
      <c r="X3" s="3" t="s">
        <v>370</v>
      </c>
    </row>
    <row r="4" spans="1:24" ht="19" x14ac:dyDescent="0.25">
      <c r="A4" t="str">
        <f t="shared" si="0"/>
        <v>TRIP-HR-045</v>
      </c>
      <c r="B4" s="17">
        <v>45689</v>
      </c>
      <c r="C4" s="3" t="str">
        <f>_xlfn.XLOOKUP(D4,'[1]Jan Customer Duplicate Hyva'!$B:$B,'[1]Jan Customer Duplicate Hyva'!$A:$A,"NOT FOUND")</f>
        <v>NOT FOUND</v>
      </c>
      <c r="D4" s="18" t="s">
        <v>90</v>
      </c>
      <c r="E4" s="18" t="s">
        <v>55</v>
      </c>
      <c r="F4" s="5" t="str">
        <f t="shared" si="1"/>
        <v>Gaju Bhau</v>
      </c>
      <c r="G4" s="5" t="str">
        <f t="shared" si="2"/>
        <v/>
      </c>
      <c r="H4" s="5" t="str">
        <f t="shared" si="3"/>
        <v/>
      </c>
      <c r="I4" s="5" t="str">
        <f>_xlfn.XLOOKUP(F4,'[1]Jan Labour Nd Drivers Hyva'!$B:$B,'[2]Jan Labour Nd Drivers Hyva'!$A:$A,"NOT FOUND")</f>
        <v>LAB-001</v>
      </c>
      <c r="J4" s="5" t="str">
        <f>IF(G4="","",_xlfn.XLOOKUP(G4,'[3]Jan Labour Nd Drivers Hyva'!$B:$B,'[2]Jan Labour Nd Drivers Hyva'!$A:$A,"NOT FOUND"))</f>
        <v/>
      </c>
      <c r="K4" s="5" t="str">
        <f>IF(H4="","",_xlfn.XLOOKUP(H4,'[2]Jan Labour Nd Drivers Hyva'!$B:$B,'[2]Jan Labour Nd Drivers Hyva'!$A:$A,"NOT FOUND"))</f>
        <v/>
      </c>
      <c r="L4" s="18" t="s">
        <v>371</v>
      </c>
      <c r="M4" s="19">
        <v>1</v>
      </c>
      <c r="N4" s="20">
        <v>5000</v>
      </c>
      <c r="O4" s="20">
        <f t="shared" si="4"/>
        <v>5000</v>
      </c>
      <c r="P4" s="20"/>
      <c r="Q4" s="20">
        <f t="shared" si="5"/>
        <v>5000</v>
      </c>
      <c r="R4" s="3" t="str">
        <f t="shared" si="6"/>
        <v>UNPAID</v>
      </c>
      <c r="S4" s="3"/>
      <c r="T4" s="3">
        <f t="shared" si="7"/>
        <v>5000</v>
      </c>
      <c r="U4" s="3" t="str">
        <f t="shared" si="8"/>
        <v>OK</v>
      </c>
      <c r="V4" s="21">
        <f t="shared" si="9"/>
        <v>5000</v>
      </c>
      <c r="W4" s="3" t="str">
        <f t="shared" si="10"/>
        <v>OK</v>
      </c>
      <c r="X4" s="3" t="s">
        <v>370</v>
      </c>
    </row>
    <row r="5" spans="1:24" ht="19" x14ac:dyDescent="0.25">
      <c r="A5" t="str">
        <f t="shared" si="0"/>
        <v>TRIP-HR-046</v>
      </c>
      <c r="B5" s="17">
        <v>45689</v>
      </c>
      <c r="C5" s="3" t="str">
        <f>_xlfn.XLOOKUP(D5,'[1]Jan Customer Duplicate Hyva'!$B:$B,'[1]Jan Customer Duplicate Hyva'!$A:$A,"NOT FOUND")</f>
        <v>NOT FOUND</v>
      </c>
      <c r="D5" s="18" t="s">
        <v>90</v>
      </c>
      <c r="E5" s="18" t="s">
        <v>30</v>
      </c>
      <c r="F5" s="5" t="str">
        <f t="shared" si="1"/>
        <v>Ravi</v>
      </c>
      <c r="G5" s="5" t="str">
        <f t="shared" si="2"/>
        <v/>
      </c>
      <c r="H5" s="5" t="str">
        <f t="shared" si="3"/>
        <v/>
      </c>
      <c r="I5" s="5" t="str">
        <f>_xlfn.XLOOKUP(F5,'[1]Jan Labour Nd Drivers Hyva'!$B:$B,'[2]Jan Labour Nd Drivers Hyva'!$A:$A,"NOT FOUND")</f>
        <v>LAB-003</v>
      </c>
      <c r="J5" s="5" t="str">
        <f>IF(G5="","",_xlfn.XLOOKUP(G5,'[3]Jan Labour Nd Drivers Hyva'!$B:$B,'[2]Jan Labour Nd Drivers Hyva'!$A:$A,"NOT FOUND"))</f>
        <v/>
      </c>
      <c r="K5" s="5" t="str">
        <f>IF(H5="","",_xlfn.XLOOKUP(H5,'[2]Jan Labour Nd Drivers Hyva'!$B:$B,'[2]Jan Labour Nd Drivers Hyva'!$A:$A,"NOT FOUND"))</f>
        <v/>
      </c>
      <c r="L5" s="18" t="s">
        <v>371</v>
      </c>
      <c r="M5" s="19">
        <v>1</v>
      </c>
      <c r="N5" s="20">
        <v>5000</v>
      </c>
      <c r="O5" s="20">
        <f t="shared" si="4"/>
        <v>5000</v>
      </c>
      <c r="P5" s="20"/>
      <c r="Q5" s="20">
        <f t="shared" si="5"/>
        <v>5000</v>
      </c>
      <c r="R5" s="3" t="str">
        <f t="shared" si="6"/>
        <v>UNPAID</v>
      </c>
      <c r="S5" s="3"/>
      <c r="T5" s="3">
        <f t="shared" si="7"/>
        <v>5000</v>
      </c>
      <c r="U5" s="3" t="str">
        <f t="shared" si="8"/>
        <v>OK</v>
      </c>
      <c r="V5" s="21">
        <f t="shared" si="9"/>
        <v>5000</v>
      </c>
      <c r="W5" s="3" t="str">
        <f t="shared" si="10"/>
        <v>OK</v>
      </c>
      <c r="X5" s="3" t="s">
        <v>370</v>
      </c>
    </row>
    <row r="6" spans="1:24" ht="19" x14ac:dyDescent="0.25">
      <c r="A6" t="str">
        <f t="shared" si="0"/>
        <v>TRIP-HR-047</v>
      </c>
      <c r="B6" s="17">
        <v>45689</v>
      </c>
      <c r="C6" s="3" t="str">
        <f>_xlfn.XLOOKUP(D6,'[1]Jan Customer Duplicate Hyva'!$B:$B,'[1]Jan Customer Duplicate Hyva'!$A:$A,"NOT FOUND")</f>
        <v>CUST-371</v>
      </c>
      <c r="D6" s="18" t="s">
        <v>372</v>
      </c>
      <c r="E6" s="18" t="s">
        <v>55</v>
      </c>
      <c r="F6" s="5" t="str">
        <f t="shared" si="1"/>
        <v>Gaju Bhau</v>
      </c>
      <c r="G6" s="5" t="str">
        <f t="shared" si="2"/>
        <v/>
      </c>
      <c r="H6" s="5" t="str">
        <f t="shared" si="3"/>
        <v/>
      </c>
      <c r="I6" s="5" t="str">
        <f>_xlfn.XLOOKUP(F6,'[1]Jan Labour Nd Drivers Hyva'!$B:$B,'[2]Jan Labour Nd Drivers Hyva'!$A:$A,"NOT FOUND")</f>
        <v>LAB-001</v>
      </c>
      <c r="J6" s="5" t="str">
        <f>IF(G6="","",_xlfn.XLOOKUP(G6,'[3]Jan Labour Nd Drivers Hyva'!$B:$B,'[2]Jan Labour Nd Drivers Hyva'!$A:$A,"NOT FOUND"))</f>
        <v/>
      </c>
      <c r="K6" s="5" t="str">
        <f>IF(H6="","",_xlfn.XLOOKUP(H6,'[2]Jan Labour Nd Drivers Hyva'!$B:$B,'[2]Jan Labour Nd Drivers Hyva'!$A:$A,"NOT FOUND"))</f>
        <v/>
      </c>
      <c r="L6" s="18" t="s">
        <v>373</v>
      </c>
      <c r="M6" s="19">
        <v>1</v>
      </c>
      <c r="N6" s="20">
        <v>6000</v>
      </c>
      <c r="O6" s="20">
        <f t="shared" si="4"/>
        <v>6000</v>
      </c>
      <c r="P6" s="20">
        <v>6000</v>
      </c>
      <c r="Q6" s="20">
        <f t="shared" si="5"/>
        <v>0</v>
      </c>
      <c r="R6" s="3" t="str">
        <f t="shared" si="6"/>
        <v>PAID</v>
      </c>
      <c r="S6" s="3"/>
      <c r="T6" s="3">
        <f t="shared" si="7"/>
        <v>6000</v>
      </c>
      <c r="U6" s="3" t="str">
        <f t="shared" si="8"/>
        <v>OK</v>
      </c>
      <c r="V6" s="21">
        <f t="shared" si="9"/>
        <v>0</v>
      </c>
      <c r="W6" s="3" t="str">
        <f t="shared" si="10"/>
        <v>OK</v>
      </c>
      <c r="X6" s="3" t="s">
        <v>370</v>
      </c>
    </row>
    <row r="7" spans="1:24" ht="19" x14ac:dyDescent="0.25">
      <c r="A7" t="str">
        <f t="shared" si="0"/>
        <v>TRIP-HR-048</v>
      </c>
      <c r="B7" s="17">
        <v>45690</v>
      </c>
      <c r="C7" s="3" t="str">
        <f>_xlfn.XLOOKUP(D7,'[1]Jan Customer Duplicate Hyva'!$B:$B,'[1]Jan Customer Duplicate Hyva'!$A:$A,"NOT FOUND")</f>
        <v>CUST-218</v>
      </c>
      <c r="D7" s="18" t="s">
        <v>60</v>
      </c>
      <c r="E7" s="18" t="s">
        <v>30</v>
      </c>
      <c r="F7" s="5" t="str">
        <f t="shared" si="1"/>
        <v>Ravi</v>
      </c>
      <c r="G7" s="5" t="str">
        <f t="shared" si="2"/>
        <v/>
      </c>
      <c r="H7" s="5" t="str">
        <f t="shared" si="3"/>
        <v/>
      </c>
      <c r="I7" s="5" t="str">
        <f>_xlfn.XLOOKUP(F7,'[1]Jan Labour Nd Drivers Hyva'!$B:$B,'[2]Jan Labour Nd Drivers Hyva'!$A:$A,"NOT FOUND")</f>
        <v>LAB-003</v>
      </c>
      <c r="J7" s="5" t="str">
        <f>IF(G7="","",_xlfn.XLOOKUP(G7,'[3]Jan Labour Nd Drivers Hyva'!$B:$B,'[2]Jan Labour Nd Drivers Hyva'!$A:$A,"NOT FOUND"))</f>
        <v/>
      </c>
      <c r="K7" s="5" t="str">
        <f>IF(H7="","",_xlfn.XLOOKUP(H7,'[2]Jan Labour Nd Drivers Hyva'!$B:$B,'[2]Jan Labour Nd Drivers Hyva'!$A:$A,"NOT FOUND"))</f>
        <v/>
      </c>
      <c r="L7" s="18" t="s">
        <v>61</v>
      </c>
      <c r="M7" s="19">
        <v>3</v>
      </c>
      <c r="N7" s="20">
        <v>3000</v>
      </c>
      <c r="O7" s="20">
        <f t="shared" si="4"/>
        <v>9000</v>
      </c>
      <c r="P7" s="20">
        <v>9000</v>
      </c>
      <c r="Q7" s="20">
        <f t="shared" si="5"/>
        <v>0</v>
      </c>
      <c r="R7" s="3" t="str">
        <f t="shared" si="6"/>
        <v>PAID</v>
      </c>
      <c r="S7" s="3"/>
      <c r="T7" s="3">
        <f t="shared" si="7"/>
        <v>9000</v>
      </c>
      <c r="U7" s="3" t="str">
        <f t="shared" si="8"/>
        <v>OK</v>
      </c>
      <c r="V7" s="21">
        <f t="shared" si="9"/>
        <v>0</v>
      </c>
      <c r="W7" s="3" t="str">
        <f t="shared" si="10"/>
        <v>OK</v>
      </c>
      <c r="X7" s="3" t="s">
        <v>370</v>
      </c>
    </row>
    <row r="8" spans="1:24" ht="19" x14ac:dyDescent="0.25">
      <c r="A8" t="str">
        <f t="shared" si="0"/>
        <v>TRIP-HR-049</v>
      </c>
      <c r="B8" s="17">
        <v>45690</v>
      </c>
      <c r="C8" s="3" t="str">
        <f>_xlfn.XLOOKUP(D8,'[1]Jan Customer Duplicate Hyva'!$B:$B,'[1]Jan Customer Duplicate Hyva'!$A:$A,"NOT FOUND")</f>
        <v>CUST-218</v>
      </c>
      <c r="D8" s="18" t="s">
        <v>60</v>
      </c>
      <c r="E8" s="18" t="s">
        <v>26</v>
      </c>
      <c r="F8" s="5" t="str">
        <f t="shared" si="1"/>
        <v>Anshu</v>
      </c>
      <c r="G8" s="5" t="str">
        <f t="shared" si="2"/>
        <v/>
      </c>
      <c r="H8" s="5" t="str">
        <f t="shared" si="3"/>
        <v/>
      </c>
      <c r="I8" s="5" t="str">
        <f>_xlfn.XLOOKUP(F8,'[1]Jan Labour Nd Drivers Hyva'!$B:$B,'[2]Jan Labour Nd Drivers Hyva'!$A:$A,"NOT FOUND")</f>
        <v>LAB-002</v>
      </c>
      <c r="J8" s="5" t="str">
        <f>IF(G8="","",_xlfn.XLOOKUP(G8,'[3]Jan Labour Nd Drivers Hyva'!$B:$B,'[2]Jan Labour Nd Drivers Hyva'!$A:$A,"NOT FOUND"))</f>
        <v/>
      </c>
      <c r="K8" s="5" t="str">
        <f>IF(H8="","",_xlfn.XLOOKUP(H8,'[2]Jan Labour Nd Drivers Hyva'!$B:$B,'[2]Jan Labour Nd Drivers Hyva'!$A:$A,"NOT FOUND"))</f>
        <v/>
      </c>
      <c r="L8" s="18" t="s">
        <v>61</v>
      </c>
      <c r="M8" s="19">
        <v>1</v>
      </c>
      <c r="N8" s="20">
        <v>3000</v>
      </c>
      <c r="O8" s="20">
        <f t="shared" si="4"/>
        <v>3000</v>
      </c>
      <c r="P8" s="20">
        <v>3000</v>
      </c>
      <c r="Q8" s="20">
        <f t="shared" si="5"/>
        <v>0</v>
      </c>
      <c r="R8" s="3" t="str">
        <f t="shared" si="6"/>
        <v>PAID</v>
      </c>
      <c r="S8" s="3"/>
      <c r="T8" s="3">
        <f t="shared" si="7"/>
        <v>3000</v>
      </c>
      <c r="U8" s="3" t="str">
        <f t="shared" si="8"/>
        <v>OK</v>
      </c>
      <c r="V8" s="21">
        <f t="shared" si="9"/>
        <v>0</v>
      </c>
      <c r="W8" s="3" t="str">
        <f t="shared" si="10"/>
        <v>OK</v>
      </c>
      <c r="X8" s="3" t="s">
        <v>370</v>
      </c>
    </row>
    <row r="9" spans="1:24" ht="19" x14ac:dyDescent="0.25">
      <c r="A9" t="str">
        <f t="shared" si="0"/>
        <v>TRIP-HR-050</v>
      </c>
      <c r="B9" s="17">
        <v>45691</v>
      </c>
      <c r="C9" s="3" t="str">
        <f>_xlfn.XLOOKUP(D9,'[1]Jan Customer Duplicate Hyva'!$B:$B,'[1]Jan Customer Duplicate Hyva'!$A:$A,"NOT FOUND")</f>
        <v>CUST-218</v>
      </c>
      <c r="D9" s="18" t="s">
        <v>60</v>
      </c>
      <c r="E9" s="18" t="s">
        <v>26</v>
      </c>
      <c r="F9" s="5" t="str">
        <f t="shared" si="1"/>
        <v>Anshu</v>
      </c>
      <c r="G9" s="5" t="str">
        <f t="shared" si="2"/>
        <v/>
      </c>
      <c r="H9" s="5" t="str">
        <f t="shared" si="3"/>
        <v/>
      </c>
      <c r="I9" s="5" t="str">
        <f>_xlfn.XLOOKUP(F9,'[1]Jan Labour Nd Drivers Hyva'!$B:$B,'[2]Jan Labour Nd Drivers Hyva'!$A:$A,"NOT FOUND")</f>
        <v>LAB-002</v>
      </c>
      <c r="J9" s="5" t="str">
        <f>IF(G9="","",_xlfn.XLOOKUP(G9,'[3]Jan Labour Nd Drivers Hyva'!$B:$B,'[2]Jan Labour Nd Drivers Hyva'!$A:$A,"NOT FOUND"))</f>
        <v/>
      </c>
      <c r="K9" s="5" t="str">
        <f>IF(H9="","",_xlfn.XLOOKUP(H9,'[2]Jan Labour Nd Drivers Hyva'!$B:$B,'[2]Jan Labour Nd Drivers Hyva'!$A:$A,"NOT FOUND"))</f>
        <v/>
      </c>
      <c r="L9" s="18" t="s">
        <v>108</v>
      </c>
      <c r="M9" s="19">
        <v>3</v>
      </c>
      <c r="N9" s="20">
        <v>3000</v>
      </c>
      <c r="O9" s="20">
        <f t="shared" si="4"/>
        <v>9000</v>
      </c>
      <c r="P9" s="20">
        <v>9000</v>
      </c>
      <c r="Q9" s="20">
        <f t="shared" si="5"/>
        <v>0</v>
      </c>
      <c r="R9" s="3" t="str">
        <f t="shared" si="6"/>
        <v>PAID</v>
      </c>
      <c r="S9" s="3"/>
      <c r="T9" s="3">
        <f t="shared" si="7"/>
        <v>9000</v>
      </c>
      <c r="U9" s="3" t="str">
        <f t="shared" si="8"/>
        <v>OK</v>
      </c>
      <c r="V9" s="21">
        <f t="shared" si="9"/>
        <v>0</v>
      </c>
      <c r="W9" s="3" t="str">
        <f t="shared" si="10"/>
        <v>OK</v>
      </c>
      <c r="X9" s="3" t="s">
        <v>370</v>
      </c>
    </row>
    <row r="10" spans="1:24" ht="19" x14ac:dyDescent="0.25">
      <c r="A10" t="str">
        <f t="shared" si="0"/>
        <v>TRIP-HR-051</v>
      </c>
      <c r="B10" s="17">
        <v>45691</v>
      </c>
      <c r="C10" s="3" t="str">
        <f>_xlfn.XLOOKUP(D10,'[1]Jan Customer Duplicate Hyva'!$B:$B,'[1]Jan Customer Duplicate Hyva'!$A:$A,"NOT FOUND")</f>
        <v>CUST-218</v>
      </c>
      <c r="D10" s="18" t="s">
        <v>60</v>
      </c>
      <c r="E10" s="18" t="s">
        <v>30</v>
      </c>
      <c r="F10" s="5" t="str">
        <f t="shared" si="1"/>
        <v>Ravi</v>
      </c>
      <c r="G10" s="5" t="str">
        <f t="shared" si="2"/>
        <v/>
      </c>
      <c r="H10" s="5" t="str">
        <f t="shared" si="3"/>
        <v/>
      </c>
      <c r="I10" s="5" t="str">
        <f>_xlfn.XLOOKUP(F10,'[1]Jan Labour Nd Drivers Hyva'!$B:$B,'[2]Jan Labour Nd Drivers Hyva'!$A:$A,"NOT FOUND")</f>
        <v>LAB-003</v>
      </c>
      <c r="J10" s="5" t="str">
        <f>IF(G10="","",_xlfn.XLOOKUP(G10,'[3]Jan Labour Nd Drivers Hyva'!$B:$B,'[2]Jan Labour Nd Drivers Hyva'!$A:$A,"NOT FOUND"))</f>
        <v/>
      </c>
      <c r="K10" s="5" t="str">
        <f>IF(H10="","",_xlfn.XLOOKUP(H10,'[2]Jan Labour Nd Drivers Hyva'!$B:$B,'[2]Jan Labour Nd Drivers Hyva'!$A:$A,"NOT FOUND"))</f>
        <v/>
      </c>
      <c r="L10" s="18" t="s">
        <v>108</v>
      </c>
      <c r="M10" s="19">
        <v>3</v>
      </c>
      <c r="N10" s="20">
        <v>3000</v>
      </c>
      <c r="O10" s="20">
        <f t="shared" si="4"/>
        <v>9000</v>
      </c>
      <c r="P10" s="20">
        <v>9000</v>
      </c>
      <c r="Q10" s="20">
        <f t="shared" si="5"/>
        <v>0</v>
      </c>
      <c r="R10" s="3" t="str">
        <f t="shared" si="6"/>
        <v>PAID</v>
      </c>
      <c r="S10" s="3"/>
      <c r="T10" s="3">
        <f t="shared" si="7"/>
        <v>9000</v>
      </c>
      <c r="U10" s="3" t="str">
        <f t="shared" si="8"/>
        <v>OK</v>
      </c>
      <c r="V10" s="21">
        <f t="shared" si="9"/>
        <v>0</v>
      </c>
      <c r="W10" s="3" t="str">
        <f t="shared" si="10"/>
        <v>OK</v>
      </c>
      <c r="X10" s="3" t="s">
        <v>370</v>
      </c>
    </row>
    <row r="11" spans="1:24" ht="19" x14ac:dyDescent="0.25">
      <c r="A11" t="str">
        <f t="shared" si="0"/>
        <v>TRIP-HR-052</v>
      </c>
      <c r="B11" s="17">
        <v>45692</v>
      </c>
      <c r="C11" s="3" t="str">
        <f>_xlfn.XLOOKUP(D11,'[1]Jan Customer Duplicate Hyva'!$B:$B,'[1]Jan Customer Duplicate Hyva'!$A:$A,"NOT FOUND")</f>
        <v>CUST-218</v>
      </c>
      <c r="D11" s="18" t="s">
        <v>60</v>
      </c>
      <c r="E11" s="18" t="s">
        <v>26</v>
      </c>
      <c r="F11" s="5" t="str">
        <f t="shared" si="1"/>
        <v>Anshu</v>
      </c>
      <c r="G11" s="5" t="str">
        <f t="shared" si="2"/>
        <v/>
      </c>
      <c r="H11" s="5" t="str">
        <f t="shared" si="3"/>
        <v/>
      </c>
      <c r="I11" s="5" t="str">
        <f>_xlfn.XLOOKUP(F11,'[1]Jan Labour Nd Drivers Hyva'!$B:$B,'[2]Jan Labour Nd Drivers Hyva'!$A:$A,"NOT FOUND")</f>
        <v>LAB-002</v>
      </c>
      <c r="J11" s="5" t="str">
        <f>IF(G11="","",_xlfn.XLOOKUP(G11,'[3]Jan Labour Nd Drivers Hyva'!$B:$B,'[2]Jan Labour Nd Drivers Hyva'!$A:$A,"NOT FOUND"))</f>
        <v/>
      </c>
      <c r="K11" s="5" t="str">
        <f>IF(H11="","",_xlfn.XLOOKUP(H11,'[2]Jan Labour Nd Drivers Hyva'!$B:$B,'[2]Jan Labour Nd Drivers Hyva'!$A:$A,"NOT FOUND"))</f>
        <v/>
      </c>
      <c r="L11" s="18" t="s">
        <v>108</v>
      </c>
      <c r="M11" s="19">
        <v>2</v>
      </c>
      <c r="N11" s="20">
        <v>3000</v>
      </c>
      <c r="O11" s="20">
        <f t="shared" si="4"/>
        <v>6000</v>
      </c>
      <c r="P11" s="20">
        <v>6000</v>
      </c>
      <c r="Q11" s="20">
        <f t="shared" si="5"/>
        <v>0</v>
      </c>
      <c r="R11" s="3" t="str">
        <f t="shared" si="6"/>
        <v>PAID</v>
      </c>
      <c r="S11" s="3"/>
      <c r="T11" s="3">
        <f t="shared" si="7"/>
        <v>6000</v>
      </c>
      <c r="U11" s="3" t="str">
        <f t="shared" si="8"/>
        <v>OK</v>
      </c>
      <c r="V11" s="21">
        <f t="shared" si="9"/>
        <v>0</v>
      </c>
      <c r="W11" s="3" t="str">
        <f t="shared" si="10"/>
        <v>OK</v>
      </c>
      <c r="X11" s="3" t="s">
        <v>370</v>
      </c>
    </row>
    <row r="12" spans="1:24" ht="19" x14ac:dyDescent="0.25">
      <c r="A12" t="str">
        <f t="shared" si="0"/>
        <v>TRIP-HR-053</v>
      </c>
      <c r="B12" s="17">
        <v>45692</v>
      </c>
      <c r="C12" s="3" t="str">
        <f>_xlfn.XLOOKUP(D12,'[1]Jan Customer Duplicate Hyva'!$B:$B,'[1]Jan Customer Duplicate Hyva'!$A:$A,"NOT FOUND")</f>
        <v>CUST-218</v>
      </c>
      <c r="D12" s="18" t="s">
        <v>60</v>
      </c>
      <c r="E12" s="18" t="s">
        <v>30</v>
      </c>
      <c r="F12" s="5" t="str">
        <f t="shared" si="1"/>
        <v>Ravi</v>
      </c>
      <c r="G12" s="5" t="str">
        <f t="shared" si="2"/>
        <v/>
      </c>
      <c r="H12" s="5" t="str">
        <f t="shared" si="3"/>
        <v/>
      </c>
      <c r="I12" s="5" t="str">
        <f>_xlfn.XLOOKUP(F12,'[1]Jan Labour Nd Drivers Hyva'!$B:$B,'[2]Jan Labour Nd Drivers Hyva'!$A:$A,"NOT FOUND")</f>
        <v>LAB-003</v>
      </c>
      <c r="J12" s="5" t="str">
        <f>IF(G12="","",_xlfn.XLOOKUP(G12,'[3]Jan Labour Nd Drivers Hyva'!$B:$B,'[2]Jan Labour Nd Drivers Hyva'!$A:$A,"NOT FOUND"))</f>
        <v/>
      </c>
      <c r="K12" s="5" t="str">
        <f>IF(H12="","",_xlfn.XLOOKUP(H12,'[2]Jan Labour Nd Drivers Hyva'!$B:$B,'[2]Jan Labour Nd Drivers Hyva'!$A:$A,"NOT FOUND"))</f>
        <v/>
      </c>
      <c r="L12" s="18" t="s">
        <v>108</v>
      </c>
      <c r="M12" s="19">
        <v>1</v>
      </c>
      <c r="N12" s="20">
        <v>3000</v>
      </c>
      <c r="O12" s="20">
        <f t="shared" si="4"/>
        <v>3000</v>
      </c>
      <c r="P12" s="20">
        <v>3000</v>
      </c>
      <c r="Q12" s="20">
        <f t="shared" si="5"/>
        <v>0</v>
      </c>
      <c r="R12" s="3" t="str">
        <f t="shared" si="6"/>
        <v>PAID</v>
      </c>
      <c r="S12" s="3"/>
      <c r="T12" s="3">
        <f t="shared" si="7"/>
        <v>3000</v>
      </c>
      <c r="U12" s="3" t="str">
        <f t="shared" si="8"/>
        <v>OK</v>
      </c>
      <c r="V12" s="21">
        <f t="shared" si="9"/>
        <v>0</v>
      </c>
      <c r="W12" s="3" t="str">
        <f t="shared" si="10"/>
        <v>OK</v>
      </c>
      <c r="X12" s="3" t="s">
        <v>370</v>
      </c>
    </row>
    <row r="13" spans="1:24" ht="19" x14ac:dyDescent="0.25">
      <c r="A13" t="str">
        <f t="shared" si="0"/>
        <v>TRIP-HR-054</v>
      </c>
      <c r="B13" s="17">
        <v>45697</v>
      </c>
      <c r="C13" s="3" t="str">
        <f>_xlfn.XLOOKUP(D13,'[1]Jan Customer Duplicate Hyva'!$B:$B,'[1]Jan Customer Duplicate Hyva'!$A:$A,"NOT FOUND")</f>
        <v>CUST-051</v>
      </c>
      <c r="D13" s="18" t="s">
        <v>374</v>
      </c>
      <c r="E13" s="18" t="s">
        <v>30</v>
      </c>
      <c r="F13" s="5" t="str">
        <f t="shared" si="1"/>
        <v>Ravi</v>
      </c>
      <c r="G13" s="5" t="str">
        <f t="shared" si="2"/>
        <v/>
      </c>
      <c r="H13" s="5" t="str">
        <f t="shared" si="3"/>
        <v/>
      </c>
      <c r="I13" s="5" t="str">
        <f>_xlfn.XLOOKUP(F13,'[1]Jan Labour Nd Drivers Hyva'!$B:$B,'[2]Jan Labour Nd Drivers Hyva'!$A:$A,"NOT FOUND")</f>
        <v>LAB-003</v>
      </c>
      <c r="J13" s="5" t="str">
        <f>IF(G13="","",_xlfn.XLOOKUP(G13,'[3]Jan Labour Nd Drivers Hyva'!$B:$B,'[2]Jan Labour Nd Drivers Hyva'!$A:$A,"NOT FOUND"))</f>
        <v/>
      </c>
      <c r="K13" s="5" t="str">
        <f>IF(H13="","",_xlfn.XLOOKUP(H13,'[2]Jan Labour Nd Drivers Hyva'!$B:$B,'[2]Jan Labour Nd Drivers Hyva'!$A:$A,"NOT FOUND"))</f>
        <v/>
      </c>
      <c r="L13" s="18" t="s">
        <v>375</v>
      </c>
      <c r="M13" s="19">
        <v>1</v>
      </c>
      <c r="N13" s="20">
        <v>3000</v>
      </c>
      <c r="O13" s="20">
        <f t="shared" si="4"/>
        <v>3000</v>
      </c>
      <c r="P13" s="20">
        <v>3000</v>
      </c>
      <c r="Q13" s="20">
        <f t="shared" si="5"/>
        <v>0</v>
      </c>
      <c r="R13" s="3" t="str">
        <f t="shared" si="6"/>
        <v>PAID</v>
      </c>
      <c r="S13" s="3"/>
      <c r="T13" s="3">
        <f t="shared" si="7"/>
        <v>3000</v>
      </c>
      <c r="U13" s="3" t="str">
        <f t="shared" si="8"/>
        <v>OK</v>
      </c>
      <c r="V13" s="21">
        <f t="shared" si="9"/>
        <v>0</v>
      </c>
      <c r="W13" s="3" t="str">
        <f t="shared" si="10"/>
        <v>OK</v>
      </c>
      <c r="X13" s="3" t="s">
        <v>370</v>
      </c>
    </row>
    <row r="14" spans="1:24" ht="19" x14ac:dyDescent="0.25">
      <c r="A14" t="str">
        <f t="shared" si="0"/>
        <v>TRIP-HR-055</v>
      </c>
      <c r="B14" s="17">
        <v>45697</v>
      </c>
      <c r="C14" s="3" t="str">
        <f>_xlfn.XLOOKUP(D14,'[1]Jan Customer Duplicate Hyva'!$B:$B,'[1]Jan Customer Duplicate Hyva'!$A:$A,"NOT FOUND")</f>
        <v>NOT FOUND</v>
      </c>
      <c r="D14" s="18" t="s">
        <v>376</v>
      </c>
      <c r="E14" s="18" t="s">
        <v>30</v>
      </c>
      <c r="F14" s="5" t="str">
        <f t="shared" si="1"/>
        <v>Ravi</v>
      </c>
      <c r="G14" s="5" t="str">
        <f t="shared" si="2"/>
        <v/>
      </c>
      <c r="H14" s="5" t="str">
        <f t="shared" si="3"/>
        <v/>
      </c>
      <c r="I14" s="5" t="str">
        <f>_xlfn.XLOOKUP(F14,'[1]Jan Labour Nd Drivers Hyva'!$B:$B,'[2]Jan Labour Nd Drivers Hyva'!$A:$A,"NOT FOUND")</f>
        <v>LAB-003</v>
      </c>
      <c r="J14" s="5" t="str">
        <f>IF(G14="","",_xlfn.XLOOKUP(G14,'[3]Jan Labour Nd Drivers Hyva'!$B:$B,'[2]Jan Labour Nd Drivers Hyva'!$A:$A,"NOT FOUND"))</f>
        <v/>
      </c>
      <c r="K14" s="5" t="str">
        <f>IF(H14="","",_xlfn.XLOOKUP(H14,'[2]Jan Labour Nd Drivers Hyva'!$B:$B,'[2]Jan Labour Nd Drivers Hyva'!$A:$A,"NOT FOUND"))</f>
        <v/>
      </c>
      <c r="L14" s="18" t="s">
        <v>33</v>
      </c>
      <c r="M14" s="19">
        <v>1</v>
      </c>
      <c r="N14" s="20">
        <v>2500</v>
      </c>
      <c r="O14" s="20">
        <f t="shared" si="4"/>
        <v>2500</v>
      </c>
      <c r="P14" s="20"/>
      <c r="Q14" s="20">
        <f t="shared" si="5"/>
        <v>2500</v>
      </c>
      <c r="R14" s="3" t="str">
        <f t="shared" si="6"/>
        <v>UNPAID</v>
      </c>
      <c r="S14" s="3"/>
      <c r="T14" s="3">
        <f t="shared" si="7"/>
        <v>2500</v>
      </c>
      <c r="U14" s="3" t="str">
        <f t="shared" si="8"/>
        <v>OK</v>
      </c>
      <c r="V14" s="21">
        <f t="shared" si="9"/>
        <v>2500</v>
      </c>
      <c r="W14" s="3" t="str">
        <f t="shared" si="10"/>
        <v>OK</v>
      </c>
      <c r="X14" s="3" t="s">
        <v>370</v>
      </c>
    </row>
    <row r="15" spans="1:24" ht="19" x14ac:dyDescent="0.25">
      <c r="A15" t="str">
        <f t="shared" si="0"/>
        <v>TRIP-HR-056</v>
      </c>
      <c r="B15" s="17">
        <v>45718</v>
      </c>
      <c r="C15" s="3" t="str">
        <f>_xlfn.XLOOKUP(D15,'[1]Jan Customer Duplicate Hyva'!$B:$B,'[1]Jan Customer Duplicate Hyva'!$A:$A,"NOT FOUND")</f>
        <v>CUST-218</v>
      </c>
      <c r="D15" s="18" t="s">
        <v>60</v>
      </c>
      <c r="E15" s="18" t="s">
        <v>30</v>
      </c>
      <c r="F15" s="5" t="str">
        <f t="shared" si="1"/>
        <v>Ravi</v>
      </c>
      <c r="G15" s="5" t="str">
        <f t="shared" si="2"/>
        <v/>
      </c>
      <c r="H15" s="5" t="str">
        <f t="shared" si="3"/>
        <v/>
      </c>
      <c r="I15" s="5" t="str">
        <f>_xlfn.XLOOKUP(F15,'[1]Jan Labour Nd Drivers Hyva'!$B:$B,'[2]Jan Labour Nd Drivers Hyva'!$A:$A,"NOT FOUND")</f>
        <v>LAB-003</v>
      </c>
      <c r="J15" s="5" t="str">
        <f>IF(G15="","",_xlfn.XLOOKUP(G15,'[3]Jan Labour Nd Drivers Hyva'!$B:$B,'[2]Jan Labour Nd Drivers Hyva'!$A:$A,"NOT FOUND"))</f>
        <v/>
      </c>
      <c r="K15" s="5" t="str">
        <f>IF(H15="","",_xlfn.XLOOKUP(H15,'[2]Jan Labour Nd Drivers Hyva'!$B:$B,'[2]Jan Labour Nd Drivers Hyva'!$A:$A,"NOT FOUND"))</f>
        <v/>
      </c>
      <c r="L15" s="18" t="s">
        <v>61</v>
      </c>
      <c r="M15" s="19">
        <v>1</v>
      </c>
      <c r="N15" s="20">
        <v>3000</v>
      </c>
      <c r="O15" s="20">
        <f t="shared" si="4"/>
        <v>3000</v>
      </c>
      <c r="P15" s="20">
        <v>3000</v>
      </c>
      <c r="Q15" s="20">
        <f t="shared" si="5"/>
        <v>0</v>
      </c>
      <c r="R15" s="3" t="str">
        <f t="shared" si="6"/>
        <v>PAID</v>
      </c>
      <c r="S15" s="3"/>
      <c r="T15" s="3">
        <f t="shared" si="7"/>
        <v>3000</v>
      </c>
      <c r="U15" s="3" t="str">
        <f t="shared" si="8"/>
        <v>OK</v>
      </c>
      <c r="V15" s="21">
        <f t="shared" si="9"/>
        <v>0</v>
      </c>
      <c r="W15" s="3" t="str">
        <f t="shared" si="10"/>
        <v>OK</v>
      </c>
      <c r="X15" s="3" t="s">
        <v>370</v>
      </c>
    </row>
    <row r="16" spans="1:24" ht="19" x14ac:dyDescent="0.25">
      <c r="A16" t="str">
        <f t="shared" si="0"/>
        <v>TRIP-HR-057</v>
      </c>
      <c r="B16" s="17">
        <v>45719</v>
      </c>
      <c r="C16" s="3" t="str">
        <f>_xlfn.XLOOKUP(D16,'[1]Jan Customer Duplicate Hyva'!$B:$B,'[1]Jan Customer Duplicate Hyva'!$A:$A,"NOT FOUND")</f>
        <v>CUST-218</v>
      </c>
      <c r="D16" s="18" t="s">
        <v>60</v>
      </c>
      <c r="E16" s="18" t="s">
        <v>30</v>
      </c>
      <c r="F16" s="5" t="str">
        <f t="shared" si="1"/>
        <v>Ravi</v>
      </c>
      <c r="G16" s="5" t="str">
        <f t="shared" si="2"/>
        <v/>
      </c>
      <c r="H16" s="5" t="str">
        <f t="shared" si="3"/>
        <v/>
      </c>
      <c r="I16" s="5" t="str">
        <f>_xlfn.XLOOKUP(F16,'[1]Jan Labour Nd Drivers Hyva'!$B:$B,'[2]Jan Labour Nd Drivers Hyva'!$A:$A,"NOT FOUND")</f>
        <v>LAB-003</v>
      </c>
      <c r="J16" s="5" t="str">
        <f>IF(G16="","",_xlfn.XLOOKUP(G16,'[3]Jan Labour Nd Drivers Hyva'!$B:$B,'[2]Jan Labour Nd Drivers Hyva'!$A:$A,"NOT FOUND"))</f>
        <v/>
      </c>
      <c r="K16" s="5" t="str">
        <f>IF(H16="","",_xlfn.XLOOKUP(H16,'[2]Jan Labour Nd Drivers Hyva'!$B:$B,'[2]Jan Labour Nd Drivers Hyva'!$A:$A,"NOT FOUND"))</f>
        <v/>
      </c>
      <c r="L16" s="18" t="s">
        <v>61</v>
      </c>
      <c r="M16" s="19">
        <v>1</v>
      </c>
      <c r="N16" s="20">
        <v>3000</v>
      </c>
      <c r="O16" s="20">
        <f t="shared" si="4"/>
        <v>3000</v>
      </c>
      <c r="P16" s="20">
        <v>3000</v>
      </c>
      <c r="Q16" s="20">
        <f t="shared" si="5"/>
        <v>0</v>
      </c>
      <c r="R16" s="3" t="str">
        <f t="shared" si="6"/>
        <v>PAID</v>
      </c>
      <c r="S16" s="3"/>
      <c r="T16" s="3">
        <f t="shared" si="7"/>
        <v>3000</v>
      </c>
      <c r="U16" s="3" t="str">
        <f t="shared" si="8"/>
        <v>OK</v>
      </c>
      <c r="V16" s="21">
        <f t="shared" si="9"/>
        <v>0</v>
      </c>
      <c r="W16" s="3" t="str">
        <f t="shared" si="10"/>
        <v>OK</v>
      </c>
      <c r="X16" s="3" t="s">
        <v>370</v>
      </c>
    </row>
    <row r="17" spans="1:24" ht="19" x14ac:dyDescent="0.25">
      <c r="A17" t="str">
        <f t="shared" si="0"/>
        <v>TRIP-HR-058</v>
      </c>
      <c r="B17" s="17">
        <v>45719</v>
      </c>
      <c r="C17" s="3" t="str">
        <f>_xlfn.XLOOKUP(D17,'[1]Jan Customer Duplicate Hyva'!$B:$B,'[1]Jan Customer Duplicate Hyva'!$A:$A,"NOT FOUND")</f>
        <v>CUST-218</v>
      </c>
      <c r="D17" s="18" t="s">
        <v>60</v>
      </c>
      <c r="E17" s="18" t="s">
        <v>30</v>
      </c>
      <c r="F17" s="5" t="str">
        <f t="shared" si="1"/>
        <v>Ravi</v>
      </c>
      <c r="G17" s="5" t="str">
        <f t="shared" si="2"/>
        <v/>
      </c>
      <c r="H17" s="5" t="str">
        <f t="shared" si="3"/>
        <v/>
      </c>
      <c r="I17" s="5" t="str">
        <f>_xlfn.XLOOKUP(F17,'[1]Jan Labour Nd Drivers Hyva'!$B:$B,'[2]Jan Labour Nd Drivers Hyva'!$A:$A,"NOT FOUND")</f>
        <v>LAB-003</v>
      </c>
      <c r="J17" s="5" t="str">
        <f>IF(G17="","",_xlfn.XLOOKUP(G17,'[3]Jan Labour Nd Drivers Hyva'!$B:$B,'[2]Jan Labour Nd Drivers Hyva'!$A:$A,"NOT FOUND"))</f>
        <v/>
      </c>
      <c r="K17" s="5" t="str">
        <f>IF(H17="","",_xlfn.XLOOKUP(H17,'[2]Jan Labour Nd Drivers Hyva'!$B:$B,'[2]Jan Labour Nd Drivers Hyva'!$A:$A,"NOT FOUND"))</f>
        <v/>
      </c>
      <c r="L17" s="18" t="s">
        <v>184</v>
      </c>
      <c r="M17" s="19">
        <v>1</v>
      </c>
      <c r="N17" s="20">
        <v>3000</v>
      </c>
      <c r="O17" s="20">
        <f t="shared" si="4"/>
        <v>3000</v>
      </c>
      <c r="P17" s="20">
        <v>3000</v>
      </c>
      <c r="Q17" s="20">
        <f t="shared" si="5"/>
        <v>0</v>
      </c>
      <c r="R17" s="3" t="str">
        <f t="shared" si="6"/>
        <v>PAID</v>
      </c>
      <c r="S17" s="3"/>
      <c r="T17" s="3">
        <f t="shared" si="7"/>
        <v>3000</v>
      </c>
      <c r="U17" s="3" t="str">
        <f t="shared" si="8"/>
        <v>OK</v>
      </c>
      <c r="V17" s="21">
        <f t="shared" si="9"/>
        <v>0</v>
      </c>
      <c r="W17" s="3" t="str">
        <f t="shared" si="10"/>
        <v>OK</v>
      </c>
      <c r="X17" s="3" t="s">
        <v>370</v>
      </c>
    </row>
    <row r="18" spans="1:24" ht="19" x14ac:dyDescent="0.25">
      <c r="A18" t="str">
        <f t="shared" si="0"/>
        <v>TRIP-HR-059</v>
      </c>
      <c r="B18" s="17">
        <v>45719</v>
      </c>
      <c r="C18" s="3" t="str">
        <f>_xlfn.XLOOKUP(D18,'[1]Jan Customer Duplicate Hyva'!$B:$B,'[1]Jan Customer Duplicate Hyva'!$A:$A,"NOT FOUND")</f>
        <v>CUST-218</v>
      </c>
      <c r="D18" s="18" t="s">
        <v>60</v>
      </c>
      <c r="E18" s="18" t="s">
        <v>26</v>
      </c>
      <c r="F18" s="5" t="str">
        <f t="shared" si="1"/>
        <v>Anshu</v>
      </c>
      <c r="G18" s="5" t="str">
        <f t="shared" si="2"/>
        <v/>
      </c>
      <c r="H18" s="5" t="str">
        <f t="shared" si="3"/>
        <v/>
      </c>
      <c r="I18" s="5" t="str">
        <f>_xlfn.XLOOKUP(F18,'[1]Jan Labour Nd Drivers Hyva'!$B:$B,'[2]Jan Labour Nd Drivers Hyva'!$A:$A,"NOT FOUND")</f>
        <v>LAB-002</v>
      </c>
      <c r="J18" s="5" t="str">
        <f>IF(G18="","",_xlfn.XLOOKUP(G18,'[3]Jan Labour Nd Drivers Hyva'!$B:$B,'[2]Jan Labour Nd Drivers Hyva'!$A:$A,"NOT FOUND"))</f>
        <v/>
      </c>
      <c r="K18" s="5" t="str">
        <f>IF(H18="","",_xlfn.XLOOKUP(H18,'[2]Jan Labour Nd Drivers Hyva'!$B:$B,'[2]Jan Labour Nd Drivers Hyva'!$A:$A,"NOT FOUND"))</f>
        <v/>
      </c>
      <c r="L18" s="18" t="s">
        <v>108</v>
      </c>
      <c r="M18" s="19">
        <v>2</v>
      </c>
      <c r="N18" s="20">
        <v>3000</v>
      </c>
      <c r="O18" s="20">
        <f t="shared" si="4"/>
        <v>6000</v>
      </c>
      <c r="P18" s="20">
        <v>6000</v>
      </c>
      <c r="Q18" s="20">
        <f t="shared" si="5"/>
        <v>0</v>
      </c>
      <c r="R18" s="3" t="str">
        <f t="shared" si="6"/>
        <v>PAID</v>
      </c>
      <c r="S18" s="3"/>
      <c r="T18" s="3">
        <f t="shared" si="7"/>
        <v>6000</v>
      </c>
      <c r="U18" s="3" t="str">
        <f t="shared" si="8"/>
        <v>OK</v>
      </c>
      <c r="V18" s="21">
        <f t="shared" si="9"/>
        <v>0</v>
      </c>
      <c r="W18" s="3" t="str">
        <f t="shared" si="10"/>
        <v>OK</v>
      </c>
      <c r="X18" s="3" t="s">
        <v>370</v>
      </c>
    </row>
    <row r="19" spans="1:24" ht="19" x14ac:dyDescent="0.25">
      <c r="A19" t="str">
        <f t="shared" si="0"/>
        <v>TRIP-HR-060</v>
      </c>
      <c r="B19" s="17">
        <v>45732</v>
      </c>
      <c r="C19" s="3" t="str">
        <f>_xlfn.XLOOKUP(D19,'[1]Jan Customer Duplicate Hyva'!$B:$B,'[1]Jan Customer Duplicate Hyva'!$A:$A,"NOT FOUND")</f>
        <v>CUST-377</v>
      </c>
      <c r="D19" s="18" t="s">
        <v>377</v>
      </c>
      <c r="E19" s="18" t="s">
        <v>55</v>
      </c>
      <c r="F19" s="5" t="str">
        <f t="shared" si="1"/>
        <v>Gaju Bhau</v>
      </c>
      <c r="G19" s="5" t="str">
        <f t="shared" si="2"/>
        <v/>
      </c>
      <c r="H19" s="5" t="str">
        <f t="shared" si="3"/>
        <v/>
      </c>
      <c r="I19" s="5" t="str">
        <f>_xlfn.XLOOKUP(F19,'[1]Jan Labour Nd Drivers Hyva'!$B:$B,'[2]Jan Labour Nd Drivers Hyva'!$A:$A,"NOT FOUND")</f>
        <v>LAB-001</v>
      </c>
      <c r="J19" s="5" t="str">
        <f>IF(G19="","",_xlfn.XLOOKUP(G19,'[3]Jan Labour Nd Drivers Hyva'!$B:$B,'[2]Jan Labour Nd Drivers Hyva'!$A:$A,"NOT FOUND"))</f>
        <v/>
      </c>
      <c r="K19" s="5" t="str">
        <f>IF(H19="","",_xlfn.XLOOKUP(H19,'[2]Jan Labour Nd Drivers Hyva'!$B:$B,'[2]Jan Labour Nd Drivers Hyva'!$A:$A,"NOT FOUND"))</f>
        <v/>
      </c>
      <c r="L19" s="18" t="s">
        <v>56</v>
      </c>
      <c r="M19" s="19">
        <v>2</v>
      </c>
      <c r="N19" s="20">
        <v>3200</v>
      </c>
      <c r="O19" s="20">
        <f t="shared" si="4"/>
        <v>6400</v>
      </c>
      <c r="P19" s="20">
        <v>6400</v>
      </c>
      <c r="Q19" s="20">
        <f t="shared" si="5"/>
        <v>0</v>
      </c>
      <c r="R19" s="3" t="str">
        <f t="shared" si="6"/>
        <v>PAID</v>
      </c>
      <c r="S19" s="3"/>
      <c r="T19" s="3">
        <f t="shared" si="7"/>
        <v>6400</v>
      </c>
      <c r="U19" s="3" t="str">
        <f t="shared" si="8"/>
        <v>OK</v>
      </c>
      <c r="V19" s="21">
        <f t="shared" si="9"/>
        <v>0</v>
      </c>
      <c r="W19" s="3" t="str">
        <f t="shared" si="10"/>
        <v>OK</v>
      </c>
      <c r="X19" s="3" t="s">
        <v>370</v>
      </c>
    </row>
    <row r="20" spans="1:24" ht="19" x14ac:dyDescent="0.25">
      <c r="A20" t="str">
        <f t="shared" si="0"/>
        <v>TRIP-HR-061</v>
      </c>
      <c r="B20" s="17">
        <v>45732</v>
      </c>
      <c r="C20" s="3" t="str">
        <f>_xlfn.XLOOKUP(D20,'[1]Jan Customer Duplicate Hyva'!$B:$B,'[1]Jan Customer Duplicate Hyva'!$A:$A,"NOT FOUND")</f>
        <v>CUST-253</v>
      </c>
      <c r="D20" s="18" t="s">
        <v>148</v>
      </c>
      <c r="E20" s="18" t="s">
        <v>55</v>
      </c>
      <c r="F20" s="5" t="str">
        <f t="shared" si="1"/>
        <v>Gaju Bhau</v>
      </c>
      <c r="G20" s="5" t="str">
        <f t="shared" si="2"/>
        <v/>
      </c>
      <c r="H20" s="5" t="str">
        <f t="shared" si="3"/>
        <v/>
      </c>
      <c r="I20" s="5" t="str">
        <f>_xlfn.XLOOKUP(F20,'[1]Jan Labour Nd Drivers Hyva'!$B:$B,'[2]Jan Labour Nd Drivers Hyva'!$A:$A,"NOT FOUND")</f>
        <v>LAB-001</v>
      </c>
      <c r="J20" s="5" t="str">
        <f>IF(G20="","",_xlfn.XLOOKUP(G20,'[3]Jan Labour Nd Drivers Hyva'!$B:$B,'[2]Jan Labour Nd Drivers Hyva'!$A:$A,"NOT FOUND"))</f>
        <v/>
      </c>
      <c r="K20" s="5" t="str">
        <f>IF(H20="","",_xlfn.XLOOKUP(H20,'[2]Jan Labour Nd Drivers Hyva'!$B:$B,'[2]Jan Labour Nd Drivers Hyva'!$A:$A,"NOT FOUND"))</f>
        <v/>
      </c>
      <c r="L20" s="18" t="s">
        <v>142</v>
      </c>
      <c r="M20" s="19">
        <v>1</v>
      </c>
      <c r="N20" s="20">
        <v>3300</v>
      </c>
      <c r="O20" s="20">
        <f t="shared" si="4"/>
        <v>3300</v>
      </c>
      <c r="P20" s="20">
        <v>3300</v>
      </c>
      <c r="Q20" s="20">
        <f t="shared" si="5"/>
        <v>0</v>
      </c>
      <c r="R20" s="3" t="str">
        <f t="shared" si="6"/>
        <v>PAID</v>
      </c>
      <c r="S20" s="3"/>
      <c r="T20" s="3">
        <f t="shared" si="7"/>
        <v>3300</v>
      </c>
      <c r="U20" s="3" t="str">
        <f t="shared" si="8"/>
        <v>OK</v>
      </c>
      <c r="V20" s="21">
        <f t="shared" si="9"/>
        <v>0</v>
      </c>
      <c r="W20" s="3" t="str">
        <f t="shared" si="10"/>
        <v>OK</v>
      </c>
      <c r="X20" s="3" t="s">
        <v>370</v>
      </c>
    </row>
    <row r="21" spans="1:24" ht="19" x14ac:dyDescent="0.25">
      <c r="A21" t="str">
        <f t="shared" si="0"/>
        <v>TRIP-HR-062</v>
      </c>
      <c r="B21" s="17">
        <v>45733</v>
      </c>
      <c r="C21" s="3" t="str">
        <f>_xlfn.XLOOKUP(D21,'[1]Jan Customer Duplicate Hyva'!$B:$B,'[1]Jan Customer Duplicate Hyva'!$A:$A,"NOT FOUND")</f>
        <v>CUST-377</v>
      </c>
      <c r="D21" s="18" t="s">
        <v>377</v>
      </c>
      <c r="E21" s="18" t="s">
        <v>26</v>
      </c>
      <c r="F21" s="5" t="str">
        <f t="shared" si="1"/>
        <v>Anshu</v>
      </c>
      <c r="G21" s="5" t="str">
        <f t="shared" si="2"/>
        <v/>
      </c>
      <c r="H21" s="5" t="str">
        <f t="shared" si="3"/>
        <v/>
      </c>
      <c r="I21" s="5" t="str">
        <f>_xlfn.XLOOKUP(F21,'[1]Jan Labour Nd Drivers Hyva'!$B:$B,'[2]Jan Labour Nd Drivers Hyva'!$A:$A,"NOT FOUND")</f>
        <v>LAB-002</v>
      </c>
      <c r="J21" s="5" t="str">
        <f>IF(G21="","",_xlfn.XLOOKUP(G21,'[3]Jan Labour Nd Drivers Hyva'!$B:$B,'[2]Jan Labour Nd Drivers Hyva'!$A:$A,"NOT FOUND"))</f>
        <v/>
      </c>
      <c r="K21" s="5" t="str">
        <f>IF(H21="","",_xlfn.XLOOKUP(H21,'[2]Jan Labour Nd Drivers Hyva'!$B:$B,'[2]Jan Labour Nd Drivers Hyva'!$A:$A,"NOT FOUND"))</f>
        <v/>
      </c>
      <c r="L21" s="18" t="s">
        <v>56</v>
      </c>
      <c r="M21" s="19">
        <v>6</v>
      </c>
      <c r="N21" s="20">
        <v>3200</v>
      </c>
      <c r="O21" s="20">
        <f t="shared" si="4"/>
        <v>19200</v>
      </c>
      <c r="P21" s="20">
        <v>19200</v>
      </c>
      <c r="Q21" s="20">
        <f t="shared" si="5"/>
        <v>0</v>
      </c>
      <c r="R21" s="3" t="str">
        <f t="shared" si="6"/>
        <v>PAID</v>
      </c>
      <c r="S21" s="3"/>
      <c r="T21" s="3">
        <f t="shared" si="7"/>
        <v>19200</v>
      </c>
      <c r="U21" s="3" t="str">
        <f t="shared" si="8"/>
        <v>OK</v>
      </c>
      <c r="V21" s="21">
        <f t="shared" si="9"/>
        <v>0</v>
      </c>
      <c r="W21" s="3" t="str">
        <f t="shared" si="10"/>
        <v>OK</v>
      </c>
      <c r="X21" s="3" t="s">
        <v>370</v>
      </c>
    </row>
    <row r="22" spans="1:24" ht="19" x14ac:dyDescent="0.25">
      <c r="A22" t="str">
        <f t="shared" si="0"/>
        <v>TRIP-HR-063</v>
      </c>
      <c r="B22" s="17">
        <v>45734</v>
      </c>
      <c r="C22" s="3" t="str">
        <f>_xlfn.XLOOKUP(D22,'[1]Jan Customer Duplicate Hyva'!$B:$B,'[1]Jan Customer Duplicate Hyva'!$A:$A,"NOT FOUND")</f>
        <v>CUST-377</v>
      </c>
      <c r="D22" s="18" t="s">
        <v>377</v>
      </c>
      <c r="E22" s="18" t="s">
        <v>26</v>
      </c>
      <c r="F22" s="5" t="str">
        <f t="shared" si="1"/>
        <v>Anshu</v>
      </c>
      <c r="G22" s="5" t="str">
        <f t="shared" si="2"/>
        <v/>
      </c>
      <c r="H22" s="5" t="str">
        <f t="shared" si="3"/>
        <v/>
      </c>
      <c r="I22" s="5" t="str">
        <f>_xlfn.XLOOKUP(F22,'[1]Jan Labour Nd Drivers Hyva'!$B:$B,'[2]Jan Labour Nd Drivers Hyva'!$A:$A,"NOT FOUND")</f>
        <v>LAB-002</v>
      </c>
      <c r="J22" s="5" t="str">
        <f>IF(G22="","",_xlfn.XLOOKUP(G22,'[3]Jan Labour Nd Drivers Hyva'!$B:$B,'[2]Jan Labour Nd Drivers Hyva'!$A:$A,"NOT FOUND"))</f>
        <v/>
      </c>
      <c r="K22" s="5" t="str">
        <f>IF(H22="","",_xlfn.XLOOKUP(H22,'[2]Jan Labour Nd Drivers Hyva'!$B:$B,'[2]Jan Labour Nd Drivers Hyva'!$A:$A,"NOT FOUND"))</f>
        <v/>
      </c>
      <c r="L22" s="18" t="s">
        <v>56</v>
      </c>
      <c r="M22" s="19">
        <v>3</v>
      </c>
      <c r="N22" s="20">
        <v>3200</v>
      </c>
      <c r="O22" s="20">
        <f t="shared" si="4"/>
        <v>9600</v>
      </c>
      <c r="P22" s="20">
        <v>9600</v>
      </c>
      <c r="Q22" s="20">
        <f>O22-P22</f>
        <v>0</v>
      </c>
      <c r="R22" s="3" t="str">
        <f t="shared" si="6"/>
        <v>PAID</v>
      </c>
      <c r="S22" s="3"/>
      <c r="T22" s="3">
        <f t="shared" si="7"/>
        <v>9600</v>
      </c>
      <c r="U22" s="3" t="str">
        <f t="shared" si="8"/>
        <v>OK</v>
      </c>
      <c r="V22" s="21">
        <f t="shared" si="9"/>
        <v>0</v>
      </c>
      <c r="W22" s="3" t="str">
        <f t="shared" si="10"/>
        <v>OK</v>
      </c>
      <c r="X22" s="3" t="s">
        <v>370</v>
      </c>
    </row>
    <row r="23" spans="1:24" ht="19" x14ac:dyDescent="0.25">
      <c r="A23" t="str">
        <f t="shared" si="0"/>
        <v>TRIP-HR-064</v>
      </c>
      <c r="B23" s="17">
        <v>45734</v>
      </c>
      <c r="C23" s="3" t="str">
        <f>_xlfn.XLOOKUP(D23,'[1]Jan Customer Duplicate Hyva'!$B:$B,'[1]Jan Customer Duplicate Hyva'!$A:$A,"NOT FOUND")</f>
        <v>CUST-253</v>
      </c>
      <c r="D23" s="18" t="s">
        <v>148</v>
      </c>
      <c r="E23" s="18" t="s">
        <v>26</v>
      </c>
      <c r="F23" s="5" t="str">
        <f t="shared" si="1"/>
        <v>Anshu</v>
      </c>
      <c r="G23" s="5" t="str">
        <f t="shared" si="2"/>
        <v/>
      </c>
      <c r="H23" s="5" t="str">
        <f t="shared" si="3"/>
        <v/>
      </c>
      <c r="I23" s="5" t="str">
        <f>_xlfn.XLOOKUP(F23,'[1]Jan Labour Nd Drivers Hyva'!$B:$B,'[2]Jan Labour Nd Drivers Hyva'!$A:$A,"NOT FOUND")</f>
        <v>LAB-002</v>
      </c>
      <c r="J23" s="5" t="str">
        <f>IF(G23="","",_xlfn.XLOOKUP(G23,'[3]Jan Labour Nd Drivers Hyva'!$B:$B,'[2]Jan Labour Nd Drivers Hyva'!$A:$A,"NOT FOUND"))</f>
        <v/>
      </c>
      <c r="K23" s="5" t="str">
        <f>IF(H23="","",_xlfn.XLOOKUP(H23,'[2]Jan Labour Nd Drivers Hyva'!$B:$B,'[2]Jan Labour Nd Drivers Hyva'!$A:$A,"NOT FOUND"))</f>
        <v/>
      </c>
      <c r="L23" s="18" t="s">
        <v>142</v>
      </c>
      <c r="M23" s="19">
        <v>2</v>
      </c>
      <c r="N23" s="20">
        <v>3200</v>
      </c>
      <c r="O23" s="20">
        <f t="shared" si="4"/>
        <v>6400</v>
      </c>
      <c r="P23" s="20">
        <v>6400</v>
      </c>
      <c r="Q23" s="20">
        <f t="shared" ref="Q23:Q86" si="11">O23-P23</f>
        <v>0</v>
      </c>
      <c r="R23" s="3" t="str">
        <f t="shared" si="6"/>
        <v>PAID</v>
      </c>
      <c r="S23" s="3"/>
      <c r="T23" s="3">
        <f t="shared" si="7"/>
        <v>6400</v>
      </c>
      <c r="U23" s="3" t="str">
        <f t="shared" si="8"/>
        <v>OK</v>
      </c>
      <c r="V23" s="21">
        <f t="shared" si="9"/>
        <v>0</v>
      </c>
      <c r="W23" s="3" t="str">
        <f t="shared" si="10"/>
        <v>OK</v>
      </c>
      <c r="X23" s="3" t="s">
        <v>370</v>
      </c>
    </row>
    <row r="24" spans="1:24" ht="19" x14ac:dyDescent="0.25">
      <c r="A24" t="str">
        <f t="shared" si="0"/>
        <v>TRIP-HR-065</v>
      </c>
      <c r="B24" s="17">
        <v>45771</v>
      </c>
      <c r="C24" s="3" t="str">
        <f>_xlfn.XLOOKUP(D24,'[1]Jan Customer Duplicate Hyva'!$B:$B,'[1]Jan Customer Duplicate Hyva'!$A:$A,"NOT FOUND")</f>
        <v>NOT FOUND</v>
      </c>
      <c r="D24" s="18" t="s">
        <v>378</v>
      </c>
      <c r="E24" s="18" t="s">
        <v>30</v>
      </c>
      <c r="F24" s="5" t="str">
        <f t="shared" si="1"/>
        <v>Ravi</v>
      </c>
      <c r="G24" s="5" t="str">
        <f t="shared" si="2"/>
        <v/>
      </c>
      <c r="H24" s="5" t="str">
        <f t="shared" si="3"/>
        <v/>
      </c>
      <c r="I24" s="5" t="str">
        <f>_xlfn.XLOOKUP(F24,'[1]Jan Labour Nd Drivers Hyva'!$B:$B,'[2]Jan Labour Nd Drivers Hyva'!$A:$A,"NOT FOUND")</f>
        <v>LAB-003</v>
      </c>
      <c r="J24" s="5" t="str">
        <f>IF(G24="","",_xlfn.XLOOKUP(G24,'[3]Jan Labour Nd Drivers Hyva'!$B:$B,'[2]Jan Labour Nd Drivers Hyva'!$A:$A,"NOT FOUND"))</f>
        <v/>
      </c>
      <c r="K24" s="5" t="str">
        <f>IF(H24="","",_xlfn.XLOOKUP(H24,'[2]Jan Labour Nd Drivers Hyva'!$B:$B,'[2]Jan Labour Nd Drivers Hyva'!$A:$A,"NOT FOUND"))</f>
        <v/>
      </c>
      <c r="L24" s="18" t="s">
        <v>379</v>
      </c>
      <c r="M24" s="19">
        <v>1</v>
      </c>
      <c r="N24" s="20">
        <v>3500</v>
      </c>
      <c r="O24" s="20">
        <f t="shared" si="4"/>
        <v>3500</v>
      </c>
      <c r="P24" s="20">
        <v>3500</v>
      </c>
      <c r="Q24" s="20">
        <f t="shared" si="11"/>
        <v>0</v>
      </c>
      <c r="R24" s="3" t="str">
        <f t="shared" si="6"/>
        <v>PAID</v>
      </c>
      <c r="S24" s="3"/>
      <c r="T24" s="3">
        <f t="shared" si="7"/>
        <v>3500</v>
      </c>
      <c r="U24" s="3" t="str">
        <f t="shared" si="8"/>
        <v>OK</v>
      </c>
      <c r="V24" s="21">
        <f t="shared" si="9"/>
        <v>0</v>
      </c>
      <c r="W24" s="3" t="str">
        <f t="shared" si="10"/>
        <v>OK</v>
      </c>
      <c r="X24" s="3" t="s">
        <v>370</v>
      </c>
    </row>
    <row r="25" spans="1:24" ht="19" x14ac:dyDescent="0.25">
      <c r="A25" t="str">
        <f t="shared" si="0"/>
        <v>TRIP-HR-066</v>
      </c>
      <c r="B25" s="17">
        <v>45779</v>
      </c>
      <c r="C25" s="3" t="str">
        <f>_xlfn.XLOOKUP(D25,'[1]Jan Customer Duplicate Hyva'!$B:$B,'[1]Jan Customer Duplicate Hyva'!$A:$A,"NOT FOUND")</f>
        <v>CUST-207</v>
      </c>
      <c r="D25" s="18" t="s">
        <v>25</v>
      </c>
      <c r="E25" s="18" t="s">
        <v>30</v>
      </c>
      <c r="F25" s="5" t="str">
        <f t="shared" si="1"/>
        <v>Ravi</v>
      </c>
      <c r="G25" s="5" t="str">
        <f t="shared" si="2"/>
        <v/>
      </c>
      <c r="H25" s="5" t="str">
        <f t="shared" si="3"/>
        <v/>
      </c>
      <c r="I25" s="5" t="str">
        <f>_xlfn.XLOOKUP(F25,'[1]Jan Labour Nd Drivers Hyva'!$B:$B,'[2]Jan Labour Nd Drivers Hyva'!$A:$A,"NOT FOUND")</f>
        <v>LAB-003</v>
      </c>
      <c r="J25" s="5" t="str">
        <f>IF(G25="","",_xlfn.XLOOKUP(G25,'[3]Jan Labour Nd Drivers Hyva'!$B:$B,'[2]Jan Labour Nd Drivers Hyva'!$A:$A,"NOT FOUND"))</f>
        <v/>
      </c>
      <c r="K25" s="5" t="str">
        <f>IF(H25="","",_xlfn.XLOOKUP(H25,'[2]Jan Labour Nd Drivers Hyva'!$B:$B,'[2]Jan Labour Nd Drivers Hyva'!$A:$A,"NOT FOUND"))</f>
        <v/>
      </c>
      <c r="L25" s="18" t="s">
        <v>185</v>
      </c>
      <c r="M25" s="19">
        <v>2</v>
      </c>
      <c r="N25" s="20">
        <v>3000</v>
      </c>
      <c r="O25" s="20">
        <f t="shared" si="4"/>
        <v>6000</v>
      </c>
      <c r="P25" s="20">
        <v>6000</v>
      </c>
      <c r="Q25" s="20">
        <f t="shared" si="11"/>
        <v>0</v>
      </c>
      <c r="R25" s="3" t="str">
        <f t="shared" si="6"/>
        <v>PAID</v>
      </c>
      <c r="S25" s="3"/>
      <c r="T25" s="3">
        <f t="shared" si="7"/>
        <v>6000</v>
      </c>
      <c r="U25" s="3" t="str">
        <f t="shared" si="8"/>
        <v>OK</v>
      </c>
      <c r="V25" s="21">
        <f t="shared" si="9"/>
        <v>0</v>
      </c>
      <c r="W25" s="3" t="str">
        <f t="shared" si="10"/>
        <v>OK</v>
      </c>
      <c r="X25" s="3" t="s">
        <v>370</v>
      </c>
    </row>
    <row r="26" spans="1:24" ht="19" x14ac:dyDescent="0.25">
      <c r="A26" t="str">
        <f t="shared" si="0"/>
        <v>TRIP-HR-067</v>
      </c>
      <c r="B26" s="17">
        <v>45780</v>
      </c>
      <c r="C26" s="3" t="str">
        <f>_xlfn.XLOOKUP(D26,'[1]Jan Customer Duplicate Hyva'!$B:$B,'[1]Jan Customer Duplicate Hyva'!$A:$A,"NOT FOUND")</f>
        <v>CUST-063</v>
      </c>
      <c r="D26" s="18" t="s">
        <v>380</v>
      </c>
      <c r="E26" s="18" t="s">
        <v>30</v>
      </c>
      <c r="F26" s="5" t="str">
        <f t="shared" si="1"/>
        <v>Ravi</v>
      </c>
      <c r="G26" s="5" t="str">
        <f t="shared" si="2"/>
        <v/>
      </c>
      <c r="H26" s="5" t="str">
        <f t="shared" si="3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/>
      </c>
      <c r="K26" s="5" t="str">
        <f>IF(H26="","",_xlfn.XLOOKUP(H26,'[2]Jan Labour Nd Drivers Hyva'!$B:$B,'[2]Jan Labour Nd Drivers Hyva'!$A:$A,"NOT FOUND"))</f>
        <v/>
      </c>
      <c r="L26" s="18" t="s">
        <v>126</v>
      </c>
      <c r="M26" s="19">
        <v>2</v>
      </c>
      <c r="N26" s="20">
        <v>3000</v>
      </c>
      <c r="O26" s="20">
        <f t="shared" si="4"/>
        <v>6000</v>
      </c>
      <c r="P26" s="20">
        <v>6000</v>
      </c>
      <c r="Q26" s="20">
        <f t="shared" si="11"/>
        <v>0</v>
      </c>
      <c r="R26" s="3" t="str">
        <f t="shared" si="6"/>
        <v>PAID</v>
      </c>
      <c r="S26" s="3"/>
      <c r="T26" s="3">
        <f t="shared" si="7"/>
        <v>6000</v>
      </c>
      <c r="U26" s="3" t="str">
        <f t="shared" si="8"/>
        <v>OK</v>
      </c>
      <c r="V26" s="21">
        <f t="shared" si="9"/>
        <v>0</v>
      </c>
      <c r="W26" s="3" t="str">
        <f t="shared" si="10"/>
        <v>OK</v>
      </c>
      <c r="X26" s="3" t="s">
        <v>370</v>
      </c>
    </row>
    <row r="27" spans="1:24" ht="19" x14ac:dyDescent="0.25">
      <c r="A27" t="str">
        <f t="shared" si="0"/>
        <v>TRIP-HR-068</v>
      </c>
      <c r="B27" s="17">
        <v>45780</v>
      </c>
      <c r="C27" s="3" t="str">
        <f>_xlfn.XLOOKUP(D27,'[1]Jan Customer Duplicate Hyva'!$B:$B,'[1]Jan Customer Duplicate Hyva'!$A:$A,"NOT FOUND")</f>
        <v>NOT FOUND</v>
      </c>
      <c r="D27" s="18" t="s">
        <v>258</v>
      </c>
      <c r="E27" s="18" t="s">
        <v>30</v>
      </c>
      <c r="F27" s="5" t="str">
        <f t="shared" si="1"/>
        <v>Ravi</v>
      </c>
      <c r="G27" s="5" t="str">
        <f t="shared" si="2"/>
        <v/>
      </c>
      <c r="H27" s="5" t="str">
        <f t="shared" si="3"/>
        <v/>
      </c>
      <c r="I27" s="5" t="str">
        <f>_xlfn.XLOOKUP(F27,'[1]Jan Labour Nd Drivers Hyva'!$B:$B,'[2]Jan Labour Nd Drivers Hyva'!$A:$A,"NOT FOUND")</f>
        <v>LAB-003</v>
      </c>
      <c r="J27" s="5" t="str">
        <f>IF(G27="","",_xlfn.XLOOKUP(G27,'[3]Jan Labour Nd Drivers Hyva'!$B:$B,'[2]Jan Labour Nd Drivers Hyva'!$A:$A,"NOT FOUND"))</f>
        <v/>
      </c>
      <c r="K27" s="5" t="str">
        <f>IF(H27="","",_xlfn.XLOOKUP(H27,'[2]Jan Labour Nd Drivers Hyva'!$B:$B,'[2]Jan Labour Nd Drivers Hyva'!$A:$A,"NOT FOUND"))</f>
        <v/>
      </c>
      <c r="L27" s="18" t="s">
        <v>157</v>
      </c>
      <c r="M27" s="19">
        <v>1</v>
      </c>
      <c r="N27" s="20">
        <v>4000</v>
      </c>
      <c r="O27" s="20">
        <f t="shared" si="4"/>
        <v>4000</v>
      </c>
      <c r="P27" s="20">
        <v>4000</v>
      </c>
      <c r="Q27" s="20">
        <f t="shared" si="11"/>
        <v>0</v>
      </c>
      <c r="R27" s="3" t="str">
        <f t="shared" si="6"/>
        <v>PAID</v>
      </c>
      <c r="S27" s="3"/>
      <c r="T27" s="3">
        <f t="shared" si="7"/>
        <v>4000</v>
      </c>
      <c r="U27" s="3" t="str">
        <f t="shared" si="8"/>
        <v>OK</v>
      </c>
      <c r="V27" s="21">
        <f t="shared" si="9"/>
        <v>0</v>
      </c>
      <c r="W27" s="3" t="str">
        <f t="shared" si="10"/>
        <v>OK</v>
      </c>
      <c r="X27" s="3" t="s">
        <v>370</v>
      </c>
    </row>
    <row r="28" spans="1:24" ht="19" x14ac:dyDescent="0.25">
      <c r="A28" t="str">
        <f t="shared" si="0"/>
        <v>TRIP-HR-069</v>
      </c>
      <c r="B28" s="17">
        <v>45786</v>
      </c>
      <c r="C28" s="3" t="str">
        <f>_xlfn.XLOOKUP(D28,'[1]Jan Customer Duplicate Hyva'!$B:$B,'[1]Jan Customer Duplicate Hyva'!$A:$A,"NOT FOUND")</f>
        <v>CUST-063</v>
      </c>
      <c r="D28" s="18" t="s">
        <v>380</v>
      </c>
      <c r="E28" s="18" t="s">
        <v>26</v>
      </c>
      <c r="F28" s="5" t="str">
        <f t="shared" si="1"/>
        <v>Anshu</v>
      </c>
      <c r="G28" s="5" t="str">
        <f t="shared" si="2"/>
        <v/>
      </c>
      <c r="H28" s="5" t="str">
        <f t="shared" si="3"/>
        <v/>
      </c>
      <c r="I28" s="5" t="str">
        <f>_xlfn.XLOOKUP(F28,'[1]Jan Labour Nd Drivers Hyva'!$B:$B,'[2]Jan Labour Nd Drivers Hyva'!$A:$A,"NOT FOUND")</f>
        <v>LAB-002</v>
      </c>
      <c r="J28" s="5" t="str">
        <f>IF(G28="","",_xlfn.XLOOKUP(G28,'[3]Jan Labour Nd Drivers Hyva'!$B:$B,'[2]Jan Labour Nd Drivers Hyva'!$A:$A,"NOT FOUND"))</f>
        <v/>
      </c>
      <c r="K28" s="5" t="str">
        <f>IF(H28="","",_xlfn.XLOOKUP(H28,'[2]Jan Labour Nd Drivers Hyva'!$B:$B,'[2]Jan Labour Nd Drivers Hyva'!$A:$A,"NOT FOUND"))</f>
        <v/>
      </c>
      <c r="L28" s="18" t="s">
        <v>126</v>
      </c>
      <c r="M28" s="19">
        <v>2</v>
      </c>
      <c r="N28" s="20">
        <v>3000</v>
      </c>
      <c r="O28" s="20">
        <f t="shared" si="4"/>
        <v>6000</v>
      </c>
      <c r="P28" s="20">
        <v>6000</v>
      </c>
      <c r="Q28" s="20">
        <f t="shared" si="11"/>
        <v>0</v>
      </c>
      <c r="R28" s="3" t="str">
        <f t="shared" si="6"/>
        <v>PAID</v>
      </c>
      <c r="S28" s="3"/>
      <c r="T28" s="3">
        <f t="shared" si="7"/>
        <v>6000</v>
      </c>
      <c r="U28" s="3" t="str">
        <f t="shared" si="8"/>
        <v>OK</v>
      </c>
      <c r="V28" s="21">
        <f t="shared" si="9"/>
        <v>0</v>
      </c>
      <c r="W28" s="3" t="str">
        <f t="shared" si="10"/>
        <v>OK</v>
      </c>
      <c r="X28" s="3" t="s">
        <v>370</v>
      </c>
    </row>
    <row r="29" spans="1:24" ht="19" x14ac:dyDescent="0.25">
      <c r="A29" t="str">
        <f t="shared" si="0"/>
        <v>TRIP-HR-070</v>
      </c>
      <c r="B29" s="17">
        <v>45786</v>
      </c>
      <c r="C29" s="3" t="str">
        <f>_xlfn.XLOOKUP(D29,'[1]Jan Customer Duplicate Hyva'!$B:$B,'[1]Jan Customer Duplicate Hyva'!$A:$A,"NOT FOUND")</f>
        <v>CUST-063</v>
      </c>
      <c r="D29" s="18" t="s">
        <v>380</v>
      </c>
      <c r="E29" s="18" t="s">
        <v>30</v>
      </c>
      <c r="F29" s="5" t="str">
        <f t="shared" si="1"/>
        <v>Ravi</v>
      </c>
      <c r="G29" s="5" t="str">
        <f t="shared" si="2"/>
        <v/>
      </c>
      <c r="H29" s="5" t="str">
        <f t="shared" si="3"/>
        <v/>
      </c>
      <c r="I29" s="5" t="str">
        <f>_xlfn.XLOOKUP(F29,'[1]Jan Labour Nd Drivers Hyva'!$B:$B,'[2]Jan Labour Nd Drivers Hyva'!$A:$A,"NOT FOUND")</f>
        <v>LAB-003</v>
      </c>
      <c r="J29" s="5" t="str">
        <f>IF(G29="","",_xlfn.XLOOKUP(G29,'[3]Jan Labour Nd Drivers Hyva'!$B:$B,'[2]Jan Labour Nd Drivers Hyva'!$A:$A,"NOT FOUND"))</f>
        <v/>
      </c>
      <c r="K29" s="5" t="str">
        <f>IF(H29="","",_xlfn.XLOOKUP(H29,'[2]Jan Labour Nd Drivers Hyva'!$B:$B,'[2]Jan Labour Nd Drivers Hyva'!$A:$A,"NOT FOUND"))</f>
        <v/>
      </c>
      <c r="L29" s="18" t="s">
        <v>126</v>
      </c>
      <c r="M29" s="19">
        <v>1</v>
      </c>
      <c r="N29" s="20">
        <v>3000</v>
      </c>
      <c r="O29" s="20">
        <f t="shared" si="4"/>
        <v>3000</v>
      </c>
      <c r="P29" s="20">
        <v>3000</v>
      </c>
      <c r="Q29" s="20">
        <f t="shared" si="11"/>
        <v>0</v>
      </c>
      <c r="R29" s="3" t="str">
        <f t="shared" si="6"/>
        <v>PAID</v>
      </c>
      <c r="S29" s="3"/>
      <c r="T29" s="3">
        <f t="shared" si="7"/>
        <v>3000</v>
      </c>
      <c r="U29" s="3" t="str">
        <f t="shared" si="8"/>
        <v>OK</v>
      </c>
      <c r="V29" s="21">
        <f t="shared" si="9"/>
        <v>0</v>
      </c>
      <c r="W29" s="3" t="str">
        <f t="shared" si="10"/>
        <v>OK</v>
      </c>
      <c r="X29" s="3" t="s">
        <v>370</v>
      </c>
    </row>
    <row r="30" spans="1:24" ht="19" x14ac:dyDescent="0.25">
      <c r="A30" t="str">
        <f t="shared" si="0"/>
        <v>TRIP-HR-071</v>
      </c>
      <c r="B30" s="17">
        <v>45786</v>
      </c>
      <c r="C30" s="3" t="str">
        <f>_xlfn.XLOOKUP(D30,'[1]Jan Customer Duplicate Hyva'!$B:$B,'[1]Jan Customer Duplicate Hyva'!$A:$A,"NOT FOUND")</f>
        <v>CUST-207</v>
      </c>
      <c r="D30" s="18" t="s">
        <v>25</v>
      </c>
      <c r="E30" s="18" t="s">
        <v>26</v>
      </c>
      <c r="F30" s="5" t="str">
        <f t="shared" si="1"/>
        <v>Anshu</v>
      </c>
      <c r="G30" s="5" t="str">
        <f t="shared" si="2"/>
        <v/>
      </c>
      <c r="H30" s="5" t="str">
        <f t="shared" si="3"/>
        <v/>
      </c>
      <c r="I30" s="5" t="str">
        <f>_xlfn.XLOOKUP(F30,'[1]Jan Labour Nd Drivers Hyva'!$B:$B,'[2]Jan Labour Nd Drivers Hyva'!$A:$A,"NOT FOUND")</f>
        <v>LAB-002</v>
      </c>
      <c r="J30" s="5" t="str">
        <f>IF(G30="","",_xlfn.XLOOKUP(G30,'[3]Jan Labour Nd Drivers Hyva'!$B:$B,'[2]Jan Labour Nd Drivers Hyva'!$A:$A,"NOT FOUND"))</f>
        <v/>
      </c>
      <c r="K30" s="5" t="str">
        <f>IF(H30="","",_xlfn.XLOOKUP(H30,'[2]Jan Labour Nd Drivers Hyva'!$B:$B,'[2]Jan Labour Nd Drivers Hyva'!$A:$A,"NOT FOUND"))</f>
        <v/>
      </c>
      <c r="L30" s="18" t="s">
        <v>33</v>
      </c>
      <c r="M30" s="19">
        <v>1</v>
      </c>
      <c r="N30" s="20">
        <v>3000</v>
      </c>
      <c r="O30" s="20">
        <f t="shared" si="4"/>
        <v>3000</v>
      </c>
      <c r="P30" s="20">
        <v>3000</v>
      </c>
      <c r="Q30" s="20">
        <f t="shared" si="11"/>
        <v>0</v>
      </c>
      <c r="R30" s="3" t="str">
        <f t="shared" si="6"/>
        <v>PAID</v>
      </c>
      <c r="S30" s="3"/>
      <c r="T30" s="3">
        <f t="shared" si="7"/>
        <v>3000</v>
      </c>
      <c r="U30" s="3" t="str">
        <f t="shared" si="8"/>
        <v>OK</v>
      </c>
      <c r="V30" s="21">
        <f t="shared" si="9"/>
        <v>0</v>
      </c>
      <c r="W30" s="3" t="str">
        <f t="shared" si="10"/>
        <v>OK</v>
      </c>
      <c r="X30" s="3" t="s">
        <v>370</v>
      </c>
    </row>
    <row r="31" spans="1:24" ht="19" x14ac:dyDescent="0.25">
      <c r="A31" t="str">
        <f t="shared" si="0"/>
        <v>TRIP-HR-072</v>
      </c>
      <c r="B31" s="17">
        <v>45786</v>
      </c>
      <c r="C31" s="3" t="str">
        <f>_xlfn.XLOOKUP(D31,'[1]Jan Customer Duplicate Hyva'!$B:$B,'[1]Jan Customer Duplicate Hyva'!$A:$A,"NOT FOUND")</f>
        <v>CUST-255</v>
      </c>
      <c r="D31" s="18" t="s">
        <v>75</v>
      </c>
      <c r="E31" s="18" t="s">
        <v>26</v>
      </c>
      <c r="F31" s="5" t="str">
        <f t="shared" si="1"/>
        <v>Anshu</v>
      </c>
      <c r="G31" s="5" t="str">
        <f t="shared" si="2"/>
        <v/>
      </c>
      <c r="H31" s="5" t="str">
        <f t="shared" si="3"/>
        <v/>
      </c>
      <c r="I31" s="5" t="str">
        <f>_xlfn.XLOOKUP(F31,'[1]Jan Labour Nd Drivers Hyva'!$B:$B,'[2]Jan Labour Nd Drivers Hyva'!$A:$A,"NOT FOUND")</f>
        <v>LAB-002</v>
      </c>
      <c r="J31" s="5" t="str">
        <f>IF(G31="","",_xlfn.XLOOKUP(G31,'[3]Jan Labour Nd Drivers Hyva'!$B:$B,'[2]Jan Labour Nd Drivers Hyva'!$A:$A,"NOT FOUND"))</f>
        <v/>
      </c>
      <c r="K31" s="5" t="str">
        <f>IF(H31="","",_xlfn.XLOOKUP(H31,'[2]Jan Labour Nd Drivers Hyva'!$B:$B,'[2]Jan Labour Nd Drivers Hyva'!$A:$A,"NOT FOUND"))</f>
        <v/>
      </c>
      <c r="L31" s="18" t="s">
        <v>76</v>
      </c>
      <c r="M31" s="19">
        <v>3</v>
      </c>
      <c r="N31" s="20">
        <v>3500</v>
      </c>
      <c r="O31" s="20">
        <f t="shared" si="4"/>
        <v>10500</v>
      </c>
      <c r="P31" s="20">
        <v>10500</v>
      </c>
      <c r="Q31" s="20">
        <f t="shared" si="11"/>
        <v>0</v>
      </c>
      <c r="R31" s="3" t="str">
        <f t="shared" si="6"/>
        <v>PAID</v>
      </c>
      <c r="S31" s="3"/>
      <c r="T31" s="3">
        <f t="shared" si="7"/>
        <v>10500</v>
      </c>
      <c r="U31" s="3" t="str">
        <f t="shared" si="8"/>
        <v>OK</v>
      </c>
      <c r="V31" s="21">
        <f t="shared" si="9"/>
        <v>0</v>
      </c>
      <c r="W31" s="3" t="str">
        <f t="shared" si="10"/>
        <v>OK</v>
      </c>
      <c r="X31" s="3" t="s">
        <v>370</v>
      </c>
    </row>
    <row r="32" spans="1:24" ht="19" x14ac:dyDescent="0.25">
      <c r="A32" t="str">
        <f t="shared" si="0"/>
        <v>TRIP-HR-073</v>
      </c>
      <c r="B32" s="17">
        <v>45786</v>
      </c>
      <c r="C32" s="3" t="str">
        <f>_xlfn.XLOOKUP(D32,'[1]Jan Customer Duplicate Hyva'!$B:$B,'[1]Jan Customer Duplicate Hyva'!$A:$A,"NOT FOUND")</f>
        <v>CUST-255</v>
      </c>
      <c r="D32" s="18" t="s">
        <v>75</v>
      </c>
      <c r="E32" s="18" t="s">
        <v>30</v>
      </c>
      <c r="F32" s="5" t="str">
        <f t="shared" si="1"/>
        <v>Ravi</v>
      </c>
      <c r="G32" s="5" t="str">
        <f t="shared" si="2"/>
        <v/>
      </c>
      <c r="H32" s="5" t="str">
        <f t="shared" si="3"/>
        <v/>
      </c>
      <c r="I32" s="5" t="str">
        <f>_xlfn.XLOOKUP(F32,'[1]Jan Labour Nd Drivers Hyva'!$B:$B,'[2]Jan Labour Nd Drivers Hyva'!$A:$A,"NOT FOUND")</f>
        <v>LAB-003</v>
      </c>
      <c r="J32" s="5" t="str">
        <f>IF(G32="","",_xlfn.XLOOKUP(G32,'[3]Jan Labour Nd Drivers Hyva'!$B:$B,'[2]Jan Labour Nd Drivers Hyva'!$A:$A,"NOT FOUND"))</f>
        <v/>
      </c>
      <c r="K32" s="5" t="str">
        <f>IF(H32="","",_xlfn.XLOOKUP(H32,'[2]Jan Labour Nd Drivers Hyva'!$B:$B,'[2]Jan Labour Nd Drivers Hyva'!$A:$A,"NOT FOUND"))</f>
        <v/>
      </c>
      <c r="L32" s="18" t="s">
        <v>76</v>
      </c>
      <c r="M32" s="19">
        <v>1</v>
      </c>
      <c r="N32" s="20">
        <v>3500</v>
      </c>
      <c r="O32" s="20">
        <f t="shared" si="4"/>
        <v>3500</v>
      </c>
      <c r="P32" s="20">
        <v>3500</v>
      </c>
      <c r="Q32" s="20">
        <f t="shared" si="11"/>
        <v>0</v>
      </c>
      <c r="R32" s="3" t="str">
        <f t="shared" si="6"/>
        <v>PAID</v>
      </c>
      <c r="S32" s="3"/>
      <c r="T32" s="3">
        <f t="shared" si="7"/>
        <v>3500</v>
      </c>
      <c r="U32" s="3" t="str">
        <f t="shared" si="8"/>
        <v>OK</v>
      </c>
      <c r="V32" s="21">
        <f t="shared" si="9"/>
        <v>0</v>
      </c>
      <c r="W32" s="3" t="str">
        <f t="shared" si="10"/>
        <v>OK</v>
      </c>
      <c r="X32" s="3" t="s">
        <v>370</v>
      </c>
    </row>
    <row r="33" spans="1:24" ht="19" x14ac:dyDescent="0.25">
      <c r="A33" t="str">
        <f t="shared" si="0"/>
        <v>TRIP-HR-074</v>
      </c>
      <c r="B33" s="17">
        <v>45798</v>
      </c>
      <c r="C33" s="3" t="str">
        <f>_xlfn.XLOOKUP(D33,'[1]Jan Customer Duplicate Hyva'!$B:$B,'[1]Jan Customer Duplicate Hyva'!$A:$A,"NOT FOUND")</f>
        <v>CUST-253</v>
      </c>
      <c r="D33" s="18" t="s">
        <v>148</v>
      </c>
      <c r="E33" s="18" t="s">
        <v>80</v>
      </c>
      <c r="F33" s="5" t="str">
        <f t="shared" si="1"/>
        <v>Anshu</v>
      </c>
      <c r="G33" s="5" t="str">
        <f t="shared" si="2"/>
        <v>Ravi</v>
      </c>
      <c r="H33" s="5" t="str">
        <f t="shared" si="3"/>
        <v/>
      </c>
      <c r="I33" s="5" t="str">
        <f>_xlfn.XLOOKUP(F33,'[1]Jan Labour Nd Drivers Hyva'!$B:$B,'[2]Jan Labour Nd Drivers Hyva'!$A:$A,"NOT FOUND")</f>
        <v>LAB-002</v>
      </c>
      <c r="J33" s="5" t="str">
        <f>IF(G33="","",_xlfn.XLOOKUP(G33,'[3]Jan Labour Nd Drivers Hyva'!$B:$B,'[2]Jan Labour Nd Drivers Hyva'!$A:$A,"NOT FOUND"))</f>
        <v>LAB-003</v>
      </c>
      <c r="K33" s="5" t="str">
        <f>IF(H33="","",_xlfn.XLOOKUP(H33,'[2]Jan Labour Nd Drivers Hyva'!$B:$B,'[2]Jan Labour Nd Drivers Hyva'!$A:$A,"NOT FOUND"))</f>
        <v/>
      </c>
      <c r="L33" s="18" t="s">
        <v>76</v>
      </c>
      <c r="M33" s="19">
        <v>2</v>
      </c>
      <c r="N33" s="20">
        <v>3500</v>
      </c>
      <c r="O33" s="20">
        <f t="shared" si="4"/>
        <v>7000</v>
      </c>
      <c r="P33" s="20">
        <v>7000</v>
      </c>
      <c r="Q33" s="20">
        <f t="shared" si="11"/>
        <v>0</v>
      </c>
      <c r="R33" s="3" t="str">
        <f t="shared" si="6"/>
        <v>PAID</v>
      </c>
      <c r="S33" s="3"/>
      <c r="T33" s="3">
        <f t="shared" si="7"/>
        <v>7000</v>
      </c>
      <c r="U33" s="3" t="str">
        <f t="shared" si="8"/>
        <v>OK</v>
      </c>
      <c r="V33" s="21">
        <f t="shared" si="9"/>
        <v>0</v>
      </c>
      <c r="W33" s="3" t="str">
        <f t="shared" si="10"/>
        <v>OK</v>
      </c>
      <c r="X33" s="3" t="s">
        <v>370</v>
      </c>
    </row>
    <row r="34" spans="1:24" ht="19" x14ac:dyDescent="0.25">
      <c r="A34" t="str">
        <f t="shared" si="0"/>
        <v>TRIP-HR-075</v>
      </c>
      <c r="B34" s="17">
        <v>45798</v>
      </c>
      <c r="C34" s="3" t="str">
        <f>_xlfn.XLOOKUP(D34,'[1]Jan Customer Duplicate Hyva'!$B:$B,'[1]Jan Customer Duplicate Hyva'!$A:$A,"NOT FOUND")</f>
        <v>CUST-258</v>
      </c>
      <c r="D34" s="18" t="s">
        <v>254</v>
      </c>
      <c r="E34" s="18" t="s">
        <v>80</v>
      </c>
      <c r="F34" s="5" t="str">
        <f t="shared" si="1"/>
        <v>Anshu</v>
      </c>
      <c r="G34" s="5" t="str">
        <f t="shared" si="2"/>
        <v>Ravi</v>
      </c>
      <c r="H34" s="5" t="str">
        <f t="shared" si="3"/>
        <v/>
      </c>
      <c r="I34" s="5" t="str">
        <f>_xlfn.XLOOKUP(F34,'[1]Jan Labour Nd Drivers Hyva'!$B:$B,'[2]Jan Labour Nd Drivers Hyva'!$A:$A,"NOT FOUND")</f>
        <v>LAB-002</v>
      </c>
      <c r="J34" s="5" t="str">
        <f>IF(G34="","",_xlfn.XLOOKUP(G34,'[3]Jan Labour Nd Drivers Hyva'!$B:$B,'[2]Jan Labour Nd Drivers Hyva'!$A:$A,"NOT FOUND"))</f>
        <v>LAB-003</v>
      </c>
      <c r="K34" s="5" t="str">
        <f>IF(H34="","",_xlfn.XLOOKUP(H34,'[2]Jan Labour Nd Drivers Hyva'!$B:$B,'[2]Jan Labour Nd Drivers Hyva'!$A:$A,"NOT FOUND"))</f>
        <v/>
      </c>
      <c r="L34" s="18" t="s">
        <v>33</v>
      </c>
      <c r="M34" s="19">
        <v>2</v>
      </c>
      <c r="N34" s="20">
        <v>3000</v>
      </c>
      <c r="O34" s="20">
        <f t="shared" si="4"/>
        <v>6000</v>
      </c>
      <c r="P34" s="20">
        <v>6000</v>
      </c>
      <c r="Q34" s="20">
        <f t="shared" si="11"/>
        <v>0</v>
      </c>
      <c r="R34" s="3" t="str">
        <f t="shared" si="6"/>
        <v>PAID</v>
      </c>
      <c r="S34" s="3"/>
      <c r="T34" s="3">
        <f t="shared" si="7"/>
        <v>6000</v>
      </c>
      <c r="U34" s="3" t="str">
        <f t="shared" si="8"/>
        <v>OK</v>
      </c>
      <c r="V34" s="21">
        <f t="shared" si="9"/>
        <v>0</v>
      </c>
      <c r="W34" s="3" t="str">
        <f t="shared" si="10"/>
        <v>OK</v>
      </c>
      <c r="X34" s="3" t="s">
        <v>370</v>
      </c>
    </row>
    <row r="35" spans="1:24" ht="19" x14ac:dyDescent="0.25">
      <c r="A35" t="str">
        <f t="shared" si="0"/>
        <v>TRIP-HR-076</v>
      </c>
      <c r="B35" s="17">
        <v>45805</v>
      </c>
      <c r="C35" s="3" t="str">
        <f>_xlfn.XLOOKUP(D35,'[1]Jan Customer Duplicate Hyva'!$B:$B,'[1]Jan Customer Duplicate Hyva'!$A:$A,"NOT FOUND")</f>
        <v>NOT FOUND</v>
      </c>
      <c r="D35" s="18" t="s">
        <v>90</v>
      </c>
      <c r="E35" s="18" t="s">
        <v>26</v>
      </c>
      <c r="F35" s="5" t="str">
        <f t="shared" si="1"/>
        <v>Anshu</v>
      </c>
      <c r="G35" s="5" t="str">
        <f t="shared" si="2"/>
        <v/>
      </c>
      <c r="H35" s="5" t="str">
        <f t="shared" si="3"/>
        <v/>
      </c>
      <c r="I35" s="5" t="str">
        <f>_xlfn.XLOOKUP(F35,'[1]Jan Labour Nd Drivers Hyva'!$B:$B,'[2]Jan Labour Nd Drivers Hyva'!$A:$A,"NOT FOUND")</f>
        <v>LAB-002</v>
      </c>
      <c r="J35" s="5" t="str">
        <f>IF(G35="","",_xlfn.XLOOKUP(G35,'[3]Jan Labour Nd Drivers Hyva'!$B:$B,'[2]Jan Labour Nd Drivers Hyva'!$A:$A,"NOT FOUND"))</f>
        <v/>
      </c>
      <c r="K35" s="5" t="str">
        <f>IF(H35="","",_xlfn.XLOOKUP(H35,'[2]Jan Labour Nd Drivers Hyva'!$B:$B,'[2]Jan Labour Nd Drivers Hyva'!$A:$A,"NOT FOUND"))</f>
        <v/>
      </c>
      <c r="L35" s="18" t="s">
        <v>120</v>
      </c>
      <c r="M35" s="19">
        <v>1</v>
      </c>
      <c r="N35" s="20">
        <v>3000</v>
      </c>
      <c r="O35" s="20">
        <f t="shared" si="4"/>
        <v>3000</v>
      </c>
      <c r="P35" s="20">
        <v>3000</v>
      </c>
      <c r="Q35" s="20">
        <f t="shared" si="11"/>
        <v>0</v>
      </c>
      <c r="R35" s="3" t="str">
        <f t="shared" si="6"/>
        <v>PAID</v>
      </c>
      <c r="S35" s="3"/>
      <c r="T35" s="3">
        <f t="shared" si="7"/>
        <v>3000</v>
      </c>
      <c r="U35" s="3" t="str">
        <f t="shared" si="8"/>
        <v>OK</v>
      </c>
      <c r="V35" s="21">
        <f t="shared" si="9"/>
        <v>0</v>
      </c>
      <c r="W35" s="3" t="str">
        <f t="shared" si="10"/>
        <v>OK</v>
      </c>
      <c r="X35" s="3" t="s">
        <v>370</v>
      </c>
    </row>
    <row r="36" spans="1:24" ht="19" x14ac:dyDescent="0.25">
      <c r="A36" t="str">
        <f t="shared" si="0"/>
        <v>TRIP-HR-077</v>
      </c>
      <c r="B36" s="17">
        <v>45806</v>
      </c>
      <c r="C36" s="3" t="str">
        <f>_xlfn.XLOOKUP(D36,'[1]Jan Customer Duplicate Hyva'!$B:$B,'[1]Jan Customer Duplicate Hyva'!$A:$A,"NOT FOUND")</f>
        <v>NOT FOUND</v>
      </c>
      <c r="D36" s="18" t="s">
        <v>381</v>
      </c>
      <c r="E36" s="18" t="s">
        <v>30</v>
      </c>
      <c r="F36" s="5" t="str">
        <f t="shared" si="1"/>
        <v>Ravi</v>
      </c>
      <c r="G36" s="5" t="str">
        <f t="shared" si="2"/>
        <v/>
      </c>
      <c r="H36" s="5" t="str">
        <f t="shared" si="3"/>
        <v/>
      </c>
      <c r="I36" s="5" t="str">
        <f>_xlfn.XLOOKUP(F36,'[1]Jan Labour Nd Drivers Hyva'!$B:$B,'[2]Jan Labour Nd Drivers Hyva'!$A:$A,"NOT FOUND")</f>
        <v>LAB-003</v>
      </c>
      <c r="J36" s="5" t="str">
        <f>IF(G36="","",_xlfn.XLOOKUP(G36,'[3]Jan Labour Nd Drivers Hyva'!$B:$B,'[2]Jan Labour Nd Drivers Hyva'!$A:$A,"NOT FOUND"))</f>
        <v/>
      </c>
      <c r="K36" s="5" t="str">
        <f>IF(H36="","",_xlfn.XLOOKUP(H36,'[2]Jan Labour Nd Drivers Hyva'!$B:$B,'[2]Jan Labour Nd Drivers Hyva'!$A:$A,"NOT FOUND"))</f>
        <v/>
      </c>
      <c r="L36" s="18" t="s">
        <v>33</v>
      </c>
      <c r="M36" s="19">
        <v>4</v>
      </c>
      <c r="N36" s="20">
        <v>3000</v>
      </c>
      <c r="O36" s="20">
        <f t="shared" si="4"/>
        <v>12000</v>
      </c>
      <c r="P36" s="20">
        <v>12000</v>
      </c>
      <c r="Q36" s="20">
        <f t="shared" si="11"/>
        <v>0</v>
      </c>
      <c r="R36" s="3" t="str">
        <f t="shared" si="6"/>
        <v>PAID</v>
      </c>
      <c r="S36" s="3"/>
      <c r="T36" s="3">
        <f t="shared" si="7"/>
        <v>12000</v>
      </c>
      <c r="U36" s="3" t="str">
        <f t="shared" si="8"/>
        <v>OK</v>
      </c>
      <c r="V36" s="21">
        <f t="shared" si="9"/>
        <v>0</v>
      </c>
      <c r="W36" s="3" t="str">
        <f t="shared" si="10"/>
        <v>OK</v>
      </c>
      <c r="X36" s="3" t="s">
        <v>370</v>
      </c>
    </row>
    <row r="37" spans="1:24" ht="19" x14ac:dyDescent="0.25">
      <c r="A37" t="str">
        <f t="shared" si="0"/>
        <v>TRIP-HR-078</v>
      </c>
      <c r="B37" s="17">
        <v>45806</v>
      </c>
      <c r="C37" s="3" t="str">
        <f>_xlfn.XLOOKUP(D37,'[1]Jan Customer Duplicate Hyva'!$B:$B,'[1]Jan Customer Duplicate Hyva'!$A:$A,"NOT FOUND")</f>
        <v>CUST-236</v>
      </c>
      <c r="D37" s="18" t="s">
        <v>58</v>
      </c>
      <c r="E37" s="18" t="s">
        <v>30</v>
      </c>
      <c r="F37" s="5" t="str">
        <f t="shared" si="1"/>
        <v>Ravi</v>
      </c>
      <c r="G37" s="5" t="str">
        <f t="shared" si="2"/>
        <v/>
      </c>
      <c r="H37" s="5" t="str">
        <f t="shared" si="3"/>
        <v/>
      </c>
      <c r="I37" s="5" t="str">
        <f>_xlfn.XLOOKUP(F37,'[1]Jan Labour Nd Drivers Hyva'!$B:$B,'[2]Jan Labour Nd Drivers Hyva'!$A:$A,"NOT FOUND")</f>
        <v>LAB-003</v>
      </c>
      <c r="J37" s="5" t="str">
        <f>IF(G37="","",_xlfn.XLOOKUP(G37,'[3]Jan Labour Nd Drivers Hyva'!$B:$B,'[2]Jan Labour Nd Drivers Hyva'!$A:$A,"NOT FOUND"))</f>
        <v/>
      </c>
      <c r="K37" s="5" t="str">
        <f>IF(H37="","",_xlfn.XLOOKUP(H37,'[2]Jan Labour Nd Drivers Hyva'!$B:$B,'[2]Jan Labour Nd Drivers Hyva'!$A:$A,"NOT FOUND"))</f>
        <v/>
      </c>
      <c r="L37" s="18" t="s">
        <v>120</v>
      </c>
      <c r="M37" s="19">
        <v>3</v>
      </c>
      <c r="N37" s="20">
        <v>2800</v>
      </c>
      <c r="O37" s="20">
        <f t="shared" si="4"/>
        <v>8400</v>
      </c>
      <c r="P37" s="20">
        <v>8400</v>
      </c>
      <c r="Q37" s="20">
        <f t="shared" si="11"/>
        <v>0</v>
      </c>
      <c r="R37" s="3" t="str">
        <f t="shared" si="6"/>
        <v>PAID</v>
      </c>
      <c r="S37" s="3"/>
      <c r="T37" s="3">
        <f t="shared" si="7"/>
        <v>8400</v>
      </c>
      <c r="U37" s="3" t="str">
        <f t="shared" si="8"/>
        <v>OK</v>
      </c>
      <c r="V37" s="21">
        <f t="shared" si="9"/>
        <v>0</v>
      </c>
      <c r="W37" s="3" t="str">
        <f t="shared" si="10"/>
        <v>OK</v>
      </c>
      <c r="X37" s="3" t="s">
        <v>370</v>
      </c>
    </row>
    <row r="38" spans="1:24" ht="19" x14ac:dyDescent="0.25">
      <c r="A38" t="str">
        <f t="shared" si="0"/>
        <v>TRIP-HR-079</v>
      </c>
      <c r="B38" s="17">
        <v>45806</v>
      </c>
      <c r="C38" s="3" t="str">
        <f>_xlfn.XLOOKUP(D38,'[1]Jan Customer Duplicate Hyva'!$B:$B,'[1]Jan Customer Duplicate Hyva'!$A:$A,"NOT FOUND")</f>
        <v>CUST-255</v>
      </c>
      <c r="D38" s="18" t="s">
        <v>75</v>
      </c>
      <c r="E38" s="18" t="s">
        <v>111</v>
      </c>
      <c r="F38" s="5" t="str">
        <f t="shared" si="1"/>
        <v>Ravi</v>
      </c>
      <c r="G38" s="5" t="str">
        <f t="shared" si="2"/>
        <v>Anshu</v>
      </c>
      <c r="H38" s="5" t="str">
        <f t="shared" si="3"/>
        <v/>
      </c>
      <c r="I38" s="5" t="str">
        <f>_xlfn.XLOOKUP(F38,'[1]Jan Labour Nd Drivers Hyva'!$B:$B,'[2]Jan Labour Nd Drivers Hyva'!$A:$A,"NOT FOUND")</f>
        <v>LAB-003</v>
      </c>
      <c r="J38" s="5" t="str">
        <f>IF(G38="","",_xlfn.XLOOKUP(G38,'[3]Jan Labour Nd Drivers Hyva'!$B:$B,'[2]Jan Labour Nd Drivers Hyva'!$A:$A,"NOT FOUND"))</f>
        <v>LAB-002</v>
      </c>
      <c r="K38" s="5" t="str">
        <f>IF(H38="","",_xlfn.XLOOKUP(H38,'[2]Jan Labour Nd Drivers Hyva'!$B:$B,'[2]Jan Labour Nd Drivers Hyva'!$A:$A,"NOT FOUND"))</f>
        <v/>
      </c>
      <c r="L38" s="18" t="s">
        <v>76</v>
      </c>
      <c r="M38" s="19">
        <v>4</v>
      </c>
      <c r="N38" s="20">
        <v>3500</v>
      </c>
      <c r="O38" s="20">
        <f t="shared" si="4"/>
        <v>14000</v>
      </c>
      <c r="P38" s="20">
        <v>14000</v>
      </c>
      <c r="Q38" s="20">
        <f t="shared" si="11"/>
        <v>0</v>
      </c>
      <c r="R38" s="3" t="str">
        <f t="shared" si="6"/>
        <v>PAID</v>
      </c>
      <c r="S38" s="3"/>
      <c r="T38" s="3">
        <f t="shared" si="7"/>
        <v>14000</v>
      </c>
      <c r="U38" s="3" t="str">
        <f t="shared" si="8"/>
        <v>OK</v>
      </c>
      <c r="V38" s="21">
        <f t="shared" si="9"/>
        <v>0</v>
      </c>
      <c r="W38" s="3" t="str">
        <f t="shared" si="10"/>
        <v>OK</v>
      </c>
      <c r="X38" s="3" t="s">
        <v>370</v>
      </c>
    </row>
    <row r="39" spans="1:24" ht="19" x14ac:dyDescent="0.25">
      <c r="A39" t="str">
        <f t="shared" si="0"/>
        <v>TRIP-HR-080</v>
      </c>
      <c r="B39" s="17">
        <v>45808</v>
      </c>
      <c r="C39" s="3" t="str">
        <f>_xlfn.XLOOKUP(D39,'[1]Jan Customer Duplicate Hyva'!$B:$B,'[1]Jan Customer Duplicate Hyva'!$A:$A,"NOT FOUND")</f>
        <v>CUST-227</v>
      </c>
      <c r="D39" s="18" t="s">
        <v>382</v>
      </c>
      <c r="E39" s="18" t="s">
        <v>26</v>
      </c>
      <c r="F39" s="5" t="str">
        <f t="shared" si="1"/>
        <v>Anshu</v>
      </c>
      <c r="G39" s="5" t="str">
        <f t="shared" si="2"/>
        <v/>
      </c>
      <c r="H39" s="5" t="str">
        <f t="shared" si="3"/>
        <v/>
      </c>
      <c r="I39" s="5" t="str">
        <f>_xlfn.XLOOKUP(F39,'[1]Jan Labour Nd Drivers Hyva'!$B:$B,'[2]Jan Labour Nd Drivers Hyva'!$A:$A,"NOT FOUND")</f>
        <v>LAB-002</v>
      </c>
      <c r="J39" s="5" t="str">
        <f>IF(G39="","",_xlfn.XLOOKUP(G39,'[3]Jan Labour Nd Drivers Hyva'!$B:$B,'[2]Jan Labour Nd Drivers Hyva'!$A:$A,"NOT FOUND"))</f>
        <v/>
      </c>
      <c r="K39" s="5" t="str">
        <f>IF(H39="","",_xlfn.XLOOKUP(H39,'[2]Jan Labour Nd Drivers Hyva'!$B:$B,'[2]Jan Labour Nd Drivers Hyva'!$A:$A,"NOT FOUND"))</f>
        <v/>
      </c>
      <c r="L39" s="18" t="s">
        <v>33</v>
      </c>
      <c r="M39" s="19">
        <v>1</v>
      </c>
      <c r="N39" s="20">
        <v>3000</v>
      </c>
      <c r="O39" s="20">
        <f t="shared" si="4"/>
        <v>3000</v>
      </c>
      <c r="P39" s="20"/>
      <c r="Q39" s="20">
        <f t="shared" si="11"/>
        <v>3000</v>
      </c>
      <c r="R39" s="3" t="str">
        <f t="shared" si="6"/>
        <v>UNPAID</v>
      </c>
      <c r="S39" s="3"/>
      <c r="T39" s="3">
        <f t="shared" si="7"/>
        <v>3000</v>
      </c>
      <c r="U39" s="3" t="str">
        <f t="shared" si="8"/>
        <v>OK</v>
      </c>
      <c r="V39" s="21">
        <f t="shared" si="9"/>
        <v>3000</v>
      </c>
      <c r="W39" s="3" t="str">
        <f t="shared" si="10"/>
        <v>OK</v>
      </c>
      <c r="X39" s="3" t="s">
        <v>370</v>
      </c>
    </row>
    <row r="40" spans="1:24" ht="19" x14ac:dyDescent="0.25">
      <c r="A40" t="str">
        <f t="shared" si="0"/>
        <v>TRIP-HR-081</v>
      </c>
      <c r="B40" s="17">
        <v>45808</v>
      </c>
      <c r="C40" s="3" t="str">
        <f>_xlfn.XLOOKUP(D40,'[1]Jan Customer Duplicate Hyva'!$B:$B,'[1]Jan Customer Duplicate Hyva'!$A:$A,"NOT FOUND")</f>
        <v>CUST-236</v>
      </c>
      <c r="D40" s="18" t="s">
        <v>58</v>
      </c>
      <c r="E40" s="18" t="s">
        <v>30</v>
      </c>
      <c r="F40" s="5" t="str">
        <f t="shared" si="1"/>
        <v>Ravi</v>
      </c>
      <c r="G40" s="5" t="str">
        <f t="shared" si="2"/>
        <v/>
      </c>
      <c r="H40" s="5" t="str">
        <f t="shared" si="3"/>
        <v/>
      </c>
      <c r="I40" s="5" t="str">
        <f>_xlfn.XLOOKUP(F40,'[1]Jan Labour Nd Drivers Hyva'!$B:$B,'[2]Jan Labour Nd Drivers Hyva'!$A:$A,"NOT FOUND")</f>
        <v>LAB-003</v>
      </c>
      <c r="J40" s="5" t="str">
        <f>IF(G40="","",_xlfn.XLOOKUP(G40,'[3]Jan Labour Nd Drivers Hyva'!$B:$B,'[2]Jan Labour Nd Drivers Hyva'!$A:$A,"NOT FOUND"))</f>
        <v/>
      </c>
      <c r="K40" s="5" t="str">
        <f>IF(H40="","",_xlfn.XLOOKUP(H40,'[2]Jan Labour Nd Drivers Hyva'!$B:$B,'[2]Jan Labour Nd Drivers Hyva'!$A:$A,"NOT FOUND"))</f>
        <v/>
      </c>
      <c r="L40" s="18" t="s">
        <v>120</v>
      </c>
      <c r="M40" s="19">
        <v>5</v>
      </c>
      <c r="N40" s="20">
        <v>2800</v>
      </c>
      <c r="O40" s="20">
        <f t="shared" si="4"/>
        <v>14000</v>
      </c>
      <c r="P40" s="20">
        <v>14000</v>
      </c>
      <c r="Q40" s="20">
        <f t="shared" si="11"/>
        <v>0</v>
      </c>
      <c r="R40" s="3" t="str">
        <f t="shared" si="6"/>
        <v>PAID</v>
      </c>
      <c r="S40" s="3"/>
      <c r="T40" s="3">
        <f t="shared" si="7"/>
        <v>14000</v>
      </c>
      <c r="U40" s="3" t="str">
        <f t="shared" si="8"/>
        <v>OK</v>
      </c>
      <c r="V40" s="21">
        <f t="shared" si="9"/>
        <v>0</v>
      </c>
      <c r="W40" s="3" t="str">
        <f t="shared" si="10"/>
        <v>OK</v>
      </c>
      <c r="X40" s="3" t="s">
        <v>370</v>
      </c>
    </row>
    <row r="41" spans="1:24" ht="19" x14ac:dyDescent="0.25">
      <c r="A41" t="str">
        <f t="shared" si="0"/>
        <v>TRIP-HR-082</v>
      </c>
      <c r="B41" s="17">
        <v>45809</v>
      </c>
      <c r="C41" s="3" t="str">
        <f>_xlfn.XLOOKUP(D41,'[1]Jan Customer Duplicate Hyva'!$B:$B,'[1]Jan Customer Duplicate Hyva'!$A:$A,"NOT FOUND")</f>
        <v>CUST-079</v>
      </c>
      <c r="D41" s="18" t="s">
        <v>383</v>
      </c>
      <c r="E41" s="18" t="s">
        <v>30</v>
      </c>
      <c r="F41" s="5" t="str">
        <f t="shared" si="1"/>
        <v>Ravi</v>
      </c>
      <c r="G41" s="5" t="str">
        <f t="shared" si="2"/>
        <v/>
      </c>
      <c r="H41" s="5" t="str">
        <f t="shared" si="3"/>
        <v/>
      </c>
      <c r="I41" s="5" t="str">
        <f>_xlfn.XLOOKUP(F41,'[1]Jan Labour Nd Drivers Hyva'!$B:$B,'[2]Jan Labour Nd Drivers Hyva'!$A:$A,"NOT FOUND")</f>
        <v>LAB-003</v>
      </c>
      <c r="J41" s="5" t="str">
        <f>IF(G41="","",_xlfn.XLOOKUP(G41,'[3]Jan Labour Nd Drivers Hyva'!$B:$B,'[2]Jan Labour Nd Drivers Hyva'!$A:$A,"NOT FOUND"))</f>
        <v/>
      </c>
      <c r="K41" s="5" t="str">
        <f>IF(H41="","",_xlfn.XLOOKUP(H41,'[2]Jan Labour Nd Drivers Hyva'!$B:$B,'[2]Jan Labour Nd Drivers Hyva'!$A:$A,"NOT FOUND"))</f>
        <v/>
      </c>
      <c r="L41" s="18" t="s">
        <v>63</v>
      </c>
      <c r="M41" s="19">
        <v>1</v>
      </c>
      <c r="N41" s="20">
        <v>3000</v>
      </c>
      <c r="O41" s="20">
        <f t="shared" si="4"/>
        <v>3000</v>
      </c>
      <c r="P41" s="20">
        <v>3000</v>
      </c>
      <c r="Q41" s="20">
        <f t="shared" si="11"/>
        <v>0</v>
      </c>
      <c r="R41" s="3" t="str">
        <f t="shared" si="6"/>
        <v>PAID</v>
      </c>
      <c r="S41" s="3"/>
      <c r="T41" s="3">
        <f t="shared" si="7"/>
        <v>3000</v>
      </c>
      <c r="U41" s="3" t="str">
        <f t="shared" si="8"/>
        <v>OK</v>
      </c>
      <c r="V41" s="21">
        <f t="shared" si="9"/>
        <v>0</v>
      </c>
      <c r="W41" s="3" t="str">
        <f t="shared" si="10"/>
        <v>OK</v>
      </c>
      <c r="X41" s="3" t="s">
        <v>370</v>
      </c>
    </row>
    <row r="42" spans="1:24" ht="19" x14ac:dyDescent="0.25">
      <c r="A42" t="str">
        <f t="shared" si="0"/>
        <v>TRIP-HR-083</v>
      </c>
      <c r="B42" s="17">
        <v>45809</v>
      </c>
      <c r="C42" s="3" t="str">
        <f>_xlfn.XLOOKUP(D42,'[1]Jan Customer Duplicate Hyva'!$B:$B,'[1]Jan Customer Duplicate Hyva'!$A:$A,"NOT FOUND")</f>
        <v>CUST-180</v>
      </c>
      <c r="D42" s="18" t="s">
        <v>42</v>
      </c>
      <c r="E42" s="18" t="s">
        <v>26</v>
      </c>
      <c r="F42" s="5" t="str">
        <f t="shared" si="1"/>
        <v>Anshu</v>
      </c>
      <c r="G42" s="5" t="str">
        <f t="shared" si="2"/>
        <v/>
      </c>
      <c r="H42" s="5" t="str">
        <f t="shared" si="3"/>
        <v/>
      </c>
      <c r="I42" s="5" t="str">
        <f>_xlfn.XLOOKUP(F42,'[1]Jan Labour Nd Drivers Hyva'!$B:$B,'[2]Jan Labour Nd Drivers Hyva'!$A:$A,"NOT FOUND")</f>
        <v>LAB-002</v>
      </c>
      <c r="J42" s="5" t="str">
        <f>IF(G42="","",_xlfn.XLOOKUP(G42,'[3]Jan Labour Nd Drivers Hyva'!$B:$B,'[2]Jan Labour Nd Drivers Hyva'!$A:$A,"NOT FOUND"))</f>
        <v/>
      </c>
      <c r="K42" s="5" t="str">
        <f>IF(H42="","",_xlfn.XLOOKUP(H42,'[2]Jan Labour Nd Drivers Hyva'!$B:$B,'[2]Jan Labour Nd Drivers Hyva'!$A:$A,"NOT FOUND"))</f>
        <v/>
      </c>
      <c r="L42" s="18" t="s">
        <v>43</v>
      </c>
      <c r="M42" s="19">
        <v>1</v>
      </c>
      <c r="N42" s="20">
        <v>3000</v>
      </c>
      <c r="O42" s="20">
        <f t="shared" si="4"/>
        <v>3000</v>
      </c>
      <c r="P42" s="20">
        <v>3000</v>
      </c>
      <c r="Q42" s="20">
        <f t="shared" si="11"/>
        <v>0</v>
      </c>
      <c r="R42" s="3" t="str">
        <f t="shared" si="6"/>
        <v>PAID</v>
      </c>
      <c r="S42" s="3"/>
      <c r="T42" s="3">
        <f t="shared" si="7"/>
        <v>3000</v>
      </c>
      <c r="U42" s="3" t="str">
        <f t="shared" si="8"/>
        <v>OK</v>
      </c>
      <c r="V42" s="21">
        <f t="shared" si="9"/>
        <v>0</v>
      </c>
      <c r="W42" s="3" t="str">
        <f t="shared" si="10"/>
        <v>OK</v>
      </c>
      <c r="X42" s="3" t="s">
        <v>370</v>
      </c>
    </row>
    <row r="43" spans="1:24" ht="19" x14ac:dyDescent="0.25">
      <c r="A43" t="str">
        <f t="shared" si="0"/>
        <v>TRIP-HR-084</v>
      </c>
      <c r="B43" s="17">
        <v>45812</v>
      </c>
      <c r="C43" s="3" t="str">
        <f>_xlfn.XLOOKUP(D43,'[1]Jan Customer Duplicate Hyva'!$B:$B,'[1]Jan Customer Duplicate Hyva'!$A:$A,"NOT FOUND")</f>
        <v>CUST-253</v>
      </c>
      <c r="D43" s="18" t="s">
        <v>148</v>
      </c>
      <c r="E43" s="18" t="s">
        <v>30</v>
      </c>
      <c r="F43" s="5" t="str">
        <f t="shared" si="1"/>
        <v>Ravi</v>
      </c>
      <c r="G43" s="5" t="str">
        <f t="shared" si="2"/>
        <v/>
      </c>
      <c r="H43" s="5" t="str">
        <f t="shared" si="3"/>
        <v/>
      </c>
      <c r="I43" s="5" t="str">
        <f>_xlfn.XLOOKUP(F43,'[1]Jan Labour Nd Drivers Hyva'!$B:$B,'[2]Jan Labour Nd Drivers Hyva'!$A:$A,"NOT FOUND")</f>
        <v>LAB-003</v>
      </c>
      <c r="J43" s="5" t="str">
        <f>IF(G43="","",_xlfn.XLOOKUP(G43,'[3]Jan Labour Nd Drivers Hyva'!$B:$B,'[2]Jan Labour Nd Drivers Hyva'!$A:$A,"NOT FOUND"))</f>
        <v/>
      </c>
      <c r="K43" s="5" t="str">
        <f>IF(H43="","",_xlfn.XLOOKUP(H43,'[2]Jan Labour Nd Drivers Hyva'!$B:$B,'[2]Jan Labour Nd Drivers Hyva'!$A:$A,"NOT FOUND"))</f>
        <v/>
      </c>
      <c r="L43" s="18" t="s">
        <v>384</v>
      </c>
      <c r="M43" s="19">
        <v>1</v>
      </c>
      <c r="N43" s="20">
        <v>3500</v>
      </c>
      <c r="O43" s="20">
        <f t="shared" si="4"/>
        <v>3500</v>
      </c>
      <c r="P43" s="20">
        <v>3500</v>
      </c>
      <c r="Q43" s="20">
        <f t="shared" si="11"/>
        <v>0</v>
      </c>
      <c r="R43" s="3" t="str">
        <f t="shared" si="6"/>
        <v>PAID</v>
      </c>
      <c r="S43" s="3"/>
      <c r="T43" s="3">
        <f t="shared" si="7"/>
        <v>3500</v>
      </c>
      <c r="U43" s="3" t="str">
        <f t="shared" si="8"/>
        <v>OK</v>
      </c>
      <c r="V43" s="21">
        <f t="shared" si="9"/>
        <v>0</v>
      </c>
      <c r="W43" s="3" t="str">
        <f t="shared" si="10"/>
        <v>OK</v>
      </c>
      <c r="X43" s="3" t="s">
        <v>370</v>
      </c>
    </row>
    <row r="44" spans="1:24" ht="19" x14ac:dyDescent="0.25">
      <c r="A44" t="str">
        <f t="shared" si="0"/>
        <v>TRIP-HR-085</v>
      </c>
      <c r="B44" s="17">
        <v>45815</v>
      </c>
      <c r="C44" s="3" t="str">
        <f>_xlfn.XLOOKUP(D44,'[1]Jan Customer Duplicate Hyva'!$B:$B,'[1]Jan Customer Duplicate Hyva'!$A:$A,"NOT FOUND")</f>
        <v>CUST-180</v>
      </c>
      <c r="D44" s="18" t="s">
        <v>42</v>
      </c>
      <c r="E44" s="18" t="s">
        <v>30</v>
      </c>
      <c r="F44" s="5" t="str">
        <f t="shared" si="1"/>
        <v>Ravi</v>
      </c>
      <c r="G44" s="5" t="str">
        <f t="shared" si="2"/>
        <v/>
      </c>
      <c r="H44" s="5" t="str">
        <f t="shared" si="3"/>
        <v/>
      </c>
      <c r="I44" s="5" t="str">
        <f>_xlfn.XLOOKUP(F44,'[1]Jan Labour Nd Drivers Hyva'!$B:$B,'[2]Jan Labour Nd Drivers Hyva'!$A:$A,"NOT FOUND")</f>
        <v>LAB-003</v>
      </c>
      <c r="J44" s="5" t="str">
        <f>IF(G44="","",_xlfn.XLOOKUP(G44,'[3]Jan Labour Nd Drivers Hyva'!$B:$B,'[2]Jan Labour Nd Drivers Hyva'!$A:$A,"NOT FOUND"))</f>
        <v/>
      </c>
      <c r="K44" s="5" t="str">
        <f>IF(H44="","",_xlfn.XLOOKUP(H44,'[2]Jan Labour Nd Drivers Hyva'!$B:$B,'[2]Jan Labour Nd Drivers Hyva'!$A:$A,"NOT FOUND"))</f>
        <v/>
      </c>
      <c r="L44" s="18" t="s">
        <v>43</v>
      </c>
      <c r="M44" s="19">
        <v>1</v>
      </c>
      <c r="N44" s="20">
        <v>3000</v>
      </c>
      <c r="O44" s="20">
        <f t="shared" si="4"/>
        <v>3000</v>
      </c>
      <c r="P44" s="20">
        <v>3000</v>
      </c>
      <c r="Q44" s="20">
        <f t="shared" si="11"/>
        <v>0</v>
      </c>
      <c r="R44" s="3" t="str">
        <f t="shared" si="6"/>
        <v>PAID</v>
      </c>
      <c r="S44" s="3"/>
      <c r="T44" s="3">
        <f t="shared" si="7"/>
        <v>3000</v>
      </c>
      <c r="U44" s="3" t="str">
        <f t="shared" si="8"/>
        <v>OK</v>
      </c>
      <c r="V44" s="21">
        <f t="shared" si="9"/>
        <v>0</v>
      </c>
      <c r="W44" s="3" t="str">
        <f t="shared" si="10"/>
        <v>OK</v>
      </c>
      <c r="X44" s="3" t="s">
        <v>370</v>
      </c>
    </row>
    <row r="45" spans="1:24" ht="19" x14ac:dyDescent="0.25">
      <c r="A45" t="str">
        <f t="shared" si="0"/>
        <v>TRIP-HR-086</v>
      </c>
      <c r="B45" s="17">
        <v>45826</v>
      </c>
      <c r="C45" s="3" t="str">
        <f>_xlfn.XLOOKUP(D45,'[1]Jan Customer Duplicate Hyva'!$B:$B,'[1]Jan Customer Duplicate Hyva'!$A:$A,"NOT FOUND")</f>
        <v>CUST-377</v>
      </c>
      <c r="D45" s="18" t="s">
        <v>377</v>
      </c>
      <c r="E45" s="18" t="s">
        <v>30</v>
      </c>
      <c r="F45" s="5" t="str">
        <f t="shared" si="1"/>
        <v>Ravi</v>
      </c>
      <c r="G45" s="5" t="str">
        <f t="shared" si="2"/>
        <v/>
      </c>
      <c r="H45" s="5" t="str">
        <f t="shared" si="3"/>
        <v/>
      </c>
      <c r="I45" s="5" t="str">
        <f>_xlfn.XLOOKUP(F45,'[1]Jan Labour Nd Drivers Hyva'!$B:$B,'[2]Jan Labour Nd Drivers Hyva'!$A:$A,"NOT FOUND")</f>
        <v>LAB-003</v>
      </c>
      <c r="J45" s="5" t="str">
        <f>IF(G45="","",_xlfn.XLOOKUP(G45,'[3]Jan Labour Nd Drivers Hyva'!$B:$B,'[2]Jan Labour Nd Drivers Hyva'!$A:$A,"NOT FOUND"))</f>
        <v/>
      </c>
      <c r="K45" s="5" t="str">
        <f>IF(H45="","",_xlfn.XLOOKUP(H45,'[2]Jan Labour Nd Drivers Hyva'!$B:$B,'[2]Jan Labour Nd Drivers Hyva'!$A:$A,"NOT FOUND"))</f>
        <v/>
      </c>
      <c r="L45" s="18" t="s">
        <v>56</v>
      </c>
      <c r="M45" s="19">
        <v>1</v>
      </c>
      <c r="N45" s="20">
        <v>3000</v>
      </c>
      <c r="O45" s="20">
        <f t="shared" si="4"/>
        <v>3000</v>
      </c>
      <c r="P45" s="20">
        <v>3000</v>
      </c>
      <c r="Q45" s="20">
        <f t="shared" si="11"/>
        <v>0</v>
      </c>
      <c r="R45" s="3" t="str">
        <f t="shared" si="6"/>
        <v>PAID</v>
      </c>
      <c r="S45" s="3"/>
      <c r="T45" s="3">
        <f t="shared" si="7"/>
        <v>3000</v>
      </c>
      <c r="U45" s="3" t="str">
        <f t="shared" si="8"/>
        <v>OK</v>
      </c>
      <c r="V45" s="21">
        <f t="shared" si="9"/>
        <v>0</v>
      </c>
      <c r="W45" s="3" t="str">
        <f t="shared" si="10"/>
        <v>OK</v>
      </c>
      <c r="X45" s="3" t="s">
        <v>370</v>
      </c>
    </row>
    <row r="46" spans="1:24" ht="19" x14ac:dyDescent="0.25">
      <c r="A46" t="str">
        <f t="shared" si="0"/>
        <v>TRIP-HR-087</v>
      </c>
      <c r="B46" s="17">
        <v>45826</v>
      </c>
      <c r="C46" s="3" t="str">
        <f>_xlfn.XLOOKUP(D46,'[1]Jan Customer Duplicate Hyva'!$B:$B,'[1]Jan Customer Duplicate Hyva'!$A:$A,"NOT FOUND")</f>
        <v>CUST-180</v>
      </c>
      <c r="D46" s="18" t="s">
        <v>42</v>
      </c>
      <c r="E46" s="18" t="s">
        <v>111</v>
      </c>
      <c r="F46" s="5" t="str">
        <f t="shared" si="1"/>
        <v>Ravi</v>
      </c>
      <c r="G46" s="5" t="str">
        <f t="shared" si="2"/>
        <v>Anshu</v>
      </c>
      <c r="H46" s="5" t="str">
        <f t="shared" si="3"/>
        <v/>
      </c>
      <c r="I46" s="5" t="str">
        <f>_xlfn.XLOOKUP(F46,'[1]Jan Labour Nd Drivers Hyva'!$B:$B,'[2]Jan Labour Nd Drivers Hyva'!$A:$A,"NOT FOUND")</f>
        <v>LAB-003</v>
      </c>
      <c r="J46" s="5" t="str">
        <f>IF(G46="","",_xlfn.XLOOKUP(G46,'[3]Jan Labour Nd Drivers Hyva'!$B:$B,'[2]Jan Labour Nd Drivers Hyva'!$A:$A,"NOT FOUND"))</f>
        <v>LAB-002</v>
      </c>
      <c r="K46" s="5" t="str">
        <f>IF(H46="","",_xlfn.XLOOKUP(H46,'[2]Jan Labour Nd Drivers Hyva'!$B:$B,'[2]Jan Labour Nd Drivers Hyva'!$A:$A,"NOT FOUND"))</f>
        <v/>
      </c>
      <c r="L46" s="18" t="s">
        <v>43</v>
      </c>
      <c r="M46" s="19">
        <v>2</v>
      </c>
      <c r="N46" s="20">
        <v>3000</v>
      </c>
      <c r="O46" s="20">
        <f t="shared" si="4"/>
        <v>6000</v>
      </c>
      <c r="P46" s="20">
        <v>6000</v>
      </c>
      <c r="Q46" s="20">
        <f t="shared" si="11"/>
        <v>0</v>
      </c>
      <c r="R46" s="3" t="str">
        <f t="shared" si="6"/>
        <v>PAID</v>
      </c>
      <c r="S46" s="3"/>
      <c r="T46" s="3">
        <f t="shared" si="7"/>
        <v>6000</v>
      </c>
      <c r="U46" s="3" t="str">
        <f t="shared" si="8"/>
        <v>OK</v>
      </c>
      <c r="V46" s="21">
        <f t="shared" si="9"/>
        <v>0</v>
      </c>
      <c r="W46" s="3" t="str">
        <f t="shared" si="10"/>
        <v>OK</v>
      </c>
      <c r="X46" s="3" t="s">
        <v>370</v>
      </c>
    </row>
    <row r="47" spans="1:24" ht="19" x14ac:dyDescent="0.25">
      <c r="A47" t="str">
        <f t="shared" si="0"/>
        <v>TRIP-HR-088</v>
      </c>
      <c r="B47" s="17">
        <v>45826</v>
      </c>
      <c r="C47" s="3" t="str">
        <f>_xlfn.XLOOKUP(D47,'[1]Jan Customer Duplicate Hyva'!$B:$B,'[1]Jan Customer Duplicate Hyva'!$A:$A,"NOT FOUND")</f>
        <v>CUST-258</v>
      </c>
      <c r="D47" s="18" t="s">
        <v>254</v>
      </c>
      <c r="E47" s="18" t="s">
        <v>30</v>
      </c>
      <c r="F47" s="5" t="str">
        <f t="shared" si="1"/>
        <v>Ravi</v>
      </c>
      <c r="G47" s="5" t="str">
        <f t="shared" si="2"/>
        <v/>
      </c>
      <c r="H47" s="5" t="str">
        <f t="shared" si="3"/>
        <v/>
      </c>
      <c r="I47" s="5" t="str">
        <f>_xlfn.XLOOKUP(F47,'[1]Jan Labour Nd Drivers Hyva'!$B:$B,'[2]Jan Labour Nd Drivers Hyva'!$A:$A,"NOT FOUND")</f>
        <v>LAB-003</v>
      </c>
      <c r="J47" s="5" t="str">
        <f>IF(G47="","",_xlfn.XLOOKUP(G47,'[3]Jan Labour Nd Drivers Hyva'!$B:$B,'[2]Jan Labour Nd Drivers Hyva'!$A:$A,"NOT FOUND"))</f>
        <v/>
      </c>
      <c r="K47" s="5" t="str">
        <f>IF(H47="","",_xlfn.XLOOKUP(H47,'[2]Jan Labour Nd Drivers Hyva'!$B:$B,'[2]Jan Labour Nd Drivers Hyva'!$A:$A,"NOT FOUND"))</f>
        <v/>
      </c>
      <c r="L47" s="18" t="s">
        <v>33</v>
      </c>
      <c r="M47" s="19">
        <v>1</v>
      </c>
      <c r="N47" s="20">
        <v>4000</v>
      </c>
      <c r="O47" s="20">
        <f t="shared" si="4"/>
        <v>4000</v>
      </c>
      <c r="P47" s="20">
        <v>4000</v>
      </c>
      <c r="Q47" s="20">
        <f t="shared" si="11"/>
        <v>0</v>
      </c>
      <c r="R47" s="3" t="str">
        <f t="shared" si="6"/>
        <v>PAID</v>
      </c>
      <c r="S47" s="3"/>
      <c r="T47" s="3">
        <f t="shared" si="7"/>
        <v>4000</v>
      </c>
      <c r="U47" s="3" t="str">
        <f t="shared" si="8"/>
        <v>OK</v>
      </c>
      <c r="V47" s="21">
        <f t="shared" si="9"/>
        <v>0</v>
      </c>
      <c r="W47" s="3" t="str">
        <f t="shared" si="10"/>
        <v>OK</v>
      </c>
      <c r="X47" s="3" t="s">
        <v>370</v>
      </c>
    </row>
    <row r="48" spans="1:24" ht="19" x14ac:dyDescent="0.25">
      <c r="A48" t="str">
        <f t="shared" si="0"/>
        <v>TRIP-HR-089</v>
      </c>
      <c r="B48" s="17">
        <v>45835</v>
      </c>
      <c r="C48" s="3" t="str">
        <f>_xlfn.XLOOKUP(D48,'[1]Jan Customer Duplicate Hyva'!$B:$B,'[1]Jan Customer Duplicate Hyva'!$A:$A,"NOT FOUND")</f>
        <v>CUST-161</v>
      </c>
      <c r="D48" s="18" t="s">
        <v>273</v>
      </c>
      <c r="E48" s="18" t="s">
        <v>30</v>
      </c>
      <c r="F48" s="5" t="str">
        <f t="shared" si="1"/>
        <v>Ravi</v>
      </c>
      <c r="G48" s="5" t="str">
        <f t="shared" si="2"/>
        <v/>
      </c>
      <c r="H48" s="5" t="str">
        <f t="shared" si="3"/>
        <v/>
      </c>
      <c r="I48" s="5" t="str">
        <f>_xlfn.XLOOKUP(F48,'[1]Jan Labour Nd Drivers Hyva'!$B:$B,'[2]Jan Labour Nd Drivers Hyva'!$A:$A,"NOT FOUND")</f>
        <v>LAB-003</v>
      </c>
      <c r="J48" s="5" t="str">
        <f>IF(G48="","",_xlfn.XLOOKUP(G48,'[3]Jan Labour Nd Drivers Hyva'!$B:$B,'[2]Jan Labour Nd Drivers Hyva'!$A:$A,"NOT FOUND"))</f>
        <v/>
      </c>
      <c r="K48" s="5" t="str">
        <f>IF(H48="","",_xlfn.XLOOKUP(H48,'[2]Jan Labour Nd Drivers Hyva'!$B:$B,'[2]Jan Labour Nd Drivers Hyva'!$A:$A,"NOT FOUND"))</f>
        <v/>
      </c>
      <c r="L48" s="18" t="s">
        <v>385</v>
      </c>
      <c r="M48" s="19">
        <v>1</v>
      </c>
      <c r="N48" s="20">
        <v>3700</v>
      </c>
      <c r="O48" s="20">
        <f t="shared" si="4"/>
        <v>3700</v>
      </c>
      <c r="P48" s="20">
        <v>3700</v>
      </c>
      <c r="Q48" s="20">
        <f t="shared" si="11"/>
        <v>0</v>
      </c>
      <c r="R48" s="3" t="str">
        <f t="shared" si="6"/>
        <v>PAID</v>
      </c>
      <c r="S48" s="3"/>
      <c r="T48" s="3">
        <f t="shared" si="7"/>
        <v>3700</v>
      </c>
      <c r="U48" s="3" t="str">
        <f t="shared" si="8"/>
        <v>OK</v>
      </c>
      <c r="V48" s="21">
        <f t="shared" si="9"/>
        <v>0</v>
      </c>
      <c r="W48" s="3" t="str">
        <f t="shared" si="10"/>
        <v>OK</v>
      </c>
      <c r="X48" s="3" t="s">
        <v>370</v>
      </c>
    </row>
    <row r="49" spans="1:24" ht="19" x14ac:dyDescent="0.25">
      <c r="A49" t="str">
        <f t="shared" si="0"/>
        <v>TRIP-HR-090</v>
      </c>
      <c r="B49" s="17">
        <v>45840</v>
      </c>
      <c r="C49" s="3" t="str">
        <f>_xlfn.XLOOKUP(D49,'[1]Jan Customer Duplicate Hyva'!$B:$B,'[1]Jan Customer Duplicate Hyva'!$A:$A,"NOT FOUND")</f>
        <v>CUST-149</v>
      </c>
      <c r="D49" s="18" t="s">
        <v>386</v>
      </c>
      <c r="E49" s="18" t="s">
        <v>30</v>
      </c>
      <c r="F49" s="5" t="str">
        <f t="shared" si="1"/>
        <v>Ravi</v>
      </c>
      <c r="G49" s="5" t="str">
        <f t="shared" si="2"/>
        <v/>
      </c>
      <c r="H49" s="5" t="str">
        <f t="shared" si="3"/>
        <v/>
      </c>
      <c r="I49" s="5" t="str">
        <f>_xlfn.XLOOKUP(F49,'[1]Jan Labour Nd Drivers Hyva'!$B:$B,'[2]Jan Labour Nd Drivers Hyva'!$A:$A,"NOT FOUND")</f>
        <v>LAB-003</v>
      </c>
      <c r="J49" s="5" t="str">
        <f>IF(G49="","",_xlfn.XLOOKUP(G49,'[3]Jan Labour Nd Drivers Hyva'!$B:$B,'[2]Jan Labour Nd Drivers Hyva'!$A:$A,"NOT FOUND"))</f>
        <v/>
      </c>
      <c r="K49" s="5" t="str">
        <f>IF(H49="","",_xlfn.XLOOKUP(H49,'[2]Jan Labour Nd Drivers Hyva'!$B:$B,'[2]Jan Labour Nd Drivers Hyva'!$A:$A,"NOT FOUND"))</f>
        <v/>
      </c>
      <c r="L49" s="18" t="s">
        <v>126</v>
      </c>
      <c r="M49" s="19">
        <v>1</v>
      </c>
      <c r="N49" s="20">
        <v>3500</v>
      </c>
      <c r="O49" s="20">
        <f t="shared" si="4"/>
        <v>3500</v>
      </c>
      <c r="P49" s="20"/>
      <c r="Q49" s="20">
        <f t="shared" si="11"/>
        <v>3500</v>
      </c>
      <c r="R49" s="3" t="str">
        <f t="shared" si="6"/>
        <v>UNPAID</v>
      </c>
      <c r="S49" s="3"/>
      <c r="T49" s="3">
        <f t="shared" si="7"/>
        <v>3500</v>
      </c>
      <c r="U49" s="3" t="str">
        <f t="shared" si="8"/>
        <v>OK</v>
      </c>
      <c r="V49" s="21">
        <f t="shared" si="9"/>
        <v>3500</v>
      </c>
      <c r="W49" s="3" t="str">
        <f t="shared" si="10"/>
        <v>OK</v>
      </c>
      <c r="X49" s="3" t="s">
        <v>370</v>
      </c>
    </row>
    <row r="50" spans="1:24" ht="19" x14ac:dyDescent="0.25">
      <c r="A50" t="str">
        <f t="shared" si="0"/>
        <v>TRIP-HR-091</v>
      </c>
      <c r="B50" s="17">
        <v>45840</v>
      </c>
      <c r="C50" s="3" t="str">
        <f>_xlfn.XLOOKUP(D50,'[1]Jan Customer Duplicate Hyva'!$B:$B,'[1]Jan Customer Duplicate Hyva'!$A:$A,"NOT FOUND")</f>
        <v>CUST-377</v>
      </c>
      <c r="D50" s="18" t="s">
        <v>377</v>
      </c>
      <c r="E50" s="18" t="s">
        <v>30</v>
      </c>
      <c r="F50" s="5" t="str">
        <f t="shared" si="1"/>
        <v>Ravi</v>
      </c>
      <c r="G50" s="5" t="str">
        <f t="shared" si="2"/>
        <v/>
      </c>
      <c r="H50" s="5" t="str">
        <f t="shared" si="3"/>
        <v/>
      </c>
      <c r="I50" s="5" t="str">
        <f>_xlfn.XLOOKUP(F50,'[1]Jan Labour Nd Drivers Hyva'!$B:$B,'[2]Jan Labour Nd Drivers Hyva'!$A:$A,"NOT FOUND")</f>
        <v>LAB-003</v>
      </c>
      <c r="J50" s="5" t="str">
        <f>IF(G50="","",_xlfn.XLOOKUP(G50,'[3]Jan Labour Nd Drivers Hyva'!$B:$B,'[2]Jan Labour Nd Drivers Hyva'!$A:$A,"NOT FOUND"))</f>
        <v/>
      </c>
      <c r="K50" s="5" t="str">
        <f>IF(H50="","",_xlfn.XLOOKUP(H50,'[2]Jan Labour Nd Drivers Hyva'!$B:$B,'[2]Jan Labour Nd Drivers Hyva'!$A:$A,"NOT FOUND"))</f>
        <v/>
      </c>
      <c r="L50" s="18" t="s">
        <v>56</v>
      </c>
      <c r="M50" s="19">
        <v>2</v>
      </c>
      <c r="N50" s="20">
        <v>3500</v>
      </c>
      <c r="O50" s="20">
        <f t="shared" si="4"/>
        <v>7000</v>
      </c>
      <c r="P50" s="20">
        <v>7000</v>
      </c>
      <c r="Q50" s="20">
        <f t="shared" si="11"/>
        <v>0</v>
      </c>
      <c r="R50" s="3" t="str">
        <f t="shared" si="6"/>
        <v>PAID</v>
      </c>
      <c r="S50" s="3"/>
      <c r="T50" s="3">
        <f t="shared" si="7"/>
        <v>7000</v>
      </c>
      <c r="U50" s="3" t="str">
        <f t="shared" si="8"/>
        <v>OK</v>
      </c>
      <c r="V50" s="21">
        <f t="shared" si="9"/>
        <v>0</v>
      </c>
      <c r="W50" s="3" t="str">
        <f t="shared" si="10"/>
        <v>OK</v>
      </c>
      <c r="X50" s="3" t="s">
        <v>370</v>
      </c>
    </row>
    <row r="51" spans="1:24" ht="19" x14ac:dyDescent="0.25">
      <c r="A51" t="str">
        <f t="shared" si="0"/>
        <v>TRIP-HR-092</v>
      </c>
      <c r="B51" s="17">
        <v>45842</v>
      </c>
      <c r="C51" s="3" t="str">
        <f>_xlfn.XLOOKUP(D51,'[1]Jan Customer Duplicate Hyva'!$B:$B,'[1]Jan Customer Duplicate Hyva'!$A:$A,"NOT FOUND")</f>
        <v>CUST-037</v>
      </c>
      <c r="D51" s="18" t="s">
        <v>99</v>
      </c>
      <c r="E51" s="18" t="s">
        <v>55</v>
      </c>
      <c r="F51" s="5" t="str">
        <f t="shared" si="1"/>
        <v>Gaju Bhau</v>
      </c>
      <c r="G51" s="5" t="str">
        <f t="shared" si="2"/>
        <v/>
      </c>
      <c r="H51" s="5" t="str">
        <f t="shared" si="3"/>
        <v/>
      </c>
      <c r="I51" s="5" t="str">
        <f>_xlfn.XLOOKUP(F51,'[1]Jan Labour Nd Drivers Hyva'!$B:$B,'[2]Jan Labour Nd Drivers Hyva'!$A:$A,"NOT FOUND")</f>
        <v>LAB-001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18" t="s">
        <v>187</v>
      </c>
      <c r="M51" s="19">
        <v>2</v>
      </c>
      <c r="N51" s="20">
        <v>4000</v>
      </c>
      <c r="O51" s="20">
        <f t="shared" si="4"/>
        <v>8000</v>
      </c>
      <c r="P51" s="20">
        <v>8000</v>
      </c>
      <c r="Q51" s="20">
        <f t="shared" si="11"/>
        <v>0</v>
      </c>
      <c r="R51" s="3" t="str">
        <f t="shared" si="6"/>
        <v>PAID</v>
      </c>
      <c r="S51" s="3"/>
      <c r="T51" s="3">
        <f t="shared" si="7"/>
        <v>8000</v>
      </c>
      <c r="U51" s="3" t="str">
        <f t="shared" si="8"/>
        <v>OK</v>
      </c>
      <c r="V51" s="21">
        <f t="shared" si="9"/>
        <v>0</v>
      </c>
      <c r="W51" s="3" t="str">
        <f t="shared" si="10"/>
        <v>OK</v>
      </c>
      <c r="X51" s="3" t="s">
        <v>370</v>
      </c>
    </row>
    <row r="52" spans="1:24" ht="19" x14ac:dyDescent="0.25">
      <c r="A52" t="str">
        <f t="shared" si="0"/>
        <v>TRIP-HR-093</v>
      </c>
      <c r="B52" s="17">
        <v>45842</v>
      </c>
      <c r="C52" s="3" t="str">
        <f>_xlfn.XLOOKUP(D52,'[1]Jan Customer Duplicate Hyva'!$B:$B,'[1]Jan Customer Duplicate Hyva'!$A:$A,"NOT FOUND")</f>
        <v>CUST-169</v>
      </c>
      <c r="D52" s="18" t="s">
        <v>46</v>
      </c>
      <c r="E52" s="18" t="s">
        <v>30</v>
      </c>
      <c r="F52" s="5" t="str">
        <f t="shared" si="1"/>
        <v>Ravi</v>
      </c>
      <c r="G52" s="5" t="str">
        <f t="shared" si="2"/>
        <v/>
      </c>
      <c r="H52" s="5" t="str">
        <f t="shared" si="3"/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18" t="s">
        <v>387</v>
      </c>
      <c r="M52" s="19">
        <v>3</v>
      </c>
      <c r="N52" s="20">
        <v>3833</v>
      </c>
      <c r="O52" s="20">
        <f t="shared" si="4"/>
        <v>11499</v>
      </c>
      <c r="P52" s="20">
        <v>11499</v>
      </c>
      <c r="Q52" s="20">
        <f t="shared" si="11"/>
        <v>0</v>
      </c>
      <c r="R52" s="3" t="str">
        <f t="shared" si="6"/>
        <v>PAID</v>
      </c>
      <c r="S52" s="3"/>
      <c r="T52" s="3">
        <f t="shared" si="7"/>
        <v>11499</v>
      </c>
      <c r="U52" s="3" t="str">
        <f t="shared" si="8"/>
        <v>OK</v>
      </c>
      <c r="V52" s="21">
        <f t="shared" si="9"/>
        <v>0</v>
      </c>
      <c r="W52" s="3" t="str">
        <f t="shared" si="10"/>
        <v>OK</v>
      </c>
      <c r="X52" s="3" t="s">
        <v>370</v>
      </c>
    </row>
    <row r="53" spans="1:24" ht="19" x14ac:dyDescent="0.25">
      <c r="A53" t="str">
        <f t="shared" si="0"/>
        <v>TRIP-HR-094</v>
      </c>
      <c r="B53" s="17">
        <v>45842</v>
      </c>
      <c r="C53" s="3" t="str">
        <f>_xlfn.XLOOKUP(D53,'[1]Jan Customer Duplicate Hyva'!$B:$B,'[1]Jan Customer Duplicate Hyva'!$A:$A,"NOT FOUND")</f>
        <v>NOT FOUND</v>
      </c>
      <c r="D53" s="18" t="s">
        <v>322</v>
      </c>
      <c r="E53" s="18" t="s">
        <v>55</v>
      </c>
      <c r="F53" s="5" t="str">
        <f t="shared" si="1"/>
        <v>Gaju Bhau</v>
      </c>
      <c r="G53" s="5" t="str">
        <f t="shared" si="2"/>
        <v/>
      </c>
      <c r="H53" s="5" t="str">
        <f t="shared" si="3"/>
        <v/>
      </c>
      <c r="I53" s="5" t="str">
        <f>_xlfn.XLOOKUP(F53,'[1]Jan Labour Nd Drivers Hyva'!$B:$B,'[2]Jan Labour Nd Drivers Hyva'!$A:$A,"NOT FOUND")</f>
        <v>LAB-001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18" t="s">
        <v>388</v>
      </c>
      <c r="M53" s="19">
        <v>1</v>
      </c>
      <c r="N53" s="20">
        <v>0</v>
      </c>
      <c r="O53" s="20">
        <f t="shared" si="4"/>
        <v>0</v>
      </c>
      <c r="P53" s="20"/>
      <c r="Q53" s="20">
        <f t="shared" si="11"/>
        <v>0</v>
      </c>
      <c r="R53" s="3" t="str">
        <f t="shared" si="6"/>
        <v>PAID</v>
      </c>
      <c r="S53" s="3"/>
      <c r="T53" s="3">
        <f t="shared" si="7"/>
        <v>0</v>
      </c>
      <c r="U53" s="3" t="str">
        <f t="shared" si="8"/>
        <v>OK</v>
      </c>
      <c r="V53" s="21">
        <f t="shared" si="9"/>
        <v>0</v>
      </c>
      <c r="W53" s="3" t="str">
        <f t="shared" si="10"/>
        <v>OK</v>
      </c>
      <c r="X53" s="3" t="s">
        <v>370</v>
      </c>
    </row>
    <row r="54" spans="1:24" ht="19" x14ac:dyDescent="0.25">
      <c r="A54" t="str">
        <f t="shared" si="0"/>
        <v>TRIP-HR-095</v>
      </c>
      <c r="B54" s="17">
        <v>45842</v>
      </c>
      <c r="C54" s="3" t="str">
        <f>_xlfn.XLOOKUP(D54,'[1]Jan Customer Duplicate Hyva'!$B:$B,'[1]Jan Customer Duplicate Hyva'!$A:$A,"NOT FOUND")</f>
        <v>NOT FOUND</v>
      </c>
      <c r="D54" s="18" t="s">
        <v>322</v>
      </c>
      <c r="E54" s="18" t="s">
        <v>30</v>
      </c>
      <c r="F54" s="5" t="str">
        <f t="shared" si="1"/>
        <v>Ravi</v>
      </c>
      <c r="G54" s="5" t="str">
        <f t="shared" si="2"/>
        <v/>
      </c>
      <c r="H54" s="5" t="str">
        <f t="shared" si="3"/>
        <v/>
      </c>
      <c r="I54" s="5" t="str">
        <f>_xlfn.XLOOKUP(F54,'[1]Jan Labour Nd Drivers Hyva'!$B:$B,'[2]Jan Labour Nd Drivers Hyva'!$A:$A,"NOT FOUND")</f>
        <v>LAB-003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18" t="s">
        <v>388</v>
      </c>
      <c r="M54" s="19">
        <v>1</v>
      </c>
      <c r="N54" s="20">
        <v>0</v>
      </c>
      <c r="O54" s="20">
        <f t="shared" si="4"/>
        <v>0</v>
      </c>
      <c r="P54" s="20"/>
      <c r="Q54" s="20">
        <f t="shared" si="11"/>
        <v>0</v>
      </c>
      <c r="R54" s="3" t="str">
        <f t="shared" si="6"/>
        <v>PAID</v>
      </c>
      <c r="S54" s="3"/>
      <c r="T54" s="3">
        <f t="shared" si="7"/>
        <v>0</v>
      </c>
      <c r="U54" s="3" t="str">
        <f t="shared" si="8"/>
        <v>OK</v>
      </c>
      <c r="V54" s="21">
        <f t="shared" si="9"/>
        <v>0</v>
      </c>
      <c r="W54" s="3" t="str">
        <f t="shared" si="10"/>
        <v>OK</v>
      </c>
      <c r="X54" s="3" t="s">
        <v>370</v>
      </c>
    </row>
    <row r="55" spans="1:24" ht="19" x14ac:dyDescent="0.25">
      <c r="A55" t="str">
        <f t="shared" si="0"/>
        <v>TRIP-HR-096</v>
      </c>
      <c r="B55" s="17">
        <v>45852</v>
      </c>
      <c r="C55" s="3" t="str">
        <f>_xlfn.XLOOKUP(D55,'[1]Jan Customer Duplicate Hyva'!$B:$B,'[1]Jan Customer Duplicate Hyva'!$A:$A,"NOT FOUND")</f>
        <v>CUST-391</v>
      </c>
      <c r="D55" s="18" t="s">
        <v>389</v>
      </c>
      <c r="E55" s="18" t="s">
        <v>55</v>
      </c>
      <c r="F55" s="5" t="str">
        <f t="shared" si="1"/>
        <v>Gaju Bhau</v>
      </c>
      <c r="G55" s="5" t="str">
        <f t="shared" si="2"/>
        <v/>
      </c>
      <c r="H55" s="5" t="str">
        <f t="shared" si="3"/>
        <v/>
      </c>
      <c r="I55" s="5" t="str">
        <f>_xlfn.XLOOKUP(F55,'[1]Jan Labour Nd Drivers Hyva'!$B:$B,'[2]Jan Labour Nd Drivers Hyva'!$A:$A,"NOT FOUND")</f>
        <v>LAB-001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18" t="s">
        <v>172</v>
      </c>
      <c r="M55" s="19">
        <v>2</v>
      </c>
      <c r="N55" s="20">
        <v>3000</v>
      </c>
      <c r="O55" s="20">
        <f t="shared" si="4"/>
        <v>6000</v>
      </c>
      <c r="P55" s="20">
        <v>6000</v>
      </c>
      <c r="Q55" s="20">
        <f t="shared" si="11"/>
        <v>0</v>
      </c>
      <c r="R55" s="3" t="str">
        <f t="shared" si="6"/>
        <v>PAID</v>
      </c>
      <c r="S55" s="3"/>
      <c r="T55" s="3">
        <f t="shared" si="7"/>
        <v>6000</v>
      </c>
      <c r="U55" s="3" t="str">
        <f t="shared" si="8"/>
        <v>OK</v>
      </c>
      <c r="V55" s="21">
        <f t="shared" si="9"/>
        <v>0</v>
      </c>
      <c r="W55" s="3" t="str">
        <f t="shared" si="10"/>
        <v>OK</v>
      </c>
      <c r="X55" s="3" t="s">
        <v>370</v>
      </c>
    </row>
    <row r="56" spans="1:24" ht="19" x14ac:dyDescent="0.25">
      <c r="A56" t="str">
        <f t="shared" si="0"/>
        <v>TRIP-HR-097</v>
      </c>
      <c r="B56" s="17">
        <v>45853</v>
      </c>
      <c r="C56" s="3" t="str">
        <f>_xlfn.XLOOKUP(D56,'[1]Jan Customer Duplicate Hyva'!$B:$B,'[1]Jan Customer Duplicate Hyva'!$A:$A,"NOT FOUND")</f>
        <v>CUST-120</v>
      </c>
      <c r="D56" s="18" t="s">
        <v>122</v>
      </c>
      <c r="E56" s="18" t="s">
        <v>55</v>
      </c>
      <c r="F56" s="5" t="str">
        <f t="shared" si="1"/>
        <v>Gaju Bhau</v>
      </c>
      <c r="G56" s="5" t="str">
        <f t="shared" si="2"/>
        <v/>
      </c>
      <c r="H56" s="5" t="str">
        <f t="shared" si="3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18" t="s">
        <v>142</v>
      </c>
      <c r="M56" s="19">
        <v>3</v>
      </c>
      <c r="N56" s="20">
        <v>4000</v>
      </c>
      <c r="O56" s="20">
        <f t="shared" si="4"/>
        <v>12000</v>
      </c>
      <c r="P56" s="20">
        <v>12000</v>
      </c>
      <c r="Q56" s="20">
        <f t="shared" si="11"/>
        <v>0</v>
      </c>
      <c r="R56" s="3" t="str">
        <f t="shared" si="6"/>
        <v>PAID</v>
      </c>
      <c r="S56" s="3"/>
      <c r="T56" s="3">
        <f t="shared" si="7"/>
        <v>12000</v>
      </c>
      <c r="U56" s="3" t="str">
        <f t="shared" si="8"/>
        <v>OK</v>
      </c>
      <c r="V56" s="21">
        <f t="shared" si="9"/>
        <v>0</v>
      </c>
      <c r="W56" s="3" t="str">
        <f t="shared" si="10"/>
        <v>OK</v>
      </c>
      <c r="X56" s="3" t="s">
        <v>370</v>
      </c>
    </row>
    <row r="57" spans="1:24" ht="19" x14ac:dyDescent="0.25">
      <c r="A57" t="str">
        <f t="shared" si="0"/>
        <v>TRIP-HR-098</v>
      </c>
      <c r="B57" s="17">
        <v>45853</v>
      </c>
      <c r="C57" s="3" t="str">
        <f>_xlfn.XLOOKUP(D57,'[1]Jan Customer Duplicate Hyva'!$B:$B,'[1]Jan Customer Duplicate Hyva'!$A:$A,"NOT FOUND")</f>
        <v>CUST-391</v>
      </c>
      <c r="D57" s="18" t="s">
        <v>389</v>
      </c>
      <c r="E57" s="18" t="s">
        <v>55</v>
      </c>
      <c r="F57" s="5" t="str">
        <f t="shared" si="1"/>
        <v>Gaju Bhau</v>
      </c>
      <c r="G57" s="5" t="str">
        <f t="shared" si="2"/>
        <v/>
      </c>
      <c r="H57" s="5" t="str">
        <f t="shared" si="3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18" t="s">
        <v>172</v>
      </c>
      <c r="M57" s="19">
        <v>1</v>
      </c>
      <c r="N57" s="20">
        <v>3000</v>
      </c>
      <c r="O57" s="20">
        <f t="shared" si="4"/>
        <v>3000</v>
      </c>
      <c r="P57" s="20">
        <v>3000</v>
      </c>
      <c r="Q57" s="20">
        <f t="shared" si="11"/>
        <v>0</v>
      </c>
      <c r="R57" s="3" t="str">
        <f t="shared" si="6"/>
        <v>PAID</v>
      </c>
      <c r="S57" s="3"/>
      <c r="T57" s="3">
        <f t="shared" si="7"/>
        <v>3000</v>
      </c>
      <c r="U57" s="3" t="str">
        <f t="shared" si="8"/>
        <v>OK</v>
      </c>
      <c r="V57" s="21">
        <f t="shared" si="9"/>
        <v>0</v>
      </c>
      <c r="W57" s="3" t="str">
        <f t="shared" si="10"/>
        <v>OK</v>
      </c>
      <c r="X57" s="3" t="s">
        <v>370</v>
      </c>
    </row>
    <row r="58" spans="1:24" ht="19" x14ac:dyDescent="0.25">
      <c r="A58" t="str">
        <f t="shared" si="0"/>
        <v>TRIP-HR-099</v>
      </c>
      <c r="B58" s="17">
        <v>45854</v>
      </c>
      <c r="C58" s="3" t="str">
        <f>_xlfn.XLOOKUP(D58,'[1]Jan Customer Duplicate Hyva'!$B:$B,'[1]Jan Customer Duplicate Hyva'!$A:$A,"NOT FOUND")</f>
        <v>NOT FOUND</v>
      </c>
      <c r="D58" s="18" t="s">
        <v>390</v>
      </c>
      <c r="E58" s="18" t="s">
        <v>74</v>
      </c>
      <c r="F58" s="5" t="str">
        <f t="shared" si="1"/>
        <v>Ravi</v>
      </c>
      <c r="G58" s="5" t="str">
        <f t="shared" si="2"/>
        <v>Gaju Bhau</v>
      </c>
      <c r="H58" s="5" t="str">
        <f t="shared" si="3"/>
        <v/>
      </c>
      <c r="I58" s="5" t="str">
        <f>_xlfn.XLOOKUP(F58,'[1]Jan Labour Nd Drivers Hyva'!$B:$B,'[2]Jan Labour Nd Drivers Hyva'!$A:$A,"NOT FOUND")</f>
        <v>LAB-003</v>
      </c>
      <c r="J58" s="5" t="str">
        <f>IF(G58="","",_xlfn.XLOOKUP(G58,'[3]Jan Labour Nd Drivers Hyva'!$B:$B,'[2]Jan Labour Nd Drivers Hyva'!$A:$A,"NOT FOUND"))</f>
        <v>LAB-001</v>
      </c>
      <c r="K58" s="5" t="str">
        <f>IF(H58="","",_xlfn.XLOOKUP(H58,'[2]Jan Labour Nd Drivers Hyva'!$B:$B,'[2]Jan Labour Nd Drivers Hyva'!$A:$A,"NOT FOUND"))</f>
        <v/>
      </c>
      <c r="L58" s="18" t="s">
        <v>391</v>
      </c>
      <c r="M58" s="19">
        <v>4</v>
      </c>
      <c r="N58" s="20">
        <v>4500</v>
      </c>
      <c r="O58" s="20">
        <f t="shared" si="4"/>
        <v>18000</v>
      </c>
      <c r="P58" s="20">
        <v>18000</v>
      </c>
      <c r="Q58" s="20">
        <f t="shared" si="11"/>
        <v>0</v>
      </c>
      <c r="R58" s="3" t="str">
        <f t="shared" si="6"/>
        <v>PAID</v>
      </c>
      <c r="S58" s="3"/>
      <c r="T58" s="3">
        <f t="shared" si="7"/>
        <v>18000</v>
      </c>
      <c r="U58" s="3" t="str">
        <f t="shared" si="8"/>
        <v>OK</v>
      </c>
      <c r="V58" s="21">
        <f t="shared" si="9"/>
        <v>0</v>
      </c>
      <c r="W58" s="3" t="str">
        <f t="shared" si="10"/>
        <v>OK</v>
      </c>
      <c r="X58" s="3" t="s">
        <v>370</v>
      </c>
    </row>
    <row r="59" spans="1:24" ht="19" x14ac:dyDescent="0.25">
      <c r="A59" t="str">
        <f t="shared" si="0"/>
        <v>TRIP-HR-100</v>
      </c>
      <c r="B59" s="17">
        <v>45854</v>
      </c>
      <c r="C59" s="3" t="str">
        <f>_xlfn.XLOOKUP(D59,'[1]Jan Customer Duplicate Hyva'!$B:$B,'[1]Jan Customer Duplicate Hyva'!$A:$A,"NOT FOUND")</f>
        <v>CUST-391</v>
      </c>
      <c r="D59" s="18" t="s">
        <v>389</v>
      </c>
      <c r="E59" s="18" t="s">
        <v>74</v>
      </c>
      <c r="F59" s="5" t="str">
        <f t="shared" si="1"/>
        <v>Ravi</v>
      </c>
      <c r="G59" s="5" t="str">
        <f t="shared" si="2"/>
        <v>Gaju Bhau</v>
      </c>
      <c r="H59" s="5" t="str">
        <f t="shared" si="3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>LAB-001</v>
      </c>
      <c r="K59" s="5" t="str">
        <f>IF(H59="","",_xlfn.XLOOKUP(H59,'[2]Jan Labour Nd Drivers Hyva'!$B:$B,'[2]Jan Labour Nd Drivers Hyva'!$A:$A,"NOT FOUND"))</f>
        <v/>
      </c>
      <c r="L59" s="18" t="s">
        <v>172</v>
      </c>
      <c r="M59" s="19">
        <v>4</v>
      </c>
      <c r="N59" s="20">
        <v>3000</v>
      </c>
      <c r="O59" s="20">
        <f t="shared" si="4"/>
        <v>12000</v>
      </c>
      <c r="P59" s="20">
        <v>12000</v>
      </c>
      <c r="Q59" s="20">
        <f t="shared" si="11"/>
        <v>0</v>
      </c>
      <c r="R59" s="3" t="str">
        <f t="shared" si="6"/>
        <v>PAID</v>
      </c>
      <c r="S59" s="3"/>
      <c r="T59" s="3">
        <f t="shared" si="7"/>
        <v>12000</v>
      </c>
      <c r="U59" s="3" t="str">
        <f t="shared" si="8"/>
        <v>OK</v>
      </c>
      <c r="V59" s="21">
        <f t="shared" si="9"/>
        <v>0</v>
      </c>
      <c r="W59" s="3" t="str">
        <f t="shared" si="10"/>
        <v>OK</v>
      </c>
      <c r="X59" s="3" t="s">
        <v>370</v>
      </c>
    </row>
    <row r="60" spans="1:24" ht="19" x14ac:dyDescent="0.25">
      <c r="A60" t="str">
        <f t="shared" si="0"/>
        <v>TRIP-HR-101</v>
      </c>
      <c r="B60" s="17">
        <v>45855</v>
      </c>
      <c r="C60" s="3" t="str">
        <f>_xlfn.XLOOKUP(D60,'[1]Jan Customer Duplicate Hyva'!$B:$B,'[1]Jan Customer Duplicate Hyva'!$A:$A,"NOT FOUND")</f>
        <v>CUST-194</v>
      </c>
      <c r="D60" s="18" t="s">
        <v>392</v>
      </c>
      <c r="E60" s="18" t="s">
        <v>196</v>
      </c>
      <c r="F60" s="5" t="str">
        <f t="shared" si="1"/>
        <v>Gaju Bhau</v>
      </c>
      <c r="G60" s="5" t="str">
        <f t="shared" si="2"/>
        <v>Ravi</v>
      </c>
      <c r="H60" s="5" t="str">
        <f t="shared" si="3"/>
        <v/>
      </c>
      <c r="I60" s="5" t="str">
        <f>_xlfn.XLOOKUP(F60,'[1]Jan Labour Nd Drivers Hyva'!$B:$B,'[2]Jan Labour Nd Drivers Hyva'!$A:$A,"NOT FOUND")</f>
        <v>LAB-001</v>
      </c>
      <c r="J60" s="5" t="str">
        <f>IF(G60="","",_xlfn.XLOOKUP(G60,'[3]Jan Labour Nd Drivers Hyva'!$B:$B,'[2]Jan Labour Nd Drivers Hyva'!$A:$A,"NOT FOUND"))</f>
        <v>LAB-003</v>
      </c>
      <c r="K60" s="5" t="str">
        <f>IF(H60="","",_xlfn.XLOOKUP(H60,'[2]Jan Labour Nd Drivers Hyva'!$B:$B,'[2]Jan Labour Nd Drivers Hyva'!$A:$A,"NOT FOUND"))</f>
        <v/>
      </c>
      <c r="L60" s="18" t="s">
        <v>393</v>
      </c>
      <c r="M60" s="19">
        <v>2</v>
      </c>
      <c r="N60" s="20">
        <v>8000</v>
      </c>
      <c r="O60" s="20">
        <f t="shared" si="4"/>
        <v>16000</v>
      </c>
      <c r="P60" s="20">
        <v>16000</v>
      </c>
      <c r="Q60" s="20">
        <f t="shared" si="11"/>
        <v>0</v>
      </c>
      <c r="R60" s="3" t="str">
        <f t="shared" si="6"/>
        <v>PAID</v>
      </c>
      <c r="S60" s="3"/>
      <c r="T60" s="3">
        <f t="shared" si="7"/>
        <v>16000</v>
      </c>
      <c r="U60" s="3" t="str">
        <f t="shared" si="8"/>
        <v>OK</v>
      </c>
      <c r="V60" s="21">
        <f t="shared" si="9"/>
        <v>0</v>
      </c>
      <c r="W60" s="3" t="str">
        <f t="shared" si="10"/>
        <v>OK</v>
      </c>
      <c r="X60" s="3" t="s">
        <v>370</v>
      </c>
    </row>
    <row r="61" spans="1:24" ht="19" x14ac:dyDescent="0.25">
      <c r="A61" t="str">
        <f t="shared" si="0"/>
        <v>TRIP-HR-102</v>
      </c>
      <c r="B61" s="17">
        <v>45870</v>
      </c>
      <c r="C61" s="3" t="str">
        <f>_xlfn.XLOOKUP(D61,'[1]Jan Customer Duplicate Hyva'!$B:$B,'[1]Jan Customer Duplicate Hyva'!$A:$A,"NOT FOUND")</f>
        <v>CUST-207</v>
      </c>
      <c r="D61" s="18" t="s">
        <v>25</v>
      </c>
      <c r="E61" s="18" t="s">
        <v>26</v>
      </c>
      <c r="F61" s="5" t="str">
        <f t="shared" si="1"/>
        <v>Anshu</v>
      </c>
      <c r="G61" s="5" t="str">
        <f t="shared" si="2"/>
        <v/>
      </c>
      <c r="H61" s="5" t="str">
        <f t="shared" si="3"/>
        <v/>
      </c>
      <c r="I61" s="5" t="str">
        <f>_xlfn.XLOOKUP(F61,'[1]Jan Labour Nd Drivers Hyva'!$B:$B,'[2]Jan Labour Nd Drivers Hyva'!$A:$A,"NOT FOUND")</f>
        <v>LAB-002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18" t="s">
        <v>394</v>
      </c>
      <c r="M61" s="19">
        <v>1</v>
      </c>
      <c r="N61" s="20">
        <v>4000</v>
      </c>
      <c r="O61" s="20">
        <f t="shared" si="4"/>
        <v>4000</v>
      </c>
      <c r="P61" s="20">
        <v>4000</v>
      </c>
      <c r="Q61" s="20">
        <f t="shared" si="11"/>
        <v>0</v>
      </c>
      <c r="R61" s="3" t="str">
        <f t="shared" si="6"/>
        <v>PAID</v>
      </c>
      <c r="S61" s="3"/>
      <c r="T61" s="3">
        <f t="shared" si="7"/>
        <v>4000</v>
      </c>
      <c r="U61" s="3" t="str">
        <f t="shared" si="8"/>
        <v>OK</v>
      </c>
      <c r="V61" s="21">
        <f t="shared" si="9"/>
        <v>0</v>
      </c>
      <c r="W61" s="3" t="str">
        <f t="shared" si="10"/>
        <v>OK</v>
      </c>
      <c r="X61" s="3" t="s">
        <v>370</v>
      </c>
    </row>
    <row r="62" spans="1:24" ht="19" x14ac:dyDescent="0.25">
      <c r="A62" t="str">
        <f t="shared" si="0"/>
        <v>TRIP-HR-103</v>
      </c>
      <c r="B62" s="17">
        <v>45870</v>
      </c>
      <c r="C62" s="3" t="str">
        <f>_xlfn.XLOOKUP(D62,'[1]Jan Customer Duplicate Hyva'!$B:$B,'[1]Jan Customer Duplicate Hyva'!$A:$A,"NOT FOUND")</f>
        <v>CUST-391</v>
      </c>
      <c r="D62" s="18" t="s">
        <v>389</v>
      </c>
      <c r="E62" s="18" t="s">
        <v>26</v>
      </c>
      <c r="F62" s="5" t="str">
        <f t="shared" si="1"/>
        <v>Anshu</v>
      </c>
      <c r="G62" s="5" t="str">
        <f t="shared" si="2"/>
        <v/>
      </c>
      <c r="H62" s="5" t="str">
        <f t="shared" si="3"/>
        <v/>
      </c>
      <c r="I62" s="5" t="str">
        <f>_xlfn.XLOOKUP(F62,'[1]Jan Labour Nd Drivers Hyva'!$B:$B,'[2]Jan Labour Nd Drivers Hyva'!$A:$A,"NOT FOUND")</f>
        <v>LAB-002</v>
      </c>
      <c r="J62" s="5" t="str">
        <f>IF(G62="","",_xlfn.XLOOKUP(G62,'[3]Jan Labour Nd Drivers Hyva'!$B:$B,'[2]Jan Labour Nd Drivers Hyva'!$A:$A,"NOT FOUND"))</f>
        <v/>
      </c>
      <c r="K62" s="5" t="str">
        <f>IF(H62="","",_xlfn.XLOOKUP(H62,'[2]Jan Labour Nd Drivers Hyva'!$B:$B,'[2]Jan Labour Nd Drivers Hyva'!$A:$A,"NOT FOUND"))</f>
        <v/>
      </c>
      <c r="L62" s="18" t="s">
        <v>172</v>
      </c>
      <c r="M62" s="19">
        <v>2</v>
      </c>
      <c r="N62" s="20">
        <v>3000</v>
      </c>
      <c r="O62" s="20">
        <f t="shared" si="4"/>
        <v>6000</v>
      </c>
      <c r="P62" s="20">
        <v>6000</v>
      </c>
      <c r="Q62" s="20">
        <f t="shared" si="11"/>
        <v>0</v>
      </c>
      <c r="R62" s="3" t="str">
        <f t="shared" si="6"/>
        <v>PAID</v>
      </c>
      <c r="S62" s="3"/>
      <c r="T62" s="3">
        <f t="shared" si="7"/>
        <v>6000</v>
      </c>
      <c r="U62" s="3" t="str">
        <f t="shared" si="8"/>
        <v>OK</v>
      </c>
      <c r="V62" s="21">
        <f t="shared" si="9"/>
        <v>0</v>
      </c>
      <c r="W62" s="3" t="str">
        <f t="shared" si="10"/>
        <v>OK</v>
      </c>
      <c r="X62" s="3" t="s">
        <v>370</v>
      </c>
    </row>
    <row r="63" spans="1:24" ht="19" x14ac:dyDescent="0.25">
      <c r="A63" t="str">
        <f t="shared" si="0"/>
        <v>TRIP-HR-104</v>
      </c>
      <c r="B63" s="17">
        <v>45871</v>
      </c>
      <c r="C63" s="3" t="str">
        <f>_xlfn.XLOOKUP(D63,'[1]Jan Customer Duplicate Hyva'!$B:$B,'[1]Jan Customer Duplicate Hyva'!$A:$A,"NOT FOUND")</f>
        <v>NOT FOUND</v>
      </c>
      <c r="D63" s="18" t="s">
        <v>378</v>
      </c>
      <c r="E63" s="18" t="s">
        <v>26</v>
      </c>
      <c r="F63" s="5" t="str">
        <f t="shared" si="1"/>
        <v>Anshu</v>
      </c>
      <c r="G63" s="5" t="str">
        <f t="shared" si="2"/>
        <v/>
      </c>
      <c r="H63" s="5" t="str">
        <f t="shared" si="3"/>
        <v/>
      </c>
      <c r="I63" s="5" t="str">
        <f>_xlfn.XLOOKUP(F63,'[1]Jan Labour Nd Drivers Hyva'!$B:$B,'[2]Jan Labour Nd Drivers Hyva'!$A:$A,"NOT FOUND")</f>
        <v>LAB-002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18" t="s">
        <v>125</v>
      </c>
      <c r="M63" s="19">
        <v>1</v>
      </c>
      <c r="N63" s="20">
        <v>5500</v>
      </c>
      <c r="O63" s="20">
        <f t="shared" si="4"/>
        <v>5500</v>
      </c>
      <c r="P63" s="20">
        <v>5500</v>
      </c>
      <c r="Q63" s="20">
        <f t="shared" si="11"/>
        <v>0</v>
      </c>
      <c r="R63" s="3" t="str">
        <f t="shared" si="6"/>
        <v>PAID</v>
      </c>
      <c r="S63" s="3"/>
      <c r="T63" s="3">
        <f t="shared" si="7"/>
        <v>5500</v>
      </c>
      <c r="U63" s="3" t="str">
        <f t="shared" si="8"/>
        <v>OK</v>
      </c>
      <c r="V63" s="21">
        <f t="shared" si="9"/>
        <v>0</v>
      </c>
      <c r="W63" s="3" t="str">
        <f t="shared" si="10"/>
        <v>OK</v>
      </c>
      <c r="X63" s="3" t="s">
        <v>370</v>
      </c>
    </row>
    <row r="64" spans="1:24" ht="19" x14ac:dyDescent="0.25">
      <c r="A64" t="str">
        <f t="shared" si="0"/>
        <v>TRIP-HR-105</v>
      </c>
      <c r="B64" s="17">
        <v>45872</v>
      </c>
      <c r="C64" s="3" t="str">
        <f>_xlfn.XLOOKUP(D64,'[1]Jan Customer Duplicate Hyva'!$B:$B,'[1]Jan Customer Duplicate Hyva'!$A:$A,"NOT FOUND")</f>
        <v>CUST-059</v>
      </c>
      <c r="D64" s="18" t="s">
        <v>84</v>
      </c>
      <c r="E64" s="18" t="s">
        <v>26</v>
      </c>
      <c r="F64" s="5" t="str">
        <f t="shared" si="1"/>
        <v>Anshu</v>
      </c>
      <c r="G64" s="5" t="str">
        <f t="shared" si="2"/>
        <v/>
      </c>
      <c r="H64" s="5" t="str">
        <f t="shared" si="3"/>
        <v/>
      </c>
      <c r="I64" s="5" t="str">
        <f>_xlfn.XLOOKUP(F64,'[1]Jan Labour Nd Drivers Hyva'!$B:$B,'[2]Jan Labour Nd Drivers Hyva'!$A:$A,"NOT FOUND")</f>
        <v>LAB-002</v>
      </c>
      <c r="J64" s="5" t="str">
        <f>IF(G64="","",_xlfn.XLOOKUP(G64,'[3]Jan Labour Nd Drivers Hyva'!$B:$B,'[2]Jan Labour Nd Drivers Hyva'!$A:$A,"NOT FOUND"))</f>
        <v/>
      </c>
      <c r="K64" s="5" t="str">
        <f>IF(H64="","",_xlfn.XLOOKUP(H64,'[2]Jan Labour Nd Drivers Hyva'!$B:$B,'[2]Jan Labour Nd Drivers Hyva'!$A:$A,"NOT FOUND"))</f>
        <v/>
      </c>
      <c r="L64" s="18" t="s">
        <v>61</v>
      </c>
      <c r="M64" s="19">
        <v>1</v>
      </c>
      <c r="N64" s="20">
        <v>3500</v>
      </c>
      <c r="O64" s="20">
        <f t="shared" si="4"/>
        <v>3500</v>
      </c>
      <c r="P64" s="20">
        <v>3500</v>
      </c>
      <c r="Q64" s="20">
        <f t="shared" si="11"/>
        <v>0</v>
      </c>
      <c r="R64" s="3" t="str">
        <f t="shared" si="6"/>
        <v>PAID</v>
      </c>
      <c r="S64" s="3"/>
      <c r="T64" s="3">
        <f t="shared" si="7"/>
        <v>3500</v>
      </c>
      <c r="U64" s="3" t="str">
        <f t="shared" si="8"/>
        <v>OK</v>
      </c>
      <c r="V64" s="21">
        <f t="shared" si="9"/>
        <v>0</v>
      </c>
      <c r="W64" s="3" t="str">
        <f t="shared" si="10"/>
        <v>OK</v>
      </c>
      <c r="X64" s="3" t="s">
        <v>370</v>
      </c>
    </row>
    <row r="65" spans="1:24" ht="19" x14ac:dyDescent="0.25">
      <c r="A65" t="str">
        <f t="shared" si="0"/>
        <v>TRIP-HR-106</v>
      </c>
      <c r="B65" s="17">
        <v>45872</v>
      </c>
      <c r="C65" s="3" t="str">
        <f>_xlfn.XLOOKUP(D65,'[1]Jan Customer Duplicate Hyva'!$B:$B,'[1]Jan Customer Duplicate Hyva'!$A:$A,"NOT FOUND")</f>
        <v>CUST-243</v>
      </c>
      <c r="D65" s="18" t="s">
        <v>341</v>
      </c>
      <c r="E65" s="18" t="s">
        <v>26</v>
      </c>
      <c r="F65" s="5" t="str">
        <f t="shared" si="1"/>
        <v>Anshu</v>
      </c>
      <c r="G65" s="5" t="str">
        <f t="shared" si="2"/>
        <v/>
      </c>
      <c r="H65" s="5" t="str">
        <f t="shared" si="3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18" t="s">
        <v>395</v>
      </c>
      <c r="M65" s="19">
        <v>1</v>
      </c>
      <c r="N65" s="20">
        <v>4000</v>
      </c>
      <c r="O65" s="20">
        <f t="shared" si="4"/>
        <v>4000</v>
      </c>
      <c r="P65" s="20">
        <v>4000</v>
      </c>
      <c r="Q65" s="20">
        <f t="shared" si="11"/>
        <v>0</v>
      </c>
      <c r="R65" s="3" t="str">
        <f t="shared" si="6"/>
        <v>PAID</v>
      </c>
      <c r="S65" s="3"/>
      <c r="T65" s="3">
        <f t="shared" si="7"/>
        <v>4000</v>
      </c>
      <c r="U65" s="3" t="str">
        <f t="shared" si="8"/>
        <v>OK</v>
      </c>
      <c r="V65" s="21">
        <f t="shared" si="9"/>
        <v>0</v>
      </c>
      <c r="W65" s="3" t="str">
        <f t="shared" si="10"/>
        <v>OK</v>
      </c>
      <c r="X65" s="3" t="s">
        <v>370</v>
      </c>
    </row>
    <row r="66" spans="1:24" ht="19" x14ac:dyDescent="0.25">
      <c r="A66" t="str">
        <f t="shared" si="0"/>
        <v>TRIP-HR-107</v>
      </c>
      <c r="B66" s="17">
        <v>45874</v>
      </c>
      <c r="C66" s="3" t="str">
        <f>_xlfn.XLOOKUP(D66,'[1]Jan Customer Duplicate Hyva'!$B:$B,'[1]Jan Customer Duplicate Hyva'!$A:$A,"NOT FOUND")</f>
        <v>CUST-059</v>
      </c>
      <c r="D66" s="18" t="s">
        <v>84</v>
      </c>
      <c r="E66" s="18" t="s">
        <v>55</v>
      </c>
      <c r="F66" s="5" t="str">
        <f t="shared" si="1"/>
        <v>Gaju Bhau</v>
      </c>
      <c r="G66" s="5" t="str">
        <f t="shared" si="2"/>
        <v/>
      </c>
      <c r="H66" s="5" t="str">
        <f t="shared" si="3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18" t="s">
        <v>61</v>
      </c>
      <c r="M66" s="19">
        <v>2</v>
      </c>
      <c r="N66" s="20">
        <v>3500</v>
      </c>
      <c r="O66" s="20">
        <f t="shared" si="4"/>
        <v>7000</v>
      </c>
      <c r="P66" s="20">
        <v>7000</v>
      </c>
      <c r="Q66" s="20">
        <f t="shared" si="11"/>
        <v>0</v>
      </c>
      <c r="R66" s="3" t="str">
        <f t="shared" si="6"/>
        <v>PAID</v>
      </c>
      <c r="S66" s="3"/>
      <c r="T66" s="3">
        <f t="shared" si="7"/>
        <v>7000</v>
      </c>
      <c r="U66" s="3" t="str">
        <f t="shared" si="8"/>
        <v>OK</v>
      </c>
      <c r="V66" s="21">
        <f t="shared" si="9"/>
        <v>0</v>
      </c>
      <c r="W66" s="3" t="str">
        <f t="shared" si="10"/>
        <v>OK</v>
      </c>
      <c r="X66" s="3" t="s">
        <v>370</v>
      </c>
    </row>
    <row r="67" spans="1:24" ht="19" x14ac:dyDescent="0.25">
      <c r="A67" t="str">
        <f t="shared" ref="A67:A130" si="12">"TRIP-HR-"&amp;TEXT(ROW()+41,"000")</f>
        <v>TRIP-HR-108</v>
      </c>
      <c r="B67" s="17">
        <v>45877</v>
      </c>
      <c r="C67" s="3" t="str">
        <f>_xlfn.XLOOKUP(D67,'[1]Jan Customer Duplicate Hyva'!$B:$B,'[1]Jan Customer Duplicate Hyva'!$A:$A,"NOT FOUND")</f>
        <v>CUST-243</v>
      </c>
      <c r="D67" s="18" t="s">
        <v>341</v>
      </c>
      <c r="E67" s="18" t="s">
        <v>55</v>
      </c>
      <c r="F67" s="5" t="str">
        <f t="shared" ref="F67:F82" si="13">TRIM(_xlfn.TEXTBEFORE(E67&amp;" / "," / "))</f>
        <v>Gaju Bhau</v>
      </c>
      <c r="G67" s="5" t="str">
        <f t="shared" ref="G67:G130" si="14">IFERROR(TRIM(_xlfn.TEXTBEFORE(_xlfn.TEXTAFTER(E67," / ")&amp;" / "," / ")),"")</f>
        <v/>
      </c>
      <c r="H67" s="5" t="str">
        <f t="shared" ref="H67:H130" si="15">IFERROR(TRIM(_xlfn.TEXTAFTER(E67," / ","2")),"")</f>
        <v/>
      </c>
      <c r="I67" s="5" t="str">
        <f>_xlfn.XLOOKUP(F67,'[1]Jan Labour Nd Drivers Hyva'!$B:$B,'[2]Jan Labour Nd Drivers Hyva'!$A:$A,"NOT FOUND")</f>
        <v>LAB-001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18" t="s">
        <v>89</v>
      </c>
      <c r="M67" s="19">
        <v>1</v>
      </c>
      <c r="N67" s="20">
        <v>4000</v>
      </c>
      <c r="O67" s="20">
        <f t="shared" ref="O67:O130" si="16">N67*M67</f>
        <v>4000</v>
      </c>
      <c r="P67" s="20">
        <v>4000</v>
      </c>
      <c r="Q67" s="20">
        <f t="shared" si="11"/>
        <v>0</v>
      </c>
      <c r="R67" s="3" t="str">
        <f t="shared" ref="R67:R130" si="17">IF(Q67=0,"PAID",IF(P67=0,"UNPAID","PARTIAL"))</f>
        <v>PAID</v>
      </c>
      <c r="S67" s="3"/>
      <c r="T67" s="3">
        <f t="shared" ref="T67:T130" si="18">M67*N67</f>
        <v>4000</v>
      </c>
      <c r="U67" s="3" t="str">
        <f t="shared" ref="U67:U130" si="19">IF(ROUND(T67,2)=ROUND(O67,2),"OK","CHECK")</f>
        <v>OK</v>
      </c>
      <c r="V67" s="21">
        <f t="shared" ref="V67:V130" si="20">O67-P67</f>
        <v>0</v>
      </c>
      <c r="W67" s="3" t="str">
        <f t="shared" ref="W67:W130" si="21">IF(ROUND(V67,2)=ROUND(Q67,2),"OK","CHECK")</f>
        <v>OK</v>
      </c>
      <c r="X67" s="3" t="s">
        <v>370</v>
      </c>
    </row>
    <row r="68" spans="1:24" ht="19" x14ac:dyDescent="0.25">
      <c r="A68" t="str">
        <f t="shared" si="12"/>
        <v>TRIP-HR-109</v>
      </c>
      <c r="B68" s="17">
        <v>45877</v>
      </c>
      <c r="C68" s="3" t="str">
        <f>_xlfn.XLOOKUP(D68,'[1]Jan Customer Duplicate Hyva'!$B:$B,'[1]Jan Customer Duplicate Hyva'!$A:$A,"NOT FOUND")</f>
        <v>CUST-295</v>
      </c>
      <c r="D68" s="18" t="s">
        <v>396</v>
      </c>
      <c r="E68" s="18" t="s">
        <v>55</v>
      </c>
      <c r="F68" s="5" t="str">
        <f t="shared" si="13"/>
        <v>Gaju Bhau</v>
      </c>
      <c r="G68" s="5" t="str">
        <f t="shared" si="14"/>
        <v/>
      </c>
      <c r="H68" s="5" t="str">
        <f t="shared" si="15"/>
        <v/>
      </c>
      <c r="I68" s="5" t="str">
        <f>_xlfn.XLOOKUP(F68,'[1]Jan Labour Nd Drivers Hyva'!$B:$B,'[2]Jan Labour Nd Drivers Hyva'!$A:$A,"NOT FOUND")</f>
        <v>LAB-001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18" t="s">
        <v>56</v>
      </c>
      <c r="M68" s="19">
        <v>2</v>
      </c>
      <c r="N68" s="20">
        <v>1500</v>
      </c>
      <c r="O68" s="20">
        <f t="shared" si="16"/>
        <v>3000</v>
      </c>
      <c r="P68" s="20">
        <v>3000</v>
      </c>
      <c r="Q68" s="20">
        <f t="shared" si="11"/>
        <v>0</v>
      </c>
      <c r="R68" s="3" t="str">
        <f t="shared" si="17"/>
        <v>PAID</v>
      </c>
      <c r="S68" s="3"/>
      <c r="T68" s="3">
        <f t="shared" si="18"/>
        <v>3000</v>
      </c>
      <c r="U68" s="3" t="str">
        <f t="shared" si="19"/>
        <v>OK</v>
      </c>
      <c r="V68" s="21">
        <f t="shared" si="20"/>
        <v>0</v>
      </c>
      <c r="W68" s="3" t="str">
        <f t="shared" si="21"/>
        <v>OK</v>
      </c>
      <c r="X68" s="3" t="s">
        <v>370</v>
      </c>
    </row>
    <row r="69" spans="1:24" ht="19" x14ac:dyDescent="0.25">
      <c r="A69" t="str">
        <f t="shared" si="12"/>
        <v>TRIP-HR-110</v>
      </c>
      <c r="B69" s="17">
        <v>45879</v>
      </c>
      <c r="C69" s="3" t="str">
        <f>_xlfn.XLOOKUP(D69,'[1]Jan Customer Duplicate Hyva'!$B:$B,'[1]Jan Customer Duplicate Hyva'!$A:$A,"NOT FOUND")</f>
        <v>CUST-253</v>
      </c>
      <c r="D69" s="18" t="s">
        <v>148</v>
      </c>
      <c r="E69" s="18" t="s">
        <v>55</v>
      </c>
      <c r="F69" s="5" t="str">
        <f t="shared" si="13"/>
        <v>Gaju Bhau</v>
      </c>
      <c r="G69" s="5" t="str">
        <f t="shared" si="14"/>
        <v/>
      </c>
      <c r="H69" s="5" t="str">
        <f t="shared" si="15"/>
        <v/>
      </c>
      <c r="I69" s="5" t="str">
        <f>_xlfn.XLOOKUP(F69,'[1]Jan Labour Nd Drivers Hyva'!$B:$B,'[2]Jan Labour Nd Drivers Hyva'!$A:$A,"NOT FOUND")</f>
        <v>LAB-001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18" t="s">
        <v>397</v>
      </c>
      <c r="M69" s="19">
        <v>6</v>
      </c>
      <c r="N69" s="20">
        <v>0</v>
      </c>
      <c r="O69" s="20">
        <f t="shared" si="16"/>
        <v>0</v>
      </c>
      <c r="P69" s="20"/>
      <c r="Q69" s="20">
        <f t="shared" si="11"/>
        <v>0</v>
      </c>
      <c r="R69" s="3" t="str">
        <f t="shared" si="17"/>
        <v>PAID</v>
      </c>
      <c r="S69" s="3"/>
      <c r="T69" s="3">
        <f t="shared" si="18"/>
        <v>0</v>
      </c>
      <c r="U69" s="3" t="str">
        <f t="shared" si="19"/>
        <v>OK</v>
      </c>
      <c r="V69" s="21">
        <f t="shared" si="20"/>
        <v>0</v>
      </c>
      <c r="W69" s="3" t="str">
        <f t="shared" si="21"/>
        <v>OK</v>
      </c>
      <c r="X69" s="3" t="s">
        <v>370</v>
      </c>
    </row>
    <row r="70" spans="1:24" ht="19" x14ac:dyDescent="0.25">
      <c r="A70" t="str">
        <f t="shared" si="12"/>
        <v>TRIP-HR-111</v>
      </c>
      <c r="B70" s="17">
        <v>45880</v>
      </c>
      <c r="C70" s="3" t="str">
        <f>_xlfn.XLOOKUP(D70,'[1]Jan Customer Duplicate Hyva'!$B:$B,'[1]Jan Customer Duplicate Hyva'!$A:$A,"NOT FOUND")</f>
        <v>CUST-253</v>
      </c>
      <c r="D70" s="18" t="s">
        <v>148</v>
      </c>
      <c r="E70" s="18" t="s">
        <v>55</v>
      </c>
      <c r="F70" s="5" t="str">
        <f t="shared" si="13"/>
        <v>Gaju Bhau</v>
      </c>
      <c r="G70" s="5" t="str">
        <f t="shared" si="14"/>
        <v/>
      </c>
      <c r="H70" s="5" t="str">
        <f t="shared" si="15"/>
        <v/>
      </c>
      <c r="I70" s="5" t="str">
        <f>_xlfn.XLOOKUP(F70,'[1]Jan Labour Nd Drivers Hyva'!$B:$B,'[2]Jan Labour Nd Drivers Hyva'!$A:$A,"NOT FOUND")</f>
        <v>LAB-001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18" t="s">
        <v>397</v>
      </c>
      <c r="M70" s="19">
        <v>3</v>
      </c>
      <c r="N70" s="20">
        <v>0</v>
      </c>
      <c r="O70" s="20">
        <f t="shared" si="16"/>
        <v>0</v>
      </c>
      <c r="P70" s="20"/>
      <c r="Q70" s="20">
        <f t="shared" si="11"/>
        <v>0</v>
      </c>
      <c r="R70" s="3" t="str">
        <f t="shared" si="17"/>
        <v>PAID</v>
      </c>
      <c r="S70" s="3"/>
      <c r="T70" s="3">
        <f t="shared" si="18"/>
        <v>0</v>
      </c>
      <c r="U70" s="3" t="str">
        <f t="shared" si="19"/>
        <v>OK</v>
      </c>
      <c r="V70" s="21">
        <f t="shared" si="20"/>
        <v>0</v>
      </c>
      <c r="W70" s="3" t="str">
        <f t="shared" si="21"/>
        <v>OK</v>
      </c>
      <c r="X70" s="3" t="s">
        <v>370</v>
      </c>
    </row>
    <row r="71" spans="1:24" ht="19" x14ac:dyDescent="0.25">
      <c r="A71" t="str">
        <f t="shared" si="12"/>
        <v>TRIP-HR-112</v>
      </c>
      <c r="B71" s="17">
        <v>45881</v>
      </c>
      <c r="C71" s="3" t="str">
        <f>_xlfn.XLOOKUP(D71,'[1]Jan Customer Duplicate Hyva'!$B:$B,'[1]Jan Customer Duplicate Hyva'!$A:$A,"NOT FOUND")</f>
        <v>CUST-372</v>
      </c>
      <c r="D71" s="18" t="s">
        <v>398</v>
      </c>
      <c r="E71" s="18" t="s">
        <v>55</v>
      </c>
      <c r="F71" s="5" t="str">
        <f t="shared" si="13"/>
        <v>Gaju Bhau</v>
      </c>
      <c r="G71" s="5" t="str">
        <f t="shared" si="14"/>
        <v/>
      </c>
      <c r="H71" s="5" t="str">
        <f t="shared" si="15"/>
        <v/>
      </c>
      <c r="I71" s="5" t="str">
        <f>_xlfn.XLOOKUP(F71,'[1]Jan Labour Nd Drivers Hyva'!$B:$B,'[2]Jan Labour Nd Drivers Hyva'!$A:$A,"NOT FOUND")</f>
        <v>LAB-001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18" t="s">
        <v>172</v>
      </c>
      <c r="M71" s="19">
        <v>4</v>
      </c>
      <c r="N71" s="20">
        <v>3000</v>
      </c>
      <c r="O71" s="20">
        <f t="shared" si="16"/>
        <v>12000</v>
      </c>
      <c r="P71" s="20">
        <v>12000</v>
      </c>
      <c r="Q71" s="20">
        <f t="shared" si="11"/>
        <v>0</v>
      </c>
      <c r="R71" s="3" t="str">
        <f t="shared" si="17"/>
        <v>PAID</v>
      </c>
      <c r="S71" s="3"/>
      <c r="T71" s="3">
        <f t="shared" si="18"/>
        <v>12000</v>
      </c>
      <c r="U71" s="3" t="str">
        <f t="shared" si="19"/>
        <v>OK</v>
      </c>
      <c r="V71" s="21">
        <f t="shared" si="20"/>
        <v>0</v>
      </c>
      <c r="W71" s="3" t="str">
        <f t="shared" si="21"/>
        <v>OK</v>
      </c>
      <c r="X71" s="3" t="s">
        <v>370</v>
      </c>
    </row>
    <row r="72" spans="1:24" ht="19" x14ac:dyDescent="0.25">
      <c r="A72" t="str">
        <f t="shared" si="12"/>
        <v>TRIP-HR-113</v>
      </c>
      <c r="B72" s="17">
        <v>45887</v>
      </c>
      <c r="C72" s="3" t="str">
        <f>_xlfn.XLOOKUP(D72,'[1]Jan Customer Duplicate Hyva'!$B:$B,'[1]Jan Customer Duplicate Hyva'!$A:$A,"NOT FOUND")</f>
        <v>CUST-194</v>
      </c>
      <c r="D72" s="18" t="s">
        <v>399</v>
      </c>
      <c r="E72" s="18" t="s">
        <v>266</v>
      </c>
      <c r="F72" s="5" t="str">
        <f t="shared" si="13"/>
        <v>Gaju Bhau</v>
      </c>
      <c r="G72" s="5" t="str">
        <f t="shared" si="14"/>
        <v>Vithal Bhau</v>
      </c>
      <c r="H72" s="5" t="str">
        <f t="shared" si="15"/>
        <v/>
      </c>
      <c r="I72" s="5" t="str">
        <f>_xlfn.XLOOKUP(F72,'[1]Jan Labour Nd Drivers Hyva'!$B:$B,'[2]Jan Labour Nd Drivers Hyva'!$A:$A,"NOT FOUND")</f>
        <v>LAB-001</v>
      </c>
      <c r="J72" s="5" t="str">
        <f>IF(G72="","",_xlfn.XLOOKUP(G72,'[3]Jan Labour Nd Drivers Hyva'!$B:$B,'[2]Jan Labour Nd Drivers Hyva'!$A:$A,"NOT FOUND"))</f>
        <v>LAB-005</v>
      </c>
      <c r="K72" s="5" t="str">
        <f>IF(H72="","",_xlfn.XLOOKUP(H72,'[2]Jan Labour Nd Drivers Hyva'!$B:$B,'[2]Jan Labour Nd Drivers Hyva'!$A:$A,"NOT FOUND"))</f>
        <v/>
      </c>
      <c r="L72" s="18" t="s">
        <v>400</v>
      </c>
      <c r="M72" s="19">
        <v>2</v>
      </c>
      <c r="N72" s="20">
        <v>7500</v>
      </c>
      <c r="O72" s="20">
        <f t="shared" si="16"/>
        <v>15000</v>
      </c>
      <c r="P72" s="20">
        <v>15000</v>
      </c>
      <c r="Q72" s="20">
        <f t="shared" si="11"/>
        <v>0</v>
      </c>
      <c r="R72" s="3" t="str">
        <f t="shared" si="17"/>
        <v>PAID</v>
      </c>
      <c r="S72" s="3"/>
      <c r="T72" s="3">
        <f t="shared" si="18"/>
        <v>15000</v>
      </c>
      <c r="U72" s="3" t="str">
        <f t="shared" si="19"/>
        <v>OK</v>
      </c>
      <c r="V72" s="21">
        <f t="shared" si="20"/>
        <v>0</v>
      </c>
      <c r="W72" s="3" t="str">
        <f t="shared" si="21"/>
        <v>OK</v>
      </c>
      <c r="X72" s="3" t="s">
        <v>370</v>
      </c>
    </row>
    <row r="73" spans="1:24" ht="19" x14ac:dyDescent="0.25">
      <c r="A73" t="str">
        <f t="shared" si="12"/>
        <v>TRIP-HR-114</v>
      </c>
      <c r="B73" s="17">
        <v>45889</v>
      </c>
      <c r="C73" s="3" t="str">
        <f>_xlfn.XLOOKUP(D73,'[1]Jan Customer Duplicate Hyva'!$B:$B,'[1]Jan Customer Duplicate Hyva'!$A:$A,"NOT FOUND")</f>
        <v>CUST-255</v>
      </c>
      <c r="D73" s="22" t="s">
        <v>75</v>
      </c>
      <c r="E73" s="18" t="s">
        <v>55</v>
      </c>
      <c r="F73" s="5" t="str">
        <f t="shared" si="13"/>
        <v>Gaju Bhau</v>
      </c>
      <c r="G73" s="5" t="str">
        <f t="shared" si="14"/>
        <v/>
      </c>
      <c r="H73" s="5" t="str">
        <f t="shared" si="15"/>
        <v/>
      </c>
      <c r="I73" s="5" t="str">
        <f>_xlfn.XLOOKUP(F73,'[1]Jan Labour Nd Drivers Hyva'!$B:$B,'[2]Jan Labour Nd Drivers Hyva'!$A:$A,"NOT FOUND")</f>
        <v>LAB-001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18" t="s">
        <v>116</v>
      </c>
      <c r="M73" s="19">
        <v>3</v>
      </c>
      <c r="N73" s="20">
        <v>4000</v>
      </c>
      <c r="O73" s="20">
        <f t="shared" si="16"/>
        <v>12000</v>
      </c>
      <c r="P73" s="20">
        <v>12000</v>
      </c>
      <c r="Q73" s="20">
        <f t="shared" si="11"/>
        <v>0</v>
      </c>
      <c r="R73" s="3" t="str">
        <f t="shared" si="17"/>
        <v>PAID</v>
      </c>
      <c r="S73" s="3"/>
      <c r="T73" s="3">
        <f t="shared" si="18"/>
        <v>12000</v>
      </c>
      <c r="U73" s="3" t="str">
        <f t="shared" si="19"/>
        <v>OK</v>
      </c>
      <c r="V73" s="21">
        <f t="shared" si="20"/>
        <v>0</v>
      </c>
      <c r="W73" s="3" t="str">
        <f t="shared" si="21"/>
        <v>OK</v>
      </c>
      <c r="X73" s="3" t="s">
        <v>370</v>
      </c>
    </row>
    <row r="74" spans="1:24" ht="19" x14ac:dyDescent="0.25">
      <c r="A74" t="str">
        <f t="shared" si="12"/>
        <v>TRIP-HR-115</v>
      </c>
      <c r="B74" s="17">
        <v>45890</v>
      </c>
      <c r="C74" s="3" t="str">
        <f>_xlfn.XLOOKUP(D74,'[1]Jan Customer Duplicate Hyva'!$B:$B,'[1]Jan Customer Duplicate Hyva'!$A:$A,"NOT FOUND")</f>
        <v>CUST-255</v>
      </c>
      <c r="D74" s="18" t="s">
        <v>75</v>
      </c>
      <c r="E74" s="18" t="s">
        <v>55</v>
      </c>
      <c r="F74" s="5" t="str">
        <f t="shared" si="13"/>
        <v>Gaju Bhau</v>
      </c>
      <c r="G74" s="5" t="str">
        <f t="shared" si="14"/>
        <v/>
      </c>
      <c r="H74" s="5" t="str">
        <f t="shared" si="15"/>
        <v/>
      </c>
      <c r="I74" s="5" t="str">
        <f>_xlfn.XLOOKUP(F74,'[1]Jan Labour Nd Drivers Hyva'!$B:$B,'[2]Jan Labour Nd Drivers Hyva'!$A:$A,"NOT FOUND")</f>
        <v>LAB-001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18" t="s">
        <v>116</v>
      </c>
      <c r="M74" s="19">
        <v>4</v>
      </c>
      <c r="N74" s="20">
        <v>4000</v>
      </c>
      <c r="O74" s="20">
        <f t="shared" si="16"/>
        <v>16000</v>
      </c>
      <c r="P74" s="20">
        <v>16000</v>
      </c>
      <c r="Q74" s="20">
        <f t="shared" si="11"/>
        <v>0</v>
      </c>
      <c r="R74" s="3" t="str">
        <f t="shared" si="17"/>
        <v>PAID</v>
      </c>
      <c r="S74" s="3"/>
      <c r="T74" s="3">
        <f t="shared" si="18"/>
        <v>16000</v>
      </c>
      <c r="U74" s="3" t="str">
        <f t="shared" si="19"/>
        <v>OK</v>
      </c>
      <c r="V74" s="21">
        <f t="shared" si="20"/>
        <v>0</v>
      </c>
      <c r="W74" s="3" t="str">
        <f t="shared" si="21"/>
        <v>OK</v>
      </c>
      <c r="X74" s="3" t="s">
        <v>370</v>
      </c>
    </row>
    <row r="75" spans="1:24" ht="19" x14ac:dyDescent="0.25">
      <c r="A75" t="str">
        <f t="shared" si="12"/>
        <v>TRIP-HR-116</v>
      </c>
      <c r="B75" s="17">
        <v>45891</v>
      </c>
      <c r="C75" s="3" t="str">
        <f>_xlfn.XLOOKUP(D75,'[1]Jan Customer Duplicate Hyva'!$B:$B,'[1]Jan Customer Duplicate Hyva'!$A:$A,"NOT FOUND")</f>
        <v>CUST-255</v>
      </c>
      <c r="D75" s="18" t="s">
        <v>75</v>
      </c>
      <c r="E75" s="18" t="s">
        <v>55</v>
      </c>
      <c r="F75" s="5" t="str">
        <f t="shared" si="13"/>
        <v>Gaju Bhau</v>
      </c>
      <c r="G75" s="5" t="str">
        <f t="shared" si="14"/>
        <v/>
      </c>
      <c r="H75" s="5" t="str">
        <f t="shared" si="15"/>
        <v/>
      </c>
      <c r="I75" s="5" t="str">
        <f>_xlfn.XLOOKUP(F75,'[1]Jan Labour Nd Drivers Hyva'!$B:$B,'[2]Jan Labour Nd Drivers Hyva'!$A:$A,"NOT FOUND")</f>
        <v>LAB-001</v>
      </c>
      <c r="J75" s="5" t="str">
        <f>IF(G75="","",_xlfn.XLOOKUP(G75,'[3]Jan Labour Nd Drivers Hyva'!$B:$B,'[2]Jan Labour Nd Drivers Hyva'!$A:$A,"NOT FOUND"))</f>
        <v/>
      </c>
      <c r="K75" s="5" t="str">
        <f>IF(H75="","",_xlfn.XLOOKUP(H75,'[2]Jan Labour Nd Drivers Hyva'!$B:$B,'[2]Jan Labour Nd Drivers Hyva'!$A:$A,"NOT FOUND"))</f>
        <v/>
      </c>
      <c r="L75" s="18" t="s">
        <v>116</v>
      </c>
      <c r="M75" s="19">
        <v>5</v>
      </c>
      <c r="N75" s="20">
        <v>4000</v>
      </c>
      <c r="O75" s="20">
        <f t="shared" si="16"/>
        <v>20000</v>
      </c>
      <c r="P75" s="20">
        <v>20000</v>
      </c>
      <c r="Q75" s="20">
        <f t="shared" si="11"/>
        <v>0</v>
      </c>
      <c r="R75" s="3" t="str">
        <f t="shared" si="17"/>
        <v>PAID</v>
      </c>
      <c r="S75" s="3"/>
      <c r="T75" s="3">
        <f t="shared" si="18"/>
        <v>20000</v>
      </c>
      <c r="U75" s="3" t="str">
        <f t="shared" si="19"/>
        <v>OK</v>
      </c>
      <c r="V75" s="21">
        <f t="shared" si="20"/>
        <v>0</v>
      </c>
      <c r="W75" s="3" t="str">
        <f t="shared" si="21"/>
        <v>OK</v>
      </c>
      <c r="X75" s="3" t="s">
        <v>370</v>
      </c>
    </row>
    <row r="76" spans="1:24" ht="19" x14ac:dyDescent="0.25">
      <c r="A76" t="str">
        <f t="shared" si="12"/>
        <v>TRIP-HR-117</v>
      </c>
      <c r="B76" s="17">
        <v>45891</v>
      </c>
      <c r="C76" s="3" t="str">
        <f>_xlfn.XLOOKUP(D76,'[1]Jan Customer Duplicate Hyva'!$B:$B,'[1]Jan Customer Duplicate Hyva'!$A:$A,"NOT FOUND")</f>
        <v>CUST-255</v>
      </c>
      <c r="D76" s="18" t="s">
        <v>75</v>
      </c>
      <c r="E76" s="18" t="s">
        <v>55</v>
      </c>
      <c r="F76" s="5" t="str">
        <f t="shared" si="13"/>
        <v>Gaju Bhau</v>
      </c>
      <c r="G76" s="5" t="str">
        <f t="shared" si="14"/>
        <v/>
      </c>
      <c r="H76" s="5" t="str">
        <f t="shared" si="15"/>
        <v/>
      </c>
      <c r="I76" s="5" t="str">
        <f>_xlfn.XLOOKUP(F76,'[1]Jan Labour Nd Drivers Hyva'!$B:$B,'[2]Jan Labour Nd Drivers Hyva'!$A:$A,"NOT FOUND")</f>
        <v>LAB-001</v>
      </c>
      <c r="J76" s="5" t="str">
        <f>IF(G76="","",_xlfn.XLOOKUP(G76,'[3]Jan Labour Nd Drivers Hyva'!$B:$B,'[2]Jan Labour Nd Drivers Hyva'!$A:$A,"NOT FOUND"))</f>
        <v/>
      </c>
      <c r="K76" s="5" t="str">
        <f>IF(H76="","",_xlfn.XLOOKUP(H76,'[2]Jan Labour Nd Drivers Hyva'!$B:$B,'[2]Jan Labour Nd Drivers Hyva'!$A:$A,"NOT FOUND"))</f>
        <v/>
      </c>
      <c r="L76" s="18" t="s">
        <v>116</v>
      </c>
      <c r="M76" s="19">
        <v>4</v>
      </c>
      <c r="N76" s="20">
        <v>4000</v>
      </c>
      <c r="O76" s="20">
        <f t="shared" si="16"/>
        <v>16000</v>
      </c>
      <c r="P76" s="20">
        <v>16000</v>
      </c>
      <c r="Q76" s="20">
        <f t="shared" si="11"/>
        <v>0</v>
      </c>
      <c r="R76" s="3" t="str">
        <f t="shared" si="17"/>
        <v>PAID</v>
      </c>
      <c r="S76" s="3"/>
      <c r="T76" s="3">
        <f t="shared" si="18"/>
        <v>16000</v>
      </c>
      <c r="U76" s="3" t="str">
        <f t="shared" si="19"/>
        <v>OK</v>
      </c>
      <c r="V76" s="21">
        <f t="shared" si="20"/>
        <v>0</v>
      </c>
      <c r="W76" s="3" t="str">
        <f t="shared" si="21"/>
        <v>OK</v>
      </c>
      <c r="X76" s="3" t="s">
        <v>370</v>
      </c>
    </row>
    <row r="77" spans="1:24" ht="19" x14ac:dyDescent="0.25">
      <c r="A77" t="str">
        <f t="shared" si="12"/>
        <v>TRIP-HR-118</v>
      </c>
      <c r="B77" s="17">
        <v>45899</v>
      </c>
      <c r="C77" s="3" t="str">
        <f>_xlfn.XLOOKUP(D77,'[1]Jan Customer Duplicate Hyva'!$B:$B,'[1]Jan Customer Duplicate Hyva'!$A:$A,"NOT FOUND")</f>
        <v>CUST-255</v>
      </c>
      <c r="D77" s="18" t="s">
        <v>75</v>
      </c>
      <c r="E77" s="18" t="s">
        <v>55</v>
      </c>
      <c r="F77" s="5" t="str">
        <f t="shared" si="13"/>
        <v>Gaju Bhau</v>
      </c>
      <c r="G77" s="5" t="str">
        <f t="shared" si="14"/>
        <v/>
      </c>
      <c r="H77" s="5" t="str">
        <f t="shared" si="15"/>
        <v/>
      </c>
      <c r="I77" s="5" t="str">
        <f>_xlfn.XLOOKUP(F77,'[1]Jan Labour Nd Drivers Hyva'!$B:$B,'[2]Jan Labour Nd Drivers Hyva'!$A:$A,"NOT FOUND")</f>
        <v>LAB-001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18" t="s">
        <v>116</v>
      </c>
      <c r="M77" s="19">
        <v>2</v>
      </c>
      <c r="N77" s="20">
        <v>4000</v>
      </c>
      <c r="O77" s="20">
        <f t="shared" si="16"/>
        <v>8000</v>
      </c>
      <c r="P77" s="20">
        <v>8000</v>
      </c>
      <c r="Q77" s="20">
        <f t="shared" si="11"/>
        <v>0</v>
      </c>
      <c r="R77" s="3" t="str">
        <f t="shared" si="17"/>
        <v>PAID</v>
      </c>
      <c r="S77" s="3"/>
      <c r="T77" s="3">
        <f t="shared" si="18"/>
        <v>8000</v>
      </c>
      <c r="U77" s="3" t="str">
        <f t="shared" si="19"/>
        <v>OK</v>
      </c>
      <c r="V77" s="21">
        <f t="shared" si="20"/>
        <v>0</v>
      </c>
      <c r="W77" s="3" t="str">
        <f t="shared" si="21"/>
        <v>OK</v>
      </c>
      <c r="X77" s="3" t="s">
        <v>370</v>
      </c>
    </row>
    <row r="78" spans="1:24" ht="19" x14ac:dyDescent="0.25">
      <c r="A78" t="str">
        <f t="shared" si="12"/>
        <v>TRIP-HR-119</v>
      </c>
      <c r="B78" s="17">
        <v>45908</v>
      </c>
      <c r="C78" s="3" t="str">
        <f>_xlfn.XLOOKUP(D78,'[1]Jan Customer Duplicate Hyva'!$B:$B,'[1]Jan Customer Duplicate Hyva'!$A:$A,"NOT FOUND")</f>
        <v>CUST-255</v>
      </c>
      <c r="D78" s="18" t="s">
        <v>75</v>
      </c>
      <c r="E78" s="18" t="s">
        <v>55</v>
      </c>
      <c r="F78" s="5" t="str">
        <f t="shared" si="13"/>
        <v>Gaju Bhau</v>
      </c>
      <c r="G78" s="5" t="str">
        <f t="shared" si="14"/>
        <v/>
      </c>
      <c r="H78" s="5" t="str">
        <f t="shared" si="15"/>
        <v/>
      </c>
      <c r="I78" s="5" t="str">
        <f>_xlfn.XLOOKUP(F78,'[1]Jan Labour Nd Drivers Hyva'!$B:$B,'[2]Jan Labour Nd Drivers Hyva'!$A:$A,"NOT FOUND")</f>
        <v>LAB-001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18" t="s">
        <v>116</v>
      </c>
      <c r="M78" s="19">
        <v>2</v>
      </c>
      <c r="N78" s="20">
        <v>4000</v>
      </c>
      <c r="O78" s="20">
        <f t="shared" si="16"/>
        <v>8000</v>
      </c>
      <c r="P78" s="20">
        <v>8000</v>
      </c>
      <c r="Q78" s="20">
        <f t="shared" si="11"/>
        <v>0</v>
      </c>
      <c r="R78" s="3" t="str">
        <f t="shared" si="17"/>
        <v>PAID</v>
      </c>
      <c r="S78" s="3"/>
      <c r="T78" s="3">
        <f t="shared" si="18"/>
        <v>8000</v>
      </c>
      <c r="U78" s="3" t="str">
        <f t="shared" si="19"/>
        <v>OK</v>
      </c>
      <c r="V78" s="21">
        <f t="shared" si="20"/>
        <v>0</v>
      </c>
      <c r="W78" s="3" t="str">
        <f t="shared" si="21"/>
        <v>OK</v>
      </c>
      <c r="X78" s="3" t="s">
        <v>370</v>
      </c>
    </row>
    <row r="79" spans="1:24" ht="19" x14ac:dyDescent="0.25">
      <c r="A79" t="str">
        <f t="shared" si="12"/>
        <v>TRIP-HR-120</v>
      </c>
      <c r="B79" s="17">
        <v>45910</v>
      </c>
      <c r="C79" s="3" t="str">
        <f>_xlfn.XLOOKUP(D79,'[1]Jan Customer Duplicate Hyva'!$B:$B,'[1]Jan Customer Duplicate Hyva'!$A:$A,"NOT FOUND")</f>
        <v>CUST-255</v>
      </c>
      <c r="D79" s="18" t="s">
        <v>75</v>
      </c>
      <c r="E79" s="18" t="s">
        <v>309</v>
      </c>
      <c r="F79" s="5" t="str">
        <f t="shared" si="13"/>
        <v>Santosh</v>
      </c>
      <c r="G79" s="5" t="str">
        <f t="shared" si="14"/>
        <v/>
      </c>
      <c r="H79" s="5" t="str">
        <f t="shared" si="15"/>
        <v/>
      </c>
      <c r="I79" s="5" t="str">
        <f>_xlfn.XLOOKUP(F79,'[1]Jan Labour Nd Drivers Hyva'!$B:$B,'[2]Jan Labour Nd Drivers Hyva'!$A:$A,"NOT FOUND")</f>
        <v>LAB-009</v>
      </c>
      <c r="J79" s="5" t="str">
        <f>IF(G79="","",_xlfn.XLOOKUP(G79,'[3]Jan Labour Nd Drivers Hyva'!$B:$B,'[2]Jan Labour Nd Drivers Hyva'!$A:$A,"NOT FOUND"))</f>
        <v/>
      </c>
      <c r="K79" s="5" t="str">
        <f>IF(H79="","",_xlfn.XLOOKUP(H79,'[2]Jan Labour Nd Drivers Hyva'!$B:$B,'[2]Jan Labour Nd Drivers Hyva'!$A:$A,"NOT FOUND"))</f>
        <v/>
      </c>
      <c r="L79" s="18" t="s">
        <v>116</v>
      </c>
      <c r="M79" s="19">
        <v>4</v>
      </c>
      <c r="N79" s="20">
        <v>4000</v>
      </c>
      <c r="O79" s="20">
        <f t="shared" si="16"/>
        <v>16000</v>
      </c>
      <c r="P79" s="20">
        <v>16000</v>
      </c>
      <c r="Q79" s="20">
        <f t="shared" si="11"/>
        <v>0</v>
      </c>
      <c r="R79" s="3" t="str">
        <f t="shared" si="17"/>
        <v>PAID</v>
      </c>
      <c r="S79" s="3"/>
      <c r="T79" s="3">
        <f t="shared" si="18"/>
        <v>16000</v>
      </c>
      <c r="U79" s="3" t="str">
        <f t="shared" si="19"/>
        <v>OK</v>
      </c>
      <c r="V79" s="21">
        <f t="shared" si="20"/>
        <v>0</v>
      </c>
      <c r="W79" s="3" t="str">
        <f t="shared" si="21"/>
        <v>OK</v>
      </c>
      <c r="X79" s="3" t="s">
        <v>370</v>
      </c>
    </row>
    <row r="80" spans="1:24" ht="19" x14ac:dyDescent="0.25">
      <c r="A80" t="str">
        <f t="shared" si="12"/>
        <v>TRIP-HR-121</v>
      </c>
      <c r="B80" s="17">
        <v>45911</v>
      </c>
      <c r="C80" s="3" t="str">
        <f>_xlfn.XLOOKUP(D80,'[1]Jan Customer Duplicate Hyva'!$B:$B,'[1]Jan Customer Duplicate Hyva'!$A:$A,"NOT FOUND")</f>
        <v>CUST-255</v>
      </c>
      <c r="D80" s="18" t="s">
        <v>75</v>
      </c>
      <c r="E80" s="18" t="s">
        <v>55</v>
      </c>
      <c r="F80" s="5" t="str">
        <f t="shared" si="13"/>
        <v>Gaju Bhau</v>
      </c>
      <c r="G80" s="5" t="str">
        <f t="shared" si="14"/>
        <v/>
      </c>
      <c r="H80" s="5" t="str">
        <f t="shared" si="15"/>
        <v/>
      </c>
      <c r="I80" s="5" t="str">
        <f>_xlfn.XLOOKUP(F80,'[1]Jan Labour Nd Drivers Hyva'!$B:$B,'[2]Jan Labour Nd Drivers Hyva'!$A:$A,"NOT FOUND")</f>
        <v>LAB-001</v>
      </c>
      <c r="J80" s="5" t="str">
        <f>IF(G80="","",_xlfn.XLOOKUP(G80,'[3]Jan Labour Nd Drivers Hyva'!$B:$B,'[2]Jan Labour Nd Drivers Hyva'!$A:$A,"NOT FOUND"))</f>
        <v/>
      </c>
      <c r="K80" s="5" t="str">
        <f>IF(H80="","",_xlfn.XLOOKUP(H80,'[2]Jan Labour Nd Drivers Hyva'!$B:$B,'[2]Jan Labour Nd Drivers Hyva'!$A:$A,"NOT FOUND"))</f>
        <v/>
      </c>
      <c r="L80" s="18" t="s">
        <v>116</v>
      </c>
      <c r="M80" s="19">
        <v>1</v>
      </c>
      <c r="N80" s="20">
        <v>4000</v>
      </c>
      <c r="O80" s="20">
        <f t="shared" si="16"/>
        <v>4000</v>
      </c>
      <c r="P80" s="20">
        <v>4000</v>
      </c>
      <c r="Q80" s="20">
        <f t="shared" si="11"/>
        <v>0</v>
      </c>
      <c r="R80" s="3" t="str">
        <f t="shared" si="17"/>
        <v>PAID</v>
      </c>
      <c r="S80" s="3"/>
      <c r="T80" s="3">
        <f t="shared" si="18"/>
        <v>4000</v>
      </c>
      <c r="U80" s="3" t="str">
        <f t="shared" si="19"/>
        <v>OK</v>
      </c>
      <c r="V80" s="21">
        <f t="shared" si="20"/>
        <v>0</v>
      </c>
      <c r="W80" s="3" t="str">
        <f t="shared" si="21"/>
        <v>OK</v>
      </c>
      <c r="X80" s="3" t="s">
        <v>370</v>
      </c>
    </row>
    <row r="81" spans="1:24" ht="19" x14ac:dyDescent="0.25">
      <c r="A81" t="str">
        <f t="shared" si="12"/>
        <v>TRIP-HR-122</v>
      </c>
      <c r="B81" s="17">
        <v>45924</v>
      </c>
      <c r="C81" s="3" t="str">
        <f>_xlfn.XLOOKUP(D81,'[1]Jan Customer Duplicate Hyva'!$B:$B,'[1]Jan Customer Duplicate Hyva'!$A:$A,"NOT FOUND")</f>
        <v>NOT FOUND</v>
      </c>
      <c r="D81" s="18" t="s">
        <v>322</v>
      </c>
      <c r="E81" s="18" t="s">
        <v>30</v>
      </c>
      <c r="F81" s="5" t="str">
        <f t="shared" si="13"/>
        <v>Ravi</v>
      </c>
      <c r="G81" s="5" t="str">
        <f t="shared" si="14"/>
        <v/>
      </c>
      <c r="H81" s="5" t="str">
        <f t="shared" si="15"/>
        <v/>
      </c>
      <c r="I81" s="5" t="str">
        <f>_xlfn.XLOOKUP(F81,'[1]Jan Labour Nd Drivers Hyva'!$B:$B,'[2]Jan Labour Nd Drivers Hyva'!$A:$A,"NOT FOUND")</f>
        <v>LAB-003</v>
      </c>
      <c r="J81" s="5" t="str">
        <f>IF(G81="","",_xlfn.XLOOKUP(G81,'[3]Jan Labour Nd Drivers Hyva'!$B:$B,'[2]Jan Labour Nd Drivers Hyva'!$A:$A,"NOT FOUND"))</f>
        <v/>
      </c>
      <c r="K81" s="5" t="str">
        <f>IF(H81="","",_xlfn.XLOOKUP(H81,'[2]Jan Labour Nd Drivers Hyva'!$B:$B,'[2]Jan Labour Nd Drivers Hyva'!$A:$A,"NOT FOUND"))</f>
        <v/>
      </c>
      <c r="L81" s="18" t="s">
        <v>401</v>
      </c>
      <c r="M81" s="19">
        <v>1</v>
      </c>
      <c r="N81" s="20">
        <v>0</v>
      </c>
      <c r="O81" s="20">
        <f t="shared" si="16"/>
        <v>0</v>
      </c>
      <c r="P81" s="20"/>
      <c r="Q81" s="20">
        <f t="shared" si="11"/>
        <v>0</v>
      </c>
      <c r="R81" s="3" t="str">
        <f t="shared" si="17"/>
        <v>PAID</v>
      </c>
      <c r="S81" s="3"/>
      <c r="T81" s="3">
        <f t="shared" si="18"/>
        <v>0</v>
      </c>
      <c r="U81" s="3" t="str">
        <f t="shared" si="19"/>
        <v>OK</v>
      </c>
      <c r="V81" s="21">
        <f t="shared" si="20"/>
        <v>0</v>
      </c>
      <c r="W81" s="3" t="str">
        <f t="shared" si="21"/>
        <v>OK</v>
      </c>
      <c r="X81" s="3" t="s">
        <v>370</v>
      </c>
    </row>
    <row r="82" spans="1:24" ht="19" x14ac:dyDescent="0.25">
      <c r="A82" t="str">
        <f t="shared" si="12"/>
        <v>TRIP-HR-123</v>
      </c>
      <c r="B82" s="17">
        <v>45926</v>
      </c>
      <c r="C82" s="3" t="str">
        <f>_xlfn.XLOOKUP(D82,'[1]Jan Customer Duplicate Hyva'!$B:$B,'[1]Jan Customer Duplicate Hyva'!$A:$A,"NOT FOUND")</f>
        <v>CUST-391</v>
      </c>
      <c r="D82" s="18" t="s">
        <v>389</v>
      </c>
      <c r="E82" s="18" t="s">
        <v>402</v>
      </c>
      <c r="F82" s="5" t="str">
        <f t="shared" si="13"/>
        <v>Rishab Driver</v>
      </c>
      <c r="G82" s="5" t="str">
        <f t="shared" si="14"/>
        <v/>
      </c>
      <c r="H82" s="5" t="str">
        <f t="shared" si="15"/>
        <v/>
      </c>
      <c r="I82" s="5" t="str">
        <f>_xlfn.XLOOKUP(F82,'[1]Jan Labour Nd Drivers Hyva'!$B:$B,'[2]Jan Labour Nd Drivers Hyva'!$A:$A,"NOT FOUND")</f>
        <v>LAB-012</v>
      </c>
      <c r="J82" s="5" t="str">
        <f>IF(G82="","",_xlfn.XLOOKUP(G82,'[3]Jan Labour Nd Drivers Hyva'!$B:$B,'[2]Jan Labour Nd Drivers Hyva'!$A:$A,"NOT FOUND"))</f>
        <v/>
      </c>
      <c r="K82" s="5" t="str">
        <f>IF(H82="","",_xlfn.XLOOKUP(H82,'[2]Jan Labour Nd Drivers Hyva'!$B:$B,'[2]Jan Labour Nd Drivers Hyva'!$A:$A,"NOT FOUND"))</f>
        <v/>
      </c>
      <c r="L82" s="18" t="s">
        <v>403</v>
      </c>
      <c r="M82" s="19">
        <v>2</v>
      </c>
      <c r="N82" s="20">
        <v>4100</v>
      </c>
      <c r="O82" s="20">
        <f t="shared" si="16"/>
        <v>8200</v>
      </c>
      <c r="P82" s="20">
        <v>8200</v>
      </c>
      <c r="Q82" s="20">
        <f t="shared" si="11"/>
        <v>0</v>
      </c>
      <c r="R82" s="3" t="str">
        <f t="shared" si="17"/>
        <v>PAID</v>
      </c>
      <c r="S82" s="3"/>
      <c r="T82" s="3">
        <f t="shared" si="18"/>
        <v>8200</v>
      </c>
      <c r="U82" s="3" t="str">
        <f t="shared" si="19"/>
        <v>OK</v>
      </c>
      <c r="V82" s="21">
        <f t="shared" si="20"/>
        <v>0</v>
      </c>
      <c r="W82" s="3" t="str">
        <f t="shared" si="21"/>
        <v>OK</v>
      </c>
      <c r="X82" s="3" t="s">
        <v>370</v>
      </c>
    </row>
    <row r="83" spans="1:24" ht="19" x14ac:dyDescent="0.25">
      <c r="A83" t="str">
        <f t="shared" si="12"/>
        <v>TRIP-HR-124</v>
      </c>
      <c r="B83" s="17">
        <v>45937</v>
      </c>
      <c r="C83" s="3" t="str">
        <f>_xlfn.XLOOKUP(D83,'[1]Jan Customer Duplicate Hyva'!$B:$B,'[1]Jan Customer Duplicate Hyva'!$A:$A,"NOT FOUND")</f>
        <v>NOT FOUND</v>
      </c>
      <c r="D83" s="18" t="s">
        <v>322</v>
      </c>
      <c r="E83" s="18" t="s">
        <v>404</v>
      </c>
      <c r="F83" s="5" t="str">
        <f t="shared" ref="F83:F98" si="22">TRIM(_xlfn.TEXTBEFORE(E83&amp;" / "," / "))</f>
        <v>Ravi</v>
      </c>
      <c r="G83" s="5" t="str">
        <f t="shared" si="14"/>
        <v>Rishab Driver</v>
      </c>
      <c r="H83" s="5" t="str">
        <f t="shared" si="15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>LAB-012</v>
      </c>
      <c r="K83" s="5" t="str">
        <f>IF(H83="","",_xlfn.XLOOKUP(H83,'[2]Jan Labour Nd Drivers Hyva'!$B:$B,'[2]Jan Labour Nd Drivers Hyva'!$A:$A,"NOT FOUND"))</f>
        <v/>
      </c>
      <c r="L83" s="18" t="s">
        <v>405</v>
      </c>
      <c r="M83" s="19">
        <v>12</v>
      </c>
      <c r="N83" s="20">
        <v>0</v>
      </c>
      <c r="O83" s="20">
        <f t="shared" si="16"/>
        <v>0</v>
      </c>
      <c r="P83" s="20"/>
      <c r="Q83" s="20">
        <f t="shared" si="11"/>
        <v>0</v>
      </c>
      <c r="R83" s="3" t="str">
        <f t="shared" si="17"/>
        <v>PAID</v>
      </c>
      <c r="S83" s="3"/>
      <c r="T83" s="3">
        <f t="shared" si="18"/>
        <v>0</v>
      </c>
      <c r="U83" s="3" t="str">
        <f t="shared" si="19"/>
        <v>OK</v>
      </c>
      <c r="V83" s="21">
        <f t="shared" si="20"/>
        <v>0</v>
      </c>
      <c r="W83" s="3" t="str">
        <f t="shared" si="21"/>
        <v>OK</v>
      </c>
      <c r="X83" s="3" t="s">
        <v>370</v>
      </c>
    </row>
    <row r="84" spans="1:24" ht="19" x14ac:dyDescent="0.25">
      <c r="A84" t="str">
        <f t="shared" si="12"/>
        <v>TRIP-HR-125</v>
      </c>
      <c r="B84" s="17">
        <v>45940</v>
      </c>
      <c r="C84" s="3" t="str">
        <f>_xlfn.XLOOKUP(D84,'[1]Jan Customer Duplicate Hyva'!$B:$B,'[1]Jan Customer Duplicate Hyva'!$A:$A,"NOT FOUND")</f>
        <v>CUST-196</v>
      </c>
      <c r="D84" s="18" t="s">
        <v>406</v>
      </c>
      <c r="E84" s="18" t="s">
        <v>30</v>
      </c>
      <c r="F84" s="5" t="str">
        <f t="shared" si="22"/>
        <v>Ravi</v>
      </c>
      <c r="G84" s="5" t="str">
        <f t="shared" si="14"/>
        <v/>
      </c>
      <c r="H84" s="5" t="str">
        <f t="shared" si="15"/>
        <v/>
      </c>
      <c r="I84" s="5" t="str">
        <f>_xlfn.XLOOKUP(F84,'[1]Jan Labour Nd Drivers Hyva'!$B:$B,'[2]Jan Labour Nd Drivers Hyva'!$A:$A,"NOT FOUND")</f>
        <v>LAB-003</v>
      </c>
      <c r="J84" s="5" t="str">
        <f>IF(G84="","",_xlfn.XLOOKUP(G84,'[3]Jan Labour Nd Drivers Hyva'!$B:$B,'[2]Jan Labour Nd Drivers Hyva'!$A:$A,"NOT FOUND"))</f>
        <v/>
      </c>
      <c r="K84" s="5" t="str">
        <f>IF(H84="","",_xlfn.XLOOKUP(H84,'[2]Jan Labour Nd Drivers Hyva'!$B:$B,'[2]Jan Labour Nd Drivers Hyva'!$A:$A,"NOT FOUND"))</f>
        <v/>
      </c>
      <c r="L84" s="18" t="s">
        <v>407</v>
      </c>
      <c r="M84" s="19">
        <v>2</v>
      </c>
      <c r="N84" s="20">
        <v>3500</v>
      </c>
      <c r="O84" s="20">
        <f t="shared" si="16"/>
        <v>7000</v>
      </c>
      <c r="P84" s="20"/>
      <c r="Q84" s="20">
        <f t="shared" si="11"/>
        <v>7000</v>
      </c>
      <c r="R84" s="3" t="str">
        <f t="shared" si="17"/>
        <v>UNPAID</v>
      </c>
      <c r="S84" s="3"/>
      <c r="T84" s="3">
        <f t="shared" si="18"/>
        <v>7000</v>
      </c>
      <c r="U84" s="3" t="str">
        <f t="shared" si="19"/>
        <v>OK</v>
      </c>
      <c r="V84" s="21">
        <f t="shared" si="20"/>
        <v>7000</v>
      </c>
      <c r="W84" s="3" t="str">
        <f t="shared" si="21"/>
        <v>OK</v>
      </c>
      <c r="X84" s="3" t="s">
        <v>370</v>
      </c>
    </row>
    <row r="85" spans="1:24" ht="19" x14ac:dyDescent="0.25">
      <c r="A85" t="str">
        <f t="shared" si="12"/>
        <v>TRIP-HR-126</v>
      </c>
      <c r="B85" s="17">
        <v>45945</v>
      </c>
      <c r="C85" s="3" t="str">
        <f>_xlfn.XLOOKUP(D85,'[1]Jan Customer Duplicate Hyva'!$B:$B,'[1]Jan Customer Duplicate Hyva'!$A:$A,"NOT FOUND")</f>
        <v>CUST-196</v>
      </c>
      <c r="D85" s="18" t="s">
        <v>406</v>
      </c>
      <c r="E85" s="18" t="s">
        <v>30</v>
      </c>
      <c r="F85" s="5" t="str">
        <f t="shared" si="22"/>
        <v>Ravi</v>
      </c>
      <c r="G85" s="5" t="str">
        <f t="shared" si="14"/>
        <v/>
      </c>
      <c r="H85" s="5" t="str">
        <f t="shared" si="15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18" t="s">
        <v>407</v>
      </c>
      <c r="M85" s="19">
        <v>1</v>
      </c>
      <c r="N85" s="20">
        <v>3500</v>
      </c>
      <c r="O85" s="20">
        <f t="shared" si="16"/>
        <v>3500</v>
      </c>
      <c r="P85" s="20"/>
      <c r="Q85" s="20">
        <f t="shared" si="11"/>
        <v>3500</v>
      </c>
      <c r="R85" s="3" t="str">
        <f t="shared" si="17"/>
        <v>UNPAID</v>
      </c>
      <c r="S85" s="3"/>
      <c r="T85" s="3">
        <f t="shared" si="18"/>
        <v>3500</v>
      </c>
      <c r="U85" s="3" t="str">
        <f t="shared" si="19"/>
        <v>OK</v>
      </c>
      <c r="V85" s="21">
        <f t="shared" si="20"/>
        <v>3500</v>
      </c>
      <c r="W85" s="3" t="str">
        <f t="shared" si="21"/>
        <v>OK</v>
      </c>
      <c r="X85" s="3" t="s">
        <v>370</v>
      </c>
    </row>
    <row r="86" spans="1:24" ht="19" x14ac:dyDescent="0.25">
      <c r="A86" t="str">
        <f t="shared" si="12"/>
        <v>TRIP-HR-127</v>
      </c>
      <c r="B86" s="17">
        <v>45945</v>
      </c>
      <c r="C86" s="3" t="str">
        <f>_xlfn.XLOOKUP(D86,'[1]Jan Customer Duplicate Hyva'!$B:$B,'[1]Jan Customer Duplicate Hyva'!$A:$A,"NOT FOUND")</f>
        <v>CUST-391</v>
      </c>
      <c r="D86" s="18" t="s">
        <v>389</v>
      </c>
      <c r="E86" s="18" t="s">
        <v>30</v>
      </c>
      <c r="F86" s="5" t="str">
        <f t="shared" si="22"/>
        <v>Ravi</v>
      </c>
      <c r="G86" s="5" t="str">
        <f t="shared" si="14"/>
        <v/>
      </c>
      <c r="H86" s="5" t="str">
        <f t="shared" si="15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18" t="s">
        <v>172</v>
      </c>
      <c r="M86" s="19">
        <v>1</v>
      </c>
      <c r="N86" s="20">
        <v>2500</v>
      </c>
      <c r="O86" s="20">
        <f t="shared" si="16"/>
        <v>2500</v>
      </c>
      <c r="P86" s="20">
        <v>2500</v>
      </c>
      <c r="Q86" s="20">
        <f t="shared" si="11"/>
        <v>0</v>
      </c>
      <c r="R86" s="3" t="str">
        <f t="shared" si="17"/>
        <v>PAID</v>
      </c>
      <c r="S86" s="3"/>
      <c r="T86" s="3">
        <f t="shared" si="18"/>
        <v>2500</v>
      </c>
      <c r="U86" s="3" t="str">
        <f t="shared" si="19"/>
        <v>OK</v>
      </c>
      <c r="V86" s="21">
        <f t="shared" si="20"/>
        <v>0</v>
      </c>
      <c r="W86" s="3" t="str">
        <f t="shared" si="21"/>
        <v>OK</v>
      </c>
      <c r="X86" s="3" t="s">
        <v>370</v>
      </c>
    </row>
    <row r="87" spans="1:24" ht="19" x14ac:dyDescent="0.25">
      <c r="A87" t="str">
        <f t="shared" si="12"/>
        <v>TRIP-HR-128</v>
      </c>
      <c r="B87" s="17">
        <v>45969</v>
      </c>
      <c r="C87" s="3" t="str">
        <f>_xlfn.XLOOKUP(D87,'[1]Jan Customer Duplicate Hyva'!$B:$B,'[1]Jan Customer Duplicate Hyva'!$A:$A,"NOT FOUND")</f>
        <v>CUST-297</v>
      </c>
      <c r="D87" s="18" t="s">
        <v>408</v>
      </c>
      <c r="E87" s="18" t="s">
        <v>30</v>
      </c>
      <c r="F87" s="5" t="str">
        <f t="shared" si="22"/>
        <v>Ravi</v>
      </c>
      <c r="G87" s="5" t="str">
        <f t="shared" si="14"/>
        <v/>
      </c>
      <c r="H87" s="5" t="str">
        <f t="shared" si="15"/>
        <v/>
      </c>
      <c r="I87" s="5" t="str">
        <f>_xlfn.XLOOKUP(F87,'[1]Jan Labour Nd Drivers Hyva'!$B:$B,'[2]Jan Labour Nd Drivers Hyva'!$A:$A,"NOT FOUND")</f>
        <v>LAB-003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18" t="s">
        <v>409</v>
      </c>
      <c r="M87" s="19">
        <v>1</v>
      </c>
      <c r="N87" s="20">
        <v>4500</v>
      </c>
      <c r="O87" s="20">
        <f t="shared" si="16"/>
        <v>4500</v>
      </c>
      <c r="P87" s="20">
        <v>4500</v>
      </c>
      <c r="Q87" s="20">
        <f t="shared" ref="Q87:Q143" si="23">O87-P87</f>
        <v>0</v>
      </c>
      <c r="R87" s="3" t="str">
        <f t="shared" si="17"/>
        <v>PAID</v>
      </c>
      <c r="S87" s="3"/>
      <c r="T87" s="3">
        <f t="shared" si="18"/>
        <v>4500</v>
      </c>
      <c r="U87" s="3" t="str">
        <f t="shared" si="19"/>
        <v>OK</v>
      </c>
      <c r="V87" s="21">
        <f t="shared" si="20"/>
        <v>0</v>
      </c>
      <c r="W87" s="3" t="str">
        <f t="shared" si="21"/>
        <v>OK</v>
      </c>
      <c r="X87" s="3" t="s">
        <v>370</v>
      </c>
    </row>
    <row r="88" spans="1:24" ht="19" x14ac:dyDescent="0.25">
      <c r="A88" t="str">
        <f t="shared" si="12"/>
        <v>TRIP-HR-129</v>
      </c>
      <c r="B88" s="17">
        <v>45971</v>
      </c>
      <c r="C88" s="3" t="str">
        <f>_xlfn.XLOOKUP(D88,'[1]Jan Customer Duplicate Hyva'!$B:$B,'[1]Jan Customer Duplicate Hyva'!$A:$A,"NOT FOUND")</f>
        <v>NOT FOUND</v>
      </c>
      <c r="D88" s="18" t="s">
        <v>322</v>
      </c>
      <c r="E88" s="18" t="s">
        <v>30</v>
      </c>
      <c r="F88" s="5" t="str">
        <f t="shared" si="22"/>
        <v>Ravi</v>
      </c>
      <c r="G88" s="5" t="str">
        <f t="shared" si="14"/>
        <v/>
      </c>
      <c r="H88" s="5" t="str">
        <f t="shared" si="15"/>
        <v/>
      </c>
      <c r="I88" s="5" t="str">
        <f>_xlfn.XLOOKUP(F88,'[1]Jan Labour Nd Drivers Hyva'!$B:$B,'[2]Jan Labour Nd Drivers Hyva'!$A:$A,"NOT FOUND")</f>
        <v>LAB-003</v>
      </c>
      <c r="J88" s="5" t="str">
        <f>IF(G88="","",_xlfn.XLOOKUP(G88,'[3]Jan Labour Nd Drivers Hyva'!$B:$B,'[2]Jan Labour Nd Drivers Hyva'!$A:$A,"NOT FOUND"))</f>
        <v/>
      </c>
      <c r="K88" s="5" t="str">
        <f>IF(H88="","",_xlfn.XLOOKUP(H88,'[2]Jan Labour Nd Drivers Hyva'!$B:$B,'[2]Jan Labour Nd Drivers Hyva'!$A:$A,"NOT FOUND"))</f>
        <v/>
      </c>
      <c r="L88" s="18" t="s">
        <v>410</v>
      </c>
      <c r="M88" s="19">
        <v>1</v>
      </c>
      <c r="N88" s="20">
        <v>3000</v>
      </c>
      <c r="O88" s="20">
        <f t="shared" si="16"/>
        <v>3000</v>
      </c>
      <c r="P88" s="20">
        <v>3000</v>
      </c>
      <c r="Q88" s="20">
        <f t="shared" si="23"/>
        <v>0</v>
      </c>
      <c r="R88" s="3" t="str">
        <f t="shared" si="17"/>
        <v>PAID</v>
      </c>
      <c r="S88" s="3"/>
      <c r="T88" s="3">
        <f t="shared" si="18"/>
        <v>3000</v>
      </c>
      <c r="U88" s="3" t="str">
        <f t="shared" si="19"/>
        <v>OK</v>
      </c>
      <c r="V88" s="21">
        <f t="shared" si="20"/>
        <v>0</v>
      </c>
      <c r="W88" s="3" t="str">
        <f t="shared" si="21"/>
        <v>OK</v>
      </c>
      <c r="X88" s="3" t="s">
        <v>370</v>
      </c>
    </row>
    <row r="89" spans="1:24" ht="19" x14ac:dyDescent="0.25">
      <c r="A89" t="str">
        <f t="shared" si="12"/>
        <v>TRIP-HR-130</v>
      </c>
      <c r="B89" s="17">
        <v>45973</v>
      </c>
      <c r="C89" s="3" t="str">
        <f>_xlfn.XLOOKUP(D89,'[1]Jan Customer Duplicate Hyva'!$B:$B,'[1]Jan Customer Duplicate Hyva'!$A:$A,"NOT FOUND")</f>
        <v>NOT FOUND</v>
      </c>
      <c r="D89" s="18" t="s">
        <v>322</v>
      </c>
      <c r="E89" s="18" t="s">
        <v>30</v>
      </c>
      <c r="F89" s="5" t="str">
        <f t="shared" si="22"/>
        <v>Ravi</v>
      </c>
      <c r="G89" s="5" t="str">
        <f t="shared" si="14"/>
        <v/>
      </c>
      <c r="H89" s="5" t="str">
        <f t="shared" si="15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18" t="s">
        <v>410</v>
      </c>
      <c r="M89" s="19">
        <v>1</v>
      </c>
      <c r="N89" s="20">
        <v>3000</v>
      </c>
      <c r="O89" s="20">
        <f t="shared" si="16"/>
        <v>3000</v>
      </c>
      <c r="P89" s="20">
        <v>3000</v>
      </c>
      <c r="Q89" s="20">
        <f t="shared" si="23"/>
        <v>0</v>
      </c>
      <c r="R89" s="3" t="str">
        <f t="shared" si="17"/>
        <v>PAID</v>
      </c>
      <c r="S89" s="3"/>
      <c r="T89" s="3">
        <f t="shared" si="18"/>
        <v>3000</v>
      </c>
      <c r="U89" s="3" t="str">
        <f t="shared" si="19"/>
        <v>OK</v>
      </c>
      <c r="V89" s="21">
        <f t="shared" si="20"/>
        <v>0</v>
      </c>
      <c r="W89" s="3" t="str">
        <f t="shared" si="21"/>
        <v>OK</v>
      </c>
      <c r="X89" s="3" t="s">
        <v>370</v>
      </c>
    </row>
    <row r="90" spans="1:24" ht="19" x14ac:dyDescent="0.25">
      <c r="A90" t="str">
        <f t="shared" si="12"/>
        <v>TRIP-HR-131</v>
      </c>
      <c r="B90" s="17">
        <v>45973</v>
      </c>
      <c r="C90" s="3" t="str">
        <f>_xlfn.XLOOKUP(D90,'[1]Jan Customer Duplicate Hyva'!$B:$B,'[1]Jan Customer Duplicate Hyva'!$A:$A,"NOT FOUND")</f>
        <v>CUST-255</v>
      </c>
      <c r="D90" s="18" t="s">
        <v>75</v>
      </c>
      <c r="E90" s="18" t="s">
        <v>30</v>
      </c>
      <c r="F90" s="5" t="str">
        <f t="shared" si="22"/>
        <v>Ravi</v>
      </c>
      <c r="G90" s="5" t="str">
        <f t="shared" si="14"/>
        <v/>
      </c>
      <c r="H90" s="5" t="str">
        <f t="shared" si="15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18" t="s">
        <v>116</v>
      </c>
      <c r="M90" s="19">
        <v>1</v>
      </c>
      <c r="N90" s="20">
        <v>3000</v>
      </c>
      <c r="O90" s="20">
        <f t="shared" si="16"/>
        <v>3000</v>
      </c>
      <c r="P90" s="20">
        <v>3000</v>
      </c>
      <c r="Q90" s="20">
        <f t="shared" si="23"/>
        <v>0</v>
      </c>
      <c r="R90" s="3" t="str">
        <f t="shared" si="17"/>
        <v>PAID</v>
      </c>
      <c r="S90" s="3"/>
      <c r="T90" s="3">
        <f t="shared" si="18"/>
        <v>3000</v>
      </c>
      <c r="U90" s="3" t="str">
        <f t="shared" si="19"/>
        <v>OK</v>
      </c>
      <c r="V90" s="21">
        <f t="shared" si="20"/>
        <v>0</v>
      </c>
      <c r="W90" s="3" t="str">
        <f t="shared" si="21"/>
        <v>OK</v>
      </c>
      <c r="X90" s="3" t="s">
        <v>370</v>
      </c>
    </row>
    <row r="91" spans="1:24" ht="19" x14ac:dyDescent="0.25">
      <c r="A91" t="str">
        <f t="shared" si="12"/>
        <v>TRIP-HR-132</v>
      </c>
      <c r="B91" s="17">
        <v>45974</v>
      </c>
      <c r="C91" s="3" t="str">
        <f>_xlfn.XLOOKUP(D91,'[1]Jan Customer Duplicate Hyva'!$B:$B,'[1]Jan Customer Duplicate Hyva'!$A:$A,"NOT FOUND")</f>
        <v>CUST-255</v>
      </c>
      <c r="D91" s="18" t="s">
        <v>75</v>
      </c>
      <c r="E91" s="18" t="s">
        <v>30</v>
      </c>
      <c r="F91" s="5" t="str">
        <f t="shared" si="22"/>
        <v>Ravi</v>
      </c>
      <c r="G91" s="5" t="str">
        <f t="shared" si="14"/>
        <v/>
      </c>
      <c r="H91" s="5" t="str">
        <f t="shared" si="15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18" t="s">
        <v>116</v>
      </c>
      <c r="M91" s="19">
        <v>2</v>
      </c>
      <c r="N91" s="20">
        <v>3000</v>
      </c>
      <c r="O91" s="20">
        <f t="shared" si="16"/>
        <v>6000</v>
      </c>
      <c r="P91" s="20">
        <v>6000</v>
      </c>
      <c r="Q91" s="20">
        <f t="shared" si="23"/>
        <v>0</v>
      </c>
      <c r="R91" s="3" t="str">
        <f t="shared" si="17"/>
        <v>PAID</v>
      </c>
      <c r="S91" s="3"/>
      <c r="T91" s="3">
        <f t="shared" si="18"/>
        <v>6000</v>
      </c>
      <c r="U91" s="3" t="str">
        <f t="shared" si="19"/>
        <v>OK</v>
      </c>
      <c r="V91" s="21">
        <f t="shared" si="20"/>
        <v>0</v>
      </c>
      <c r="W91" s="3" t="str">
        <f t="shared" si="21"/>
        <v>OK</v>
      </c>
      <c r="X91" s="3" t="s">
        <v>370</v>
      </c>
    </row>
    <row r="92" spans="1:24" ht="19" x14ac:dyDescent="0.25">
      <c r="A92" t="str">
        <f t="shared" si="12"/>
        <v>TRIP-HR-133</v>
      </c>
      <c r="B92" s="17">
        <v>45974</v>
      </c>
      <c r="C92" s="3" t="str">
        <f>_xlfn.XLOOKUP(D92,'[1]Jan Customer Duplicate Hyva'!$B:$B,'[1]Jan Customer Duplicate Hyva'!$A:$A,"NOT FOUND")</f>
        <v>CUST-243</v>
      </c>
      <c r="D92" s="18" t="s">
        <v>341</v>
      </c>
      <c r="E92" s="18" t="s">
        <v>30</v>
      </c>
      <c r="F92" s="5" t="str">
        <f t="shared" si="22"/>
        <v>Ravi</v>
      </c>
      <c r="G92" s="5" t="str">
        <f t="shared" si="14"/>
        <v/>
      </c>
      <c r="H92" s="5" t="str">
        <f t="shared" si="15"/>
        <v/>
      </c>
      <c r="I92" s="5" t="str">
        <f>_xlfn.XLOOKUP(F92,'[1]Jan Labour Nd Drivers Hyva'!$B:$B,'[2]Jan Labour Nd Drivers Hyva'!$A:$A,"NOT FOUND")</f>
        <v>LAB-003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18" t="s">
        <v>120</v>
      </c>
      <c r="M92" s="19">
        <v>2</v>
      </c>
      <c r="N92" s="20">
        <v>3000</v>
      </c>
      <c r="O92" s="20">
        <f t="shared" si="16"/>
        <v>6000</v>
      </c>
      <c r="P92" s="20">
        <v>6000</v>
      </c>
      <c r="Q92" s="20">
        <f t="shared" si="23"/>
        <v>0</v>
      </c>
      <c r="R92" s="3" t="str">
        <f t="shared" si="17"/>
        <v>PAID</v>
      </c>
      <c r="S92" s="3"/>
      <c r="T92" s="3">
        <f t="shared" si="18"/>
        <v>6000</v>
      </c>
      <c r="U92" s="3" t="str">
        <f t="shared" si="19"/>
        <v>OK</v>
      </c>
      <c r="V92" s="21">
        <f t="shared" si="20"/>
        <v>0</v>
      </c>
      <c r="W92" s="3" t="str">
        <f t="shared" si="21"/>
        <v>OK</v>
      </c>
      <c r="X92" s="3" t="s">
        <v>370</v>
      </c>
    </row>
    <row r="93" spans="1:24" ht="19" x14ac:dyDescent="0.25">
      <c r="A93" t="str">
        <f t="shared" si="12"/>
        <v>TRIP-HR-134</v>
      </c>
      <c r="B93" s="17">
        <v>45975</v>
      </c>
      <c r="C93" s="3" t="str">
        <f>_xlfn.XLOOKUP(D93,'[1]Jan Customer Duplicate Hyva'!$B:$B,'[1]Jan Customer Duplicate Hyva'!$A:$A,"NOT FOUND")</f>
        <v>CUST-059</v>
      </c>
      <c r="D93" s="18" t="s">
        <v>84</v>
      </c>
      <c r="E93" s="18" t="s">
        <v>30</v>
      </c>
      <c r="F93" s="5" t="str">
        <f t="shared" si="22"/>
        <v>Ravi</v>
      </c>
      <c r="G93" s="5" t="str">
        <f t="shared" si="14"/>
        <v/>
      </c>
      <c r="H93" s="5" t="str">
        <f t="shared" si="15"/>
        <v/>
      </c>
      <c r="I93" s="5" t="str">
        <f>_xlfn.XLOOKUP(F93,'[1]Jan Labour Nd Drivers Hyva'!$B:$B,'[2]Jan Labour Nd Drivers Hyva'!$A:$A,"NOT FOUND")</f>
        <v>LAB-003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18" t="s">
        <v>411</v>
      </c>
      <c r="M93" s="19">
        <v>1</v>
      </c>
      <c r="N93" s="20">
        <v>6500</v>
      </c>
      <c r="O93" s="20">
        <f t="shared" si="16"/>
        <v>6500</v>
      </c>
      <c r="P93" s="20">
        <v>6500</v>
      </c>
      <c r="Q93" s="20">
        <f t="shared" si="23"/>
        <v>0</v>
      </c>
      <c r="R93" s="3" t="str">
        <f t="shared" si="17"/>
        <v>PAID</v>
      </c>
      <c r="S93" s="3"/>
      <c r="T93" s="3">
        <f t="shared" si="18"/>
        <v>6500</v>
      </c>
      <c r="U93" s="3" t="str">
        <f t="shared" si="19"/>
        <v>OK</v>
      </c>
      <c r="V93" s="21">
        <f t="shared" si="20"/>
        <v>0</v>
      </c>
      <c r="W93" s="3" t="str">
        <f t="shared" si="21"/>
        <v>OK</v>
      </c>
      <c r="X93" s="3" t="s">
        <v>370</v>
      </c>
    </row>
    <row r="94" spans="1:24" ht="19" x14ac:dyDescent="0.25">
      <c r="A94" t="str">
        <f t="shared" si="12"/>
        <v>TRIP-HR-135</v>
      </c>
      <c r="B94" s="17">
        <v>45975</v>
      </c>
      <c r="C94" s="3" t="str">
        <f>_xlfn.XLOOKUP(D94,'[1]Jan Customer Duplicate Hyva'!$B:$B,'[1]Jan Customer Duplicate Hyva'!$A:$A,"NOT FOUND")</f>
        <v>CUST-255</v>
      </c>
      <c r="D94" s="18" t="s">
        <v>75</v>
      </c>
      <c r="E94" s="18" t="s">
        <v>307</v>
      </c>
      <c r="F94" s="5" t="str">
        <f t="shared" si="22"/>
        <v>Dhanraj</v>
      </c>
      <c r="G94" s="5" t="str">
        <f t="shared" si="14"/>
        <v/>
      </c>
      <c r="H94" s="5" t="str">
        <f t="shared" si="15"/>
        <v/>
      </c>
      <c r="I94" s="5" t="str">
        <f>_xlfn.XLOOKUP(F94,'[1]Jan Labour Nd Drivers Hyva'!$B:$B,'[2]Jan Labour Nd Drivers Hyva'!$A:$A,"NOT FOUND")</f>
        <v>LAB-010</v>
      </c>
      <c r="J94" s="5" t="str">
        <f>IF(G94="","",_xlfn.XLOOKUP(G94,'[3]Jan Labour Nd Drivers Hyva'!$B:$B,'[2]Jan Labour Nd Drivers Hyva'!$A:$A,"NOT FOUND"))</f>
        <v/>
      </c>
      <c r="K94" s="5" t="str">
        <f>IF(H94="","",_xlfn.XLOOKUP(H94,'[2]Jan Labour Nd Drivers Hyva'!$B:$B,'[2]Jan Labour Nd Drivers Hyva'!$A:$A,"NOT FOUND"))</f>
        <v/>
      </c>
      <c r="L94" s="18" t="s">
        <v>116</v>
      </c>
      <c r="M94" s="19">
        <v>1</v>
      </c>
      <c r="N94" s="20">
        <v>3000</v>
      </c>
      <c r="O94" s="20">
        <f t="shared" si="16"/>
        <v>3000</v>
      </c>
      <c r="P94" s="20">
        <v>3000</v>
      </c>
      <c r="Q94" s="20">
        <f t="shared" si="23"/>
        <v>0</v>
      </c>
      <c r="R94" s="3" t="str">
        <f t="shared" si="17"/>
        <v>PAID</v>
      </c>
      <c r="S94" s="3"/>
      <c r="T94" s="3">
        <f t="shared" si="18"/>
        <v>3000</v>
      </c>
      <c r="U94" s="3" t="str">
        <f t="shared" si="19"/>
        <v>OK</v>
      </c>
      <c r="V94" s="21">
        <f t="shared" si="20"/>
        <v>0</v>
      </c>
      <c r="W94" s="3" t="str">
        <f t="shared" si="21"/>
        <v>OK</v>
      </c>
      <c r="X94" s="3" t="s">
        <v>370</v>
      </c>
    </row>
    <row r="95" spans="1:24" ht="19" x14ac:dyDescent="0.25">
      <c r="A95" t="str">
        <f t="shared" si="12"/>
        <v>TRIP-HR-136</v>
      </c>
      <c r="B95" s="17">
        <v>45975</v>
      </c>
      <c r="C95" s="3" t="str">
        <f>_xlfn.XLOOKUP(D95,'[1]Jan Customer Duplicate Hyva'!$B:$B,'[1]Jan Customer Duplicate Hyva'!$A:$A,"NOT FOUND")</f>
        <v>CUST-243</v>
      </c>
      <c r="D95" s="18" t="s">
        <v>341</v>
      </c>
      <c r="E95" s="18" t="s">
        <v>30</v>
      </c>
      <c r="F95" s="5" t="str">
        <f t="shared" si="22"/>
        <v>Ravi</v>
      </c>
      <c r="G95" s="5" t="str">
        <f t="shared" si="14"/>
        <v/>
      </c>
      <c r="H95" s="5" t="str">
        <f t="shared" si="15"/>
        <v/>
      </c>
      <c r="I95" s="5" t="str">
        <f>_xlfn.XLOOKUP(F95,'[1]Jan Labour Nd Drivers Hyva'!$B:$B,'[2]Jan Labour Nd Drivers Hyva'!$A:$A,"NOT FOUND")</f>
        <v>LAB-003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18" t="s">
        <v>120</v>
      </c>
      <c r="M95" s="19">
        <v>3</v>
      </c>
      <c r="N95" s="20">
        <v>3000</v>
      </c>
      <c r="O95" s="20">
        <f t="shared" si="16"/>
        <v>9000</v>
      </c>
      <c r="P95" s="20">
        <v>9000</v>
      </c>
      <c r="Q95" s="20">
        <f t="shared" si="23"/>
        <v>0</v>
      </c>
      <c r="R95" s="3" t="str">
        <f t="shared" si="17"/>
        <v>PAID</v>
      </c>
      <c r="S95" s="3"/>
      <c r="T95" s="3">
        <f t="shared" si="18"/>
        <v>9000</v>
      </c>
      <c r="U95" s="3" t="str">
        <f t="shared" si="19"/>
        <v>OK</v>
      </c>
      <c r="V95" s="21">
        <f t="shared" si="20"/>
        <v>0</v>
      </c>
      <c r="W95" s="3" t="str">
        <f t="shared" si="21"/>
        <v>OK</v>
      </c>
      <c r="X95" s="3" t="s">
        <v>370</v>
      </c>
    </row>
    <row r="96" spans="1:24" ht="19" x14ac:dyDescent="0.25">
      <c r="A96" t="str">
        <f t="shared" si="12"/>
        <v>TRIP-HR-137</v>
      </c>
      <c r="B96" s="17">
        <v>45975</v>
      </c>
      <c r="C96" s="3" t="str">
        <f>_xlfn.XLOOKUP(D96,'[1]Jan Customer Duplicate Hyva'!$B:$B,'[1]Jan Customer Duplicate Hyva'!$A:$A,"NOT FOUND")</f>
        <v>CUST-323</v>
      </c>
      <c r="D96" s="18" t="s">
        <v>51</v>
      </c>
      <c r="E96" s="18" t="s">
        <v>307</v>
      </c>
      <c r="F96" s="5" t="str">
        <f t="shared" si="22"/>
        <v>Dhanraj</v>
      </c>
      <c r="G96" s="5" t="str">
        <f t="shared" si="14"/>
        <v/>
      </c>
      <c r="H96" s="5" t="str">
        <f t="shared" si="15"/>
        <v/>
      </c>
      <c r="I96" s="5" t="str">
        <f>_xlfn.XLOOKUP(F96,'[1]Jan Labour Nd Drivers Hyva'!$B:$B,'[2]Jan Labour Nd Drivers Hyva'!$A:$A,"NOT FOUND")</f>
        <v>LAB-010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18" t="s">
        <v>311</v>
      </c>
      <c r="M96" s="19">
        <v>1</v>
      </c>
      <c r="N96" s="20">
        <v>3000</v>
      </c>
      <c r="O96" s="20">
        <f t="shared" si="16"/>
        <v>3000</v>
      </c>
      <c r="P96" s="20"/>
      <c r="Q96" s="20">
        <f t="shared" si="23"/>
        <v>3000</v>
      </c>
      <c r="R96" s="3" t="str">
        <f t="shared" si="17"/>
        <v>UNPAID</v>
      </c>
      <c r="S96" s="3"/>
      <c r="T96" s="3">
        <f t="shared" si="18"/>
        <v>3000</v>
      </c>
      <c r="U96" s="3" t="str">
        <f t="shared" si="19"/>
        <v>OK</v>
      </c>
      <c r="V96" s="21">
        <f t="shared" si="20"/>
        <v>3000</v>
      </c>
      <c r="W96" s="3" t="str">
        <f t="shared" si="21"/>
        <v>OK</v>
      </c>
      <c r="X96" s="3" t="s">
        <v>370</v>
      </c>
    </row>
    <row r="97" spans="1:24" ht="19" x14ac:dyDescent="0.25">
      <c r="A97" t="str">
        <f t="shared" si="12"/>
        <v>TRIP-HR-138</v>
      </c>
      <c r="B97" s="17">
        <v>45976</v>
      </c>
      <c r="C97" s="3" t="str">
        <f>_xlfn.XLOOKUP(D97,'[1]Jan Customer Duplicate Hyva'!$B:$B,'[1]Jan Customer Duplicate Hyva'!$A:$A,"NOT FOUND")</f>
        <v>CUST-018</v>
      </c>
      <c r="D97" s="18" t="s">
        <v>38</v>
      </c>
      <c r="E97" s="18" t="s">
        <v>30</v>
      </c>
      <c r="F97" s="5" t="str">
        <f t="shared" si="22"/>
        <v>Ravi</v>
      </c>
      <c r="G97" s="5" t="str">
        <f t="shared" si="14"/>
        <v/>
      </c>
      <c r="H97" s="5" t="str">
        <f t="shared" si="15"/>
        <v/>
      </c>
      <c r="I97" s="5" t="str">
        <f>_xlfn.XLOOKUP(F97,'[1]Jan Labour Nd Drivers Hyva'!$B:$B,'[2]Jan Labour Nd Drivers Hyva'!$A:$A,"NOT FOUND")</f>
        <v>LAB-003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18" t="s">
        <v>412</v>
      </c>
      <c r="M97" s="19">
        <v>2</v>
      </c>
      <c r="N97" s="20">
        <v>1800</v>
      </c>
      <c r="O97" s="20">
        <f t="shared" si="16"/>
        <v>3600</v>
      </c>
      <c r="P97" s="20">
        <v>3600</v>
      </c>
      <c r="Q97" s="20">
        <f t="shared" si="23"/>
        <v>0</v>
      </c>
      <c r="R97" s="3" t="str">
        <f t="shared" si="17"/>
        <v>PAID</v>
      </c>
      <c r="S97" s="3"/>
      <c r="T97" s="3">
        <f t="shared" si="18"/>
        <v>3600</v>
      </c>
      <c r="U97" s="3" t="str">
        <f t="shared" si="19"/>
        <v>OK</v>
      </c>
      <c r="V97" s="21">
        <f t="shared" si="20"/>
        <v>0</v>
      </c>
      <c r="W97" s="3" t="str">
        <f t="shared" si="21"/>
        <v>OK</v>
      </c>
      <c r="X97" s="3" t="s">
        <v>370</v>
      </c>
    </row>
    <row r="98" spans="1:24" ht="19" x14ac:dyDescent="0.25">
      <c r="A98" t="str">
        <f t="shared" si="12"/>
        <v>TRIP-HR-139</v>
      </c>
      <c r="B98" s="17">
        <v>45976</v>
      </c>
      <c r="C98" s="3" t="str">
        <f>_xlfn.XLOOKUP(D98,'[1]Jan Customer Duplicate Hyva'!$B:$B,'[1]Jan Customer Duplicate Hyva'!$A:$A,"NOT FOUND")</f>
        <v>CUST-255</v>
      </c>
      <c r="D98" s="18" t="s">
        <v>75</v>
      </c>
      <c r="E98" s="18" t="s">
        <v>30</v>
      </c>
      <c r="F98" s="5" t="str">
        <f t="shared" si="22"/>
        <v>Ravi</v>
      </c>
      <c r="G98" s="5" t="str">
        <f t="shared" si="14"/>
        <v/>
      </c>
      <c r="H98" s="5" t="str">
        <f t="shared" si="15"/>
        <v/>
      </c>
      <c r="I98" s="5" t="str">
        <f>_xlfn.XLOOKUP(F98,'[1]Jan Labour Nd Drivers Hyva'!$B:$B,'[2]Jan Labour Nd Drivers Hyva'!$A:$A,"NOT FOUND")</f>
        <v>LAB-003</v>
      </c>
      <c r="J98" s="5" t="str">
        <f>IF(G98="","",_xlfn.XLOOKUP(G98,'[3]Jan Labour Nd Drivers Hyva'!$B:$B,'[2]Jan Labour Nd Drivers Hyva'!$A:$A,"NOT FOUND"))</f>
        <v/>
      </c>
      <c r="K98" s="5" t="str">
        <f>IF(H98="","",_xlfn.XLOOKUP(H98,'[2]Jan Labour Nd Drivers Hyva'!$B:$B,'[2]Jan Labour Nd Drivers Hyva'!$A:$A,"NOT FOUND"))</f>
        <v/>
      </c>
      <c r="L98" s="18" t="s">
        <v>116</v>
      </c>
      <c r="M98" s="19">
        <v>1</v>
      </c>
      <c r="N98" s="20">
        <v>3000</v>
      </c>
      <c r="O98" s="20">
        <f t="shared" si="16"/>
        <v>3000</v>
      </c>
      <c r="P98" s="20">
        <v>3000</v>
      </c>
      <c r="Q98" s="20">
        <f t="shared" si="23"/>
        <v>0</v>
      </c>
      <c r="R98" s="3" t="str">
        <f t="shared" si="17"/>
        <v>PAID</v>
      </c>
      <c r="S98" s="3"/>
      <c r="T98" s="3">
        <f t="shared" si="18"/>
        <v>3000</v>
      </c>
      <c r="U98" s="3" t="str">
        <f t="shared" si="19"/>
        <v>OK</v>
      </c>
      <c r="V98" s="21">
        <f t="shared" si="20"/>
        <v>0</v>
      </c>
      <c r="W98" s="3" t="str">
        <f t="shared" si="21"/>
        <v>OK</v>
      </c>
      <c r="X98" s="3" t="s">
        <v>370</v>
      </c>
    </row>
    <row r="99" spans="1:24" ht="19" x14ac:dyDescent="0.25">
      <c r="A99" t="str">
        <f t="shared" si="12"/>
        <v>TRIP-HR-140</v>
      </c>
      <c r="B99" s="17">
        <v>45977</v>
      </c>
      <c r="C99" s="3" t="str">
        <f>_xlfn.XLOOKUP(D99,'[1]Jan Customer Duplicate Hyva'!$B:$B,'[1]Jan Customer Duplicate Hyva'!$A:$A,"NOT FOUND")</f>
        <v>NOT FOUND</v>
      </c>
      <c r="D99" s="18" t="s">
        <v>413</v>
      </c>
      <c r="E99" s="18" t="s">
        <v>307</v>
      </c>
      <c r="F99" s="5" t="str">
        <f t="shared" ref="F99:F114" si="24">TRIM(_xlfn.TEXTBEFORE(E99&amp;" / "," / "))</f>
        <v>Dhanraj</v>
      </c>
      <c r="G99" s="5" t="str">
        <f t="shared" si="14"/>
        <v/>
      </c>
      <c r="H99" s="5" t="str">
        <f t="shared" si="15"/>
        <v/>
      </c>
      <c r="I99" s="5" t="str">
        <f>_xlfn.XLOOKUP(F99,'[1]Jan Labour Nd Drivers Hyva'!$B:$B,'[2]Jan Labour Nd Drivers Hyva'!$A:$A,"NOT FOUND")</f>
        <v>LAB-010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18" t="s">
        <v>414</v>
      </c>
      <c r="M99" s="19">
        <v>1</v>
      </c>
      <c r="N99" s="20">
        <v>3000</v>
      </c>
      <c r="O99" s="20">
        <f t="shared" si="16"/>
        <v>3000</v>
      </c>
      <c r="P99" s="20">
        <v>3000</v>
      </c>
      <c r="Q99" s="20">
        <f t="shared" si="23"/>
        <v>0</v>
      </c>
      <c r="R99" s="3" t="str">
        <f t="shared" si="17"/>
        <v>PAID</v>
      </c>
      <c r="S99" s="3"/>
      <c r="T99" s="3">
        <f t="shared" si="18"/>
        <v>3000</v>
      </c>
      <c r="U99" s="3" t="str">
        <f t="shared" si="19"/>
        <v>OK</v>
      </c>
      <c r="V99" s="21">
        <f t="shared" si="20"/>
        <v>0</v>
      </c>
      <c r="W99" s="3" t="str">
        <f t="shared" si="21"/>
        <v>OK</v>
      </c>
      <c r="X99" s="3" t="s">
        <v>370</v>
      </c>
    </row>
    <row r="100" spans="1:24" ht="19" x14ac:dyDescent="0.25">
      <c r="A100" t="str">
        <f t="shared" si="12"/>
        <v>TRIP-HR-141</v>
      </c>
      <c r="B100" s="17">
        <v>45977</v>
      </c>
      <c r="C100" s="3" t="str">
        <f>_xlfn.XLOOKUP(D100,'[1]Jan Customer Duplicate Hyva'!$B:$B,'[1]Jan Customer Duplicate Hyva'!$A:$A,"NOT FOUND")</f>
        <v>NOT FOUND</v>
      </c>
      <c r="D100" s="18" t="s">
        <v>256</v>
      </c>
      <c r="E100" s="18" t="s">
        <v>307</v>
      </c>
      <c r="F100" s="5" t="str">
        <f t="shared" si="24"/>
        <v>Dhanraj</v>
      </c>
      <c r="G100" s="5" t="str">
        <f t="shared" si="14"/>
        <v/>
      </c>
      <c r="H100" s="5" t="str">
        <f t="shared" si="15"/>
        <v/>
      </c>
      <c r="I100" s="5" t="str">
        <f>_xlfn.XLOOKUP(F100,'[1]Jan Labour Nd Drivers Hyva'!$B:$B,'[2]Jan Labour Nd Drivers Hyva'!$A:$A,"NOT FOUND")</f>
        <v>LAB-010</v>
      </c>
      <c r="J100" s="5" t="str">
        <f>IF(G100="","",_xlfn.XLOOKUP(G100,'[3]Jan Labour Nd Drivers Hyva'!$B:$B,'[2]Jan Labour Nd Drivers Hyva'!$A:$A,"NOT FOUND"))</f>
        <v/>
      </c>
      <c r="K100" s="5" t="str">
        <f>IF(H100="","",_xlfn.XLOOKUP(H100,'[2]Jan Labour Nd Drivers Hyva'!$B:$B,'[2]Jan Labour Nd Drivers Hyva'!$A:$A,"NOT FOUND"))</f>
        <v/>
      </c>
      <c r="L100" s="18" t="s">
        <v>415</v>
      </c>
      <c r="M100" s="19">
        <v>1</v>
      </c>
      <c r="N100" s="20">
        <v>3500</v>
      </c>
      <c r="O100" s="20">
        <f t="shared" si="16"/>
        <v>3500</v>
      </c>
      <c r="P100" s="20">
        <v>3500</v>
      </c>
      <c r="Q100" s="20">
        <f t="shared" si="23"/>
        <v>0</v>
      </c>
      <c r="R100" s="3" t="str">
        <f t="shared" si="17"/>
        <v>PAID</v>
      </c>
      <c r="S100" s="3"/>
      <c r="T100" s="3">
        <f t="shared" si="18"/>
        <v>3500</v>
      </c>
      <c r="U100" s="3" t="str">
        <f t="shared" si="19"/>
        <v>OK</v>
      </c>
      <c r="V100" s="21">
        <f t="shared" si="20"/>
        <v>0</v>
      </c>
      <c r="W100" s="3" t="str">
        <f t="shared" si="21"/>
        <v>OK</v>
      </c>
      <c r="X100" s="3" t="s">
        <v>370</v>
      </c>
    </row>
    <row r="101" spans="1:24" ht="19" x14ac:dyDescent="0.25">
      <c r="A101" t="str">
        <f t="shared" si="12"/>
        <v>TRIP-HR-142</v>
      </c>
      <c r="B101" s="17">
        <v>45977</v>
      </c>
      <c r="C101" s="3" t="str">
        <f>_xlfn.XLOOKUP(D101,'[1]Jan Customer Duplicate Hyva'!$B:$B,'[1]Jan Customer Duplicate Hyva'!$A:$A,"NOT FOUND")</f>
        <v>CUST-255</v>
      </c>
      <c r="D101" s="18" t="s">
        <v>75</v>
      </c>
      <c r="E101" s="18" t="s">
        <v>307</v>
      </c>
      <c r="F101" s="5" t="str">
        <f t="shared" si="24"/>
        <v>Dhanraj</v>
      </c>
      <c r="G101" s="5" t="str">
        <f t="shared" si="14"/>
        <v/>
      </c>
      <c r="H101" s="5" t="str">
        <f t="shared" si="15"/>
        <v/>
      </c>
      <c r="I101" s="5" t="str">
        <f>_xlfn.XLOOKUP(F101,'[1]Jan Labour Nd Drivers Hyva'!$B:$B,'[2]Jan Labour Nd Drivers Hyva'!$A:$A,"NOT FOUND")</f>
        <v>LAB-010</v>
      </c>
      <c r="J101" s="5" t="str">
        <f>IF(G101="","",_xlfn.XLOOKUP(G101,'[3]Jan Labour Nd Drivers Hyva'!$B:$B,'[2]Jan Labour Nd Drivers Hyva'!$A:$A,"NOT FOUND"))</f>
        <v/>
      </c>
      <c r="K101" s="5" t="str">
        <f>IF(H101="","",_xlfn.XLOOKUP(H101,'[2]Jan Labour Nd Drivers Hyva'!$B:$B,'[2]Jan Labour Nd Drivers Hyva'!$A:$A,"NOT FOUND"))</f>
        <v/>
      </c>
      <c r="L101" s="18" t="s">
        <v>116</v>
      </c>
      <c r="M101" s="19">
        <v>1</v>
      </c>
      <c r="N101" s="20">
        <v>3000</v>
      </c>
      <c r="O101" s="20">
        <f t="shared" si="16"/>
        <v>3000</v>
      </c>
      <c r="P101" s="20">
        <v>3000</v>
      </c>
      <c r="Q101" s="20">
        <f t="shared" si="23"/>
        <v>0</v>
      </c>
      <c r="R101" s="3" t="str">
        <f t="shared" si="17"/>
        <v>PAID</v>
      </c>
      <c r="S101" s="3"/>
      <c r="T101" s="3">
        <f t="shared" si="18"/>
        <v>3000</v>
      </c>
      <c r="U101" s="3" t="str">
        <f t="shared" si="19"/>
        <v>OK</v>
      </c>
      <c r="V101" s="21">
        <f t="shared" si="20"/>
        <v>0</v>
      </c>
      <c r="W101" s="3" t="str">
        <f t="shared" si="21"/>
        <v>OK</v>
      </c>
      <c r="X101" s="3" t="s">
        <v>370</v>
      </c>
    </row>
    <row r="102" spans="1:24" ht="19" x14ac:dyDescent="0.25">
      <c r="A102" t="str">
        <f t="shared" si="12"/>
        <v>TRIP-HR-143</v>
      </c>
      <c r="B102" s="17">
        <v>45980</v>
      </c>
      <c r="C102" s="3" t="str">
        <f>_xlfn.XLOOKUP(D102,'[1]Jan Customer Duplicate Hyva'!$B:$B,'[1]Jan Customer Duplicate Hyva'!$A:$A,"NOT FOUND")</f>
        <v>NOT FOUND</v>
      </c>
      <c r="D102" s="18" t="s">
        <v>256</v>
      </c>
      <c r="E102" s="18" t="s">
        <v>30</v>
      </c>
      <c r="F102" s="5" t="str">
        <f t="shared" si="24"/>
        <v>Ravi</v>
      </c>
      <c r="G102" s="5" t="str">
        <f t="shared" si="14"/>
        <v/>
      </c>
      <c r="H102" s="5" t="str">
        <f t="shared" si="15"/>
        <v/>
      </c>
      <c r="I102" s="5" t="str">
        <f>_xlfn.XLOOKUP(F102,'[1]Jan Labour Nd Drivers Hyva'!$B:$B,'[2]Jan Labour Nd Drivers Hyva'!$A:$A,"NOT FOUND")</f>
        <v>LAB-003</v>
      </c>
      <c r="J102" s="5" t="str">
        <f>IF(G102="","",_xlfn.XLOOKUP(G102,'[3]Jan Labour Nd Drivers Hyva'!$B:$B,'[2]Jan Labour Nd Drivers Hyva'!$A:$A,"NOT FOUND"))</f>
        <v/>
      </c>
      <c r="K102" s="5" t="str">
        <f>IF(H102="","",_xlfn.XLOOKUP(H102,'[2]Jan Labour Nd Drivers Hyva'!$B:$B,'[2]Jan Labour Nd Drivers Hyva'!$A:$A,"NOT FOUND"))</f>
        <v/>
      </c>
      <c r="L102" s="18" t="s">
        <v>415</v>
      </c>
      <c r="M102" s="19">
        <v>3</v>
      </c>
      <c r="N102" s="20">
        <v>3500</v>
      </c>
      <c r="O102" s="20">
        <f t="shared" si="16"/>
        <v>10500</v>
      </c>
      <c r="P102" s="20">
        <v>10500</v>
      </c>
      <c r="Q102" s="20">
        <f t="shared" si="23"/>
        <v>0</v>
      </c>
      <c r="R102" s="3" t="str">
        <f t="shared" si="17"/>
        <v>PAID</v>
      </c>
      <c r="S102" s="3"/>
      <c r="T102" s="3">
        <f t="shared" si="18"/>
        <v>10500</v>
      </c>
      <c r="U102" s="3" t="str">
        <f t="shared" si="19"/>
        <v>OK</v>
      </c>
      <c r="V102" s="21">
        <f t="shared" si="20"/>
        <v>0</v>
      </c>
      <c r="W102" s="3" t="str">
        <f t="shared" si="21"/>
        <v>OK</v>
      </c>
      <c r="X102" s="3" t="s">
        <v>370</v>
      </c>
    </row>
    <row r="103" spans="1:24" ht="19" x14ac:dyDescent="0.25">
      <c r="A103" t="str">
        <f t="shared" si="12"/>
        <v>TRIP-HR-144</v>
      </c>
      <c r="B103" s="17">
        <v>45980</v>
      </c>
      <c r="C103" s="3" t="str">
        <f>_xlfn.XLOOKUP(D103,'[1]Jan Customer Duplicate Hyva'!$B:$B,'[1]Jan Customer Duplicate Hyva'!$A:$A,"NOT FOUND")</f>
        <v>CUST-191</v>
      </c>
      <c r="D103" s="18" t="s">
        <v>416</v>
      </c>
      <c r="E103" s="18" t="s">
        <v>30</v>
      </c>
      <c r="F103" s="5" t="str">
        <f t="shared" si="24"/>
        <v>Ravi</v>
      </c>
      <c r="G103" s="5" t="str">
        <f t="shared" si="14"/>
        <v/>
      </c>
      <c r="H103" s="5" t="str">
        <f t="shared" si="15"/>
        <v/>
      </c>
      <c r="I103" s="5" t="str">
        <f>_xlfn.XLOOKUP(F103,'[1]Jan Labour Nd Drivers Hyva'!$B:$B,'[2]Jan Labour Nd Drivers Hyva'!$A:$A,"NOT FOUND")</f>
        <v>LAB-003</v>
      </c>
      <c r="J103" s="5" t="str">
        <f>IF(G103="","",_xlfn.XLOOKUP(G103,'[3]Jan Labour Nd Drivers Hyva'!$B:$B,'[2]Jan Labour Nd Drivers Hyva'!$A:$A,"NOT FOUND"))</f>
        <v/>
      </c>
      <c r="K103" s="5" t="str">
        <f>IF(H103="","",_xlfn.XLOOKUP(H103,'[2]Jan Labour Nd Drivers Hyva'!$B:$B,'[2]Jan Labour Nd Drivers Hyva'!$A:$A,"NOT FOUND"))</f>
        <v/>
      </c>
      <c r="L103" s="18" t="s">
        <v>291</v>
      </c>
      <c r="M103" s="19">
        <v>1</v>
      </c>
      <c r="N103" s="20">
        <v>4000</v>
      </c>
      <c r="O103" s="20">
        <f t="shared" si="16"/>
        <v>4000</v>
      </c>
      <c r="P103" s="20">
        <v>4000</v>
      </c>
      <c r="Q103" s="20">
        <f t="shared" si="23"/>
        <v>0</v>
      </c>
      <c r="R103" s="3" t="str">
        <f t="shared" si="17"/>
        <v>PAID</v>
      </c>
      <c r="S103" s="3"/>
      <c r="T103" s="3">
        <f t="shared" si="18"/>
        <v>4000</v>
      </c>
      <c r="U103" s="3" t="str">
        <f t="shared" si="19"/>
        <v>OK</v>
      </c>
      <c r="V103" s="21">
        <f t="shared" si="20"/>
        <v>0</v>
      </c>
      <c r="W103" s="3" t="str">
        <f t="shared" si="21"/>
        <v>OK</v>
      </c>
      <c r="X103" s="3" t="s">
        <v>370</v>
      </c>
    </row>
    <row r="104" spans="1:24" ht="19" x14ac:dyDescent="0.25">
      <c r="A104" t="str">
        <f t="shared" si="12"/>
        <v>TRIP-HR-145</v>
      </c>
      <c r="B104" s="17">
        <v>45981</v>
      </c>
      <c r="C104" s="3" t="str">
        <f>_xlfn.XLOOKUP(D104,'[1]Jan Customer Duplicate Hyva'!$B:$B,'[1]Jan Customer Duplicate Hyva'!$A:$A,"NOT FOUND")</f>
        <v>NOT FOUND</v>
      </c>
      <c r="D104" s="18" t="s">
        <v>256</v>
      </c>
      <c r="E104" s="18" t="s">
        <v>30</v>
      </c>
      <c r="F104" s="5" t="str">
        <f t="shared" si="24"/>
        <v>Ravi</v>
      </c>
      <c r="G104" s="5" t="str">
        <f t="shared" si="14"/>
        <v/>
      </c>
      <c r="H104" s="5" t="str">
        <f t="shared" si="15"/>
        <v/>
      </c>
      <c r="I104" s="5" t="str">
        <f>_xlfn.XLOOKUP(F104,'[1]Jan Labour Nd Drivers Hyva'!$B:$B,'[2]Jan Labour Nd Drivers Hyva'!$A:$A,"NOT FOUND")</f>
        <v>LAB-003</v>
      </c>
      <c r="J104" s="5" t="str">
        <f>IF(G104="","",_xlfn.XLOOKUP(G104,'[3]Jan Labour Nd Drivers Hyva'!$B:$B,'[2]Jan Labour Nd Drivers Hyva'!$A:$A,"NOT FOUND"))</f>
        <v/>
      </c>
      <c r="K104" s="5" t="str">
        <f>IF(H104="","",_xlfn.XLOOKUP(H104,'[2]Jan Labour Nd Drivers Hyva'!$B:$B,'[2]Jan Labour Nd Drivers Hyva'!$A:$A,"NOT FOUND"))</f>
        <v/>
      </c>
      <c r="L104" s="18" t="s">
        <v>415</v>
      </c>
      <c r="M104" s="19">
        <v>6</v>
      </c>
      <c r="N104" s="20">
        <v>3500</v>
      </c>
      <c r="O104" s="20">
        <f t="shared" si="16"/>
        <v>21000</v>
      </c>
      <c r="P104" s="20">
        <v>21000</v>
      </c>
      <c r="Q104" s="20">
        <f t="shared" si="23"/>
        <v>0</v>
      </c>
      <c r="R104" s="3" t="str">
        <f t="shared" si="17"/>
        <v>PAID</v>
      </c>
      <c r="S104" s="3"/>
      <c r="T104" s="3">
        <f t="shared" si="18"/>
        <v>21000</v>
      </c>
      <c r="U104" s="3" t="str">
        <f t="shared" si="19"/>
        <v>OK</v>
      </c>
      <c r="V104" s="21">
        <f t="shared" si="20"/>
        <v>0</v>
      </c>
      <c r="W104" s="3" t="str">
        <f t="shared" si="21"/>
        <v>OK</v>
      </c>
      <c r="X104" s="3" t="s">
        <v>370</v>
      </c>
    </row>
    <row r="105" spans="1:24" ht="19" x14ac:dyDescent="0.25">
      <c r="A105" t="str">
        <f t="shared" si="12"/>
        <v>TRIP-HR-146</v>
      </c>
      <c r="B105" s="17">
        <v>45982</v>
      </c>
      <c r="C105" s="3" t="str">
        <f>_xlfn.XLOOKUP(D105,'[1]Jan Customer Duplicate Hyva'!$B:$B,'[1]Jan Customer Duplicate Hyva'!$A:$A,"NOT FOUND")</f>
        <v>NOT FOUND</v>
      </c>
      <c r="D105" s="18" t="s">
        <v>256</v>
      </c>
      <c r="E105" s="18" t="s">
        <v>30</v>
      </c>
      <c r="F105" s="5" t="str">
        <f t="shared" si="24"/>
        <v>Ravi</v>
      </c>
      <c r="G105" s="5" t="str">
        <f t="shared" si="14"/>
        <v/>
      </c>
      <c r="H105" s="5" t="str">
        <f t="shared" si="15"/>
        <v/>
      </c>
      <c r="I105" s="5" t="str">
        <f>_xlfn.XLOOKUP(F105,'[1]Jan Labour Nd Drivers Hyva'!$B:$B,'[2]Jan Labour Nd Drivers Hyva'!$A:$A,"NOT FOUND")</f>
        <v>LAB-003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18" t="s">
        <v>415</v>
      </c>
      <c r="M105" s="19">
        <v>8</v>
      </c>
      <c r="N105" s="20">
        <v>3500</v>
      </c>
      <c r="O105" s="20">
        <f t="shared" si="16"/>
        <v>28000</v>
      </c>
      <c r="P105" s="20">
        <v>28000</v>
      </c>
      <c r="Q105" s="20">
        <f t="shared" si="23"/>
        <v>0</v>
      </c>
      <c r="R105" s="3" t="str">
        <f t="shared" si="17"/>
        <v>PAID</v>
      </c>
      <c r="S105" s="3"/>
      <c r="T105" s="3">
        <f t="shared" si="18"/>
        <v>28000</v>
      </c>
      <c r="U105" s="3" t="str">
        <f t="shared" si="19"/>
        <v>OK</v>
      </c>
      <c r="V105" s="21">
        <f t="shared" si="20"/>
        <v>0</v>
      </c>
      <c r="W105" s="3" t="str">
        <f t="shared" si="21"/>
        <v>OK</v>
      </c>
      <c r="X105" s="3" t="s">
        <v>370</v>
      </c>
    </row>
    <row r="106" spans="1:24" ht="19" x14ac:dyDescent="0.25">
      <c r="A106" t="str">
        <f t="shared" si="12"/>
        <v>TRIP-HR-147</v>
      </c>
      <c r="B106" s="17">
        <v>45983</v>
      </c>
      <c r="C106" s="3" t="str">
        <f>_xlfn.XLOOKUP(D106,'[1]Jan Customer Duplicate Hyva'!$B:$B,'[1]Jan Customer Duplicate Hyva'!$A:$A,"NOT FOUND")</f>
        <v>NOT FOUND</v>
      </c>
      <c r="D106" s="18" t="s">
        <v>256</v>
      </c>
      <c r="E106" s="18" t="s">
        <v>30</v>
      </c>
      <c r="F106" s="5" t="str">
        <f t="shared" si="24"/>
        <v>Ravi</v>
      </c>
      <c r="G106" s="5" t="str">
        <f t="shared" si="14"/>
        <v/>
      </c>
      <c r="H106" s="5" t="str">
        <f t="shared" si="15"/>
        <v/>
      </c>
      <c r="I106" s="5" t="str">
        <f>_xlfn.XLOOKUP(F106,'[1]Jan Labour Nd Drivers Hyva'!$B:$B,'[2]Jan Labour Nd Drivers Hyva'!$A:$A,"NOT FOUND")</f>
        <v>LAB-003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18" t="s">
        <v>415</v>
      </c>
      <c r="M106" s="19">
        <v>7</v>
      </c>
      <c r="N106" s="20">
        <v>3500</v>
      </c>
      <c r="O106" s="20">
        <f t="shared" si="16"/>
        <v>24500</v>
      </c>
      <c r="P106" s="20">
        <v>24500</v>
      </c>
      <c r="Q106" s="20">
        <f t="shared" si="23"/>
        <v>0</v>
      </c>
      <c r="R106" s="3" t="str">
        <f t="shared" si="17"/>
        <v>PAID</v>
      </c>
      <c r="S106" s="3"/>
      <c r="T106" s="3">
        <f t="shared" si="18"/>
        <v>24500</v>
      </c>
      <c r="U106" s="3" t="str">
        <f t="shared" si="19"/>
        <v>OK</v>
      </c>
      <c r="V106" s="21">
        <f t="shared" si="20"/>
        <v>0</v>
      </c>
      <c r="W106" s="3" t="str">
        <f t="shared" si="21"/>
        <v>OK</v>
      </c>
      <c r="X106" s="3" t="s">
        <v>370</v>
      </c>
    </row>
    <row r="107" spans="1:24" ht="19" x14ac:dyDescent="0.25">
      <c r="A107" t="str">
        <f t="shared" si="12"/>
        <v>TRIP-HR-148</v>
      </c>
      <c r="B107" s="17">
        <v>45983</v>
      </c>
      <c r="C107" s="3" t="str">
        <f>_xlfn.XLOOKUP(D107,'[1]Jan Customer Duplicate Hyva'!$B:$B,'[1]Jan Customer Duplicate Hyva'!$A:$A,"NOT FOUND")</f>
        <v>CUST-243</v>
      </c>
      <c r="D107" s="18" t="s">
        <v>341</v>
      </c>
      <c r="E107" s="18" t="s">
        <v>30</v>
      </c>
      <c r="F107" s="5" t="str">
        <f t="shared" si="24"/>
        <v>Ravi</v>
      </c>
      <c r="G107" s="5" t="str">
        <f t="shared" si="14"/>
        <v/>
      </c>
      <c r="H107" s="5" t="str">
        <f t="shared" si="15"/>
        <v/>
      </c>
      <c r="I107" s="5" t="str">
        <f>_xlfn.XLOOKUP(F107,'[1]Jan Labour Nd Drivers Hyva'!$B:$B,'[2]Jan Labour Nd Drivers Hyva'!$A:$A,"NOT FOUND")</f>
        <v>LAB-003</v>
      </c>
      <c r="J107" s="5" t="str">
        <f>IF(G107="","",_xlfn.XLOOKUP(G107,'[3]Jan Labour Nd Drivers Hyva'!$B:$B,'[2]Jan Labour Nd Drivers Hyva'!$A:$A,"NOT FOUND"))</f>
        <v/>
      </c>
      <c r="K107" s="5" t="str">
        <f>IF(H107="","",_xlfn.XLOOKUP(H107,'[2]Jan Labour Nd Drivers Hyva'!$B:$B,'[2]Jan Labour Nd Drivers Hyva'!$A:$A,"NOT FOUND"))</f>
        <v/>
      </c>
      <c r="L107" s="18" t="s">
        <v>120</v>
      </c>
      <c r="M107" s="19">
        <v>1</v>
      </c>
      <c r="N107" s="20">
        <v>3000</v>
      </c>
      <c r="O107" s="20">
        <f t="shared" si="16"/>
        <v>3000</v>
      </c>
      <c r="P107" s="20">
        <v>3000</v>
      </c>
      <c r="Q107" s="20">
        <f t="shared" si="23"/>
        <v>0</v>
      </c>
      <c r="R107" s="3" t="str">
        <f t="shared" si="17"/>
        <v>PAID</v>
      </c>
      <c r="S107" s="3"/>
      <c r="T107" s="3">
        <f t="shared" si="18"/>
        <v>3000</v>
      </c>
      <c r="U107" s="3" t="str">
        <f t="shared" si="19"/>
        <v>OK</v>
      </c>
      <c r="V107" s="21">
        <f t="shared" si="20"/>
        <v>0</v>
      </c>
      <c r="W107" s="3" t="str">
        <f t="shared" si="21"/>
        <v>OK</v>
      </c>
      <c r="X107" s="3" t="s">
        <v>370</v>
      </c>
    </row>
    <row r="108" spans="1:24" ht="19" x14ac:dyDescent="0.25">
      <c r="A108" t="str">
        <f t="shared" si="12"/>
        <v>TRIP-HR-149</v>
      </c>
      <c r="B108" s="17">
        <v>45984</v>
      </c>
      <c r="C108" s="3" t="str">
        <f>_xlfn.XLOOKUP(D108,'[1]Jan Customer Duplicate Hyva'!$B:$B,'[1]Jan Customer Duplicate Hyva'!$A:$A,"NOT FOUND")</f>
        <v>NOT FOUND</v>
      </c>
      <c r="D108" s="18" t="s">
        <v>256</v>
      </c>
      <c r="E108" s="18" t="s">
        <v>30</v>
      </c>
      <c r="F108" s="5" t="str">
        <f t="shared" si="24"/>
        <v>Ravi</v>
      </c>
      <c r="G108" s="5" t="str">
        <f t="shared" si="14"/>
        <v/>
      </c>
      <c r="H108" s="5" t="str">
        <f t="shared" si="15"/>
        <v/>
      </c>
      <c r="I108" s="5" t="str">
        <f>_xlfn.XLOOKUP(F108,'[1]Jan Labour Nd Drivers Hyva'!$B:$B,'[2]Jan Labour Nd Drivers Hyva'!$A:$A,"NOT FOUND")</f>
        <v>LAB-003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18" t="s">
        <v>415</v>
      </c>
      <c r="M108" s="19">
        <v>8</v>
      </c>
      <c r="N108" s="20">
        <v>3500</v>
      </c>
      <c r="O108" s="20">
        <f t="shared" si="16"/>
        <v>28000</v>
      </c>
      <c r="P108" s="20">
        <v>28000</v>
      </c>
      <c r="Q108" s="20">
        <f t="shared" si="23"/>
        <v>0</v>
      </c>
      <c r="R108" s="3" t="str">
        <f t="shared" si="17"/>
        <v>PAID</v>
      </c>
      <c r="S108" s="3"/>
      <c r="T108" s="3">
        <f t="shared" si="18"/>
        <v>28000</v>
      </c>
      <c r="U108" s="3" t="str">
        <f t="shared" si="19"/>
        <v>OK</v>
      </c>
      <c r="V108" s="21">
        <f t="shared" si="20"/>
        <v>0</v>
      </c>
      <c r="W108" s="3" t="str">
        <f t="shared" si="21"/>
        <v>OK</v>
      </c>
      <c r="X108" s="3" t="s">
        <v>370</v>
      </c>
    </row>
    <row r="109" spans="1:24" ht="19" x14ac:dyDescent="0.25">
      <c r="A109" t="str">
        <f t="shared" si="12"/>
        <v>TRIP-HR-150</v>
      </c>
      <c r="B109" s="17">
        <v>45984</v>
      </c>
      <c r="C109" s="3" t="str">
        <f>_xlfn.XLOOKUP(D109,'[1]Jan Customer Duplicate Hyva'!$B:$B,'[1]Jan Customer Duplicate Hyva'!$A:$A,"NOT FOUND")</f>
        <v>CUST-255</v>
      </c>
      <c r="D109" s="18" t="s">
        <v>75</v>
      </c>
      <c r="E109" s="18" t="s">
        <v>30</v>
      </c>
      <c r="F109" s="5" t="str">
        <f t="shared" si="24"/>
        <v>Ravi</v>
      </c>
      <c r="G109" s="5" t="str">
        <f t="shared" si="14"/>
        <v/>
      </c>
      <c r="H109" s="5" t="str">
        <f t="shared" si="15"/>
        <v/>
      </c>
      <c r="I109" s="5" t="str">
        <f>_xlfn.XLOOKUP(F109,'[1]Jan Labour Nd Drivers Hyva'!$B:$B,'[2]Jan Labour Nd Drivers Hyva'!$A:$A,"NOT FOUND")</f>
        <v>LAB-003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18" t="s">
        <v>116</v>
      </c>
      <c r="M109" s="19">
        <v>3</v>
      </c>
      <c r="N109" s="20">
        <v>3000</v>
      </c>
      <c r="O109" s="20">
        <f t="shared" si="16"/>
        <v>9000</v>
      </c>
      <c r="P109" s="20">
        <v>9000</v>
      </c>
      <c r="Q109" s="20">
        <f t="shared" si="23"/>
        <v>0</v>
      </c>
      <c r="R109" s="3" t="str">
        <f t="shared" si="17"/>
        <v>PAID</v>
      </c>
      <c r="S109" s="3"/>
      <c r="T109" s="3">
        <f t="shared" si="18"/>
        <v>9000</v>
      </c>
      <c r="U109" s="3" t="str">
        <f t="shared" si="19"/>
        <v>OK</v>
      </c>
      <c r="V109" s="21">
        <f t="shared" si="20"/>
        <v>0</v>
      </c>
      <c r="W109" s="3" t="str">
        <f t="shared" si="21"/>
        <v>OK</v>
      </c>
      <c r="X109" s="3" t="s">
        <v>370</v>
      </c>
    </row>
    <row r="110" spans="1:24" ht="19" x14ac:dyDescent="0.25">
      <c r="A110" t="str">
        <f t="shared" si="12"/>
        <v>TRIP-HR-151</v>
      </c>
      <c r="B110" s="17">
        <v>45985</v>
      </c>
      <c r="C110" s="3" t="str">
        <f>_xlfn.XLOOKUP(D110,'[1]Jan Customer Duplicate Hyva'!$B:$B,'[1]Jan Customer Duplicate Hyva'!$A:$A,"NOT FOUND")</f>
        <v>NOT FOUND</v>
      </c>
      <c r="D110" s="18" t="s">
        <v>256</v>
      </c>
      <c r="E110" s="18" t="s">
        <v>30</v>
      </c>
      <c r="F110" s="5" t="str">
        <f t="shared" si="24"/>
        <v>Ravi</v>
      </c>
      <c r="G110" s="5" t="str">
        <f t="shared" si="14"/>
        <v/>
      </c>
      <c r="H110" s="5" t="str">
        <f t="shared" si="15"/>
        <v/>
      </c>
      <c r="I110" s="5" t="str">
        <f>_xlfn.XLOOKUP(F110,'[1]Jan Labour Nd Drivers Hyva'!$B:$B,'[2]Jan Labour Nd Drivers Hyva'!$A:$A,"NOT FOUND")</f>
        <v>LAB-003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18" t="s">
        <v>415</v>
      </c>
      <c r="M110" s="19">
        <v>5</v>
      </c>
      <c r="N110" s="20">
        <v>3500</v>
      </c>
      <c r="O110" s="20">
        <f t="shared" si="16"/>
        <v>17500</v>
      </c>
      <c r="P110" s="20">
        <v>17500</v>
      </c>
      <c r="Q110" s="20">
        <f t="shared" si="23"/>
        <v>0</v>
      </c>
      <c r="R110" s="3" t="str">
        <f t="shared" si="17"/>
        <v>PAID</v>
      </c>
      <c r="S110" s="3"/>
      <c r="T110" s="3">
        <f t="shared" si="18"/>
        <v>17500</v>
      </c>
      <c r="U110" s="3" t="str">
        <f t="shared" si="19"/>
        <v>OK</v>
      </c>
      <c r="V110" s="21">
        <f t="shared" si="20"/>
        <v>0</v>
      </c>
      <c r="W110" s="3" t="str">
        <f t="shared" si="21"/>
        <v>OK</v>
      </c>
      <c r="X110" s="3" t="s">
        <v>370</v>
      </c>
    </row>
    <row r="111" spans="1:24" ht="19" x14ac:dyDescent="0.25">
      <c r="A111" t="str">
        <f t="shared" si="12"/>
        <v>TRIP-HR-152</v>
      </c>
      <c r="B111" s="17">
        <v>45986</v>
      </c>
      <c r="C111" s="3" t="str">
        <f>_xlfn.XLOOKUP(D111,'[1]Jan Customer Duplicate Hyva'!$B:$B,'[1]Jan Customer Duplicate Hyva'!$A:$A,"NOT FOUND")</f>
        <v>CUST-255</v>
      </c>
      <c r="D111" s="18" t="s">
        <v>75</v>
      </c>
      <c r="E111" s="18" t="s">
        <v>30</v>
      </c>
      <c r="F111" s="5" t="str">
        <f t="shared" si="24"/>
        <v>Ravi</v>
      </c>
      <c r="G111" s="5" t="str">
        <f t="shared" si="14"/>
        <v/>
      </c>
      <c r="H111" s="5" t="str">
        <f t="shared" si="15"/>
        <v/>
      </c>
      <c r="I111" s="5" t="str">
        <f>_xlfn.XLOOKUP(F111,'[1]Jan Labour Nd Drivers Hyva'!$B:$B,'[2]Jan Labour Nd Drivers Hyva'!$A:$A,"NOT FOUND")</f>
        <v>LAB-003</v>
      </c>
      <c r="J111" s="5" t="str">
        <f>IF(G111="","",_xlfn.XLOOKUP(G111,'[3]Jan Labour Nd Drivers Hyva'!$B:$B,'[2]Jan Labour Nd Drivers Hyva'!$A:$A,"NOT FOUND"))</f>
        <v/>
      </c>
      <c r="K111" s="5" t="str">
        <f>IF(H111="","",_xlfn.XLOOKUP(H111,'[2]Jan Labour Nd Drivers Hyva'!$B:$B,'[2]Jan Labour Nd Drivers Hyva'!$A:$A,"NOT FOUND"))</f>
        <v/>
      </c>
      <c r="L111" s="18" t="s">
        <v>116</v>
      </c>
      <c r="M111" s="19">
        <v>3</v>
      </c>
      <c r="N111" s="20">
        <v>3000</v>
      </c>
      <c r="O111" s="20">
        <f t="shared" si="16"/>
        <v>9000</v>
      </c>
      <c r="P111" s="20">
        <v>9000</v>
      </c>
      <c r="Q111" s="20">
        <f t="shared" si="23"/>
        <v>0</v>
      </c>
      <c r="R111" s="3" t="str">
        <f t="shared" si="17"/>
        <v>PAID</v>
      </c>
      <c r="S111" s="3"/>
      <c r="T111" s="3">
        <f t="shared" si="18"/>
        <v>9000</v>
      </c>
      <c r="U111" s="3" t="str">
        <f t="shared" si="19"/>
        <v>OK</v>
      </c>
      <c r="V111" s="21">
        <f t="shared" si="20"/>
        <v>0</v>
      </c>
      <c r="W111" s="3" t="str">
        <f t="shared" si="21"/>
        <v>OK</v>
      </c>
      <c r="X111" s="3" t="s">
        <v>370</v>
      </c>
    </row>
    <row r="112" spans="1:24" ht="19" x14ac:dyDescent="0.25">
      <c r="A112" t="str">
        <f t="shared" si="12"/>
        <v>TRIP-HR-153</v>
      </c>
      <c r="B112" s="17">
        <v>45987</v>
      </c>
      <c r="C112" s="3" t="str">
        <f>_xlfn.XLOOKUP(D112,'[1]Jan Customer Duplicate Hyva'!$B:$B,'[1]Jan Customer Duplicate Hyva'!$A:$A,"NOT FOUND")</f>
        <v>CUST-120</v>
      </c>
      <c r="D112" s="18" t="s">
        <v>122</v>
      </c>
      <c r="E112" s="18" t="s">
        <v>30</v>
      </c>
      <c r="F112" s="5" t="str">
        <f t="shared" si="24"/>
        <v>Ravi</v>
      </c>
      <c r="G112" s="5" t="str">
        <f t="shared" si="14"/>
        <v/>
      </c>
      <c r="H112" s="5" t="str">
        <f t="shared" si="15"/>
        <v/>
      </c>
      <c r="I112" s="5" t="str">
        <f>_xlfn.XLOOKUP(F112,'[1]Jan Labour Nd Drivers Hyva'!$B:$B,'[2]Jan Labour Nd Drivers Hyva'!$A:$A,"NOT FOUND")</f>
        <v>LAB-003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18" t="s">
        <v>114</v>
      </c>
      <c r="M112" s="19">
        <v>3</v>
      </c>
      <c r="N112" s="20">
        <v>3500</v>
      </c>
      <c r="O112" s="20">
        <f t="shared" si="16"/>
        <v>10500</v>
      </c>
      <c r="P112" s="20">
        <v>10500</v>
      </c>
      <c r="Q112" s="20">
        <f t="shared" si="23"/>
        <v>0</v>
      </c>
      <c r="R112" s="3" t="str">
        <f t="shared" si="17"/>
        <v>PAID</v>
      </c>
      <c r="S112" s="3"/>
      <c r="T112" s="3">
        <f t="shared" si="18"/>
        <v>10500</v>
      </c>
      <c r="U112" s="3" t="str">
        <f t="shared" si="19"/>
        <v>OK</v>
      </c>
      <c r="V112" s="21">
        <f t="shared" si="20"/>
        <v>0</v>
      </c>
      <c r="W112" s="3" t="str">
        <f t="shared" si="21"/>
        <v>OK</v>
      </c>
      <c r="X112" s="3" t="s">
        <v>370</v>
      </c>
    </row>
    <row r="113" spans="1:24" ht="19" x14ac:dyDescent="0.25">
      <c r="A113" t="str">
        <f t="shared" si="12"/>
        <v>TRIP-HR-154</v>
      </c>
      <c r="B113" s="17">
        <v>45994</v>
      </c>
      <c r="C113" s="3" t="str">
        <f>_xlfn.XLOOKUP(D113,'[1]Jan Customer Duplicate Hyva'!$B:$B,'[1]Jan Customer Duplicate Hyva'!$A:$A,"NOT FOUND")</f>
        <v>CUST-120</v>
      </c>
      <c r="D113" s="18" t="s">
        <v>122</v>
      </c>
      <c r="E113" s="18" t="s">
        <v>30</v>
      </c>
      <c r="F113" s="5" t="str">
        <f t="shared" si="24"/>
        <v>Ravi</v>
      </c>
      <c r="G113" s="5" t="str">
        <f t="shared" si="14"/>
        <v/>
      </c>
      <c r="H113" s="5" t="str">
        <f t="shared" si="15"/>
        <v/>
      </c>
      <c r="I113" s="5" t="str">
        <f>_xlfn.XLOOKUP(F113,'[1]Jan Labour Nd Drivers Hyva'!$B:$B,'[2]Jan Labour Nd Drivers Hyva'!$A:$A,"NOT FOUND")</f>
        <v>LAB-003</v>
      </c>
      <c r="J113" s="5" t="str">
        <f>IF(G113="","",_xlfn.XLOOKUP(G113,'[3]Jan Labour Nd Drivers Hyva'!$B:$B,'[2]Jan Labour Nd Drivers Hyva'!$A:$A,"NOT FOUND"))</f>
        <v/>
      </c>
      <c r="K113" s="5" t="str">
        <f>IF(H113="","",_xlfn.XLOOKUP(H113,'[2]Jan Labour Nd Drivers Hyva'!$B:$B,'[2]Jan Labour Nd Drivers Hyva'!$A:$A,"NOT FOUND"))</f>
        <v/>
      </c>
      <c r="L113" s="18" t="s">
        <v>114</v>
      </c>
      <c r="M113" s="19">
        <v>1</v>
      </c>
      <c r="N113" s="20">
        <v>3500</v>
      </c>
      <c r="O113" s="20">
        <f t="shared" si="16"/>
        <v>3500</v>
      </c>
      <c r="P113" s="20">
        <v>3500</v>
      </c>
      <c r="Q113" s="20">
        <f t="shared" si="23"/>
        <v>0</v>
      </c>
      <c r="R113" s="3" t="str">
        <f t="shared" si="17"/>
        <v>PAID</v>
      </c>
      <c r="S113" s="3"/>
      <c r="T113" s="3">
        <f t="shared" si="18"/>
        <v>3500</v>
      </c>
      <c r="U113" s="3" t="str">
        <f t="shared" si="19"/>
        <v>OK</v>
      </c>
      <c r="V113" s="21">
        <f t="shared" si="20"/>
        <v>0</v>
      </c>
      <c r="W113" s="3" t="str">
        <f t="shared" si="21"/>
        <v>OK</v>
      </c>
      <c r="X113" s="3" t="s">
        <v>370</v>
      </c>
    </row>
    <row r="114" spans="1:24" ht="19" x14ac:dyDescent="0.25">
      <c r="A114" t="str">
        <f t="shared" si="12"/>
        <v>TRIP-HR-155</v>
      </c>
      <c r="B114" s="17">
        <v>45994</v>
      </c>
      <c r="C114" s="3" t="str">
        <f>_xlfn.XLOOKUP(D114,'[1]Jan Customer Duplicate Hyva'!$B:$B,'[1]Jan Customer Duplicate Hyva'!$A:$A,"NOT FOUND")</f>
        <v>CUST-255</v>
      </c>
      <c r="D114" s="18" t="s">
        <v>75</v>
      </c>
      <c r="E114" s="18" t="s">
        <v>30</v>
      </c>
      <c r="F114" s="5" t="str">
        <f t="shared" si="24"/>
        <v>Ravi</v>
      </c>
      <c r="G114" s="5" t="str">
        <f t="shared" si="14"/>
        <v/>
      </c>
      <c r="H114" s="5" t="str">
        <f t="shared" si="15"/>
        <v/>
      </c>
      <c r="I114" s="5" t="str">
        <f>_xlfn.XLOOKUP(F114,'[1]Jan Labour Nd Drivers Hyva'!$B:$B,'[2]Jan Labour Nd Drivers Hyva'!$A:$A,"NOT FOUND")</f>
        <v>LAB-003</v>
      </c>
      <c r="J114" s="5" t="str">
        <f>IF(G114="","",_xlfn.XLOOKUP(G114,'[3]Jan Labour Nd Drivers Hyva'!$B:$B,'[2]Jan Labour Nd Drivers Hyva'!$A:$A,"NOT FOUND"))</f>
        <v/>
      </c>
      <c r="K114" s="5" t="str">
        <f>IF(H114="","",_xlfn.XLOOKUP(H114,'[2]Jan Labour Nd Drivers Hyva'!$B:$B,'[2]Jan Labour Nd Drivers Hyva'!$A:$A,"NOT FOUND"))</f>
        <v/>
      </c>
      <c r="L114" s="18" t="s">
        <v>116</v>
      </c>
      <c r="M114" s="19">
        <v>2</v>
      </c>
      <c r="N114" s="20">
        <v>3000</v>
      </c>
      <c r="O114" s="20">
        <f t="shared" si="16"/>
        <v>6000</v>
      </c>
      <c r="P114" s="20">
        <v>6000</v>
      </c>
      <c r="Q114" s="20">
        <f t="shared" si="23"/>
        <v>0</v>
      </c>
      <c r="R114" s="3" t="str">
        <f t="shared" si="17"/>
        <v>PAID</v>
      </c>
      <c r="S114" s="3"/>
      <c r="T114" s="3">
        <f t="shared" si="18"/>
        <v>6000</v>
      </c>
      <c r="U114" s="3" t="str">
        <f t="shared" si="19"/>
        <v>OK</v>
      </c>
      <c r="V114" s="21">
        <f t="shared" si="20"/>
        <v>0</v>
      </c>
      <c r="W114" s="3" t="str">
        <f t="shared" si="21"/>
        <v>OK</v>
      </c>
      <c r="X114" s="3" t="s">
        <v>370</v>
      </c>
    </row>
    <row r="115" spans="1:24" ht="19" x14ac:dyDescent="0.25">
      <c r="A115" t="str">
        <f t="shared" si="12"/>
        <v>TRIP-HR-156</v>
      </c>
      <c r="B115" s="17">
        <v>45994</v>
      </c>
      <c r="C115" s="3" t="str">
        <f>_xlfn.XLOOKUP(D115,'[1]Jan Customer Duplicate Hyva'!$B:$B,'[1]Jan Customer Duplicate Hyva'!$A:$A,"NOT FOUND")</f>
        <v>CUST-377</v>
      </c>
      <c r="D115" s="18" t="s">
        <v>377</v>
      </c>
      <c r="E115" s="18" t="s">
        <v>30</v>
      </c>
      <c r="F115" s="5" t="str">
        <f t="shared" ref="F115:F130" si="25">TRIM(_xlfn.TEXTBEFORE(E115&amp;" / "," / "))</f>
        <v>Ravi</v>
      </c>
      <c r="G115" s="5" t="str">
        <f t="shared" si="14"/>
        <v/>
      </c>
      <c r="H115" s="5" t="str">
        <f t="shared" si="15"/>
        <v/>
      </c>
      <c r="I115" s="5" t="str">
        <f>_xlfn.XLOOKUP(F115,'[1]Jan Labour Nd Drivers Hyva'!$B:$B,'[2]Jan Labour Nd Drivers Hyva'!$A:$A,"NOT FOUND")</f>
        <v>LAB-003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18" t="s">
        <v>56</v>
      </c>
      <c r="M115" s="19">
        <v>1</v>
      </c>
      <c r="N115" s="20">
        <v>3500</v>
      </c>
      <c r="O115" s="20">
        <f t="shared" si="16"/>
        <v>3500</v>
      </c>
      <c r="P115" s="20"/>
      <c r="Q115" s="20">
        <f t="shared" si="23"/>
        <v>3500</v>
      </c>
      <c r="R115" s="3" t="str">
        <f t="shared" si="17"/>
        <v>UNPAID</v>
      </c>
      <c r="S115" s="3"/>
      <c r="T115" s="3">
        <f t="shared" si="18"/>
        <v>3500</v>
      </c>
      <c r="U115" s="3" t="str">
        <f t="shared" si="19"/>
        <v>OK</v>
      </c>
      <c r="V115" s="21">
        <f t="shared" si="20"/>
        <v>3500</v>
      </c>
      <c r="W115" s="3" t="str">
        <f t="shared" si="21"/>
        <v>OK</v>
      </c>
      <c r="X115" s="3" t="s">
        <v>370</v>
      </c>
    </row>
    <row r="116" spans="1:24" ht="19" x14ac:dyDescent="0.25">
      <c r="A116" t="str">
        <f t="shared" si="12"/>
        <v>TRIP-HR-157</v>
      </c>
      <c r="B116" s="17">
        <v>45995</v>
      </c>
      <c r="C116" s="3" t="str">
        <f>_xlfn.XLOOKUP(D116,'[1]Jan Customer Duplicate Hyva'!$B:$B,'[1]Jan Customer Duplicate Hyva'!$A:$A,"NOT FOUND")</f>
        <v>CUST-120</v>
      </c>
      <c r="D116" s="18" t="s">
        <v>122</v>
      </c>
      <c r="E116" s="18" t="s">
        <v>30</v>
      </c>
      <c r="F116" s="5" t="str">
        <f t="shared" si="25"/>
        <v>Ravi</v>
      </c>
      <c r="G116" s="5" t="str">
        <f t="shared" si="14"/>
        <v/>
      </c>
      <c r="H116" s="5" t="str">
        <f t="shared" si="15"/>
        <v/>
      </c>
      <c r="I116" s="5" t="str">
        <f>_xlfn.XLOOKUP(F116,'[1]Jan Labour Nd Drivers Hyva'!$B:$B,'[2]Jan Labour Nd Drivers Hyva'!$A:$A,"NOT FOUND")</f>
        <v>LAB-003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18" t="s">
        <v>114</v>
      </c>
      <c r="M116" s="19">
        <v>1</v>
      </c>
      <c r="N116" s="20">
        <v>3500</v>
      </c>
      <c r="O116" s="20">
        <f t="shared" si="16"/>
        <v>3500</v>
      </c>
      <c r="P116" s="20">
        <v>3500</v>
      </c>
      <c r="Q116" s="20">
        <f t="shared" si="23"/>
        <v>0</v>
      </c>
      <c r="R116" s="3" t="str">
        <f t="shared" si="17"/>
        <v>PAID</v>
      </c>
      <c r="S116" s="3"/>
      <c r="T116" s="3">
        <f t="shared" si="18"/>
        <v>3500</v>
      </c>
      <c r="U116" s="3" t="str">
        <f t="shared" si="19"/>
        <v>OK</v>
      </c>
      <c r="V116" s="21">
        <f t="shared" si="20"/>
        <v>0</v>
      </c>
      <c r="W116" s="3" t="str">
        <f t="shared" si="21"/>
        <v>OK</v>
      </c>
      <c r="X116" s="3" t="s">
        <v>370</v>
      </c>
    </row>
    <row r="117" spans="1:24" ht="19" x14ac:dyDescent="0.25">
      <c r="A117" t="str">
        <f t="shared" si="12"/>
        <v>TRIP-HR-158</v>
      </c>
      <c r="B117" s="17">
        <v>45997</v>
      </c>
      <c r="C117" s="3" t="str">
        <f>_xlfn.XLOOKUP(D117,'[1]Jan Customer Duplicate Hyva'!$B:$B,'[1]Jan Customer Duplicate Hyva'!$A:$A,"NOT FOUND")</f>
        <v>NOT FOUND</v>
      </c>
      <c r="D117" s="18" t="s">
        <v>256</v>
      </c>
      <c r="E117" s="18" t="s">
        <v>30</v>
      </c>
      <c r="F117" s="5" t="str">
        <f t="shared" si="25"/>
        <v>Ravi</v>
      </c>
      <c r="G117" s="5" t="str">
        <f t="shared" si="14"/>
        <v/>
      </c>
      <c r="H117" s="5" t="str">
        <f t="shared" si="15"/>
        <v/>
      </c>
      <c r="I117" s="5" t="str">
        <f>_xlfn.XLOOKUP(F117,'[1]Jan Labour Nd Drivers Hyva'!$B:$B,'[2]Jan Labour Nd Drivers Hyva'!$A:$A,"NOT FOUND")</f>
        <v>LAB-003</v>
      </c>
      <c r="J117" s="5" t="str">
        <f>IF(G117="","",_xlfn.XLOOKUP(G117,'[3]Jan Labour Nd Drivers Hyva'!$B:$B,'[2]Jan Labour Nd Drivers Hyva'!$A:$A,"NOT FOUND"))</f>
        <v/>
      </c>
      <c r="K117" s="5" t="str">
        <f>IF(H117="","",_xlfn.XLOOKUP(H117,'[2]Jan Labour Nd Drivers Hyva'!$B:$B,'[2]Jan Labour Nd Drivers Hyva'!$A:$A,"NOT FOUND"))</f>
        <v/>
      </c>
      <c r="L117" s="18" t="s">
        <v>415</v>
      </c>
      <c r="M117" s="19">
        <v>1</v>
      </c>
      <c r="N117" s="20">
        <v>3500</v>
      </c>
      <c r="O117" s="20">
        <f t="shared" si="16"/>
        <v>3500</v>
      </c>
      <c r="P117" s="20">
        <v>3500</v>
      </c>
      <c r="Q117" s="20">
        <f t="shared" si="23"/>
        <v>0</v>
      </c>
      <c r="R117" s="3" t="str">
        <f t="shared" si="17"/>
        <v>PAID</v>
      </c>
      <c r="S117" s="3"/>
      <c r="T117" s="3">
        <f t="shared" si="18"/>
        <v>3500</v>
      </c>
      <c r="U117" s="3" t="str">
        <f t="shared" si="19"/>
        <v>OK</v>
      </c>
      <c r="V117" s="21">
        <f t="shared" si="20"/>
        <v>0</v>
      </c>
      <c r="W117" s="3" t="str">
        <f t="shared" si="21"/>
        <v>OK</v>
      </c>
      <c r="X117" s="3" t="s">
        <v>370</v>
      </c>
    </row>
    <row r="118" spans="1:24" ht="19" x14ac:dyDescent="0.25">
      <c r="A118" t="str">
        <f t="shared" si="12"/>
        <v>TRIP-HR-159</v>
      </c>
      <c r="B118" s="17">
        <v>45997</v>
      </c>
      <c r="C118" s="3" t="str">
        <f>_xlfn.XLOOKUP(D118,'[1]Jan Customer Duplicate Hyva'!$B:$B,'[1]Jan Customer Duplicate Hyva'!$A:$A,"NOT FOUND")</f>
        <v>CUST-255</v>
      </c>
      <c r="D118" s="22" t="s">
        <v>75</v>
      </c>
      <c r="E118" s="18" t="s">
        <v>30</v>
      </c>
      <c r="F118" s="5" t="str">
        <f t="shared" si="25"/>
        <v>Ravi</v>
      </c>
      <c r="G118" s="5" t="str">
        <f t="shared" si="14"/>
        <v/>
      </c>
      <c r="H118" s="5" t="str">
        <f t="shared" si="15"/>
        <v/>
      </c>
      <c r="I118" s="5" t="str">
        <f>_xlfn.XLOOKUP(F118,'[1]Jan Labour Nd Drivers Hyva'!$B:$B,'[2]Jan Labour Nd Drivers Hyva'!$A:$A,"NOT FOUND")</f>
        <v>LAB-003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18" t="s">
        <v>116</v>
      </c>
      <c r="M118" s="19">
        <v>1</v>
      </c>
      <c r="N118" s="20">
        <v>3000</v>
      </c>
      <c r="O118" s="20">
        <f t="shared" si="16"/>
        <v>3000</v>
      </c>
      <c r="P118" s="20">
        <v>3000</v>
      </c>
      <c r="Q118" s="20">
        <f t="shared" si="23"/>
        <v>0</v>
      </c>
      <c r="R118" s="3" t="str">
        <f t="shared" si="17"/>
        <v>PAID</v>
      </c>
      <c r="S118" s="3"/>
      <c r="T118" s="3">
        <f t="shared" si="18"/>
        <v>3000</v>
      </c>
      <c r="U118" s="3" t="str">
        <f t="shared" si="19"/>
        <v>OK</v>
      </c>
      <c r="V118" s="21">
        <f t="shared" si="20"/>
        <v>0</v>
      </c>
      <c r="W118" s="3" t="str">
        <f t="shared" si="21"/>
        <v>OK</v>
      </c>
      <c r="X118" s="3" t="s">
        <v>370</v>
      </c>
    </row>
    <row r="119" spans="1:24" ht="19" x14ac:dyDescent="0.25">
      <c r="A119" t="str">
        <f t="shared" si="12"/>
        <v>TRIP-HR-160</v>
      </c>
      <c r="B119" s="17">
        <v>45998</v>
      </c>
      <c r="C119" s="3" t="str">
        <f>_xlfn.XLOOKUP(D119,'[1]Jan Customer Duplicate Hyva'!$B:$B,'[1]Jan Customer Duplicate Hyva'!$A:$A,"NOT FOUND")</f>
        <v>CUST-255</v>
      </c>
      <c r="D119" s="22" t="s">
        <v>75</v>
      </c>
      <c r="E119" s="18" t="s">
        <v>30</v>
      </c>
      <c r="F119" s="5" t="str">
        <f t="shared" si="25"/>
        <v>Ravi</v>
      </c>
      <c r="G119" s="5" t="str">
        <f t="shared" si="14"/>
        <v/>
      </c>
      <c r="H119" s="5" t="str">
        <f t="shared" si="15"/>
        <v/>
      </c>
      <c r="I119" s="5" t="str">
        <f>_xlfn.XLOOKUP(F119,'[1]Jan Labour Nd Drivers Hyva'!$B:$B,'[2]Jan Labour Nd Drivers Hyva'!$A:$A,"NOT FOUND")</f>
        <v>LAB-003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18" t="s">
        <v>116</v>
      </c>
      <c r="M119" s="19">
        <v>2</v>
      </c>
      <c r="N119" s="20">
        <v>3000</v>
      </c>
      <c r="O119" s="20">
        <f t="shared" si="16"/>
        <v>6000</v>
      </c>
      <c r="P119" s="20">
        <v>6000</v>
      </c>
      <c r="Q119" s="20">
        <f t="shared" si="23"/>
        <v>0</v>
      </c>
      <c r="R119" s="3" t="str">
        <f t="shared" si="17"/>
        <v>PAID</v>
      </c>
      <c r="S119" s="3"/>
      <c r="T119" s="3">
        <f t="shared" si="18"/>
        <v>6000</v>
      </c>
      <c r="U119" s="3" t="str">
        <f t="shared" si="19"/>
        <v>OK</v>
      </c>
      <c r="V119" s="21">
        <f t="shared" si="20"/>
        <v>0</v>
      </c>
      <c r="W119" s="3" t="str">
        <f t="shared" si="21"/>
        <v>OK</v>
      </c>
      <c r="X119" s="3" t="s">
        <v>370</v>
      </c>
    </row>
    <row r="120" spans="1:24" ht="19" x14ac:dyDescent="0.25">
      <c r="A120" t="str">
        <f t="shared" si="12"/>
        <v>TRIP-HR-161</v>
      </c>
      <c r="B120" s="17">
        <v>46006</v>
      </c>
      <c r="C120" s="3" t="str">
        <f>_xlfn.XLOOKUP(D120,'[1]Jan Customer Duplicate Hyva'!$B:$B,'[1]Jan Customer Duplicate Hyva'!$A:$A,"NOT FOUND")</f>
        <v>CUST-255</v>
      </c>
      <c r="D120" s="22" t="s">
        <v>75</v>
      </c>
      <c r="E120" s="18" t="s">
        <v>30</v>
      </c>
      <c r="F120" s="5" t="str">
        <f t="shared" si="25"/>
        <v>Ravi</v>
      </c>
      <c r="G120" s="5" t="str">
        <f t="shared" si="14"/>
        <v/>
      </c>
      <c r="H120" s="5" t="str">
        <f t="shared" si="15"/>
        <v/>
      </c>
      <c r="I120" s="5" t="str">
        <f>_xlfn.XLOOKUP(F120,'[1]Jan Labour Nd Drivers Hyva'!$B:$B,'[2]Jan Labour Nd Drivers Hyva'!$A:$A,"NOT FOUND")</f>
        <v>LAB-003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18" t="s">
        <v>116</v>
      </c>
      <c r="M120" s="19">
        <v>5</v>
      </c>
      <c r="N120" s="20">
        <v>3000</v>
      </c>
      <c r="O120" s="20">
        <f t="shared" si="16"/>
        <v>15000</v>
      </c>
      <c r="P120" s="20">
        <v>15000</v>
      </c>
      <c r="Q120" s="20">
        <f t="shared" si="23"/>
        <v>0</v>
      </c>
      <c r="R120" s="3" t="str">
        <f t="shared" si="17"/>
        <v>PAID</v>
      </c>
      <c r="S120" s="3"/>
      <c r="T120" s="3">
        <f t="shared" si="18"/>
        <v>15000</v>
      </c>
      <c r="U120" s="3" t="str">
        <f t="shared" si="19"/>
        <v>OK</v>
      </c>
      <c r="V120" s="21">
        <f t="shared" si="20"/>
        <v>0</v>
      </c>
      <c r="W120" s="3" t="str">
        <f t="shared" si="21"/>
        <v>OK</v>
      </c>
      <c r="X120" s="3" t="s">
        <v>370</v>
      </c>
    </row>
    <row r="121" spans="1:24" ht="19" x14ac:dyDescent="0.25">
      <c r="A121" t="str">
        <f t="shared" si="12"/>
        <v>TRIP-HR-162</v>
      </c>
      <c r="B121" s="17">
        <v>46007</v>
      </c>
      <c r="C121" s="3" t="str">
        <f>_xlfn.XLOOKUP(D121,'[1]Jan Customer Duplicate Hyva'!$B:$B,'[1]Jan Customer Duplicate Hyva'!$A:$A,"NOT FOUND")</f>
        <v>CUST-255</v>
      </c>
      <c r="D121" s="22" t="s">
        <v>75</v>
      </c>
      <c r="E121" s="18" t="s">
        <v>30</v>
      </c>
      <c r="F121" s="5" t="str">
        <f t="shared" si="25"/>
        <v>Ravi</v>
      </c>
      <c r="G121" s="5" t="str">
        <f t="shared" si="14"/>
        <v/>
      </c>
      <c r="H121" s="5" t="str">
        <f t="shared" si="15"/>
        <v/>
      </c>
      <c r="I121" s="5" t="str">
        <f>_xlfn.XLOOKUP(F121,'[1]Jan Labour Nd Drivers Hyva'!$B:$B,'[2]Jan Labour Nd Drivers Hyva'!$A:$A,"NOT FOUND")</f>
        <v>LAB-003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18" t="s">
        <v>116</v>
      </c>
      <c r="M121" s="19">
        <v>2</v>
      </c>
      <c r="N121" s="20">
        <v>3000</v>
      </c>
      <c r="O121" s="20">
        <f t="shared" si="16"/>
        <v>6000</v>
      </c>
      <c r="P121" s="20">
        <v>6000</v>
      </c>
      <c r="Q121" s="20">
        <f t="shared" si="23"/>
        <v>0</v>
      </c>
      <c r="R121" s="3" t="str">
        <f t="shared" si="17"/>
        <v>PAID</v>
      </c>
      <c r="S121" s="3"/>
      <c r="T121" s="3">
        <f t="shared" si="18"/>
        <v>6000</v>
      </c>
      <c r="U121" s="3" t="str">
        <f t="shared" si="19"/>
        <v>OK</v>
      </c>
      <c r="V121" s="21">
        <f t="shared" si="20"/>
        <v>0</v>
      </c>
      <c r="W121" s="3" t="str">
        <f t="shared" si="21"/>
        <v>OK</v>
      </c>
      <c r="X121" s="3" t="s">
        <v>370</v>
      </c>
    </row>
    <row r="122" spans="1:24" ht="19" x14ac:dyDescent="0.25">
      <c r="A122" t="str">
        <f t="shared" si="12"/>
        <v>TRIP-HR-163</v>
      </c>
      <c r="B122" s="17">
        <v>46008</v>
      </c>
      <c r="C122" s="3" t="str">
        <f>_xlfn.XLOOKUP(D122,'[1]Jan Customer Duplicate Hyva'!$B:$B,'[1]Jan Customer Duplicate Hyva'!$A:$A,"NOT FOUND")</f>
        <v>NOT FOUND</v>
      </c>
      <c r="D122" s="18" t="s">
        <v>256</v>
      </c>
      <c r="E122" s="18" t="s">
        <v>30</v>
      </c>
      <c r="F122" s="5" t="str">
        <f t="shared" si="25"/>
        <v>Ravi</v>
      </c>
      <c r="G122" s="5" t="str">
        <f t="shared" si="14"/>
        <v/>
      </c>
      <c r="H122" s="5" t="str">
        <f t="shared" si="15"/>
        <v/>
      </c>
      <c r="I122" s="5" t="str">
        <f>_xlfn.XLOOKUP(F122,'[1]Jan Labour Nd Drivers Hyva'!$B:$B,'[2]Jan Labour Nd Drivers Hyva'!$A:$A,"NOT FOUND")</f>
        <v>LAB-003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18" t="s">
        <v>415</v>
      </c>
      <c r="M122" s="19">
        <v>2</v>
      </c>
      <c r="N122" s="20">
        <v>3500</v>
      </c>
      <c r="O122" s="20">
        <f t="shared" si="16"/>
        <v>7000</v>
      </c>
      <c r="P122" s="20">
        <v>7000</v>
      </c>
      <c r="Q122" s="20">
        <f t="shared" si="23"/>
        <v>0</v>
      </c>
      <c r="R122" s="3" t="str">
        <f t="shared" si="17"/>
        <v>PAID</v>
      </c>
      <c r="S122" s="3"/>
      <c r="T122" s="3">
        <f t="shared" si="18"/>
        <v>7000</v>
      </c>
      <c r="U122" s="3" t="str">
        <f t="shared" si="19"/>
        <v>OK</v>
      </c>
      <c r="V122" s="21">
        <f t="shared" si="20"/>
        <v>0</v>
      </c>
      <c r="W122" s="3" t="str">
        <f t="shared" si="21"/>
        <v>OK</v>
      </c>
      <c r="X122" s="3" t="s">
        <v>370</v>
      </c>
    </row>
    <row r="123" spans="1:24" ht="19" x14ac:dyDescent="0.25">
      <c r="A123" t="str">
        <f t="shared" si="12"/>
        <v>TRIP-HR-164</v>
      </c>
      <c r="B123" s="17">
        <v>46008</v>
      </c>
      <c r="C123" s="3" t="str">
        <f>_xlfn.XLOOKUP(D123,'[1]Jan Customer Duplicate Hyva'!$B:$B,'[1]Jan Customer Duplicate Hyva'!$A:$A,"NOT FOUND")</f>
        <v>CUST-255</v>
      </c>
      <c r="D123" s="22" t="s">
        <v>75</v>
      </c>
      <c r="E123" s="18" t="s">
        <v>30</v>
      </c>
      <c r="F123" s="5" t="str">
        <f t="shared" si="25"/>
        <v>Ravi</v>
      </c>
      <c r="G123" s="5" t="str">
        <f t="shared" si="14"/>
        <v/>
      </c>
      <c r="H123" s="5" t="str">
        <f t="shared" si="15"/>
        <v/>
      </c>
      <c r="I123" s="5" t="str">
        <f>_xlfn.XLOOKUP(F123,'[1]Jan Labour Nd Drivers Hyva'!$B:$B,'[2]Jan Labour Nd Drivers Hyva'!$A:$A,"NOT FOUND")</f>
        <v>LAB-003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18" t="s">
        <v>116</v>
      </c>
      <c r="M123" s="19">
        <v>4</v>
      </c>
      <c r="N123" s="20">
        <v>3000</v>
      </c>
      <c r="O123" s="20">
        <f t="shared" si="16"/>
        <v>12000</v>
      </c>
      <c r="P123" s="20">
        <v>12000</v>
      </c>
      <c r="Q123" s="20">
        <f t="shared" si="23"/>
        <v>0</v>
      </c>
      <c r="R123" s="3" t="str">
        <f t="shared" si="17"/>
        <v>PAID</v>
      </c>
      <c r="S123" s="3"/>
      <c r="T123" s="3">
        <f t="shared" si="18"/>
        <v>12000</v>
      </c>
      <c r="U123" s="3" t="str">
        <f t="shared" si="19"/>
        <v>OK</v>
      </c>
      <c r="V123" s="21">
        <f t="shared" si="20"/>
        <v>0</v>
      </c>
      <c r="W123" s="3" t="str">
        <f t="shared" si="21"/>
        <v>OK</v>
      </c>
      <c r="X123" s="3" t="s">
        <v>370</v>
      </c>
    </row>
    <row r="124" spans="1:24" ht="19" x14ac:dyDescent="0.25">
      <c r="A124" t="str">
        <f t="shared" si="12"/>
        <v>TRIP-HR-165</v>
      </c>
      <c r="B124" s="17">
        <v>46009</v>
      </c>
      <c r="C124" s="3" t="str">
        <f>_xlfn.XLOOKUP(D124,'[1]Jan Customer Duplicate Hyva'!$B:$B,'[1]Jan Customer Duplicate Hyva'!$A:$A,"NOT FOUND")</f>
        <v>CUST-255</v>
      </c>
      <c r="D124" s="22" t="s">
        <v>75</v>
      </c>
      <c r="E124" s="18" t="s">
        <v>30</v>
      </c>
      <c r="F124" s="5" t="str">
        <f t="shared" si="25"/>
        <v>Ravi</v>
      </c>
      <c r="G124" s="5" t="str">
        <f t="shared" si="14"/>
        <v/>
      </c>
      <c r="H124" s="5" t="str">
        <f t="shared" si="15"/>
        <v/>
      </c>
      <c r="I124" s="5" t="str">
        <f>_xlfn.XLOOKUP(F124,'[1]Jan Labour Nd Drivers Hyva'!$B:$B,'[2]Jan Labour Nd Drivers Hyva'!$A:$A,"NOT FOUND")</f>
        <v>LAB-003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18" t="s">
        <v>116</v>
      </c>
      <c r="M124" s="19">
        <v>1</v>
      </c>
      <c r="N124" s="20">
        <v>3000</v>
      </c>
      <c r="O124" s="20">
        <f t="shared" si="16"/>
        <v>3000</v>
      </c>
      <c r="P124" s="20">
        <v>3000</v>
      </c>
      <c r="Q124" s="20">
        <f t="shared" si="23"/>
        <v>0</v>
      </c>
      <c r="R124" s="3" t="str">
        <f t="shared" si="17"/>
        <v>PAID</v>
      </c>
      <c r="S124" s="3"/>
      <c r="T124" s="3">
        <f t="shared" si="18"/>
        <v>3000</v>
      </c>
      <c r="U124" s="3" t="str">
        <f t="shared" si="19"/>
        <v>OK</v>
      </c>
      <c r="V124" s="21">
        <f t="shared" si="20"/>
        <v>0</v>
      </c>
      <c r="W124" s="3" t="str">
        <f t="shared" si="21"/>
        <v>OK</v>
      </c>
      <c r="X124" s="3" t="s">
        <v>370</v>
      </c>
    </row>
    <row r="125" spans="1:24" ht="19" x14ac:dyDescent="0.25">
      <c r="A125" t="str">
        <f t="shared" si="12"/>
        <v>TRIP-HR-166</v>
      </c>
      <c r="B125" s="17">
        <v>46012</v>
      </c>
      <c r="C125" s="3" t="str">
        <f>_xlfn.XLOOKUP(D125,'[1]Jan Customer Duplicate Hyva'!$B:$B,'[1]Jan Customer Duplicate Hyva'!$A:$A,"NOT FOUND")</f>
        <v>CUST-255</v>
      </c>
      <c r="D125" s="22" t="s">
        <v>75</v>
      </c>
      <c r="E125" s="18" t="s">
        <v>30</v>
      </c>
      <c r="F125" s="5" t="str">
        <f t="shared" si="25"/>
        <v>Ravi</v>
      </c>
      <c r="G125" s="5" t="str">
        <f t="shared" si="14"/>
        <v/>
      </c>
      <c r="H125" s="5" t="str">
        <f t="shared" si="15"/>
        <v/>
      </c>
      <c r="I125" s="5" t="str">
        <f>_xlfn.XLOOKUP(F125,'[1]Jan Labour Nd Drivers Hyva'!$B:$B,'[2]Jan Labour Nd Drivers Hyva'!$A:$A,"NOT FOUND")</f>
        <v>LAB-003</v>
      </c>
      <c r="J125" s="5" t="str">
        <f>IF(G125="","",_xlfn.XLOOKUP(G125,'[3]Jan Labour Nd Drivers Hyva'!$B:$B,'[2]Jan Labour Nd Drivers Hyva'!$A:$A,"NOT FOUND"))</f>
        <v/>
      </c>
      <c r="K125" s="5" t="str">
        <f>IF(H125="","",_xlfn.XLOOKUP(H125,'[2]Jan Labour Nd Drivers Hyva'!$B:$B,'[2]Jan Labour Nd Drivers Hyva'!$A:$A,"NOT FOUND"))</f>
        <v/>
      </c>
      <c r="L125" s="18" t="s">
        <v>116</v>
      </c>
      <c r="M125" s="19">
        <v>1</v>
      </c>
      <c r="N125" s="20">
        <v>3000</v>
      </c>
      <c r="O125" s="20">
        <f t="shared" si="16"/>
        <v>3000</v>
      </c>
      <c r="P125" s="20">
        <v>3000</v>
      </c>
      <c r="Q125" s="20">
        <f t="shared" si="23"/>
        <v>0</v>
      </c>
      <c r="R125" s="3" t="str">
        <f t="shared" si="17"/>
        <v>PAID</v>
      </c>
      <c r="S125" s="3"/>
      <c r="T125" s="3">
        <f t="shared" si="18"/>
        <v>3000</v>
      </c>
      <c r="U125" s="3" t="str">
        <f t="shared" si="19"/>
        <v>OK</v>
      </c>
      <c r="V125" s="21">
        <f t="shared" si="20"/>
        <v>0</v>
      </c>
      <c r="W125" s="3" t="str">
        <f t="shared" si="21"/>
        <v>OK</v>
      </c>
      <c r="X125" s="3" t="s">
        <v>370</v>
      </c>
    </row>
    <row r="126" spans="1:24" ht="19" x14ac:dyDescent="0.25">
      <c r="A126" t="str">
        <f t="shared" si="12"/>
        <v>TRIP-HR-167</v>
      </c>
      <c r="B126" s="17">
        <v>46012</v>
      </c>
      <c r="C126" s="3" t="str">
        <f>_xlfn.XLOOKUP(D126,'[1]Jan Customer Duplicate Hyva'!$B:$B,'[1]Jan Customer Duplicate Hyva'!$A:$A,"NOT FOUND")</f>
        <v>CUST-255</v>
      </c>
      <c r="D126" s="22" t="s">
        <v>75</v>
      </c>
      <c r="E126" s="18" t="s">
        <v>307</v>
      </c>
      <c r="F126" s="5" t="str">
        <f t="shared" si="25"/>
        <v>Dhanraj</v>
      </c>
      <c r="G126" s="5" t="str">
        <f t="shared" si="14"/>
        <v/>
      </c>
      <c r="H126" s="5" t="str">
        <f t="shared" si="15"/>
        <v/>
      </c>
      <c r="I126" s="5" t="str">
        <f>_xlfn.XLOOKUP(F126,'[1]Jan Labour Nd Drivers Hyva'!$B:$B,'[2]Jan Labour Nd Drivers Hyva'!$A:$A,"NOT FOUND")</f>
        <v>LAB-010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18" t="s">
        <v>116</v>
      </c>
      <c r="M126" s="19">
        <v>2</v>
      </c>
      <c r="N126" s="20">
        <v>3000</v>
      </c>
      <c r="O126" s="20">
        <f t="shared" si="16"/>
        <v>6000</v>
      </c>
      <c r="P126" s="20">
        <v>6000</v>
      </c>
      <c r="Q126" s="20">
        <f t="shared" si="23"/>
        <v>0</v>
      </c>
      <c r="R126" s="3" t="str">
        <f t="shared" si="17"/>
        <v>PAID</v>
      </c>
      <c r="S126" s="3"/>
      <c r="T126" s="3">
        <f t="shared" si="18"/>
        <v>6000</v>
      </c>
      <c r="U126" s="3" t="str">
        <f t="shared" si="19"/>
        <v>OK</v>
      </c>
      <c r="V126" s="21">
        <f t="shared" si="20"/>
        <v>0</v>
      </c>
      <c r="W126" s="3" t="str">
        <f t="shared" si="21"/>
        <v>OK</v>
      </c>
      <c r="X126" s="3" t="s">
        <v>370</v>
      </c>
    </row>
    <row r="127" spans="1:24" ht="19" x14ac:dyDescent="0.25">
      <c r="A127" t="str">
        <f t="shared" si="12"/>
        <v>TRIP-HR-168</v>
      </c>
      <c r="B127" s="17">
        <v>46013</v>
      </c>
      <c r="C127" s="3" t="str">
        <f>_xlfn.XLOOKUP(D127,'[1]Jan Customer Duplicate Hyva'!$B:$B,'[1]Jan Customer Duplicate Hyva'!$A:$A,"NOT FOUND")</f>
        <v>CUST-255</v>
      </c>
      <c r="D127" s="22" t="s">
        <v>75</v>
      </c>
      <c r="E127" s="18" t="s">
        <v>30</v>
      </c>
      <c r="F127" s="5" t="str">
        <f t="shared" si="25"/>
        <v>Ravi</v>
      </c>
      <c r="G127" s="5" t="str">
        <f t="shared" si="14"/>
        <v/>
      </c>
      <c r="H127" s="5" t="str">
        <f t="shared" si="15"/>
        <v/>
      </c>
      <c r="I127" s="5" t="str">
        <f>_xlfn.XLOOKUP(F127,'[1]Jan Labour Nd Drivers Hyva'!$B:$B,'[2]Jan Labour Nd Drivers Hyva'!$A:$A,"NOT FOUND")</f>
        <v>LAB-003</v>
      </c>
      <c r="J127" s="5" t="str">
        <f>IF(G127="","",_xlfn.XLOOKUP(G127,'[3]Jan Labour Nd Drivers Hyva'!$B:$B,'[2]Jan Labour Nd Drivers Hyva'!$A:$A,"NOT FOUND"))</f>
        <v/>
      </c>
      <c r="K127" s="5" t="str">
        <f>IF(H127="","",_xlfn.XLOOKUP(H127,'[2]Jan Labour Nd Drivers Hyva'!$B:$B,'[2]Jan Labour Nd Drivers Hyva'!$A:$A,"NOT FOUND"))</f>
        <v/>
      </c>
      <c r="L127" s="18" t="s">
        <v>116</v>
      </c>
      <c r="M127" s="19">
        <v>3</v>
      </c>
      <c r="N127" s="20">
        <v>3000</v>
      </c>
      <c r="O127" s="20">
        <f t="shared" si="16"/>
        <v>9000</v>
      </c>
      <c r="P127" s="20">
        <v>9000</v>
      </c>
      <c r="Q127" s="20">
        <f t="shared" si="23"/>
        <v>0</v>
      </c>
      <c r="R127" s="3" t="str">
        <f t="shared" si="17"/>
        <v>PAID</v>
      </c>
      <c r="S127" s="3"/>
      <c r="T127" s="3">
        <f t="shared" si="18"/>
        <v>9000</v>
      </c>
      <c r="U127" s="3" t="str">
        <f t="shared" si="19"/>
        <v>OK</v>
      </c>
      <c r="V127" s="21">
        <f t="shared" si="20"/>
        <v>0</v>
      </c>
      <c r="W127" s="3" t="str">
        <f t="shared" si="21"/>
        <v>OK</v>
      </c>
      <c r="X127" s="3" t="s">
        <v>370</v>
      </c>
    </row>
    <row r="128" spans="1:24" ht="19" x14ac:dyDescent="0.25">
      <c r="A128" t="str">
        <f t="shared" si="12"/>
        <v>TRIP-HR-169</v>
      </c>
      <c r="B128" s="17">
        <v>46013</v>
      </c>
      <c r="C128" s="3" t="str">
        <f>_xlfn.XLOOKUP(D128,'[1]Jan Customer Duplicate Hyva'!$B:$B,'[1]Jan Customer Duplicate Hyva'!$A:$A,"NOT FOUND")</f>
        <v>CUST-255</v>
      </c>
      <c r="D128" s="22" t="s">
        <v>75</v>
      </c>
      <c r="E128" s="18" t="s">
        <v>307</v>
      </c>
      <c r="F128" s="5" t="str">
        <f t="shared" si="25"/>
        <v>Dhanraj</v>
      </c>
      <c r="G128" s="5" t="str">
        <f t="shared" si="14"/>
        <v/>
      </c>
      <c r="H128" s="5" t="str">
        <f t="shared" si="15"/>
        <v/>
      </c>
      <c r="I128" s="5" t="str">
        <f>_xlfn.XLOOKUP(F128,'[1]Jan Labour Nd Drivers Hyva'!$B:$B,'[2]Jan Labour Nd Drivers Hyva'!$A:$A,"NOT FOUND")</f>
        <v>LAB-010</v>
      </c>
      <c r="J128" s="5" t="str">
        <f>IF(G128="","",_xlfn.XLOOKUP(G128,'[3]Jan Labour Nd Drivers Hyva'!$B:$B,'[2]Jan Labour Nd Drivers Hyva'!$A:$A,"NOT FOUND"))</f>
        <v/>
      </c>
      <c r="K128" s="5" t="str">
        <f>IF(H128="","",_xlfn.XLOOKUP(H128,'[2]Jan Labour Nd Drivers Hyva'!$B:$B,'[2]Jan Labour Nd Drivers Hyva'!$A:$A,"NOT FOUND"))</f>
        <v/>
      </c>
      <c r="L128" s="18" t="s">
        <v>116</v>
      </c>
      <c r="M128" s="19">
        <v>3</v>
      </c>
      <c r="N128" s="20">
        <v>3000</v>
      </c>
      <c r="O128" s="20">
        <f t="shared" si="16"/>
        <v>9000</v>
      </c>
      <c r="P128" s="20">
        <v>9000</v>
      </c>
      <c r="Q128" s="20">
        <f t="shared" si="23"/>
        <v>0</v>
      </c>
      <c r="R128" s="3" t="str">
        <f t="shared" si="17"/>
        <v>PAID</v>
      </c>
      <c r="S128" s="3"/>
      <c r="T128" s="3">
        <f t="shared" si="18"/>
        <v>9000</v>
      </c>
      <c r="U128" s="3" t="str">
        <f t="shared" si="19"/>
        <v>OK</v>
      </c>
      <c r="V128" s="21">
        <f t="shared" si="20"/>
        <v>0</v>
      </c>
      <c r="W128" s="3" t="str">
        <f t="shared" si="21"/>
        <v>OK</v>
      </c>
      <c r="X128" s="3" t="s">
        <v>370</v>
      </c>
    </row>
    <row r="129" spans="1:24" ht="19" x14ac:dyDescent="0.25">
      <c r="A129" t="str">
        <f t="shared" si="12"/>
        <v>TRIP-HR-170</v>
      </c>
      <c r="B129" s="17">
        <v>46015</v>
      </c>
      <c r="C129" s="3" t="str">
        <f>_xlfn.XLOOKUP(D129,'[1]Jan Customer Duplicate Hyva'!$B:$B,'[1]Jan Customer Duplicate Hyva'!$A:$A,"NOT FOUND")</f>
        <v>CUST-255</v>
      </c>
      <c r="D129" s="22" t="s">
        <v>75</v>
      </c>
      <c r="E129" s="18" t="s">
        <v>368</v>
      </c>
      <c r="F129" s="5" t="str">
        <f t="shared" si="25"/>
        <v>Ravi</v>
      </c>
      <c r="G129" s="5" t="str">
        <f t="shared" si="14"/>
        <v>Dhanraj</v>
      </c>
      <c r="H129" s="5" t="str">
        <f t="shared" si="15"/>
        <v/>
      </c>
      <c r="I129" s="5" t="str">
        <f>_xlfn.XLOOKUP(F129,'[1]Jan Labour Nd Drivers Hyva'!$B:$B,'[2]Jan Labour Nd Drivers Hyva'!$A:$A,"NOT FOUND")</f>
        <v>LAB-003</v>
      </c>
      <c r="J129" s="5" t="str">
        <f>IF(G129="","",_xlfn.XLOOKUP(G129,'[3]Jan Labour Nd Drivers Hyva'!$B:$B,'[2]Jan Labour Nd Drivers Hyva'!$A:$A,"NOT FOUND"))</f>
        <v>LAB-010</v>
      </c>
      <c r="K129" s="5" t="str">
        <f>IF(H129="","",_xlfn.XLOOKUP(H129,'[2]Jan Labour Nd Drivers Hyva'!$B:$B,'[2]Jan Labour Nd Drivers Hyva'!$A:$A,"NOT FOUND"))</f>
        <v/>
      </c>
      <c r="L129" s="18" t="s">
        <v>116</v>
      </c>
      <c r="M129" s="19">
        <v>6</v>
      </c>
      <c r="N129" s="20">
        <v>3000</v>
      </c>
      <c r="O129" s="20">
        <f t="shared" si="16"/>
        <v>18000</v>
      </c>
      <c r="P129" s="20">
        <v>18000</v>
      </c>
      <c r="Q129" s="20">
        <f t="shared" si="23"/>
        <v>0</v>
      </c>
      <c r="R129" s="3" t="str">
        <f t="shared" si="17"/>
        <v>PAID</v>
      </c>
      <c r="S129" s="3"/>
      <c r="T129" s="3">
        <f t="shared" si="18"/>
        <v>18000</v>
      </c>
      <c r="U129" s="3" t="str">
        <f t="shared" si="19"/>
        <v>OK</v>
      </c>
      <c r="V129" s="21">
        <f t="shared" si="20"/>
        <v>0</v>
      </c>
      <c r="W129" s="3" t="str">
        <f t="shared" si="21"/>
        <v>OK</v>
      </c>
      <c r="X129" s="3" t="s">
        <v>370</v>
      </c>
    </row>
    <row r="130" spans="1:24" ht="19" x14ac:dyDescent="0.25">
      <c r="A130" t="str">
        <f t="shared" si="12"/>
        <v>TRIP-HR-171</v>
      </c>
      <c r="B130" s="17">
        <v>46016</v>
      </c>
      <c r="C130" s="3" t="str">
        <f>_xlfn.XLOOKUP(D130,'[1]Jan Customer Duplicate Hyva'!$B:$B,'[1]Jan Customer Duplicate Hyva'!$A:$A,"NOT FOUND")</f>
        <v>CUST-255</v>
      </c>
      <c r="D130" s="22" t="s">
        <v>75</v>
      </c>
      <c r="E130" s="18" t="s">
        <v>417</v>
      </c>
      <c r="F130" s="5" t="str">
        <f t="shared" si="25"/>
        <v>Ravi</v>
      </c>
      <c r="G130" s="5" t="str">
        <f t="shared" si="14"/>
        <v>Dhanraj</v>
      </c>
      <c r="H130" s="5" t="str">
        <f t="shared" si="15"/>
        <v/>
      </c>
      <c r="I130" s="5" t="str">
        <f>_xlfn.XLOOKUP(F130,'[1]Jan Labour Nd Drivers Hyva'!$B:$B,'[2]Jan Labour Nd Drivers Hyva'!$A:$A,"NOT FOUND")</f>
        <v>LAB-003</v>
      </c>
      <c r="J130" s="5" t="str">
        <f>IF(G130="","",_xlfn.XLOOKUP(G130,'[3]Jan Labour Nd Drivers Hyva'!$B:$B,'[2]Jan Labour Nd Drivers Hyva'!$A:$A,"NOT FOUND"))</f>
        <v>LAB-010</v>
      </c>
      <c r="K130" s="5" t="str">
        <f>IF(H130="","",_xlfn.XLOOKUP(H130,'[2]Jan Labour Nd Drivers Hyva'!$B:$B,'[2]Jan Labour Nd Drivers Hyva'!$A:$A,"NOT FOUND"))</f>
        <v/>
      </c>
      <c r="L130" s="18" t="s">
        <v>116</v>
      </c>
      <c r="M130" s="19">
        <v>6</v>
      </c>
      <c r="N130" s="20">
        <v>3000</v>
      </c>
      <c r="O130" s="20">
        <f t="shared" si="16"/>
        <v>18000</v>
      </c>
      <c r="P130" s="20">
        <v>18000</v>
      </c>
      <c r="Q130" s="20">
        <f t="shared" si="23"/>
        <v>0</v>
      </c>
      <c r="R130" s="3" t="str">
        <f t="shared" si="17"/>
        <v>PAID</v>
      </c>
      <c r="S130" s="3"/>
      <c r="T130" s="3">
        <f t="shared" si="18"/>
        <v>18000</v>
      </c>
      <c r="U130" s="3" t="str">
        <f t="shared" si="19"/>
        <v>OK</v>
      </c>
      <c r="V130" s="21">
        <f t="shared" si="20"/>
        <v>0</v>
      </c>
      <c r="W130" s="3" t="str">
        <f t="shared" si="21"/>
        <v>OK</v>
      </c>
      <c r="X130" s="3" t="s">
        <v>370</v>
      </c>
    </row>
    <row r="131" spans="1:24" ht="19" x14ac:dyDescent="0.25">
      <c r="A131" t="str">
        <f t="shared" ref="A131:A143" si="26">"TRIP-HR-"&amp;TEXT(ROW()+41,"000")</f>
        <v>TRIP-HR-172</v>
      </c>
      <c r="B131" s="17">
        <v>46017</v>
      </c>
      <c r="C131" s="3" t="str">
        <f>_xlfn.XLOOKUP(D131,'[1]Jan Customer Duplicate Hyva'!$B:$B,'[1]Jan Customer Duplicate Hyva'!$A:$A,"NOT FOUND")</f>
        <v>CUST-054</v>
      </c>
      <c r="D131" s="18" t="s">
        <v>216</v>
      </c>
      <c r="E131" s="18" t="s">
        <v>368</v>
      </c>
      <c r="F131" s="5" t="str">
        <f t="shared" ref="F131:F143" si="27">TRIM(_xlfn.TEXTBEFORE(E131&amp;" / "," / "))</f>
        <v>Ravi</v>
      </c>
      <c r="G131" s="5" t="str">
        <f t="shared" ref="G131:G143" si="28">IFERROR(TRIM(_xlfn.TEXTBEFORE(_xlfn.TEXTAFTER(E131," / ")&amp;" / "," / ")),"")</f>
        <v>Dhanraj</v>
      </c>
      <c r="H131" s="5" t="str">
        <f t="shared" ref="H131:H143" si="29">IFERROR(TRIM(_xlfn.TEXTAFTER(E131," / ","2")),"")</f>
        <v/>
      </c>
      <c r="I131" s="5" t="str">
        <f>_xlfn.XLOOKUP(F131,'[1]Jan Labour Nd Drivers Hyva'!$B:$B,'[2]Jan Labour Nd Drivers Hyva'!$A:$A,"NOT FOUND")</f>
        <v>LAB-003</v>
      </c>
      <c r="J131" s="5" t="str">
        <f>IF(G131="","",_xlfn.XLOOKUP(G131,'[3]Jan Labour Nd Drivers Hyva'!$B:$B,'[2]Jan Labour Nd Drivers Hyva'!$A:$A,"NOT FOUND"))</f>
        <v>LAB-010</v>
      </c>
      <c r="K131" s="5" t="str">
        <f>IF(H131="","",_xlfn.XLOOKUP(H131,'[2]Jan Labour Nd Drivers Hyva'!$B:$B,'[2]Jan Labour Nd Drivers Hyva'!$A:$A,"NOT FOUND"))</f>
        <v/>
      </c>
      <c r="L131" s="18" t="s">
        <v>33</v>
      </c>
      <c r="M131" s="19">
        <v>2</v>
      </c>
      <c r="N131" s="20">
        <v>3500</v>
      </c>
      <c r="O131" s="20">
        <f t="shared" ref="O131:O143" si="30">N131*M131</f>
        <v>7000</v>
      </c>
      <c r="P131" s="20">
        <v>7000</v>
      </c>
      <c r="Q131" s="20">
        <f t="shared" si="23"/>
        <v>0</v>
      </c>
      <c r="R131" s="3" t="str">
        <f t="shared" ref="R131:R143" si="31">IF(Q131=0,"PAID",IF(P131=0,"UNPAID","PARTIAL"))</f>
        <v>PAID</v>
      </c>
      <c r="S131" s="3"/>
      <c r="T131" s="3">
        <f t="shared" ref="T131:T143" si="32">M131*N131</f>
        <v>7000</v>
      </c>
      <c r="U131" s="3" t="str">
        <f t="shared" ref="U131:U143" si="33">IF(ROUND(T131,2)=ROUND(O131,2),"OK","CHECK")</f>
        <v>OK</v>
      </c>
      <c r="V131" s="21">
        <f t="shared" ref="V131:V143" si="34">O131-P131</f>
        <v>0</v>
      </c>
      <c r="W131" s="3" t="str">
        <f t="shared" ref="W131:W143" si="35">IF(ROUND(V131,2)=ROUND(Q131,2),"OK","CHECK")</f>
        <v>OK</v>
      </c>
      <c r="X131" s="3" t="s">
        <v>370</v>
      </c>
    </row>
    <row r="132" spans="1:24" ht="19" x14ac:dyDescent="0.25">
      <c r="A132" t="str">
        <f t="shared" si="26"/>
        <v>TRIP-HR-173</v>
      </c>
      <c r="B132" s="17">
        <v>46017</v>
      </c>
      <c r="C132" s="3" t="str">
        <f>_xlfn.XLOOKUP(D132,'[1]Jan Customer Duplicate Hyva'!$B:$B,'[1]Jan Customer Duplicate Hyva'!$A:$A,"NOT FOUND")</f>
        <v>CUST-120</v>
      </c>
      <c r="D132" s="18" t="s">
        <v>122</v>
      </c>
      <c r="E132" s="18" t="s">
        <v>418</v>
      </c>
      <c r="F132" s="5" t="str">
        <f t="shared" si="27"/>
        <v>Ravi</v>
      </c>
      <c r="G132" s="5" t="str">
        <f t="shared" si="28"/>
        <v>Dhanraj</v>
      </c>
      <c r="H132" s="5" t="str">
        <f t="shared" si="29"/>
        <v/>
      </c>
      <c r="I132" s="5" t="str">
        <f>_xlfn.XLOOKUP(F132,'[1]Jan Labour Nd Drivers Hyva'!$B:$B,'[2]Jan Labour Nd Drivers Hyva'!$A:$A,"NOT FOUND")</f>
        <v>LAB-003</v>
      </c>
      <c r="J132" s="5" t="str">
        <f>IF(G132="","",_xlfn.XLOOKUP(G132,'[3]Jan Labour Nd Drivers Hyva'!$B:$B,'[2]Jan Labour Nd Drivers Hyva'!$A:$A,"NOT FOUND"))</f>
        <v>LAB-010</v>
      </c>
      <c r="K132" s="5" t="str">
        <f>IF(H132="","",_xlfn.XLOOKUP(H132,'[2]Jan Labour Nd Drivers Hyva'!$B:$B,'[2]Jan Labour Nd Drivers Hyva'!$A:$A,"NOT FOUND"))</f>
        <v/>
      </c>
      <c r="L132" s="18" t="s">
        <v>305</v>
      </c>
      <c r="M132" s="19">
        <v>6</v>
      </c>
      <c r="N132" s="20">
        <v>3500</v>
      </c>
      <c r="O132" s="20">
        <f t="shared" si="30"/>
        <v>21000</v>
      </c>
      <c r="P132" s="20">
        <v>21000</v>
      </c>
      <c r="Q132" s="20">
        <f t="shared" si="23"/>
        <v>0</v>
      </c>
      <c r="R132" s="3" t="str">
        <f t="shared" si="31"/>
        <v>PAID</v>
      </c>
      <c r="S132" s="3"/>
      <c r="T132" s="3">
        <f t="shared" si="32"/>
        <v>21000</v>
      </c>
      <c r="U132" s="3" t="str">
        <f t="shared" si="33"/>
        <v>OK</v>
      </c>
      <c r="V132" s="21">
        <f t="shared" si="34"/>
        <v>0</v>
      </c>
      <c r="W132" s="3" t="str">
        <f t="shared" si="35"/>
        <v>OK</v>
      </c>
      <c r="X132" s="3" t="s">
        <v>370</v>
      </c>
    </row>
    <row r="133" spans="1:24" ht="19" x14ac:dyDescent="0.25">
      <c r="A133" t="str">
        <f t="shared" si="26"/>
        <v>TRIP-HR-174</v>
      </c>
      <c r="B133" s="17">
        <v>46017</v>
      </c>
      <c r="C133" s="3" t="str">
        <f>_xlfn.XLOOKUP(D133,'[1]Jan Customer Duplicate Hyva'!$B:$B,'[1]Jan Customer Duplicate Hyva'!$A:$A,"NOT FOUND")</f>
        <v>NOT FOUND</v>
      </c>
      <c r="D133" s="18" t="s">
        <v>256</v>
      </c>
      <c r="E133" s="18" t="s">
        <v>30</v>
      </c>
      <c r="F133" s="5" t="str">
        <f t="shared" si="27"/>
        <v>Ravi</v>
      </c>
      <c r="G133" s="5" t="str">
        <f t="shared" si="28"/>
        <v/>
      </c>
      <c r="H133" s="5" t="str">
        <f t="shared" si="29"/>
        <v/>
      </c>
      <c r="I133" s="5" t="str">
        <f>_xlfn.XLOOKUP(F133,'[1]Jan Labour Nd Drivers Hyva'!$B:$B,'[2]Jan Labour Nd Drivers Hyva'!$A:$A,"NOT FOUND")</f>
        <v>LAB-003</v>
      </c>
      <c r="J133" s="5" t="str">
        <f>IF(G133="","",_xlfn.XLOOKUP(G133,'[3]Jan Labour Nd Drivers Hyva'!$B:$B,'[2]Jan Labour Nd Drivers Hyva'!$A:$A,"NOT FOUND"))</f>
        <v/>
      </c>
      <c r="K133" s="5" t="str">
        <f>IF(H133="","",_xlfn.XLOOKUP(H133,'[2]Jan Labour Nd Drivers Hyva'!$B:$B,'[2]Jan Labour Nd Drivers Hyva'!$A:$A,"NOT FOUND"))</f>
        <v/>
      </c>
      <c r="L133" s="18" t="s">
        <v>415</v>
      </c>
      <c r="M133" s="19">
        <v>2</v>
      </c>
      <c r="N133" s="20">
        <v>3500</v>
      </c>
      <c r="O133" s="20">
        <f t="shared" si="30"/>
        <v>7000</v>
      </c>
      <c r="P133" s="20">
        <v>7000</v>
      </c>
      <c r="Q133" s="20">
        <f t="shared" si="23"/>
        <v>0</v>
      </c>
      <c r="R133" s="3" t="str">
        <f t="shared" si="31"/>
        <v>PAID</v>
      </c>
      <c r="S133" s="3"/>
      <c r="T133" s="3">
        <f t="shared" si="32"/>
        <v>7000</v>
      </c>
      <c r="U133" s="3" t="str">
        <f t="shared" si="33"/>
        <v>OK</v>
      </c>
      <c r="V133" s="21">
        <f t="shared" si="34"/>
        <v>0</v>
      </c>
      <c r="W133" s="3" t="str">
        <f t="shared" si="35"/>
        <v>OK</v>
      </c>
      <c r="X133" s="3" t="s">
        <v>370</v>
      </c>
    </row>
    <row r="134" spans="1:24" ht="19" x14ac:dyDescent="0.25">
      <c r="A134" t="str">
        <f t="shared" si="26"/>
        <v>TRIP-HR-175</v>
      </c>
      <c r="B134" s="17">
        <v>46018</v>
      </c>
      <c r="C134" s="3" t="str">
        <f>_xlfn.XLOOKUP(D134,'[1]Jan Customer Duplicate Hyva'!$B:$B,'[1]Jan Customer Duplicate Hyva'!$A:$A,"NOT FOUND")</f>
        <v>CUST-120</v>
      </c>
      <c r="D134" s="18" t="s">
        <v>122</v>
      </c>
      <c r="E134" s="18" t="s">
        <v>419</v>
      </c>
      <c r="F134" s="5" t="str">
        <f t="shared" si="27"/>
        <v>Dhanraj</v>
      </c>
      <c r="G134" s="5" t="str">
        <f t="shared" si="28"/>
        <v>Ravi</v>
      </c>
      <c r="H134" s="5" t="str">
        <f t="shared" si="29"/>
        <v/>
      </c>
      <c r="I134" s="5" t="str">
        <f>_xlfn.XLOOKUP(F134,'[1]Jan Labour Nd Drivers Hyva'!$B:$B,'[2]Jan Labour Nd Drivers Hyva'!$A:$A,"NOT FOUND")</f>
        <v>LAB-010</v>
      </c>
      <c r="J134" s="5" t="str">
        <f>IF(G134="","",_xlfn.XLOOKUP(G134,'[3]Jan Labour Nd Drivers Hyva'!$B:$B,'[2]Jan Labour Nd Drivers Hyva'!$A:$A,"NOT FOUND"))</f>
        <v>LAB-003</v>
      </c>
      <c r="K134" s="5" t="str">
        <f>IF(H134="","",_xlfn.XLOOKUP(H134,'[2]Jan Labour Nd Drivers Hyva'!$B:$B,'[2]Jan Labour Nd Drivers Hyva'!$A:$A,"NOT FOUND"))</f>
        <v/>
      </c>
      <c r="L134" s="18" t="s">
        <v>305</v>
      </c>
      <c r="M134" s="19">
        <v>3</v>
      </c>
      <c r="N134" s="20">
        <v>3500</v>
      </c>
      <c r="O134" s="20">
        <f t="shared" si="30"/>
        <v>10500</v>
      </c>
      <c r="P134" s="20">
        <v>10500</v>
      </c>
      <c r="Q134" s="20">
        <f t="shared" si="23"/>
        <v>0</v>
      </c>
      <c r="R134" s="3" t="str">
        <f t="shared" si="31"/>
        <v>PAID</v>
      </c>
      <c r="S134" s="3"/>
      <c r="T134" s="3">
        <f t="shared" si="32"/>
        <v>10500</v>
      </c>
      <c r="U134" s="3" t="str">
        <f t="shared" si="33"/>
        <v>OK</v>
      </c>
      <c r="V134" s="21">
        <f t="shared" si="34"/>
        <v>0</v>
      </c>
      <c r="W134" s="3" t="str">
        <f t="shared" si="35"/>
        <v>OK</v>
      </c>
      <c r="X134" s="3" t="s">
        <v>370</v>
      </c>
    </row>
    <row r="135" spans="1:24" ht="19" x14ac:dyDescent="0.25">
      <c r="A135" t="str">
        <f t="shared" si="26"/>
        <v>TRIP-HR-176</v>
      </c>
      <c r="B135" s="17">
        <v>46018</v>
      </c>
      <c r="C135" s="3" t="str">
        <f>_xlfn.XLOOKUP(D135,'[1]Jan Customer Duplicate Hyva'!$B:$B,'[1]Jan Customer Duplicate Hyva'!$A:$A,"NOT FOUND")</f>
        <v>CUST-255</v>
      </c>
      <c r="D135" s="22" t="s">
        <v>75</v>
      </c>
      <c r="E135" s="18" t="s">
        <v>420</v>
      </c>
      <c r="F135" s="5" t="str">
        <f t="shared" si="27"/>
        <v>Ravi</v>
      </c>
      <c r="G135" s="5" t="str">
        <f t="shared" si="28"/>
        <v>Dhanraj</v>
      </c>
      <c r="H135" s="5" t="str">
        <f t="shared" si="29"/>
        <v/>
      </c>
      <c r="I135" s="5" t="str">
        <f>_xlfn.XLOOKUP(F135,'[1]Jan Labour Nd Drivers Hyva'!$B:$B,'[2]Jan Labour Nd Drivers Hyva'!$A:$A,"NOT FOUND")</f>
        <v>LAB-003</v>
      </c>
      <c r="J135" s="5" t="str">
        <f>IF(G135="","",_xlfn.XLOOKUP(G135,'[3]Jan Labour Nd Drivers Hyva'!$B:$B,'[2]Jan Labour Nd Drivers Hyva'!$A:$A,"NOT FOUND"))</f>
        <v>LAB-010</v>
      </c>
      <c r="K135" s="5" t="str">
        <f>IF(H135="","",_xlfn.XLOOKUP(H135,'[2]Jan Labour Nd Drivers Hyva'!$B:$B,'[2]Jan Labour Nd Drivers Hyva'!$A:$A,"NOT FOUND"))</f>
        <v/>
      </c>
      <c r="L135" s="18" t="s">
        <v>116</v>
      </c>
      <c r="M135" s="19">
        <v>5</v>
      </c>
      <c r="N135" s="20">
        <v>3000</v>
      </c>
      <c r="O135" s="20">
        <f t="shared" si="30"/>
        <v>15000</v>
      </c>
      <c r="P135" s="20">
        <v>15000</v>
      </c>
      <c r="Q135" s="20">
        <f t="shared" si="23"/>
        <v>0</v>
      </c>
      <c r="R135" s="3" t="str">
        <f t="shared" si="31"/>
        <v>PAID</v>
      </c>
      <c r="S135" s="3"/>
      <c r="T135" s="3">
        <f t="shared" si="32"/>
        <v>15000</v>
      </c>
      <c r="U135" s="3" t="str">
        <f t="shared" si="33"/>
        <v>OK</v>
      </c>
      <c r="V135" s="21">
        <f t="shared" si="34"/>
        <v>0</v>
      </c>
      <c r="W135" s="3" t="str">
        <f t="shared" si="35"/>
        <v>OK</v>
      </c>
      <c r="X135" s="3" t="s">
        <v>370</v>
      </c>
    </row>
    <row r="136" spans="1:24" ht="19" x14ac:dyDescent="0.25">
      <c r="A136" t="str">
        <f t="shared" si="26"/>
        <v>TRIP-HR-177</v>
      </c>
      <c r="B136" s="17">
        <v>46019</v>
      </c>
      <c r="C136" s="3" t="str">
        <f>_xlfn.XLOOKUP(D136,'[1]Jan Customer Duplicate Hyva'!$B:$B,'[1]Jan Customer Duplicate Hyva'!$A:$A,"NOT FOUND")</f>
        <v>CUST-073</v>
      </c>
      <c r="D136" s="18" t="s">
        <v>421</v>
      </c>
      <c r="E136" s="18" t="s">
        <v>307</v>
      </c>
      <c r="F136" s="5" t="str">
        <f t="shared" si="27"/>
        <v>Dhanraj</v>
      </c>
      <c r="G136" s="5" t="str">
        <f t="shared" si="28"/>
        <v/>
      </c>
      <c r="H136" s="5" t="str">
        <f t="shared" si="29"/>
        <v/>
      </c>
      <c r="I136" s="5" t="str">
        <f>_xlfn.XLOOKUP(F136,'[1]Jan Labour Nd Drivers Hyva'!$B:$B,'[2]Jan Labour Nd Drivers Hyva'!$A:$A,"NOT FOUND")</f>
        <v>LAB-010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18" t="s">
        <v>33</v>
      </c>
      <c r="M136" s="19">
        <v>1</v>
      </c>
      <c r="N136" s="20">
        <v>3000</v>
      </c>
      <c r="O136" s="20">
        <f t="shared" si="30"/>
        <v>3000</v>
      </c>
      <c r="P136" s="20">
        <v>3000</v>
      </c>
      <c r="Q136" s="20">
        <f t="shared" si="23"/>
        <v>0</v>
      </c>
      <c r="R136" s="3" t="str">
        <f t="shared" si="31"/>
        <v>PAID</v>
      </c>
      <c r="S136" s="3"/>
      <c r="T136" s="3">
        <f t="shared" si="32"/>
        <v>3000</v>
      </c>
      <c r="U136" s="3" t="str">
        <f t="shared" si="33"/>
        <v>OK</v>
      </c>
      <c r="V136" s="21">
        <f t="shared" si="34"/>
        <v>0</v>
      </c>
      <c r="W136" s="3" t="str">
        <f t="shared" si="35"/>
        <v>OK</v>
      </c>
      <c r="X136" s="3" t="s">
        <v>370</v>
      </c>
    </row>
    <row r="137" spans="1:24" ht="19" x14ac:dyDescent="0.25">
      <c r="A137" t="str">
        <f t="shared" si="26"/>
        <v>TRIP-HR-178</v>
      </c>
      <c r="B137" s="17">
        <v>46019</v>
      </c>
      <c r="C137" s="3" t="str">
        <f>_xlfn.XLOOKUP(D137,'[1]Jan Customer Duplicate Hyva'!$B:$B,'[1]Jan Customer Duplicate Hyva'!$A:$A,"NOT FOUND")</f>
        <v>CUST-255</v>
      </c>
      <c r="D137" s="22" t="s">
        <v>75</v>
      </c>
      <c r="E137" s="18" t="s">
        <v>368</v>
      </c>
      <c r="F137" s="5" t="str">
        <f t="shared" si="27"/>
        <v>Ravi</v>
      </c>
      <c r="G137" s="5" t="str">
        <f t="shared" si="28"/>
        <v>Dhanraj</v>
      </c>
      <c r="H137" s="5" t="str">
        <f t="shared" si="29"/>
        <v/>
      </c>
      <c r="I137" s="5" t="str">
        <f>_xlfn.XLOOKUP(F137,'[1]Jan Labour Nd Drivers Hyva'!$B:$B,'[2]Jan Labour Nd Drivers Hyva'!$A:$A,"NOT FOUND")</f>
        <v>LAB-003</v>
      </c>
      <c r="J137" s="5" t="str">
        <f>IF(G137="","",_xlfn.XLOOKUP(G137,'[3]Jan Labour Nd Drivers Hyva'!$B:$B,'[2]Jan Labour Nd Drivers Hyva'!$A:$A,"NOT FOUND"))</f>
        <v>LAB-010</v>
      </c>
      <c r="K137" s="5" t="str">
        <f>IF(H137="","",_xlfn.XLOOKUP(H137,'[2]Jan Labour Nd Drivers Hyva'!$B:$B,'[2]Jan Labour Nd Drivers Hyva'!$A:$A,"NOT FOUND"))</f>
        <v/>
      </c>
      <c r="L137" s="18" t="s">
        <v>116</v>
      </c>
      <c r="M137" s="19">
        <v>7</v>
      </c>
      <c r="N137" s="20">
        <v>3000</v>
      </c>
      <c r="O137" s="20">
        <f t="shared" si="30"/>
        <v>21000</v>
      </c>
      <c r="P137" s="20">
        <v>21000</v>
      </c>
      <c r="Q137" s="20">
        <f t="shared" si="23"/>
        <v>0</v>
      </c>
      <c r="R137" s="3" t="str">
        <f t="shared" si="31"/>
        <v>PAID</v>
      </c>
      <c r="S137" s="3"/>
      <c r="T137" s="3">
        <f t="shared" si="32"/>
        <v>21000</v>
      </c>
      <c r="U137" s="3" t="str">
        <f t="shared" si="33"/>
        <v>OK</v>
      </c>
      <c r="V137" s="21">
        <f t="shared" si="34"/>
        <v>0</v>
      </c>
      <c r="W137" s="3" t="str">
        <f t="shared" si="35"/>
        <v>OK</v>
      </c>
      <c r="X137" s="3" t="s">
        <v>370</v>
      </c>
    </row>
    <row r="138" spans="1:24" ht="19" x14ac:dyDescent="0.25">
      <c r="A138" t="str">
        <f t="shared" si="26"/>
        <v>TRIP-HR-179</v>
      </c>
      <c r="B138" s="17">
        <v>46020</v>
      </c>
      <c r="C138" s="3" t="str">
        <f>_xlfn.XLOOKUP(D138,'[1]Jan Customer Duplicate Hyva'!$B:$B,'[1]Jan Customer Duplicate Hyva'!$A:$A,"NOT FOUND")</f>
        <v>CUST-054</v>
      </c>
      <c r="D138" s="18" t="s">
        <v>216</v>
      </c>
      <c r="E138" s="18" t="s">
        <v>30</v>
      </c>
      <c r="F138" s="5" t="str">
        <f t="shared" si="27"/>
        <v>Ravi</v>
      </c>
      <c r="G138" s="5" t="str">
        <f t="shared" si="28"/>
        <v/>
      </c>
      <c r="H138" s="5" t="str">
        <f t="shared" si="29"/>
        <v/>
      </c>
      <c r="I138" s="5" t="str">
        <f>_xlfn.XLOOKUP(F138,'[1]Jan Labour Nd Drivers Hyva'!$B:$B,'[2]Jan Labour Nd Drivers Hyva'!$A:$A,"NOT FOUND")</f>
        <v>LAB-003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18" t="s">
        <v>33</v>
      </c>
      <c r="M138" s="19">
        <v>2</v>
      </c>
      <c r="N138" s="20">
        <v>3500</v>
      </c>
      <c r="O138" s="20">
        <f t="shared" si="30"/>
        <v>7000</v>
      </c>
      <c r="P138" s="20">
        <v>7000</v>
      </c>
      <c r="Q138" s="20">
        <f t="shared" si="23"/>
        <v>0</v>
      </c>
      <c r="R138" s="3" t="str">
        <f t="shared" si="31"/>
        <v>PAID</v>
      </c>
      <c r="S138" s="3"/>
      <c r="T138" s="3">
        <f t="shared" si="32"/>
        <v>7000</v>
      </c>
      <c r="U138" s="3" t="str">
        <f t="shared" si="33"/>
        <v>OK</v>
      </c>
      <c r="V138" s="21">
        <f t="shared" si="34"/>
        <v>0</v>
      </c>
      <c r="W138" s="3" t="str">
        <f t="shared" si="35"/>
        <v>OK</v>
      </c>
      <c r="X138" s="3" t="s">
        <v>370</v>
      </c>
    </row>
    <row r="139" spans="1:24" ht="19" x14ac:dyDescent="0.25">
      <c r="A139" t="str">
        <f t="shared" si="26"/>
        <v>TRIP-HR-180</v>
      </c>
      <c r="B139" s="17">
        <v>46020</v>
      </c>
      <c r="C139" s="3" t="str">
        <f>_xlfn.XLOOKUP(D139,'[1]Jan Customer Duplicate Hyva'!$B:$B,'[1]Jan Customer Duplicate Hyva'!$A:$A,"NOT FOUND")</f>
        <v>CUST-255</v>
      </c>
      <c r="D139" s="22" t="s">
        <v>75</v>
      </c>
      <c r="E139" s="18" t="s">
        <v>30</v>
      </c>
      <c r="F139" s="5" t="str">
        <f t="shared" si="27"/>
        <v>Ravi</v>
      </c>
      <c r="G139" s="5" t="str">
        <f t="shared" si="28"/>
        <v/>
      </c>
      <c r="H139" s="5" t="str">
        <f t="shared" si="29"/>
        <v/>
      </c>
      <c r="I139" s="5" t="str">
        <f>_xlfn.XLOOKUP(F139,'[1]Jan Labour Nd Drivers Hyva'!$B:$B,'[2]Jan Labour Nd Drivers Hyva'!$A:$A,"NOT FOUND")</f>
        <v>LAB-003</v>
      </c>
      <c r="J139" s="5" t="str">
        <f>IF(G139="","",_xlfn.XLOOKUP(G139,'[3]Jan Labour Nd Drivers Hyva'!$B:$B,'[2]Jan Labour Nd Drivers Hyva'!$A:$A,"NOT FOUND"))</f>
        <v/>
      </c>
      <c r="K139" s="5" t="str">
        <f>IF(H139="","",_xlfn.XLOOKUP(H139,'[2]Jan Labour Nd Drivers Hyva'!$B:$B,'[2]Jan Labour Nd Drivers Hyva'!$A:$A,"NOT FOUND"))</f>
        <v/>
      </c>
      <c r="L139" s="18" t="s">
        <v>116</v>
      </c>
      <c r="M139" s="19">
        <v>2</v>
      </c>
      <c r="N139" s="20">
        <v>3000</v>
      </c>
      <c r="O139" s="20">
        <f t="shared" si="30"/>
        <v>6000</v>
      </c>
      <c r="P139" s="20">
        <v>6000</v>
      </c>
      <c r="Q139" s="20">
        <f t="shared" si="23"/>
        <v>0</v>
      </c>
      <c r="R139" s="3" t="str">
        <f t="shared" si="31"/>
        <v>PAID</v>
      </c>
      <c r="S139" s="3"/>
      <c r="T139" s="3">
        <f t="shared" si="32"/>
        <v>6000</v>
      </c>
      <c r="U139" s="3" t="str">
        <f t="shared" si="33"/>
        <v>OK</v>
      </c>
      <c r="V139" s="21">
        <f t="shared" si="34"/>
        <v>0</v>
      </c>
      <c r="W139" s="3" t="str">
        <f t="shared" si="35"/>
        <v>OK</v>
      </c>
      <c r="X139" s="3" t="s">
        <v>370</v>
      </c>
    </row>
    <row r="140" spans="1:24" ht="19" x14ac:dyDescent="0.25">
      <c r="A140" t="str">
        <f t="shared" si="26"/>
        <v>TRIP-HR-181</v>
      </c>
      <c r="B140" s="17">
        <v>46020</v>
      </c>
      <c r="C140" s="3" t="str">
        <f>_xlfn.XLOOKUP(D140,'[1]Jan Customer Duplicate Hyva'!$B:$B,'[1]Jan Customer Duplicate Hyva'!$A:$A,"NOT FOUND")</f>
        <v>CUST-247</v>
      </c>
      <c r="D140" s="18" t="s">
        <v>301</v>
      </c>
      <c r="E140" s="18" t="s">
        <v>30</v>
      </c>
      <c r="F140" s="5" t="str">
        <f t="shared" si="27"/>
        <v>Ravi</v>
      </c>
      <c r="G140" s="5" t="str">
        <f t="shared" si="28"/>
        <v/>
      </c>
      <c r="H140" s="5" t="str">
        <f t="shared" si="29"/>
        <v/>
      </c>
      <c r="I140" s="5" t="str">
        <f>_xlfn.XLOOKUP(F140,'[1]Jan Labour Nd Drivers Hyva'!$B:$B,'[2]Jan Labour Nd Drivers Hyva'!$A:$A,"NOT FOUND")</f>
        <v>LAB-003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18" t="s">
        <v>126</v>
      </c>
      <c r="M140" s="19">
        <v>2</v>
      </c>
      <c r="N140" s="20">
        <v>3500</v>
      </c>
      <c r="O140" s="20">
        <f t="shared" si="30"/>
        <v>7000</v>
      </c>
      <c r="P140" s="20">
        <v>7000</v>
      </c>
      <c r="Q140" s="20">
        <f t="shared" si="23"/>
        <v>0</v>
      </c>
      <c r="R140" s="3" t="str">
        <f t="shared" si="31"/>
        <v>PAID</v>
      </c>
      <c r="S140" s="3"/>
      <c r="T140" s="3">
        <f t="shared" si="32"/>
        <v>7000</v>
      </c>
      <c r="U140" s="3" t="str">
        <f t="shared" si="33"/>
        <v>OK</v>
      </c>
      <c r="V140" s="21">
        <f t="shared" si="34"/>
        <v>0</v>
      </c>
      <c r="W140" s="3" t="str">
        <f t="shared" si="35"/>
        <v>OK</v>
      </c>
      <c r="X140" s="3" t="s">
        <v>370</v>
      </c>
    </row>
    <row r="141" spans="1:24" ht="19" x14ac:dyDescent="0.25">
      <c r="A141" t="str">
        <f t="shared" si="26"/>
        <v>TRIP-HR-182</v>
      </c>
      <c r="B141" s="17">
        <v>46021</v>
      </c>
      <c r="C141" s="3" t="str">
        <f>_xlfn.XLOOKUP(D141,'[1]Jan Customer Duplicate Hyva'!$B:$B,'[1]Jan Customer Duplicate Hyva'!$A:$A,"NOT FOUND")</f>
        <v>CUST-255</v>
      </c>
      <c r="D141" s="22" t="s">
        <v>75</v>
      </c>
      <c r="E141" s="18" t="s">
        <v>368</v>
      </c>
      <c r="F141" s="5" t="str">
        <f t="shared" si="27"/>
        <v>Ravi</v>
      </c>
      <c r="G141" s="5" t="str">
        <f t="shared" si="28"/>
        <v>Dhanraj</v>
      </c>
      <c r="H141" s="5" t="str">
        <f t="shared" si="29"/>
        <v/>
      </c>
      <c r="I141" s="5" t="str">
        <f>_xlfn.XLOOKUP(F141,'[1]Jan Labour Nd Drivers Hyva'!$B:$B,'[2]Jan Labour Nd Drivers Hyva'!$A:$A,"NOT FOUND")</f>
        <v>LAB-003</v>
      </c>
      <c r="J141" s="5" t="str">
        <f>IF(G141="","",_xlfn.XLOOKUP(G141,'[3]Jan Labour Nd Drivers Hyva'!$B:$B,'[2]Jan Labour Nd Drivers Hyva'!$A:$A,"NOT FOUND"))</f>
        <v>LAB-010</v>
      </c>
      <c r="K141" s="5" t="str">
        <f>IF(H141="","",_xlfn.XLOOKUP(H141,'[2]Jan Labour Nd Drivers Hyva'!$B:$B,'[2]Jan Labour Nd Drivers Hyva'!$A:$A,"NOT FOUND"))</f>
        <v/>
      </c>
      <c r="L141" s="18" t="s">
        <v>116</v>
      </c>
      <c r="M141" s="19">
        <v>7</v>
      </c>
      <c r="N141" s="20">
        <v>3000</v>
      </c>
      <c r="O141" s="20">
        <f t="shared" si="30"/>
        <v>21000</v>
      </c>
      <c r="P141" s="20">
        <v>21000</v>
      </c>
      <c r="Q141" s="20">
        <f t="shared" si="23"/>
        <v>0</v>
      </c>
      <c r="R141" s="3" t="str">
        <f t="shared" si="31"/>
        <v>PAID</v>
      </c>
      <c r="S141" s="3"/>
      <c r="T141" s="3">
        <f t="shared" si="32"/>
        <v>21000</v>
      </c>
      <c r="U141" s="3" t="str">
        <f t="shared" si="33"/>
        <v>OK</v>
      </c>
      <c r="V141" s="21">
        <f t="shared" si="34"/>
        <v>0</v>
      </c>
      <c r="W141" s="3" t="str">
        <f t="shared" si="35"/>
        <v>OK</v>
      </c>
      <c r="X141" s="3" t="s">
        <v>370</v>
      </c>
    </row>
    <row r="142" spans="1:24" ht="19" x14ac:dyDescent="0.25">
      <c r="A142" t="str">
        <f t="shared" si="26"/>
        <v>TRIP-HR-183</v>
      </c>
      <c r="B142" s="17">
        <v>46022</v>
      </c>
      <c r="C142" s="3" t="str">
        <f>_xlfn.XLOOKUP(D142,'[1]Jan Customer Duplicate Hyva'!$B:$B,'[1]Jan Customer Duplicate Hyva'!$A:$A,"NOT FOUND")</f>
        <v>CUST-073</v>
      </c>
      <c r="D142" s="18" t="s">
        <v>421</v>
      </c>
      <c r="E142" s="18" t="s">
        <v>30</v>
      </c>
      <c r="F142" s="5" t="str">
        <f t="shared" si="27"/>
        <v>Ravi</v>
      </c>
      <c r="G142" s="5" t="str">
        <f t="shared" si="28"/>
        <v/>
      </c>
      <c r="H142" s="5" t="str">
        <f t="shared" si="29"/>
        <v/>
      </c>
      <c r="I142" s="5" t="str">
        <f>_xlfn.XLOOKUP(F142,'[1]Jan Labour Nd Drivers Hyva'!$B:$B,'[2]Jan Labour Nd Drivers Hyva'!$A:$A,"NOT FOUND")</f>
        <v>LAB-003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18" t="s">
        <v>33</v>
      </c>
      <c r="M142" s="19">
        <v>1</v>
      </c>
      <c r="N142" s="20">
        <v>3000</v>
      </c>
      <c r="O142" s="20">
        <f t="shared" si="30"/>
        <v>3000</v>
      </c>
      <c r="P142" s="20">
        <v>3000</v>
      </c>
      <c r="Q142" s="20">
        <f t="shared" si="23"/>
        <v>0</v>
      </c>
      <c r="R142" s="3" t="str">
        <f t="shared" si="31"/>
        <v>PAID</v>
      </c>
      <c r="S142" s="3"/>
      <c r="T142" s="3">
        <f t="shared" si="32"/>
        <v>3000</v>
      </c>
      <c r="U142" s="3" t="str">
        <f t="shared" si="33"/>
        <v>OK</v>
      </c>
      <c r="V142" s="21">
        <f t="shared" si="34"/>
        <v>0</v>
      </c>
      <c r="W142" s="3" t="str">
        <f t="shared" si="35"/>
        <v>OK</v>
      </c>
      <c r="X142" s="3" t="s">
        <v>370</v>
      </c>
    </row>
    <row r="143" spans="1:24" ht="19" x14ac:dyDescent="0.25">
      <c r="A143" t="str">
        <f t="shared" si="26"/>
        <v>TRIP-HR-184</v>
      </c>
      <c r="B143" s="17">
        <v>46022</v>
      </c>
      <c r="C143" s="3" t="str">
        <f>_xlfn.XLOOKUP(D143,'[1]Jan Customer Duplicate Hyva'!$B:$B,'[1]Jan Customer Duplicate Hyva'!$A:$A,"NOT FOUND")</f>
        <v>CUST-247</v>
      </c>
      <c r="D143" s="18" t="s">
        <v>301</v>
      </c>
      <c r="E143" s="18" t="s">
        <v>30</v>
      </c>
      <c r="F143" s="5" t="str">
        <f t="shared" si="27"/>
        <v>Ravi</v>
      </c>
      <c r="G143" s="5" t="str">
        <f t="shared" si="28"/>
        <v/>
      </c>
      <c r="H143" s="5" t="str">
        <f t="shared" si="29"/>
        <v/>
      </c>
      <c r="I143" s="5" t="str">
        <f>_xlfn.XLOOKUP(F143,'[1]Jan Labour Nd Drivers Hyva'!$B:$B,'[2]Jan Labour Nd Drivers Hyva'!$A:$A,"NOT FOUND")</f>
        <v>LAB-003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18" t="s">
        <v>126</v>
      </c>
      <c r="M143" s="19">
        <v>1</v>
      </c>
      <c r="N143" s="20">
        <v>3500</v>
      </c>
      <c r="O143" s="20">
        <f t="shared" si="30"/>
        <v>3500</v>
      </c>
      <c r="P143" s="20">
        <v>3500</v>
      </c>
      <c r="Q143" s="20">
        <f t="shared" si="23"/>
        <v>0</v>
      </c>
      <c r="R143" s="3" t="str">
        <f t="shared" si="31"/>
        <v>PAID</v>
      </c>
      <c r="S143" s="3"/>
      <c r="T143" s="3">
        <f t="shared" si="32"/>
        <v>3500</v>
      </c>
      <c r="U143" s="3" t="str">
        <f t="shared" si="33"/>
        <v>OK</v>
      </c>
      <c r="V143" s="21">
        <f t="shared" si="34"/>
        <v>0</v>
      </c>
      <c r="W143" s="3" t="str">
        <f t="shared" si="35"/>
        <v>OK</v>
      </c>
      <c r="X143" s="3" t="s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3804-843E-9F46-BAA9-7856632BAF7A}">
  <dimension ref="A1:Y90"/>
  <sheetViews>
    <sheetView workbookViewId="0">
      <selection activeCell="A2" sqref="A2:A90"/>
    </sheetView>
  </sheetViews>
  <sheetFormatPr baseColWidth="10" defaultRowHeight="16" x14ac:dyDescent="0.2"/>
  <cols>
    <col min="2" max="2" width="36.83203125" customWidth="1"/>
    <col min="3" max="3" width="21.6640625" customWidth="1"/>
    <col min="4" max="5" width="25.6640625" customWidth="1"/>
    <col min="9" max="9" width="18.33203125" customWidth="1"/>
    <col min="10" max="10" width="24.33203125" customWidth="1"/>
    <col min="12" max="12" width="22.5" customWidth="1"/>
    <col min="20" max="20" width="19" customWidth="1"/>
    <col min="22" max="23" width="20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3" t="str">
        <f>"TRIP-HF-"&amp;TEXT(ROW()+12,"000")</f>
        <v>TRIP-HF-014</v>
      </c>
      <c r="B2" s="23">
        <v>45693</v>
      </c>
      <c r="C2" s="3" t="str">
        <f>_xlfn.XLOOKUP(D2,'[1]Jan Customer Duplicate Hyva'!$B:$B,'[1]Jan Customer Duplicate Hyva'!$A:$A,"NOT FOUND")</f>
        <v>CUST-363</v>
      </c>
      <c r="D2" s="11" t="s">
        <v>62</v>
      </c>
      <c r="E2" s="11" t="s">
        <v>26</v>
      </c>
      <c r="F2" s="5" t="str">
        <f>TRIM(_xlfn.TEXTBEFORE(E2&amp;" / "," / "))</f>
        <v>Anshu</v>
      </c>
      <c r="G2" s="5" t="str">
        <f>IFERROR(TRIM(_xlfn.TEXTBEFORE(_xlfn.TEXTAFTER(E2," / ")&amp;" / "," / ")),"")</f>
        <v/>
      </c>
      <c r="H2" s="5" t="str">
        <f>IFERROR(TRIM(_xlfn.TEXTAFTER(E2," / ","2")),"")</f>
        <v/>
      </c>
      <c r="I2" s="5" t="str">
        <f>_xlfn.XLOOKUP(F2,'[1]Jan Labour Nd Drivers Hyva'!$B:$B,'[2]Jan Labour Nd Drivers Hyva'!$A:$A,"NOT FOUND")</f>
        <v>LAB-002</v>
      </c>
      <c r="J2" s="5" t="str">
        <f>IF(G2="","",_xlfn.XLOOKUP(G2,'[3]Jan Labour Nd Drivers Hyva'!$B:$B,'[2]Jan Labour Nd Drivers Hyva'!$A:$A,"NOT FOUND"))</f>
        <v/>
      </c>
      <c r="K2" s="3"/>
      <c r="L2" s="11" t="s">
        <v>63</v>
      </c>
      <c r="M2" s="11">
        <v>1</v>
      </c>
      <c r="N2" s="13">
        <v>10000</v>
      </c>
      <c r="O2" s="13">
        <f>N2*M2</f>
        <v>10000</v>
      </c>
      <c r="P2" s="13">
        <v>10000</v>
      </c>
      <c r="Q2" s="13">
        <f>O2-P2</f>
        <v>0</v>
      </c>
      <c r="R2" s="3" t="str">
        <f>IF(Q2=0,"PAID",IF(P2=0,"UNPAID","PARTIAL"))</f>
        <v>PAID</v>
      </c>
      <c r="S2" s="3"/>
      <c r="T2" s="3">
        <f>M2*N2</f>
        <v>10000</v>
      </c>
      <c r="U2" s="3" t="str">
        <f>IF(ROUND(T2,2)=ROUND(O2,2),"OK","CHECK")</f>
        <v>OK</v>
      </c>
      <c r="V2" s="21">
        <f>O2-P2</f>
        <v>0</v>
      </c>
      <c r="W2" s="3" t="str">
        <f>IF(ROUND(V2,2)=ROUND(Q2,2),"OK","CHECK")</f>
        <v>OK</v>
      </c>
      <c r="X2" s="3" t="s">
        <v>422</v>
      </c>
      <c r="Y2" s="3" t="s">
        <v>29</v>
      </c>
    </row>
    <row r="3" spans="1:25" x14ac:dyDescent="0.2">
      <c r="A3" s="3" t="str">
        <f t="shared" ref="A3:A66" si="0">"TRIP-HF-"&amp;TEXT(ROW()+12,"000")</f>
        <v>TRIP-HF-015</v>
      </c>
      <c r="B3" s="23">
        <v>45693</v>
      </c>
      <c r="C3" s="3" t="str">
        <f>_xlfn.XLOOKUP(D3,'[1]Jan Customer Duplicate Hyva'!$B:$B,'[1]Jan Customer Duplicate Hyva'!$A:$A,"NOT FOUND")</f>
        <v>NOT FOUND</v>
      </c>
      <c r="D3" s="11" t="s">
        <v>423</v>
      </c>
      <c r="E3" s="11" t="s">
        <v>26</v>
      </c>
      <c r="F3" s="5" t="str">
        <f t="shared" ref="F3:F66" si="1">TRIM(_xlfn.TEXTBEFORE(E3&amp;" / "," / "))</f>
        <v>Anshu</v>
      </c>
      <c r="G3" s="5" t="str">
        <f t="shared" ref="G3:G66" si="2">IFERROR(TRIM(_xlfn.TEXTBEFORE(_xlfn.TEXTAFTER(E3," / ")&amp;" / "," / ")),"")</f>
        <v/>
      </c>
      <c r="H3" s="5" t="str">
        <f t="shared" ref="H3:H66" si="3">IFERROR(TRIM(_xlfn.TEXTAFTER(E3," / ","2")),"")</f>
        <v/>
      </c>
      <c r="I3" s="5" t="str">
        <f>_xlfn.XLOOKUP(F3,'[1]Jan Labour Nd Drivers Hyva'!$B:$B,'[2]Jan Labour Nd Drivers Hyva'!$A:$A,"NOT FOUND")</f>
        <v>LAB-002</v>
      </c>
      <c r="J3" s="5" t="str">
        <f>IF(G3="","",_xlfn.XLOOKUP(G3,'[3]Jan Labour Nd Drivers Hyva'!$B:$B,'[2]Jan Labour Nd Drivers Hyva'!$A:$A,"NOT FOUND"))</f>
        <v/>
      </c>
      <c r="K3" s="3"/>
      <c r="L3" s="11" t="s">
        <v>172</v>
      </c>
      <c r="M3" s="11">
        <v>1</v>
      </c>
      <c r="N3" s="24">
        <v>9500</v>
      </c>
      <c r="O3" s="13">
        <f t="shared" ref="O3:O66" si="4">N3*M3</f>
        <v>9500</v>
      </c>
      <c r="P3" s="24">
        <v>9500</v>
      </c>
      <c r="Q3" s="13">
        <f t="shared" ref="Q3:Q24" si="5">O3-P3</f>
        <v>0</v>
      </c>
      <c r="R3" s="3" t="str">
        <f t="shared" ref="R3:R66" si="6">IF(Q3=0,"PAID",IF(P3=0,"UNPAID","PARTIAL"))</f>
        <v>PAID</v>
      </c>
      <c r="S3" s="3"/>
      <c r="T3" s="3">
        <f t="shared" ref="T3:T66" si="7">M3*N3</f>
        <v>9500</v>
      </c>
      <c r="U3" s="3" t="str">
        <f t="shared" ref="U3:U66" si="8">IF(ROUND(T3,2)=ROUND(O3,2),"OK","CHECK")</f>
        <v>OK</v>
      </c>
      <c r="V3" s="21">
        <f t="shared" ref="V3:V66" si="9">O3-P3</f>
        <v>0</v>
      </c>
      <c r="W3" s="3" t="str">
        <f t="shared" ref="W3:W66" si="10">IF(ROUND(V3,2)=ROUND(Q3,2),"OK","CHECK")</f>
        <v>OK</v>
      </c>
      <c r="X3" s="3" t="s">
        <v>422</v>
      </c>
      <c r="Y3" s="3" t="s">
        <v>29</v>
      </c>
    </row>
    <row r="4" spans="1:25" x14ac:dyDescent="0.2">
      <c r="A4" s="3" t="str">
        <f t="shared" si="0"/>
        <v>TRIP-HF-016</v>
      </c>
      <c r="B4" s="23">
        <v>45697</v>
      </c>
      <c r="C4" s="3" t="str">
        <f>_xlfn.XLOOKUP(D4,'[1]Jan Customer Duplicate Hyva'!$B:$B,'[1]Jan Customer Duplicate Hyva'!$A:$A,"NOT FOUND")</f>
        <v>CUST-363</v>
      </c>
      <c r="D4" s="11" t="s">
        <v>62</v>
      </c>
      <c r="E4" s="11" t="s">
        <v>26</v>
      </c>
      <c r="F4" s="5" t="str">
        <f t="shared" si="1"/>
        <v>Anshu</v>
      </c>
      <c r="G4" s="5" t="str">
        <f t="shared" si="2"/>
        <v/>
      </c>
      <c r="H4" s="5" t="str">
        <f t="shared" si="3"/>
        <v/>
      </c>
      <c r="I4" s="5" t="str">
        <f>_xlfn.XLOOKUP(F4,'[1]Jan Labour Nd Drivers Hyva'!$B:$B,'[2]Jan Labour Nd Drivers Hyva'!$A:$A,"NOT FOUND")</f>
        <v>LAB-002</v>
      </c>
      <c r="J4" s="5" t="str">
        <f>IF(G4="","",_xlfn.XLOOKUP(G4,'[3]Jan Labour Nd Drivers Hyva'!$B:$B,'[2]Jan Labour Nd Drivers Hyva'!$A:$A,"NOT FOUND"))</f>
        <v/>
      </c>
      <c r="K4" s="3"/>
      <c r="L4" s="11" t="s">
        <v>63</v>
      </c>
      <c r="M4" s="11">
        <v>1</v>
      </c>
      <c r="N4" s="24">
        <v>10000</v>
      </c>
      <c r="O4" s="13">
        <f t="shared" si="4"/>
        <v>10000</v>
      </c>
      <c r="P4" s="24">
        <v>10000</v>
      </c>
      <c r="Q4" s="13">
        <f t="shared" si="5"/>
        <v>0</v>
      </c>
      <c r="R4" s="3" t="str">
        <f t="shared" si="6"/>
        <v>PAID</v>
      </c>
      <c r="S4" s="3"/>
      <c r="T4" s="3">
        <f t="shared" si="7"/>
        <v>10000</v>
      </c>
      <c r="U4" s="3" t="str">
        <f t="shared" si="8"/>
        <v>OK</v>
      </c>
      <c r="V4" s="21">
        <f t="shared" si="9"/>
        <v>0</v>
      </c>
      <c r="W4" s="3" t="str">
        <f t="shared" si="10"/>
        <v>OK</v>
      </c>
      <c r="X4" s="3" t="s">
        <v>422</v>
      </c>
      <c r="Y4" s="3" t="s">
        <v>29</v>
      </c>
    </row>
    <row r="5" spans="1:25" x14ac:dyDescent="0.2">
      <c r="A5" s="3" t="str">
        <f t="shared" si="0"/>
        <v>TRIP-HF-017</v>
      </c>
      <c r="B5" s="2">
        <v>45721</v>
      </c>
      <c r="C5" s="3" t="str">
        <f>_xlfn.XLOOKUP(D5,'[1]Jan Customer Duplicate Hyva'!$B:$B,'[1]Jan Customer Duplicate Hyva'!$A:$A,"NOT FOUND")</f>
        <v>NOT FOUND</v>
      </c>
      <c r="D5" s="4" t="s">
        <v>424</v>
      </c>
      <c r="E5" s="4" t="s">
        <v>55</v>
      </c>
      <c r="F5" s="5" t="str">
        <f t="shared" si="1"/>
        <v>Gaju Bhau</v>
      </c>
      <c r="G5" s="5" t="str">
        <f t="shared" si="2"/>
        <v/>
      </c>
      <c r="H5" s="5" t="str">
        <f t="shared" si="3"/>
        <v/>
      </c>
      <c r="I5" s="5" t="str">
        <f>_xlfn.XLOOKUP(F5,'[1]Jan Labour Nd Drivers Hyva'!$B:$B,'[2]Jan Labour Nd Drivers Hyva'!$A:$A,"NOT FOUND")</f>
        <v>LAB-001</v>
      </c>
      <c r="J5" s="5" t="str">
        <f>IF(G5="","",_xlfn.XLOOKUP(G5,'[3]Jan Labour Nd Drivers Hyva'!$B:$B,'[2]Jan Labour Nd Drivers Hyva'!$A:$A,"NOT FOUND"))</f>
        <v/>
      </c>
      <c r="K5" s="3"/>
      <c r="L5" s="4" t="s">
        <v>63</v>
      </c>
      <c r="M5" s="4">
        <v>1</v>
      </c>
      <c r="N5" s="7">
        <v>11500</v>
      </c>
      <c r="O5" s="13">
        <f t="shared" si="4"/>
        <v>11500</v>
      </c>
      <c r="P5" s="7">
        <v>11500</v>
      </c>
      <c r="Q5" s="13">
        <f t="shared" si="5"/>
        <v>0</v>
      </c>
      <c r="R5" s="3" t="str">
        <f t="shared" si="6"/>
        <v>PAID</v>
      </c>
      <c r="S5" s="3"/>
      <c r="T5" s="3">
        <f t="shared" si="7"/>
        <v>11500</v>
      </c>
      <c r="U5" s="3" t="str">
        <f t="shared" si="8"/>
        <v>OK</v>
      </c>
      <c r="V5" s="21">
        <f t="shared" si="9"/>
        <v>0</v>
      </c>
      <c r="W5" s="3" t="str">
        <f t="shared" si="10"/>
        <v>OK</v>
      </c>
      <c r="X5" s="3" t="s">
        <v>422</v>
      </c>
      <c r="Y5" s="3" t="s">
        <v>29</v>
      </c>
    </row>
    <row r="6" spans="1:25" x14ac:dyDescent="0.2">
      <c r="A6" s="3" t="str">
        <f t="shared" si="0"/>
        <v>TRIP-HF-018</v>
      </c>
      <c r="B6" s="2">
        <v>45721</v>
      </c>
      <c r="C6" s="3" t="str">
        <f>_xlfn.XLOOKUP(D6,'[1]Jan Customer Duplicate Hyva'!$B:$B,'[1]Jan Customer Duplicate Hyva'!$A:$A,"NOT FOUND")</f>
        <v>CUST-341</v>
      </c>
      <c r="D6" s="11" t="s">
        <v>425</v>
      </c>
      <c r="E6" s="11" t="s">
        <v>26</v>
      </c>
      <c r="F6" s="5" t="str">
        <f t="shared" si="1"/>
        <v>Anshu</v>
      </c>
      <c r="G6" s="5" t="str">
        <f t="shared" si="2"/>
        <v/>
      </c>
      <c r="H6" s="5" t="str">
        <f t="shared" si="3"/>
        <v/>
      </c>
      <c r="I6" s="5" t="str">
        <f>_xlfn.XLOOKUP(F6,'[1]Jan Labour Nd Drivers Hyva'!$B:$B,'[2]Jan Labour Nd Drivers Hyva'!$A:$A,"NOT FOUND")</f>
        <v>LAB-002</v>
      </c>
      <c r="J6" s="5" t="str">
        <f>IF(G6="","",_xlfn.XLOOKUP(G6,'[3]Jan Labour Nd Drivers Hyva'!$B:$B,'[2]Jan Labour Nd Drivers Hyva'!$A:$A,"NOT FOUND"))</f>
        <v/>
      </c>
      <c r="K6" s="3"/>
      <c r="L6" s="11" t="s">
        <v>172</v>
      </c>
      <c r="M6" s="11">
        <v>1</v>
      </c>
      <c r="N6" s="24">
        <v>9500</v>
      </c>
      <c r="O6" s="13">
        <f t="shared" si="4"/>
        <v>9500</v>
      </c>
      <c r="P6" s="24">
        <v>9500</v>
      </c>
      <c r="Q6" s="13">
        <f t="shared" si="5"/>
        <v>0</v>
      </c>
      <c r="R6" s="3" t="str">
        <f t="shared" si="6"/>
        <v>PAID</v>
      </c>
      <c r="S6" s="3"/>
      <c r="T6" s="3">
        <f t="shared" si="7"/>
        <v>9500</v>
      </c>
      <c r="U6" s="3" t="str">
        <f t="shared" si="8"/>
        <v>OK</v>
      </c>
      <c r="V6" s="21">
        <f t="shared" si="9"/>
        <v>0</v>
      </c>
      <c r="W6" s="3" t="str">
        <f t="shared" si="10"/>
        <v>OK</v>
      </c>
      <c r="X6" s="3" t="s">
        <v>422</v>
      </c>
      <c r="Y6" s="3" t="s">
        <v>29</v>
      </c>
    </row>
    <row r="7" spans="1:25" x14ac:dyDescent="0.2">
      <c r="A7" s="3" t="str">
        <f t="shared" si="0"/>
        <v>TRIP-HF-019</v>
      </c>
      <c r="B7" s="2">
        <v>45722</v>
      </c>
      <c r="C7" s="3" t="str">
        <f>_xlfn.XLOOKUP(D7,'[1]Jan Customer Duplicate Hyva'!$B:$B,'[1]Jan Customer Duplicate Hyva'!$A:$A,"NOT FOUND")</f>
        <v>CUST-117</v>
      </c>
      <c r="D7" s="11" t="s">
        <v>73</v>
      </c>
      <c r="E7" s="11" t="s">
        <v>30</v>
      </c>
      <c r="F7" s="5" t="str">
        <f t="shared" si="1"/>
        <v>Ravi</v>
      </c>
      <c r="G7" s="5" t="str">
        <f t="shared" si="2"/>
        <v/>
      </c>
      <c r="H7" s="5" t="str">
        <f t="shared" si="3"/>
        <v/>
      </c>
      <c r="I7" s="5" t="str">
        <f>_xlfn.XLOOKUP(F7,'[1]Jan Labour Nd Drivers Hyva'!$B:$B,'[2]Jan Labour Nd Drivers Hyva'!$A:$A,"NOT FOUND")</f>
        <v>LAB-003</v>
      </c>
      <c r="J7" s="5" t="str">
        <f>IF(G7="","",_xlfn.XLOOKUP(G7,'[3]Jan Labour Nd Drivers Hyva'!$B:$B,'[2]Jan Labour Nd Drivers Hyva'!$A:$A,"NOT FOUND"))</f>
        <v/>
      </c>
      <c r="K7" s="3"/>
      <c r="L7" s="11" t="s">
        <v>126</v>
      </c>
      <c r="M7" s="11">
        <v>1</v>
      </c>
      <c r="N7" s="24">
        <v>12000</v>
      </c>
      <c r="O7" s="13">
        <f t="shared" si="4"/>
        <v>12000</v>
      </c>
      <c r="P7" s="24">
        <v>12000</v>
      </c>
      <c r="Q7" s="13">
        <f t="shared" si="5"/>
        <v>0</v>
      </c>
      <c r="R7" s="3" t="str">
        <f t="shared" si="6"/>
        <v>PAID</v>
      </c>
      <c r="S7" s="3"/>
      <c r="T7" s="3">
        <f t="shared" si="7"/>
        <v>12000</v>
      </c>
      <c r="U7" s="3" t="str">
        <f t="shared" si="8"/>
        <v>OK</v>
      </c>
      <c r="V7" s="21">
        <f t="shared" si="9"/>
        <v>0</v>
      </c>
      <c r="W7" s="3" t="str">
        <f t="shared" si="10"/>
        <v>OK</v>
      </c>
      <c r="X7" s="3" t="s">
        <v>422</v>
      </c>
      <c r="Y7" s="3" t="s">
        <v>29</v>
      </c>
    </row>
    <row r="8" spans="1:25" x14ac:dyDescent="0.2">
      <c r="A8" s="3" t="str">
        <f t="shared" si="0"/>
        <v>TRIP-HF-020</v>
      </c>
      <c r="B8" s="2">
        <v>45723</v>
      </c>
      <c r="C8" s="3" t="str">
        <f>_xlfn.XLOOKUP(D8,'[1]Jan Customer Duplicate Hyva'!$B:$B,'[1]Jan Customer Duplicate Hyva'!$A:$A,"NOT FOUND")</f>
        <v>NOT FOUND</v>
      </c>
      <c r="D8" s="11" t="s">
        <v>426</v>
      </c>
      <c r="E8" s="11" t="s">
        <v>26</v>
      </c>
      <c r="F8" s="5" t="str">
        <f t="shared" si="1"/>
        <v>Anshu</v>
      </c>
      <c r="G8" s="5" t="str">
        <f t="shared" si="2"/>
        <v/>
      </c>
      <c r="H8" s="5" t="str">
        <f t="shared" si="3"/>
        <v/>
      </c>
      <c r="I8" s="5" t="str">
        <f>_xlfn.XLOOKUP(F8,'[1]Jan Labour Nd Drivers Hyva'!$B:$B,'[2]Jan Labour Nd Drivers Hyva'!$A:$A,"NOT FOUND")</f>
        <v>LAB-002</v>
      </c>
      <c r="J8" s="5" t="str">
        <f>IF(G8="","",_xlfn.XLOOKUP(G8,'[3]Jan Labour Nd Drivers Hyva'!$B:$B,'[2]Jan Labour Nd Drivers Hyva'!$A:$A,"NOT FOUND"))</f>
        <v/>
      </c>
      <c r="K8" s="3"/>
      <c r="L8" s="11" t="s">
        <v>61</v>
      </c>
      <c r="M8" s="11">
        <v>1</v>
      </c>
      <c r="N8" s="24">
        <v>10000</v>
      </c>
      <c r="O8" s="13">
        <f t="shared" si="4"/>
        <v>10000</v>
      </c>
      <c r="P8" s="24">
        <v>10000</v>
      </c>
      <c r="Q8" s="13">
        <f t="shared" si="5"/>
        <v>0</v>
      </c>
      <c r="R8" s="3" t="str">
        <f t="shared" si="6"/>
        <v>PAID</v>
      </c>
      <c r="S8" s="3"/>
      <c r="T8" s="3">
        <f t="shared" si="7"/>
        <v>10000</v>
      </c>
      <c r="U8" s="3" t="str">
        <f t="shared" si="8"/>
        <v>OK</v>
      </c>
      <c r="V8" s="21">
        <f t="shared" si="9"/>
        <v>0</v>
      </c>
      <c r="W8" s="3" t="str">
        <f t="shared" si="10"/>
        <v>OK</v>
      </c>
      <c r="X8" s="3" t="s">
        <v>422</v>
      </c>
      <c r="Y8" s="3" t="s">
        <v>29</v>
      </c>
    </row>
    <row r="9" spans="1:25" x14ac:dyDescent="0.2">
      <c r="A9" s="3" t="str">
        <f t="shared" si="0"/>
        <v>TRIP-HF-021</v>
      </c>
      <c r="B9" s="2">
        <v>45727</v>
      </c>
      <c r="C9" s="3" t="str">
        <f>_xlfn.XLOOKUP(D9,'[1]Jan Customer Duplicate Hyva'!$B:$B,'[1]Jan Customer Duplicate Hyva'!$A:$A,"NOT FOUND")</f>
        <v>NOT FOUND</v>
      </c>
      <c r="D9" s="11" t="s">
        <v>143</v>
      </c>
      <c r="E9" s="11" t="s">
        <v>26</v>
      </c>
      <c r="F9" s="5" t="str">
        <f t="shared" si="1"/>
        <v>Anshu</v>
      </c>
      <c r="G9" s="5" t="str">
        <f t="shared" si="2"/>
        <v/>
      </c>
      <c r="H9" s="5" t="str">
        <f t="shared" si="3"/>
        <v/>
      </c>
      <c r="I9" s="5" t="str">
        <f>_xlfn.XLOOKUP(F9,'[1]Jan Labour Nd Drivers Hyva'!$B:$B,'[2]Jan Labour Nd Drivers Hyva'!$A:$A,"NOT FOUND")</f>
        <v>LAB-002</v>
      </c>
      <c r="J9" s="5" t="str">
        <f>IF(G9="","",_xlfn.XLOOKUP(G9,'[3]Jan Labour Nd Drivers Hyva'!$B:$B,'[2]Jan Labour Nd Drivers Hyva'!$A:$A,"NOT FOUND"))</f>
        <v/>
      </c>
      <c r="K9" s="3"/>
      <c r="L9" s="11" t="s">
        <v>427</v>
      </c>
      <c r="M9" s="11">
        <v>1</v>
      </c>
      <c r="N9" s="24">
        <v>10000</v>
      </c>
      <c r="O9" s="13">
        <f t="shared" si="4"/>
        <v>10000</v>
      </c>
      <c r="P9" s="24">
        <v>10000</v>
      </c>
      <c r="Q9" s="13">
        <f t="shared" si="5"/>
        <v>0</v>
      </c>
      <c r="R9" s="3" t="str">
        <f t="shared" si="6"/>
        <v>PAID</v>
      </c>
      <c r="S9" s="3"/>
      <c r="T9" s="3">
        <f t="shared" si="7"/>
        <v>10000</v>
      </c>
      <c r="U9" s="3" t="str">
        <f t="shared" si="8"/>
        <v>OK</v>
      </c>
      <c r="V9" s="21">
        <f t="shared" si="9"/>
        <v>0</v>
      </c>
      <c r="W9" s="3" t="str">
        <f t="shared" si="10"/>
        <v>OK</v>
      </c>
      <c r="X9" s="3" t="s">
        <v>422</v>
      </c>
      <c r="Y9" s="3" t="s">
        <v>29</v>
      </c>
    </row>
    <row r="10" spans="1:25" x14ac:dyDescent="0.2">
      <c r="A10" s="3" t="str">
        <f t="shared" si="0"/>
        <v>TRIP-HF-022</v>
      </c>
      <c r="B10" s="2">
        <v>45727</v>
      </c>
      <c r="C10" s="3" t="str">
        <f>_xlfn.XLOOKUP(D10,'[1]Jan Customer Duplicate Hyva'!$B:$B,'[1]Jan Customer Duplicate Hyva'!$A:$A,"NOT FOUND")</f>
        <v>NOT FOUND</v>
      </c>
      <c r="D10" s="11" t="s">
        <v>322</v>
      </c>
      <c r="E10" s="11" t="s">
        <v>26</v>
      </c>
      <c r="F10" s="5" t="str">
        <f t="shared" si="1"/>
        <v>Anshu</v>
      </c>
      <c r="G10" s="5" t="str">
        <f t="shared" si="2"/>
        <v/>
      </c>
      <c r="H10" s="5" t="str">
        <f t="shared" si="3"/>
        <v/>
      </c>
      <c r="I10" s="5" t="str">
        <f>_xlfn.XLOOKUP(F10,'[1]Jan Labour Nd Drivers Hyva'!$B:$B,'[2]Jan Labour Nd Drivers Hyva'!$A:$A,"NOT FOUND")</f>
        <v>LAB-002</v>
      </c>
      <c r="J10" s="5" t="str">
        <f>IF(G10="","",_xlfn.XLOOKUP(G10,'[3]Jan Labour Nd Drivers Hyva'!$B:$B,'[2]Jan Labour Nd Drivers Hyva'!$A:$A,"NOT FOUND"))</f>
        <v/>
      </c>
      <c r="K10" s="3"/>
      <c r="L10" s="25" t="s">
        <v>428</v>
      </c>
      <c r="M10" s="11">
        <v>5</v>
      </c>
      <c r="N10" s="24">
        <v>0</v>
      </c>
      <c r="O10" s="13">
        <f t="shared" si="4"/>
        <v>0</v>
      </c>
      <c r="P10" s="24">
        <v>0</v>
      </c>
      <c r="Q10" s="13">
        <f t="shared" si="5"/>
        <v>0</v>
      </c>
      <c r="R10" s="3" t="str">
        <f t="shared" si="6"/>
        <v>PAID</v>
      </c>
      <c r="S10" s="3"/>
      <c r="T10" s="3">
        <f t="shared" si="7"/>
        <v>0</v>
      </c>
      <c r="U10" s="3" t="str">
        <f t="shared" si="8"/>
        <v>OK</v>
      </c>
      <c r="V10" s="21">
        <f t="shared" si="9"/>
        <v>0</v>
      </c>
      <c r="W10" s="3" t="str">
        <f t="shared" si="10"/>
        <v>OK</v>
      </c>
      <c r="X10" s="3" t="s">
        <v>422</v>
      </c>
      <c r="Y10" s="3" t="s">
        <v>29</v>
      </c>
    </row>
    <row r="11" spans="1:25" x14ac:dyDescent="0.2">
      <c r="A11" s="3" t="str">
        <f t="shared" si="0"/>
        <v>TRIP-HF-023</v>
      </c>
      <c r="B11" s="2">
        <v>45729</v>
      </c>
      <c r="C11" s="3" t="str">
        <f>_xlfn.XLOOKUP(D11,'[1]Jan Customer Duplicate Hyva'!$B:$B,'[1]Jan Customer Duplicate Hyva'!$A:$A,"NOT FOUND")</f>
        <v>NOT FOUND</v>
      </c>
      <c r="D11" s="11" t="s">
        <v>429</v>
      </c>
      <c r="E11" s="11" t="s">
        <v>26</v>
      </c>
      <c r="F11" s="5" t="str">
        <f t="shared" si="1"/>
        <v>Anshu</v>
      </c>
      <c r="G11" s="5" t="str">
        <f t="shared" si="2"/>
        <v/>
      </c>
      <c r="H11" s="5" t="str">
        <f t="shared" si="3"/>
        <v/>
      </c>
      <c r="I11" s="5" t="str">
        <f>_xlfn.XLOOKUP(F11,'[1]Jan Labour Nd Drivers Hyva'!$B:$B,'[2]Jan Labour Nd Drivers Hyva'!$A:$A,"NOT FOUND")</f>
        <v>LAB-002</v>
      </c>
      <c r="J11" s="5" t="str">
        <f>IF(G11="","",_xlfn.XLOOKUP(G11,'[3]Jan Labour Nd Drivers Hyva'!$B:$B,'[2]Jan Labour Nd Drivers Hyva'!$A:$A,"NOT FOUND"))</f>
        <v/>
      </c>
      <c r="K11" s="3"/>
      <c r="L11" s="11" t="s">
        <v>34</v>
      </c>
      <c r="M11" s="11">
        <v>1</v>
      </c>
      <c r="N11" s="24">
        <v>10000</v>
      </c>
      <c r="O11" s="13">
        <f t="shared" si="4"/>
        <v>10000</v>
      </c>
      <c r="P11" s="24">
        <v>10000</v>
      </c>
      <c r="Q11" s="13">
        <f t="shared" si="5"/>
        <v>0</v>
      </c>
      <c r="R11" s="3" t="str">
        <f t="shared" si="6"/>
        <v>PAID</v>
      </c>
      <c r="S11" s="3"/>
      <c r="T11" s="3">
        <f t="shared" si="7"/>
        <v>10000</v>
      </c>
      <c r="U11" s="3" t="str">
        <f t="shared" si="8"/>
        <v>OK</v>
      </c>
      <c r="V11" s="21">
        <f t="shared" si="9"/>
        <v>0</v>
      </c>
      <c r="W11" s="3" t="str">
        <f t="shared" si="10"/>
        <v>OK</v>
      </c>
      <c r="X11" s="3" t="s">
        <v>422</v>
      </c>
      <c r="Y11" s="3" t="s">
        <v>29</v>
      </c>
    </row>
    <row r="12" spans="1:25" x14ac:dyDescent="0.2">
      <c r="A12" s="3" t="str">
        <f t="shared" si="0"/>
        <v>TRIP-HF-024</v>
      </c>
      <c r="B12" s="2">
        <v>45741</v>
      </c>
      <c r="C12" s="3" t="str">
        <f>_xlfn.XLOOKUP(D12,'[1]Jan Customer Duplicate Hyva'!$B:$B,'[1]Jan Customer Duplicate Hyva'!$A:$A,"NOT FOUND")</f>
        <v>NOT FOUND</v>
      </c>
      <c r="D12" s="11" t="s">
        <v>430</v>
      </c>
      <c r="E12" s="11" t="s">
        <v>26</v>
      </c>
      <c r="F12" s="5" t="str">
        <f t="shared" si="1"/>
        <v>Anshu</v>
      </c>
      <c r="G12" s="5" t="str">
        <f t="shared" si="2"/>
        <v/>
      </c>
      <c r="H12" s="5" t="str">
        <f t="shared" si="3"/>
        <v/>
      </c>
      <c r="I12" s="5" t="str">
        <f>_xlfn.XLOOKUP(F12,'[1]Jan Labour Nd Drivers Hyva'!$B:$B,'[2]Jan Labour Nd Drivers Hyva'!$A:$A,"NOT FOUND")</f>
        <v>LAB-002</v>
      </c>
      <c r="J12" s="5" t="str">
        <f>IF(G12="","",_xlfn.XLOOKUP(G12,'[3]Jan Labour Nd Drivers Hyva'!$B:$B,'[2]Jan Labour Nd Drivers Hyva'!$A:$A,"NOT FOUND"))</f>
        <v/>
      </c>
      <c r="K12" s="3"/>
      <c r="L12" s="11" t="s">
        <v>150</v>
      </c>
      <c r="M12" s="11">
        <v>1</v>
      </c>
      <c r="N12" s="24">
        <v>10000</v>
      </c>
      <c r="O12" s="13">
        <f t="shared" si="4"/>
        <v>10000</v>
      </c>
      <c r="P12" s="24">
        <v>10000</v>
      </c>
      <c r="Q12" s="13">
        <f t="shared" si="5"/>
        <v>0</v>
      </c>
      <c r="R12" s="3" t="str">
        <f t="shared" si="6"/>
        <v>PAID</v>
      </c>
      <c r="S12" s="3"/>
      <c r="T12" s="3">
        <f t="shared" si="7"/>
        <v>10000</v>
      </c>
      <c r="U12" s="3" t="str">
        <f t="shared" si="8"/>
        <v>OK</v>
      </c>
      <c r="V12" s="21">
        <f t="shared" si="9"/>
        <v>0</v>
      </c>
      <c r="W12" s="3" t="str">
        <f t="shared" si="10"/>
        <v>OK</v>
      </c>
      <c r="X12" s="3" t="s">
        <v>422</v>
      </c>
      <c r="Y12" s="3" t="s">
        <v>29</v>
      </c>
    </row>
    <row r="13" spans="1:25" x14ac:dyDescent="0.2">
      <c r="A13" s="3" t="str">
        <f t="shared" si="0"/>
        <v>TRIP-HF-025</v>
      </c>
      <c r="B13" s="2">
        <v>45742</v>
      </c>
      <c r="C13" s="3" t="str">
        <f>_xlfn.XLOOKUP(D13,'[1]Jan Customer Duplicate Hyva'!$B:$B,'[1]Jan Customer Duplicate Hyva'!$A:$A,"NOT FOUND")</f>
        <v>CUST-323</v>
      </c>
      <c r="D13" s="11" t="s">
        <v>51</v>
      </c>
      <c r="E13" s="11" t="s">
        <v>111</v>
      </c>
      <c r="F13" s="5" t="str">
        <f t="shared" si="1"/>
        <v>Ravi</v>
      </c>
      <c r="G13" s="5" t="str">
        <f t="shared" si="2"/>
        <v>Anshu</v>
      </c>
      <c r="H13" s="5" t="str">
        <f t="shared" si="3"/>
        <v/>
      </c>
      <c r="I13" s="5" t="str">
        <f>_xlfn.XLOOKUP(F13,'[1]Jan Labour Nd Drivers Hyva'!$B:$B,'[2]Jan Labour Nd Drivers Hyva'!$A:$A,"NOT FOUND")</f>
        <v>LAB-003</v>
      </c>
      <c r="J13" s="5" t="str">
        <f>IF(G13="","",_xlfn.XLOOKUP(G13,'[3]Jan Labour Nd Drivers Hyva'!$B:$B,'[2]Jan Labour Nd Drivers Hyva'!$A:$A,"NOT FOUND"))</f>
        <v>LAB-002</v>
      </c>
      <c r="K13" s="3"/>
      <c r="L13" s="11" t="s">
        <v>41</v>
      </c>
      <c r="M13" s="11">
        <v>2</v>
      </c>
      <c r="N13" s="24">
        <v>12000</v>
      </c>
      <c r="O13" s="13">
        <f t="shared" si="4"/>
        <v>24000</v>
      </c>
      <c r="P13" s="24">
        <v>24000</v>
      </c>
      <c r="Q13" s="13">
        <f t="shared" si="5"/>
        <v>0</v>
      </c>
      <c r="R13" s="3" t="str">
        <f t="shared" si="6"/>
        <v>PAID</v>
      </c>
      <c r="S13" s="3"/>
      <c r="T13" s="3">
        <f t="shared" si="7"/>
        <v>24000</v>
      </c>
      <c r="U13" s="3" t="str">
        <f t="shared" si="8"/>
        <v>OK</v>
      </c>
      <c r="V13" s="21">
        <f t="shared" si="9"/>
        <v>0</v>
      </c>
      <c r="W13" s="3" t="str">
        <f t="shared" si="10"/>
        <v>OK</v>
      </c>
      <c r="X13" s="3" t="s">
        <v>422</v>
      </c>
      <c r="Y13" s="3" t="s">
        <v>29</v>
      </c>
    </row>
    <row r="14" spans="1:25" x14ac:dyDescent="0.2">
      <c r="A14" s="3" t="str">
        <f t="shared" si="0"/>
        <v>TRIP-HF-026</v>
      </c>
      <c r="B14" s="2">
        <v>45742</v>
      </c>
      <c r="C14" s="3" t="str">
        <f>_xlfn.XLOOKUP(D14,'[1]Jan Customer Duplicate Hyva'!$B:$B,'[1]Jan Customer Duplicate Hyva'!$A:$A,"NOT FOUND")</f>
        <v>CUST-323</v>
      </c>
      <c r="D14" s="11" t="s">
        <v>51</v>
      </c>
      <c r="E14" s="11" t="s">
        <v>26</v>
      </c>
      <c r="F14" s="5" t="str">
        <f t="shared" si="1"/>
        <v>Anshu</v>
      </c>
      <c r="G14" s="5" t="str">
        <f t="shared" si="2"/>
        <v/>
      </c>
      <c r="H14" s="5" t="str">
        <f t="shared" si="3"/>
        <v/>
      </c>
      <c r="I14" s="5" t="str">
        <f>_xlfn.XLOOKUP(F14,'[1]Jan Labour Nd Drivers Hyva'!$B:$B,'[2]Jan Labour Nd Drivers Hyva'!$A:$A,"NOT FOUND")</f>
        <v>LAB-002</v>
      </c>
      <c r="J14" s="5" t="str">
        <f>IF(G14="","",_xlfn.XLOOKUP(G14,'[3]Jan Labour Nd Drivers Hyva'!$B:$B,'[2]Jan Labour Nd Drivers Hyva'!$A:$A,"NOT FOUND"))</f>
        <v/>
      </c>
      <c r="K14" s="3"/>
      <c r="L14" s="11" t="s">
        <v>56</v>
      </c>
      <c r="M14" s="11">
        <v>1</v>
      </c>
      <c r="N14" s="24">
        <v>12000</v>
      </c>
      <c r="O14" s="13">
        <f t="shared" si="4"/>
        <v>12000</v>
      </c>
      <c r="P14" s="24">
        <v>12000</v>
      </c>
      <c r="Q14" s="13">
        <f t="shared" si="5"/>
        <v>0</v>
      </c>
      <c r="R14" s="3" t="str">
        <f t="shared" si="6"/>
        <v>PAID</v>
      </c>
      <c r="S14" s="3"/>
      <c r="T14" s="3">
        <f t="shared" si="7"/>
        <v>12000</v>
      </c>
      <c r="U14" s="3" t="str">
        <f t="shared" si="8"/>
        <v>OK</v>
      </c>
      <c r="V14" s="21">
        <f t="shared" si="9"/>
        <v>0</v>
      </c>
      <c r="W14" s="3" t="str">
        <f t="shared" si="10"/>
        <v>OK</v>
      </c>
      <c r="X14" s="3" t="s">
        <v>422</v>
      </c>
      <c r="Y14" s="3" t="s">
        <v>29</v>
      </c>
    </row>
    <row r="15" spans="1:25" x14ac:dyDescent="0.2">
      <c r="A15" s="3" t="str">
        <f t="shared" si="0"/>
        <v>TRIP-HF-027</v>
      </c>
      <c r="B15" s="2">
        <v>45742</v>
      </c>
      <c r="C15" s="3" t="str">
        <f>_xlfn.XLOOKUP(D15,'[1]Jan Customer Duplicate Hyva'!$B:$B,'[1]Jan Customer Duplicate Hyva'!$A:$A,"NOT FOUND")</f>
        <v>CUST-323</v>
      </c>
      <c r="D15" s="11" t="s">
        <v>51</v>
      </c>
      <c r="E15" s="11" t="s">
        <v>26</v>
      </c>
      <c r="F15" s="5" t="str">
        <f t="shared" si="1"/>
        <v>Anshu</v>
      </c>
      <c r="G15" s="5" t="str">
        <f t="shared" si="2"/>
        <v/>
      </c>
      <c r="H15" s="5" t="str">
        <f t="shared" si="3"/>
        <v/>
      </c>
      <c r="I15" s="5" t="str">
        <f>_xlfn.XLOOKUP(F15,'[1]Jan Labour Nd Drivers Hyva'!$B:$B,'[2]Jan Labour Nd Drivers Hyva'!$A:$A,"NOT FOUND")</f>
        <v>LAB-002</v>
      </c>
      <c r="J15" s="5" t="str">
        <f>IF(G15="","",_xlfn.XLOOKUP(G15,'[3]Jan Labour Nd Drivers Hyva'!$B:$B,'[2]Jan Labour Nd Drivers Hyva'!$A:$A,"NOT FOUND"))</f>
        <v/>
      </c>
      <c r="K15" s="3"/>
      <c r="L15" s="11" t="s">
        <v>89</v>
      </c>
      <c r="M15" s="11">
        <v>1</v>
      </c>
      <c r="N15" s="24">
        <v>12000</v>
      </c>
      <c r="O15" s="13">
        <f t="shared" si="4"/>
        <v>12000</v>
      </c>
      <c r="P15" s="24">
        <v>12000</v>
      </c>
      <c r="Q15" s="13">
        <f t="shared" si="5"/>
        <v>0</v>
      </c>
      <c r="R15" s="3" t="str">
        <f t="shared" si="6"/>
        <v>PAID</v>
      </c>
      <c r="S15" s="3"/>
      <c r="T15" s="3">
        <f t="shared" si="7"/>
        <v>12000</v>
      </c>
      <c r="U15" s="3" t="str">
        <f t="shared" si="8"/>
        <v>OK</v>
      </c>
      <c r="V15" s="21">
        <f t="shared" si="9"/>
        <v>0</v>
      </c>
      <c r="W15" s="3" t="str">
        <f t="shared" si="10"/>
        <v>OK</v>
      </c>
      <c r="X15" s="3" t="s">
        <v>422</v>
      </c>
      <c r="Y15" s="3" t="s">
        <v>29</v>
      </c>
    </row>
    <row r="16" spans="1:25" x14ac:dyDescent="0.2">
      <c r="A16" s="3" t="str">
        <f t="shared" si="0"/>
        <v>TRIP-HF-028</v>
      </c>
      <c r="B16" s="2">
        <v>45744</v>
      </c>
      <c r="C16" s="3" t="str">
        <f>_xlfn.XLOOKUP(D16,'[1]Jan Customer Duplicate Hyva'!$B:$B,'[1]Jan Customer Duplicate Hyva'!$A:$A,"NOT FOUND")</f>
        <v>CUST-323</v>
      </c>
      <c r="D16" s="11" t="s">
        <v>51</v>
      </c>
      <c r="E16" s="11" t="s">
        <v>30</v>
      </c>
      <c r="F16" s="5" t="str">
        <f t="shared" si="1"/>
        <v>Ravi</v>
      </c>
      <c r="G16" s="5" t="str">
        <f t="shared" si="2"/>
        <v/>
      </c>
      <c r="H16" s="5" t="str">
        <f t="shared" si="3"/>
        <v/>
      </c>
      <c r="I16" s="5" t="str">
        <f>_xlfn.XLOOKUP(F16,'[1]Jan Labour Nd Drivers Hyva'!$B:$B,'[2]Jan Labour Nd Drivers Hyva'!$A:$A,"NOT FOUND")</f>
        <v>LAB-003</v>
      </c>
      <c r="J16" s="5" t="str">
        <f>IF(G16="","",_xlfn.XLOOKUP(G16,'[3]Jan Labour Nd Drivers Hyva'!$B:$B,'[2]Jan Labour Nd Drivers Hyva'!$A:$A,"NOT FOUND"))</f>
        <v/>
      </c>
      <c r="K16" s="3"/>
      <c r="L16" s="11" t="s">
        <v>120</v>
      </c>
      <c r="M16" s="11">
        <v>1</v>
      </c>
      <c r="N16" s="24">
        <v>12000</v>
      </c>
      <c r="O16" s="13">
        <f t="shared" si="4"/>
        <v>12000</v>
      </c>
      <c r="P16" s="24">
        <v>12000</v>
      </c>
      <c r="Q16" s="13">
        <f t="shared" si="5"/>
        <v>0</v>
      </c>
      <c r="R16" s="3" t="str">
        <f t="shared" si="6"/>
        <v>PAID</v>
      </c>
      <c r="S16" s="3"/>
      <c r="T16" s="3">
        <f t="shared" si="7"/>
        <v>12000</v>
      </c>
      <c r="U16" s="3" t="str">
        <f t="shared" si="8"/>
        <v>OK</v>
      </c>
      <c r="V16" s="21">
        <f t="shared" si="9"/>
        <v>0</v>
      </c>
      <c r="W16" s="3" t="str">
        <f t="shared" si="10"/>
        <v>OK</v>
      </c>
      <c r="X16" s="3" t="s">
        <v>422</v>
      </c>
      <c r="Y16" s="3" t="s">
        <v>29</v>
      </c>
    </row>
    <row r="17" spans="1:25" x14ac:dyDescent="0.2">
      <c r="A17" s="3" t="str">
        <f t="shared" si="0"/>
        <v>TRIP-HF-029</v>
      </c>
      <c r="B17" s="23">
        <v>45748</v>
      </c>
      <c r="C17" s="3" t="str">
        <f>_xlfn.XLOOKUP(D17,'[1]Jan Customer Duplicate Hyva'!$B:$B,'[1]Jan Customer Duplicate Hyva'!$A:$A,"NOT FOUND")</f>
        <v>CUST-323</v>
      </c>
      <c r="D17" s="11" t="s">
        <v>51</v>
      </c>
      <c r="E17" s="11" t="s">
        <v>55</v>
      </c>
      <c r="F17" s="5" t="str">
        <f t="shared" si="1"/>
        <v>Gaju Bhau</v>
      </c>
      <c r="G17" s="5" t="str">
        <f t="shared" si="2"/>
        <v/>
      </c>
      <c r="H17" s="5" t="str">
        <f t="shared" si="3"/>
        <v/>
      </c>
      <c r="I17" s="5" t="str">
        <f>_xlfn.XLOOKUP(F17,'[1]Jan Labour Nd Drivers Hyva'!$B:$B,'[2]Jan Labour Nd Drivers Hyva'!$A:$A,"NOT FOUND")</f>
        <v>LAB-001</v>
      </c>
      <c r="J17" s="5" t="str">
        <f>IF(G17="","",_xlfn.XLOOKUP(G17,'[3]Jan Labour Nd Drivers Hyva'!$B:$B,'[2]Jan Labour Nd Drivers Hyva'!$A:$A,"NOT FOUND"))</f>
        <v/>
      </c>
      <c r="K17" s="3"/>
      <c r="L17" s="11" t="s">
        <v>41</v>
      </c>
      <c r="M17" s="11">
        <v>1</v>
      </c>
      <c r="N17" s="13">
        <v>12000</v>
      </c>
      <c r="O17" s="13">
        <f t="shared" si="4"/>
        <v>12000</v>
      </c>
      <c r="P17" s="13">
        <v>12000</v>
      </c>
      <c r="Q17" s="13">
        <f t="shared" si="5"/>
        <v>0</v>
      </c>
      <c r="R17" s="3" t="str">
        <f t="shared" si="6"/>
        <v>PAID</v>
      </c>
      <c r="S17" s="3"/>
      <c r="T17" s="3">
        <f t="shared" si="7"/>
        <v>12000</v>
      </c>
      <c r="U17" s="3" t="str">
        <f t="shared" si="8"/>
        <v>OK</v>
      </c>
      <c r="V17" s="21">
        <f t="shared" si="9"/>
        <v>0</v>
      </c>
      <c r="W17" s="3" t="str">
        <f t="shared" si="10"/>
        <v>OK</v>
      </c>
      <c r="X17" s="3" t="s">
        <v>422</v>
      </c>
      <c r="Y17" s="3" t="s">
        <v>29</v>
      </c>
    </row>
    <row r="18" spans="1:25" x14ac:dyDescent="0.2">
      <c r="A18" s="3" t="str">
        <f t="shared" si="0"/>
        <v>TRIP-HF-030</v>
      </c>
      <c r="B18" s="23">
        <v>45751</v>
      </c>
      <c r="C18" s="3" t="str">
        <f>_xlfn.XLOOKUP(D18,'[1]Jan Customer Duplicate Hyva'!$B:$B,'[1]Jan Customer Duplicate Hyva'!$A:$A,"NOT FOUND")</f>
        <v>CUST-323</v>
      </c>
      <c r="D18" s="11" t="s">
        <v>51</v>
      </c>
      <c r="E18" s="11" t="s">
        <v>30</v>
      </c>
      <c r="F18" s="5" t="str">
        <f t="shared" si="1"/>
        <v>Ravi</v>
      </c>
      <c r="G18" s="5" t="str">
        <f t="shared" si="2"/>
        <v/>
      </c>
      <c r="H18" s="5" t="str">
        <f t="shared" si="3"/>
        <v/>
      </c>
      <c r="I18" s="5" t="str">
        <f>_xlfn.XLOOKUP(F18,'[1]Jan Labour Nd Drivers Hyva'!$B:$B,'[2]Jan Labour Nd Drivers Hyva'!$A:$A,"NOT FOUND")</f>
        <v>LAB-003</v>
      </c>
      <c r="J18" s="5" t="str">
        <f>IF(G18="","",_xlfn.XLOOKUP(G18,'[3]Jan Labour Nd Drivers Hyva'!$B:$B,'[2]Jan Labour Nd Drivers Hyva'!$A:$A,"NOT FOUND"))</f>
        <v/>
      </c>
      <c r="K18" s="3"/>
      <c r="L18" s="11" t="s">
        <v>41</v>
      </c>
      <c r="M18" s="11">
        <v>1</v>
      </c>
      <c r="N18" s="24">
        <v>13000</v>
      </c>
      <c r="O18" s="13">
        <f t="shared" si="4"/>
        <v>13000</v>
      </c>
      <c r="P18" s="24">
        <v>13000</v>
      </c>
      <c r="Q18" s="13">
        <f t="shared" si="5"/>
        <v>0</v>
      </c>
      <c r="R18" s="3" t="str">
        <f t="shared" si="6"/>
        <v>PAID</v>
      </c>
      <c r="S18" s="3"/>
      <c r="T18" s="3">
        <f t="shared" si="7"/>
        <v>13000</v>
      </c>
      <c r="U18" s="3" t="str">
        <f t="shared" si="8"/>
        <v>OK</v>
      </c>
      <c r="V18" s="21">
        <f t="shared" si="9"/>
        <v>0</v>
      </c>
      <c r="W18" s="3" t="str">
        <f t="shared" si="10"/>
        <v>OK</v>
      </c>
      <c r="X18" s="3" t="s">
        <v>422</v>
      </c>
      <c r="Y18" s="3" t="s">
        <v>29</v>
      </c>
    </row>
    <row r="19" spans="1:25" x14ac:dyDescent="0.2">
      <c r="A19" s="3" t="str">
        <f t="shared" si="0"/>
        <v>TRIP-HF-031</v>
      </c>
      <c r="B19" s="23">
        <v>45751</v>
      </c>
      <c r="C19" s="3" t="str">
        <f>_xlfn.XLOOKUP(D19,'[1]Jan Customer Duplicate Hyva'!$B:$B,'[1]Jan Customer Duplicate Hyva'!$A:$A,"NOT FOUND")</f>
        <v>NOT FOUND</v>
      </c>
      <c r="D19" s="11" t="s">
        <v>218</v>
      </c>
      <c r="E19" s="11" t="s">
        <v>30</v>
      </c>
      <c r="F19" s="5" t="str">
        <f t="shared" si="1"/>
        <v>Ravi</v>
      </c>
      <c r="G19" s="5" t="str">
        <f t="shared" si="2"/>
        <v/>
      </c>
      <c r="H19" s="5" t="str">
        <f t="shared" si="3"/>
        <v/>
      </c>
      <c r="I19" s="5" t="str">
        <f>_xlfn.XLOOKUP(F19,'[1]Jan Labour Nd Drivers Hyva'!$B:$B,'[2]Jan Labour Nd Drivers Hyva'!$A:$A,"NOT FOUND")</f>
        <v>LAB-003</v>
      </c>
      <c r="J19" s="5" t="str">
        <f>IF(G19="","",_xlfn.XLOOKUP(G19,'[3]Jan Labour Nd Drivers Hyva'!$B:$B,'[2]Jan Labour Nd Drivers Hyva'!$A:$A,"NOT FOUND"))</f>
        <v/>
      </c>
      <c r="K19" s="3"/>
      <c r="L19" s="11" t="s">
        <v>41</v>
      </c>
      <c r="M19" s="11">
        <v>1</v>
      </c>
      <c r="N19" s="24">
        <v>12000</v>
      </c>
      <c r="O19" s="13">
        <f t="shared" si="4"/>
        <v>12000</v>
      </c>
      <c r="P19" s="24">
        <v>12000</v>
      </c>
      <c r="Q19" s="13">
        <f t="shared" si="5"/>
        <v>0</v>
      </c>
      <c r="R19" s="3" t="str">
        <f t="shared" si="6"/>
        <v>PAID</v>
      </c>
      <c r="S19" s="3"/>
      <c r="T19" s="3">
        <f t="shared" si="7"/>
        <v>12000</v>
      </c>
      <c r="U19" s="3" t="str">
        <f t="shared" si="8"/>
        <v>OK</v>
      </c>
      <c r="V19" s="21">
        <f t="shared" si="9"/>
        <v>0</v>
      </c>
      <c r="W19" s="3" t="str">
        <f t="shared" si="10"/>
        <v>OK</v>
      </c>
      <c r="X19" s="3" t="s">
        <v>422</v>
      </c>
      <c r="Y19" s="3" t="s">
        <v>29</v>
      </c>
    </row>
    <row r="20" spans="1:25" x14ac:dyDescent="0.2">
      <c r="A20" s="3" t="str">
        <f t="shared" si="0"/>
        <v>TRIP-HF-032</v>
      </c>
      <c r="B20" s="23">
        <v>45751</v>
      </c>
      <c r="C20" s="3" t="str">
        <f>_xlfn.XLOOKUP(D20,'[1]Jan Customer Duplicate Hyva'!$B:$B,'[1]Jan Customer Duplicate Hyva'!$A:$A,"NOT FOUND")</f>
        <v>NOT FOUND</v>
      </c>
      <c r="D20" s="11" t="s">
        <v>431</v>
      </c>
      <c r="E20" s="11" t="s">
        <v>30</v>
      </c>
      <c r="F20" s="5" t="str">
        <f t="shared" si="1"/>
        <v>Ravi</v>
      </c>
      <c r="G20" s="5" t="str">
        <f t="shared" si="2"/>
        <v/>
      </c>
      <c r="H20" s="5" t="str">
        <f t="shared" si="3"/>
        <v/>
      </c>
      <c r="I20" s="5" t="str">
        <f>_xlfn.XLOOKUP(F20,'[1]Jan Labour Nd Drivers Hyva'!$B:$B,'[2]Jan Labour Nd Drivers Hyva'!$A:$A,"NOT FOUND")</f>
        <v>LAB-003</v>
      </c>
      <c r="J20" s="5" t="str">
        <f>IF(G20="","",_xlfn.XLOOKUP(G20,'[3]Jan Labour Nd Drivers Hyva'!$B:$B,'[2]Jan Labour Nd Drivers Hyva'!$A:$A,"NOT FOUND"))</f>
        <v/>
      </c>
      <c r="K20" s="3"/>
      <c r="L20" s="11" t="s">
        <v>120</v>
      </c>
      <c r="M20" s="11">
        <v>1</v>
      </c>
      <c r="N20" s="24">
        <v>10000</v>
      </c>
      <c r="O20" s="13">
        <f t="shared" si="4"/>
        <v>10000</v>
      </c>
      <c r="P20" s="24">
        <v>10000</v>
      </c>
      <c r="Q20" s="13">
        <f t="shared" si="5"/>
        <v>0</v>
      </c>
      <c r="R20" s="3" t="str">
        <f t="shared" si="6"/>
        <v>PAID</v>
      </c>
      <c r="S20" s="3"/>
      <c r="T20" s="3">
        <f t="shared" si="7"/>
        <v>10000</v>
      </c>
      <c r="U20" s="3" t="str">
        <f t="shared" si="8"/>
        <v>OK</v>
      </c>
      <c r="V20" s="21">
        <f t="shared" si="9"/>
        <v>0</v>
      </c>
      <c r="W20" s="3" t="str">
        <f t="shared" si="10"/>
        <v>OK</v>
      </c>
      <c r="X20" s="3" t="s">
        <v>422</v>
      </c>
      <c r="Y20" s="3" t="s">
        <v>29</v>
      </c>
    </row>
    <row r="21" spans="1:25" x14ac:dyDescent="0.2">
      <c r="A21" s="3" t="str">
        <f t="shared" si="0"/>
        <v>TRIP-HF-033</v>
      </c>
      <c r="B21" s="23">
        <v>45766</v>
      </c>
      <c r="C21" s="3" t="str">
        <f>_xlfn.XLOOKUP(D21,'[1]Jan Customer Duplicate Hyva'!$B:$B,'[1]Jan Customer Duplicate Hyva'!$A:$A,"NOT FOUND")</f>
        <v>CUST-323</v>
      </c>
      <c r="D21" s="11" t="s">
        <v>51</v>
      </c>
      <c r="E21" s="11" t="s">
        <v>30</v>
      </c>
      <c r="F21" s="5" t="str">
        <f t="shared" si="1"/>
        <v>Ravi</v>
      </c>
      <c r="G21" s="5" t="str">
        <f t="shared" si="2"/>
        <v/>
      </c>
      <c r="H21" s="5" t="str">
        <f t="shared" si="3"/>
        <v/>
      </c>
      <c r="I21" s="5" t="str">
        <f>_xlfn.XLOOKUP(F21,'[1]Jan Labour Nd Drivers Hyva'!$B:$B,'[2]Jan Labour Nd Drivers Hyva'!$A:$A,"NOT FOUND")</f>
        <v>LAB-003</v>
      </c>
      <c r="J21" s="5" t="str">
        <f>IF(G21="","",_xlfn.XLOOKUP(G21,'[3]Jan Labour Nd Drivers Hyva'!$B:$B,'[2]Jan Labour Nd Drivers Hyva'!$A:$A,"NOT FOUND"))</f>
        <v/>
      </c>
      <c r="K21" s="3"/>
      <c r="L21" s="11" t="s">
        <v>89</v>
      </c>
      <c r="M21" s="11">
        <v>3</v>
      </c>
      <c r="N21" s="24">
        <v>10000</v>
      </c>
      <c r="O21" s="13">
        <f t="shared" si="4"/>
        <v>30000</v>
      </c>
      <c r="P21" s="24">
        <v>20000</v>
      </c>
      <c r="Q21" s="13">
        <f t="shared" si="5"/>
        <v>10000</v>
      </c>
      <c r="R21" s="3" t="str">
        <f t="shared" si="6"/>
        <v>PARTIAL</v>
      </c>
      <c r="S21" s="3"/>
      <c r="T21" s="3">
        <f t="shared" si="7"/>
        <v>30000</v>
      </c>
      <c r="U21" s="3" t="str">
        <f t="shared" si="8"/>
        <v>OK</v>
      </c>
      <c r="V21" s="21">
        <f t="shared" si="9"/>
        <v>10000</v>
      </c>
      <c r="W21" s="3" t="str">
        <f t="shared" si="10"/>
        <v>OK</v>
      </c>
      <c r="X21" s="3" t="s">
        <v>422</v>
      </c>
      <c r="Y21" s="3" t="s">
        <v>29</v>
      </c>
    </row>
    <row r="22" spans="1:25" x14ac:dyDescent="0.2">
      <c r="A22" s="3" t="str">
        <f t="shared" si="0"/>
        <v>TRIP-HF-034</v>
      </c>
      <c r="B22" s="23">
        <v>45767</v>
      </c>
      <c r="C22" s="3" t="str">
        <f>_xlfn.XLOOKUP(D22,'[1]Jan Customer Duplicate Hyva'!$B:$B,'[1]Jan Customer Duplicate Hyva'!$A:$A,"NOT FOUND")</f>
        <v>CUST-323</v>
      </c>
      <c r="D22" s="11" t="s">
        <v>51</v>
      </c>
      <c r="E22" s="11" t="s">
        <v>30</v>
      </c>
      <c r="F22" s="5" t="str">
        <f t="shared" si="1"/>
        <v>Ravi</v>
      </c>
      <c r="G22" s="5" t="str">
        <f t="shared" si="2"/>
        <v/>
      </c>
      <c r="H22" s="5" t="str">
        <f t="shared" si="3"/>
        <v/>
      </c>
      <c r="I22" s="5" t="str">
        <f>_xlfn.XLOOKUP(F22,'[1]Jan Labour Nd Drivers Hyva'!$B:$B,'[2]Jan Labour Nd Drivers Hyva'!$A:$A,"NOT FOUND")</f>
        <v>LAB-003</v>
      </c>
      <c r="J22" s="5" t="str">
        <f>IF(G22="","",_xlfn.XLOOKUP(G22,'[3]Jan Labour Nd Drivers Hyva'!$B:$B,'[2]Jan Labour Nd Drivers Hyva'!$A:$A,"NOT FOUND"))</f>
        <v/>
      </c>
      <c r="K22" s="3"/>
      <c r="L22" s="11" t="s">
        <v>186</v>
      </c>
      <c r="M22" s="11">
        <v>1</v>
      </c>
      <c r="N22" s="24">
        <v>11000</v>
      </c>
      <c r="O22" s="13">
        <f t="shared" si="4"/>
        <v>11000</v>
      </c>
      <c r="P22" s="24">
        <v>11000</v>
      </c>
      <c r="Q22" s="13">
        <f t="shared" si="5"/>
        <v>0</v>
      </c>
      <c r="R22" s="3" t="str">
        <f t="shared" si="6"/>
        <v>PAID</v>
      </c>
      <c r="S22" s="3"/>
      <c r="T22" s="3">
        <f t="shared" si="7"/>
        <v>11000</v>
      </c>
      <c r="U22" s="3" t="str">
        <f t="shared" si="8"/>
        <v>OK</v>
      </c>
      <c r="V22" s="21">
        <f t="shared" si="9"/>
        <v>0</v>
      </c>
      <c r="W22" s="3" t="str">
        <f t="shared" si="10"/>
        <v>OK</v>
      </c>
      <c r="X22" s="3" t="s">
        <v>422</v>
      </c>
      <c r="Y22" s="3" t="s">
        <v>29</v>
      </c>
    </row>
    <row r="23" spans="1:25" x14ac:dyDescent="0.2">
      <c r="A23" s="3" t="str">
        <f t="shared" si="0"/>
        <v>TRIP-HF-035</v>
      </c>
      <c r="B23" s="23">
        <v>45767</v>
      </c>
      <c r="C23" s="3" t="str">
        <f>_xlfn.XLOOKUP(D23,'[1]Jan Customer Duplicate Hyva'!$B:$B,'[1]Jan Customer Duplicate Hyva'!$A:$A,"NOT FOUND")</f>
        <v>CUST-323</v>
      </c>
      <c r="D23" s="11" t="s">
        <v>51</v>
      </c>
      <c r="E23" s="11" t="s">
        <v>30</v>
      </c>
      <c r="F23" s="5" t="str">
        <f t="shared" si="1"/>
        <v>Ravi</v>
      </c>
      <c r="G23" s="5" t="str">
        <f t="shared" si="2"/>
        <v/>
      </c>
      <c r="H23" s="5" t="str">
        <f t="shared" si="3"/>
        <v/>
      </c>
      <c r="I23" s="5" t="str">
        <f>_xlfn.XLOOKUP(F23,'[1]Jan Labour Nd Drivers Hyva'!$B:$B,'[2]Jan Labour Nd Drivers Hyva'!$A:$A,"NOT FOUND")</f>
        <v>LAB-003</v>
      </c>
      <c r="J23" s="5" t="str">
        <f>IF(G23="","",_xlfn.XLOOKUP(G23,'[3]Jan Labour Nd Drivers Hyva'!$B:$B,'[2]Jan Labour Nd Drivers Hyva'!$A:$A,"NOT FOUND"))</f>
        <v/>
      </c>
      <c r="K23" s="3"/>
      <c r="L23" s="11" t="s">
        <v>89</v>
      </c>
      <c r="M23" s="11">
        <v>1</v>
      </c>
      <c r="N23" s="24">
        <v>10000</v>
      </c>
      <c r="O23" s="13">
        <f t="shared" si="4"/>
        <v>10000</v>
      </c>
      <c r="P23" s="24">
        <v>10000</v>
      </c>
      <c r="Q23" s="13">
        <f t="shared" si="5"/>
        <v>0</v>
      </c>
      <c r="R23" s="3" t="str">
        <f t="shared" si="6"/>
        <v>PAID</v>
      </c>
      <c r="S23" s="3"/>
      <c r="T23" s="3">
        <f t="shared" si="7"/>
        <v>10000</v>
      </c>
      <c r="U23" s="3" t="str">
        <f t="shared" si="8"/>
        <v>OK</v>
      </c>
      <c r="V23" s="21">
        <f t="shared" si="9"/>
        <v>0</v>
      </c>
      <c r="W23" s="3" t="str">
        <f t="shared" si="10"/>
        <v>OK</v>
      </c>
      <c r="X23" s="3" t="s">
        <v>422</v>
      </c>
      <c r="Y23" s="3" t="s">
        <v>29</v>
      </c>
    </row>
    <row r="24" spans="1:25" x14ac:dyDescent="0.2">
      <c r="A24" s="3" t="str">
        <f t="shared" si="0"/>
        <v>TRIP-HF-036</v>
      </c>
      <c r="B24" s="23">
        <v>45770</v>
      </c>
      <c r="C24" s="3" t="str">
        <f>_xlfn.XLOOKUP(D24,'[1]Jan Customer Duplicate Hyva'!$B:$B,'[1]Jan Customer Duplicate Hyva'!$A:$A,"NOT FOUND")</f>
        <v>NOT FOUND</v>
      </c>
      <c r="D24" s="11" t="s">
        <v>432</v>
      </c>
      <c r="E24" s="11" t="s">
        <v>30</v>
      </c>
      <c r="F24" s="5" t="str">
        <f t="shared" si="1"/>
        <v>Ravi</v>
      </c>
      <c r="G24" s="5" t="str">
        <f t="shared" si="2"/>
        <v/>
      </c>
      <c r="H24" s="5" t="str">
        <f t="shared" si="3"/>
        <v/>
      </c>
      <c r="I24" s="5" t="str">
        <f>_xlfn.XLOOKUP(F24,'[1]Jan Labour Nd Drivers Hyva'!$B:$B,'[2]Jan Labour Nd Drivers Hyva'!$A:$A,"NOT FOUND")</f>
        <v>LAB-003</v>
      </c>
      <c r="J24" s="5" t="str">
        <f>IF(G24="","",_xlfn.XLOOKUP(G24,'[3]Jan Labour Nd Drivers Hyva'!$B:$B,'[2]Jan Labour Nd Drivers Hyva'!$A:$A,"NOT FOUND"))</f>
        <v/>
      </c>
      <c r="K24" s="3"/>
      <c r="L24" s="11" t="s">
        <v>433</v>
      </c>
      <c r="M24" s="11">
        <v>1</v>
      </c>
      <c r="N24" s="24">
        <v>10000</v>
      </c>
      <c r="O24" s="13">
        <f t="shared" si="4"/>
        <v>10000</v>
      </c>
      <c r="P24" s="24">
        <v>10000</v>
      </c>
      <c r="Q24" s="13">
        <f t="shared" si="5"/>
        <v>0</v>
      </c>
      <c r="R24" s="3" t="str">
        <f t="shared" si="6"/>
        <v>PAID</v>
      </c>
      <c r="S24" s="3"/>
      <c r="T24" s="3">
        <f t="shared" si="7"/>
        <v>10000</v>
      </c>
      <c r="U24" s="3" t="str">
        <f t="shared" si="8"/>
        <v>OK</v>
      </c>
      <c r="V24" s="21">
        <f t="shared" si="9"/>
        <v>0</v>
      </c>
      <c r="W24" s="3" t="str">
        <f t="shared" si="10"/>
        <v>OK</v>
      </c>
      <c r="X24" s="3" t="s">
        <v>422</v>
      </c>
      <c r="Y24" s="3" t="s">
        <v>29</v>
      </c>
    </row>
    <row r="25" spans="1:25" x14ac:dyDescent="0.2">
      <c r="A25" s="3" t="str">
        <f t="shared" si="0"/>
        <v>TRIP-HF-037</v>
      </c>
      <c r="B25" s="23">
        <v>45770</v>
      </c>
      <c r="C25" s="3" t="str">
        <f>_xlfn.XLOOKUP(D25,'[1]Jan Customer Duplicate Hyva'!$B:$B,'[1]Jan Customer Duplicate Hyva'!$A:$A,"NOT FOUND")</f>
        <v>NOT FOUND</v>
      </c>
      <c r="D25" s="11" t="s">
        <v>434</v>
      </c>
      <c r="E25" s="11" t="s">
        <v>30</v>
      </c>
      <c r="F25" s="5" t="str">
        <f t="shared" si="1"/>
        <v>Ravi</v>
      </c>
      <c r="G25" s="5" t="str">
        <f t="shared" si="2"/>
        <v/>
      </c>
      <c r="H25" s="5" t="str">
        <f t="shared" si="3"/>
        <v/>
      </c>
      <c r="I25" s="5" t="str">
        <f>_xlfn.XLOOKUP(F25,'[1]Jan Labour Nd Drivers Hyva'!$B:$B,'[2]Jan Labour Nd Drivers Hyva'!$A:$A,"NOT FOUND")</f>
        <v>LAB-003</v>
      </c>
      <c r="J25" s="5" t="str">
        <f>IF(G25="","",_xlfn.XLOOKUP(G25,'[3]Jan Labour Nd Drivers Hyva'!$B:$B,'[2]Jan Labour Nd Drivers Hyva'!$A:$A,"NOT FOUND"))</f>
        <v/>
      </c>
      <c r="K25" s="3"/>
      <c r="L25" s="11" t="s">
        <v>435</v>
      </c>
      <c r="M25" s="11">
        <v>1</v>
      </c>
      <c r="N25" s="24">
        <v>0</v>
      </c>
      <c r="O25" s="13">
        <f t="shared" si="4"/>
        <v>0</v>
      </c>
      <c r="P25" s="24"/>
      <c r="Q25" s="13">
        <f>O25-P25</f>
        <v>0</v>
      </c>
      <c r="R25" s="3" t="str">
        <f t="shared" si="6"/>
        <v>PAID</v>
      </c>
      <c r="S25" s="3"/>
      <c r="T25" s="3">
        <f t="shared" si="7"/>
        <v>0</v>
      </c>
      <c r="U25" s="3" t="str">
        <f t="shared" si="8"/>
        <v>OK</v>
      </c>
      <c r="V25" s="21">
        <f t="shared" si="9"/>
        <v>0</v>
      </c>
      <c r="W25" s="3" t="str">
        <f t="shared" si="10"/>
        <v>OK</v>
      </c>
      <c r="X25" s="3" t="s">
        <v>422</v>
      </c>
      <c r="Y25" s="3" t="s">
        <v>29</v>
      </c>
    </row>
    <row r="26" spans="1:25" x14ac:dyDescent="0.2">
      <c r="A26" s="3" t="str">
        <f t="shared" si="0"/>
        <v>TRIP-HF-038</v>
      </c>
      <c r="B26" s="23">
        <v>45775</v>
      </c>
      <c r="C26" s="3" t="str">
        <f>_xlfn.XLOOKUP(D26,'[1]Jan Customer Duplicate Hyva'!$B:$B,'[1]Jan Customer Duplicate Hyva'!$A:$A,"NOT FOUND")</f>
        <v>CUST-323</v>
      </c>
      <c r="D26" s="11" t="s">
        <v>51</v>
      </c>
      <c r="E26" s="11" t="s">
        <v>30</v>
      </c>
      <c r="F26" s="5" t="str">
        <f t="shared" si="1"/>
        <v>Ravi</v>
      </c>
      <c r="G26" s="5" t="str">
        <f t="shared" si="2"/>
        <v/>
      </c>
      <c r="H26" s="5" t="str">
        <f t="shared" si="3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/>
      </c>
      <c r="K26" s="3"/>
      <c r="L26" s="11" t="s">
        <v>89</v>
      </c>
      <c r="M26" s="11">
        <v>1</v>
      </c>
      <c r="N26" s="24">
        <v>10000</v>
      </c>
      <c r="O26" s="13">
        <f t="shared" si="4"/>
        <v>10000</v>
      </c>
      <c r="P26" s="24">
        <v>10000</v>
      </c>
      <c r="Q26" s="13">
        <f t="shared" ref="Q26:Q89" si="11">O26-P26</f>
        <v>0</v>
      </c>
      <c r="R26" s="3" t="str">
        <f t="shared" si="6"/>
        <v>PAID</v>
      </c>
      <c r="S26" s="3"/>
      <c r="T26" s="3">
        <f t="shared" si="7"/>
        <v>10000</v>
      </c>
      <c r="U26" s="3" t="str">
        <f t="shared" si="8"/>
        <v>OK</v>
      </c>
      <c r="V26" s="21">
        <f t="shared" si="9"/>
        <v>0</v>
      </c>
      <c r="W26" s="3" t="str">
        <f t="shared" si="10"/>
        <v>OK</v>
      </c>
      <c r="X26" s="3" t="s">
        <v>422</v>
      </c>
      <c r="Y26" s="3" t="s">
        <v>29</v>
      </c>
    </row>
    <row r="27" spans="1:25" x14ac:dyDescent="0.2">
      <c r="A27" s="3" t="str">
        <f t="shared" si="0"/>
        <v>TRIP-HF-039</v>
      </c>
      <c r="B27" s="23">
        <v>45780</v>
      </c>
      <c r="C27" s="3" t="str">
        <f>_xlfn.XLOOKUP(D27,'[1]Jan Customer Duplicate Hyva'!$B:$B,'[1]Jan Customer Duplicate Hyva'!$A:$A,"NOT FOUND")</f>
        <v>CUST-323</v>
      </c>
      <c r="D27" s="11" t="s">
        <v>51</v>
      </c>
      <c r="E27" s="11" t="s">
        <v>55</v>
      </c>
      <c r="F27" s="5" t="str">
        <f t="shared" si="1"/>
        <v>Gaju Bhau</v>
      </c>
      <c r="G27" s="5" t="str">
        <f t="shared" si="2"/>
        <v/>
      </c>
      <c r="H27" s="5" t="str">
        <f t="shared" si="3"/>
        <v/>
      </c>
      <c r="I27" s="5" t="str">
        <f>_xlfn.XLOOKUP(F27,'[1]Jan Labour Nd Drivers Hyva'!$B:$B,'[2]Jan Labour Nd Drivers Hyva'!$A:$A,"NOT FOUND")</f>
        <v>LAB-001</v>
      </c>
      <c r="J27" s="5" t="str">
        <f>IF(G27="","",_xlfn.XLOOKUP(G27,'[3]Jan Labour Nd Drivers Hyva'!$B:$B,'[2]Jan Labour Nd Drivers Hyva'!$A:$A,"NOT FOUND"))</f>
        <v/>
      </c>
      <c r="K27" s="3"/>
      <c r="L27" s="11" t="s">
        <v>89</v>
      </c>
      <c r="M27" s="11">
        <v>1</v>
      </c>
      <c r="N27" s="13">
        <v>10000</v>
      </c>
      <c r="O27" s="13">
        <f t="shared" si="4"/>
        <v>10000</v>
      </c>
      <c r="P27" s="13">
        <v>10000</v>
      </c>
      <c r="Q27" s="13">
        <f t="shared" si="11"/>
        <v>0</v>
      </c>
      <c r="R27" s="3" t="str">
        <f t="shared" si="6"/>
        <v>PAID</v>
      </c>
      <c r="S27" s="3"/>
      <c r="T27" s="3">
        <f t="shared" si="7"/>
        <v>10000</v>
      </c>
      <c r="U27" s="3" t="str">
        <f t="shared" si="8"/>
        <v>OK</v>
      </c>
      <c r="V27" s="21">
        <f t="shared" si="9"/>
        <v>0</v>
      </c>
      <c r="W27" s="3" t="str">
        <f t="shared" si="10"/>
        <v>OK</v>
      </c>
      <c r="X27" s="3" t="s">
        <v>422</v>
      </c>
      <c r="Y27" s="3" t="s">
        <v>29</v>
      </c>
    </row>
    <row r="28" spans="1:25" x14ac:dyDescent="0.2">
      <c r="A28" s="3" t="str">
        <f t="shared" si="0"/>
        <v>TRIP-HF-040</v>
      </c>
      <c r="B28" s="23">
        <v>45786</v>
      </c>
      <c r="C28" s="3" t="str">
        <f>_xlfn.XLOOKUP(D28,'[1]Jan Customer Duplicate Hyva'!$B:$B,'[1]Jan Customer Duplicate Hyva'!$A:$A,"NOT FOUND")</f>
        <v>NOT FOUND</v>
      </c>
      <c r="D28" s="11" t="s">
        <v>429</v>
      </c>
      <c r="E28" s="11" t="s">
        <v>30</v>
      </c>
      <c r="F28" s="5" t="str">
        <f t="shared" si="1"/>
        <v>Ravi</v>
      </c>
      <c r="G28" s="5" t="str">
        <f t="shared" si="2"/>
        <v/>
      </c>
      <c r="H28" s="5" t="str">
        <f t="shared" si="3"/>
        <v/>
      </c>
      <c r="I28" s="5" t="str">
        <f>_xlfn.XLOOKUP(F28,'[1]Jan Labour Nd Drivers Hyva'!$B:$B,'[2]Jan Labour Nd Drivers Hyva'!$A:$A,"NOT FOUND")</f>
        <v>LAB-003</v>
      </c>
      <c r="J28" s="5" t="str">
        <f>IF(G28="","",_xlfn.XLOOKUP(G28,'[3]Jan Labour Nd Drivers Hyva'!$B:$B,'[2]Jan Labour Nd Drivers Hyva'!$A:$A,"NOT FOUND"))</f>
        <v/>
      </c>
      <c r="K28" s="3"/>
      <c r="L28" s="11" t="s">
        <v>34</v>
      </c>
      <c r="M28" s="11">
        <v>1</v>
      </c>
      <c r="N28" s="24">
        <v>10000</v>
      </c>
      <c r="O28" s="13">
        <f t="shared" si="4"/>
        <v>10000</v>
      </c>
      <c r="P28" s="24">
        <v>10000</v>
      </c>
      <c r="Q28" s="13">
        <f t="shared" si="11"/>
        <v>0</v>
      </c>
      <c r="R28" s="3" t="str">
        <f t="shared" si="6"/>
        <v>PAID</v>
      </c>
      <c r="S28" s="3"/>
      <c r="T28" s="3">
        <f t="shared" si="7"/>
        <v>10000</v>
      </c>
      <c r="U28" s="3" t="str">
        <f t="shared" si="8"/>
        <v>OK</v>
      </c>
      <c r="V28" s="21">
        <f t="shared" si="9"/>
        <v>0</v>
      </c>
      <c r="W28" s="3" t="str">
        <f t="shared" si="10"/>
        <v>OK</v>
      </c>
      <c r="X28" s="3" t="s">
        <v>422</v>
      </c>
      <c r="Y28" s="3" t="s">
        <v>29</v>
      </c>
    </row>
    <row r="29" spans="1:25" x14ac:dyDescent="0.2">
      <c r="A29" s="3" t="str">
        <f t="shared" si="0"/>
        <v>TRIP-HF-041</v>
      </c>
      <c r="B29" s="23">
        <v>45787</v>
      </c>
      <c r="C29" s="3" t="str">
        <f>_xlfn.XLOOKUP(D29,'[1]Jan Customer Duplicate Hyva'!$B:$B,'[1]Jan Customer Duplicate Hyva'!$A:$A,"NOT FOUND")</f>
        <v>CUST-323</v>
      </c>
      <c r="D29" s="11" t="s">
        <v>51</v>
      </c>
      <c r="E29" s="11" t="s">
        <v>26</v>
      </c>
      <c r="F29" s="5" t="str">
        <f t="shared" si="1"/>
        <v>Anshu</v>
      </c>
      <c r="G29" s="5" t="str">
        <f t="shared" si="2"/>
        <v/>
      </c>
      <c r="H29" s="5" t="str">
        <f t="shared" si="3"/>
        <v/>
      </c>
      <c r="I29" s="5" t="str">
        <f>_xlfn.XLOOKUP(F29,'[1]Jan Labour Nd Drivers Hyva'!$B:$B,'[2]Jan Labour Nd Drivers Hyva'!$A:$A,"NOT FOUND")</f>
        <v>LAB-002</v>
      </c>
      <c r="J29" s="5" t="str">
        <f>IF(G29="","",_xlfn.XLOOKUP(G29,'[3]Jan Labour Nd Drivers Hyva'!$B:$B,'[2]Jan Labour Nd Drivers Hyva'!$A:$A,"NOT FOUND"))</f>
        <v/>
      </c>
      <c r="K29" s="3"/>
      <c r="L29" s="11" t="s">
        <v>89</v>
      </c>
      <c r="M29" s="11">
        <v>1</v>
      </c>
      <c r="N29" s="24">
        <v>11000</v>
      </c>
      <c r="O29" s="13">
        <f t="shared" si="4"/>
        <v>11000</v>
      </c>
      <c r="P29" s="24">
        <v>11000</v>
      </c>
      <c r="Q29" s="13">
        <f t="shared" si="11"/>
        <v>0</v>
      </c>
      <c r="R29" s="3" t="str">
        <f t="shared" si="6"/>
        <v>PAID</v>
      </c>
      <c r="S29" s="3"/>
      <c r="T29" s="3">
        <f t="shared" si="7"/>
        <v>11000</v>
      </c>
      <c r="U29" s="3" t="str">
        <f t="shared" si="8"/>
        <v>OK</v>
      </c>
      <c r="V29" s="21">
        <f t="shared" si="9"/>
        <v>0</v>
      </c>
      <c r="W29" s="3" t="str">
        <f t="shared" si="10"/>
        <v>OK</v>
      </c>
      <c r="X29" s="3" t="s">
        <v>422</v>
      </c>
      <c r="Y29" s="3" t="s">
        <v>29</v>
      </c>
    </row>
    <row r="30" spans="1:25" x14ac:dyDescent="0.2">
      <c r="A30" s="3" t="str">
        <f t="shared" si="0"/>
        <v>TRIP-HF-042</v>
      </c>
      <c r="B30" s="23">
        <v>45807</v>
      </c>
      <c r="C30" s="3" t="str">
        <f>_xlfn.XLOOKUP(D30,'[1]Jan Customer Duplicate Hyva'!$B:$B,'[1]Jan Customer Duplicate Hyva'!$A:$A,"NOT FOUND")</f>
        <v>CUST-323</v>
      </c>
      <c r="D30" s="11" t="s">
        <v>51</v>
      </c>
      <c r="E30" s="11" t="s">
        <v>30</v>
      </c>
      <c r="F30" s="5" t="str">
        <f t="shared" si="1"/>
        <v>Ravi</v>
      </c>
      <c r="G30" s="5" t="str">
        <f t="shared" si="2"/>
        <v/>
      </c>
      <c r="H30" s="5" t="str">
        <f t="shared" si="3"/>
        <v/>
      </c>
      <c r="I30" s="5" t="str">
        <f>_xlfn.XLOOKUP(F30,'[1]Jan Labour Nd Drivers Hyva'!$B:$B,'[2]Jan Labour Nd Drivers Hyva'!$A:$A,"NOT FOUND")</f>
        <v>LAB-003</v>
      </c>
      <c r="J30" s="5" t="str">
        <f>IF(G30="","",_xlfn.XLOOKUP(G30,'[3]Jan Labour Nd Drivers Hyva'!$B:$B,'[2]Jan Labour Nd Drivers Hyva'!$A:$A,"NOT FOUND"))</f>
        <v/>
      </c>
      <c r="K30" s="3"/>
      <c r="L30" s="11" t="s">
        <v>436</v>
      </c>
      <c r="M30" s="11">
        <v>1</v>
      </c>
      <c r="N30" s="24">
        <v>10000</v>
      </c>
      <c r="O30" s="13">
        <f t="shared" si="4"/>
        <v>10000</v>
      </c>
      <c r="P30" s="24"/>
      <c r="Q30" s="13">
        <f t="shared" si="11"/>
        <v>10000</v>
      </c>
      <c r="R30" s="3" t="str">
        <f t="shared" si="6"/>
        <v>UNPAID</v>
      </c>
      <c r="S30" s="3"/>
      <c r="T30" s="3">
        <f t="shared" si="7"/>
        <v>10000</v>
      </c>
      <c r="U30" s="3" t="str">
        <f t="shared" si="8"/>
        <v>OK</v>
      </c>
      <c r="V30" s="21">
        <f t="shared" si="9"/>
        <v>10000</v>
      </c>
      <c r="W30" s="3" t="str">
        <f t="shared" si="10"/>
        <v>OK</v>
      </c>
      <c r="X30" s="3" t="s">
        <v>422</v>
      </c>
      <c r="Y30" s="3" t="s">
        <v>29</v>
      </c>
    </row>
    <row r="31" spans="1:25" x14ac:dyDescent="0.2">
      <c r="A31" s="3" t="str">
        <f t="shared" si="0"/>
        <v>TRIP-HF-043</v>
      </c>
      <c r="B31" s="23">
        <v>45807</v>
      </c>
      <c r="C31" s="3" t="str">
        <f>_xlfn.XLOOKUP(D31,'[1]Jan Customer Duplicate Hyva'!$B:$B,'[1]Jan Customer Duplicate Hyva'!$A:$A,"NOT FOUND")</f>
        <v>CUST-323</v>
      </c>
      <c r="D31" s="11" t="s">
        <v>51</v>
      </c>
      <c r="E31" s="11" t="s">
        <v>30</v>
      </c>
      <c r="F31" s="5" t="str">
        <f t="shared" si="1"/>
        <v>Ravi</v>
      </c>
      <c r="G31" s="5" t="str">
        <f t="shared" si="2"/>
        <v/>
      </c>
      <c r="H31" s="5" t="str">
        <f t="shared" si="3"/>
        <v/>
      </c>
      <c r="I31" s="5" t="str">
        <f>_xlfn.XLOOKUP(F31,'[1]Jan Labour Nd Drivers Hyva'!$B:$B,'[2]Jan Labour Nd Drivers Hyva'!$A:$A,"NOT FOUND")</f>
        <v>LAB-003</v>
      </c>
      <c r="J31" s="5" t="str">
        <f>IF(G31="","",_xlfn.XLOOKUP(G31,'[3]Jan Labour Nd Drivers Hyva'!$B:$B,'[2]Jan Labour Nd Drivers Hyva'!$A:$A,"NOT FOUND"))</f>
        <v/>
      </c>
      <c r="K31" s="3"/>
      <c r="L31" s="11" t="s">
        <v>437</v>
      </c>
      <c r="M31" s="11">
        <v>1</v>
      </c>
      <c r="N31" s="24">
        <v>10000</v>
      </c>
      <c r="O31" s="13">
        <f t="shared" si="4"/>
        <v>10000</v>
      </c>
      <c r="P31" s="24"/>
      <c r="Q31" s="13">
        <f t="shared" si="11"/>
        <v>10000</v>
      </c>
      <c r="R31" s="3" t="str">
        <f t="shared" si="6"/>
        <v>UNPAID</v>
      </c>
      <c r="S31" s="3"/>
      <c r="T31" s="3">
        <f t="shared" si="7"/>
        <v>10000</v>
      </c>
      <c r="U31" s="3" t="str">
        <f t="shared" si="8"/>
        <v>OK</v>
      </c>
      <c r="V31" s="21">
        <f t="shared" si="9"/>
        <v>10000</v>
      </c>
      <c r="W31" s="3" t="str">
        <f t="shared" si="10"/>
        <v>OK</v>
      </c>
      <c r="X31" s="3" t="s">
        <v>422</v>
      </c>
      <c r="Y31" s="3" t="s">
        <v>29</v>
      </c>
    </row>
    <row r="32" spans="1:25" x14ac:dyDescent="0.2">
      <c r="A32" s="3" t="str">
        <f t="shared" si="0"/>
        <v>TRIP-HF-044</v>
      </c>
      <c r="B32" s="23">
        <v>45808</v>
      </c>
      <c r="C32" s="3" t="str">
        <f>_xlfn.XLOOKUP(D32,'[1]Jan Customer Duplicate Hyva'!$B:$B,'[1]Jan Customer Duplicate Hyva'!$A:$A,"NOT FOUND")</f>
        <v>CUST-323</v>
      </c>
      <c r="D32" s="11" t="s">
        <v>51</v>
      </c>
      <c r="E32" s="11" t="s">
        <v>26</v>
      </c>
      <c r="F32" s="5" t="str">
        <f t="shared" si="1"/>
        <v>Anshu</v>
      </c>
      <c r="G32" s="5" t="str">
        <f t="shared" si="2"/>
        <v/>
      </c>
      <c r="H32" s="5" t="str">
        <f t="shared" si="3"/>
        <v/>
      </c>
      <c r="I32" s="5" t="str">
        <f>_xlfn.XLOOKUP(F32,'[1]Jan Labour Nd Drivers Hyva'!$B:$B,'[2]Jan Labour Nd Drivers Hyva'!$A:$A,"NOT FOUND")</f>
        <v>LAB-002</v>
      </c>
      <c r="J32" s="5" t="str">
        <f>IF(G32="","",_xlfn.XLOOKUP(G32,'[3]Jan Labour Nd Drivers Hyva'!$B:$B,'[2]Jan Labour Nd Drivers Hyva'!$A:$A,"NOT FOUND"))</f>
        <v/>
      </c>
      <c r="K32" s="3"/>
      <c r="L32" s="11" t="s">
        <v>438</v>
      </c>
      <c r="M32" s="11">
        <v>1</v>
      </c>
      <c r="N32" s="24">
        <v>10000</v>
      </c>
      <c r="O32" s="13">
        <f t="shared" si="4"/>
        <v>10000</v>
      </c>
      <c r="P32" s="24"/>
      <c r="Q32" s="13">
        <f t="shared" si="11"/>
        <v>10000</v>
      </c>
      <c r="R32" s="3" t="str">
        <f t="shared" si="6"/>
        <v>UNPAID</v>
      </c>
      <c r="S32" s="3"/>
      <c r="T32" s="3">
        <f t="shared" si="7"/>
        <v>10000</v>
      </c>
      <c r="U32" s="3" t="str">
        <f t="shared" si="8"/>
        <v>OK</v>
      </c>
      <c r="V32" s="21">
        <f t="shared" si="9"/>
        <v>10000</v>
      </c>
      <c r="W32" s="3" t="str">
        <f t="shared" si="10"/>
        <v>OK</v>
      </c>
      <c r="X32" s="3" t="s">
        <v>422</v>
      </c>
      <c r="Y32" s="3" t="s">
        <v>29</v>
      </c>
    </row>
    <row r="33" spans="1:25" x14ac:dyDescent="0.2">
      <c r="A33" s="3" t="str">
        <f t="shared" si="0"/>
        <v>TRIP-HF-045</v>
      </c>
      <c r="B33" s="23">
        <v>45808</v>
      </c>
      <c r="C33" s="3" t="str">
        <f>_xlfn.XLOOKUP(D33,'[1]Jan Customer Duplicate Hyva'!$B:$B,'[1]Jan Customer Duplicate Hyva'!$A:$A,"NOT FOUND")</f>
        <v>CUST-323</v>
      </c>
      <c r="D33" s="11" t="s">
        <v>51</v>
      </c>
      <c r="E33" s="11" t="s">
        <v>26</v>
      </c>
      <c r="F33" s="5" t="str">
        <f t="shared" si="1"/>
        <v>Anshu</v>
      </c>
      <c r="G33" s="5" t="str">
        <f t="shared" si="2"/>
        <v/>
      </c>
      <c r="H33" s="5" t="str">
        <f t="shared" si="3"/>
        <v/>
      </c>
      <c r="I33" s="5" t="str">
        <f>_xlfn.XLOOKUP(F33,'[1]Jan Labour Nd Drivers Hyva'!$B:$B,'[2]Jan Labour Nd Drivers Hyva'!$A:$A,"NOT FOUND")</f>
        <v>LAB-002</v>
      </c>
      <c r="J33" s="5" t="str">
        <f>IF(G33="","",_xlfn.XLOOKUP(G33,'[3]Jan Labour Nd Drivers Hyva'!$B:$B,'[2]Jan Labour Nd Drivers Hyva'!$A:$A,"NOT FOUND"))</f>
        <v/>
      </c>
      <c r="K33" s="3"/>
      <c r="L33" s="11" t="s">
        <v>304</v>
      </c>
      <c r="M33" s="11">
        <v>1</v>
      </c>
      <c r="N33" s="24">
        <v>10000</v>
      </c>
      <c r="O33" s="13">
        <f t="shared" si="4"/>
        <v>10000</v>
      </c>
      <c r="P33" s="24"/>
      <c r="Q33" s="13">
        <f t="shared" si="11"/>
        <v>10000</v>
      </c>
      <c r="R33" s="3" t="str">
        <f t="shared" si="6"/>
        <v>UNPAID</v>
      </c>
      <c r="S33" s="3"/>
      <c r="T33" s="3">
        <f t="shared" si="7"/>
        <v>10000</v>
      </c>
      <c r="U33" s="3" t="str">
        <f t="shared" si="8"/>
        <v>OK</v>
      </c>
      <c r="V33" s="21">
        <f t="shared" si="9"/>
        <v>10000</v>
      </c>
      <c r="W33" s="3" t="str">
        <f t="shared" si="10"/>
        <v>OK</v>
      </c>
      <c r="X33" s="3" t="s">
        <v>422</v>
      </c>
      <c r="Y33" s="3" t="s">
        <v>29</v>
      </c>
    </row>
    <row r="34" spans="1:25" x14ac:dyDescent="0.2">
      <c r="A34" s="3" t="str">
        <f t="shared" si="0"/>
        <v>TRIP-HF-046</v>
      </c>
      <c r="B34" s="2">
        <v>45814</v>
      </c>
      <c r="C34" s="3" t="str">
        <f>_xlfn.XLOOKUP(D34,'[1]Jan Customer Duplicate Hyva'!$B:$B,'[1]Jan Customer Duplicate Hyva'!$A:$A,"NOT FOUND")</f>
        <v>CUST-323</v>
      </c>
      <c r="D34" s="11" t="s">
        <v>51</v>
      </c>
      <c r="E34" s="4" t="s">
        <v>30</v>
      </c>
      <c r="F34" s="5" t="str">
        <f t="shared" si="1"/>
        <v>Ravi</v>
      </c>
      <c r="G34" s="5" t="str">
        <f t="shared" si="2"/>
        <v/>
      </c>
      <c r="H34" s="5" t="str">
        <f t="shared" si="3"/>
        <v/>
      </c>
      <c r="I34" s="5" t="str">
        <f>_xlfn.XLOOKUP(F34,'[1]Jan Labour Nd Drivers Hyva'!$B:$B,'[2]Jan Labour Nd Drivers Hyva'!$A:$A,"NOT FOUND")</f>
        <v>LAB-003</v>
      </c>
      <c r="J34" s="5" t="str">
        <f>IF(G34="","",_xlfn.XLOOKUP(G34,'[3]Jan Labour Nd Drivers Hyva'!$B:$B,'[2]Jan Labour Nd Drivers Hyva'!$A:$A,"NOT FOUND"))</f>
        <v/>
      </c>
      <c r="K34" s="3"/>
      <c r="L34" s="4" t="s">
        <v>439</v>
      </c>
      <c r="M34" s="4">
        <v>1</v>
      </c>
      <c r="N34" s="7">
        <v>9000</v>
      </c>
      <c r="O34" s="13">
        <f t="shared" si="4"/>
        <v>9000</v>
      </c>
      <c r="P34" s="7"/>
      <c r="Q34" s="13">
        <f t="shared" si="11"/>
        <v>9000</v>
      </c>
      <c r="R34" s="3" t="str">
        <f t="shared" si="6"/>
        <v>UNPAID</v>
      </c>
      <c r="S34" s="3"/>
      <c r="T34" s="3">
        <f t="shared" si="7"/>
        <v>9000</v>
      </c>
      <c r="U34" s="3" t="str">
        <f t="shared" si="8"/>
        <v>OK</v>
      </c>
      <c r="V34" s="21">
        <f t="shared" si="9"/>
        <v>9000</v>
      </c>
      <c r="W34" s="3" t="str">
        <f t="shared" si="10"/>
        <v>OK</v>
      </c>
      <c r="X34" s="3" t="s">
        <v>422</v>
      </c>
      <c r="Y34" s="3" t="s">
        <v>29</v>
      </c>
    </row>
    <row r="35" spans="1:25" x14ac:dyDescent="0.2">
      <c r="A35" s="3" t="str">
        <f t="shared" si="0"/>
        <v>TRIP-HF-047</v>
      </c>
      <c r="B35" s="2">
        <v>45815</v>
      </c>
      <c r="C35" s="3" t="str">
        <f>_xlfn.XLOOKUP(D35,'[1]Jan Customer Duplicate Hyva'!$B:$B,'[1]Jan Customer Duplicate Hyva'!$A:$A,"NOT FOUND")</f>
        <v>CUST-323</v>
      </c>
      <c r="D35" s="11" t="s">
        <v>51</v>
      </c>
      <c r="E35" s="11" t="s">
        <v>30</v>
      </c>
      <c r="F35" s="5" t="str">
        <f t="shared" si="1"/>
        <v>Ravi</v>
      </c>
      <c r="G35" s="5" t="str">
        <f t="shared" si="2"/>
        <v/>
      </c>
      <c r="H35" s="5" t="str">
        <f t="shared" si="3"/>
        <v/>
      </c>
      <c r="I35" s="5" t="str">
        <f>_xlfn.XLOOKUP(F35,'[1]Jan Labour Nd Drivers Hyva'!$B:$B,'[2]Jan Labour Nd Drivers Hyva'!$A:$A,"NOT FOUND")</f>
        <v>LAB-003</v>
      </c>
      <c r="J35" s="5" t="str">
        <f>IF(G35="","",_xlfn.XLOOKUP(G35,'[3]Jan Labour Nd Drivers Hyva'!$B:$B,'[2]Jan Labour Nd Drivers Hyva'!$A:$A,"NOT FOUND"))</f>
        <v/>
      </c>
      <c r="K35" s="3"/>
      <c r="L35" s="11" t="s">
        <v>440</v>
      </c>
      <c r="M35" s="11">
        <v>1</v>
      </c>
      <c r="N35" s="24">
        <v>9000</v>
      </c>
      <c r="O35" s="13">
        <f t="shared" si="4"/>
        <v>9000</v>
      </c>
      <c r="P35" s="24">
        <v>9000</v>
      </c>
      <c r="Q35" s="13">
        <f t="shared" si="11"/>
        <v>0</v>
      </c>
      <c r="R35" s="3" t="str">
        <f t="shared" si="6"/>
        <v>PAID</v>
      </c>
      <c r="S35" s="3"/>
      <c r="T35" s="3">
        <f t="shared" si="7"/>
        <v>9000</v>
      </c>
      <c r="U35" s="3" t="str">
        <f t="shared" si="8"/>
        <v>OK</v>
      </c>
      <c r="V35" s="21">
        <f t="shared" si="9"/>
        <v>0</v>
      </c>
      <c r="W35" s="3" t="str">
        <f t="shared" si="10"/>
        <v>OK</v>
      </c>
      <c r="X35" s="3" t="s">
        <v>422</v>
      </c>
      <c r="Y35" s="3" t="s">
        <v>29</v>
      </c>
    </row>
    <row r="36" spans="1:25" x14ac:dyDescent="0.2">
      <c r="A36" s="3" t="str">
        <f t="shared" si="0"/>
        <v>TRIP-HF-048</v>
      </c>
      <c r="B36" s="2">
        <v>45820</v>
      </c>
      <c r="C36" s="3" t="str">
        <f>_xlfn.XLOOKUP(D36,'[1]Jan Customer Duplicate Hyva'!$B:$B,'[1]Jan Customer Duplicate Hyva'!$A:$A,"NOT FOUND")</f>
        <v>CUST-323</v>
      </c>
      <c r="D36" s="11" t="s">
        <v>51</v>
      </c>
      <c r="E36" s="11" t="s">
        <v>441</v>
      </c>
      <c r="F36" s="5" t="str">
        <f>TRIM(_xlfn.TEXTBEFORE(E36&amp;" / "," / "))</f>
        <v>Saurabh</v>
      </c>
      <c r="G36" s="5" t="str">
        <f t="shared" si="2"/>
        <v/>
      </c>
      <c r="H36" s="5" t="str">
        <f t="shared" si="3"/>
        <v/>
      </c>
      <c r="I36" s="5" t="str">
        <f>_xlfn.XLOOKUP(F36,'[1]Jan Labour Nd Drivers Hyva'!$B:$B,'[2]Jan Labour Nd Drivers Hyva'!$A:$A,"NOT FOUND")</f>
        <v>LAB-013</v>
      </c>
      <c r="J36" s="5" t="str">
        <f>IF(G36="","",_xlfn.XLOOKUP(G36,'[3]Jan Labour Nd Drivers Hyva'!$B:$B,'[2]Jan Labour Nd Drivers Hyva'!$A:$A,"NOT FOUND"))</f>
        <v/>
      </c>
      <c r="K36" s="3"/>
      <c r="L36" s="11" t="s">
        <v>89</v>
      </c>
      <c r="M36" s="11">
        <v>1</v>
      </c>
      <c r="N36" s="24">
        <v>9000</v>
      </c>
      <c r="O36" s="13">
        <f t="shared" si="4"/>
        <v>9000</v>
      </c>
      <c r="P36" s="24">
        <v>9000</v>
      </c>
      <c r="Q36" s="13">
        <f t="shared" si="11"/>
        <v>0</v>
      </c>
      <c r="R36" s="3" t="str">
        <f t="shared" si="6"/>
        <v>PAID</v>
      </c>
      <c r="S36" s="3"/>
      <c r="T36" s="3">
        <f t="shared" si="7"/>
        <v>9000</v>
      </c>
      <c r="U36" s="3" t="str">
        <f t="shared" si="8"/>
        <v>OK</v>
      </c>
      <c r="V36" s="21">
        <f t="shared" si="9"/>
        <v>0</v>
      </c>
      <c r="W36" s="3" t="str">
        <f t="shared" si="10"/>
        <v>OK</v>
      </c>
      <c r="X36" s="3" t="s">
        <v>422</v>
      </c>
      <c r="Y36" s="3" t="s">
        <v>29</v>
      </c>
    </row>
    <row r="37" spans="1:25" x14ac:dyDescent="0.2">
      <c r="A37" s="3" t="str">
        <f t="shared" si="0"/>
        <v>TRIP-HF-049</v>
      </c>
      <c r="B37" s="2">
        <v>45823</v>
      </c>
      <c r="C37" s="3" t="str">
        <f>_xlfn.XLOOKUP(D37,'[1]Jan Customer Duplicate Hyva'!$B:$B,'[1]Jan Customer Duplicate Hyva'!$A:$A,"NOT FOUND")</f>
        <v>CUST-323</v>
      </c>
      <c r="D37" s="11" t="s">
        <v>51</v>
      </c>
      <c r="E37" s="11" t="s">
        <v>30</v>
      </c>
      <c r="F37" s="5" t="str">
        <f t="shared" si="1"/>
        <v>Ravi</v>
      </c>
      <c r="G37" s="5" t="str">
        <f t="shared" si="2"/>
        <v/>
      </c>
      <c r="H37" s="5" t="str">
        <f t="shared" si="3"/>
        <v/>
      </c>
      <c r="I37" s="5" t="str">
        <f>_xlfn.XLOOKUP(F37,'[1]Jan Labour Nd Drivers Hyva'!$B:$B,'[2]Jan Labour Nd Drivers Hyva'!$A:$A,"NOT FOUND")</f>
        <v>LAB-003</v>
      </c>
      <c r="J37" s="5" t="str">
        <f>IF(G37="","",_xlfn.XLOOKUP(G37,'[3]Jan Labour Nd Drivers Hyva'!$B:$B,'[2]Jan Labour Nd Drivers Hyva'!$A:$A,"NOT FOUND"))</f>
        <v/>
      </c>
      <c r="K37" s="3"/>
      <c r="L37" s="11" t="s">
        <v>442</v>
      </c>
      <c r="M37" s="11">
        <v>2</v>
      </c>
      <c r="N37" s="24">
        <v>9000</v>
      </c>
      <c r="O37" s="13">
        <f t="shared" si="4"/>
        <v>18000</v>
      </c>
      <c r="P37" s="24">
        <v>18000</v>
      </c>
      <c r="Q37" s="13">
        <f t="shared" si="11"/>
        <v>0</v>
      </c>
      <c r="R37" s="3" t="str">
        <f t="shared" si="6"/>
        <v>PAID</v>
      </c>
      <c r="S37" s="3"/>
      <c r="T37" s="3">
        <f t="shared" si="7"/>
        <v>18000</v>
      </c>
      <c r="U37" s="3" t="str">
        <f t="shared" si="8"/>
        <v>OK</v>
      </c>
      <c r="V37" s="21">
        <f t="shared" si="9"/>
        <v>0</v>
      </c>
      <c r="W37" s="3" t="str">
        <f t="shared" si="10"/>
        <v>OK</v>
      </c>
      <c r="X37" s="3" t="s">
        <v>422</v>
      </c>
      <c r="Y37" s="3" t="s">
        <v>29</v>
      </c>
    </row>
    <row r="38" spans="1:25" x14ac:dyDescent="0.2">
      <c r="A38" s="3" t="str">
        <f t="shared" si="0"/>
        <v>TRIP-HF-050</v>
      </c>
      <c r="B38" s="2">
        <v>45829</v>
      </c>
      <c r="C38" s="3" t="str">
        <f>_xlfn.XLOOKUP(D38,'[1]Jan Customer Duplicate Hyva'!$B:$B,'[1]Jan Customer Duplicate Hyva'!$A:$A,"NOT FOUND")</f>
        <v>CUST-323</v>
      </c>
      <c r="D38" s="11" t="s">
        <v>51</v>
      </c>
      <c r="E38" s="11" t="s">
        <v>441</v>
      </c>
      <c r="F38" s="5" t="str">
        <f t="shared" si="1"/>
        <v>Saurabh</v>
      </c>
      <c r="G38" s="5" t="str">
        <f t="shared" si="2"/>
        <v/>
      </c>
      <c r="H38" s="5" t="str">
        <f t="shared" si="3"/>
        <v/>
      </c>
      <c r="I38" s="5" t="str">
        <f>_xlfn.XLOOKUP(F38,'[1]Jan Labour Nd Drivers Hyva'!$B:$B,'[2]Jan Labour Nd Drivers Hyva'!$A:$A,"NOT FOUND")</f>
        <v>LAB-013</v>
      </c>
      <c r="J38" s="5" t="str">
        <f>IF(G38="","",_xlfn.XLOOKUP(G38,'[3]Jan Labour Nd Drivers Hyva'!$B:$B,'[2]Jan Labour Nd Drivers Hyva'!$A:$A,"NOT FOUND"))</f>
        <v/>
      </c>
      <c r="K38" s="3"/>
      <c r="L38" s="11" t="s">
        <v>89</v>
      </c>
      <c r="M38" s="11">
        <v>1</v>
      </c>
      <c r="N38" s="24">
        <v>9000</v>
      </c>
      <c r="O38" s="13">
        <f t="shared" si="4"/>
        <v>9000</v>
      </c>
      <c r="P38" s="24">
        <v>9000</v>
      </c>
      <c r="Q38" s="13">
        <f t="shared" si="11"/>
        <v>0</v>
      </c>
      <c r="R38" s="3" t="str">
        <f t="shared" si="6"/>
        <v>PAID</v>
      </c>
      <c r="S38" s="3"/>
      <c r="T38" s="3">
        <f t="shared" si="7"/>
        <v>9000</v>
      </c>
      <c r="U38" s="3" t="str">
        <f t="shared" si="8"/>
        <v>OK</v>
      </c>
      <c r="V38" s="21">
        <f t="shared" si="9"/>
        <v>0</v>
      </c>
      <c r="W38" s="3" t="str">
        <f t="shared" si="10"/>
        <v>OK</v>
      </c>
      <c r="X38" s="3" t="s">
        <v>422</v>
      </c>
      <c r="Y38" s="3" t="s">
        <v>29</v>
      </c>
    </row>
    <row r="39" spans="1:25" x14ac:dyDescent="0.2">
      <c r="A39" s="3" t="str">
        <f t="shared" si="0"/>
        <v>TRIP-HF-051</v>
      </c>
      <c r="B39" s="23">
        <v>45857</v>
      </c>
      <c r="C39" s="3" t="str">
        <f>_xlfn.XLOOKUP(D39,'[1]Jan Customer Duplicate Hyva'!$B:$B,'[1]Jan Customer Duplicate Hyva'!$A:$A,"NOT FOUND")</f>
        <v>CUST-118</v>
      </c>
      <c r="D39" s="11" t="s">
        <v>226</v>
      </c>
      <c r="E39" s="11" t="s">
        <v>441</v>
      </c>
      <c r="F39" s="5" t="str">
        <f t="shared" si="1"/>
        <v>Saurabh</v>
      </c>
      <c r="G39" s="5" t="str">
        <f t="shared" si="2"/>
        <v/>
      </c>
      <c r="H39" s="5" t="str">
        <f t="shared" si="3"/>
        <v/>
      </c>
      <c r="I39" s="5" t="str">
        <f>_xlfn.XLOOKUP(F39,'[1]Jan Labour Nd Drivers Hyva'!$B:$B,'[2]Jan Labour Nd Drivers Hyva'!$A:$A,"NOT FOUND")</f>
        <v>LAB-013</v>
      </c>
      <c r="J39" s="5" t="str">
        <f>IF(G39="","",_xlfn.XLOOKUP(G39,'[3]Jan Labour Nd Drivers Hyva'!$B:$B,'[2]Jan Labour Nd Drivers Hyva'!$A:$A,"NOT FOUND"))</f>
        <v/>
      </c>
      <c r="K39" s="3"/>
      <c r="L39" s="11" t="s">
        <v>41</v>
      </c>
      <c r="M39" s="11">
        <v>1</v>
      </c>
      <c r="N39" s="13">
        <v>10000</v>
      </c>
      <c r="O39" s="13">
        <f t="shared" si="4"/>
        <v>10000</v>
      </c>
      <c r="P39" s="13"/>
      <c r="Q39" s="13">
        <f t="shared" si="11"/>
        <v>10000</v>
      </c>
      <c r="R39" s="3" t="str">
        <f t="shared" si="6"/>
        <v>UNPAID</v>
      </c>
      <c r="S39" s="3"/>
      <c r="T39" s="3">
        <f t="shared" si="7"/>
        <v>10000</v>
      </c>
      <c r="U39" s="3" t="str">
        <f t="shared" si="8"/>
        <v>OK</v>
      </c>
      <c r="V39" s="21">
        <f t="shared" si="9"/>
        <v>10000</v>
      </c>
      <c r="W39" s="3" t="str">
        <f t="shared" si="10"/>
        <v>OK</v>
      </c>
      <c r="X39" s="3" t="s">
        <v>422</v>
      </c>
      <c r="Y39" s="3" t="s">
        <v>29</v>
      </c>
    </row>
    <row r="40" spans="1:25" x14ac:dyDescent="0.2">
      <c r="A40" s="3" t="str">
        <f t="shared" si="0"/>
        <v>TRIP-HF-052</v>
      </c>
      <c r="B40" s="23">
        <v>45858</v>
      </c>
      <c r="C40" s="3" t="str">
        <f>_xlfn.XLOOKUP(D40,'[1]Jan Customer Duplicate Hyva'!$B:$B,'[1]Jan Customer Duplicate Hyva'!$A:$A,"NOT FOUND")</f>
        <v>CUST-323</v>
      </c>
      <c r="D40" s="11" t="s">
        <v>51</v>
      </c>
      <c r="E40" s="11" t="s">
        <v>423</v>
      </c>
      <c r="F40" s="5" t="str">
        <f t="shared" si="1"/>
        <v>Shubham</v>
      </c>
      <c r="G40" s="5" t="str">
        <f t="shared" si="2"/>
        <v/>
      </c>
      <c r="H40" s="5" t="str">
        <f t="shared" si="3"/>
        <v/>
      </c>
      <c r="I40" s="5" t="str">
        <f>_xlfn.XLOOKUP(F40,'[1]Jan Labour Nd Drivers Hyva'!$B:$B,'[2]Jan Labour Nd Drivers Hyva'!$A:$A,"NOT FOUND")</f>
        <v>LAB-014</v>
      </c>
      <c r="J40" s="5" t="str">
        <f>IF(G40="","",_xlfn.XLOOKUP(G40,'[3]Jan Labour Nd Drivers Hyva'!$B:$B,'[2]Jan Labour Nd Drivers Hyva'!$A:$A,"NOT FOUND"))</f>
        <v/>
      </c>
      <c r="K40" s="3"/>
      <c r="L40" s="11" t="s">
        <v>89</v>
      </c>
      <c r="M40" s="11">
        <v>1</v>
      </c>
      <c r="N40" s="24">
        <v>9000</v>
      </c>
      <c r="O40" s="13">
        <f t="shared" si="4"/>
        <v>9000</v>
      </c>
      <c r="P40" s="24">
        <v>9000</v>
      </c>
      <c r="Q40" s="13">
        <f t="shared" si="11"/>
        <v>0</v>
      </c>
      <c r="R40" s="3" t="str">
        <f t="shared" si="6"/>
        <v>PAID</v>
      </c>
      <c r="S40" s="3"/>
      <c r="T40" s="3">
        <f t="shared" si="7"/>
        <v>9000</v>
      </c>
      <c r="U40" s="3" t="str">
        <f t="shared" si="8"/>
        <v>OK</v>
      </c>
      <c r="V40" s="21">
        <f t="shared" si="9"/>
        <v>0</v>
      </c>
      <c r="W40" s="3" t="str">
        <f t="shared" si="10"/>
        <v>OK</v>
      </c>
      <c r="X40" s="3" t="s">
        <v>422</v>
      </c>
      <c r="Y40" s="3" t="s">
        <v>29</v>
      </c>
    </row>
    <row r="41" spans="1:25" x14ac:dyDescent="0.2">
      <c r="A41" s="3" t="str">
        <f t="shared" si="0"/>
        <v>TRIP-HF-053</v>
      </c>
      <c r="B41" s="23">
        <v>45877</v>
      </c>
      <c r="C41" s="3" t="str">
        <f>_xlfn.XLOOKUP(D41,'[1]Jan Customer Duplicate Hyva'!$B:$B,'[1]Jan Customer Duplicate Hyva'!$A:$A,"NOT FOUND")</f>
        <v>CUST-295</v>
      </c>
      <c r="D41" s="11" t="s">
        <v>396</v>
      </c>
      <c r="E41" s="11" t="s">
        <v>55</v>
      </c>
      <c r="F41" s="5" t="str">
        <f t="shared" si="1"/>
        <v>Gaju Bhau</v>
      </c>
      <c r="G41" s="5" t="str">
        <f t="shared" si="2"/>
        <v/>
      </c>
      <c r="H41" s="5" t="str">
        <f t="shared" si="3"/>
        <v/>
      </c>
      <c r="I41" s="5" t="str">
        <f>_xlfn.XLOOKUP(F41,'[1]Jan Labour Nd Drivers Hyva'!$B:$B,'[2]Jan Labour Nd Drivers Hyva'!$A:$A,"NOT FOUND")</f>
        <v>LAB-001</v>
      </c>
      <c r="J41" s="5" t="str">
        <f>IF(G41="","",_xlfn.XLOOKUP(G41,'[3]Jan Labour Nd Drivers Hyva'!$B:$B,'[2]Jan Labour Nd Drivers Hyva'!$A:$A,"NOT FOUND"))</f>
        <v/>
      </c>
      <c r="K41" s="3"/>
      <c r="L41" s="11" t="s">
        <v>443</v>
      </c>
      <c r="M41" s="11">
        <v>2</v>
      </c>
      <c r="N41" s="13">
        <v>2000</v>
      </c>
      <c r="O41" s="13">
        <f t="shared" si="4"/>
        <v>4000</v>
      </c>
      <c r="P41" s="13">
        <v>4000</v>
      </c>
      <c r="Q41" s="13">
        <f t="shared" si="11"/>
        <v>0</v>
      </c>
      <c r="R41" s="3" t="str">
        <f t="shared" si="6"/>
        <v>PAID</v>
      </c>
      <c r="S41" s="3"/>
      <c r="T41" s="3">
        <f t="shared" si="7"/>
        <v>4000</v>
      </c>
      <c r="U41" s="3" t="str">
        <f t="shared" si="8"/>
        <v>OK</v>
      </c>
      <c r="V41" s="21">
        <f t="shared" si="9"/>
        <v>0</v>
      </c>
      <c r="W41" s="3" t="str">
        <f t="shared" si="10"/>
        <v>OK</v>
      </c>
      <c r="X41" s="3" t="s">
        <v>422</v>
      </c>
      <c r="Y41" s="3" t="s">
        <v>29</v>
      </c>
    </row>
    <row r="42" spans="1:25" x14ac:dyDescent="0.2">
      <c r="A42" s="3" t="str">
        <f t="shared" si="0"/>
        <v>TRIP-HF-054</v>
      </c>
      <c r="B42" s="23">
        <v>45878</v>
      </c>
      <c r="C42" s="3" t="str">
        <f>_xlfn.XLOOKUP(D42,'[1]Jan Customer Duplicate Hyva'!$B:$B,'[1]Jan Customer Duplicate Hyva'!$A:$A,"NOT FOUND")</f>
        <v>NOT FOUND</v>
      </c>
      <c r="D42" s="11" t="s">
        <v>444</v>
      </c>
      <c r="E42" s="11" t="s">
        <v>55</v>
      </c>
      <c r="F42" s="5" t="str">
        <f t="shared" si="1"/>
        <v>Gaju Bhau</v>
      </c>
      <c r="G42" s="5" t="str">
        <f t="shared" si="2"/>
        <v/>
      </c>
      <c r="H42" s="5" t="str">
        <f t="shared" si="3"/>
        <v/>
      </c>
      <c r="I42" s="5" t="str">
        <f>_xlfn.XLOOKUP(F42,'[1]Jan Labour Nd Drivers Hyva'!$B:$B,'[2]Jan Labour Nd Drivers Hyva'!$A:$A,"NOT FOUND")</f>
        <v>LAB-001</v>
      </c>
      <c r="J42" s="5" t="str">
        <f>IF(G42="","",_xlfn.XLOOKUP(G42,'[3]Jan Labour Nd Drivers Hyva'!$B:$B,'[2]Jan Labour Nd Drivers Hyva'!$A:$A,"NOT FOUND"))</f>
        <v/>
      </c>
      <c r="K42" s="3"/>
      <c r="L42" s="11" t="s">
        <v>41</v>
      </c>
      <c r="M42" s="11">
        <v>1</v>
      </c>
      <c r="N42" s="13">
        <v>10000</v>
      </c>
      <c r="O42" s="13">
        <f t="shared" si="4"/>
        <v>10000</v>
      </c>
      <c r="P42" s="13">
        <v>10000</v>
      </c>
      <c r="Q42" s="13">
        <f t="shared" si="11"/>
        <v>0</v>
      </c>
      <c r="R42" s="3" t="str">
        <f t="shared" si="6"/>
        <v>PAID</v>
      </c>
      <c r="S42" s="3"/>
      <c r="T42" s="3">
        <f t="shared" si="7"/>
        <v>10000</v>
      </c>
      <c r="U42" s="3" t="str">
        <f t="shared" si="8"/>
        <v>OK</v>
      </c>
      <c r="V42" s="21">
        <f t="shared" si="9"/>
        <v>0</v>
      </c>
      <c r="W42" s="3" t="str">
        <f t="shared" si="10"/>
        <v>OK</v>
      </c>
      <c r="X42" s="3" t="s">
        <v>422</v>
      </c>
      <c r="Y42" s="3" t="s">
        <v>29</v>
      </c>
    </row>
    <row r="43" spans="1:25" x14ac:dyDescent="0.2">
      <c r="A43" s="3" t="str">
        <f t="shared" si="0"/>
        <v>TRIP-HF-055</v>
      </c>
      <c r="B43" s="23">
        <v>45878</v>
      </c>
      <c r="C43" s="3" t="str">
        <f>_xlfn.XLOOKUP(D43,'[1]Jan Customer Duplicate Hyva'!$B:$B,'[1]Jan Customer Duplicate Hyva'!$A:$A,"NOT FOUND")</f>
        <v>CUST-303</v>
      </c>
      <c r="D43" s="11" t="s">
        <v>445</v>
      </c>
      <c r="E43" s="11" t="s">
        <v>55</v>
      </c>
      <c r="F43" s="5" t="str">
        <f t="shared" si="1"/>
        <v>Gaju Bhau</v>
      </c>
      <c r="G43" s="5" t="str">
        <f t="shared" si="2"/>
        <v/>
      </c>
      <c r="H43" s="5" t="str">
        <f t="shared" si="3"/>
        <v/>
      </c>
      <c r="I43" s="5" t="str">
        <f>_xlfn.XLOOKUP(F43,'[1]Jan Labour Nd Drivers Hyva'!$B:$B,'[2]Jan Labour Nd Drivers Hyva'!$A:$A,"NOT FOUND")</f>
        <v>LAB-001</v>
      </c>
      <c r="J43" s="5" t="str">
        <f>IF(G43="","",_xlfn.XLOOKUP(G43,'[3]Jan Labour Nd Drivers Hyva'!$B:$B,'[2]Jan Labour Nd Drivers Hyva'!$A:$A,"NOT FOUND"))</f>
        <v/>
      </c>
      <c r="K43" s="3"/>
      <c r="L43" s="11" t="s">
        <v>446</v>
      </c>
      <c r="M43" s="11">
        <v>1</v>
      </c>
      <c r="N43" s="24">
        <v>2000</v>
      </c>
      <c r="O43" s="13">
        <f t="shared" si="4"/>
        <v>2000</v>
      </c>
      <c r="P43" s="24">
        <v>2000</v>
      </c>
      <c r="Q43" s="13">
        <f t="shared" si="11"/>
        <v>0</v>
      </c>
      <c r="R43" s="3" t="str">
        <f t="shared" si="6"/>
        <v>PAID</v>
      </c>
      <c r="S43" s="3"/>
      <c r="T43" s="3">
        <f t="shared" si="7"/>
        <v>2000</v>
      </c>
      <c r="U43" s="3" t="str">
        <f t="shared" si="8"/>
        <v>OK</v>
      </c>
      <c r="V43" s="21">
        <f t="shared" si="9"/>
        <v>0</v>
      </c>
      <c r="W43" s="3" t="str">
        <f t="shared" si="10"/>
        <v>OK</v>
      </c>
      <c r="X43" s="3" t="s">
        <v>422</v>
      </c>
      <c r="Y43" s="3" t="s">
        <v>29</v>
      </c>
    </row>
    <row r="44" spans="1:25" x14ac:dyDescent="0.2">
      <c r="A44" s="3" t="str">
        <f t="shared" si="0"/>
        <v>TRIP-HF-056</v>
      </c>
      <c r="B44" s="23">
        <v>45883</v>
      </c>
      <c r="C44" s="3" t="str">
        <f>_xlfn.XLOOKUP(D44,'[1]Jan Customer Duplicate Hyva'!$B:$B,'[1]Jan Customer Duplicate Hyva'!$A:$A,"NOT FOUND")</f>
        <v>CUST-323</v>
      </c>
      <c r="D44" s="11" t="s">
        <v>51</v>
      </c>
      <c r="E44" s="11" t="s">
        <v>55</v>
      </c>
      <c r="F44" s="5" t="str">
        <f t="shared" si="1"/>
        <v>Gaju Bhau</v>
      </c>
      <c r="G44" s="5" t="str">
        <f t="shared" si="2"/>
        <v/>
      </c>
      <c r="H44" s="5" t="str">
        <f t="shared" si="3"/>
        <v/>
      </c>
      <c r="I44" s="5" t="str">
        <f>_xlfn.XLOOKUP(F44,'[1]Jan Labour Nd Drivers Hyva'!$B:$B,'[2]Jan Labour Nd Drivers Hyva'!$A:$A,"NOT FOUND")</f>
        <v>LAB-001</v>
      </c>
      <c r="J44" s="5" t="str">
        <f>IF(G44="","",_xlfn.XLOOKUP(G44,'[3]Jan Labour Nd Drivers Hyva'!$B:$B,'[2]Jan Labour Nd Drivers Hyva'!$A:$A,"NOT FOUND"))</f>
        <v/>
      </c>
      <c r="K44" s="3"/>
      <c r="L44" s="11" t="s">
        <v>447</v>
      </c>
      <c r="M44" s="11">
        <v>1</v>
      </c>
      <c r="N44" s="24">
        <v>10000</v>
      </c>
      <c r="O44" s="13">
        <f t="shared" si="4"/>
        <v>10000</v>
      </c>
      <c r="P44" s="24">
        <v>5000</v>
      </c>
      <c r="Q44" s="13">
        <f t="shared" si="11"/>
        <v>5000</v>
      </c>
      <c r="R44" s="3" t="str">
        <f t="shared" si="6"/>
        <v>PARTIAL</v>
      </c>
      <c r="S44" s="3"/>
      <c r="T44" s="3">
        <f t="shared" si="7"/>
        <v>10000</v>
      </c>
      <c r="U44" s="3" t="str">
        <f t="shared" si="8"/>
        <v>OK</v>
      </c>
      <c r="V44" s="21">
        <f t="shared" si="9"/>
        <v>5000</v>
      </c>
      <c r="W44" s="3" t="str">
        <f t="shared" si="10"/>
        <v>OK</v>
      </c>
      <c r="X44" s="3" t="s">
        <v>422</v>
      </c>
      <c r="Y44" s="3" t="s">
        <v>29</v>
      </c>
    </row>
    <row r="45" spans="1:25" x14ac:dyDescent="0.2">
      <c r="A45" s="3" t="str">
        <f t="shared" si="0"/>
        <v>TRIP-HF-057</v>
      </c>
      <c r="B45" s="23">
        <v>45883</v>
      </c>
      <c r="C45" s="3" t="str">
        <f>_xlfn.XLOOKUP(D45,'[1]Jan Customer Duplicate Hyva'!$B:$B,'[1]Jan Customer Duplicate Hyva'!$A:$A,"NOT FOUND")</f>
        <v>CUST-323</v>
      </c>
      <c r="D45" s="11" t="s">
        <v>51</v>
      </c>
      <c r="E45" s="11" t="s">
        <v>55</v>
      </c>
      <c r="F45" s="5" t="str">
        <f t="shared" si="1"/>
        <v>Gaju Bhau</v>
      </c>
      <c r="G45" s="5" t="str">
        <f t="shared" si="2"/>
        <v/>
      </c>
      <c r="H45" s="5" t="str">
        <f t="shared" si="3"/>
        <v/>
      </c>
      <c r="I45" s="5" t="str">
        <f>_xlfn.XLOOKUP(F45,'[1]Jan Labour Nd Drivers Hyva'!$B:$B,'[2]Jan Labour Nd Drivers Hyva'!$A:$A,"NOT FOUND")</f>
        <v>LAB-001</v>
      </c>
      <c r="J45" s="5" t="str">
        <f>IF(G45="","",_xlfn.XLOOKUP(G45,'[3]Jan Labour Nd Drivers Hyva'!$B:$B,'[2]Jan Labour Nd Drivers Hyva'!$A:$A,"NOT FOUND"))</f>
        <v/>
      </c>
      <c r="K45" s="3"/>
      <c r="L45" s="11" t="s">
        <v>448</v>
      </c>
      <c r="M45" s="11">
        <v>1</v>
      </c>
      <c r="N45" s="24">
        <v>10000</v>
      </c>
      <c r="O45" s="13">
        <f t="shared" si="4"/>
        <v>10000</v>
      </c>
      <c r="P45" s="24"/>
      <c r="Q45" s="13">
        <f t="shared" si="11"/>
        <v>10000</v>
      </c>
      <c r="R45" s="3" t="str">
        <f t="shared" si="6"/>
        <v>UNPAID</v>
      </c>
      <c r="S45" s="3"/>
      <c r="T45" s="3">
        <f t="shared" si="7"/>
        <v>10000</v>
      </c>
      <c r="U45" s="3" t="str">
        <f t="shared" si="8"/>
        <v>OK</v>
      </c>
      <c r="V45" s="21">
        <f t="shared" si="9"/>
        <v>10000</v>
      </c>
      <c r="W45" s="3" t="str">
        <f t="shared" si="10"/>
        <v>OK</v>
      </c>
      <c r="X45" s="3" t="s">
        <v>422</v>
      </c>
      <c r="Y45" s="3" t="s">
        <v>29</v>
      </c>
    </row>
    <row r="46" spans="1:25" x14ac:dyDescent="0.2">
      <c r="A46" s="3" t="str">
        <f t="shared" si="0"/>
        <v>TRIP-HF-058</v>
      </c>
      <c r="B46" s="23">
        <v>45886</v>
      </c>
      <c r="C46" s="3" t="str">
        <f>_xlfn.XLOOKUP(D46,'[1]Jan Customer Duplicate Hyva'!$B:$B,'[1]Jan Customer Duplicate Hyva'!$A:$A,"NOT FOUND")</f>
        <v>CUST-059</v>
      </c>
      <c r="D46" s="11" t="s">
        <v>84</v>
      </c>
      <c r="E46" s="11" t="s">
        <v>55</v>
      </c>
      <c r="F46" s="5" t="str">
        <f t="shared" si="1"/>
        <v>Gaju Bhau</v>
      </c>
      <c r="G46" s="5" t="str">
        <f t="shared" si="2"/>
        <v/>
      </c>
      <c r="H46" s="5" t="str">
        <f t="shared" si="3"/>
        <v/>
      </c>
      <c r="I46" s="5" t="str">
        <f>_xlfn.XLOOKUP(F46,'[1]Jan Labour Nd Drivers Hyva'!$B:$B,'[2]Jan Labour Nd Drivers Hyva'!$A:$A,"NOT FOUND")</f>
        <v>LAB-001</v>
      </c>
      <c r="J46" s="5" t="str">
        <f>IF(G46="","",_xlfn.XLOOKUP(G46,'[3]Jan Labour Nd Drivers Hyva'!$B:$B,'[2]Jan Labour Nd Drivers Hyva'!$A:$A,"NOT FOUND"))</f>
        <v/>
      </c>
      <c r="K46" s="3"/>
      <c r="L46" s="11" t="s">
        <v>89</v>
      </c>
      <c r="M46" s="11">
        <v>1</v>
      </c>
      <c r="N46" s="24">
        <v>10000</v>
      </c>
      <c r="O46" s="13">
        <f t="shared" si="4"/>
        <v>10000</v>
      </c>
      <c r="P46" s="24">
        <v>10000</v>
      </c>
      <c r="Q46" s="13">
        <f t="shared" si="11"/>
        <v>0</v>
      </c>
      <c r="R46" s="3" t="str">
        <f t="shared" si="6"/>
        <v>PAID</v>
      </c>
      <c r="S46" s="3"/>
      <c r="T46" s="3">
        <f t="shared" si="7"/>
        <v>10000</v>
      </c>
      <c r="U46" s="3" t="str">
        <f t="shared" si="8"/>
        <v>OK</v>
      </c>
      <c r="V46" s="21">
        <f t="shared" si="9"/>
        <v>0</v>
      </c>
      <c r="W46" s="3" t="str">
        <f t="shared" si="10"/>
        <v>OK</v>
      </c>
      <c r="X46" s="3" t="s">
        <v>422</v>
      </c>
      <c r="Y46" s="3" t="s">
        <v>29</v>
      </c>
    </row>
    <row r="47" spans="1:25" x14ac:dyDescent="0.2">
      <c r="A47" s="3" t="str">
        <f t="shared" si="0"/>
        <v>TRIP-HF-059</v>
      </c>
      <c r="B47" s="23">
        <v>45886</v>
      </c>
      <c r="C47" s="3" t="str">
        <f>_xlfn.XLOOKUP(D47,'[1]Jan Customer Duplicate Hyva'!$B:$B,'[1]Jan Customer Duplicate Hyva'!$A:$A,"NOT FOUND")</f>
        <v>NOT FOUND</v>
      </c>
      <c r="D47" s="11" t="s">
        <v>449</v>
      </c>
      <c r="E47" s="11" t="s">
        <v>55</v>
      </c>
      <c r="F47" s="5" t="str">
        <f t="shared" si="1"/>
        <v>Gaju Bhau</v>
      </c>
      <c r="G47" s="5" t="str">
        <f t="shared" si="2"/>
        <v/>
      </c>
      <c r="H47" s="5" t="str">
        <f t="shared" si="3"/>
        <v/>
      </c>
      <c r="I47" s="5" t="str">
        <f>_xlfn.XLOOKUP(F47,'[1]Jan Labour Nd Drivers Hyva'!$B:$B,'[2]Jan Labour Nd Drivers Hyva'!$A:$A,"NOT FOUND")</f>
        <v>LAB-001</v>
      </c>
      <c r="J47" s="5" t="str">
        <f>IF(G47="","",_xlfn.XLOOKUP(G47,'[3]Jan Labour Nd Drivers Hyva'!$B:$B,'[2]Jan Labour Nd Drivers Hyva'!$A:$A,"NOT FOUND"))</f>
        <v/>
      </c>
      <c r="K47" s="3"/>
      <c r="L47" s="11" t="s">
        <v>36</v>
      </c>
      <c r="M47" s="11">
        <v>2</v>
      </c>
      <c r="N47" s="24">
        <v>9000</v>
      </c>
      <c r="O47" s="13">
        <f t="shared" si="4"/>
        <v>18000</v>
      </c>
      <c r="P47" s="24">
        <v>18000</v>
      </c>
      <c r="Q47" s="13">
        <f t="shared" si="11"/>
        <v>0</v>
      </c>
      <c r="R47" s="3" t="str">
        <f t="shared" si="6"/>
        <v>PAID</v>
      </c>
      <c r="S47" s="3"/>
      <c r="T47" s="3">
        <f t="shared" si="7"/>
        <v>18000</v>
      </c>
      <c r="U47" s="3" t="str">
        <f t="shared" si="8"/>
        <v>OK</v>
      </c>
      <c r="V47" s="21">
        <f t="shared" si="9"/>
        <v>0</v>
      </c>
      <c r="W47" s="3" t="str">
        <f t="shared" si="10"/>
        <v>OK</v>
      </c>
      <c r="X47" s="3" t="s">
        <v>422</v>
      </c>
      <c r="Y47" s="3" t="s">
        <v>29</v>
      </c>
    </row>
    <row r="48" spans="1:25" x14ac:dyDescent="0.2">
      <c r="A48" s="3" t="str">
        <f t="shared" si="0"/>
        <v>TRIP-HF-060</v>
      </c>
      <c r="B48" s="23">
        <v>45887</v>
      </c>
      <c r="C48" s="3" t="str">
        <f>_xlfn.XLOOKUP(D48,'[1]Jan Customer Duplicate Hyva'!$B:$B,'[1]Jan Customer Duplicate Hyva'!$A:$A,"NOT FOUND")</f>
        <v>CUST-118</v>
      </c>
      <c r="D48" s="11" t="s">
        <v>226</v>
      </c>
      <c r="E48" s="11" t="s">
        <v>55</v>
      </c>
      <c r="F48" s="5" t="str">
        <f t="shared" si="1"/>
        <v>Gaju Bhau</v>
      </c>
      <c r="G48" s="5" t="str">
        <f t="shared" si="2"/>
        <v/>
      </c>
      <c r="H48" s="5" t="str">
        <f t="shared" si="3"/>
        <v/>
      </c>
      <c r="I48" s="5" t="str">
        <f>_xlfn.XLOOKUP(F48,'[1]Jan Labour Nd Drivers Hyva'!$B:$B,'[2]Jan Labour Nd Drivers Hyva'!$A:$A,"NOT FOUND")</f>
        <v>LAB-001</v>
      </c>
      <c r="J48" s="5" t="str">
        <f>IF(G48="","",_xlfn.XLOOKUP(G48,'[3]Jan Labour Nd Drivers Hyva'!$B:$B,'[2]Jan Labour Nd Drivers Hyva'!$A:$A,"NOT FOUND"))</f>
        <v/>
      </c>
      <c r="K48" s="3"/>
      <c r="L48" s="11" t="s">
        <v>41</v>
      </c>
      <c r="M48" s="11">
        <v>1</v>
      </c>
      <c r="N48" s="24">
        <v>10500</v>
      </c>
      <c r="O48" s="13">
        <f t="shared" si="4"/>
        <v>10500</v>
      </c>
      <c r="P48" s="24">
        <v>10500</v>
      </c>
      <c r="Q48" s="13">
        <f t="shared" si="11"/>
        <v>0</v>
      </c>
      <c r="R48" s="3" t="str">
        <f t="shared" si="6"/>
        <v>PAID</v>
      </c>
      <c r="S48" s="3"/>
      <c r="T48" s="3">
        <f t="shared" si="7"/>
        <v>10500</v>
      </c>
      <c r="U48" s="3" t="str">
        <f t="shared" si="8"/>
        <v>OK</v>
      </c>
      <c r="V48" s="21">
        <f t="shared" si="9"/>
        <v>0</v>
      </c>
      <c r="W48" s="3" t="str">
        <f t="shared" si="10"/>
        <v>OK</v>
      </c>
      <c r="X48" s="3" t="s">
        <v>422</v>
      </c>
      <c r="Y48" s="3" t="s">
        <v>29</v>
      </c>
    </row>
    <row r="49" spans="1:25" x14ac:dyDescent="0.2">
      <c r="A49" s="3" t="str">
        <f t="shared" si="0"/>
        <v>TRIP-HF-061</v>
      </c>
      <c r="B49" s="23">
        <v>45889</v>
      </c>
      <c r="C49" s="3" t="str">
        <f>_xlfn.XLOOKUP(D49,'[1]Jan Customer Duplicate Hyva'!$B:$B,'[1]Jan Customer Duplicate Hyva'!$A:$A,"NOT FOUND")</f>
        <v>CUST-323</v>
      </c>
      <c r="D49" s="11" t="s">
        <v>51</v>
      </c>
      <c r="E49" s="11" t="s">
        <v>55</v>
      </c>
      <c r="F49" s="5" t="str">
        <f t="shared" si="1"/>
        <v>Gaju Bhau</v>
      </c>
      <c r="G49" s="5" t="str">
        <f t="shared" si="2"/>
        <v/>
      </c>
      <c r="H49" s="5" t="str">
        <f t="shared" si="3"/>
        <v/>
      </c>
      <c r="I49" s="5" t="str">
        <f>_xlfn.XLOOKUP(F49,'[1]Jan Labour Nd Drivers Hyva'!$B:$B,'[2]Jan Labour Nd Drivers Hyva'!$A:$A,"NOT FOUND")</f>
        <v>LAB-001</v>
      </c>
      <c r="J49" s="5" t="str">
        <f>IF(G49="","",_xlfn.XLOOKUP(G49,'[3]Jan Labour Nd Drivers Hyva'!$B:$B,'[2]Jan Labour Nd Drivers Hyva'!$A:$A,"NOT FOUND"))</f>
        <v/>
      </c>
      <c r="K49" s="3"/>
      <c r="L49" s="11" t="s">
        <v>89</v>
      </c>
      <c r="M49" s="11">
        <v>1</v>
      </c>
      <c r="N49" s="24">
        <v>10000</v>
      </c>
      <c r="O49" s="13">
        <f t="shared" si="4"/>
        <v>10000</v>
      </c>
      <c r="P49" s="24">
        <v>10000</v>
      </c>
      <c r="Q49" s="13">
        <f t="shared" si="11"/>
        <v>0</v>
      </c>
      <c r="R49" s="3" t="str">
        <f t="shared" si="6"/>
        <v>PAID</v>
      </c>
      <c r="S49" s="3"/>
      <c r="T49" s="3">
        <f t="shared" si="7"/>
        <v>10000</v>
      </c>
      <c r="U49" s="3" t="str">
        <f t="shared" si="8"/>
        <v>OK</v>
      </c>
      <c r="V49" s="21">
        <f t="shared" si="9"/>
        <v>0</v>
      </c>
      <c r="W49" s="3" t="str">
        <f t="shared" si="10"/>
        <v>OK</v>
      </c>
      <c r="X49" s="3" t="s">
        <v>422</v>
      </c>
      <c r="Y49" s="3" t="s">
        <v>29</v>
      </c>
    </row>
    <row r="50" spans="1:25" x14ac:dyDescent="0.2">
      <c r="A50" s="3" t="str">
        <f t="shared" si="0"/>
        <v>TRIP-HF-062</v>
      </c>
      <c r="B50" s="23">
        <v>45890</v>
      </c>
      <c r="C50" s="3" t="str">
        <f>_xlfn.XLOOKUP(D50,'[1]Jan Customer Duplicate Hyva'!$B:$B,'[1]Jan Customer Duplicate Hyva'!$A:$A,"NOT FOUND")</f>
        <v>CUST-118</v>
      </c>
      <c r="D50" s="11" t="s">
        <v>226</v>
      </c>
      <c r="E50" s="11" t="s">
        <v>450</v>
      </c>
      <c r="F50" s="5" t="str">
        <f t="shared" si="1"/>
        <v>Gaju Bhau</v>
      </c>
      <c r="G50" s="5" t="str">
        <f t="shared" si="2"/>
        <v/>
      </c>
      <c r="H50" s="5" t="str">
        <f t="shared" si="3"/>
        <v/>
      </c>
      <c r="I50" s="5" t="str">
        <f>_xlfn.XLOOKUP(F50,'[1]Jan Labour Nd Drivers Hyva'!$B:$B,'[2]Jan Labour Nd Drivers Hyva'!$A:$A,"NOT FOUND")</f>
        <v>LAB-001</v>
      </c>
      <c r="J50" s="5" t="str">
        <f>IF(G50="","",_xlfn.XLOOKUP(G50,'[3]Jan Labour Nd Drivers Hyva'!$B:$B,'[2]Jan Labour Nd Drivers Hyva'!$A:$A,"NOT FOUND"))</f>
        <v/>
      </c>
      <c r="K50" s="3"/>
      <c r="L50" s="11" t="s">
        <v>41</v>
      </c>
      <c r="M50" s="11">
        <v>1</v>
      </c>
      <c r="N50" s="24">
        <v>11000</v>
      </c>
      <c r="O50" s="13">
        <f t="shared" si="4"/>
        <v>11000</v>
      </c>
      <c r="P50" s="24">
        <v>11000</v>
      </c>
      <c r="Q50" s="13">
        <f t="shared" si="11"/>
        <v>0</v>
      </c>
      <c r="R50" s="3" t="str">
        <f t="shared" si="6"/>
        <v>PAID</v>
      </c>
      <c r="S50" s="3"/>
      <c r="T50" s="3">
        <f t="shared" si="7"/>
        <v>11000</v>
      </c>
      <c r="U50" s="3" t="str">
        <f t="shared" si="8"/>
        <v>OK</v>
      </c>
      <c r="V50" s="21">
        <f t="shared" si="9"/>
        <v>0</v>
      </c>
      <c r="W50" s="3" t="str">
        <f t="shared" si="10"/>
        <v>OK</v>
      </c>
      <c r="X50" s="3" t="s">
        <v>422</v>
      </c>
      <c r="Y50" s="3" t="s">
        <v>29</v>
      </c>
    </row>
    <row r="51" spans="1:25" x14ac:dyDescent="0.2">
      <c r="A51" s="3" t="str">
        <f t="shared" si="0"/>
        <v>TRIP-HF-063</v>
      </c>
      <c r="B51" s="23">
        <v>45899</v>
      </c>
      <c r="C51" s="3" t="str">
        <f>_xlfn.XLOOKUP(D51,'[1]Jan Customer Duplicate Hyva'!$B:$B,'[1]Jan Customer Duplicate Hyva'!$A:$A,"NOT FOUND")</f>
        <v>CUST-169</v>
      </c>
      <c r="D51" s="11" t="s">
        <v>46</v>
      </c>
      <c r="E51" s="11" t="s">
        <v>55</v>
      </c>
      <c r="F51" s="5" t="str">
        <f t="shared" si="1"/>
        <v>Gaju Bhau</v>
      </c>
      <c r="G51" s="5" t="str">
        <f t="shared" si="2"/>
        <v/>
      </c>
      <c r="H51" s="5" t="str">
        <f t="shared" si="3"/>
        <v/>
      </c>
      <c r="I51" s="5" t="str">
        <f>_xlfn.XLOOKUP(F51,'[1]Jan Labour Nd Drivers Hyva'!$B:$B,'[2]Jan Labour Nd Drivers Hyva'!$A:$A,"NOT FOUND")</f>
        <v>LAB-001</v>
      </c>
      <c r="J51" s="5" t="str">
        <f>IF(G51="","",_xlfn.XLOOKUP(G51,'[3]Jan Labour Nd Drivers Hyva'!$B:$B,'[2]Jan Labour Nd Drivers Hyva'!$A:$A,"NOT FOUND"))</f>
        <v/>
      </c>
      <c r="K51" s="3"/>
      <c r="L51" s="11" t="s">
        <v>451</v>
      </c>
      <c r="M51" s="11">
        <v>1</v>
      </c>
      <c r="N51" s="24">
        <v>9500</v>
      </c>
      <c r="O51" s="13">
        <f t="shared" si="4"/>
        <v>9500</v>
      </c>
      <c r="P51" s="24">
        <v>9500</v>
      </c>
      <c r="Q51" s="13">
        <f t="shared" si="11"/>
        <v>0</v>
      </c>
      <c r="R51" s="3" t="str">
        <f t="shared" si="6"/>
        <v>PAID</v>
      </c>
      <c r="S51" s="3"/>
      <c r="T51" s="3">
        <f t="shared" si="7"/>
        <v>9500</v>
      </c>
      <c r="U51" s="3" t="str">
        <f t="shared" si="8"/>
        <v>OK</v>
      </c>
      <c r="V51" s="21">
        <f t="shared" si="9"/>
        <v>0</v>
      </c>
      <c r="W51" s="3" t="str">
        <f t="shared" si="10"/>
        <v>OK</v>
      </c>
      <c r="X51" s="3" t="s">
        <v>422</v>
      </c>
      <c r="Y51" s="3" t="s">
        <v>29</v>
      </c>
    </row>
    <row r="52" spans="1:25" x14ac:dyDescent="0.2">
      <c r="A52" s="3" t="str">
        <f t="shared" si="0"/>
        <v>TRIP-HF-064</v>
      </c>
      <c r="B52" s="23">
        <v>45901</v>
      </c>
      <c r="C52" s="3" t="str">
        <f>_xlfn.XLOOKUP(D52,'[1]Jan Customer Duplicate Hyva'!$B:$B,'[1]Jan Customer Duplicate Hyva'!$A:$A,"NOT FOUND")</f>
        <v>CUST-117</v>
      </c>
      <c r="D52" s="11" t="s">
        <v>73</v>
      </c>
      <c r="E52" s="11" t="s">
        <v>55</v>
      </c>
      <c r="F52" s="5" t="str">
        <f t="shared" si="1"/>
        <v>Gaju Bhau</v>
      </c>
      <c r="G52" s="5" t="str">
        <f t="shared" si="2"/>
        <v/>
      </c>
      <c r="H52" s="5" t="str">
        <f t="shared" si="3"/>
        <v/>
      </c>
      <c r="I52" s="5" t="str">
        <f>_xlfn.XLOOKUP(F52,'[1]Jan Labour Nd Drivers Hyva'!$B:$B,'[2]Jan Labour Nd Drivers Hyva'!$A:$A,"NOT FOUND")</f>
        <v>LAB-001</v>
      </c>
      <c r="J52" s="5" t="str">
        <f>IF(G52="","",_xlfn.XLOOKUP(G52,'[3]Jan Labour Nd Drivers Hyva'!$B:$B,'[2]Jan Labour Nd Drivers Hyva'!$A:$A,"NOT FOUND"))</f>
        <v/>
      </c>
      <c r="K52" s="3"/>
      <c r="L52" s="11" t="s">
        <v>89</v>
      </c>
      <c r="M52" s="11">
        <v>3</v>
      </c>
      <c r="N52" s="13">
        <v>9800</v>
      </c>
      <c r="O52" s="13">
        <f t="shared" si="4"/>
        <v>29400</v>
      </c>
      <c r="P52" s="13">
        <v>29400</v>
      </c>
      <c r="Q52" s="13">
        <f t="shared" si="11"/>
        <v>0</v>
      </c>
      <c r="R52" s="3" t="str">
        <f t="shared" si="6"/>
        <v>PAID</v>
      </c>
      <c r="S52" s="3"/>
      <c r="T52" s="3">
        <f t="shared" si="7"/>
        <v>29400</v>
      </c>
      <c r="U52" s="3" t="str">
        <f t="shared" si="8"/>
        <v>OK</v>
      </c>
      <c r="V52" s="21">
        <f t="shared" si="9"/>
        <v>0</v>
      </c>
      <c r="W52" s="3" t="str">
        <f t="shared" si="10"/>
        <v>OK</v>
      </c>
      <c r="X52" s="3" t="s">
        <v>422</v>
      </c>
      <c r="Y52" s="3" t="s">
        <v>29</v>
      </c>
    </row>
    <row r="53" spans="1:25" x14ac:dyDescent="0.2">
      <c r="A53" s="3" t="str">
        <f t="shared" si="0"/>
        <v>TRIP-HF-065</v>
      </c>
      <c r="B53" s="23">
        <v>45901</v>
      </c>
      <c r="C53" s="3" t="str">
        <f>_xlfn.XLOOKUP(D53,'[1]Jan Customer Duplicate Hyva'!$B:$B,'[1]Jan Customer Duplicate Hyva'!$A:$A,"NOT FOUND")</f>
        <v>CUST-117</v>
      </c>
      <c r="D53" s="11" t="s">
        <v>73</v>
      </c>
      <c r="E53" s="11" t="s">
        <v>55</v>
      </c>
      <c r="F53" s="5" t="str">
        <f t="shared" si="1"/>
        <v>Gaju Bhau</v>
      </c>
      <c r="G53" s="5" t="str">
        <f t="shared" si="2"/>
        <v/>
      </c>
      <c r="H53" s="5" t="str">
        <f t="shared" si="3"/>
        <v/>
      </c>
      <c r="I53" s="5" t="str">
        <f>_xlfn.XLOOKUP(F53,'[1]Jan Labour Nd Drivers Hyva'!$B:$B,'[2]Jan Labour Nd Drivers Hyva'!$A:$A,"NOT FOUND")</f>
        <v>LAB-001</v>
      </c>
      <c r="J53" s="5" t="str">
        <f>IF(G53="","",_xlfn.XLOOKUP(G53,'[3]Jan Labour Nd Drivers Hyva'!$B:$B,'[2]Jan Labour Nd Drivers Hyva'!$A:$A,"NOT FOUND"))</f>
        <v/>
      </c>
      <c r="K53" s="3"/>
      <c r="L53" s="11" t="s">
        <v>211</v>
      </c>
      <c r="M53" s="11">
        <v>1</v>
      </c>
      <c r="N53" s="13">
        <v>10000</v>
      </c>
      <c r="O53" s="13">
        <f t="shared" si="4"/>
        <v>10000</v>
      </c>
      <c r="P53" s="13">
        <v>10000</v>
      </c>
      <c r="Q53" s="13">
        <f t="shared" si="11"/>
        <v>0</v>
      </c>
      <c r="R53" s="3" t="str">
        <f t="shared" si="6"/>
        <v>PAID</v>
      </c>
      <c r="S53" s="3"/>
      <c r="T53" s="3">
        <f t="shared" si="7"/>
        <v>10000</v>
      </c>
      <c r="U53" s="3" t="str">
        <f t="shared" si="8"/>
        <v>OK</v>
      </c>
      <c r="V53" s="21">
        <f t="shared" si="9"/>
        <v>0</v>
      </c>
      <c r="W53" s="3" t="str">
        <f t="shared" si="10"/>
        <v>OK</v>
      </c>
      <c r="X53" s="3" t="s">
        <v>422</v>
      </c>
      <c r="Y53" s="3" t="s">
        <v>29</v>
      </c>
    </row>
    <row r="54" spans="1:25" x14ac:dyDescent="0.2">
      <c r="A54" s="3" t="str">
        <f t="shared" si="0"/>
        <v>TRIP-HF-066</v>
      </c>
      <c r="B54" s="23">
        <v>45915</v>
      </c>
      <c r="C54" s="3" t="str">
        <f>_xlfn.XLOOKUP(D54,'[1]Jan Customer Duplicate Hyva'!$B:$B,'[1]Jan Customer Duplicate Hyva'!$A:$A,"NOT FOUND")</f>
        <v>CUST-119</v>
      </c>
      <c r="D54" s="11" t="s">
        <v>303</v>
      </c>
      <c r="E54" s="11" t="s">
        <v>55</v>
      </c>
      <c r="F54" s="5" t="str">
        <f t="shared" si="1"/>
        <v>Gaju Bhau</v>
      </c>
      <c r="G54" s="5" t="str">
        <f t="shared" si="2"/>
        <v/>
      </c>
      <c r="H54" s="5" t="str">
        <f t="shared" si="3"/>
        <v/>
      </c>
      <c r="I54" s="5" t="str">
        <f>_xlfn.XLOOKUP(F54,'[1]Jan Labour Nd Drivers Hyva'!$B:$B,'[2]Jan Labour Nd Drivers Hyva'!$A:$A,"NOT FOUND")</f>
        <v>LAB-001</v>
      </c>
      <c r="J54" s="5" t="str">
        <f>IF(G54="","",_xlfn.XLOOKUP(G54,'[3]Jan Labour Nd Drivers Hyva'!$B:$B,'[2]Jan Labour Nd Drivers Hyva'!$A:$A,"NOT FOUND"))</f>
        <v/>
      </c>
      <c r="K54" s="3"/>
      <c r="L54" s="11" t="s">
        <v>41</v>
      </c>
      <c r="M54" s="11">
        <v>1</v>
      </c>
      <c r="N54" s="24">
        <v>11000</v>
      </c>
      <c r="O54" s="13">
        <f t="shared" si="4"/>
        <v>11000</v>
      </c>
      <c r="P54" s="24">
        <v>11000</v>
      </c>
      <c r="Q54" s="13">
        <f t="shared" si="11"/>
        <v>0</v>
      </c>
      <c r="R54" s="3" t="str">
        <f t="shared" si="6"/>
        <v>PAID</v>
      </c>
      <c r="S54" s="3"/>
      <c r="T54" s="3">
        <f t="shared" si="7"/>
        <v>11000</v>
      </c>
      <c r="U54" s="3" t="str">
        <f t="shared" si="8"/>
        <v>OK</v>
      </c>
      <c r="V54" s="21">
        <f t="shared" si="9"/>
        <v>0</v>
      </c>
      <c r="W54" s="3" t="str">
        <f t="shared" si="10"/>
        <v>OK</v>
      </c>
      <c r="X54" s="3" t="s">
        <v>422</v>
      </c>
      <c r="Y54" s="3" t="s">
        <v>29</v>
      </c>
    </row>
    <row r="55" spans="1:25" x14ac:dyDescent="0.2">
      <c r="A55" s="3" t="str">
        <f t="shared" si="0"/>
        <v>TRIP-HF-067</v>
      </c>
      <c r="B55" s="23">
        <v>45915</v>
      </c>
      <c r="C55" s="3" t="str">
        <f>_xlfn.XLOOKUP(D55,'[1]Jan Customer Duplicate Hyva'!$B:$B,'[1]Jan Customer Duplicate Hyva'!$A:$A,"NOT FOUND")</f>
        <v>NOT FOUND</v>
      </c>
      <c r="D55" s="11" t="s">
        <v>452</v>
      </c>
      <c r="E55" s="11" t="s">
        <v>55</v>
      </c>
      <c r="F55" s="5" t="str">
        <f t="shared" si="1"/>
        <v>Gaju Bhau</v>
      </c>
      <c r="G55" s="5" t="str">
        <f t="shared" si="2"/>
        <v/>
      </c>
      <c r="H55" s="5" t="str">
        <f t="shared" si="3"/>
        <v/>
      </c>
      <c r="I55" s="5" t="str">
        <f>_xlfn.XLOOKUP(F55,'[1]Jan Labour Nd Drivers Hyva'!$B:$B,'[2]Jan Labour Nd Drivers Hyva'!$A:$A,"NOT FOUND")</f>
        <v>LAB-001</v>
      </c>
      <c r="J55" s="5" t="str">
        <f>IF(G55="","",_xlfn.XLOOKUP(G55,'[3]Jan Labour Nd Drivers Hyva'!$B:$B,'[2]Jan Labour Nd Drivers Hyva'!$A:$A,"NOT FOUND"))</f>
        <v/>
      </c>
      <c r="K55" s="3"/>
      <c r="L55" s="11" t="s">
        <v>61</v>
      </c>
      <c r="M55" s="11">
        <v>1</v>
      </c>
      <c r="N55" s="24">
        <v>9500</v>
      </c>
      <c r="O55" s="13">
        <f t="shared" si="4"/>
        <v>9500</v>
      </c>
      <c r="P55" s="24">
        <v>9500</v>
      </c>
      <c r="Q55" s="13">
        <f t="shared" si="11"/>
        <v>0</v>
      </c>
      <c r="R55" s="3" t="str">
        <f t="shared" si="6"/>
        <v>PAID</v>
      </c>
      <c r="S55" s="3"/>
      <c r="T55" s="3">
        <f t="shared" si="7"/>
        <v>9500</v>
      </c>
      <c r="U55" s="3" t="str">
        <f t="shared" si="8"/>
        <v>OK</v>
      </c>
      <c r="V55" s="21">
        <f t="shared" si="9"/>
        <v>0</v>
      </c>
      <c r="W55" s="3" t="str">
        <f t="shared" si="10"/>
        <v>OK</v>
      </c>
      <c r="X55" s="3" t="s">
        <v>422</v>
      </c>
      <c r="Y55" s="3" t="s">
        <v>29</v>
      </c>
    </row>
    <row r="56" spans="1:25" x14ac:dyDescent="0.2">
      <c r="A56" s="3" t="str">
        <f t="shared" si="0"/>
        <v>TRIP-HF-068</v>
      </c>
      <c r="B56" s="23">
        <v>45915</v>
      </c>
      <c r="C56" s="3" t="str">
        <f>_xlfn.XLOOKUP(D56,'[1]Jan Customer Duplicate Hyva'!$B:$B,'[1]Jan Customer Duplicate Hyva'!$A:$A,"NOT FOUND")</f>
        <v>NOT FOUND</v>
      </c>
      <c r="D56" s="11" t="s">
        <v>453</v>
      </c>
      <c r="E56" s="11" t="s">
        <v>55</v>
      </c>
      <c r="F56" s="5" t="str">
        <f t="shared" si="1"/>
        <v>Gaju Bhau</v>
      </c>
      <c r="G56" s="5" t="str">
        <f t="shared" si="2"/>
        <v/>
      </c>
      <c r="H56" s="5" t="str">
        <f t="shared" si="3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3"/>
      <c r="L56" s="11" t="s">
        <v>454</v>
      </c>
      <c r="M56" s="11">
        <v>1</v>
      </c>
      <c r="N56" s="24">
        <v>0</v>
      </c>
      <c r="O56" s="13">
        <f t="shared" si="4"/>
        <v>0</v>
      </c>
      <c r="P56" s="24"/>
      <c r="Q56" s="13">
        <f t="shared" si="11"/>
        <v>0</v>
      </c>
      <c r="R56" s="3" t="str">
        <f t="shared" si="6"/>
        <v>PAID</v>
      </c>
      <c r="S56" s="3"/>
      <c r="T56" s="3">
        <f t="shared" si="7"/>
        <v>0</v>
      </c>
      <c r="U56" s="3" t="str">
        <f t="shared" si="8"/>
        <v>OK</v>
      </c>
      <c r="V56" s="21">
        <f t="shared" si="9"/>
        <v>0</v>
      </c>
      <c r="W56" s="3" t="str">
        <f t="shared" si="10"/>
        <v>OK</v>
      </c>
      <c r="X56" s="3" t="s">
        <v>422</v>
      </c>
      <c r="Y56" s="3" t="s">
        <v>29</v>
      </c>
    </row>
    <row r="57" spans="1:25" x14ac:dyDescent="0.2">
      <c r="A57" s="3" t="str">
        <f t="shared" si="0"/>
        <v>TRIP-HF-069</v>
      </c>
      <c r="B57" s="23">
        <v>45916</v>
      </c>
      <c r="C57" s="3" t="str">
        <f>_xlfn.XLOOKUP(D57,'[1]Jan Customer Duplicate Hyva'!$B:$B,'[1]Jan Customer Duplicate Hyva'!$A:$A,"NOT FOUND")</f>
        <v>CUST-323</v>
      </c>
      <c r="D57" s="11" t="s">
        <v>51</v>
      </c>
      <c r="E57" s="11" t="s">
        <v>55</v>
      </c>
      <c r="F57" s="5" t="str">
        <f t="shared" si="1"/>
        <v>Gaju Bhau</v>
      </c>
      <c r="G57" s="5" t="str">
        <f t="shared" si="2"/>
        <v/>
      </c>
      <c r="H57" s="5" t="str">
        <f t="shared" si="3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3"/>
      <c r="L57" s="11" t="s">
        <v>455</v>
      </c>
      <c r="M57" s="11">
        <v>1</v>
      </c>
      <c r="N57" s="24">
        <v>11000</v>
      </c>
      <c r="O57" s="13">
        <f t="shared" si="4"/>
        <v>11000</v>
      </c>
      <c r="P57" s="24">
        <v>11000</v>
      </c>
      <c r="Q57" s="13">
        <f t="shared" si="11"/>
        <v>0</v>
      </c>
      <c r="R57" s="3" t="str">
        <f t="shared" si="6"/>
        <v>PAID</v>
      </c>
      <c r="S57" s="3"/>
      <c r="T57" s="3">
        <f t="shared" si="7"/>
        <v>11000</v>
      </c>
      <c r="U57" s="3" t="str">
        <f t="shared" si="8"/>
        <v>OK</v>
      </c>
      <c r="V57" s="21">
        <f t="shared" si="9"/>
        <v>0</v>
      </c>
      <c r="W57" s="3" t="str">
        <f t="shared" si="10"/>
        <v>OK</v>
      </c>
      <c r="X57" s="3" t="s">
        <v>422</v>
      </c>
      <c r="Y57" s="3" t="s">
        <v>29</v>
      </c>
    </row>
    <row r="58" spans="1:25" x14ac:dyDescent="0.2">
      <c r="A58" s="3" t="str">
        <f t="shared" si="0"/>
        <v>TRIP-HF-070</v>
      </c>
      <c r="B58" s="23">
        <v>45916</v>
      </c>
      <c r="C58" s="3" t="str">
        <f>_xlfn.XLOOKUP(D58,'[1]Jan Customer Duplicate Hyva'!$B:$B,'[1]Jan Customer Duplicate Hyva'!$A:$A,"NOT FOUND")</f>
        <v>CUST-323</v>
      </c>
      <c r="D58" s="11" t="s">
        <v>51</v>
      </c>
      <c r="E58" s="11" t="s">
        <v>55</v>
      </c>
      <c r="F58" s="5" t="str">
        <f t="shared" si="1"/>
        <v>Gaju Bhau</v>
      </c>
      <c r="G58" s="5" t="str">
        <f t="shared" si="2"/>
        <v/>
      </c>
      <c r="H58" s="5" t="str">
        <f t="shared" si="3"/>
        <v/>
      </c>
      <c r="I58" s="5" t="str">
        <f>_xlfn.XLOOKUP(F58,'[1]Jan Labour Nd Drivers Hyva'!$B:$B,'[2]Jan Labour Nd Drivers Hyva'!$A:$A,"NOT FOUND")</f>
        <v>LAB-001</v>
      </c>
      <c r="J58" s="5" t="str">
        <f>IF(G58="","",_xlfn.XLOOKUP(G58,'[3]Jan Labour Nd Drivers Hyva'!$B:$B,'[2]Jan Labour Nd Drivers Hyva'!$A:$A,"NOT FOUND"))</f>
        <v/>
      </c>
      <c r="K58" s="3"/>
      <c r="L58" s="11" t="s">
        <v>456</v>
      </c>
      <c r="M58" s="11">
        <v>1</v>
      </c>
      <c r="N58" s="24">
        <v>10000</v>
      </c>
      <c r="O58" s="13">
        <f t="shared" si="4"/>
        <v>10000</v>
      </c>
      <c r="P58" s="24">
        <v>8000</v>
      </c>
      <c r="Q58" s="13">
        <f t="shared" si="11"/>
        <v>2000</v>
      </c>
      <c r="R58" s="3" t="str">
        <f t="shared" si="6"/>
        <v>PARTIAL</v>
      </c>
      <c r="S58" s="3"/>
      <c r="T58" s="3">
        <f t="shared" si="7"/>
        <v>10000</v>
      </c>
      <c r="U58" s="3" t="str">
        <f t="shared" si="8"/>
        <v>OK</v>
      </c>
      <c r="V58" s="21">
        <f t="shared" si="9"/>
        <v>2000</v>
      </c>
      <c r="W58" s="3" t="str">
        <f t="shared" si="10"/>
        <v>OK</v>
      </c>
      <c r="X58" s="3" t="s">
        <v>422</v>
      </c>
      <c r="Y58" s="3" t="s">
        <v>29</v>
      </c>
    </row>
    <row r="59" spans="1:25" x14ac:dyDescent="0.2">
      <c r="A59" s="3" t="str">
        <f t="shared" si="0"/>
        <v>TRIP-HF-071</v>
      </c>
      <c r="B59" s="23">
        <v>45917</v>
      </c>
      <c r="C59" s="3" t="str">
        <f>_xlfn.XLOOKUP(D59,'[1]Jan Customer Duplicate Hyva'!$B:$B,'[1]Jan Customer Duplicate Hyva'!$A:$A,"NOT FOUND")</f>
        <v>CUST-117</v>
      </c>
      <c r="D59" s="11" t="s">
        <v>73</v>
      </c>
      <c r="E59" s="11" t="s">
        <v>55</v>
      </c>
      <c r="F59" s="5" t="str">
        <f t="shared" si="1"/>
        <v>Gaju Bhau</v>
      </c>
      <c r="G59" s="5" t="str">
        <f t="shared" si="2"/>
        <v/>
      </c>
      <c r="H59" s="5" t="str">
        <f t="shared" si="3"/>
        <v/>
      </c>
      <c r="I59" s="5" t="str">
        <f>_xlfn.XLOOKUP(F59,'[1]Jan Labour Nd Drivers Hyva'!$B:$B,'[2]Jan Labour Nd Drivers Hyva'!$A:$A,"NOT FOUND")</f>
        <v>LAB-001</v>
      </c>
      <c r="J59" s="5" t="str">
        <f>IF(G59="","",_xlfn.XLOOKUP(G59,'[3]Jan Labour Nd Drivers Hyva'!$B:$B,'[2]Jan Labour Nd Drivers Hyva'!$A:$A,"NOT FOUND"))</f>
        <v/>
      </c>
      <c r="K59" s="3"/>
      <c r="L59" s="11" t="s">
        <v>211</v>
      </c>
      <c r="M59" s="11">
        <v>1</v>
      </c>
      <c r="N59" s="24">
        <v>10800</v>
      </c>
      <c r="O59" s="13">
        <f t="shared" si="4"/>
        <v>10800</v>
      </c>
      <c r="P59" s="24">
        <v>10800</v>
      </c>
      <c r="Q59" s="13">
        <f t="shared" si="11"/>
        <v>0</v>
      </c>
      <c r="R59" s="3" t="str">
        <f t="shared" si="6"/>
        <v>PAID</v>
      </c>
      <c r="S59" s="3"/>
      <c r="T59" s="3">
        <f t="shared" si="7"/>
        <v>10800</v>
      </c>
      <c r="U59" s="3" t="str">
        <f t="shared" si="8"/>
        <v>OK</v>
      </c>
      <c r="V59" s="21">
        <f t="shared" si="9"/>
        <v>0</v>
      </c>
      <c r="W59" s="3" t="str">
        <f t="shared" si="10"/>
        <v>OK</v>
      </c>
      <c r="X59" s="3" t="s">
        <v>422</v>
      </c>
      <c r="Y59" s="3" t="s">
        <v>29</v>
      </c>
    </row>
    <row r="60" spans="1:25" x14ac:dyDescent="0.2">
      <c r="A60" s="3" t="str">
        <f t="shared" si="0"/>
        <v>TRIP-HF-072</v>
      </c>
      <c r="B60" s="23">
        <v>45917</v>
      </c>
      <c r="C60" s="3" t="str">
        <f>_xlfn.XLOOKUP(D60,'[1]Jan Customer Duplicate Hyva'!$B:$B,'[1]Jan Customer Duplicate Hyva'!$A:$A,"NOT FOUND")</f>
        <v>CUST-328</v>
      </c>
      <c r="D60" s="11" t="s">
        <v>88</v>
      </c>
      <c r="E60" s="11" t="s">
        <v>55</v>
      </c>
      <c r="F60" s="5" t="str">
        <f t="shared" si="1"/>
        <v>Gaju Bhau</v>
      </c>
      <c r="G60" s="5" t="str">
        <f t="shared" si="2"/>
        <v/>
      </c>
      <c r="H60" s="5" t="str">
        <f t="shared" si="3"/>
        <v/>
      </c>
      <c r="I60" s="5" t="str">
        <f>_xlfn.XLOOKUP(F60,'[1]Jan Labour Nd Drivers Hyva'!$B:$B,'[2]Jan Labour Nd Drivers Hyva'!$A:$A,"NOT FOUND")</f>
        <v>LAB-001</v>
      </c>
      <c r="J60" s="5" t="str">
        <f>IF(G60="","",_xlfn.XLOOKUP(G60,'[3]Jan Labour Nd Drivers Hyva'!$B:$B,'[2]Jan Labour Nd Drivers Hyva'!$A:$A,"NOT FOUND"))</f>
        <v/>
      </c>
      <c r="K60" s="3"/>
      <c r="L60" s="11" t="s">
        <v>89</v>
      </c>
      <c r="M60" s="11">
        <v>1</v>
      </c>
      <c r="N60" s="24">
        <v>10000</v>
      </c>
      <c r="O60" s="13">
        <f t="shared" si="4"/>
        <v>10000</v>
      </c>
      <c r="P60" s="24">
        <v>10000</v>
      </c>
      <c r="Q60" s="13">
        <f t="shared" si="11"/>
        <v>0</v>
      </c>
      <c r="R60" s="3" t="str">
        <f t="shared" si="6"/>
        <v>PAID</v>
      </c>
      <c r="S60" s="3"/>
      <c r="T60" s="3">
        <f t="shared" si="7"/>
        <v>10000</v>
      </c>
      <c r="U60" s="3" t="str">
        <f t="shared" si="8"/>
        <v>OK</v>
      </c>
      <c r="V60" s="21">
        <f t="shared" si="9"/>
        <v>0</v>
      </c>
      <c r="W60" s="3" t="str">
        <f t="shared" si="10"/>
        <v>OK</v>
      </c>
      <c r="X60" s="3" t="s">
        <v>422</v>
      </c>
      <c r="Y60" s="3" t="s">
        <v>29</v>
      </c>
    </row>
    <row r="61" spans="1:25" x14ac:dyDescent="0.2">
      <c r="A61" s="3" t="str">
        <f t="shared" si="0"/>
        <v>TRIP-HF-073</v>
      </c>
      <c r="B61" s="23">
        <v>45919</v>
      </c>
      <c r="C61" s="3" t="str">
        <f>_xlfn.XLOOKUP(D61,'[1]Jan Customer Duplicate Hyva'!$B:$B,'[1]Jan Customer Duplicate Hyva'!$A:$A,"NOT FOUND")</f>
        <v>CUST-194</v>
      </c>
      <c r="D61" s="11" t="s">
        <v>399</v>
      </c>
      <c r="E61" s="11" t="s">
        <v>55</v>
      </c>
      <c r="F61" s="5" t="str">
        <f t="shared" si="1"/>
        <v>Gaju Bhau</v>
      </c>
      <c r="G61" s="5" t="str">
        <f t="shared" si="2"/>
        <v/>
      </c>
      <c r="H61" s="5" t="str">
        <f t="shared" si="3"/>
        <v/>
      </c>
      <c r="I61" s="5" t="str">
        <f>_xlfn.XLOOKUP(F61,'[1]Jan Labour Nd Drivers Hyva'!$B:$B,'[2]Jan Labour Nd Drivers Hyva'!$A:$A,"NOT FOUND")</f>
        <v>LAB-001</v>
      </c>
      <c r="J61" s="5" t="str">
        <f>IF(G61="","",_xlfn.XLOOKUP(G61,'[3]Jan Labour Nd Drivers Hyva'!$B:$B,'[2]Jan Labour Nd Drivers Hyva'!$A:$A,"NOT FOUND"))</f>
        <v/>
      </c>
      <c r="K61" s="3"/>
      <c r="L61" s="11" t="s">
        <v>41</v>
      </c>
      <c r="M61" s="11">
        <v>1</v>
      </c>
      <c r="N61" s="24">
        <v>11000</v>
      </c>
      <c r="O61" s="13">
        <f t="shared" si="4"/>
        <v>11000</v>
      </c>
      <c r="P61" s="24">
        <v>11000</v>
      </c>
      <c r="Q61" s="13">
        <f t="shared" si="11"/>
        <v>0</v>
      </c>
      <c r="R61" s="3" t="str">
        <f t="shared" si="6"/>
        <v>PAID</v>
      </c>
      <c r="S61" s="3"/>
      <c r="T61" s="3">
        <f t="shared" si="7"/>
        <v>11000</v>
      </c>
      <c r="U61" s="3" t="str">
        <f t="shared" si="8"/>
        <v>OK</v>
      </c>
      <c r="V61" s="21">
        <f t="shared" si="9"/>
        <v>0</v>
      </c>
      <c r="W61" s="3" t="str">
        <f t="shared" si="10"/>
        <v>OK</v>
      </c>
      <c r="X61" s="3" t="s">
        <v>422</v>
      </c>
      <c r="Y61" s="3" t="s">
        <v>29</v>
      </c>
    </row>
    <row r="62" spans="1:25" x14ac:dyDescent="0.2">
      <c r="A62" s="3" t="str">
        <f t="shared" si="0"/>
        <v>TRIP-HF-074</v>
      </c>
      <c r="B62" s="23">
        <v>45921</v>
      </c>
      <c r="C62" s="3" t="str">
        <f>_xlfn.XLOOKUP(D62,'[1]Jan Customer Duplicate Hyva'!$B:$B,'[1]Jan Customer Duplicate Hyva'!$A:$A,"NOT FOUND")</f>
        <v>NOT FOUND</v>
      </c>
      <c r="D62" s="11" t="s">
        <v>457</v>
      </c>
      <c r="E62" s="11" t="s">
        <v>55</v>
      </c>
      <c r="F62" s="5" t="str">
        <f t="shared" si="1"/>
        <v>Gaju Bhau</v>
      </c>
      <c r="G62" s="5" t="str">
        <f t="shared" si="2"/>
        <v/>
      </c>
      <c r="H62" s="5" t="str">
        <f t="shared" si="3"/>
        <v/>
      </c>
      <c r="I62" s="5" t="str">
        <f>_xlfn.XLOOKUP(F62,'[1]Jan Labour Nd Drivers Hyva'!$B:$B,'[2]Jan Labour Nd Drivers Hyva'!$A:$A,"NOT FOUND")</f>
        <v>LAB-001</v>
      </c>
      <c r="J62" s="5" t="str">
        <f>IF(G62="","",_xlfn.XLOOKUP(G62,'[3]Jan Labour Nd Drivers Hyva'!$B:$B,'[2]Jan Labour Nd Drivers Hyva'!$A:$A,"NOT FOUND"))</f>
        <v/>
      </c>
      <c r="K62" s="3"/>
      <c r="L62" s="11" t="s">
        <v>458</v>
      </c>
      <c r="M62" s="11">
        <v>2</v>
      </c>
      <c r="N62" s="24">
        <v>12000</v>
      </c>
      <c r="O62" s="13">
        <f t="shared" si="4"/>
        <v>24000</v>
      </c>
      <c r="P62" s="24">
        <v>24000</v>
      </c>
      <c r="Q62" s="13">
        <f t="shared" si="11"/>
        <v>0</v>
      </c>
      <c r="R62" s="3" t="str">
        <f t="shared" si="6"/>
        <v>PAID</v>
      </c>
      <c r="S62" s="3"/>
      <c r="T62" s="3">
        <f t="shared" si="7"/>
        <v>24000</v>
      </c>
      <c r="U62" s="3" t="str">
        <f t="shared" si="8"/>
        <v>OK</v>
      </c>
      <c r="V62" s="21">
        <f t="shared" si="9"/>
        <v>0</v>
      </c>
      <c r="W62" s="3" t="str">
        <f t="shared" si="10"/>
        <v>OK</v>
      </c>
      <c r="X62" s="3" t="s">
        <v>422</v>
      </c>
      <c r="Y62" s="3" t="s">
        <v>29</v>
      </c>
    </row>
    <row r="63" spans="1:25" x14ac:dyDescent="0.2">
      <c r="A63" s="3" t="str">
        <f t="shared" si="0"/>
        <v>TRIP-HF-075</v>
      </c>
      <c r="B63" s="23">
        <v>45921</v>
      </c>
      <c r="C63" s="3" t="str">
        <f>_xlfn.XLOOKUP(D63,'[1]Jan Customer Duplicate Hyva'!$B:$B,'[1]Jan Customer Duplicate Hyva'!$A:$A,"NOT FOUND")</f>
        <v>CUST-194</v>
      </c>
      <c r="D63" s="11" t="s">
        <v>399</v>
      </c>
      <c r="E63" s="11" t="s">
        <v>55</v>
      </c>
      <c r="F63" s="5" t="str">
        <f t="shared" si="1"/>
        <v>Gaju Bhau</v>
      </c>
      <c r="G63" s="5" t="str">
        <f t="shared" si="2"/>
        <v/>
      </c>
      <c r="H63" s="5" t="str">
        <f t="shared" si="3"/>
        <v/>
      </c>
      <c r="I63" s="5" t="str">
        <f>_xlfn.XLOOKUP(F63,'[1]Jan Labour Nd Drivers Hyva'!$B:$B,'[2]Jan Labour Nd Drivers Hyva'!$A:$A,"NOT FOUND")</f>
        <v>LAB-001</v>
      </c>
      <c r="J63" s="5" t="str">
        <f>IF(G63="","",_xlfn.XLOOKUP(G63,'[3]Jan Labour Nd Drivers Hyva'!$B:$B,'[2]Jan Labour Nd Drivers Hyva'!$A:$A,"NOT FOUND"))</f>
        <v/>
      </c>
      <c r="K63" s="3"/>
      <c r="L63" s="11" t="s">
        <v>335</v>
      </c>
      <c r="M63" s="11">
        <v>1</v>
      </c>
      <c r="N63" s="24">
        <v>11000</v>
      </c>
      <c r="O63" s="13">
        <f t="shared" si="4"/>
        <v>11000</v>
      </c>
      <c r="P63" s="24">
        <v>11000</v>
      </c>
      <c r="Q63" s="13">
        <f t="shared" si="11"/>
        <v>0</v>
      </c>
      <c r="R63" s="3" t="str">
        <f t="shared" si="6"/>
        <v>PAID</v>
      </c>
      <c r="S63" s="3"/>
      <c r="T63" s="3">
        <f t="shared" si="7"/>
        <v>11000</v>
      </c>
      <c r="U63" s="3" t="str">
        <f t="shared" si="8"/>
        <v>OK</v>
      </c>
      <c r="V63" s="21">
        <f t="shared" si="9"/>
        <v>0</v>
      </c>
      <c r="W63" s="3" t="str">
        <f t="shared" si="10"/>
        <v>OK</v>
      </c>
      <c r="X63" s="3" t="s">
        <v>422</v>
      </c>
      <c r="Y63" s="3" t="s">
        <v>29</v>
      </c>
    </row>
    <row r="64" spans="1:25" x14ac:dyDescent="0.2">
      <c r="A64" s="3" t="str">
        <f t="shared" si="0"/>
        <v>TRIP-HF-076</v>
      </c>
      <c r="B64" s="23">
        <v>45922</v>
      </c>
      <c r="C64" s="3" t="str">
        <f>_xlfn.XLOOKUP(D64,'[1]Jan Customer Duplicate Hyva'!$B:$B,'[1]Jan Customer Duplicate Hyva'!$A:$A,"NOT FOUND")</f>
        <v>NOT FOUND</v>
      </c>
      <c r="D64" s="11" t="s">
        <v>459</v>
      </c>
      <c r="E64" s="11" t="s">
        <v>55</v>
      </c>
      <c r="F64" s="5" t="str">
        <f t="shared" si="1"/>
        <v>Gaju Bhau</v>
      </c>
      <c r="G64" s="5" t="str">
        <f t="shared" si="2"/>
        <v/>
      </c>
      <c r="H64" s="5" t="str">
        <f t="shared" si="3"/>
        <v/>
      </c>
      <c r="I64" s="5" t="str">
        <f>_xlfn.XLOOKUP(F64,'[1]Jan Labour Nd Drivers Hyva'!$B:$B,'[2]Jan Labour Nd Drivers Hyva'!$A:$A,"NOT FOUND")</f>
        <v>LAB-001</v>
      </c>
      <c r="J64" s="5" t="str">
        <f>IF(G64="","",_xlfn.XLOOKUP(G64,'[3]Jan Labour Nd Drivers Hyva'!$B:$B,'[2]Jan Labour Nd Drivers Hyva'!$A:$A,"NOT FOUND"))</f>
        <v/>
      </c>
      <c r="K64" s="3"/>
      <c r="L64" s="11" t="s">
        <v>186</v>
      </c>
      <c r="M64" s="11">
        <v>1</v>
      </c>
      <c r="N64" s="24">
        <v>11000</v>
      </c>
      <c r="O64" s="13">
        <f t="shared" si="4"/>
        <v>11000</v>
      </c>
      <c r="P64" s="24">
        <v>11000</v>
      </c>
      <c r="Q64" s="13">
        <f t="shared" si="11"/>
        <v>0</v>
      </c>
      <c r="R64" s="3" t="str">
        <f t="shared" si="6"/>
        <v>PAID</v>
      </c>
      <c r="S64" s="3"/>
      <c r="T64" s="3">
        <f t="shared" si="7"/>
        <v>11000</v>
      </c>
      <c r="U64" s="3" t="str">
        <f t="shared" si="8"/>
        <v>OK</v>
      </c>
      <c r="V64" s="21">
        <f t="shared" si="9"/>
        <v>0</v>
      </c>
      <c r="W64" s="3" t="str">
        <f t="shared" si="10"/>
        <v>OK</v>
      </c>
      <c r="X64" s="3" t="s">
        <v>422</v>
      </c>
      <c r="Y64" s="3" t="s">
        <v>29</v>
      </c>
    </row>
    <row r="65" spans="1:25" x14ac:dyDescent="0.2">
      <c r="A65" s="3" t="str">
        <f t="shared" si="0"/>
        <v>TRIP-HF-077</v>
      </c>
      <c r="B65" s="23">
        <v>45929</v>
      </c>
      <c r="C65" s="3" t="str">
        <f>_xlfn.XLOOKUP(D65,'[1]Jan Customer Duplicate Hyva'!$B:$B,'[1]Jan Customer Duplicate Hyva'!$A:$A,"NOT FOUND")</f>
        <v>CUST-117</v>
      </c>
      <c r="D65" s="11" t="s">
        <v>73</v>
      </c>
      <c r="E65" s="11" t="s">
        <v>55</v>
      </c>
      <c r="F65" s="5" t="str">
        <f t="shared" si="1"/>
        <v>Gaju Bhau</v>
      </c>
      <c r="G65" s="5" t="str">
        <f t="shared" si="2"/>
        <v/>
      </c>
      <c r="H65" s="5" t="str">
        <f t="shared" si="3"/>
        <v/>
      </c>
      <c r="I65" s="5" t="str">
        <f>_xlfn.XLOOKUP(F65,'[1]Jan Labour Nd Drivers Hyva'!$B:$B,'[2]Jan Labour Nd Drivers Hyva'!$A:$A,"NOT FOUND")</f>
        <v>LAB-001</v>
      </c>
      <c r="J65" s="5" t="str">
        <f>IF(G65="","",_xlfn.XLOOKUP(G65,'[3]Jan Labour Nd Drivers Hyva'!$B:$B,'[2]Jan Labour Nd Drivers Hyva'!$A:$A,"NOT FOUND"))</f>
        <v/>
      </c>
      <c r="K65" s="3"/>
      <c r="L65" s="11" t="s">
        <v>211</v>
      </c>
      <c r="M65" s="11">
        <v>1</v>
      </c>
      <c r="N65" s="24">
        <v>10000</v>
      </c>
      <c r="O65" s="13">
        <f t="shared" si="4"/>
        <v>10000</v>
      </c>
      <c r="P65" s="24">
        <v>10000</v>
      </c>
      <c r="Q65" s="13">
        <f t="shared" si="11"/>
        <v>0</v>
      </c>
      <c r="R65" s="3" t="str">
        <f t="shared" si="6"/>
        <v>PAID</v>
      </c>
      <c r="S65" s="3"/>
      <c r="T65" s="3">
        <f t="shared" si="7"/>
        <v>10000</v>
      </c>
      <c r="U65" s="3" t="str">
        <f t="shared" si="8"/>
        <v>OK</v>
      </c>
      <c r="V65" s="21">
        <f t="shared" si="9"/>
        <v>0</v>
      </c>
      <c r="W65" s="3" t="str">
        <f t="shared" si="10"/>
        <v>OK</v>
      </c>
      <c r="X65" s="3" t="s">
        <v>422</v>
      </c>
      <c r="Y65" s="3" t="s">
        <v>29</v>
      </c>
    </row>
    <row r="66" spans="1:25" x14ac:dyDescent="0.2">
      <c r="A66" s="3" t="str">
        <f t="shared" si="0"/>
        <v>TRIP-HF-078</v>
      </c>
      <c r="B66" s="23">
        <v>45929</v>
      </c>
      <c r="C66" s="3" t="str">
        <f>_xlfn.XLOOKUP(D66,'[1]Jan Customer Duplicate Hyva'!$B:$B,'[1]Jan Customer Duplicate Hyva'!$A:$A,"NOT FOUND")</f>
        <v>NOT FOUND</v>
      </c>
      <c r="D66" s="11" t="s">
        <v>460</v>
      </c>
      <c r="E66" s="11" t="s">
        <v>55</v>
      </c>
      <c r="F66" s="5" t="str">
        <f t="shared" si="1"/>
        <v>Gaju Bhau</v>
      </c>
      <c r="G66" s="5" t="str">
        <f t="shared" si="2"/>
        <v/>
      </c>
      <c r="H66" s="5" t="str">
        <f t="shared" si="3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3"/>
      <c r="L66" s="11" t="s">
        <v>458</v>
      </c>
      <c r="M66" s="11">
        <v>1</v>
      </c>
      <c r="N66" s="24">
        <v>12000</v>
      </c>
      <c r="O66" s="13">
        <f t="shared" si="4"/>
        <v>12000</v>
      </c>
      <c r="P66" s="24">
        <v>12000</v>
      </c>
      <c r="Q66" s="13">
        <f t="shared" si="11"/>
        <v>0</v>
      </c>
      <c r="R66" s="3" t="str">
        <f t="shared" si="6"/>
        <v>PAID</v>
      </c>
      <c r="S66" s="3"/>
      <c r="T66" s="3">
        <f t="shared" si="7"/>
        <v>12000</v>
      </c>
      <c r="U66" s="3" t="str">
        <f t="shared" si="8"/>
        <v>OK</v>
      </c>
      <c r="V66" s="21">
        <f t="shared" si="9"/>
        <v>0</v>
      </c>
      <c r="W66" s="3" t="str">
        <f t="shared" si="10"/>
        <v>OK</v>
      </c>
      <c r="X66" s="3" t="s">
        <v>422</v>
      </c>
      <c r="Y66" s="3" t="s">
        <v>29</v>
      </c>
    </row>
    <row r="67" spans="1:25" x14ac:dyDescent="0.2">
      <c r="A67" s="3" t="str">
        <f t="shared" ref="A67:A90" si="12">"TRIP-HF-"&amp;TEXT(ROW()+12,"000")</f>
        <v>TRIP-HF-079</v>
      </c>
      <c r="B67" s="23">
        <v>45939</v>
      </c>
      <c r="C67" s="3" t="str">
        <f>_xlfn.XLOOKUP(D67,'[1]Jan Customer Duplicate Hyva'!$B:$B,'[1]Jan Customer Duplicate Hyva'!$A:$A,"NOT FOUND")</f>
        <v>NOT FOUND</v>
      </c>
      <c r="D67" s="11" t="s">
        <v>460</v>
      </c>
      <c r="E67" s="11" t="s">
        <v>30</v>
      </c>
      <c r="F67" s="5" t="str">
        <f t="shared" ref="F67:F90" si="13">TRIM(_xlfn.TEXTBEFORE(E67&amp;" / "," / "))</f>
        <v>Ravi</v>
      </c>
      <c r="G67" s="5" t="str">
        <f t="shared" ref="G67:G90" si="14">IFERROR(TRIM(_xlfn.TEXTBEFORE(_xlfn.TEXTAFTER(E67," / ")&amp;" / "," / ")),"")</f>
        <v/>
      </c>
      <c r="H67" s="5" t="str">
        <f t="shared" ref="H67:H90" si="15">IFERROR(TRIM(_xlfn.TEXTAFTER(E67," / ","2")),"")</f>
        <v/>
      </c>
      <c r="I67" s="5" t="str">
        <f>_xlfn.XLOOKUP(F67,'[1]Jan Labour Nd Drivers Hyva'!$B:$B,'[2]Jan Labour Nd Drivers Hyva'!$A:$A,"NOT FOUND")</f>
        <v>LAB-003</v>
      </c>
      <c r="J67" s="5" t="str">
        <f>IF(G67="","",_xlfn.XLOOKUP(G67,'[3]Jan Labour Nd Drivers Hyva'!$B:$B,'[2]Jan Labour Nd Drivers Hyva'!$A:$A,"NOT FOUND"))</f>
        <v/>
      </c>
      <c r="K67" s="3"/>
      <c r="L67" s="11" t="s">
        <v>461</v>
      </c>
      <c r="M67" s="11">
        <v>1</v>
      </c>
      <c r="N67" s="24">
        <v>12000</v>
      </c>
      <c r="O67" s="13">
        <f t="shared" ref="O67:O90" si="16">N67*M67</f>
        <v>12000</v>
      </c>
      <c r="P67" s="24">
        <v>12000</v>
      </c>
      <c r="Q67" s="13">
        <f t="shared" si="11"/>
        <v>0</v>
      </c>
      <c r="R67" s="3" t="str">
        <f t="shared" ref="R67:R90" si="17">IF(Q67=0,"PAID",IF(P67=0,"UNPAID","PARTIAL"))</f>
        <v>PAID</v>
      </c>
      <c r="S67" s="3"/>
      <c r="T67" s="3">
        <f t="shared" ref="T67:T90" si="18">M67*N67</f>
        <v>12000</v>
      </c>
      <c r="U67" s="3" t="str">
        <f t="shared" ref="U67:U90" si="19">IF(ROUND(T67,2)=ROUND(O67,2),"OK","CHECK")</f>
        <v>OK</v>
      </c>
      <c r="V67" s="21">
        <f t="shared" ref="V67:V90" si="20">O67-P67</f>
        <v>0</v>
      </c>
      <c r="W67" s="3" t="str">
        <f t="shared" ref="W67:W90" si="21">IF(ROUND(V67,2)=ROUND(Q67,2),"OK","CHECK")</f>
        <v>OK</v>
      </c>
      <c r="X67" s="3" t="s">
        <v>422</v>
      </c>
      <c r="Y67" s="3" t="s">
        <v>29</v>
      </c>
    </row>
    <row r="68" spans="1:25" x14ac:dyDescent="0.2">
      <c r="A68" s="3" t="str">
        <f t="shared" si="12"/>
        <v>TRIP-HF-080</v>
      </c>
      <c r="B68" s="23">
        <v>45940</v>
      </c>
      <c r="C68" s="3" t="str">
        <f>_xlfn.XLOOKUP(D68,'[1]Jan Customer Duplicate Hyva'!$B:$B,'[1]Jan Customer Duplicate Hyva'!$A:$A,"NOT FOUND")</f>
        <v>CUST-117</v>
      </c>
      <c r="D68" s="4" t="s">
        <v>73</v>
      </c>
      <c r="E68" s="11" t="s">
        <v>30</v>
      </c>
      <c r="F68" s="5" t="str">
        <f t="shared" si="13"/>
        <v>Ravi</v>
      </c>
      <c r="G68" s="5" t="str">
        <f t="shared" si="14"/>
        <v/>
      </c>
      <c r="H68" s="5" t="str">
        <f t="shared" si="15"/>
        <v/>
      </c>
      <c r="I68" s="5" t="str">
        <f>_xlfn.XLOOKUP(F68,'[1]Jan Labour Nd Drivers Hyva'!$B:$B,'[2]Jan Labour Nd Drivers Hyva'!$A:$A,"NOT FOUND")</f>
        <v>LAB-003</v>
      </c>
      <c r="J68" s="5" t="str">
        <f>IF(G68="","",_xlfn.XLOOKUP(G68,'[3]Jan Labour Nd Drivers Hyva'!$B:$B,'[2]Jan Labour Nd Drivers Hyva'!$A:$A,"NOT FOUND"))</f>
        <v/>
      </c>
      <c r="K68" s="3"/>
      <c r="L68" s="11" t="s">
        <v>186</v>
      </c>
      <c r="M68" s="11">
        <v>1</v>
      </c>
      <c r="N68" s="24">
        <v>11000</v>
      </c>
      <c r="O68" s="13">
        <f t="shared" si="16"/>
        <v>11000</v>
      </c>
      <c r="P68" s="24">
        <v>11000</v>
      </c>
      <c r="Q68" s="13">
        <f t="shared" si="11"/>
        <v>0</v>
      </c>
      <c r="R68" s="3" t="str">
        <f t="shared" si="17"/>
        <v>PAID</v>
      </c>
      <c r="S68" s="3"/>
      <c r="T68" s="3">
        <f t="shared" si="18"/>
        <v>11000</v>
      </c>
      <c r="U68" s="3" t="str">
        <f t="shared" si="19"/>
        <v>OK</v>
      </c>
      <c r="V68" s="21">
        <f t="shared" si="20"/>
        <v>0</v>
      </c>
      <c r="W68" s="3" t="str">
        <f t="shared" si="21"/>
        <v>OK</v>
      </c>
      <c r="X68" s="3" t="s">
        <v>422</v>
      </c>
      <c r="Y68" s="3" t="s">
        <v>29</v>
      </c>
    </row>
    <row r="69" spans="1:25" x14ac:dyDescent="0.2">
      <c r="A69" s="3" t="str">
        <f t="shared" si="12"/>
        <v>TRIP-HF-081</v>
      </c>
      <c r="B69" s="23">
        <v>45941</v>
      </c>
      <c r="C69" s="3" t="str">
        <f>_xlfn.XLOOKUP(D69,'[1]Jan Customer Duplicate Hyva'!$B:$B,'[1]Jan Customer Duplicate Hyva'!$A:$A,"NOT FOUND")</f>
        <v>CUST-194</v>
      </c>
      <c r="D69" s="4" t="s">
        <v>399</v>
      </c>
      <c r="E69" s="11" t="s">
        <v>30</v>
      </c>
      <c r="F69" s="5" t="str">
        <f t="shared" si="13"/>
        <v>Ravi</v>
      </c>
      <c r="G69" s="5" t="str">
        <f t="shared" si="14"/>
        <v/>
      </c>
      <c r="H69" s="5" t="str">
        <f t="shared" si="15"/>
        <v/>
      </c>
      <c r="I69" s="5" t="str">
        <f>_xlfn.XLOOKUP(F69,'[1]Jan Labour Nd Drivers Hyva'!$B:$B,'[2]Jan Labour Nd Drivers Hyva'!$A:$A,"NOT FOUND")</f>
        <v>LAB-003</v>
      </c>
      <c r="J69" s="5" t="str">
        <f>IF(G69="","",_xlfn.XLOOKUP(G69,'[3]Jan Labour Nd Drivers Hyva'!$B:$B,'[2]Jan Labour Nd Drivers Hyva'!$A:$A,"NOT FOUND"))</f>
        <v/>
      </c>
      <c r="K69" s="3"/>
      <c r="L69" s="11" t="s">
        <v>41</v>
      </c>
      <c r="M69" s="11">
        <v>1</v>
      </c>
      <c r="N69" s="24">
        <v>11000</v>
      </c>
      <c r="O69" s="13">
        <f t="shared" si="16"/>
        <v>11000</v>
      </c>
      <c r="P69" s="24">
        <v>11000</v>
      </c>
      <c r="Q69" s="13">
        <f t="shared" si="11"/>
        <v>0</v>
      </c>
      <c r="R69" s="3" t="str">
        <f t="shared" si="17"/>
        <v>PAID</v>
      </c>
      <c r="S69" s="3"/>
      <c r="T69" s="3">
        <f t="shared" si="18"/>
        <v>11000</v>
      </c>
      <c r="U69" s="3" t="str">
        <f t="shared" si="19"/>
        <v>OK</v>
      </c>
      <c r="V69" s="21">
        <f t="shared" si="20"/>
        <v>0</v>
      </c>
      <c r="W69" s="3" t="str">
        <f t="shared" si="21"/>
        <v>OK</v>
      </c>
      <c r="X69" s="3" t="s">
        <v>422</v>
      </c>
      <c r="Y69" s="3" t="s">
        <v>29</v>
      </c>
    </row>
    <row r="70" spans="1:25" x14ac:dyDescent="0.2">
      <c r="A70" s="3" t="str">
        <f t="shared" si="12"/>
        <v>TRIP-HF-082</v>
      </c>
      <c r="B70" s="23">
        <v>45941</v>
      </c>
      <c r="C70" s="3" t="str">
        <f>_xlfn.XLOOKUP(D70,'[1]Jan Customer Duplicate Hyva'!$B:$B,'[1]Jan Customer Duplicate Hyva'!$A:$A,"NOT FOUND")</f>
        <v>NOT FOUND</v>
      </c>
      <c r="D70" s="4" t="s">
        <v>453</v>
      </c>
      <c r="E70" s="11" t="s">
        <v>30</v>
      </c>
      <c r="F70" s="5" t="str">
        <f t="shared" si="13"/>
        <v>Ravi</v>
      </c>
      <c r="G70" s="5" t="str">
        <f t="shared" si="14"/>
        <v/>
      </c>
      <c r="H70" s="5" t="str">
        <f t="shared" si="15"/>
        <v/>
      </c>
      <c r="I70" s="5" t="str">
        <f>_xlfn.XLOOKUP(F70,'[1]Jan Labour Nd Drivers Hyva'!$B:$B,'[2]Jan Labour Nd Drivers Hyva'!$A:$A,"NOT FOUND")</f>
        <v>LAB-003</v>
      </c>
      <c r="J70" s="5" t="str">
        <f>IF(G70="","",_xlfn.XLOOKUP(G70,'[3]Jan Labour Nd Drivers Hyva'!$B:$B,'[2]Jan Labour Nd Drivers Hyva'!$A:$A,"NOT FOUND"))</f>
        <v/>
      </c>
      <c r="K70" s="3"/>
      <c r="L70" s="11" t="s">
        <v>454</v>
      </c>
      <c r="M70" s="11">
        <v>1</v>
      </c>
      <c r="N70" s="24">
        <v>0</v>
      </c>
      <c r="O70" s="13">
        <f t="shared" si="16"/>
        <v>0</v>
      </c>
      <c r="P70" s="24"/>
      <c r="Q70" s="13">
        <f t="shared" si="11"/>
        <v>0</v>
      </c>
      <c r="R70" s="3" t="str">
        <f t="shared" si="17"/>
        <v>PAID</v>
      </c>
      <c r="S70" s="3"/>
      <c r="T70" s="3">
        <f t="shared" si="18"/>
        <v>0</v>
      </c>
      <c r="U70" s="3" t="str">
        <f t="shared" si="19"/>
        <v>OK</v>
      </c>
      <c r="V70" s="21">
        <f t="shared" si="20"/>
        <v>0</v>
      </c>
      <c r="W70" s="3" t="str">
        <f t="shared" si="21"/>
        <v>OK</v>
      </c>
      <c r="X70" s="3" t="s">
        <v>422</v>
      </c>
      <c r="Y70" s="3" t="s">
        <v>29</v>
      </c>
    </row>
    <row r="71" spans="1:25" x14ac:dyDescent="0.2">
      <c r="A71" s="3" t="str">
        <f t="shared" si="12"/>
        <v>TRIP-HF-083</v>
      </c>
      <c r="B71" s="23">
        <v>45941</v>
      </c>
      <c r="C71" s="3" t="str">
        <f>_xlfn.XLOOKUP(D71,'[1]Jan Customer Duplicate Hyva'!$B:$B,'[1]Jan Customer Duplicate Hyva'!$A:$A,"NOT FOUND")</f>
        <v>CUST-323</v>
      </c>
      <c r="D71" s="11" t="s">
        <v>51</v>
      </c>
      <c r="E71" s="11" t="s">
        <v>30</v>
      </c>
      <c r="F71" s="5" t="str">
        <f t="shared" si="13"/>
        <v>Ravi</v>
      </c>
      <c r="G71" s="5" t="str">
        <f t="shared" si="14"/>
        <v/>
      </c>
      <c r="H71" s="5" t="str">
        <f t="shared" si="15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3"/>
      <c r="L71" s="11" t="s">
        <v>436</v>
      </c>
      <c r="M71" s="11">
        <v>1</v>
      </c>
      <c r="N71" s="24">
        <v>10000</v>
      </c>
      <c r="O71" s="13">
        <f t="shared" si="16"/>
        <v>10000</v>
      </c>
      <c r="P71" s="24"/>
      <c r="Q71" s="13">
        <f t="shared" si="11"/>
        <v>10000</v>
      </c>
      <c r="R71" s="3" t="str">
        <f t="shared" si="17"/>
        <v>UNPAID</v>
      </c>
      <c r="S71" s="3"/>
      <c r="T71" s="3">
        <f t="shared" si="18"/>
        <v>10000</v>
      </c>
      <c r="U71" s="3" t="str">
        <f t="shared" si="19"/>
        <v>OK</v>
      </c>
      <c r="V71" s="21">
        <f t="shared" si="20"/>
        <v>10000</v>
      </c>
      <c r="W71" s="3" t="str">
        <f t="shared" si="21"/>
        <v>OK</v>
      </c>
      <c r="X71" s="3" t="s">
        <v>422</v>
      </c>
      <c r="Y71" s="3" t="s">
        <v>29</v>
      </c>
    </row>
    <row r="72" spans="1:25" x14ac:dyDescent="0.2">
      <c r="A72" s="3" t="str">
        <f t="shared" si="12"/>
        <v>TRIP-HF-084</v>
      </c>
      <c r="B72" s="23">
        <v>45942</v>
      </c>
      <c r="C72" s="3" t="str">
        <f>_xlfn.XLOOKUP(D72,'[1]Jan Customer Duplicate Hyva'!$B:$B,'[1]Jan Customer Duplicate Hyva'!$A:$A,"NOT FOUND")</f>
        <v>CUST-117</v>
      </c>
      <c r="D72" s="4" t="s">
        <v>73</v>
      </c>
      <c r="E72" s="11" t="s">
        <v>30</v>
      </c>
      <c r="F72" s="5" t="str">
        <f t="shared" si="13"/>
        <v>Ravi</v>
      </c>
      <c r="G72" s="5" t="str">
        <f t="shared" si="14"/>
        <v/>
      </c>
      <c r="H72" s="5" t="str">
        <f t="shared" si="15"/>
        <v/>
      </c>
      <c r="I72" s="5" t="str">
        <f>_xlfn.XLOOKUP(F72,'[1]Jan Labour Nd Drivers Hyva'!$B:$B,'[2]Jan Labour Nd Drivers Hyva'!$A:$A,"NOT FOUND")</f>
        <v>LAB-003</v>
      </c>
      <c r="J72" s="5" t="str">
        <f>IF(G72="","",_xlfn.XLOOKUP(G72,'[3]Jan Labour Nd Drivers Hyva'!$B:$B,'[2]Jan Labour Nd Drivers Hyva'!$A:$A,"NOT FOUND"))</f>
        <v/>
      </c>
      <c r="K72" s="3"/>
      <c r="L72" s="11" t="s">
        <v>462</v>
      </c>
      <c r="M72" s="11">
        <v>1</v>
      </c>
      <c r="N72" s="24">
        <v>10000</v>
      </c>
      <c r="O72" s="13">
        <f t="shared" si="16"/>
        <v>10000</v>
      </c>
      <c r="P72" s="24">
        <v>10000</v>
      </c>
      <c r="Q72" s="13">
        <f t="shared" si="11"/>
        <v>0</v>
      </c>
      <c r="R72" s="3" t="str">
        <f t="shared" si="17"/>
        <v>PAID</v>
      </c>
      <c r="S72" s="3"/>
      <c r="T72" s="3">
        <f t="shared" si="18"/>
        <v>10000</v>
      </c>
      <c r="U72" s="3" t="str">
        <f t="shared" si="19"/>
        <v>OK</v>
      </c>
      <c r="V72" s="21">
        <f t="shared" si="20"/>
        <v>0</v>
      </c>
      <c r="W72" s="3" t="str">
        <f t="shared" si="21"/>
        <v>OK</v>
      </c>
      <c r="X72" s="3" t="s">
        <v>422</v>
      </c>
      <c r="Y72" s="3" t="s">
        <v>29</v>
      </c>
    </row>
    <row r="73" spans="1:25" x14ac:dyDescent="0.2">
      <c r="A73" s="3" t="str">
        <f t="shared" si="12"/>
        <v>TRIP-HF-085</v>
      </c>
      <c r="B73" s="23">
        <v>45947</v>
      </c>
      <c r="C73" s="3" t="str">
        <f>_xlfn.XLOOKUP(D73,'[1]Jan Customer Duplicate Hyva'!$B:$B,'[1]Jan Customer Duplicate Hyva'!$A:$A,"NOT FOUND")</f>
        <v>NOT FOUND</v>
      </c>
      <c r="D73" s="4" t="s">
        <v>463</v>
      </c>
      <c r="E73" s="11" t="s">
        <v>30</v>
      </c>
      <c r="F73" s="5" t="str">
        <f t="shared" si="13"/>
        <v>Ravi</v>
      </c>
      <c r="G73" s="5" t="str">
        <f t="shared" si="14"/>
        <v/>
      </c>
      <c r="H73" s="5" t="str">
        <f t="shared" si="15"/>
        <v/>
      </c>
      <c r="I73" s="5" t="str">
        <f>_xlfn.XLOOKUP(F73,'[1]Jan Labour Nd Drivers Hyva'!$B:$B,'[2]Jan Labour Nd Drivers Hyva'!$A:$A,"NOT FOUND")</f>
        <v>LAB-003</v>
      </c>
      <c r="J73" s="5" t="str">
        <f>IF(G73="","",_xlfn.XLOOKUP(G73,'[3]Jan Labour Nd Drivers Hyva'!$B:$B,'[2]Jan Labour Nd Drivers Hyva'!$A:$A,"NOT FOUND"))</f>
        <v/>
      </c>
      <c r="K73" s="3"/>
      <c r="L73" s="11" t="s">
        <v>461</v>
      </c>
      <c r="M73" s="11">
        <v>1</v>
      </c>
      <c r="N73" s="24">
        <v>12000</v>
      </c>
      <c r="O73" s="13">
        <f t="shared" si="16"/>
        <v>12000</v>
      </c>
      <c r="P73" s="24">
        <v>12000</v>
      </c>
      <c r="Q73" s="13">
        <f t="shared" si="11"/>
        <v>0</v>
      </c>
      <c r="R73" s="3" t="str">
        <f t="shared" si="17"/>
        <v>PAID</v>
      </c>
      <c r="S73" s="3"/>
      <c r="T73" s="3">
        <f t="shared" si="18"/>
        <v>12000</v>
      </c>
      <c r="U73" s="3" t="str">
        <f t="shared" si="19"/>
        <v>OK</v>
      </c>
      <c r="V73" s="21">
        <f t="shared" si="20"/>
        <v>0</v>
      </c>
      <c r="W73" s="3" t="str">
        <f t="shared" si="21"/>
        <v>OK</v>
      </c>
      <c r="X73" s="3" t="s">
        <v>422</v>
      </c>
      <c r="Y73" s="3" t="s">
        <v>29</v>
      </c>
    </row>
    <row r="74" spans="1:25" x14ac:dyDescent="0.2">
      <c r="A74" s="3" t="str">
        <f t="shared" si="12"/>
        <v>TRIP-HF-086</v>
      </c>
      <c r="B74" s="23">
        <v>45959</v>
      </c>
      <c r="C74" s="3" t="str">
        <f>_xlfn.XLOOKUP(D74,'[1]Jan Customer Duplicate Hyva'!$B:$B,'[1]Jan Customer Duplicate Hyva'!$A:$A,"NOT FOUND")</f>
        <v>CUST-117</v>
      </c>
      <c r="D74" s="4" t="s">
        <v>73</v>
      </c>
      <c r="E74" s="11" t="s">
        <v>30</v>
      </c>
      <c r="F74" s="5" t="str">
        <f t="shared" si="13"/>
        <v>Ravi</v>
      </c>
      <c r="G74" s="5" t="str">
        <f t="shared" si="14"/>
        <v/>
      </c>
      <c r="H74" s="5" t="str">
        <f t="shared" si="15"/>
        <v/>
      </c>
      <c r="I74" s="5" t="str">
        <f>_xlfn.XLOOKUP(F74,'[1]Jan Labour Nd Drivers Hyva'!$B:$B,'[2]Jan Labour Nd Drivers Hyva'!$A:$A,"NOT FOUND")</f>
        <v>LAB-003</v>
      </c>
      <c r="J74" s="5" t="str">
        <f>IF(G74="","",_xlfn.XLOOKUP(G74,'[3]Jan Labour Nd Drivers Hyva'!$B:$B,'[2]Jan Labour Nd Drivers Hyva'!$A:$A,"NOT FOUND"))</f>
        <v/>
      </c>
      <c r="K74" s="3"/>
      <c r="L74" s="11" t="s">
        <v>211</v>
      </c>
      <c r="M74" s="11">
        <v>1</v>
      </c>
      <c r="N74" s="24">
        <v>11000</v>
      </c>
      <c r="O74" s="13">
        <f t="shared" si="16"/>
        <v>11000</v>
      </c>
      <c r="P74" s="24">
        <v>11000</v>
      </c>
      <c r="Q74" s="13">
        <f t="shared" si="11"/>
        <v>0</v>
      </c>
      <c r="R74" s="3" t="str">
        <f t="shared" si="17"/>
        <v>PAID</v>
      </c>
      <c r="S74" s="3"/>
      <c r="T74" s="3">
        <f t="shared" si="18"/>
        <v>11000</v>
      </c>
      <c r="U74" s="3" t="str">
        <f t="shared" si="19"/>
        <v>OK</v>
      </c>
      <c r="V74" s="21">
        <f t="shared" si="20"/>
        <v>0</v>
      </c>
      <c r="W74" s="3" t="str">
        <f t="shared" si="21"/>
        <v>OK</v>
      </c>
      <c r="X74" s="3" t="s">
        <v>422</v>
      </c>
      <c r="Y74" s="3" t="s">
        <v>29</v>
      </c>
    </row>
    <row r="75" spans="1:25" x14ac:dyDescent="0.2">
      <c r="A75" s="3" t="str">
        <f t="shared" si="12"/>
        <v>TRIP-HF-087</v>
      </c>
      <c r="B75" s="2">
        <v>45972</v>
      </c>
      <c r="C75" s="3" t="str">
        <f>_xlfn.XLOOKUP(D75,'[1]Jan Customer Duplicate Hyva'!$B:$B,'[1]Jan Customer Duplicate Hyva'!$A:$A,"NOT FOUND")</f>
        <v>NOT FOUND</v>
      </c>
      <c r="D75" s="4" t="s">
        <v>463</v>
      </c>
      <c r="E75" s="11" t="s">
        <v>30</v>
      </c>
      <c r="F75" s="5" t="str">
        <f t="shared" si="13"/>
        <v>Ravi</v>
      </c>
      <c r="G75" s="5" t="str">
        <f t="shared" si="14"/>
        <v/>
      </c>
      <c r="H75" s="5" t="str">
        <f t="shared" si="15"/>
        <v/>
      </c>
      <c r="I75" s="5" t="str">
        <f>_xlfn.XLOOKUP(F75,'[1]Jan Labour Nd Drivers Hyva'!$B:$B,'[2]Jan Labour Nd Drivers Hyva'!$A:$A,"NOT FOUND")</f>
        <v>LAB-003</v>
      </c>
      <c r="J75" s="5" t="str">
        <f>IF(G75="","",_xlfn.XLOOKUP(G75,'[3]Jan Labour Nd Drivers Hyva'!$B:$B,'[2]Jan Labour Nd Drivers Hyva'!$A:$A,"NOT FOUND"))</f>
        <v/>
      </c>
      <c r="K75" s="3"/>
      <c r="L75" s="11" t="s">
        <v>461</v>
      </c>
      <c r="M75" s="11">
        <v>1</v>
      </c>
      <c r="N75" s="24">
        <v>12000</v>
      </c>
      <c r="O75" s="13">
        <f t="shared" si="16"/>
        <v>12000</v>
      </c>
      <c r="P75" s="24">
        <v>12000</v>
      </c>
      <c r="Q75" s="13">
        <f t="shared" si="11"/>
        <v>0</v>
      </c>
      <c r="R75" s="3" t="str">
        <f t="shared" si="17"/>
        <v>PAID</v>
      </c>
      <c r="S75" s="3"/>
      <c r="T75" s="3">
        <f t="shared" si="18"/>
        <v>12000</v>
      </c>
      <c r="U75" s="3" t="str">
        <f t="shared" si="19"/>
        <v>OK</v>
      </c>
      <c r="V75" s="21">
        <f t="shared" si="20"/>
        <v>0</v>
      </c>
      <c r="W75" s="3" t="str">
        <f t="shared" si="21"/>
        <v>OK</v>
      </c>
      <c r="X75" s="3" t="s">
        <v>422</v>
      </c>
      <c r="Y75" s="3" t="s">
        <v>29</v>
      </c>
    </row>
    <row r="76" spans="1:25" x14ac:dyDescent="0.2">
      <c r="A76" s="3" t="str">
        <f t="shared" si="12"/>
        <v>TRIP-HF-088</v>
      </c>
      <c r="B76" s="2">
        <v>45973</v>
      </c>
      <c r="C76" s="3" t="str">
        <f>_xlfn.XLOOKUP(D76,'[1]Jan Customer Duplicate Hyva'!$B:$B,'[1]Jan Customer Duplicate Hyva'!$A:$A,"NOT FOUND")</f>
        <v>NOT FOUND</v>
      </c>
      <c r="D76" s="11" t="s">
        <v>237</v>
      </c>
      <c r="E76" s="11" t="s">
        <v>30</v>
      </c>
      <c r="F76" s="5" t="str">
        <f t="shared" si="13"/>
        <v>Ravi</v>
      </c>
      <c r="G76" s="5" t="str">
        <f t="shared" si="14"/>
        <v/>
      </c>
      <c r="H76" s="5" t="str">
        <f t="shared" si="15"/>
        <v/>
      </c>
      <c r="I76" s="5" t="str">
        <f>_xlfn.XLOOKUP(F76,'[1]Jan Labour Nd Drivers Hyva'!$B:$B,'[2]Jan Labour Nd Drivers Hyva'!$A:$A,"NOT FOUND")</f>
        <v>LAB-003</v>
      </c>
      <c r="J76" s="5" t="str">
        <f>IF(G76="","",_xlfn.XLOOKUP(G76,'[3]Jan Labour Nd Drivers Hyva'!$B:$B,'[2]Jan Labour Nd Drivers Hyva'!$A:$A,"NOT FOUND"))</f>
        <v/>
      </c>
      <c r="K76" s="3"/>
      <c r="L76" s="11" t="s">
        <v>56</v>
      </c>
      <c r="M76" s="11">
        <v>1</v>
      </c>
      <c r="N76" s="24">
        <v>10000</v>
      </c>
      <c r="O76" s="13">
        <f t="shared" si="16"/>
        <v>10000</v>
      </c>
      <c r="P76" s="24">
        <v>10000</v>
      </c>
      <c r="Q76" s="13">
        <f t="shared" si="11"/>
        <v>0</v>
      </c>
      <c r="R76" s="3" t="str">
        <f t="shared" si="17"/>
        <v>PAID</v>
      </c>
      <c r="S76" s="3"/>
      <c r="T76" s="3">
        <f t="shared" si="18"/>
        <v>10000</v>
      </c>
      <c r="U76" s="3" t="str">
        <f t="shared" si="19"/>
        <v>OK</v>
      </c>
      <c r="V76" s="21">
        <f t="shared" si="20"/>
        <v>0</v>
      </c>
      <c r="W76" s="3" t="str">
        <f t="shared" si="21"/>
        <v>OK</v>
      </c>
      <c r="X76" s="3" t="s">
        <v>422</v>
      </c>
      <c r="Y76" s="3" t="s">
        <v>29</v>
      </c>
    </row>
    <row r="77" spans="1:25" x14ac:dyDescent="0.2">
      <c r="A77" s="3" t="str">
        <f t="shared" si="12"/>
        <v>TRIP-HF-089</v>
      </c>
      <c r="B77" s="2">
        <v>45973</v>
      </c>
      <c r="C77" s="3" t="str">
        <f>_xlfn.XLOOKUP(D77,'[1]Jan Customer Duplicate Hyva'!$B:$B,'[1]Jan Customer Duplicate Hyva'!$A:$A,"NOT FOUND")</f>
        <v>NOT FOUND</v>
      </c>
      <c r="D77" s="4" t="s">
        <v>298</v>
      </c>
      <c r="E77" s="11" t="s">
        <v>30</v>
      </c>
      <c r="F77" s="5" t="str">
        <f t="shared" si="13"/>
        <v>Ravi</v>
      </c>
      <c r="G77" s="5" t="str">
        <f t="shared" si="14"/>
        <v/>
      </c>
      <c r="H77" s="5" t="str">
        <f t="shared" si="15"/>
        <v/>
      </c>
      <c r="I77" s="5" t="str">
        <f>_xlfn.XLOOKUP(F77,'[1]Jan Labour Nd Drivers Hyva'!$B:$B,'[2]Jan Labour Nd Drivers Hyva'!$A:$A,"NOT FOUND")</f>
        <v>LAB-003</v>
      </c>
      <c r="J77" s="5" t="str">
        <f>IF(G77="","",_xlfn.XLOOKUP(G77,'[3]Jan Labour Nd Drivers Hyva'!$B:$B,'[2]Jan Labour Nd Drivers Hyva'!$A:$A,"NOT FOUND"))</f>
        <v/>
      </c>
      <c r="K77" s="3"/>
      <c r="L77" s="11" t="s">
        <v>186</v>
      </c>
      <c r="M77" s="11">
        <v>1</v>
      </c>
      <c r="N77" s="24">
        <v>9500</v>
      </c>
      <c r="O77" s="13">
        <f t="shared" si="16"/>
        <v>9500</v>
      </c>
      <c r="P77" s="24">
        <v>9500</v>
      </c>
      <c r="Q77" s="13">
        <f t="shared" si="11"/>
        <v>0</v>
      </c>
      <c r="R77" s="3" t="str">
        <f t="shared" si="17"/>
        <v>PAID</v>
      </c>
      <c r="S77" s="3"/>
      <c r="T77" s="3">
        <f t="shared" si="18"/>
        <v>9500</v>
      </c>
      <c r="U77" s="3" t="str">
        <f t="shared" si="19"/>
        <v>OK</v>
      </c>
      <c r="V77" s="21">
        <f t="shared" si="20"/>
        <v>0</v>
      </c>
      <c r="W77" s="3" t="str">
        <f t="shared" si="21"/>
        <v>OK</v>
      </c>
      <c r="X77" s="3" t="s">
        <v>422</v>
      </c>
      <c r="Y77" s="3" t="s">
        <v>29</v>
      </c>
    </row>
    <row r="78" spans="1:25" x14ac:dyDescent="0.2">
      <c r="A78" s="3" t="str">
        <f t="shared" si="12"/>
        <v>TRIP-HF-090</v>
      </c>
      <c r="B78" s="2">
        <v>45974</v>
      </c>
      <c r="C78" s="3" t="str">
        <f>_xlfn.XLOOKUP(D78,'[1]Jan Customer Duplicate Hyva'!$B:$B,'[1]Jan Customer Duplicate Hyva'!$A:$A,"NOT FOUND")</f>
        <v>NOT FOUND</v>
      </c>
      <c r="D78" s="4" t="s">
        <v>298</v>
      </c>
      <c r="E78" s="11" t="s">
        <v>30</v>
      </c>
      <c r="F78" s="5" t="str">
        <f t="shared" si="13"/>
        <v>Ravi</v>
      </c>
      <c r="G78" s="5" t="str">
        <f t="shared" si="14"/>
        <v/>
      </c>
      <c r="H78" s="5" t="str">
        <f t="shared" si="15"/>
        <v/>
      </c>
      <c r="I78" s="5" t="str">
        <f>_xlfn.XLOOKUP(F78,'[1]Jan Labour Nd Drivers Hyva'!$B:$B,'[2]Jan Labour Nd Drivers Hyva'!$A:$A,"NOT FOUND")</f>
        <v>LAB-003</v>
      </c>
      <c r="J78" s="5" t="str">
        <f>IF(G78="","",_xlfn.XLOOKUP(G78,'[3]Jan Labour Nd Drivers Hyva'!$B:$B,'[2]Jan Labour Nd Drivers Hyva'!$A:$A,"NOT FOUND"))</f>
        <v/>
      </c>
      <c r="K78" s="3"/>
      <c r="L78" s="11" t="s">
        <v>186</v>
      </c>
      <c r="M78" s="11">
        <v>2</v>
      </c>
      <c r="N78" s="24">
        <v>9000</v>
      </c>
      <c r="O78" s="13">
        <f t="shared" si="16"/>
        <v>18000</v>
      </c>
      <c r="P78" s="24"/>
      <c r="Q78" s="13">
        <f t="shared" si="11"/>
        <v>18000</v>
      </c>
      <c r="R78" s="3" t="str">
        <f t="shared" si="17"/>
        <v>UNPAID</v>
      </c>
      <c r="S78" s="3"/>
      <c r="T78" s="3">
        <f t="shared" si="18"/>
        <v>18000</v>
      </c>
      <c r="U78" s="3" t="str">
        <f t="shared" si="19"/>
        <v>OK</v>
      </c>
      <c r="V78" s="21">
        <f t="shared" si="20"/>
        <v>18000</v>
      </c>
      <c r="W78" s="3" t="str">
        <f t="shared" si="21"/>
        <v>OK</v>
      </c>
      <c r="X78" s="3" t="s">
        <v>422</v>
      </c>
      <c r="Y78" s="3" t="s">
        <v>29</v>
      </c>
    </row>
    <row r="79" spans="1:25" x14ac:dyDescent="0.2">
      <c r="A79" s="3" t="str">
        <f t="shared" si="12"/>
        <v>TRIP-HF-091</v>
      </c>
      <c r="B79" s="2">
        <v>45975</v>
      </c>
      <c r="C79" s="3" t="str">
        <f>_xlfn.XLOOKUP(D79,'[1]Jan Customer Duplicate Hyva'!$B:$B,'[1]Jan Customer Duplicate Hyva'!$A:$A,"NOT FOUND")</f>
        <v>NOT FOUND</v>
      </c>
      <c r="D79" s="4" t="s">
        <v>298</v>
      </c>
      <c r="E79" s="11" t="s">
        <v>26</v>
      </c>
      <c r="F79" s="5" t="str">
        <f t="shared" si="13"/>
        <v>Anshu</v>
      </c>
      <c r="G79" s="5" t="str">
        <f t="shared" si="14"/>
        <v/>
      </c>
      <c r="H79" s="5" t="str">
        <f t="shared" si="15"/>
        <v/>
      </c>
      <c r="I79" s="5" t="str">
        <f>_xlfn.XLOOKUP(F79,'[1]Jan Labour Nd Drivers Hyva'!$B:$B,'[2]Jan Labour Nd Drivers Hyva'!$A:$A,"NOT FOUND")</f>
        <v>LAB-002</v>
      </c>
      <c r="J79" s="5" t="str">
        <f>IF(G79="","",_xlfn.XLOOKUP(G79,'[3]Jan Labour Nd Drivers Hyva'!$B:$B,'[2]Jan Labour Nd Drivers Hyva'!$A:$A,"NOT FOUND"))</f>
        <v/>
      </c>
      <c r="K79" s="3"/>
      <c r="L79" s="11" t="s">
        <v>186</v>
      </c>
      <c r="M79" s="11">
        <v>1</v>
      </c>
      <c r="N79" s="24">
        <v>9000</v>
      </c>
      <c r="O79" s="13">
        <f t="shared" si="16"/>
        <v>9000</v>
      </c>
      <c r="P79" s="24">
        <v>9000</v>
      </c>
      <c r="Q79" s="13">
        <f t="shared" si="11"/>
        <v>0</v>
      </c>
      <c r="R79" s="3" t="str">
        <f t="shared" si="17"/>
        <v>PAID</v>
      </c>
      <c r="S79" s="3"/>
      <c r="T79" s="3">
        <f t="shared" si="18"/>
        <v>9000</v>
      </c>
      <c r="U79" s="3" t="str">
        <f t="shared" si="19"/>
        <v>OK</v>
      </c>
      <c r="V79" s="21">
        <f t="shared" si="20"/>
        <v>0</v>
      </c>
      <c r="W79" s="3" t="str">
        <f t="shared" si="21"/>
        <v>OK</v>
      </c>
      <c r="X79" s="3" t="s">
        <v>422</v>
      </c>
      <c r="Y79" s="3" t="s">
        <v>29</v>
      </c>
    </row>
    <row r="80" spans="1:25" x14ac:dyDescent="0.2">
      <c r="A80" s="3" t="str">
        <f t="shared" si="12"/>
        <v>TRIP-HF-092</v>
      </c>
      <c r="B80" s="2">
        <v>45976</v>
      </c>
      <c r="C80" s="3" t="str">
        <f>_xlfn.XLOOKUP(D80,'[1]Jan Customer Duplicate Hyva'!$B:$B,'[1]Jan Customer Duplicate Hyva'!$A:$A,"NOT FOUND")</f>
        <v>CUST-017</v>
      </c>
      <c r="D80" s="4" t="s">
        <v>151</v>
      </c>
      <c r="E80" s="11" t="s">
        <v>30</v>
      </c>
      <c r="F80" s="5" t="str">
        <f t="shared" si="13"/>
        <v>Ravi</v>
      </c>
      <c r="G80" s="5" t="str">
        <f t="shared" si="14"/>
        <v/>
      </c>
      <c r="H80" s="5" t="str">
        <f t="shared" si="15"/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/>
      </c>
      <c r="K80" s="3"/>
      <c r="L80" s="11" t="s">
        <v>464</v>
      </c>
      <c r="M80" s="11">
        <v>2</v>
      </c>
      <c r="N80" s="24">
        <v>1800</v>
      </c>
      <c r="O80" s="13">
        <f t="shared" si="16"/>
        <v>3600</v>
      </c>
      <c r="P80" s="24">
        <v>3600</v>
      </c>
      <c r="Q80" s="13">
        <f t="shared" si="11"/>
        <v>0</v>
      </c>
      <c r="R80" s="3" t="str">
        <f t="shared" si="17"/>
        <v>PAID</v>
      </c>
      <c r="S80" s="3"/>
      <c r="T80" s="3">
        <f t="shared" si="18"/>
        <v>3600</v>
      </c>
      <c r="U80" s="3" t="str">
        <f t="shared" si="19"/>
        <v>OK</v>
      </c>
      <c r="V80" s="21">
        <f t="shared" si="20"/>
        <v>0</v>
      </c>
      <c r="W80" s="3" t="str">
        <f t="shared" si="21"/>
        <v>OK</v>
      </c>
      <c r="X80" s="3" t="s">
        <v>422</v>
      </c>
      <c r="Y80" s="3" t="s">
        <v>29</v>
      </c>
    </row>
    <row r="81" spans="1:25" x14ac:dyDescent="0.2">
      <c r="A81" s="3" t="str">
        <f t="shared" si="12"/>
        <v>TRIP-HF-093</v>
      </c>
      <c r="B81" s="2">
        <v>45979</v>
      </c>
      <c r="C81" s="3" t="str">
        <f>_xlfn.XLOOKUP(D81,'[1]Jan Customer Duplicate Hyva'!$B:$B,'[1]Jan Customer Duplicate Hyva'!$A:$A,"NOT FOUND")</f>
        <v>CUST-017</v>
      </c>
      <c r="D81" s="4" t="s">
        <v>151</v>
      </c>
      <c r="E81" s="11" t="s">
        <v>309</v>
      </c>
      <c r="F81" s="5" t="str">
        <f t="shared" si="13"/>
        <v>Santosh</v>
      </c>
      <c r="G81" s="5" t="str">
        <f t="shared" si="14"/>
        <v/>
      </c>
      <c r="H81" s="5" t="str">
        <f t="shared" si="15"/>
        <v/>
      </c>
      <c r="I81" s="5" t="str">
        <f>_xlfn.XLOOKUP(F81,'[1]Jan Labour Nd Drivers Hyva'!$B:$B,'[2]Jan Labour Nd Drivers Hyva'!$A:$A,"NOT FOUND")</f>
        <v>LAB-009</v>
      </c>
      <c r="J81" s="5" t="str">
        <f>IF(G81="","",_xlfn.XLOOKUP(G81,'[3]Jan Labour Nd Drivers Hyva'!$B:$B,'[2]Jan Labour Nd Drivers Hyva'!$A:$A,"NOT FOUND"))</f>
        <v/>
      </c>
      <c r="K81" s="3"/>
      <c r="L81" s="11" t="s">
        <v>464</v>
      </c>
      <c r="M81" s="11">
        <v>2</v>
      </c>
      <c r="N81" s="24">
        <v>1800</v>
      </c>
      <c r="O81" s="13">
        <f t="shared" si="16"/>
        <v>3600</v>
      </c>
      <c r="P81" s="24">
        <v>3600</v>
      </c>
      <c r="Q81" s="13">
        <f t="shared" si="11"/>
        <v>0</v>
      </c>
      <c r="R81" s="3" t="str">
        <f t="shared" si="17"/>
        <v>PAID</v>
      </c>
      <c r="S81" s="3"/>
      <c r="T81" s="3">
        <f t="shared" si="18"/>
        <v>3600</v>
      </c>
      <c r="U81" s="3" t="str">
        <f t="shared" si="19"/>
        <v>OK</v>
      </c>
      <c r="V81" s="21">
        <f t="shared" si="20"/>
        <v>0</v>
      </c>
      <c r="W81" s="3" t="str">
        <f t="shared" si="21"/>
        <v>OK</v>
      </c>
      <c r="X81" s="3" t="s">
        <v>422</v>
      </c>
      <c r="Y81" s="3" t="s">
        <v>29</v>
      </c>
    </row>
    <row r="82" spans="1:25" x14ac:dyDescent="0.2">
      <c r="A82" s="3" t="str">
        <f t="shared" si="12"/>
        <v>TRIP-HF-094</v>
      </c>
      <c r="B82" s="2">
        <v>45981</v>
      </c>
      <c r="C82" s="3" t="str">
        <f>_xlfn.XLOOKUP(D82,'[1]Jan Customer Duplicate Hyva'!$B:$B,'[1]Jan Customer Duplicate Hyva'!$A:$A,"NOT FOUND")</f>
        <v>NOT FOUND</v>
      </c>
      <c r="D82" s="4" t="s">
        <v>465</v>
      </c>
      <c r="E82" s="11" t="s">
        <v>30</v>
      </c>
      <c r="F82" s="5" t="str">
        <f t="shared" si="13"/>
        <v>Ravi</v>
      </c>
      <c r="G82" s="5" t="str">
        <f t="shared" si="14"/>
        <v/>
      </c>
      <c r="H82" s="5" t="str">
        <f t="shared" si="15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3"/>
      <c r="L82" s="11" t="s">
        <v>461</v>
      </c>
      <c r="M82" s="11">
        <v>1</v>
      </c>
      <c r="N82" s="24">
        <v>12000</v>
      </c>
      <c r="O82" s="13">
        <f t="shared" si="16"/>
        <v>12000</v>
      </c>
      <c r="P82" s="24">
        <v>12000</v>
      </c>
      <c r="Q82" s="13">
        <f t="shared" si="11"/>
        <v>0</v>
      </c>
      <c r="R82" s="3" t="str">
        <f t="shared" si="17"/>
        <v>PAID</v>
      </c>
      <c r="S82" s="3"/>
      <c r="T82" s="3">
        <f t="shared" si="18"/>
        <v>12000</v>
      </c>
      <c r="U82" s="3" t="str">
        <f t="shared" si="19"/>
        <v>OK</v>
      </c>
      <c r="V82" s="21">
        <f t="shared" si="20"/>
        <v>0</v>
      </c>
      <c r="W82" s="3" t="str">
        <f t="shared" si="21"/>
        <v>OK</v>
      </c>
      <c r="X82" s="3" t="s">
        <v>422</v>
      </c>
      <c r="Y82" s="3" t="s">
        <v>29</v>
      </c>
    </row>
    <row r="83" spans="1:25" x14ac:dyDescent="0.2">
      <c r="A83" s="3" t="str">
        <f t="shared" si="12"/>
        <v>TRIP-HF-095</v>
      </c>
      <c r="B83" s="2">
        <v>45989</v>
      </c>
      <c r="C83" s="3" t="str">
        <f>_xlfn.XLOOKUP(D83,'[1]Jan Customer Duplicate Hyva'!$B:$B,'[1]Jan Customer Duplicate Hyva'!$A:$A,"NOT FOUND")</f>
        <v>CUST-002</v>
      </c>
      <c r="D83" s="4" t="s">
        <v>223</v>
      </c>
      <c r="E83" s="11" t="s">
        <v>30</v>
      </c>
      <c r="F83" s="5" t="str">
        <f t="shared" si="13"/>
        <v>Ravi</v>
      </c>
      <c r="G83" s="5" t="str">
        <f t="shared" si="14"/>
        <v/>
      </c>
      <c r="H83" s="5" t="str">
        <f t="shared" si="15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3"/>
      <c r="L83" s="11" t="s">
        <v>411</v>
      </c>
      <c r="M83" s="11">
        <v>2</v>
      </c>
      <c r="N83" s="24">
        <v>10000</v>
      </c>
      <c r="O83" s="13">
        <f t="shared" si="16"/>
        <v>20000</v>
      </c>
      <c r="P83" s="24">
        <v>20000</v>
      </c>
      <c r="Q83" s="13">
        <f t="shared" si="11"/>
        <v>0</v>
      </c>
      <c r="R83" s="3" t="str">
        <f t="shared" si="17"/>
        <v>PAID</v>
      </c>
      <c r="S83" s="3"/>
      <c r="T83" s="3">
        <f t="shared" si="18"/>
        <v>20000</v>
      </c>
      <c r="U83" s="3" t="str">
        <f t="shared" si="19"/>
        <v>OK</v>
      </c>
      <c r="V83" s="21">
        <f t="shared" si="20"/>
        <v>0</v>
      </c>
      <c r="W83" s="3" t="str">
        <f t="shared" si="21"/>
        <v>OK</v>
      </c>
      <c r="X83" s="3" t="s">
        <v>422</v>
      </c>
      <c r="Y83" s="3" t="s">
        <v>29</v>
      </c>
    </row>
    <row r="84" spans="1:25" x14ac:dyDescent="0.2">
      <c r="A84" s="3" t="str">
        <f t="shared" si="12"/>
        <v>TRIP-HF-096</v>
      </c>
      <c r="B84" s="2">
        <v>45991</v>
      </c>
      <c r="C84" s="3" t="str">
        <f>_xlfn.XLOOKUP(D84,'[1]Jan Customer Duplicate Hyva'!$B:$B,'[1]Jan Customer Duplicate Hyva'!$A:$A,"NOT FOUND")</f>
        <v>NOT FOUND</v>
      </c>
      <c r="D84" s="4" t="s">
        <v>453</v>
      </c>
      <c r="E84" s="11" t="s">
        <v>30</v>
      </c>
      <c r="F84" s="5" t="str">
        <f t="shared" si="13"/>
        <v>Ravi</v>
      </c>
      <c r="G84" s="5" t="str">
        <f t="shared" si="14"/>
        <v/>
      </c>
      <c r="H84" s="5" t="str">
        <f t="shared" si="15"/>
        <v/>
      </c>
      <c r="I84" s="5" t="str">
        <f>_xlfn.XLOOKUP(F84,'[1]Jan Labour Nd Drivers Hyva'!$B:$B,'[2]Jan Labour Nd Drivers Hyva'!$A:$A,"NOT FOUND")</f>
        <v>LAB-003</v>
      </c>
      <c r="J84" s="5" t="str">
        <f>IF(G84="","",_xlfn.XLOOKUP(G84,'[3]Jan Labour Nd Drivers Hyva'!$B:$B,'[2]Jan Labour Nd Drivers Hyva'!$A:$A,"NOT FOUND"))</f>
        <v/>
      </c>
      <c r="K84" s="3"/>
      <c r="L84" s="11" t="s">
        <v>454</v>
      </c>
      <c r="M84" s="11">
        <v>1</v>
      </c>
      <c r="N84" s="24">
        <v>0</v>
      </c>
      <c r="O84" s="13">
        <f t="shared" si="16"/>
        <v>0</v>
      </c>
      <c r="P84" s="24"/>
      <c r="Q84" s="13">
        <f t="shared" si="11"/>
        <v>0</v>
      </c>
      <c r="R84" s="3" t="str">
        <f t="shared" si="17"/>
        <v>PAID</v>
      </c>
      <c r="S84" s="3"/>
      <c r="T84" s="3">
        <f t="shared" si="18"/>
        <v>0</v>
      </c>
      <c r="U84" s="3" t="str">
        <f t="shared" si="19"/>
        <v>OK</v>
      </c>
      <c r="V84" s="21">
        <f t="shared" si="20"/>
        <v>0</v>
      </c>
      <c r="W84" s="3" t="str">
        <f t="shared" si="21"/>
        <v>OK</v>
      </c>
      <c r="X84" s="3" t="s">
        <v>422</v>
      </c>
      <c r="Y84" s="3" t="s">
        <v>29</v>
      </c>
    </row>
    <row r="85" spans="1:25" x14ac:dyDescent="0.2">
      <c r="A85" s="3" t="str">
        <f t="shared" si="12"/>
        <v>TRIP-HF-097</v>
      </c>
      <c r="B85" s="2">
        <v>46000</v>
      </c>
      <c r="C85" s="3" t="str">
        <f>_xlfn.XLOOKUP(D85,'[1]Jan Customer Duplicate Hyva'!$B:$B,'[1]Jan Customer Duplicate Hyva'!$A:$A,"NOT FOUND")</f>
        <v>CUST-169</v>
      </c>
      <c r="D85" s="4" t="s">
        <v>46</v>
      </c>
      <c r="E85" s="11" t="s">
        <v>30</v>
      </c>
      <c r="F85" s="5" t="str">
        <f t="shared" si="13"/>
        <v>Ravi</v>
      </c>
      <c r="G85" s="5" t="str">
        <f t="shared" si="14"/>
        <v/>
      </c>
      <c r="H85" s="5" t="str">
        <f t="shared" si="15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3"/>
      <c r="L85" s="11" t="s">
        <v>466</v>
      </c>
      <c r="M85" s="11">
        <v>1</v>
      </c>
      <c r="N85" s="24">
        <v>6500</v>
      </c>
      <c r="O85" s="13">
        <f t="shared" si="16"/>
        <v>6500</v>
      </c>
      <c r="P85" s="24">
        <v>6500</v>
      </c>
      <c r="Q85" s="13">
        <f t="shared" si="11"/>
        <v>0</v>
      </c>
      <c r="R85" s="3" t="str">
        <f t="shared" si="17"/>
        <v>PAID</v>
      </c>
      <c r="S85" s="3"/>
      <c r="T85" s="3">
        <f t="shared" si="18"/>
        <v>6500</v>
      </c>
      <c r="U85" s="3" t="str">
        <f t="shared" si="19"/>
        <v>OK</v>
      </c>
      <c r="V85" s="21">
        <f t="shared" si="20"/>
        <v>0</v>
      </c>
      <c r="W85" s="3" t="str">
        <f t="shared" si="21"/>
        <v>OK</v>
      </c>
      <c r="X85" s="3" t="s">
        <v>422</v>
      </c>
      <c r="Y85" s="3" t="s">
        <v>29</v>
      </c>
    </row>
    <row r="86" spans="1:25" x14ac:dyDescent="0.2">
      <c r="A86" s="3" t="str">
        <f t="shared" si="12"/>
        <v>TRIP-HF-098</v>
      </c>
      <c r="B86" s="2">
        <v>46008</v>
      </c>
      <c r="C86" s="3" t="str">
        <f>_xlfn.XLOOKUP(D86,'[1]Jan Customer Duplicate Hyva'!$B:$B,'[1]Jan Customer Duplicate Hyva'!$A:$A,"NOT FOUND")</f>
        <v>CUST-169</v>
      </c>
      <c r="D86" s="4" t="s">
        <v>46</v>
      </c>
      <c r="E86" s="11" t="s">
        <v>30</v>
      </c>
      <c r="F86" s="5" t="str">
        <f t="shared" si="13"/>
        <v>Ravi</v>
      </c>
      <c r="G86" s="5" t="str">
        <f t="shared" si="14"/>
        <v/>
      </c>
      <c r="H86" s="5" t="str">
        <f t="shared" si="15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3"/>
      <c r="L86" s="11" t="s">
        <v>466</v>
      </c>
      <c r="M86" s="11">
        <v>1</v>
      </c>
      <c r="N86" s="24">
        <v>6500</v>
      </c>
      <c r="O86" s="13">
        <f t="shared" si="16"/>
        <v>6500</v>
      </c>
      <c r="P86" s="24">
        <v>6500</v>
      </c>
      <c r="Q86" s="13">
        <f t="shared" si="11"/>
        <v>0</v>
      </c>
      <c r="R86" s="3" t="str">
        <f t="shared" si="17"/>
        <v>PAID</v>
      </c>
      <c r="S86" s="3"/>
      <c r="T86" s="3">
        <f t="shared" si="18"/>
        <v>6500</v>
      </c>
      <c r="U86" s="3" t="str">
        <f t="shared" si="19"/>
        <v>OK</v>
      </c>
      <c r="V86" s="21">
        <f t="shared" si="20"/>
        <v>0</v>
      </c>
      <c r="W86" s="3" t="str">
        <f t="shared" si="21"/>
        <v>OK</v>
      </c>
      <c r="X86" s="3" t="s">
        <v>422</v>
      </c>
      <c r="Y86" s="3" t="s">
        <v>29</v>
      </c>
    </row>
    <row r="87" spans="1:25" x14ac:dyDescent="0.2">
      <c r="A87" s="3" t="str">
        <f t="shared" si="12"/>
        <v>TRIP-HF-099</v>
      </c>
      <c r="B87" s="2">
        <v>46010</v>
      </c>
      <c r="C87" s="3" t="str">
        <f>_xlfn.XLOOKUP(D87,'[1]Jan Customer Duplicate Hyva'!$B:$B,'[1]Jan Customer Duplicate Hyva'!$A:$A,"NOT FOUND")</f>
        <v>NOT FOUND</v>
      </c>
      <c r="D87" s="4" t="s">
        <v>467</v>
      </c>
      <c r="E87" s="11" t="s">
        <v>307</v>
      </c>
      <c r="F87" s="5" t="str">
        <f t="shared" si="13"/>
        <v>Dhanraj</v>
      </c>
      <c r="G87" s="5" t="str">
        <f t="shared" si="14"/>
        <v/>
      </c>
      <c r="H87" s="5" t="str">
        <f t="shared" si="15"/>
        <v/>
      </c>
      <c r="I87" s="5" t="str">
        <f>_xlfn.XLOOKUP(F87,'[1]Jan Labour Nd Drivers Hyva'!$B:$B,'[2]Jan Labour Nd Drivers Hyva'!$A:$A,"NOT FOUND")</f>
        <v>LAB-010</v>
      </c>
      <c r="J87" s="5" t="str">
        <f>IF(G87="","",_xlfn.XLOOKUP(G87,'[3]Jan Labour Nd Drivers Hyva'!$B:$B,'[2]Jan Labour Nd Drivers Hyva'!$A:$A,"NOT FOUND"))</f>
        <v/>
      </c>
      <c r="K87" s="3"/>
      <c r="L87" s="11" t="s">
        <v>120</v>
      </c>
      <c r="M87" s="11">
        <v>1</v>
      </c>
      <c r="N87" s="24">
        <v>8000</v>
      </c>
      <c r="O87" s="13">
        <f t="shared" si="16"/>
        <v>8000</v>
      </c>
      <c r="P87" s="24"/>
      <c r="Q87" s="13">
        <f t="shared" si="11"/>
        <v>8000</v>
      </c>
      <c r="R87" s="3" t="str">
        <f t="shared" si="17"/>
        <v>UNPAID</v>
      </c>
      <c r="S87" s="3"/>
      <c r="T87" s="3">
        <f t="shared" si="18"/>
        <v>8000</v>
      </c>
      <c r="U87" s="3" t="str">
        <f t="shared" si="19"/>
        <v>OK</v>
      </c>
      <c r="V87" s="21">
        <f t="shared" si="20"/>
        <v>8000</v>
      </c>
      <c r="W87" s="3" t="str">
        <f t="shared" si="21"/>
        <v>OK</v>
      </c>
      <c r="X87" s="3" t="s">
        <v>422</v>
      </c>
      <c r="Y87" s="3" t="s">
        <v>29</v>
      </c>
    </row>
    <row r="88" spans="1:25" x14ac:dyDescent="0.2">
      <c r="A88" s="3" t="str">
        <f t="shared" si="12"/>
        <v>TRIP-HF-100</v>
      </c>
      <c r="B88" s="2">
        <v>46011</v>
      </c>
      <c r="C88" s="3" t="str">
        <f>_xlfn.XLOOKUP(D88,'[1]Jan Customer Duplicate Hyva'!$B:$B,'[1]Jan Customer Duplicate Hyva'!$A:$A,"NOT FOUND")</f>
        <v>CUST-175</v>
      </c>
      <c r="D88" s="4" t="s">
        <v>468</v>
      </c>
      <c r="E88" s="11" t="s">
        <v>307</v>
      </c>
      <c r="F88" s="5" t="str">
        <f t="shared" si="13"/>
        <v>Dhanraj</v>
      </c>
      <c r="G88" s="5" t="str">
        <f t="shared" si="14"/>
        <v/>
      </c>
      <c r="H88" s="5" t="str">
        <f t="shared" si="15"/>
        <v/>
      </c>
      <c r="I88" s="5" t="str">
        <f>_xlfn.XLOOKUP(F88,'[1]Jan Labour Nd Drivers Hyva'!$B:$B,'[2]Jan Labour Nd Drivers Hyva'!$A:$A,"NOT FOUND")</f>
        <v>LAB-010</v>
      </c>
      <c r="J88" s="5" t="str">
        <f>IF(G88="","",_xlfn.XLOOKUP(G88,'[3]Jan Labour Nd Drivers Hyva'!$B:$B,'[2]Jan Labour Nd Drivers Hyva'!$A:$A,"NOT FOUND"))</f>
        <v/>
      </c>
      <c r="K88" s="3"/>
      <c r="L88" s="11" t="s">
        <v>469</v>
      </c>
      <c r="M88" s="11">
        <v>1</v>
      </c>
      <c r="N88" s="24">
        <v>7000</v>
      </c>
      <c r="O88" s="13">
        <f t="shared" si="16"/>
        <v>7000</v>
      </c>
      <c r="P88" s="24">
        <v>7000</v>
      </c>
      <c r="Q88" s="13">
        <f t="shared" si="11"/>
        <v>0</v>
      </c>
      <c r="R88" s="3" t="str">
        <f t="shared" si="17"/>
        <v>PAID</v>
      </c>
      <c r="S88" s="3"/>
      <c r="T88" s="3">
        <f t="shared" si="18"/>
        <v>7000</v>
      </c>
      <c r="U88" s="3" t="str">
        <f t="shared" si="19"/>
        <v>OK</v>
      </c>
      <c r="V88" s="21">
        <f t="shared" si="20"/>
        <v>0</v>
      </c>
      <c r="W88" s="3" t="str">
        <f t="shared" si="21"/>
        <v>OK</v>
      </c>
      <c r="X88" s="3" t="s">
        <v>422</v>
      </c>
      <c r="Y88" s="3" t="s">
        <v>29</v>
      </c>
    </row>
    <row r="89" spans="1:25" x14ac:dyDescent="0.2">
      <c r="A89" s="3" t="str">
        <f t="shared" si="12"/>
        <v>TRIP-HF-101</v>
      </c>
      <c r="B89" s="2">
        <v>46018</v>
      </c>
      <c r="C89" s="3" t="str">
        <f>_xlfn.XLOOKUP(D89,'[1]Jan Customer Duplicate Hyva'!$B:$B,'[1]Jan Customer Duplicate Hyva'!$A:$A,"NOT FOUND")</f>
        <v>NOT FOUND</v>
      </c>
      <c r="D89" s="4" t="s">
        <v>470</v>
      </c>
      <c r="E89" s="11" t="s">
        <v>30</v>
      </c>
      <c r="F89" s="5" t="str">
        <f t="shared" si="13"/>
        <v>Ravi</v>
      </c>
      <c r="G89" s="5" t="str">
        <f t="shared" si="14"/>
        <v/>
      </c>
      <c r="H89" s="5" t="str">
        <f t="shared" si="15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3"/>
      <c r="L89" s="11" t="s">
        <v>471</v>
      </c>
      <c r="M89" s="11">
        <v>1</v>
      </c>
      <c r="N89" s="24">
        <v>12000</v>
      </c>
      <c r="O89" s="13">
        <f t="shared" si="16"/>
        <v>12000</v>
      </c>
      <c r="P89" s="24">
        <v>12000</v>
      </c>
      <c r="Q89" s="13">
        <f t="shared" si="11"/>
        <v>0</v>
      </c>
      <c r="R89" s="3" t="str">
        <f t="shared" si="17"/>
        <v>PAID</v>
      </c>
      <c r="S89" s="3"/>
      <c r="T89" s="3">
        <f t="shared" si="18"/>
        <v>12000</v>
      </c>
      <c r="U89" s="3" t="str">
        <f t="shared" si="19"/>
        <v>OK</v>
      </c>
      <c r="V89" s="21">
        <f t="shared" si="20"/>
        <v>0</v>
      </c>
      <c r="W89" s="3" t="str">
        <f t="shared" si="21"/>
        <v>OK</v>
      </c>
      <c r="X89" s="3" t="s">
        <v>422</v>
      </c>
      <c r="Y89" s="3" t="s">
        <v>29</v>
      </c>
    </row>
    <row r="90" spans="1:25" x14ac:dyDescent="0.2">
      <c r="A90" s="3" t="str">
        <f t="shared" si="12"/>
        <v>TRIP-HF-102</v>
      </c>
      <c r="B90" s="2">
        <v>46022</v>
      </c>
      <c r="C90" s="3" t="str">
        <f>_xlfn.XLOOKUP(D90,'[1]Jan Customer Duplicate Hyva'!$B:$B,'[1]Jan Customer Duplicate Hyva'!$A:$A,"NOT FOUND")</f>
        <v>CUST-169</v>
      </c>
      <c r="D90" s="4" t="s">
        <v>46</v>
      </c>
      <c r="E90" s="11" t="s">
        <v>30</v>
      </c>
      <c r="F90" s="5" t="str">
        <f t="shared" si="13"/>
        <v>Ravi</v>
      </c>
      <c r="G90" s="5" t="str">
        <f t="shared" si="14"/>
        <v/>
      </c>
      <c r="H90" s="5" t="str">
        <f t="shared" si="15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3"/>
      <c r="L90" s="11" t="s">
        <v>466</v>
      </c>
      <c r="M90" s="11">
        <v>1</v>
      </c>
      <c r="N90" s="24">
        <v>6500</v>
      </c>
      <c r="O90" s="13">
        <f t="shared" si="16"/>
        <v>6500</v>
      </c>
      <c r="P90" s="24">
        <v>6500</v>
      </c>
      <c r="Q90" s="13">
        <f t="shared" ref="Q90" si="22">O90-P90</f>
        <v>0</v>
      </c>
      <c r="R90" s="3" t="str">
        <f t="shared" si="17"/>
        <v>PAID</v>
      </c>
      <c r="S90" s="3"/>
      <c r="T90" s="3">
        <f t="shared" si="18"/>
        <v>6500</v>
      </c>
      <c r="U90" s="3" t="str">
        <f t="shared" si="19"/>
        <v>OK</v>
      </c>
      <c r="V90" s="21">
        <f t="shared" si="20"/>
        <v>0</v>
      </c>
      <c r="W90" s="3" t="str">
        <f t="shared" si="21"/>
        <v>OK</v>
      </c>
      <c r="X90" s="3" t="s">
        <v>422</v>
      </c>
      <c r="Y90" s="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5610-3E88-A240-A774-C330804EF0A8}">
  <dimension ref="A1:Z557"/>
  <sheetViews>
    <sheetView tabSelected="1" topLeftCell="A3" workbookViewId="0">
      <selection activeCell="I113" sqref="I113"/>
    </sheetView>
  </sheetViews>
  <sheetFormatPr baseColWidth="10" defaultRowHeight="16" x14ac:dyDescent="0.2"/>
  <cols>
    <col min="2" max="2" width="34" customWidth="1"/>
    <col min="3" max="3" width="21" customWidth="1"/>
    <col min="4" max="4" width="34.6640625" customWidth="1"/>
    <col min="12" max="12" width="50.6640625" customWidth="1"/>
    <col min="20" max="20" width="20.33203125" customWidth="1"/>
    <col min="21" max="21" width="27.6640625" customWidth="1"/>
    <col min="24" max="24" width="16.6640625" customWidth="1"/>
    <col min="25" max="26" width="27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472</v>
      </c>
      <c r="Y1" s="1" t="s">
        <v>24</v>
      </c>
      <c r="Z1" s="1" t="s">
        <v>23</v>
      </c>
    </row>
    <row r="2" spans="1:26" x14ac:dyDescent="0.2">
      <c r="A2" s="3" t="str">
        <f t="shared" ref="A2:A65" si="0">"TRIP-T-"&amp;TEXT(ROW()+31,"000")</f>
        <v>TRIP-T-033</v>
      </c>
      <c r="B2" s="2">
        <v>45689</v>
      </c>
      <c r="C2" s="3" t="str">
        <f>_xlfn.XLOOKUP(D2,'[1]Jan Customer Duplicate Hyva'!$B:$B,'[1]Jan Customer Duplicate Hyva'!$A:$A,"NOT FOUND")</f>
        <v>NOT FOUND</v>
      </c>
      <c r="D2" s="11" t="s">
        <v>473</v>
      </c>
      <c r="E2" s="3"/>
      <c r="F2" s="3"/>
      <c r="G2" s="3"/>
      <c r="H2" s="3"/>
      <c r="I2" s="3"/>
      <c r="J2" s="3"/>
      <c r="K2" s="3"/>
      <c r="L2" s="11" t="s">
        <v>474</v>
      </c>
      <c r="M2" s="12">
        <v>1</v>
      </c>
      <c r="N2" s="13">
        <v>5000</v>
      </c>
      <c r="O2" s="13">
        <f t="shared" ref="O2:O65" si="1">N2*M2</f>
        <v>5000</v>
      </c>
      <c r="P2" s="13">
        <v>5000</v>
      </c>
      <c r="Q2" s="13">
        <f t="shared" ref="Q2:Q65" si="2">O2-P2</f>
        <v>0</v>
      </c>
      <c r="R2" s="3"/>
      <c r="S2" s="3"/>
      <c r="T2" s="3">
        <f t="shared" ref="T2:T65" si="3">M2*N2</f>
        <v>5000</v>
      </c>
      <c r="U2" s="3" t="str">
        <f t="shared" ref="U2:U65" si="4">IF(ROUND(T2,2)=ROUND(O2,2),"OK","CHECK")</f>
        <v>OK</v>
      </c>
      <c r="V2" s="21">
        <f t="shared" ref="V2:V65" si="5">O2-P2</f>
        <v>0</v>
      </c>
      <c r="W2" s="3" t="str">
        <f t="shared" ref="W2:W65" si="6">IF(ROUND(V2,2)=ROUND(Q2,2),"OK","CHECK")</f>
        <v>OK</v>
      </c>
      <c r="X2" s="3" t="s">
        <v>475</v>
      </c>
      <c r="Y2" s="3" t="s">
        <v>29</v>
      </c>
      <c r="Z2" s="3" t="s">
        <v>476</v>
      </c>
    </row>
    <row r="3" spans="1:26" x14ac:dyDescent="0.2">
      <c r="A3" s="3" t="str">
        <f t="shared" si="0"/>
        <v>TRIP-T-034</v>
      </c>
      <c r="B3" s="2">
        <v>45690</v>
      </c>
      <c r="C3" s="3" t="str">
        <f>_xlfn.XLOOKUP(D3,'[1]Jan Customer Duplicate Hyva'!$B:$B,'[1]Jan Customer Duplicate Hyva'!$A:$A,"NOT FOUND")</f>
        <v>NOT FOUND</v>
      </c>
      <c r="D3" s="11" t="s">
        <v>477</v>
      </c>
      <c r="E3" s="3"/>
      <c r="F3" s="3"/>
      <c r="G3" s="3"/>
      <c r="H3" s="3"/>
      <c r="I3" s="3"/>
      <c r="J3" s="3"/>
      <c r="K3" s="3"/>
      <c r="L3" s="11" t="s">
        <v>478</v>
      </c>
      <c r="M3" s="12">
        <v>1</v>
      </c>
      <c r="N3" s="13">
        <v>4000</v>
      </c>
      <c r="O3" s="13">
        <f t="shared" si="1"/>
        <v>4000</v>
      </c>
      <c r="P3" s="13">
        <v>4000</v>
      </c>
      <c r="Q3" s="13">
        <f t="shared" si="2"/>
        <v>0</v>
      </c>
      <c r="R3" s="3"/>
      <c r="S3" s="3"/>
      <c r="T3" s="3">
        <f t="shared" si="3"/>
        <v>4000</v>
      </c>
      <c r="U3" s="3" t="str">
        <f t="shared" si="4"/>
        <v>OK</v>
      </c>
      <c r="V3" s="21">
        <f t="shared" si="5"/>
        <v>0</v>
      </c>
      <c r="W3" s="3" t="str">
        <f t="shared" si="6"/>
        <v>OK</v>
      </c>
      <c r="X3" s="3" t="s">
        <v>475</v>
      </c>
      <c r="Y3" s="3" t="s">
        <v>29</v>
      </c>
      <c r="Z3" s="3" t="s">
        <v>476</v>
      </c>
    </row>
    <row r="4" spans="1:26" x14ac:dyDescent="0.2">
      <c r="A4" s="3" t="str">
        <f t="shared" si="0"/>
        <v>TRIP-T-035</v>
      </c>
      <c r="B4" s="2">
        <v>45690</v>
      </c>
      <c r="C4" s="3" t="str">
        <f>_xlfn.XLOOKUP(D4,'[1]Jan Customer Duplicate Hyva'!$B:$B,'[1]Jan Customer Duplicate Hyva'!$A:$A,"NOT FOUND")</f>
        <v>CUST-153</v>
      </c>
      <c r="D4" s="11" t="s">
        <v>479</v>
      </c>
      <c r="E4" s="3"/>
      <c r="F4" s="3"/>
      <c r="G4" s="3"/>
      <c r="H4" s="3"/>
      <c r="I4" s="3"/>
      <c r="J4" s="3"/>
      <c r="K4" s="3"/>
      <c r="L4" s="11" t="s">
        <v>480</v>
      </c>
      <c r="M4" s="12">
        <v>2</v>
      </c>
      <c r="N4" s="13">
        <v>1000</v>
      </c>
      <c r="O4" s="13">
        <f t="shared" si="1"/>
        <v>2000</v>
      </c>
      <c r="P4" s="13">
        <v>2000</v>
      </c>
      <c r="Q4" s="13">
        <f t="shared" si="2"/>
        <v>0</v>
      </c>
      <c r="R4" s="3"/>
      <c r="S4" s="3"/>
      <c r="T4" s="3">
        <f t="shared" si="3"/>
        <v>2000</v>
      </c>
      <c r="U4" s="3" t="str">
        <f t="shared" si="4"/>
        <v>OK</v>
      </c>
      <c r="V4" s="21">
        <f t="shared" si="5"/>
        <v>0</v>
      </c>
      <c r="W4" s="3" t="str">
        <f t="shared" si="6"/>
        <v>OK</v>
      </c>
      <c r="X4" s="3" t="s">
        <v>475</v>
      </c>
      <c r="Y4" s="3" t="s">
        <v>29</v>
      </c>
      <c r="Z4" s="3" t="s">
        <v>476</v>
      </c>
    </row>
    <row r="5" spans="1:26" x14ac:dyDescent="0.2">
      <c r="A5" s="3" t="str">
        <f t="shared" si="0"/>
        <v>TRIP-T-036</v>
      </c>
      <c r="B5" s="2">
        <v>45690</v>
      </c>
      <c r="C5" s="3" t="str">
        <f>_xlfn.XLOOKUP(D5,'[1]Jan Customer Duplicate Hyva'!$B:$B,'[1]Jan Customer Duplicate Hyva'!$A:$A,"NOT FOUND")</f>
        <v>CUST-284</v>
      </c>
      <c r="D5" s="11" t="s">
        <v>481</v>
      </c>
      <c r="E5" s="3"/>
      <c r="F5" s="3"/>
      <c r="G5" s="3"/>
      <c r="H5" s="3"/>
      <c r="I5" s="3"/>
      <c r="J5" s="3"/>
      <c r="K5" s="3"/>
      <c r="L5" s="11" t="s">
        <v>33</v>
      </c>
      <c r="M5" s="12">
        <v>1</v>
      </c>
      <c r="N5" s="13">
        <v>4000</v>
      </c>
      <c r="O5" s="13">
        <f t="shared" si="1"/>
        <v>4000</v>
      </c>
      <c r="P5" s="13">
        <v>4000</v>
      </c>
      <c r="Q5" s="13">
        <f t="shared" si="2"/>
        <v>0</v>
      </c>
      <c r="R5" s="3"/>
      <c r="S5" s="3"/>
      <c r="T5" s="3">
        <f t="shared" si="3"/>
        <v>4000</v>
      </c>
      <c r="U5" s="3" t="str">
        <f t="shared" si="4"/>
        <v>OK</v>
      </c>
      <c r="V5" s="21">
        <f t="shared" si="5"/>
        <v>0</v>
      </c>
      <c r="W5" s="3" t="str">
        <f t="shared" si="6"/>
        <v>OK</v>
      </c>
      <c r="X5" s="3" t="s">
        <v>475</v>
      </c>
      <c r="Y5" s="3" t="s">
        <v>29</v>
      </c>
      <c r="Z5" s="3" t="s">
        <v>476</v>
      </c>
    </row>
    <row r="6" spans="1:26" x14ac:dyDescent="0.2">
      <c r="A6" s="3" t="str">
        <f t="shared" si="0"/>
        <v>TRIP-T-037</v>
      </c>
      <c r="B6" s="2">
        <v>45691</v>
      </c>
      <c r="C6" s="3" t="str">
        <f>_xlfn.XLOOKUP(D6,'[1]Jan Customer Duplicate Hyva'!$B:$B,'[1]Jan Customer Duplicate Hyva'!$A:$A,"NOT FOUND")</f>
        <v>CUST-088</v>
      </c>
      <c r="D6" s="11" t="s">
        <v>482</v>
      </c>
      <c r="E6" s="3"/>
      <c r="F6" s="3"/>
      <c r="G6" s="3"/>
      <c r="H6" s="3"/>
      <c r="I6" s="3"/>
      <c r="J6" s="3"/>
      <c r="K6" s="3"/>
      <c r="L6" s="11" t="s">
        <v>483</v>
      </c>
      <c r="M6" s="12">
        <v>4</v>
      </c>
      <c r="N6" s="13">
        <v>1000</v>
      </c>
      <c r="O6" s="13">
        <f t="shared" si="1"/>
        <v>4000</v>
      </c>
      <c r="P6" s="13">
        <v>4000</v>
      </c>
      <c r="Q6" s="13">
        <f t="shared" si="2"/>
        <v>0</v>
      </c>
      <c r="R6" s="3"/>
      <c r="S6" s="3"/>
      <c r="T6" s="3">
        <f t="shared" si="3"/>
        <v>4000</v>
      </c>
      <c r="U6" s="3" t="str">
        <f t="shared" si="4"/>
        <v>OK</v>
      </c>
      <c r="V6" s="21">
        <f t="shared" si="5"/>
        <v>0</v>
      </c>
      <c r="W6" s="3" t="str">
        <f t="shared" si="6"/>
        <v>OK</v>
      </c>
      <c r="X6" s="3" t="s">
        <v>475</v>
      </c>
      <c r="Y6" s="3" t="s">
        <v>29</v>
      </c>
      <c r="Z6" s="3" t="s">
        <v>476</v>
      </c>
    </row>
    <row r="7" spans="1:26" x14ac:dyDescent="0.2">
      <c r="A7" s="3" t="str">
        <f t="shared" si="0"/>
        <v>TRIP-T-038</v>
      </c>
      <c r="B7" s="2">
        <v>45692</v>
      </c>
      <c r="C7" s="3" t="str">
        <f>_xlfn.XLOOKUP(D7,'[1]Jan Customer Duplicate Hyva'!$B:$B,'[1]Jan Customer Duplicate Hyva'!$A:$A,"NOT FOUND")</f>
        <v>CUST-058</v>
      </c>
      <c r="D7" s="26" t="s">
        <v>484</v>
      </c>
      <c r="E7" s="3"/>
      <c r="F7" s="3"/>
      <c r="G7" s="3"/>
      <c r="H7" s="3"/>
      <c r="I7" s="3"/>
      <c r="J7" s="3"/>
      <c r="K7" s="3"/>
      <c r="L7" s="26" t="s">
        <v>33</v>
      </c>
      <c r="M7" s="27">
        <v>2</v>
      </c>
      <c r="N7" s="13">
        <v>4000</v>
      </c>
      <c r="O7" s="13">
        <f t="shared" si="1"/>
        <v>8000</v>
      </c>
      <c r="P7" s="13">
        <v>8000</v>
      </c>
      <c r="Q7" s="13">
        <f t="shared" si="2"/>
        <v>0</v>
      </c>
      <c r="R7" s="3"/>
      <c r="S7" s="3"/>
      <c r="T7" s="3">
        <f t="shared" si="3"/>
        <v>8000</v>
      </c>
      <c r="U7" s="3" t="str">
        <f t="shared" si="4"/>
        <v>OK</v>
      </c>
      <c r="V7" s="21">
        <f t="shared" si="5"/>
        <v>0</v>
      </c>
      <c r="W7" s="3" t="str">
        <f t="shared" si="6"/>
        <v>OK</v>
      </c>
      <c r="X7" s="3" t="s">
        <v>475</v>
      </c>
      <c r="Y7" s="3" t="s">
        <v>29</v>
      </c>
      <c r="Z7" s="3" t="s">
        <v>476</v>
      </c>
    </row>
    <row r="8" spans="1:26" x14ac:dyDescent="0.2">
      <c r="A8" s="3" t="str">
        <f t="shared" si="0"/>
        <v>TRIP-T-039</v>
      </c>
      <c r="B8" s="2">
        <v>45693</v>
      </c>
      <c r="C8" s="3" t="str">
        <f>_xlfn.XLOOKUP(D8,'[1]Jan Customer Duplicate Hyva'!$B:$B,'[1]Jan Customer Duplicate Hyva'!$A:$A,"NOT FOUND")</f>
        <v>CUST-088</v>
      </c>
      <c r="D8" s="11" t="s">
        <v>482</v>
      </c>
      <c r="E8" s="3"/>
      <c r="F8" s="3"/>
      <c r="G8" s="3"/>
      <c r="H8" s="3"/>
      <c r="I8" s="3"/>
      <c r="J8" s="3"/>
      <c r="K8" s="3"/>
      <c r="L8" s="11" t="s">
        <v>483</v>
      </c>
      <c r="M8" s="12">
        <v>3</v>
      </c>
      <c r="N8" s="13">
        <v>1000</v>
      </c>
      <c r="O8" s="13">
        <f t="shared" si="1"/>
        <v>3000</v>
      </c>
      <c r="P8" s="13">
        <v>3000</v>
      </c>
      <c r="Q8" s="13">
        <f t="shared" si="2"/>
        <v>0</v>
      </c>
      <c r="R8" s="3"/>
      <c r="S8" s="3"/>
      <c r="T8" s="3">
        <f t="shared" si="3"/>
        <v>3000</v>
      </c>
      <c r="U8" s="3" t="str">
        <f t="shared" si="4"/>
        <v>OK</v>
      </c>
      <c r="V8" s="21">
        <f t="shared" si="5"/>
        <v>0</v>
      </c>
      <c r="W8" s="3" t="str">
        <f t="shared" si="6"/>
        <v>OK</v>
      </c>
      <c r="X8" s="3" t="s">
        <v>475</v>
      </c>
      <c r="Y8" s="3" t="s">
        <v>29</v>
      </c>
      <c r="Z8" s="3" t="s">
        <v>476</v>
      </c>
    </row>
    <row r="9" spans="1:26" x14ac:dyDescent="0.2">
      <c r="A9" s="3" t="str">
        <f t="shared" si="0"/>
        <v>TRIP-T-040</v>
      </c>
      <c r="B9" s="2">
        <v>45694</v>
      </c>
      <c r="C9" s="3" t="str">
        <f>_xlfn.XLOOKUP(D9,'[1]Jan Customer Duplicate Hyva'!$B:$B,'[1]Jan Customer Duplicate Hyva'!$A:$A,"NOT FOUND")</f>
        <v>NOT FOUND</v>
      </c>
      <c r="D9" s="11" t="s">
        <v>485</v>
      </c>
      <c r="E9" s="3"/>
      <c r="F9" s="3"/>
      <c r="G9" s="3"/>
      <c r="H9" s="3"/>
      <c r="I9" s="3"/>
      <c r="J9" s="3"/>
      <c r="K9" s="3"/>
      <c r="L9" s="11" t="s">
        <v>172</v>
      </c>
      <c r="M9" s="27">
        <v>2</v>
      </c>
      <c r="N9" s="13">
        <v>4000</v>
      </c>
      <c r="O9" s="13">
        <f t="shared" si="1"/>
        <v>8000</v>
      </c>
      <c r="P9" s="13">
        <v>8000</v>
      </c>
      <c r="Q9" s="13">
        <f t="shared" si="2"/>
        <v>0</v>
      </c>
      <c r="R9" s="3"/>
      <c r="S9" s="3"/>
      <c r="T9" s="3">
        <f t="shared" si="3"/>
        <v>8000</v>
      </c>
      <c r="U9" s="3" t="str">
        <f t="shared" si="4"/>
        <v>OK</v>
      </c>
      <c r="V9" s="21">
        <f t="shared" si="5"/>
        <v>0</v>
      </c>
      <c r="W9" s="3" t="str">
        <f t="shared" si="6"/>
        <v>OK</v>
      </c>
      <c r="X9" s="3" t="s">
        <v>475</v>
      </c>
      <c r="Y9" s="3" t="s">
        <v>29</v>
      </c>
      <c r="Z9" s="3" t="s">
        <v>476</v>
      </c>
    </row>
    <row r="10" spans="1:26" x14ac:dyDescent="0.2">
      <c r="A10" s="3" t="str">
        <f t="shared" si="0"/>
        <v>TRIP-T-041</v>
      </c>
      <c r="B10" s="2">
        <v>45695</v>
      </c>
      <c r="C10" s="3" t="str">
        <f>_xlfn.XLOOKUP(D10,'[1]Jan Customer Duplicate Hyva'!$B:$B,'[1]Jan Customer Duplicate Hyva'!$A:$A,"NOT FOUND")</f>
        <v>CUST-268</v>
      </c>
      <c r="D10" s="11" t="s">
        <v>486</v>
      </c>
      <c r="E10" s="3"/>
      <c r="F10" s="3"/>
      <c r="G10" s="3"/>
      <c r="H10" s="3"/>
      <c r="I10" s="3"/>
      <c r="J10" s="3"/>
      <c r="K10" s="3"/>
      <c r="L10" s="11" t="s">
        <v>172</v>
      </c>
      <c r="M10" s="27">
        <v>1</v>
      </c>
      <c r="N10" s="13">
        <v>4000</v>
      </c>
      <c r="O10" s="13">
        <f t="shared" si="1"/>
        <v>4000</v>
      </c>
      <c r="P10" s="13">
        <v>4000</v>
      </c>
      <c r="Q10" s="13">
        <f t="shared" si="2"/>
        <v>0</v>
      </c>
      <c r="R10" s="3"/>
      <c r="S10" s="3"/>
      <c r="T10" s="3">
        <f t="shared" si="3"/>
        <v>4000</v>
      </c>
      <c r="U10" s="3" t="str">
        <f t="shared" si="4"/>
        <v>OK</v>
      </c>
      <c r="V10" s="21">
        <f t="shared" si="5"/>
        <v>0</v>
      </c>
      <c r="W10" s="3" t="str">
        <f t="shared" si="6"/>
        <v>OK</v>
      </c>
      <c r="X10" s="3" t="s">
        <v>475</v>
      </c>
      <c r="Y10" s="3" t="s">
        <v>29</v>
      </c>
      <c r="Z10" s="3" t="s">
        <v>476</v>
      </c>
    </row>
    <row r="11" spans="1:26" x14ac:dyDescent="0.2">
      <c r="A11" s="3" t="str">
        <f t="shared" si="0"/>
        <v>TRIP-T-042</v>
      </c>
      <c r="B11" s="2">
        <v>45695</v>
      </c>
      <c r="C11" s="3" t="str">
        <f>_xlfn.XLOOKUP(D11,'[1]Jan Customer Duplicate Hyva'!$B:$B,'[1]Jan Customer Duplicate Hyva'!$A:$A,"NOT FOUND")</f>
        <v>NOT FOUND</v>
      </c>
      <c r="D11" s="11" t="s">
        <v>477</v>
      </c>
      <c r="E11" s="3"/>
      <c r="F11" s="3"/>
      <c r="G11" s="3"/>
      <c r="H11" s="3"/>
      <c r="I11" s="3"/>
      <c r="J11" s="3"/>
      <c r="K11" s="3"/>
      <c r="L11" s="11" t="s">
        <v>172</v>
      </c>
      <c r="M11" s="27">
        <v>2</v>
      </c>
      <c r="N11" s="13">
        <v>4000</v>
      </c>
      <c r="O11" s="13">
        <f t="shared" si="1"/>
        <v>8000</v>
      </c>
      <c r="P11" s="13">
        <v>8000</v>
      </c>
      <c r="Q11" s="13">
        <f t="shared" si="2"/>
        <v>0</v>
      </c>
      <c r="R11" s="3"/>
      <c r="S11" s="3"/>
      <c r="T11" s="3">
        <f t="shared" si="3"/>
        <v>8000</v>
      </c>
      <c r="U11" s="3" t="str">
        <f t="shared" si="4"/>
        <v>OK</v>
      </c>
      <c r="V11" s="21">
        <f t="shared" si="5"/>
        <v>0</v>
      </c>
      <c r="W11" s="3" t="str">
        <f t="shared" si="6"/>
        <v>OK</v>
      </c>
      <c r="X11" s="3" t="s">
        <v>475</v>
      </c>
      <c r="Y11" s="3" t="s">
        <v>29</v>
      </c>
      <c r="Z11" s="3" t="s">
        <v>476</v>
      </c>
    </row>
    <row r="12" spans="1:26" x14ac:dyDescent="0.2">
      <c r="A12" s="3" t="str">
        <f t="shared" si="0"/>
        <v>TRIP-T-043</v>
      </c>
      <c r="B12" s="2">
        <v>45696</v>
      </c>
      <c r="C12" s="3" t="str">
        <f>_xlfn.XLOOKUP(D12,'[1]Jan Customer Duplicate Hyva'!$B:$B,'[1]Jan Customer Duplicate Hyva'!$A:$A,"NOT FOUND")</f>
        <v>CUST-281</v>
      </c>
      <c r="D12" s="11" t="s">
        <v>487</v>
      </c>
      <c r="E12" s="3"/>
      <c r="F12" s="3"/>
      <c r="G12" s="3"/>
      <c r="H12" s="3"/>
      <c r="I12" s="3"/>
      <c r="J12" s="3"/>
      <c r="K12" s="3"/>
      <c r="L12" s="11" t="s">
        <v>172</v>
      </c>
      <c r="M12" s="27">
        <v>1</v>
      </c>
      <c r="N12" s="13">
        <v>4000</v>
      </c>
      <c r="O12" s="13">
        <f t="shared" si="1"/>
        <v>4000</v>
      </c>
      <c r="P12" s="13">
        <v>4000</v>
      </c>
      <c r="Q12" s="13">
        <f t="shared" si="2"/>
        <v>0</v>
      </c>
      <c r="R12" s="3"/>
      <c r="S12" s="3"/>
      <c r="T12" s="3">
        <f t="shared" si="3"/>
        <v>4000</v>
      </c>
      <c r="U12" s="3" t="str">
        <f t="shared" si="4"/>
        <v>OK</v>
      </c>
      <c r="V12" s="21">
        <f t="shared" si="5"/>
        <v>0</v>
      </c>
      <c r="W12" s="3" t="str">
        <f t="shared" si="6"/>
        <v>OK</v>
      </c>
      <c r="X12" s="3" t="s">
        <v>475</v>
      </c>
      <c r="Y12" s="3" t="s">
        <v>29</v>
      </c>
      <c r="Z12" s="3" t="s">
        <v>476</v>
      </c>
    </row>
    <row r="13" spans="1:26" x14ac:dyDescent="0.2">
      <c r="A13" s="3" t="str">
        <f t="shared" si="0"/>
        <v>TRIP-T-044</v>
      </c>
      <c r="B13" s="2">
        <v>45697</v>
      </c>
      <c r="C13" s="3" t="str">
        <f>_xlfn.XLOOKUP(D13,'[1]Jan Customer Duplicate Hyva'!$B:$B,'[1]Jan Customer Duplicate Hyva'!$A:$A,"NOT FOUND")</f>
        <v>NOT FOUND</v>
      </c>
      <c r="D13" s="11" t="s">
        <v>488</v>
      </c>
      <c r="E13" s="3"/>
      <c r="F13" s="3"/>
      <c r="G13" s="3"/>
      <c r="H13" s="3"/>
      <c r="I13" s="3"/>
      <c r="J13" s="3"/>
      <c r="K13" s="3"/>
      <c r="L13" s="26" t="s">
        <v>172</v>
      </c>
      <c r="M13" s="27">
        <v>2</v>
      </c>
      <c r="N13" s="13">
        <v>4000</v>
      </c>
      <c r="O13" s="13">
        <f t="shared" si="1"/>
        <v>8000</v>
      </c>
      <c r="P13" s="13">
        <v>8000</v>
      </c>
      <c r="Q13" s="13">
        <f t="shared" si="2"/>
        <v>0</v>
      </c>
      <c r="R13" s="3"/>
      <c r="S13" s="3"/>
      <c r="T13" s="3">
        <f t="shared" si="3"/>
        <v>8000</v>
      </c>
      <c r="U13" s="3" t="str">
        <f t="shared" si="4"/>
        <v>OK</v>
      </c>
      <c r="V13" s="21">
        <f t="shared" si="5"/>
        <v>0</v>
      </c>
      <c r="W13" s="3" t="str">
        <f t="shared" si="6"/>
        <v>OK</v>
      </c>
      <c r="X13" s="3" t="s">
        <v>475</v>
      </c>
      <c r="Y13" s="3" t="s">
        <v>29</v>
      </c>
      <c r="Z13" s="3" t="s">
        <v>476</v>
      </c>
    </row>
    <row r="14" spans="1:26" x14ac:dyDescent="0.2">
      <c r="A14" s="3" t="str">
        <f t="shared" si="0"/>
        <v>TRIP-T-045</v>
      </c>
      <c r="B14" s="2">
        <v>45698</v>
      </c>
      <c r="C14" s="3" t="str">
        <f>_xlfn.XLOOKUP(D14,'[1]Jan Customer Duplicate Hyva'!$B:$B,'[1]Jan Customer Duplicate Hyva'!$A:$A,"NOT FOUND")</f>
        <v>CUST-049</v>
      </c>
      <c r="D14" s="11" t="s">
        <v>489</v>
      </c>
      <c r="E14" s="3"/>
      <c r="F14" s="3"/>
      <c r="G14" s="3"/>
      <c r="H14" s="3"/>
      <c r="I14" s="3"/>
      <c r="J14" s="3"/>
      <c r="K14" s="3"/>
      <c r="L14" s="26" t="s">
        <v>120</v>
      </c>
      <c r="M14" s="27">
        <v>1</v>
      </c>
      <c r="N14" s="13">
        <v>4000</v>
      </c>
      <c r="O14" s="13">
        <f t="shared" si="1"/>
        <v>4000</v>
      </c>
      <c r="P14" s="13">
        <v>4000</v>
      </c>
      <c r="Q14" s="13">
        <f t="shared" si="2"/>
        <v>0</v>
      </c>
      <c r="R14" s="3"/>
      <c r="S14" s="3"/>
      <c r="T14" s="3">
        <f t="shared" si="3"/>
        <v>4000</v>
      </c>
      <c r="U14" s="3" t="str">
        <f t="shared" si="4"/>
        <v>OK</v>
      </c>
      <c r="V14" s="21">
        <f t="shared" si="5"/>
        <v>0</v>
      </c>
      <c r="W14" s="3" t="str">
        <f t="shared" si="6"/>
        <v>OK</v>
      </c>
      <c r="X14" s="3" t="s">
        <v>475</v>
      </c>
      <c r="Y14" s="3" t="s">
        <v>29</v>
      </c>
      <c r="Z14" s="3" t="s">
        <v>476</v>
      </c>
    </row>
    <row r="15" spans="1:26" x14ac:dyDescent="0.2">
      <c r="A15" s="3" t="str">
        <f t="shared" si="0"/>
        <v>TRIP-T-046</v>
      </c>
      <c r="B15" s="2">
        <v>45699</v>
      </c>
      <c r="C15" s="3" t="str">
        <f>_xlfn.XLOOKUP(D15,'[1]Jan Customer Duplicate Hyva'!$B:$B,'[1]Jan Customer Duplicate Hyva'!$A:$A,"NOT FOUND")</f>
        <v>CUST-268</v>
      </c>
      <c r="D15" s="11" t="s">
        <v>486</v>
      </c>
      <c r="E15" s="3"/>
      <c r="F15" s="3"/>
      <c r="G15" s="3"/>
      <c r="H15" s="3"/>
      <c r="I15" s="3"/>
      <c r="J15" s="3"/>
      <c r="K15" s="3"/>
      <c r="L15" s="11" t="s">
        <v>172</v>
      </c>
      <c r="M15" s="12">
        <v>1</v>
      </c>
      <c r="N15" s="13">
        <v>4000</v>
      </c>
      <c r="O15" s="13">
        <f t="shared" si="1"/>
        <v>4000</v>
      </c>
      <c r="P15" s="13">
        <v>4000</v>
      </c>
      <c r="Q15" s="13">
        <f t="shared" si="2"/>
        <v>0</v>
      </c>
      <c r="R15" s="3"/>
      <c r="S15" s="3"/>
      <c r="T15" s="3">
        <f t="shared" si="3"/>
        <v>4000</v>
      </c>
      <c r="U15" s="3" t="str">
        <f t="shared" si="4"/>
        <v>OK</v>
      </c>
      <c r="V15" s="21">
        <f t="shared" si="5"/>
        <v>0</v>
      </c>
      <c r="W15" s="3" t="str">
        <f t="shared" si="6"/>
        <v>OK</v>
      </c>
      <c r="X15" s="3" t="s">
        <v>475</v>
      </c>
      <c r="Y15" s="3" t="s">
        <v>29</v>
      </c>
      <c r="Z15" s="3" t="s">
        <v>476</v>
      </c>
    </row>
    <row r="16" spans="1:26" x14ac:dyDescent="0.2">
      <c r="A16" s="3" t="str">
        <f t="shared" si="0"/>
        <v>TRIP-T-047</v>
      </c>
      <c r="B16" s="2">
        <v>45700</v>
      </c>
      <c r="C16" s="3" t="str">
        <f>_xlfn.XLOOKUP(D16,'[1]Jan Customer Duplicate Hyva'!$B:$B,'[1]Jan Customer Duplicate Hyva'!$A:$A,"NOT FOUND")</f>
        <v>CUST-288</v>
      </c>
      <c r="D16" s="11" t="s">
        <v>490</v>
      </c>
      <c r="E16" s="3"/>
      <c r="F16" s="3"/>
      <c r="G16" s="3"/>
      <c r="H16" s="3"/>
      <c r="I16" s="3"/>
      <c r="J16" s="3"/>
      <c r="K16" s="3"/>
      <c r="L16" s="11" t="s">
        <v>172</v>
      </c>
      <c r="M16" s="12">
        <v>1</v>
      </c>
      <c r="N16" s="13">
        <v>4000</v>
      </c>
      <c r="O16" s="13">
        <f t="shared" si="1"/>
        <v>4000</v>
      </c>
      <c r="P16" s="13">
        <v>4000</v>
      </c>
      <c r="Q16" s="13">
        <f t="shared" si="2"/>
        <v>0</v>
      </c>
      <c r="R16" s="3"/>
      <c r="S16" s="3"/>
      <c r="T16" s="3">
        <f t="shared" si="3"/>
        <v>4000</v>
      </c>
      <c r="U16" s="3" t="str">
        <f t="shared" si="4"/>
        <v>OK</v>
      </c>
      <c r="V16" s="21">
        <f t="shared" si="5"/>
        <v>0</v>
      </c>
      <c r="W16" s="3" t="str">
        <f t="shared" si="6"/>
        <v>OK</v>
      </c>
      <c r="X16" s="3" t="s">
        <v>475</v>
      </c>
      <c r="Y16" s="3" t="s">
        <v>29</v>
      </c>
      <c r="Z16" s="3" t="s">
        <v>476</v>
      </c>
    </row>
    <row r="17" spans="1:26" x14ac:dyDescent="0.2">
      <c r="A17" s="3" t="str">
        <f t="shared" si="0"/>
        <v>TRIP-T-048</v>
      </c>
      <c r="B17" s="2">
        <v>45700</v>
      </c>
      <c r="C17" s="3" t="str">
        <f>_xlfn.XLOOKUP(D17,'[1]Jan Customer Duplicate Hyva'!$B:$B,'[1]Jan Customer Duplicate Hyva'!$A:$A,"NOT FOUND")</f>
        <v>CUST-087</v>
      </c>
      <c r="D17" s="11" t="s">
        <v>491</v>
      </c>
      <c r="E17" s="3"/>
      <c r="F17" s="3"/>
      <c r="G17" s="3"/>
      <c r="H17" s="3"/>
      <c r="I17" s="3"/>
      <c r="J17" s="3"/>
      <c r="K17" s="3"/>
      <c r="L17" s="11" t="s">
        <v>172</v>
      </c>
      <c r="M17" s="12">
        <v>1</v>
      </c>
      <c r="N17" s="13">
        <v>4000</v>
      </c>
      <c r="O17" s="13">
        <f t="shared" si="1"/>
        <v>4000</v>
      </c>
      <c r="P17" s="13">
        <v>4000</v>
      </c>
      <c r="Q17" s="13">
        <f t="shared" si="2"/>
        <v>0</v>
      </c>
      <c r="R17" s="3"/>
      <c r="S17" s="3"/>
      <c r="T17" s="3">
        <f t="shared" si="3"/>
        <v>4000</v>
      </c>
      <c r="U17" s="3" t="str">
        <f t="shared" si="4"/>
        <v>OK</v>
      </c>
      <c r="V17" s="21">
        <f t="shared" si="5"/>
        <v>0</v>
      </c>
      <c r="W17" s="3" t="str">
        <f t="shared" si="6"/>
        <v>OK</v>
      </c>
      <c r="X17" s="3" t="s">
        <v>475</v>
      </c>
      <c r="Y17" s="3" t="s">
        <v>29</v>
      </c>
      <c r="Z17" s="3" t="s">
        <v>476</v>
      </c>
    </row>
    <row r="18" spans="1:26" x14ac:dyDescent="0.2">
      <c r="A18" s="3" t="str">
        <f t="shared" si="0"/>
        <v>TRIP-T-049</v>
      </c>
      <c r="B18" s="2">
        <v>45701</v>
      </c>
      <c r="C18" s="3" t="str">
        <f>_xlfn.XLOOKUP(D18,'[1]Jan Customer Duplicate Hyva'!$B:$B,'[1]Jan Customer Duplicate Hyva'!$A:$A,"NOT FOUND")</f>
        <v>CUST-288</v>
      </c>
      <c r="D18" s="11" t="s">
        <v>490</v>
      </c>
      <c r="E18" s="3"/>
      <c r="F18" s="3"/>
      <c r="G18" s="3"/>
      <c r="H18" s="3"/>
      <c r="I18" s="3"/>
      <c r="J18" s="3"/>
      <c r="K18" s="3"/>
      <c r="L18" s="26" t="s">
        <v>172</v>
      </c>
      <c r="M18" s="27">
        <v>1</v>
      </c>
      <c r="N18" s="13">
        <v>4000</v>
      </c>
      <c r="O18" s="13">
        <f t="shared" si="1"/>
        <v>4000</v>
      </c>
      <c r="P18" s="13">
        <v>4000</v>
      </c>
      <c r="Q18" s="13">
        <f t="shared" si="2"/>
        <v>0</v>
      </c>
      <c r="R18" s="3"/>
      <c r="S18" s="3"/>
      <c r="T18" s="3">
        <f t="shared" si="3"/>
        <v>4000</v>
      </c>
      <c r="U18" s="3" t="str">
        <f t="shared" si="4"/>
        <v>OK</v>
      </c>
      <c r="V18" s="21">
        <f t="shared" si="5"/>
        <v>0</v>
      </c>
      <c r="W18" s="3" t="str">
        <f t="shared" si="6"/>
        <v>OK</v>
      </c>
      <c r="X18" s="3" t="s">
        <v>475</v>
      </c>
      <c r="Y18" s="3" t="s">
        <v>29</v>
      </c>
      <c r="Z18" s="3" t="s">
        <v>476</v>
      </c>
    </row>
    <row r="19" spans="1:26" x14ac:dyDescent="0.2">
      <c r="A19" s="3" t="str">
        <f t="shared" si="0"/>
        <v>TRIP-T-050</v>
      </c>
      <c r="B19" s="2">
        <v>45702</v>
      </c>
      <c r="C19" s="3" t="str">
        <f>_xlfn.XLOOKUP(D19,'[1]Jan Customer Duplicate Hyva'!$B:$B,'[1]Jan Customer Duplicate Hyva'!$A:$A,"NOT FOUND")</f>
        <v>CUST-350</v>
      </c>
      <c r="D19" s="11" t="s">
        <v>492</v>
      </c>
      <c r="E19" s="3"/>
      <c r="F19" s="3"/>
      <c r="G19" s="3"/>
      <c r="H19" s="3"/>
      <c r="I19" s="3"/>
      <c r="J19" s="3"/>
      <c r="K19" s="3"/>
      <c r="L19" s="26" t="s">
        <v>492</v>
      </c>
      <c r="M19" s="27">
        <v>1</v>
      </c>
      <c r="N19" s="13">
        <v>5000</v>
      </c>
      <c r="O19" s="13">
        <f t="shared" si="1"/>
        <v>5000</v>
      </c>
      <c r="P19" s="13">
        <v>5000</v>
      </c>
      <c r="Q19" s="13">
        <f t="shared" si="2"/>
        <v>0</v>
      </c>
      <c r="R19" s="3"/>
      <c r="S19" s="3"/>
      <c r="T19" s="3">
        <f t="shared" si="3"/>
        <v>5000</v>
      </c>
      <c r="U19" s="3" t="str">
        <f t="shared" si="4"/>
        <v>OK</v>
      </c>
      <c r="V19" s="21">
        <f t="shared" si="5"/>
        <v>0</v>
      </c>
      <c r="W19" s="3" t="str">
        <f t="shared" si="6"/>
        <v>OK</v>
      </c>
      <c r="X19" s="3" t="s">
        <v>475</v>
      </c>
      <c r="Y19" s="3" t="s">
        <v>29</v>
      </c>
      <c r="Z19" s="3" t="s">
        <v>476</v>
      </c>
    </row>
    <row r="20" spans="1:26" x14ac:dyDescent="0.2">
      <c r="A20" s="3" t="str">
        <f t="shared" si="0"/>
        <v>TRIP-T-051</v>
      </c>
      <c r="B20" s="2">
        <v>45702</v>
      </c>
      <c r="C20" s="3" t="str">
        <f>_xlfn.XLOOKUP(D20,'[1]Jan Customer Duplicate Hyva'!$B:$B,'[1]Jan Customer Duplicate Hyva'!$A:$A,"NOT FOUND")</f>
        <v>NOT FOUND</v>
      </c>
      <c r="D20" s="11" t="s">
        <v>493</v>
      </c>
      <c r="E20" s="3"/>
      <c r="F20" s="3"/>
      <c r="G20" s="3"/>
      <c r="H20" s="3"/>
      <c r="I20" s="3"/>
      <c r="J20" s="3"/>
      <c r="K20" s="3"/>
      <c r="L20" s="26" t="s">
        <v>172</v>
      </c>
      <c r="M20" s="27">
        <v>1</v>
      </c>
      <c r="N20" s="13">
        <v>4000</v>
      </c>
      <c r="O20" s="13">
        <f t="shared" si="1"/>
        <v>4000</v>
      </c>
      <c r="P20" s="13">
        <v>4000</v>
      </c>
      <c r="Q20" s="13">
        <f t="shared" si="2"/>
        <v>0</v>
      </c>
      <c r="R20" s="3"/>
      <c r="S20" s="3"/>
      <c r="T20" s="3">
        <f t="shared" si="3"/>
        <v>4000</v>
      </c>
      <c r="U20" s="3" t="str">
        <f t="shared" si="4"/>
        <v>OK</v>
      </c>
      <c r="V20" s="21">
        <f t="shared" si="5"/>
        <v>0</v>
      </c>
      <c r="W20" s="3" t="str">
        <f t="shared" si="6"/>
        <v>OK</v>
      </c>
      <c r="X20" s="3" t="s">
        <v>475</v>
      </c>
      <c r="Y20" s="3" t="s">
        <v>29</v>
      </c>
      <c r="Z20" s="3" t="s">
        <v>476</v>
      </c>
    </row>
    <row r="21" spans="1:26" x14ac:dyDescent="0.2">
      <c r="A21" s="3" t="str">
        <f t="shared" si="0"/>
        <v>TRIP-T-052</v>
      </c>
      <c r="B21" s="2">
        <v>45703</v>
      </c>
      <c r="C21" s="3" t="str">
        <f>_xlfn.XLOOKUP(D21,'[1]Jan Customer Duplicate Hyva'!$B:$B,'[1]Jan Customer Duplicate Hyva'!$A:$A,"NOT FOUND")</f>
        <v>CUST-288</v>
      </c>
      <c r="D21" s="11" t="s">
        <v>490</v>
      </c>
      <c r="E21" s="3"/>
      <c r="F21" s="3"/>
      <c r="G21" s="3"/>
      <c r="H21" s="3"/>
      <c r="I21" s="3"/>
      <c r="J21" s="3"/>
      <c r="K21" s="3"/>
      <c r="L21" s="11" t="s">
        <v>494</v>
      </c>
      <c r="M21" s="27">
        <v>1</v>
      </c>
      <c r="N21" s="13">
        <v>4000</v>
      </c>
      <c r="O21" s="13">
        <f t="shared" si="1"/>
        <v>4000</v>
      </c>
      <c r="P21" s="13">
        <v>4000</v>
      </c>
      <c r="Q21" s="13">
        <f t="shared" si="2"/>
        <v>0</v>
      </c>
      <c r="R21" s="3"/>
      <c r="S21" s="3"/>
      <c r="T21" s="3">
        <f t="shared" si="3"/>
        <v>4000</v>
      </c>
      <c r="U21" s="3" t="str">
        <f t="shared" si="4"/>
        <v>OK</v>
      </c>
      <c r="V21" s="21">
        <f t="shared" si="5"/>
        <v>0</v>
      </c>
      <c r="W21" s="3" t="str">
        <f t="shared" si="6"/>
        <v>OK</v>
      </c>
      <c r="X21" s="3" t="s">
        <v>475</v>
      </c>
      <c r="Y21" s="3" t="s">
        <v>29</v>
      </c>
      <c r="Z21" s="3" t="s">
        <v>476</v>
      </c>
    </row>
    <row r="22" spans="1:26" x14ac:dyDescent="0.2">
      <c r="A22" s="3" t="str">
        <f t="shared" si="0"/>
        <v>TRIP-T-053</v>
      </c>
      <c r="B22" s="2">
        <v>45705</v>
      </c>
      <c r="C22" s="3" t="str">
        <f>_xlfn.XLOOKUP(D22,'[1]Jan Customer Duplicate Hyva'!$B:$B,'[1]Jan Customer Duplicate Hyva'!$A:$A,"NOT FOUND")</f>
        <v>CUST-048</v>
      </c>
      <c r="D22" s="11" t="s">
        <v>495</v>
      </c>
      <c r="E22" s="3"/>
      <c r="F22" s="3"/>
      <c r="G22" s="3"/>
      <c r="H22" s="3"/>
      <c r="I22" s="3"/>
      <c r="J22" s="3"/>
      <c r="K22" s="3"/>
      <c r="L22" s="11" t="s">
        <v>120</v>
      </c>
      <c r="M22" s="27">
        <v>1</v>
      </c>
      <c r="N22" s="13">
        <v>4000</v>
      </c>
      <c r="O22" s="13">
        <f t="shared" si="1"/>
        <v>4000</v>
      </c>
      <c r="P22" s="13">
        <v>4000</v>
      </c>
      <c r="Q22" s="13">
        <f t="shared" si="2"/>
        <v>0</v>
      </c>
      <c r="R22" s="3"/>
      <c r="S22" s="3"/>
      <c r="T22" s="3">
        <f t="shared" si="3"/>
        <v>4000</v>
      </c>
      <c r="U22" s="3" t="str">
        <f t="shared" si="4"/>
        <v>OK</v>
      </c>
      <c r="V22" s="21">
        <f t="shared" si="5"/>
        <v>0</v>
      </c>
      <c r="W22" s="3" t="str">
        <f t="shared" si="6"/>
        <v>OK</v>
      </c>
      <c r="X22" s="3" t="s">
        <v>475</v>
      </c>
      <c r="Y22" s="3" t="s">
        <v>29</v>
      </c>
      <c r="Z22" s="3" t="s">
        <v>476</v>
      </c>
    </row>
    <row r="23" spans="1:26" x14ac:dyDescent="0.2">
      <c r="A23" s="3" t="str">
        <f t="shared" si="0"/>
        <v>TRIP-T-054</v>
      </c>
      <c r="B23" s="2">
        <v>45710</v>
      </c>
      <c r="C23" s="3" t="str">
        <f>_xlfn.XLOOKUP(D23,'[1]Jan Customer Duplicate Hyva'!$B:$B,'[1]Jan Customer Duplicate Hyva'!$A:$A,"NOT FOUND")</f>
        <v>CUST-253</v>
      </c>
      <c r="D23" s="26" t="s">
        <v>148</v>
      </c>
      <c r="E23" s="3"/>
      <c r="F23" s="3"/>
      <c r="G23" s="3"/>
      <c r="H23" s="3"/>
      <c r="I23" s="3"/>
      <c r="J23" s="3"/>
      <c r="K23" s="3"/>
      <c r="L23" s="26" t="s">
        <v>217</v>
      </c>
      <c r="M23" s="27">
        <v>1</v>
      </c>
      <c r="N23" s="13">
        <v>5000</v>
      </c>
      <c r="O23" s="13">
        <f t="shared" si="1"/>
        <v>5000</v>
      </c>
      <c r="P23" s="13">
        <v>5000</v>
      </c>
      <c r="Q23" s="13">
        <f t="shared" si="2"/>
        <v>0</v>
      </c>
      <c r="R23" s="3"/>
      <c r="S23" s="3"/>
      <c r="T23" s="3">
        <f t="shared" si="3"/>
        <v>5000</v>
      </c>
      <c r="U23" s="3" t="str">
        <f t="shared" si="4"/>
        <v>OK</v>
      </c>
      <c r="V23" s="21">
        <f t="shared" si="5"/>
        <v>0</v>
      </c>
      <c r="W23" s="3" t="str">
        <f t="shared" si="6"/>
        <v>OK</v>
      </c>
      <c r="X23" s="3" t="s">
        <v>475</v>
      </c>
      <c r="Y23" s="3" t="s">
        <v>29</v>
      </c>
      <c r="Z23" s="3" t="s">
        <v>476</v>
      </c>
    </row>
    <row r="24" spans="1:26" x14ac:dyDescent="0.2">
      <c r="A24" s="3" t="str">
        <f t="shared" si="0"/>
        <v>TRIP-T-055</v>
      </c>
      <c r="B24" s="2">
        <v>45711</v>
      </c>
      <c r="C24" s="3" t="str">
        <f>_xlfn.XLOOKUP(D24,'[1]Jan Customer Duplicate Hyva'!$B:$B,'[1]Jan Customer Duplicate Hyva'!$A:$A,"NOT FOUND")</f>
        <v>CUST-390</v>
      </c>
      <c r="D24" s="25" t="s">
        <v>496</v>
      </c>
      <c r="E24" s="3"/>
      <c r="F24" s="3"/>
      <c r="G24" s="3"/>
      <c r="H24" s="3"/>
      <c r="I24" s="3"/>
      <c r="J24" s="3"/>
      <c r="K24" s="3"/>
      <c r="L24" s="26" t="s">
        <v>33</v>
      </c>
      <c r="M24" s="27">
        <v>1</v>
      </c>
      <c r="N24" s="13">
        <v>4000</v>
      </c>
      <c r="O24" s="13">
        <f t="shared" si="1"/>
        <v>4000</v>
      </c>
      <c r="P24" s="13">
        <v>4000</v>
      </c>
      <c r="Q24" s="13">
        <f t="shared" si="2"/>
        <v>0</v>
      </c>
      <c r="R24" s="3"/>
      <c r="S24" s="3"/>
      <c r="T24" s="3">
        <f t="shared" si="3"/>
        <v>4000</v>
      </c>
      <c r="U24" s="3" t="str">
        <f t="shared" si="4"/>
        <v>OK</v>
      </c>
      <c r="V24" s="21">
        <f t="shared" si="5"/>
        <v>0</v>
      </c>
      <c r="W24" s="3" t="str">
        <f t="shared" si="6"/>
        <v>OK</v>
      </c>
      <c r="X24" s="3" t="s">
        <v>475</v>
      </c>
      <c r="Y24" s="3" t="s">
        <v>29</v>
      </c>
      <c r="Z24" s="3" t="s">
        <v>476</v>
      </c>
    </row>
    <row r="25" spans="1:26" x14ac:dyDescent="0.2">
      <c r="A25" s="3" t="str">
        <f t="shared" si="0"/>
        <v>TRIP-T-056</v>
      </c>
      <c r="B25" s="2">
        <v>45711</v>
      </c>
      <c r="C25" s="3" t="str">
        <f>_xlfn.XLOOKUP(D25,'[1]Jan Customer Duplicate Hyva'!$B:$B,'[1]Jan Customer Duplicate Hyva'!$A:$A,"NOT FOUND")</f>
        <v>CUST-190</v>
      </c>
      <c r="D25" s="25" t="s">
        <v>497</v>
      </c>
      <c r="E25" s="3"/>
      <c r="F25" s="3"/>
      <c r="G25" s="3"/>
      <c r="H25" s="3"/>
      <c r="I25" s="3"/>
      <c r="J25" s="3"/>
      <c r="K25" s="3"/>
      <c r="L25" s="26" t="s">
        <v>498</v>
      </c>
      <c r="M25" s="27">
        <v>1</v>
      </c>
      <c r="N25" s="13">
        <v>5000</v>
      </c>
      <c r="O25" s="13">
        <f t="shared" si="1"/>
        <v>5000</v>
      </c>
      <c r="P25" s="13">
        <v>0</v>
      </c>
      <c r="Q25" s="13">
        <f t="shared" si="2"/>
        <v>5000</v>
      </c>
      <c r="R25" s="3"/>
      <c r="S25" s="3"/>
      <c r="T25" s="3">
        <f t="shared" si="3"/>
        <v>5000</v>
      </c>
      <c r="U25" s="3" t="str">
        <f t="shared" si="4"/>
        <v>OK</v>
      </c>
      <c r="V25" s="21">
        <f t="shared" si="5"/>
        <v>5000</v>
      </c>
      <c r="W25" s="3" t="str">
        <f t="shared" si="6"/>
        <v>OK</v>
      </c>
      <c r="X25" s="3" t="s">
        <v>475</v>
      </c>
      <c r="Y25" s="3" t="s">
        <v>29</v>
      </c>
      <c r="Z25" s="3" t="s">
        <v>476</v>
      </c>
    </row>
    <row r="26" spans="1:26" x14ac:dyDescent="0.2">
      <c r="A26" s="3" t="str">
        <f t="shared" si="0"/>
        <v>TRIP-T-057</v>
      </c>
      <c r="B26" s="2">
        <v>45711</v>
      </c>
      <c r="C26" s="3" t="str">
        <f>_xlfn.XLOOKUP(D26,'[1]Jan Customer Duplicate Hyva'!$B:$B,'[1]Jan Customer Duplicate Hyva'!$A:$A,"NOT FOUND")</f>
        <v>CUST-088</v>
      </c>
      <c r="D26" s="11" t="s">
        <v>482</v>
      </c>
      <c r="E26" s="3"/>
      <c r="F26" s="3"/>
      <c r="G26" s="3"/>
      <c r="H26" s="3"/>
      <c r="I26" s="3"/>
      <c r="J26" s="3"/>
      <c r="K26" s="3"/>
      <c r="L26" s="11" t="s">
        <v>499</v>
      </c>
      <c r="M26" s="12">
        <v>3</v>
      </c>
      <c r="N26" s="13">
        <v>1000</v>
      </c>
      <c r="O26" s="13">
        <f t="shared" si="1"/>
        <v>3000</v>
      </c>
      <c r="P26" s="13">
        <v>3000</v>
      </c>
      <c r="Q26" s="13">
        <f t="shared" si="2"/>
        <v>0</v>
      </c>
      <c r="R26" s="3"/>
      <c r="S26" s="3"/>
      <c r="T26" s="3">
        <f t="shared" si="3"/>
        <v>3000</v>
      </c>
      <c r="U26" s="3" t="str">
        <f t="shared" si="4"/>
        <v>OK</v>
      </c>
      <c r="V26" s="21">
        <f t="shared" si="5"/>
        <v>0</v>
      </c>
      <c r="W26" s="3" t="str">
        <f t="shared" si="6"/>
        <v>OK</v>
      </c>
      <c r="X26" s="3" t="s">
        <v>475</v>
      </c>
      <c r="Y26" s="3" t="s">
        <v>29</v>
      </c>
      <c r="Z26" s="3" t="s">
        <v>476</v>
      </c>
    </row>
    <row r="27" spans="1:26" x14ac:dyDescent="0.2">
      <c r="A27" s="3" t="str">
        <f t="shared" si="0"/>
        <v>TRIP-T-058</v>
      </c>
      <c r="B27" s="2">
        <v>45711</v>
      </c>
      <c r="C27" s="3" t="str">
        <f>_xlfn.XLOOKUP(D27,'[1]Jan Customer Duplicate Hyva'!$B:$B,'[1]Jan Customer Duplicate Hyva'!$A:$A,"NOT FOUND")</f>
        <v>NOT FOUND</v>
      </c>
      <c r="D27" s="11" t="s">
        <v>488</v>
      </c>
      <c r="E27" s="3"/>
      <c r="F27" s="3"/>
      <c r="G27" s="3"/>
      <c r="H27" s="3"/>
      <c r="I27" s="3"/>
      <c r="J27" s="3"/>
      <c r="K27" s="3"/>
      <c r="L27" s="11" t="s">
        <v>172</v>
      </c>
      <c r="M27" s="12">
        <v>1</v>
      </c>
      <c r="N27" s="13">
        <v>4000</v>
      </c>
      <c r="O27" s="13">
        <f t="shared" si="1"/>
        <v>4000</v>
      </c>
      <c r="P27" s="13">
        <v>4000</v>
      </c>
      <c r="Q27" s="13">
        <f t="shared" si="2"/>
        <v>0</v>
      </c>
      <c r="R27" s="3"/>
      <c r="S27" s="3"/>
      <c r="T27" s="3">
        <f t="shared" si="3"/>
        <v>4000</v>
      </c>
      <c r="U27" s="3" t="str">
        <f t="shared" si="4"/>
        <v>OK</v>
      </c>
      <c r="V27" s="21">
        <f t="shared" si="5"/>
        <v>0</v>
      </c>
      <c r="W27" s="3" t="str">
        <f t="shared" si="6"/>
        <v>OK</v>
      </c>
      <c r="X27" s="3" t="s">
        <v>475</v>
      </c>
      <c r="Y27" s="3" t="s">
        <v>29</v>
      </c>
      <c r="Z27" s="3" t="s">
        <v>476</v>
      </c>
    </row>
    <row r="28" spans="1:26" x14ac:dyDescent="0.2">
      <c r="A28" s="3" t="str">
        <f t="shared" si="0"/>
        <v>TRIP-T-059</v>
      </c>
      <c r="B28" s="2">
        <v>45711</v>
      </c>
      <c r="C28" s="3" t="str">
        <f>_xlfn.XLOOKUP(D28,'[1]Jan Customer Duplicate Hyva'!$B:$B,'[1]Jan Customer Duplicate Hyva'!$A:$A,"NOT FOUND")</f>
        <v>NOT FOUND</v>
      </c>
      <c r="D28" s="11" t="s">
        <v>500</v>
      </c>
      <c r="E28" s="3"/>
      <c r="F28" s="3"/>
      <c r="G28" s="3"/>
      <c r="H28" s="3"/>
      <c r="I28" s="3"/>
      <c r="J28" s="3"/>
      <c r="K28" s="3"/>
      <c r="L28" s="11" t="s">
        <v>501</v>
      </c>
      <c r="M28" s="12">
        <v>1</v>
      </c>
      <c r="N28" s="13">
        <v>0</v>
      </c>
      <c r="O28" s="13">
        <f t="shared" si="1"/>
        <v>0</v>
      </c>
      <c r="P28" s="13"/>
      <c r="Q28" s="13">
        <f t="shared" si="2"/>
        <v>0</v>
      </c>
      <c r="R28" s="3"/>
      <c r="S28" s="3"/>
      <c r="T28" s="3">
        <f t="shared" si="3"/>
        <v>0</v>
      </c>
      <c r="U28" s="3" t="str">
        <f t="shared" si="4"/>
        <v>OK</v>
      </c>
      <c r="V28" s="21">
        <f t="shared" si="5"/>
        <v>0</v>
      </c>
      <c r="W28" s="3" t="str">
        <f t="shared" si="6"/>
        <v>OK</v>
      </c>
      <c r="X28" s="3" t="s">
        <v>475</v>
      </c>
      <c r="Y28" s="3" t="s">
        <v>29</v>
      </c>
      <c r="Z28" s="3" t="s">
        <v>476</v>
      </c>
    </row>
    <row r="29" spans="1:26" x14ac:dyDescent="0.2">
      <c r="A29" s="3" t="str">
        <f t="shared" si="0"/>
        <v>TRIP-T-060</v>
      </c>
      <c r="B29" s="2">
        <v>45712</v>
      </c>
      <c r="C29" s="3" t="str">
        <f>_xlfn.XLOOKUP(D29,'[1]Jan Customer Duplicate Hyva'!$B:$B,'[1]Jan Customer Duplicate Hyva'!$A:$A,"NOT FOUND")</f>
        <v>NOT FOUND</v>
      </c>
      <c r="D29" s="11" t="s">
        <v>500</v>
      </c>
      <c r="E29" s="3"/>
      <c r="F29" s="3"/>
      <c r="G29" s="3"/>
      <c r="H29" s="3"/>
      <c r="I29" s="3"/>
      <c r="J29" s="3"/>
      <c r="K29" s="3"/>
      <c r="L29" s="11" t="s">
        <v>502</v>
      </c>
      <c r="M29" s="12">
        <v>1</v>
      </c>
      <c r="N29" s="13">
        <v>0</v>
      </c>
      <c r="O29" s="13">
        <f t="shared" si="1"/>
        <v>0</v>
      </c>
      <c r="P29" s="13"/>
      <c r="Q29" s="13">
        <f t="shared" si="2"/>
        <v>0</v>
      </c>
      <c r="R29" s="3"/>
      <c r="S29" s="3"/>
      <c r="T29" s="3">
        <f t="shared" si="3"/>
        <v>0</v>
      </c>
      <c r="U29" s="3" t="str">
        <f t="shared" si="4"/>
        <v>OK</v>
      </c>
      <c r="V29" s="21">
        <f t="shared" si="5"/>
        <v>0</v>
      </c>
      <c r="W29" s="3" t="str">
        <f t="shared" si="6"/>
        <v>OK</v>
      </c>
      <c r="X29" s="3" t="s">
        <v>475</v>
      </c>
      <c r="Y29" s="3" t="s">
        <v>29</v>
      </c>
      <c r="Z29" s="3" t="s">
        <v>476</v>
      </c>
    </row>
    <row r="30" spans="1:26" x14ac:dyDescent="0.2">
      <c r="A30" s="3" t="str">
        <f t="shared" si="0"/>
        <v>TRIP-T-061</v>
      </c>
      <c r="B30" s="2">
        <v>45712</v>
      </c>
      <c r="C30" s="3" t="str">
        <f>_xlfn.XLOOKUP(D30,'[1]Jan Customer Duplicate Hyva'!$B:$B,'[1]Jan Customer Duplicate Hyva'!$A:$A,"NOT FOUND")</f>
        <v>NOT FOUND</v>
      </c>
      <c r="D30" s="11" t="s">
        <v>485</v>
      </c>
      <c r="E30" s="3"/>
      <c r="F30" s="3"/>
      <c r="G30" s="3"/>
      <c r="H30" s="3"/>
      <c r="I30" s="3"/>
      <c r="J30" s="3"/>
      <c r="K30" s="3"/>
      <c r="L30" s="11" t="s">
        <v>172</v>
      </c>
      <c r="M30" s="12">
        <v>1</v>
      </c>
      <c r="N30" s="13">
        <v>4000</v>
      </c>
      <c r="O30" s="13">
        <f t="shared" si="1"/>
        <v>4000</v>
      </c>
      <c r="P30" s="13">
        <v>4000</v>
      </c>
      <c r="Q30" s="13">
        <f t="shared" si="2"/>
        <v>0</v>
      </c>
      <c r="R30" s="3"/>
      <c r="S30" s="3"/>
      <c r="T30" s="3">
        <f t="shared" si="3"/>
        <v>4000</v>
      </c>
      <c r="U30" s="3" t="str">
        <f t="shared" si="4"/>
        <v>OK</v>
      </c>
      <c r="V30" s="21">
        <f t="shared" si="5"/>
        <v>0</v>
      </c>
      <c r="W30" s="3" t="str">
        <f t="shared" si="6"/>
        <v>OK</v>
      </c>
      <c r="X30" s="3" t="s">
        <v>475</v>
      </c>
      <c r="Y30" s="3" t="s">
        <v>29</v>
      </c>
      <c r="Z30" s="3" t="s">
        <v>476</v>
      </c>
    </row>
    <row r="31" spans="1:26" x14ac:dyDescent="0.2">
      <c r="A31" s="3" t="str">
        <f t="shared" si="0"/>
        <v>TRIP-T-062</v>
      </c>
      <c r="B31" s="2">
        <v>45712</v>
      </c>
      <c r="C31" s="3" t="str">
        <f>_xlfn.XLOOKUP(D31,'[1]Jan Customer Duplicate Hyva'!$B:$B,'[1]Jan Customer Duplicate Hyva'!$A:$A,"NOT FOUND")</f>
        <v>CUST-393</v>
      </c>
      <c r="D31" s="25" t="s">
        <v>503</v>
      </c>
      <c r="E31" s="3"/>
      <c r="F31" s="3"/>
      <c r="G31" s="3"/>
      <c r="H31" s="3"/>
      <c r="I31" s="3"/>
      <c r="J31" s="3"/>
      <c r="K31" s="3"/>
      <c r="L31" s="11" t="s">
        <v>33</v>
      </c>
      <c r="M31" s="12">
        <v>1</v>
      </c>
      <c r="N31" s="13">
        <v>4000</v>
      </c>
      <c r="O31" s="13">
        <f t="shared" si="1"/>
        <v>4000</v>
      </c>
      <c r="P31" s="13">
        <v>4000</v>
      </c>
      <c r="Q31" s="13">
        <f t="shared" si="2"/>
        <v>0</v>
      </c>
      <c r="R31" s="3"/>
      <c r="S31" s="3"/>
      <c r="T31" s="3">
        <f t="shared" si="3"/>
        <v>4000</v>
      </c>
      <c r="U31" s="3" t="str">
        <f t="shared" si="4"/>
        <v>OK</v>
      </c>
      <c r="V31" s="21">
        <f t="shared" si="5"/>
        <v>0</v>
      </c>
      <c r="W31" s="3" t="str">
        <f t="shared" si="6"/>
        <v>OK</v>
      </c>
      <c r="X31" s="3" t="s">
        <v>475</v>
      </c>
      <c r="Y31" s="3" t="s">
        <v>29</v>
      </c>
      <c r="Z31" s="3" t="s">
        <v>476</v>
      </c>
    </row>
    <row r="32" spans="1:26" x14ac:dyDescent="0.2">
      <c r="A32" s="3" t="str">
        <f t="shared" si="0"/>
        <v>TRIP-T-063</v>
      </c>
      <c r="B32" s="2">
        <v>45713</v>
      </c>
      <c r="C32" s="3" t="str">
        <f>_xlfn.XLOOKUP(D32,'[1]Jan Customer Duplicate Hyva'!$B:$B,'[1]Jan Customer Duplicate Hyva'!$A:$A,"NOT FOUND")</f>
        <v>CUST-253</v>
      </c>
      <c r="D32" s="11" t="s">
        <v>148</v>
      </c>
      <c r="E32" s="3"/>
      <c r="F32" s="3"/>
      <c r="G32" s="3"/>
      <c r="H32" s="3"/>
      <c r="I32" s="3"/>
      <c r="J32" s="3"/>
      <c r="K32" s="3"/>
      <c r="L32" s="11" t="s">
        <v>172</v>
      </c>
      <c r="M32" s="12">
        <v>1</v>
      </c>
      <c r="N32" s="13">
        <v>4000</v>
      </c>
      <c r="O32" s="13">
        <f t="shared" si="1"/>
        <v>4000</v>
      </c>
      <c r="P32" s="13">
        <v>4000</v>
      </c>
      <c r="Q32" s="13">
        <f t="shared" si="2"/>
        <v>0</v>
      </c>
      <c r="R32" s="3"/>
      <c r="S32" s="3"/>
      <c r="T32" s="3">
        <f t="shared" si="3"/>
        <v>4000</v>
      </c>
      <c r="U32" s="3" t="str">
        <f t="shared" si="4"/>
        <v>OK</v>
      </c>
      <c r="V32" s="21">
        <f t="shared" si="5"/>
        <v>0</v>
      </c>
      <c r="W32" s="3" t="str">
        <f t="shared" si="6"/>
        <v>OK</v>
      </c>
      <c r="X32" s="3" t="s">
        <v>475</v>
      </c>
      <c r="Y32" s="3" t="s">
        <v>29</v>
      </c>
      <c r="Z32" s="3" t="s">
        <v>476</v>
      </c>
    </row>
    <row r="33" spans="1:26" x14ac:dyDescent="0.2">
      <c r="A33" s="3" t="str">
        <f t="shared" si="0"/>
        <v>TRIP-T-064</v>
      </c>
      <c r="B33" s="2">
        <v>45714</v>
      </c>
      <c r="C33" s="3" t="str">
        <f>_xlfn.XLOOKUP(D33,'[1]Jan Customer Duplicate Hyva'!$B:$B,'[1]Jan Customer Duplicate Hyva'!$A:$A,"NOT FOUND")</f>
        <v>CUST-288</v>
      </c>
      <c r="D33" s="26" t="s">
        <v>490</v>
      </c>
      <c r="E33" s="3"/>
      <c r="F33" s="3"/>
      <c r="G33" s="3"/>
      <c r="H33" s="3"/>
      <c r="I33" s="3"/>
      <c r="J33" s="3"/>
      <c r="K33" s="3"/>
      <c r="L33" s="26" t="s">
        <v>172</v>
      </c>
      <c r="M33" s="27">
        <v>1</v>
      </c>
      <c r="N33" s="13">
        <v>4000</v>
      </c>
      <c r="O33" s="13">
        <f t="shared" si="1"/>
        <v>4000</v>
      </c>
      <c r="P33" s="13">
        <v>4000</v>
      </c>
      <c r="Q33" s="13">
        <f t="shared" si="2"/>
        <v>0</v>
      </c>
      <c r="R33" s="3"/>
      <c r="S33" s="3"/>
      <c r="T33" s="3">
        <f t="shared" si="3"/>
        <v>4000</v>
      </c>
      <c r="U33" s="3" t="str">
        <f t="shared" si="4"/>
        <v>OK</v>
      </c>
      <c r="V33" s="21">
        <f t="shared" si="5"/>
        <v>0</v>
      </c>
      <c r="W33" s="3" t="str">
        <f t="shared" si="6"/>
        <v>OK</v>
      </c>
      <c r="X33" s="3" t="s">
        <v>475</v>
      </c>
      <c r="Y33" s="3" t="s">
        <v>29</v>
      </c>
      <c r="Z33" s="3" t="s">
        <v>476</v>
      </c>
    </row>
    <row r="34" spans="1:26" x14ac:dyDescent="0.2">
      <c r="A34" s="3" t="str">
        <f t="shared" si="0"/>
        <v>TRIP-T-065</v>
      </c>
      <c r="B34" s="2">
        <v>45716</v>
      </c>
      <c r="C34" s="3" t="str">
        <f>_xlfn.XLOOKUP(D34,'[1]Jan Customer Duplicate Hyva'!$B:$B,'[1]Jan Customer Duplicate Hyva'!$A:$A,"NOT FOUND")</f>
        <v>NOT FOUND</v>
      </c>
      <c r="D34" s="11" t="s">
        <v>500</v>
      </c>
      <c r="E34" s="3"/>
      <c r="F34" s="3"/>
      <c r="G34" s="3"/>
      <c r="H34" s="3"/>
      <c r="I34" s="3"/>
      <c r="J34" s="3"/>
      <c r="K34" s="3"/>
      <c r="L34" s="11" t="s">
        <v>504</v>
      </c>
      <c r="M34" s="27">
        <v>1</v>
      </c>
      <c r="N34" s="13">
        <v>0</v>
      </c>
      <c r="O34" s="13">
        <f t="shared" si="1"/>
        <v>0</v>
      </c>
      <c r="P34" s="13"/>
      <c r="Q34" s="13">
        <f t="shared" si="2"/>
        <v>0</v>
      </c>
      <c r="R34" s="3"/>
      <c r="S34" s="3"/>
      <c r="T34" s="3">
        <f t="shared" si="3"/>
        <v>0</v>
      </c>
      <c r="U34" s="3" t="str">
        <f t="shared" si="4"/>
        <v>OK</v>
      </c>
      <c r="V34" s="21">
        <f t="shared" si="5"/>
        <v>0</v>
      </c>
      <c r="W34" s="3" t="str">
        <f t="shared" si="6"/>
        <v>OK</v>
      </c>
      <c r="X34" s="3" t="s">
        <v>475</v>
      </c>
      <c r="Y34" s="3" t="s">
        <v>29</v>
      </c>
      <c r="Z34" s="3" t="s">
        <v>476</v>
      </c>
    </row>
    <row r="35" spans="1:26" x14ac:dyDescent="0.2">
      <c r="A35" s="3" t="str">
        <f t="shared" si="0"/>
        <v>TRIP-T-066</v>
      </c>
      <c r="B35" s="2">
        <v>45717</v>
      </c>
      <c r="C35" s="3" t="str">
        <f>_xlfn.XLOOKUP(D35,'[1]Jan Customer Duplicate Hyva'!$B:$B,'[1]Jan Customer Duplicate Hyva'!$A:$A,"NOT FOUND")</f>
        <v>CUST-288</v>
      </c>
      <c r="D35" s="26" t="s">
        <v>490</v>
      </c>
      <c r="E35" s="3"/>
      <c r="F35" s="3"/>
      <c r="G35" s="3"/>
      <c r="H35" s="3"/>
      <c r="I35" s="3"/>
      <c r="J35" s="3"/>
      <c r="K35" s="3"/>
      <c r="L35" s="26" t="s">
        <v>172</v>
      </c>
      <c r="M35" s="27">
        <v>1</v>
      </c>
      <c r="N35" s="13">
        <v>4000</v>
      </c>
      <c r="O35" s="13">
        <f t="shared" si="1"/>
        <v>4000</v>
      </c>
      <c r="P35" s="13">
        <v>4000</v>
      </c>
      <c r="Q35" s="13">
        <f t="shared" si="2"/>
        <v>0</v>
      </c>
      <c r="R35" s="3"/>
      <c r="S35" s="3"/>
      <c r="T35" s="3">
        <f t="shared" si="3"/>
        <v>4000</v>
      </c>
      <c r="U35" s="3" t="str">
        <f t="shared" si="4"/>
        <v>OK</v>
      </c>
      <c r="V35" s="21">
        <f t="shared" si="5"/>
        <v>0</v>
      </c>
      <c r="W35" s="3" t="str">
        <f t="shared" si="6"/>
        <v>OK</v>
      </c>
      <c r="X35" s="3" t="s">
        <v>475</v>
      </c>
      <c r="Y35" s="3" t="s">
        <v>29</v>
      </c>
      <c r="Z35" s="3" t="s">
        <v>476</v>
      </c>
    </row>
    <row r="36" spans="1:26" x14ac:dyDescent="0.2">
      <c r="A36" s="3" t="str">
        <f t="shared" si="0"/>
        <v>TRIP-T-067</v>
      </c>
      <c r="B36" s="2">
        <v>45718</v>
      </c>
      <c r="C36" s="3" t="str">
        <f>_xlfn.XLOOKUP(D36,'[1]Jan Customer Duplicate Hyva'!$B:$B,'[1]Jan Customer Duplicate Hyva'!$A:$A,"NOT FOUND")</f>
        <v>CUST-058</v>
      </c>
      <c r="D36" s="26" t="s">
        <v>484</v>
      </c>
      <c r="E36" s="3"/>
      <c r="F36" s="3"/>
      <c r="G36" s="3"/>
      <c r="H36" s="3"/>
      <c r="I36" s="3"/>
      <c r="J36" s="3"/>
      <c r="K36" s="3"/>
      <c r="L36" s="11" t="s">
        <v>172</v>
      </c>
      <c r="M36" s="12">
        <v>2</v>
      </c>
      <c r="N36" s="13">
        <v>4000</v>
      </c>
      <c r="O36" s="13">
        <f t="shared" si="1"/>
        <v>8000</v>
      </c>
      <c r="P36" s="13">
        <v>8000</v>
      </c>
      <c r="Q36" s="13">
        <f t="shared" si="2"/>
        <v>0</v>
      </c>
      <c r="R36" s="3"/>
      <c r="S36" s="3"/>
      <c r="T36" s="3">
        <f t="shared" si="3"/>
        <v>8000</v>
      </c>
      <c r="U36" s="3" t="str">
        <f t="shared" si="4"/>
        <v>OK</v>
      </c>
      <c r="V36" s="21">
        <f t="shared" si="5"/>
        <v>0</v>
      </c>
      <c r="W36" s="3" t="str">
        <f t="shared" si="6"/>
        <v>OK</v>
      </c>
      <c r="X36" s="3" t="s">
        <v>475</v>
      </c>
      <c r="Y36" s="3" t="s">
        <v>29</v>
      </c>
      <c r="Z36" s="3" t="s">
        <v>476</v>
      </c>
    </row>
    <row r="37" spans="1:26" x14ac:dyDescent="0.2">
      <c r="A37" s="3" t="str">
        <f t="shared" si="0"/>
        <v>TRIP-T-068</v>
      </c>
      <c r="B37" s="2">
        <v>45719</v>
      </c>
      <c r="C37" s="3" t="str">
        <f>_xlfn.XLOOKUP(D37,'[1]Jan Customer Duplicate Hyva'!$B:$B,'[1]Jan Customer Duplicate Hyva'!$A:$A,"NOT FOUND")</f>
        <v>CUST-320</v>
      </c>
      <c r="D37" s="11" t="s">
        <v>505</v>
      </c>
      <c r="E37" s="3"/>
      <c r="F37" s="3"/>
      <c r="G37" s="3"/>
      <c r="H37" s="3"/>
      <c r="I37" s="3"/>
      <c r="J37" s="3"/>
      <c r="K37" s="3"/>
      <c r="L37" s="11" t="s">
        <v>172</v>
      </c>
      <c r="M37" s="12">
        <v>1</v>
      </c>
      <c r="N37" s="13">
        <v>4000</v>
      </c>
      <c r="O37" s="13">
        <f t="shared" si="1"/>
        <v>4000</v>
      </c>
      <c r="P37" s="13">
        <v>4000</v>
      </c>
      <c r="Q37" s="13">
        <f t="shared" si="2"/>
        <v>0</v>
      </c>
      <c r="R37" s="3"/>
      <c r="S37" s="3"/>
      <c r="T37" s="3">
        <f t="shared" si="3"/>
        <v>4000</v>
      </c>
      <c r="U37" s="3" t="str">
        <f t="shared" si="4"/>
        <v>OK</v>
      </c>
      <c r="V37" s="21">
        <f t="shared" si="5"/>
        <v>0</v>
      </c>
      <c r="W37" s="3" t="str">
        <f t="shared" si="6"/>
        <v>OK</v>
      </c>
      <c r="X37" s="3" t="s">
        <v>475</v>
      </c>
      <c r="Y37" s="3" t="s">
        <v>29</v>
      </c>
      <c r="Z37" s="3" t="s">
        <v>476</v>
      </c>
    </row>
    <row r="38" spans="1:26" x14ac:dyDescent="0.2">
      <c r="A38" s="3" t="str">
        <f t="shared" si="0"/>
        <v>TRIP-T-069</v>
      </c>
      <c r="B38" s="2">
        <v>45720</v>
      </c>
      <c r="C38" s="3" t="str">
        <f>_xlfn.XLOOKUP(D38,'[1]Jan Customer Duplicate Hyva'!$B:$B,'[1]Jan Customer Duplicate Hyva'!$A:$A,"NOT FOUND")</f>
        <v>CUST-111</v>
      </c>
      <c r="D38" s="11" t="s">
        <v>506</v>
      </c>
      <c r="E38" s="3"/>
      <c r="F38" s="3"/>
      <c r="G38" s="3"/>
      <c r="H38" s="3"/>
      <c r="I38" s="3"/>
      <c r="J38" s="3"/>
      <c r="K38" s="3"/>
      <c r="L38" s="11" t="s">
        <v>172</v>
      </c>
      <c r="M38" s="12">
        <v>1</v>
      </c>
      <c r="N38" s="13">
        <v>4000</v>
      </c>
      <c r="O38" s="13">
        <f t="shared" si="1"/>
        <v>4000</v>
      </c>
      <c r="P38" s="13">
        <v>4000</v>
      </c>
      <c r="Q38" s="13">
        <f t="shared" si="2"/>
        <v>0</v>
      </c>
      <c r="R38" s="3"/>
      <c r="S38" s="3"/>
      <c r="T38" s="3">
        <f t="shared" si="3"/>
        <v>4000</v>
      </c>
      <c r="U38" s="3" t="str">
        <f t="shared" si="4"/>
        <v>OK</v>
      </c>
      <c r="V38" s="21">
        <f t="shared" si="5"/>
        <v>0</v>
      </c>
      <c r="W38" s="3" t="str">
        <f t="shared" si="6"/>
        <v>OK</v>
      </c>
      <c r="X38" s="3" t="s">
        <v>475</v>
      </c>
      <c r="Y38" s="3" t="s">
        <v>29</v>
      </c>
      <c r="Z38" s="3" t="s">
        <v>476</v>
      </c>
    </row>
    <row r="39" spans="1:26" x14ac:dyDescent="0.2">
      <c r="A39" s="3" t="str">
        <f t="shared" si="0"/>
        <v>TRIP-T-070</v>
      </c>
      <c r="B39" s="2">
        <v>45720</v>
      </c>
      <c r="C39" s="3" t="str">
        <f>_xlfn.XLOOKUP(D39,'[1]Jan Customer Duplicate Hyva'!$B:$B,'[1]Jan Customer Duplicate Hyva'!$A:$A,"NOT FOUND")</f>
        <v>NOT FOUND</v>
      </c>
      <c r="D39" s="11" t="s">
        <v>507</v>
      </c>
      <c r="E39" s="3"/>
      <c r="F39" s="3"/>
      <c r="G39" s="3"/>
      <c r="H39" s="3"/>
      <c r="I39" s="3"/>
      <c r="J39" s="3"/>
      <c r="K39" s="3"/>
      <c r="L39" s="11" t="s">
        <v>33</v>
      </c>
      <c r="M39" s="12">
        <v>2</v>
      </c>
      <c r="N39" s="13">
        <v>4000</v>
      </c>
      <c r="O39" s="13">
        <f t="shared" si="1"/>
        <v>8000</v>
      </c>
      <c r="P39" s="13">
        <v>8000</v>
      </c>
      <c r="Q39" s="13">
        <f t="shared" si="2"/>
        <v>0</v>
      </c>
      <c r="R39" s="3"/>
      <c r="S39" s="3"/>
      <c r="T39" s="3">
        <f t="shared" si="3"/>
        <v>8000</v>
      </c>
      <c r="U39" s="3" t="str">
        <f t="shared" si="4"/>
        <v>OK</v>
      </c>
      <c r="V39" s="21">
        <f t="shared" si="5"/>
        <v>0</v>
      </c>
      <c r="W39" s="3" t="str">
        <f t="shared" si="6"/>
        <v>OK</v>
      </c>
      <c r="X39" s="3" t="s">
        <v>475</v>
      </c>
      <c r="Y39" s="3" t="s">
        <v>29</v>
      </c>
      <c r="Z39" s="3" t="s">
        <v>476</v>
      </c>
    </row>
    <row r="40" spans="1:26" x14ac:dyDescent="0.2">
      <c r="A40" s="3" t="str">
        <f t="shared" si="0"/>
        <v>TRIP-T-071</v>
      </c>
      <c r="B40" s="2">
        <v>45721</v>
      </c>
      <c r="C40" s="3" t="str">
        <f>_xlfn.XLOOKUP(D40,'[1]Jan Customer Duplicate Hyva'!$B:$B,'[1]Jan Customer Duplicate Hyva'!$A:$A,"NOT FOUND")</f>
        <v>CUST-065</v>
      </c>
      <c r="D40" s="25" t="s">
        <v>508</v>
      </c>
      <c r="E40" s="3"/>
      <c r="F40" s="3"/>
      <c r="G40" s="3"/>
      <c r="H40" s="3"/>
      <c r="I40" s="3"/>
      <c r="J40" s="3"/>
      <c r="K40" s="3"/>
      <c r="L40" s="25" t="s">
        <v>509</v>
      </c>
      <c r="M40" s="29">
        <v>1</v>
      </c>
      <c r="N40" s="30">
        <v>4000</v>
      </c>
      <c r="O40" s="13">
        <f t="shared" si="1"/>
        <v>4000</v>
      </c>
      <c r="P40" s="30">
        <v>4000</v>
      </c>
      <c r="Q40" s="13">
        <f t="shared" si="2"/>
        <v>0</v>
      </c>
      <c r="R40" s="3"/>
      <c r="S40" s="3"/>
      <c r="T40" s="3">
        <f t="shared" si="3"/>
        <v>4000</v>
      </c>
      <c r="U40" s="3" t="str">
        <f t="shared" si="4"/>
        <v>OK</v>
      </c>
      <c r="V40" s="21">
        <f t="shared" si="5"/>
        <v>0</v>
      </c>
      <c r="W40" s="3" t="str">
        <f t="shared" si="6"/>
        <v>OK</v>
      </c>
      <c r="X40" s="3" t="s">
        <v>475</v>
      </c>
      <c r="Y40" s="3" t="s">
        <v>29</v>
      </c>
      <c r="Z40" s="3" t="s">
        <v>476</v>
      </c>
    </row>
    <row r="41" spans="1:26" x14ac:dyDescent="0.2">
      <c r="A41" s="3" t="str">
        <f t="shared" si="0"/>
        <v>TRIP-T-072</v>
      </c>
      <c r="B41" s="2">
        <v>45722</v>
      </c>
      <c r="C41" s="3" t="str">
        <f>_xlfn.XLOOKUP(D41,'[1]Jan Customer Duplicate Hyva'!$B:$B,'[1]Jan Customer Duplicate Hyva'!$A:$A,"NOT FOUND")</f>
        <v>CUST-106</v>
      </c>
      <c r="D41" s="25" t="s">
        <v>510</v>
      </c>
      <c r="E41" s="3"/>
      <c r="F41" s="3"/>
      <c r="G41" s="3"/>
      <c r="H41" s="3"/>
      <c r="I41" s="3"/>
      <c r="J41" s="3"/>
      <c r="K41" s="3"/>
      <c r="L41" s="25" t="s">
        <v>511</v>
      </c>
      <c r="M41" s="29">
        <v>1</v>
      </c>
      <c r="N41" s="30">
        <v>4500</v>
      </c>
      <c r="O41" s="13">
        <f t="shared" si="1"/>
        <v>4500</v>
      </c>
      <c r="P41" s="30">
        <v>4500</v>
      </c>
      <c r="Q41" s="13">
        <f t="shared" si="2"/>
        <v>0</v>
      </c>
      <c r="R41" s="3"/>
      <c r="S41" s="3"/>
      <c r="T41" s="3">
        <f t="shared" si="3"/>
        <v>4500</v>
      </c>
      <c r="U41" s="3" t="str">
        <f t="shared" si="4"/>
        <v>OK</v>
      </c>
      <c r="V41" s="21">
        <f t="shared" si="5"/>
        <v>0</v>
      </c>
      <c r="W41" s="3" t="str">
        <f t="shared" si="6"/>
        <v>OK</v>
      </c>
      <c r="X41" s="3" t="s">
        <v>475</v>
      </c>
      <c r="Y41" s="3" t="s">
        <v>29</v>
      </c>
      <c r="Z41" s="3" t="s">
        <v>476</v>
      </c>
    </row>
    <row r="42" spans="1:26" x14ac:dyDescent="0.2">
      <c r="A42" s="3" t="str">
        <f t="shared" si="0"/>
        <v>TRIP-T-073</v>
      </c>
      <c r="B42" s="2">
        <v>45722</v>
      </c>
      <c r="C42" s="3" t="str">
        <f>_xlfn.XLOOKUP(D42,'[1]Jan Customer Duplicate Hyva'!$B:$B,'[1]Jan Customer Duplicate Hyva'!$A:$A,"NOT FOUND")</f>
        <v>CUST-190</v>
      </c>
      <c r="D42" s="25" t="s">
        <v>497</v>
      </c>
      <c r="E42" s="3"/>
      <c r="F42" s="3"/>
      <c r="G42" s="3"/>
      <c r="H42" s="3"/>
      <c r="I42" s="3"/>
      <c r="J42" s="3"/>
      <c r="K42" s="3"/>
      <c r="L42" s="25" t="s">
        <v>512</v>
      </c>
      <c r="M42" s="29">
        <v>3</v>
      </c>
      <c r="N42" s="30">
        <v>5000</v>
      </c>
      <c r="O42" s="13">
        <f t="shared" si="1"/>
        <v>15000</v>
      </c>
      <c r="P42" s="30"/>
      <c r="Q42" s="13">
        <f t="shared" si="2"/>
        <v>15000</v>
      </c>
      <c r="R42" s="3"/>
      <c r="S42" s="3"/>
      <c r="T42" s="3">
        <f t="shared" si="3"/>
        <v>15000</v>
      </c>
      <c r="U42" s="3" t="str">
        <f t="shared" si="4"/>
        <v>OK</v>
      </c>
      <c r="V42" s="21">
        <f t="shared" si="5"/>
        <v>15000</v>
      </c>
      <c r="W42" s="3" t="str">
        <f t="shared" si="6"/>
        <v>OK</v>
      </c>
      <c r="X42" s="3" t="s">
        <v>475</v>
      </c>
      <c r="Y42" s="3" t="s">
        <v>29</v>
      </c>
      <c r="Z42" s="3" t="s">
        <v>476</v>
      </c>
    </row>
    <row r="43" spans="1:26" x14ac:dyDescent="0.2">
      <c r="A43" s="3" t="str">
        <f t="shared" si="0"/>
        <v>TRIP-T-074</v>
      </c>
      <c r="B43" s="2">
        <v>45723</v>
      </c>
      <c r="C43" s="3" t="str">
        <f>_xlfn.XLOOKUP(D43,'[1]Jan Customer Duplicate Hyva'!$B:$B,'[1]Jan Customer Duplicate Hyva'!$A:$A,"NOT FOUND")</f>
        <v>CUST-107</v>
      </c>
      <c r="D43" s="25" t="s">
        <v>513</v>
      </c>
      <c r="E43" s="3"/>
      <c r="F43" s="3"/>
      <c r="G43" s="3"/>
      <c r="H43" s="3"/>
      <c r="I43" s="3"/>
      <c r="J43" s="3"/>
      <c r="K43" s="3"/>
      <c r="L43" s="25" t="s">
        <v>514</v>
      </c>
      <c r="M43" s="29">
        <v>3</v>
      </c>
      <c r="N43" s="30">
        <v>5000</v>
      </c>
      <c r="O43" s="13">
        <f t="shared" si="1"/>
        <v>15000</v>
      </c>
      <c r="P43" s="30">
        <v>15000</v>
      </c>
      <c r="Q43" s="13">
        <f t="shared" si="2"/>
        <v>0</v>
      </c>
      <c r="R43" s="3"/>
      <c r="S43" s="3"/>
      <c r="T43" s="3">
        <f t="shared" si="3"/>
        <v>15000</v>
      </c>
      <c r="U43" s="3" t="str">
        <f t="shared" si="4"/>
        <v>OK</v>
      </c>
      <c r="V43" s="21">
        <f t="shared" si="5"/>
        <v>0</v>
      </c>
      <c r="W43" s="3" t="str">
        <f t="shared" si="6"/>
        <v>OK</v>
      </c>
      <c r="X43" s="3" t="s">
        <v>475</v>
      </c>
      <c r="Y43" s="3" t="s">
        <v>29</v>
      </c>
      <c r="Z43" s="3" t="s">
        <v>476</v>
      </c>
    </row>
    <row r="44" spans="1:26" x14ac:dyDescent="0.2">
      <c r="A44" s="3" t="str">
        <f t="shared" si="0"/>
        <v>TRIP-T-075</v>
      </c>
      <c r="B44" s="2">
        <v>45724</v>
      </c>
      <c r="C44" s="3" t="str">
        <f>_xlfn.XLOOKUP(D44,'[1]Jan Customer Duplicate Hyva'!$B:$B,'[1]Jan Customer Duplicate Hyva'!$A:$A,"NOT FOUND")</f>
        <v>CUST-080</v>
      </c>
      <c r="D44" s="25" t="s">
        <v>515</v>
      </c>
      <c r="E44" s="3"/>
      <c r="F44" s="3"/>
      <c r="G44" s="3"/>
      <c r="H44" s="3"/>
      <c r="I44" s="3"/>
      <c r="J44" s="3"/>
      <c r="K44" s="3"/>
      <c r="L44" s="25" t="s">
        <v>516</v>
      </c>
      <c r="M44" s="29">
        <v>1</v>
      </c>
      <c r="N44" s="30">
        <v>4000</v>
      </c>
      <c r="O44" s="13">
        <f t="shared" si="1"/>
        <v>4000</v>
      </c>
      <c r="P44" s="30">
        <v>4000</v>
      </c>
      <c r="Q44" s="13">
        <f t="shared" si="2"/>
        <v>0</v>
      </c>
      <c r="R44" s="3"/>
      <c r="S44" s="3"/>
      <c r="T44" s="3">
        <f t="shared" si="3"/>
        <v>4000</v>
      </c>
      <c r="U44" s="3" t="str">
        <f t="shared" si="4"/>
        <v>OK</v>
      </c>
      <c r="V44" s="21">
        <f t="shared" si="5"/>
        <v>0</v>
      </c>
      <c r="W44" s="3" t="str">
        <f t="shared" si="6"/>
        <v>OK</v>
      </c>
      <c r="X44" s="3" t="s">
        <v>475</v>
      </c>
      <c r="Y44" s="3" t="s">
        <v>29</v>
      </c>
      <c r="Z44" s="3" t="s">
        <v>476</v>
      </c>
    </row>
    <row r="45" spans="1:26" x14ac:dyDescent="0.2">
      <c r="A45" s="3" t="str">
        <f t="shared" si="0"/>
        <v>TRIP-T-076</v>
      </c>
      <c r="B45" s="2">
        <v>45725</v>
      </c>
      <c r="C45" s="3" t="str">
        <f>_xlfn.XLOOKUP(D45,'[1]Jan Customer Duplicate Hyva'!$B:$B,'[1]Jan Customer Duplicate Hyva'!$A:$A,"NOT FOUND")</f>
        <v>CUST-070</v>
      </c>
      <c r="D45" s="25" t="s">
        <v>517</v>
      </c>
      <c r="E45" s="3"/>
      <c r="F45" s="3"/>
      <c r="G45" s="3"/>
      <c r="H45" s="3"/>
      <c r="I45" s="3"/>
      <c r="J45" s="3"/>
      <c r="K45" s="3"/>
      <c r="L45" s="25" t="s">
        <v>518</v>
      </c>
      <c r="M45" s="29">
        <v>1</v>
      </c>
      <c r="N45" s="30">
        <v>4000</v>
      </c>
      <c r="O45" s="13">
        <f t="shared" si="1"/>
        <v>4000</v>
      </c>
      <c r="P45" s="30">
        <v>4000</v>
      </c>
      <c r="Q45" s="13">
        <f t="shared" si="2"/>
        <v>0</v>
      </c>
      <c r="R45" s="3"/>
      <c r="S45" s="3"/>
      <c r="T45" s="3">
        <f t="shared" si="3"/>
        <v>4000</v>
      </c>
      <c r="U45" s="3" t="str">
        <f t="shared" si="4"/>
        <v>OK</v>
      </c>
      <c r="V45" s="21">
        <f t="shared" si="5"/>
        <v>0</v>
      </c>
      <c r="W45" s="3" t="str">
        <f t="shared" si="6"/>
        <v>OK</v>
      </c>
      <c r="X45" s="3" t="s">
        <v>475</v>
      </c>
      <c r="Y45" s="3" t="s">
        <v>29</v>
      </c>
      <c r="Z45" s="3" t="s">
        <v>476</v>
      </c>
    </row>
    <row r="46" spans="1:26" x14ac:dyDescent="0.2">
      <c r="A46" s="3" t="str">
        <f t="shared" si="0"/>
        <v>TRIP-T-077</v>
      </c>
      <c r="B46" s="2">
        <v>45726</v>
      </c>
      <c r="C46" s="3" t="str">
        <f>_xlfn.XLOOKUP(D46,'[1]Jan Customer Duplicate Hyva'!$B:$B,'[1]Jan Customer Duplicate Hyva'!$A:$A,"NOT FOUND")</f>
        <v>CUST-102</v>
      </c>
      <c r="D46" s="25" t="s">
        <v>519</v>
      </c>
      <c r="E46" s="3"/>
      <c r="F46" s="3"/>
      <c r="G46" s="3"/>
      <c r="H46" s="3"/>
      <c r="I46" s="3"/>
      <c r="J46" s="3"/>
      <c r="K46" s="3"/>
      <c r="L46" s="25" t="s">
        <v>516</v>
      </c>
      <c r="M46" s="29">
        <v>2</v>
      </c>
      <c r="N46" s="30">
        <v>4500</v>
      </c>
      <c r="O46" s="13">
        <f t="shared" si="1"/>
        <v>9000</v>
      </c>
      <c r="P46" s="30">
        <v>9000</v>
      </c>
      <c r="Q46" s="13">
        <f t="shared" si="2"/>
        <v>0</v>
      </c>
      <c r="R46" s="3"/>
      <c r="S46" s="3"/>
      <c r="T46" s="3">
        <f t="shared" si="3"/>
        <v>9000</v>
      </c>
      <c r="U46" s="3" t="str">
        <f t="shared" si="4"/>
        <v>OK</v>
      </c>
      <c r="V46" s="21">
        <f t="shared" si="5"/>
        <v>0</v>
      </c>
      <c r="W46" s="3" t="str">
        <f t="shared" si="6"/>
        <v>OK</v>
      </c>
      <c r="X46" s="3" t="s">
        <v>475</v>
      </c>
      <c r="Y46" s="3" t="s">
        <v>29</v>
      </c>
      <c r="Z46" s="3" t="s">
        <v>476</v>
      </c>
    </row>
    <row r="47" spans="1:26" x14ac:dyDescent="0.2">
      <c r="A47" s="3" t="str">
        <f t="shared" si="0"/>
        <v>TRIP-T-078</v>
      </c>
      <c r="B47" s="2">
        <v>45727</v>
      </c>
      <c r="C47" s="3" t="str">
        <f>_xlfn.XLOOKUP(D47,'[1]Jan Customer Duplicate Hyva'!$B:$B,'[1]Jan Customer Duplicate Hyva'!$A:$A,"NOT FOUND")</f>
        <v>CUST-302</v>
      </c>
      <c r="D47" s="25" t="s">
        <v>520</v>
      </c>
      <c r="E47" s="3"/>
      <c r="F47" s="3"/>
      <c r="G47" s="3"/>
      <c r="H47" s="3"/>
      <c r="I47" s="3"/>
      <c r="J47" s="3"/>
      <c r="K47" s="3"/>
      <c r="L47" s="25" t="s">
        <v>509</v>
      </c>
      <c r="M47" s="29">
        <v>1</v>
      </c>
      <c r="N47" s="30">
        <v>4000</v>
      </c>
      <c r="O47" s="13">
        <f t="shared" si="1"/>
        <v>4000</v>
      </c>
      <c r="P47" s="30">
        <v>4000</v>
      </c>
      <c r="Q47" s="13">
        <f t="shared" si="2"/>
        <v>0</v>
      </c>
      <c r="R47" s="3"/>
      <c r="S47" s="3"/>
      <c r="T47" s="3">
        <f t="shared" si="3"/>
        <v>4000</v>
      </c>
      <c r="U47" s="3" t="str">
        <f t="shared" si="4"/>
        <v>OK</v>
      </c>
      <c r="V47" s="21">
        <f t="shared" si="5"/>
        <v>0</v>
      </c>
      <c r="W47" s="3" t="str">
        <f t="shared" si="6"/>
        <v>OK</v>
      </c>
      <c r="X47" s="3" t="s">
        <v>475</v>
      </c>
      <c r="Y47" s="3" t="s">
        <v>29</v>
      </c>
      <c r="Z47" s="3" t="s">
        <v>476</v>
      </c>
    </row>
    <row r="48" spans="1:26" x14ac:dyDescent="0.2">
      <c r="A48" s="3" t="str">
        <f t="shared" si="0"/>
        <v>TRIP-T-079</v>
      </c>
      <c r="B48" s="2">
        <v>45727</v>
      </c>
      <c r="C48" s="3" t="str">
        <f>_xlfn.XLOOKUP(D48,'[1]Jan Customer Duplicate Hyva'!$B:$B,'[1]Jan Customer Duplicate Hyva'!$A:$A,"NOT FOUND")</f>
        <v>CUST-066</v>
      </c>
      <c r="D48" s="25" t="s">
        <v>521</v>
      </c>
      <c r="E48" s="3"/>
      <c r="F48" s="3"/>
      <c r="G48" s="3"/>
      <c r="H48" s="3"/>
      <c r="I48" s="3"/>
      <c r="J48" s="3"/>
      <c r="K48" s="3"/>
      <c r="L48" s="25" t="s">
        <v>509</v>
      </c>
      <c r="M48" s="29">
        <v>1</v>
      </c>
      <c r="N48" s="30">
        <v>4000</v>
      </c>
      <c r="O48" s="13">
        <f t="shared" si="1"/>
        <v>4000</v>
      </c>
      <c r="P48" s="30">
        <v>4000</v>
      </c>
      <c r="Q48" s="13">
        <f t="shared" si="2"/>
        <v>0</v>
      </c>
      <c r="R48" s="3"/>
      <c r="S48" s="3"/>
      <c r="T48" s="3">
        <f t="shared" si="3"/>
        <v>4000</v>
      </c>
      <c r="U48" s="3" t="str">
        <f t="shared" si="4"/>
        <v>OK</v>
      </c>
      <c r="V48" s="21">
        <f t="shared" si="5"/>
        <v>0</v>
      </c>
      <c r="W48" s="3" t="str">
        <f t="shared" si="6"/>
        <v>OK</v>
      </c>
      <c r="X48" s="3" t="s">
        <v>475</v>
      </c>
      <c r="Y48" s="3" t="s">
        <v>29</v>
      </c>
      <c r="Z48" s="3" t="s">
        <v>476</v>
      </c>
    </row>
    <row r="49" spans="1:26" x14ac:dyDescent="0.2">
      <c r="A49" s="3" t="str">
        <f t="shared" si="0"/>
        <v>TRIP-T-080</v>
      </c>
      <c r="B49" s="2">
        <v>45727</v>
      </c>
      <c r="C49" s="3" t="str">
        <f>_xlfn.XLOOKUP(D49,'[1]Jan Customer Duplicate Hyva'!$B:$B,'[1]Jan Customer Duplicate Hyva'!$A:$A,"NOT FOUND")</f>
        <v>CUST-241</v>
      </c>
      <c r="D49" s="25" t="s">
        <v>522</v>
      </c>
      <c r="E49" s="3"/>
      <c r="F49" s="3"/>
      <c r="G49" s="3"/>
      <c r="H49" s="3"/>
      <c r="I49" s="3"/>
      <c r="J49" s="3"/>
      <c r="K49" s="3"/>
      <c r="L49" s="25" t="s">
        <v>523</v>
      </c>
      <c r="M49" s="29">
        <v>3</v>
      </c>
      <c r="N49" s="30">
        <v>4000</v>
      </c>
      <c r="O49" s="13">
        <f t="shared" si="1"/>
        <v>12000</v>
      </c>
      <c r="P49" s="30">
        <v>12000</v>
      </c>
      <c r="Q49" s="13">
        <f t="shared" si="2"/>
        <v>0</v>
      </c>
      <c r="R49" s="3"/>
      <c r="S49" s="3"/>
      <c r="T49" s="3">
        <f t="shared" si="3"/>
        <v>12000</v>
      </c>
      <c r="U49" s="3" t="str">
        <f t="shared" si="4"/>
        <v>OK</v>
      </c>
      <c r="V49" s="21">
        <f t="shared" si="5"/>
        <v>0</v>
      </c>
      <c r="W49" s="3" t="str">
        <f t="shared" si="6"/>
        <v>OK</v>
      </c>
      <c r="X49" s="3" t="s">
        <v>475</v>
      </c>
      <c r="Y49" s="3" t="s">
        <v>29</v>
      </c>
      <c r="Z49" s="3" t="s">
        <v>476</v>
      </c>
    </row>
    <row r="50" spans="1:26" x14ac:dyDescent="0.2">
      <c r="A50" s="3" t="str">
        <f t="shared" si="0"/>
        <v>TRIP-T-081</v>
      </c>
      <c r="B50" s="2">
        <v>45728</v>
      </c>
      <c r="C50" s="3" t="str">
        <f>_xlfn.XLOOKUP(D50,'[1]Jan Customer Duplicate Hyva'!$B:$B,'[1]Jan Customer Duplicate Hyva'!$A:$A,"NOT FOUND")</f>
        <v>CUST-065</v>
      </c>
      <c r="D50" s="25" t="s">
        <v>508</v>
      </c>
      <c r="E50" s="3"/>
      <c r="F50" s="3"/>
      <c r="G50" s="3"/>
      <c r="H50" s="3"/>
      <c r="I50" s="3"/>
      <c r="J50" s="3"/>
      <c r="K50" s="3"/>
      <c r="L50" s="25" t="s">
        <v>524</v>
      </c>
      <c r="M50" s="29">
        <v>1</v>
      </c>
      <c r="N50" s="30">
        <v>4000</v>
      </c>
      <c r="O50" s="13">
        <f t="shared" si="1"/>
        <v>4000</v>
      </c>
      <c r="P50" s="30">
        <v>4000</v>
      </c>
      <c r="Q50" s="13">
        <f t="shared" si="2"/>
        <v>0</v>
      </c>
      <c r="R50" s="3"/>
      <c r="S50" s="3"/>
      <c r="T50" s="3">
        <f t="shared" si="3"/>
        <v>4000</v>
      </c>
      <c r="U50" s="3" t="str">
        <f t="shared" si="4"/>
        <v>OK</v>
      </c>
      <c r="V50" s="21">
        <f t="shared" si="5"/>
        <v>0</v>
      </c>
      <c r="W50" s="3" t="str">
        <f t="shared" si="6"/>
        <v>OK</v>
      </c>
      <c r="X50" s="3" t="s">
        <v>475</v>
      </c>
      <c r="Y50" s="3" t="s">
        <v>29</v>
      </c>
      <c r="Z50" s="3" t="s">
        <v>476</v>
      </c>
    </row>
    <row r="51" spans="1:26" x14ac:dyDescent="0.2">
      <c r="A51" s="3" t="str">
        <f t="shared" si="0"/>
        <v>TRIP-T-082</v>
      </c>
      <c r="B51" s="2">
        <v>45728</v>
      </c>
      <c r="C51" s="3" t="str">
        <f>_xlfn.XLOOKUP(D51,'[1]Jan Customer Duplicate Hyva'!$B:$B,'[1]Jan Customer Duplicate Hyva'!$A:$A,"NOT FOUND")</f>
        <v>CUST-390</v>
      </c>
      <c r="D51" s="25" t="s">
        <v>496</v>
      </c>
      <c r="E51" s="3"/>
      <c r="F51" s="3"/>
      <c r="G51" s="3"/>
      <c r="H51" s="3"/>
      <c r="I51" s="3"/>
      <c r="J51" s="3"/>
      <c r="K51" s="3"/>
      <c r="L51" s="25" t="s">
        <v>525</v>
      </c>
      <c r="M51" s="29">
        <v>1</v>
      </c>
      <c r="N51" s="30">
        <v>4000</v>
      </c>
      <c r="O51" s="13">
        <f t="shared" si="1"/>
        <v>4000</v>
      </c>
      <c r="P51" s="30">
        <v>4000</v>
      </c>
      <c r="Q51" s="13">
        <f t="shared" si="2"/>
        <v>0</v>
      </c>
      <c r="R51" s="3"/>
      <c r="S51" s="3"/>
      <c r="T51" s="3">
        <f t="shared" si="3"/>
        <v>4000</v>
      </c>
      <c r="U51" s="3" t="str">
        <f t="shared" si="4"/>
        <v>OK</v>
      </c>
      <c r="V51" s="21">
        <f t="shared" si="5"/>
        <v>0</v>
      </c>
      <c r="W51" s="3" t="str">
        <f t="shared" si="6"/>
        <v>OK</v>
      </c>
      <c r="X51" s="3" t="s">
        <v>475</v>
      </c>
      <c r="Y51" s="3" t="s">
        <v>29</v>
      </c>
      <c r="Z51" s="3" t="s">
        <v>476</v>
      </c>
    </row>
    <row r="52" spans="1:26" x14ac:dyDescent="0.2">
      <c r="A52" s="3" t="str">
        <f t="shared" si="0"/>
        <v>TRIP-T-083</v>
      </c>
      <c r="B52" s="2">
        <v>45729</v>
      </c>
      <c r="C52" s="3" t="str">
        <f>_xlfn.XLOOKUP(D52,'[1]Jan Customer Duplicate Hyva'!$B:$B,'[1]Jan Customer Duplicate Hyva'!$A:$A,"NOT FOUND")</f>
        <v>NOT FOUND</v>
      </c>
      <c r="D52" s="25" t="s">
        <v>526</v>
      </c>
      <c r="E52" s="3"/>
      <c r="F52" s="3"/>
      <c r="G52" s="3"/>
      <c r="H52" s="3"/>
      <c r="I52" s="3"/>
      <c r="J52" s="3"/>
      <c r="K52" s="3"/>
      <c r="L52" s="25" t="s">
        <v>524</v>
      </c>
      <c r="M52" s="29">
        <v>1</v>
      </c>
      <c r="N52" s="30">
        <v>4000</v>
      </c>
      <c r="O52" s="13">
        <f t="shared" si="1"/>
        <v>4000</v>
      </c>
      <c r="P52" s="30">
        <v>4000</v>
      </c>
      <c r="Q52" s="13">
        <f t="shared" si="2"/>
        <v>0</v>
      </c>
      <c r="R52" s="3"/>
      <c r="S52" s="3"/>
      <c r="T52" s="3">
        <f t="shared" si="3"/>
        <v>4000</v>
      </c>
      <c r="U52" s="3" t="str">
        <f t="shared" si="4"/>
        <v>OK</v>
      </c>
      <c r="V52" s="21">
        <f t="shared" si="5"/>
        <v>0</v>
      </c>
      <c r="W52" s="3" t="str">
        <f t="shared" si="6"/>
        <v>OK</v>
      </c>
      <c r="X52" s="3" t="s">
        <v>475</v>
      </c>
      <c r="Y52" s="3" t="s">
        <v>29</v>
      </c>
      <c r="Z52" s="3" t="s">
        <v>476</v>
      </c>
    </row>
    <row r="53" spans="1:26" x14ac:dyDescent="0.2">
      <c r="A53" s="3" t="str">
        <f t="shared" si="0"/>
        <v>TRIP-T-084</v>
      </c>
      <c r="B53" s="2">
        <v>45733</v>
      </c>
      <c r="C53" s="3" t="str">
        <f>_xlfn.XLOOKUP(D53,'[1]Jan Customer Duplicate Hyva'!$B:$B,'[1]Jan Customer Duplicate Hyva'!$A:$A,"NOT FOUND")</f>
        <v>CUST-058</v>
      </c>
      <c r="D53" s="26" t="s">
        <v>484</v>
      </c>
      <c r="E53" s="3"/>
      <c r="F53" s="3"/>
      <c r="G53" s="3"/>
      <c r="H53" s="3"/>
      <c r="I53" s="3"/>
      <c r="J53" s="3"/>
      <c r="K53" s="3"/>
      <c r="L53" s="25" t="s">
        <v>516</v>
      </c>
      <c r="M53" s="29">
        <v>1</v>
      </c>
      <c r="N53" s="30">
        <v>4000</v>
      </c>
      <c r="O53" s="13">
        <f t="shared" si="1"/>
        <v>4000</v>
      </c>
      <c r="P53" s="30">
        <v>4000</v>
      </c>
      <c r="Q53" s="13">
        <f t="shared" si="2"/>
        <v>0</v>
      </c>
      <c r="R53" s="3"/>
      <c r="S53" s="3"/>
      <c r="T53" s="3">
        <f t="shared" si="3"/>
        <v>4000</v>
      </c>
      <c r="U53" s="3" t="str">
        <f t="shared" si="4"/>
        <v>OK</v>
      </c>
      <c r="V53" s="21">
        <f t="shared" si="5"/>
        <v>0</v>
      </c>
      <c r="W53" s="3" t="str">
        <f t="shared" si="6"/>
        <v>OK</v>
      </c>
      <c r="X53" s="3" t="s">
        <v>475</v>
      </c>
      <c r="Y53" s="3" t="s">
        <v>29</v>
      </c>
      <c r="Z53" s="3" t="s">
        <v>476</v>
      </c>
    </row>
    <row r="54" spans="1:26" x14ac:dyDescent="0.2">
      <c r="A54" s="3" t="str">
        <f t="shared" si="0"/>
        <v>TRIP-T-085</v>
      </c>
      <c r="B54" s="2">
        <v>45733</v>
      </c>
      <c r="C54" s="3" t="str">
        <f>_xlfn.XLOOKUP(D54,'[1]Jan Customer Duplicate Hyva'!$B:$B,'[1]Jan Customer Duplicate Hyva'!$A:$A,"NOT FOUND")</f>
        <v>CUST-338</v>
      </c>
      <c r="D54" s="25" t="s">
        <v>527</v>
      </c>
      <c r="E54" s="3"/>
      <c r="F54" s="3"/>
      <c r="G54" s="3"/>
      <c r="H54" s="3"/>
      <c r="I54" s="3"/>
      <c r="J54" s="3"/>
      <c r="K54" s="3"/>
      <c r="L54" s="25" t="s">
        <v>528</v>
      </c>
      <c r="M54" s="29">
        <v>1</v>
      </c>
      <c r="N54" s="30">
        <v>4500</v>
      </c>
      <c r="O54" s="13">
        <f t="shared" si="1"/>
        <v>4500</v>
      </c>
      <c r="P54" s="30">
        <v>4500</v>
      </c>
      <c r="Q54" s="13">
        <f t="shared" si="2"/>
        <v>0</v>
      </c>
      <c r="R54" s="3"/>
      <c r="S54" s="3"/>
      <c r="T54" s="3">
        <f t="shared" si="3"/>
        <v>4500</v>
      </c>
      <c r="U54" s="3" t="str">
        <f t="shared" si="4"/>
        <v>OK</v>
      </c>
      <c r="V54" s="21">
        <f t="shared" si="5"/>
        <v>0</v>
      </c>
      <c r="W54" s="3" t="str">
        <f t="shared" si="6"/>
        <v>OK</v>
      </c>
      <c r="X54" s="3" t="s">
        <v>475</v>
      </c>
      <c r="Y54" s="3" t="s">
        <v>29</v>
      </c>
      <c r="Z54" s="3" t="s">
        <v>476</v>
      </c>
    </row>
    <row r="55" spans="1:26" x14ac:dyDescent="0.2">
      <c r="A55" s="3" t="str">
        <f t="shared" si="0"/>
        <v>TRIP-T-086</v>
      </c>
      <c r="B55" s="2">
        <v>45734</v>
      </c>
      <c r="C55" s="3" t="str">
        <f>_xlfn.XLOOKUP(D55,'[1]Jan Customer Duplicate Hyva'!$B:$B,'[1]Jan Customer Duplicate Hyva'!$A:$A,"NOT FOUND")</f>
        <v>CUST-107</v>
      </c>
      <c r="D55" s="25" t="s">
        <v>513</v>
      </c>
      <c r="E55" s="3"/>
      <c r="F55" s="3"/>
      <c r="G55" s="3"/>
      <c r="H55" s="3"/>
      <c r="I55" s="3"/>
      <c r="J55" s="3"/>
      <c r="K55" s="3"/>
      <c r="L55" s="25" t="s">
        <v>529</v>
      </c>
      <c r="M55" s="29">
        <v>2</v>
      </c>
      <c r="N55" s="30">
        <v>0</v>
      </c>
      <c r="O55" s="13">
        <f t="shared" si="1"/>
        <v>0</v>
      </c>
      <c r="P55" s="30"/>
      <c r="Q55" s="13">
        <f t="shared" si="2"/>
        <v>0</v>
      </c>
      <c r="R55" s="3"/>
      <c r="S55" s="3"/>
      <c r="T55" s="3">
        <f t="shared" si="3"/>
        <v>0</v>
      </c>
      <c r="U55" s="3" t="str">
        <f t="shared" si="4"/>
        <v>OK</v>
      </c>
      <c r="V55" s="21">
        <f t="shared" si="5"/>
        <v>0</v>
      </c>
      <c r="W55" s="3" t="str">
        <f t="shared" si="6"/>
        <v>OK</v>
      </c>
      <c r="X55" s="3" t="s">
        <v>475</v>
      </c>
      <c r="Y55" s="3" t="s">
        <v>29</v>
      </c>
      <c r="Z55" s="3" t="s">
        <v>476</v>
      </c>
    </row>
    <row r="56" spans="1:26" x14ac:dyDescent="0.2">
      <c r="A56" s="3" t="str">
        <f t="shared" si="0"/>
        <v>TRIP-T-087</v>
      </c>
      <c r="B56" s="2">
        <v>45735</v>
      </c>
      <c r="C56" s="3" t="str">
        <f>_xlfn.XLOOKUP(D56,'[1]Jan Customer Duplicate Hyva'!$B:$B,'[1]Jan Customer Duplicate Hyva'!$A:$A,"NOT FOUND")</f>
        <v>CUST-393</v>
      </c>
      <c r="D56" s="25" t="s">
        <v>503</v>
      </c>
      <c r="E56" s="3"/>
      <c r="F56" s="3"/>
      <c r="G56" s="3"/>
      <c r="H56" s="3"/>
      <c r="I56" s="3"/>
      <c r="J56" s="3"/>
      <c r="K56" s="3"/>
      <c r="L56" s="25" t="s">
        <v>516</v>
      </c>
      <c r="M56" s="29">
        <v>2</v>
      </c>
      <c r="N56" s="30">
        <v>4000</v>
      </c>
      <c r="O56" s="13">
        <f t="shared" si="1"/>
        <v>8000</v>
      </c>
      <c r="P56" s="30">
        <v>8000</v>
      </c>
      <c r="Q56" s="13">
        <f t="shared" si="2"/>
        <v>0</v>
      </c>
      <c r="R56" s="3"/>
      <c r="S56" s="3"/>
      <c r="T56" s="3">
        <f t="shared" si="3"/>
        <v>8000</v>
      </c>
      <c r="U56" s="3" t="str">
        <f t="shared" si="4"/>
        <v>OK</v>
      </c>
      <c r="V56" s="21">
        <f t="shared" si="5"/>
        <v>0</v>
      </c>
      <c r="W56" s="3" t="str">
        <f t="shared" si="6"/>
        <v>OK</v>
      </c>
      <c r="X56" s="3" t="s">
        <v>475</v>
      </c>
      <c r="Y56" s="3" t="s">
        <v>29</v>
      </c>
      <c r="Z56" s="3" t="s">
        <v>476</v>
      </c>
    </row>
    <row r="57" spans="1:26" x14ac:dyDescent="0.2">
      <c r="A57" s="3" t="str">
        <f t="shared" si="0"/>
        <v>TRIP-T-088</v>
      </c>
      <c r="B57" s="2">
        <v>45736</v>
      </c>
      <c r="C57" s="3" t="str">
        <f>_xlfn.XLOOKUP(D57,'[1]Jan Customer Duplicate Hyva'!$B:$B,'[1]Jan Customer Duplicate Hyva'!$A:$A,"NOT FOUND")</f>
        <v>CUST-107</v>
      </c>
      <c r="D57" s="25" t="s">
        <v>513</v>
      </c>
      <c r="E57" s="3"/>
      <c r="F57" s="3"/>
      <c r="G57" s="3"/>
      <c r="H57" s="3"/>
      <c r="I57" s="3"/>
      <c r="J57" s="3"/>
      <c r="K57" s="3"/>
      <c r="L57" s="25" t="s">
        <v>530</v>
      </c>
      <c r="M57" s="29">
        <v>2</v>
      </c>
      <c r="N57" s="30">
        <v>5000</v>
      </c>
      <c r="O57" s="13">
        <f t="shared" si="1"/>
        <v>10000</v>
      </c>
      <c r="P57" s="30">
        <v>10000</v>
      </c>
      <c r="Q57" s="13">
        <f t="shared" si="2"/>
        <v>0</v>
      </c>
      <c r="R57" s="3"/>
      <c r="S57" s="3"/>
      <c r="T57" s="3">
        <f t="shared" si="3"/>
        <v>10000</v>
      </c>
      <c r="U57" s="3" t="str">
        <f t="shared" si="4"/>
        <v>OK</v>
      </c>
      <c r="V57" s="21">
        <f t="shared" si="5"/>
        <v>0</v>
      </c>
      <c r="W57" s="3" t="str">
        <f t="shared" si="6"/>
        <v>OK</v>
      </c>
      <c r="X57" s="3" t="s">
        <v>475</v>
      </c>
      <c r="Y57" s="3" t="s">
        <v>29</v>
      </c>
      <c r="Z57" s="3" t="s">
        <v>476</v>
      </c>
    </row>
    <row r="58" spans="1:26" x14ac:dyDescent="0.2">
      <c r="A58" s="3" t="str">
        <f t="shared" si="0"/>
        <v>TRIP-T-089</v>
      </c>
      <c r="B58" s="2">
        <v>45737</v>
      </c>
      <c r="C58" s="3" t="str">
        <f>_xlfn.XLOOKUP(D58,'[1]Jan Customer Duplicate Hyva'!$B:$B,'[1]Jan Customer Duplicate Hyva'!$A:$A,"NOT FOUND")</f>
        <v>CUST-275</v>
      </c>
      <c r="D58" s="25" t="s">
        <v>531</v>
      </c>
      <c r="E58" s="3"/>
      <c r="F58" s="3"/>
      <c r="G58" s="3"/>
      <c r="H58" s="3"/>
      <c r="I58" s="3"/>
      <c r="J58" s="3"/>
      <c r="K58" s="3"/>
      <c r="L58" s="25" t="s">
        <v>532</v>
      </c>
      <c r="M58" s="29">
        <v>1</v>
      </c>
      <c r="N58" s="30">
        <v>4500</v>
      </c>
      <c r="O58" s="13">
        <f t="shared" si="1"/>
        <v>4500</v>
      </c>
      <c r="P58" s="30">
        <v>4500</v>
      </c>
      <c r="Q58" s="13">
        <f t="shared" si="2"/>
        <v>0</v>
      </c>
      <c r="R58" s="3"/>
      <c r="S58" s="3"/>
      <c r="T58" s="3">
        <f t="shared" si="3"/>
        <v>4500</v>
      </c>
      <c r="U58" s="3" t="str">
        <f t="shared" si="4"/>
        <v>OK</v>
      </c>
      <c r="V58" s="21">
        <f t="shared" si="5"/>
        <v>0</v>
      </c>
      <c r="W58" s="3" t="str">
        <f t="shared" si="6"/>
        <v>OK</v>
      </c>
      <c r="X58" s="3" t="s">
        <v>475</v>
      </c>
      <c r="Y58" s="3" t="s">
        <v>29</v>
      </c>
      <c r="Z58" s="3" t="s">
        <v>476</v>
      </c>
    </row>
    <row r="59" spans="1:26" x14ac:dyDescent="0.2">
      <c r="A59" s="3" t="str">
        <f t="shared" si="0"/>
        <v>TRIP-T-090</v>
      </c>
      <c r="B59" s="2">
        <v>45737</v>
      </c>
      <c r="C59" s="3" t="str">
        <f>_xlfn.XLOOKUP(D59,'[1]Jan Customer Duplicate Hyva'!$B:$B,'[1]Jan Customer Duplicate Hyva'!$A:$A,"NOT FOUND")</f>
        <v>CUST-102</v>
      </c>
      <c r="D59" s="25" t="s">
        <v>519</v>
      </c>
      <c r="E59" s="3"/>
      <c r="F59" s="3"/>
      <c r="G59" s="3"/>
      <c r="H59" s="3"/>
      <c r="I59" s="3"/>
      <c r="J59" s="3"/>
      <c r="K59" s="3"/>
      <c r="L59" s="25" t="s">
        <v>516</v>
      </c>
      <c r="M59" s="29">
        <v>2</v>
      </c>
      <c r="N59" s="30">
        <v>4500</v>
      </c>
      <c r="O59" s="13">
        <f t="shared" si="1"/>
        <v>9000</v>
      </c>
      <c r="P59" s="30">
        <v>9000</v>
      </c>
      <c r="Q59" s="13">
        <f t="shared" si="2"/>
        <v>0</v>
      </c>
      <c r="R59" s="3"/>
      <c r="S59" s="3"/>
      <c r="T59" s="3">
        <f t="shared" si="3"/>
        <v>9000</v>
      </c>
      <c r="U59" s="3" t="str">
        <f t="shared" si="4"/>
        <v>OK</v>
      </c>
      <c r="V59" s="21">
        <f t="shared" si="5"/>
        <v>0</v>
      </c>
      <c r="W59" s="3" t="str">
        <f t="shared" si="6"/>
        <v>OK</v>
      </c>
      <c r="X59" s="3" t="s">
        <v>475</v>
      </c>
      <c r="Y59" s="3" t="s">
        <v>29</v>
      </c>
      <c r="Z59" s="3" t="s">
        <v>476</v>
      </c>
    </row>
    <row r="60" spans="1:26" x14ac:dyDescent="0.2">
      <c r="A60" s="3" t="str">
        <f t="shared" si="0"/>
        <v>TRIP-T-091</v>
      </c>
      <c r="B60" s="2">
        <v>45737</v>
      </c>
      <c r="C60" s="3" t="str">
        <f>_xlfn.XLOOKUP(D60,'[1]Jan Customer Duplicate Hyva'!$B:$B,'[1]Jan Customer Duplicate Hyva'!$A:$A,"NOT FOUND")</f>
        <v>CUST-057</v>
      </c>
      <c r="D60" s="25" t="s">
        <v>533</v>
      </c>
      <c r="E60" s="3"/>
      <c r="F60" s="3"/>
      <c r="G60" s="3"/>
      <c r="H60" s="3"/>
      <c r="I60" s="3"/>
      <c r="J60" s="3"/>
      <c r="K60" s="3"/>
      <c r="L60" s="25" t="s">
        <v>516</v>
      </c>
      <c r="M60" s="29">
        <v>2</v>
      </c>
      <c r="N60" s="30">
        <v>4000</v>
      </c>
      <c r="O60" s="13">
        <f t="shared" si="1"/>
        <v>8000</v>
      </c>
      <c r="P60" s="30">
        <v>8000</v>
      </c>
      <c r="Q60" s="13">
        <f t="shared" si="2"/>
        <v>0</v>
      </c>
      <c r="R60" s="3"/>
      <c r="S60" s="3"/>
      <c r="T60" s="3">
        <f t="shared" si="3"/>
        <v>8000</v>
      </c>
      <c r="U60" s="3" t="str">
        <f t="shared" si="4"/>
        <v>OK</v>
      </c>
      <c r="V60" s="21">
        <f t="shared" si="5"/>
        <v>0</v>
      </c>
      <c r="W60" s="3" t="str">
        <f t="shared" si="6"/>
        <v>OK</v>
      </c>
      <c r="X60" s="3" t="s">
        <v>475</v>
      </c>
      <c r="Y60" s="3" t="s">
        <v>29</v>
      </c>
      <c r="Z60" s="3" t="s">
        <v>476</v>
      </c>
    </row>
    <row r="61" spans="1:26" x14ac:dyDescent="0.2">
      <c r="A61" s="3" t="str">
        <f t="shared" si="0"/>
        <v>TRIP-T-092</v>
      </c>
      <c r="B61" s="2">
        <v>45737</v>
      </c>
      <c r="C61" s="3" t="str">
        <f>_xlfn.XLOOKUP(D61,'[1]Jan Customer Duplicate Hyva'!$B:$B,'[1]Jan Customer Duplicate Hyva'!$A:$A,"NOT FOUND")</f>
        <v>CUST-031</v>
      </c>
      <c r="D61" s="25" t="s">
        <v>534</v>
      </c>
      <c r="E61" s="3"/>
      <c r="F61" s="3"/>
      <c r="G61" s="3"/>
      <c r="H61" s="3"/>
      <c r="I61" s="3"/>
      <c r="J61" s="3"/>
      <c r="K61" s="3"/>
      <c r="L61" s="25" t="s">
        <v>516</v>
      </c>
      <c r="M61" s="29">
        <v>3</v>
      </c>
      <c r="N61" s="30">
        <v>4000</v>
      </c>
      <c r="O61" s="13">
        <f t="shared" si="1"/>
        <v>12000</v>
      </c>
      <c r="P61" s="30">
        <v>12000</v>
      </c>
      <c r="Q61" s="13">
        <f t="shared" si="2"/>
        <v>0</v>
      </c>
      <c r="R61" s="3"/>
      <c r="S61" s="3"/>
      <c r="T61" s="3">
        <f t="shared" si="3"/>
        <v>12000</v>
      </c>
      <c r="U61" s="3" t="str">
        <f t="shared" si="4"/>
        <v>OK</v>
      </c>
      <c r="V61" s="21">
        <f t="shared" si="5"/>
        <v>0</v>
      </c>
      <c r="W61" s="3" t="str">
        <f t="shared" si="6"/>
        <v>OK</v>
      </c>
      <c r="X61" s="3" t="s">
        <v>475</v>
      </c>
      <c r="Y61" s="3" t="s">
        <v>29</v>
      </c>
      <c r="Z61" s="3" t="s">
        <v>476</v>
      </c>
    </row>
    <row r="62" spans="1:26" x14ac:dyDescent="0.2">
      <c r="A62" s="3" t="str">
        <f t="shared" si="0"/>
        <v>TRIP-T-093</v>
      </c>
      <c r="B62" s="2">
        <v>45738</v>
      </c>
      <c r="C62" s="3" t="str">
        <f>_xlfn.XLOOKUP(D62,'[1]Jan Customer Duplicate Hyva'!$B:$B,'[1]Jan Customer Duplicate Hyva'!$A:$A,"NOT FOUND")</f>
        <v>CUST-066</v>
      </c>
      <c r="D62" s="25" t="s">
        <v>521</v>
      </c>
      <c r="E62" s="3"/>
      <c r="F62" s="3"/>
      <c r="G62" s="3"/>
      <c r="H62" s="3"/>
      <c r="I62" s="3"/>
      <c r="J62" s="3"/>
      <c r="K62" s="3"/>
      <c r="L62" s="25" t="s">
        <v>535</v>
      </c>
      <c r="M62" s="29">
        <v>2</v>
      </c>
      <c r="N62" s="30">
        <v>4000</v>
      </c>
      <c r="O62" s="13">
        <f t="shared" si="1"/>
        <v>8000</v>
      </c>
      <c r="P62" s="30">
        <v>8000</v>
      </c>
      <c r="Q62" s="13">
        <f t="shared" si="2"/>
        <v>0</v>
      </c>
      <c r="R62" s="3"/>
      <c r="S62" s="3"/>
      <c r="T62" s="3">
        <f t="shared" si="3"/>
        <v>8000</v>
      </c>
      <c r="U62" s="3" t="str">
        <f t="shared" si="4"/>
        <v>OK</v>
      </c>
      <c r="V62" s="21">
        <f t="shared" si="5"/>
        <v>0</v>
      </c>
      <c r="W62" s="3" t="str">
        <f t="shared" si="6"/>
        <v>OK</v>
      </c>
      <c r="X62" s="3" t="s">
        <v>475</v>
      </c>
      <c r="Y62" s="3" t="s">
        <v>29</v>
      </c>
      <c r="Z62" s="3" t="s">
        <v>476</v>
      </c>
    </row>
    <row r="63" spans="1:26" x14ac:dyDescent="0.2">
      <c r="A63" s="3" t="str">
        <f t="shared" si="0"/>
        <v>TRIP-T-094</v>
      </c>
      <c r="B63" s="2">
        <v>45739</v>
      </c>
      <c r="C63" s="3" t="str">
        <f>_xlfn.XLOOKUP(D63,'[1]Jan Customer Duplicate Hyva'!$B:$B,'[1]Jan Customer Duplicate Hyva'!$A:$A,"NOT FOUND")</f>
        <v>CUST-187</v>
      </c>
      <c r="D63" s="25" t="s">
        <v>536</v>
      </c>
      <c r="E63" s="3"/>
      <c r="F63" s="3"/>
      <c r="G63" s="3"/>
      <c r="H63" s="3"/>
      <c r="I63" s="3"/>
      <c r="J63" s="3"/>
      <c r="K63" s="3"/>
      <c r="L63" s="25" t="s">
        <v>523</v>
      </c>
      <c r="M63" s="29">
        <v>1</v>
      </c>
      <c r="N63" s="30">
        <v>4000</v>
      </c>
      <c r="O63" s="13">
        <f t="shared" si="1"/>
        <v>4000</v>
      </c>
      <c r="P63" s="30">
        <v>4000</v>
      </c>
      <c r="Q63" s="13">
        <f t="shared" si="2"/>
        <v>0</v>
      </c>
      <c r="R63" s="3"/>
      <c r="S63" s="3"/>
      <c r="T63" s="3">
        <f t="shared" si="3"/>
        <v>4000</v>
      </c>
      <c r="U63" s="3" t="str">
        <f t="shared" si="4"/>
        <v>OK</v>
      </c>
      <c r="V63" s="21">
        <f t="shared" si="5"/>
        <v>0</v>
      </c>
      <c r="W63" s="3" t="str">
        <f t="shared" si="6"/>
        <v>OK</v>
      </c>
      <c r="X63" s="3" t="s">
        <v>475</v>
      </c>
      <c r="Y63" s="3" t="s">
        <v>29</v>
      </c>
      <c r="Z63" s="3" t="s">
        <v>476</v>
      </c>
    </row>
    <row r="64" spans="1:26" x14ac:dyDescent="0.2">
      <c r="A64" s="3" t="str">
        <f t="shared" si="0"/>
        <v>TRIP-T-095</v>
      </c>
      <c r="B64" s="2">
        <v>45739</v>
      </c>
      <c r="C64" s="3" t="str">
        <f>_xlfn.XLOOKUP(D64,'[1]Jan Customer Duplicate Hyva'!$B:$B,'[1]Jan Customer Duplicate Hyva'!$A:$A,"NOT FOUND")</f>
        <v>CUST-058</v>
      </c>
      <c r="D64" s="26" t="s">
        <v>484</v>
      </c>
      <c r="E64" s="3"/>
      <c r="F64" s="3"/>
      <c r="G64" s="3"/>
      <c r="H64" s="3"/>
      <c r="I64" s="3"/>
      <c r="J64" s="3"/>
      <c r="K64" s="3"/>
      <c r="L64" s="25" t="s">
        <v>516</v>
      </c>
      <c r="M64" s="29">
        <v>1</v>
      </c>
      <c r="N64" s="30">
        <v>4000</v>
      </c>
      <c r="O64" s="13">
        <f t="shared" si="1"/>
        <v>4000</v>
      </c>
      <c r="P64" s="30">
        <v>4000</v>
      </c>
      <c r="Q64" s="13">
        <f t="shared" si="2"/>
        <v>0</v>
      </c>
      <c r="R64" s="3"/>
      <c r="S64" s="3"/>
      <c r="T64" s="3">
        <f t="shared" si="3"/>
        <v>4000</v>
      </c>
      <c r="U64" s="3" t="str">
        <f t="shared" si="4"/>
        <v>OK</v>
      </c>
      <c r="V64" s="21">
        <f t="shared" si="5"/>
        <v>0</v>
      </c>
      <c r="W64" s="3" t="str">
        <f t="shared" si="6"/>
        <v>OK</v>
      </c>
      <c r="X64" s="3" t="s">
        <v>475</v>
      </c>
      <c r="Y64" s="3" t="s">
        <v>29</v>
      </c>
      <c r="Z64" s="3" t="s">
        <v>476</v>
      </c>
    </row>
    <row r="65" spans="1:26" x14ac:dyDescent="0.2">
      <c r="A65" s="3" t="str">
        <f t="shared" si="0"/>
        <v>TRIP-T-096</v>
      </c>
      <c r="B65" s="2">
        <v>45739</v>
      </c>
      <c r="C65" s="3" t="str">
        <f>_xlfn.XLOOKUP(D65,'[1]Jan Customer Duplicate Hyva'!$B:$B,'[1]Jan Customer Duplicate Hyva'!$A:$A,"NOT FOUND")</f>
        <v>CUST-057</v>
      </c>
      <c r="D65" s="25" t="s">
        <v>533</v>
      </c>
      <c r="E65" s="3"/>
      <c r="F65" s="3"/>
      <c r="G65" s="3"/>
      <c r="H65" s="3"/>
      <c r="I65" s="3"/>
      <c r="J65" s="3"/>
      <c r="K65" s="3"/>
      <c r="L65" s="25" t="s">
        <v>516</v>
      </c>
      <c r="M65" s="29">
        <v>1</v>
      </c>
      <c r="N65" s="30">
        <v>4500</v>
      </c>
      <c r="O65" s="13">
        <f t="shared" si="1"/>
        <v>4500</v>
      </c>
      <c r="P65" s="30">
        <v>4500</v>
      </c>
      <c r="Q65" s="13">
        <f t="shared" si="2"/>
        <v>0</v>
      </c>
      <c r="R65" s="3"/>
      <c r="S65" s="3"/>
      <c r="T65" s="3">
        <f t="shared" si="3"/>
        <v>4500</v>
      </c>
      <c r="U65" s="3" t="str">
        <f t="shared" si="4"/>
        <v>OK</v>
      </c>
      <c r="V65" s="21">
        <f t="shared" si="5"/>
        <v>0</v>
      </c>
      <c r="W65" s="3" t="str">
        <f t="shared" si="6"/>
        <v>OK</v>
      </c>
      <c r="X65" s="3" t="s">
        <v>475</v>
      </c>
      <c r="Y65" s="3" t="s">
        <v>29</v>
      </c>
      <c r="Z65" s="3" t="s">
        <v>476</v>
      </c>
    </row>
    <row r="66" spans="1:26" x14ac:dyDescent="0.2">
      <c r="A66" s="3" t="str">
        <f t="shared" ref="A66:A129" si="7">"TRIP-T-"&amp;TEXT(ROW()+31,"000")</f>
        <v>TRIP-T-097</v>
      </c>
      <c r="B66" s="2">
        <v>45740</v>
      </c>
      <c r="C66" s="3" t="str">
        <f>_xlfn.XLOOKUP(D66,'[1]Jan Customer Duplicate Hyva'!$B:$B,'[1]Jan Customer Duplicate Hyva'!$A:$A,"NOT FOUND")</f>
        <v>CUST-275</v>
      </c>
      <c r="D66" s="25" t="s">
        <v>531</v>
      </c>
      <c r="E66" s="3"/>
      <c r="F66" s="3"/>
      <c r="G66" s="3"/>
      <c r="H66" s="3"/>
      <c r="I66" s="3"/>
      <c r="J66" s="3"/>
      <c r="K66" s="3"/>
      <c r="L66" s="25" t="s">
        <v>537</v>
      </c>
      <c r="M66" s="29">
        <v>1</v>
      </c>
      <c r="N66" s="30">
        <v>4500</v>
      </c>
      <c r="O66" s="13">
        <f t="shared" ref="O66:O129" si="8">N66*M66</f>
        <v>4500</v>
      </c>
      <c r="P66" s="30">
        <v>4500</v>
      </c>
      <c r="Q66" s="13">
        <f t="shared" ref="Q66:Q129" si="9">O66-P66</f>
        <v>0</v>
      </c>
      <c r="R66" s="3"/>
      <c r="S66" s="3"/>
      <c r="T66" s="3">
        <f t="shared" ref="T66:T129" si="10">M66*N66</f>
        <v>4500</v>
      </c>
      <c r="U66" s="3" t="str">
        <f t="shared" ref="U66:U129" si="11">IF(ROUND(T66,2)=ROUND(O66,2),"OK","CHECK")</f>
        <v>OK</v>
      </c>
      <c r="V66" s="21">
        <f t="shared" ref="V66:V129" si="12">O66-P66</f>
        <v>0</v>
      </c>
      <c r="W66" s="3" t="str">
        <f t="shared" ref="W66:W129" si="13">IF(ROUND(V66,2)=ROUND(Q66,2),"OK","CHECK")</f>
        <v>OK</v>
      </c>
      <c r="X66" s="3" t="s">
        <v>475</v>
      </c>
      <c r="Y66" s="3" t="s">
        <v>29</v>
      </c>
      <c r="Z66" s="3" t="s">
        <v>476</v>
      </c>
    </row>
    <row r="67" spans="1:26" x14ac:dyDescent="0.2">
      <c r="A67" s="3" t="str">
        <f t="shared" si="7"/>
        <v>TRIP-T-098</v>
      </c>
      <c r="B67" s="2">
        <v>45741</v>
      </c>
      <c r="C67" s="3" t="str">
        <f>_xlfn.XLOOKUP(D67,'[1]Jan Customer Duplicate Hyva'!$B:$B,'[1]Jan Customer Duplicate Hyva'!$A:$A,"NOT FOUND")</f>
        <v>NOT FOUND</v>
      </c>
      <c r="D67" s="11" t="s">
        <v>493</v>
      </c>
      <c r="E67" s="3"/>
      <c r="F67" s="3"/>
      <c r="G67" s="3"/>
      <c r="H67" s="3"/>
      <c r="I67" s="3"/>
      <c r="J67" s="3"/>
      <c r="K67" s="3"/>
      <c r="L67" s="11" t="s">
        <v>523</v>
      </c>
      <c r="M67" s="12">
        <v>2</v>
      </c>
      <c r="N67" s="13">
        <v>4000</v>
      </c>
      <c r="O67" s="13">
        <f t="shared" si="8"/>
        <v>8000</v>
      </c>
      <c r="P67" s="13">
        <v>8000</v>
      </c>
      <c r="Q67" s="13">
        <f t="shared" si="9"/>
        <v>0</v>
      </c>
      <c r="R67" s="3"/>
      <c r="S67" s="3"/>
      <c r="T67" s="3">
        <f t="shared" si="10"/>
        <v>8000</v>
      </c>
      <c r="U67" s="3" t="str">
        <f t="shared" si="11"/>
        <v>OK</v>
      </c>
      <c r="V67" s="21">
        <f t="shared" si="12"/>
        <v>0</v>
      </c>
      <c r="W67" s="3" t="str">
        <f t="shared" si="13"/>
        <v>OK</v>
      </c>
      <c r="X67" s="3" t="s">
        <v>475</v>
      </c>
      <c r="Y67" s="3" t="s">
        <v>29</v>
      </c>
      <c r="Z67" s="3" t="s">
        <v>476</v>
      </c>
    </row>
    <row r="68" spans="1:26" x14ac:dyDescent="0.2">
      <c r="A68" s="3" t="str">
        <f t="shared" si="7"/>
        <v>TRIP-T-099</v>
      </c>
      <c r="B68" s="2">
        <v>45741</v>
      </c>
      <c r="C68" s="3" t="str">
        <f>_xlfn.XLOOKUP(D68,'[1]Jan Customer Duplicate Hyva'!$B:$B,'[1]Jan Customer Duplicate Hyva'!$A:$A,"NOT FOUND")</f>
        <v>CUST-262</v>
      </c>
      <c r="D68" s="11" t="s">
        <v>538</v>
      </c>
      <c r="E68" s="3"/>
      <c r="F68" s="3"/>
      <c r="G68" s="3"/>
      <c r="H68" s="3"/>
      <c r="I68" s="3"/>
      <c r="J68" s="3"/>
      <c r="K68" s="3"/>
      <c r="L68" s="11" t="s">
        <v>539</v>
      </c>
      <c r="M68" s="12">
        <v>1</v>
      </c>
      <c r="N68" s="13">
        <v>4500</v>
      </c>
      <c r="O68" s="13">
        <f t="shared" si="8"/>
        <v>4500</v>
      </c>
      <c r="P68" s="13">
        <v>4500</v>
      </c>
      <c r="Q68" s="13">
        <f t="shared" si="9"/>
        <v>0</v>
      </c>
      <c r="R68" s="3"/>
      <c r="S68" s="3"/>
      <c r="T68" s="3">
        <f t="shared" si="10"/>
        <v>4500</v>
      </c>
      <c r="U68" s="3" t="str">
        <f t="shared" si="11"/>
        <v>OK</v>
      </c>
      <c r="V68" s="21">
        <f t="shared" si="12"/>
        <v>0</v>
      </c>
      <c r="W68" s="3" t="str">
        <f t="shared" si="13"/>
        <v>OK</v>
      </c>
      <c r="X68" s="3" t="s">
        <v>475</v>
      </c>
      <c r="Y68" s="3" t="s">
        <v>29</v>
      </c>
      <c r="Z68" s="3" t="s">
        <v>476</v>
      </c>
    </row>
    <row r="69" spans="1:26" x14ac:dyDescent="0.2">
      <c r="A69" s="3" t="str">
        <f t="shared" si="7"/>
        <v>TRIP-T-100</v>
      </c>
      <c r="B69" s="2">
        <v>45741</v>
      </c>
      <c r="C69" s="3" t="str">
        <f>_xlfn.XLOOKUP(D69,'[1]Jan Customer Duplicate Hyva'!$B:$B,'[1]Jan Customer Duplicate Hyva'!$A:$A,"NOT FOUND")</f>
        <v>NOT FOUND</v>
      </c>
      <c r="D69" s="11" t="s">
        <v>540</v>
      </c>
      <c r="E69" s="3"/>
      <c r="F69" s="3"/>
      <c r="G69" s="3"/>
      <c r="H69" s="3"/>
      <c r="I69" s="3"/>
      <c r="J69" s="3"/>
      <c r="K69" s="3"/>
      <c r="L69" s="11" t="s">
        <v>541</v>
      </c>
      <c r="M69" s="12">
        <v>3</v>
      </c>
      <c r="N69" s="13">
        <v>4000</v>
      </c>
      <c r="O69" s="13">
        <f t="shared" si="8"/>
        <v>12000</v>
      </c>
      <c r="P69" s="13">
        <v>12000</v>
      </c>
      <c r="Q69" s="13">
        <f t="shared" si="9"/>
        <v>0</v>
      </c>
      <c r="R69" s="3"/>
      <c r="S69" s="3"/>
      <c r="T69" s="3">
        <f t="shared" si="10"/>
        <v>12000</v>
      </c>
      <c r="U69" s="3" t="str">
        <f t="shared" si="11"/>
        <v>OK</v>
      </c>
      <c r="V69" s="21">
        <f t="shared" si="12"/>
        <v>0</v>
      </c>
      <c r="W69" s="3" t="str">
        <f t="shared" si="13"/>
        <v>OK</v>
      </c>
      <c r="X69" s="3" t="s">
        <v>475</v>
      </c>
      <c r="Y69" s="3" t="s">
        <v>29</v>
      </c>
      <c r="Z69" s="3" t="s">
        <v>476</v>
      </c>
    </row>
    <row r="70" spans="1:26" x14ac:dyDescent="0.2">
      <c r="A70" s="3" t="str">
        <f t="shared" si="7"/>
        <v>TRIP-T-101</v>
      </c>
      <c r="B70" s="2">
        <v>45741</v>
      </c>
      <c r="C70" s="3" t="str">
        <f>_xlfn.XLOOKUP(D70,'[1]Jan Customer Duplicate Hyva'!$B:$B,'[1]Jan Customer Duplicate Hyva'!$A:$A,"NOT FOUND")</f>
        <v>CUST-081</v>
      </c>
      <c r="D70" s="11" t="s">
        <v>542</v>
      </c>
      <c r="E70" s="3"/>
      <c r="F70" s="3"/>
      <c r="G70" s="3"/>
      <c r="H70" s="3"/>
      <c r="I70" s="3"/>
      <c r="J70" s="3"/>
      <c r="K70" s="3"/>
      <c r="L70" s="11" t="s">
        <v>523</v>
      </c>
      <c r="M70" s="12">
        <v>1</v>
      </c>
      <c r="N70" s="13">
        <v>4000</v>
      </c>
      <c r="O70" s="13">
        <f t="shared" si="8"/>
        <v>4000</v>
      </c>
      <c r="P70" s="13">
        <v>4000</v>
      </c>
      <c r="Q70" s="13">
        <f t="shared" si="9"/>
        <v>0</v>
      </c>
      <c r="R70" s="3"/>
      <c r="S70" s="3"/>
      <c r="T70" s="3">
        <f t="shared" si="10"/>
        <v>4000</v>
      </c>
      <c r="U70" s="3" t="str">
        <f t="shared" si="11"/>
        <v>OK</v>
      </c>
      <c r="V70" s="21">
        <f t="shared" si="12"/>
        <v>0</v>
      </c>
      <c r="W70" s="3" t="str">
        <f t="shared" si="13"/>
        <v>OK</v>
      </c>
      <c r="X70" s="3" t="s">
        <v>475</v>
      </c>
      <c r="Y70" s="3" t="s">
        <v>29</v>
      </c>
      <c r="Z70" s="3" t="s">
        <v>476</v>
      </c>
    </row>
    <row r="71" spans="1:26" x14ac:dyDescent="0.2">
      <c r="A71" s="3" t="str">
        <f t="shared" si="7"/>
        <v>TRIP-T-102</v>
      </c>
      <c r="B71" s="2">
        <v>45742</v>
      </c>
      <c r="C71" s="3" t="str">
        <f>_xlfn.XLOOKUP(D71,'[1]Jan Customer Duplicate Hyva'!$B:$B,'[1]Jan Customer Duplicate Hyva'!$A:$A,"NOT FOUND")</f>
        <v>NOT FOUND</v>
      </c>
      <c r="D71" s="11" t="s">
        <v>543</v>
      </c>
      <c r="E71" s="3"/>
      <c r="F71" s="3"/>
      <c r="G71" s="3"/>
      <c r="H71" s="3"/>
      <c r="I71" s="3"/>
      <c r="J71" s="3"/>
      <c r="K71" s="3"/>
      <c r="L71" s="11" t="s">
        <v>524</v>
      </c>
      <c r="M71" s="12">
        <v>2</v>
      </c>
      <c r="N71" s="13">
        <v>4000</v>
      </c>
      <c r="O71" s="13">
        <f t="shared" si="8"/>
        <v>8000</v>
      </c>
      <c r="P71" s="13">
        <v>8000</v>
      </c>
      <c r="Q71" s="13">
        <f t="shared" si="9"/>
        <v>0</v>
      </c>
      <c r="R71" s="3"/>
      <c r="S71" s="3"/>
      <c r="T71" s="3">
        <f t="shared" si="10"/>
        <v>8000</v>
      </c>
      <c r="U71" s="3" t="str">
        <f t="shared" si="11"/>
        <v>OK</v>
      </c>
      <c r="V71" s="21">
        <f t="shared" si="12"/>
        <v>0</v>
      </c>
      <c r="W71" s="3" t="str">
        <f t="shared" si="13"/>
        <v>OK</v>
      </c>
      <c r="X71" s="3" t="s">
        <v>475</v>
      </c>
      <c r="Y71" s="3" t="s">
        <v>29</v>
      </c>
      <c r="Z71" s="3" t="s">
        <v>476</v>
      </c>
    </row>
    <row r="72" spans="1:26" x14ac:dyDescent="0.2">
      <c r="A72" s="3" t="str">
        <f t="shared" si="7"/>
        <v>TRIP-T-103</v>
      </c>
      <c r="B72" s="2">
        <v>45743</v>
      </c>
      <c r="C72" s="3" t="str">
        <f>_xlfn.XLOOKUP(D72,'[1]Jan Customer Duplicate Hyva'!$B:$B,'[1]Jan Customer Duplicate Hyva'!$A:$A,"NOT FOUND")</f>
        <v>CUST-107</v>
      </c>
      <c r="D72" s="25" t="s">
        <v>513</v>
      </c>
      <c r="E72" s="3"/>
      <c r="F72" s="3"/>
      <c r="G72" s="3"/>
      <c r="H72" s="3"/>
      <c r="I72" s="3"/>
      <c r="J72" s="3"/>
      <c r="K72" s="3"/>
      <c r="L72" s="11" t="s">
        <v>514</v>
      </c>
      <c r="M72" s="12">
        <v>2</v>
      </c>
      <c r="N72" s="13">
        <v>5000</v>
      </c>
      <c r="O72" s="13">
        <f t="shared" si="8"/>
        <v>10000</v>
      </c>
      <c r="P72" s="13">
        <v>10000</v>
      </c>
      <c r="Q72" s="13">
        <f t="shared" si="9"/>
        <v>0</v>
      </c>
      <c r="R72" s="3"/>
      <c r="S72" s="3"/>
      <c r="T72" s="3">
        <f t="shared" si="10"/>
        <v>10000</v>
      </c>
      <c r="U72" s="3" t="str">
        <f t="shared" si="11"/>
        <v>OK</v>
      </c>
      <c r="V72" s="21">
        <f t="shared" si="12"/>
        <v>0</v>
      </c>
      <c r="W72" s="3" t="str">
        <f t="shared" si="13"/>
        <v>OK</v>
      </c>
      <c r="X72" s="3" t="s">
        <v>475</v>
      </c>
      <c r="Y72" s="3" t="s">
        <v>29</v>
      </c>
      <c r="Z72" s="3" t="s">
        <v>476</v>
      </c>
    </row>
    <row r="73" spans="1:26" x14ac:dyDescent="0.2">
      <c r="A73" s="3" t="str">
        <f t="shared" si="7"/>
        <v>TRIP-T-104</v>
      </c>
      <c r="B73" s="2">
        <v>45744</v>
      </c>
      <c r="C73" s="3" t="str">
        <f>_xlfn.XLOOKUP(D73,'[1]Jan Customer Duplicate Hyva'!$B:$B,'[1]Jan Customer Duplicate Hyva'!$A:$A,"NOT FOUND")</f>
        <v>CUST-204</v>
      </c>
      <c r="D73" s="11" t="s">
        <v>544</v>
      </c>
      <c r="E73" s="3"/>
      <c r="F73" s="3"/>
      <c r="G73" s="3"/>
      <c r="H73" s="3"/>
      <c r="I73" s="3"/>
      <c r="J73" s="3"/>
      <c r="K73" s="3"/>
      <c r="L73" s="11" t="s">
        <v>545</v>
      </c>
      <c r="M73" s="12">
        <v>1</v>
      </c>
      <c r="N73" s="13">
        <v>4000</v>
      </c>
      <c r="O73" s="13">
        <f t="shared" si="8"/>
        <v>4000</v>
      </c>
      <c r="P73" s="13"/>
      <c r="Q73" s="13">
        <f t="shared" si="9"/>
        <v>4000</v>
      </c>
      <c r="R73" s="3"/>
      <c r="S73" s="3"/>
      <c r="T73" s="3">
        <f t="shared" si="10"/>
        <v>4000</v>
      </c>
      <c r="U73" s="3" t="str">
        <f t="shared" si="11"/>
        <v>OK</v>
      </c>
      <c r="V73" s="21">
        <f t="shared" si="12"/>
        <v>4000</v>
      </c>
      <c r="W73" s="3" t="str">
        <f t="shared" si="13"/>
        <v>OK</v>
      </c>
      <c r="X73" s="3" t="s">
        <v>475</v>
      </c>
      <c r="Y73" s="3" t="s">
        <v>29</v>
      </c>
      <c r="Z73" s="3" t="s">
        <v>476</v>
      </c>
    </row>
    <row r="74" spans="1:26" x14ac:dyDescent="0.2">
      <c r="A74" s="3" t="str">
        <f t="shared" si="7"/>
        <v>TRIP-T-105</v>
      </c>
      <c r="B74" s="2">
        <v>45745</v>
      </c>
      <c r="C74" s="3" t="str">
        <f>_xlfn.XLOOKUP(D74,'[1]Jan Customer Duplicate Hyva'!$B:$B,'[1]Jan Customer Duplicate Hyva'!$A:$A,"NOT FOUND")</f>
        <v>CUST-268</v>
      </c>
      <c r="D74" s="11" t="s">
        <v>486</v>
      </c>
      <c r="E74" s="3"/>
      <c r="F74" s="3"/>
      <c r="G74" s="3"/>
      <c r="H74" s="3"/>
      <c r="I74" s="3"/>
      <c r="J74" s="3"/>
      <c r="K74" s="3"/>
      <c r="L74" s="11" t="s">
        <v>524</v>
      </c>
      <c r="M74" s="12">
        <v>1</v>
      </c>
      <c r="N74" s="13">
        <v>4000</v>
      </c>
      <c r="O74" s="13">
        <f t="shared" si="8"/>
        <v>4000</v>
      </c>
      <c r="P74" s="13">
        <v>4000</v>
      </c>
      <c r="Q74" s="13">
        <f t="shared" si="9"/>
        <v>0</v>
      </c>
      <c r="R74" s="3"/>
      <c r="S74" s="3"/>
      <c r="T74" s="3">
        <f t="shared" si="10"/>
        <v>4000</v>
      </c>
      <c r="U74" s="3" t="str">
        <f t="shared" si="11"/>
        <v>OK</v>
      </c>
      <c r="V74" s="21">
        <f t="shared" si="12"/>
        <v>0</v>
      </c>
      <c r="W74" s="3" t="str">
        <f t="shared" si="13"/>
        <v>OK</v>
      </c>
      <c r="X74" s="3" t="s">
        <v>475</v>
      </c>
      <c r="Y74" s="3" t="s">
        <v>29</v>
      </c>
      <c r="Z74" s="3" t="s">
        <v>476</v>
      </c>
    </row>
    <row r="75" spans="1:26" x14ac:dyDescent="0.2">
      <c r="A75" s="3" t="str">
        <f t="shared" si="7"/>
        <v>TRIP-T-106</v>
      </c>
      <c r="B75" s="2">
        <v>45747</v>
      </c>
      <c r="C75" s="3" t="str">
        <f>_xlfn.XLOOKUP(D75,'[1]Jan Customer Duplicate Hyva'!$B:$B,'[1]Jan Customer Duplicate Hyva'!$A:$A,"NOT FOUND")</f>
        <v>CUST-187</v>
      </c>
      <c r="D75" s="26" t="s">
        <v>536</v>
      </c>
      <c r="E75" s="3"/>
      <c r="F75" s="3"/>
      <c r="G75" s="3"/>
      <c r="H75" s="3"/>
      <c r="I75" s="3"/>
      <c r="J75" s="3"/>
      <c r="K75" s="3"/>
      <c r="L75" s="26" t="s">
        <v>524</v>
      </c>
      <c r="M75" s="27">
        <v>2</v>
      </c>
      <c r="N75" s="13">
        <v>4000</v>
      </c>
      <c r="O75" s="13">
        <f t="shared" si="8"/>
        <v>8000</v>
      </c>
      <c r="P75" s="13">
        <v>8000</v>
      </c>
      <c r="Q75" s="13">
        <f t="shared" si="9"/>
        <v>0</v>
      </c>
      <c r="R75" s="3"/>
      <c r="S75" s="3"/>
      <c r="T75" s="3">
        <f t="shared" si="10"/>
        <v>8000</v>
      </c>
      <c r="U75" s="3" t="str">
        <f t="shared" si="11"/>
        <v>OK</v>
      </c>
      <c r="V75" s="21">
        <f t="shared" si="12"/>
        <v>0</v>
      </c>
      <c r="W75" s="3" t="str">
        <f t="shared" si="13"/>
        <v>OK</v>
      </c>
      <c r="X75" s="3" t="s">
        <v>475</v>
      </c>
      <c r="Y75" s="3" t="s">
        <v>29</v>
      </c>
      <c r="Z75" s="3" t="s">
        <v>476</v>
      </c>
    </row>
    <row r="76" spans="1:26" x14ac:dyDescent="0.2">
      <c r="A76" s="3" t="str">
        <f t="shared" si="7"/>
        <v>TRIP-T-107</v>
      </c>
      <c r="B76" s="2">
        <v>45748</v>
      </c>
      <c r="C76" s="3" t="str">
        <f>_xlfn.XLOOKUP(D76,'[1]Jan Customer Duplicate Hyva'!$B:$B,'[1]Jan Customer Duplicate Hyva'!$A:$A,"NOT FOUND")</f>
        <v>CUST-202</v>
      </c>
      <c r="D76" s="26" t="s">
        <v>546</v>
      </c>
      <c r="E76" s="3"/>
      <c r="F76" s="3"/>
      <c r="G76" s="3"/>
      <c r="H76" s="3"/>
      <c r="I76" s="3"/>
      <c r="J76" s="3"/>
      <c r="K76" s="3"/>
      <c r="L76" s="26" t="s">
        <v>516</v>
      </c>
      <c r="M76" s="27">
        <v>1</v>
      </c>
      <c r="N76" s="13">
        <v>4000</v>
      </c>
      <c r="O76" s="13">
        <f t="shared" si="8"/>
        <v>4000</v>
      </c>
      <c r="P76" s="13">
        <v>4000</v>
      </c>
      <c r="Q76" s="13">
        <f t="shared" si="9"/>
        <v>0</v>
      </c>
      <c r="R76" s="3"/>
      <c r="S76" s="3"/>
      <c r="T76" s="3">
        <f t="shared" si="10"/>
        <v>4000</v>
      </c>
      <c r="U76" s="3" t="str">
        <f t="shared" si="11"/>
        <v>OK</v>
      </c>
      <c r="V76" s="21">
        <f t="shared" si="12"/>
        <v>0</v>
      </c>
      <c r="W76" s="3" t="str">
        <f t="shared" si="13"/>
        <v>OK</v>
      </c>
      <c r="X76" s="3" t="s">
        <v>475</v>
      </c>
      <c r="Y76" s="3" t="s">
        <v>29</v>
      </c>
      <c r="Z76" s="3" t="s">
        <v>476</v>
      </c>
    </row>
    <row r="77" spans="1:26" x14ac:dyDescent="0.2">
      <c r="A77" s="3" t="str">
        <f t="shared" si="7"/>
        <v>TRIP-T-108</v>
      </c>
      <c r="B77" s="2">
        <v>45749</v>
      </c>
      <c r="C77" s="3" t="str">
        <f>_xlfn.XLOOKUP(D77,'[1]Jan Customer Duplicate Hyva'!$B:$B,'[1]Jan Customer Duplicate Hyva'!$A:$A,"NOT FOUND")</f>
        <v>CUST-238</v>
      </c>
      <c r="D77" s="26" t="s">
        <v>547</v>
      </c>
      <c r="E77" s="3"/>
      <c r="F77" s="3"/>
      <c r="G77" s="3"/>
      <c r="H77" s="3"/>
      <c r="I77" s="3"/>
      <c r="J77" s="3"/>
      <c r="K77" s="3"/>
      <c r="L77" s="26" t="s">
        <v>524</v>
      </c>
      <c r="M77" s="27">
        <v>1</v>
      </c>
      <c r="N77" s="13">
        <v>4000</v>
      </c>
      <c r="O77" s="13">
        <f t="shared" si="8"/>
        <v>4000</v>
      </c>
      <c r="P77" s="13">
        <v>4000</v>
      </c>
      <c r="Q77" s="13">
        <f t="shared" si="9"/>
        <v>0</v>
      </c>
      <c r="R77" s="3"/>
      <c r="S77" s="3"/>
      <c r="T77" s="3">
        <f t="shared" si="10"/>
        <v>4000</v>
      </c>
      <c r="U77" s="3" t="str">
        <f t="shared" si="11"/>
        <v>OK</v>
      </c>
      <c r="V77" s="21">
        <f t="shared" si="12"/>
        <v>0</v>
      </c>
      <c r="W77" s="3" t="str">
        <f t="shared" si="13"/>
        <v>OK</v>
      </c>
      <c r="X77" s="3" t="s">
        <v>475</v>
      </c>
      <c r="Y77" s="3" t="s">
        <v>29</v>
      </c>
      <c r="Z77" s="3" t="s">
        <v>476</v>
      </c>
    </row>
    <row r="78" spans="1:26" x14ac:dyDescent="0.2">
      <c r="A78" s="3" t="str">
        <f t="shared" si="7"/>
        <v>TRIP-T-109</v>
      </c>
      <c r="B78" s="2">
        <v>45750</v>
      </c>
      <c r="C78" s="3" t="str">
        <f>_xlfn.XLOOKUP(D78,'[1]Jan Customer Duplicate Hyva'!$B:$B,'[1]Jan Customer Duplicate Hyva'!$A:$A,"NOT FOUND")</f>
        <v>CUST-269</v>
      </c>
      <c r="D78" s="26" t="s">
        <v>548</v>
      </c>
      <c r="E78" s="3"/>
      <c r="F78" s="3"/>
      <c r="G78" s="3"/>
      <c r="H78" s="3"/>
      <c r="I78" s="3"/>
      <c r="J78" s="3"/>
      <c r="K78" s="3"/>
      <c r="L78" s="26" t="s">
        <v>524</v>
      </c>
      <c r="M78" s="27">
        <v>1</v>
      </c>
      <c r="N78" s="13">
        <v>4000</v>
      </c>
      <c r="O78" s="13">
        <f t="shared" si="8"/>
        <v>4000</v>
      </c>
      <c r="P78" s="13">
        <v>4000</v>
      </c>
      <c r="Q78" s="13">
        <f t="shared" si="9"/>
        <v>0</v>
      </c>
      <c r="R78" s="3"/>
      <c r="S78" s="3"/>
      <c r="T78" s="3">
        <f t="shared" si="10"/>
        <v>4000</v>
      </c>
      <c r="U78" s="3" t="str">
        <f t="shared" si="11"/>
        <v>OK</v>
      </c>
      <c r="V78" s="21">
        <f t="shared" si="12"/>
        <v>0</v>
      </c>
      <c r="W78" s="3" t="str">
        <f t="shared" si="13"/>
        <v>OK</v>
      </c>
      <c r="X78" s="3" t="s">
        <v>475</v>
      </c>
      <c r="Y78" s="3" t="s">
        <v>29</v>
      </c>
      <c r="Z78" s="3" t="s">
        <v>476</v>
      </c>
    </row>
    <row r="79" spans="1:26" x14ac:dyDescent="0.2">
      <c r="A79" s="3" t="str">
        <f t="shared" si="7"/>
        <v>TRIP-T-110</v>
      </c>
      <c r="B79" s="2">
        <v>45751</v>
      </c>
      <c r="C79" s="3" t="str">
        <f>_xlfn.XLOOKUP(D79,'[1]Jan Customer Duplicate Hyva'!$B:$B,'[1]Jan Customer Duplicate Hyva'!$A:$A,"NOT FOUND")</f>
        <v>NOT FOUND</v>
      </c>
      <c r="D79" s="26" t="s">
        <v>549</v>
      </c>
      <c r="E79" s="3"/>
      <c r="F79" s="3"/>
      <c r="G79" s="3"/>
      <c r="H79" s="3"/>
      <c r="I79" s="3"/>
      <c r="J79" s="3"/>
      <c r="K79" s="3"/>
      <c r="L79" s="26" t="s">
        <v>532</v>
      </c>
      <c r="M79" s="27">
        <v>2</v>
      </c>
      <c r="N79" s="13">
        <v>4750</v>
      </c>
      <c r="O79" s="13">
        <f t="shared" si="8"/>
        <v>9500</v>
      </c>
      <c r="P79" s="13">
        <v>9500</v>
      </c>
      <c r="Q79" s="13">
        <f t="shared" si="9"/>
        <v>0</v>
      </c>
      <c r="R79" s="3"/>
      <c r="S79" s="3"/>
      <c r="T79" s="3">
        <f t="shared" si="10"/>
        <v>9500</v>
      </c>
      <c r="U79" s="3" t="str">
        <f t="shared" si="11"/>
        <v>OK</v>
      </c>
      <c r="V79" s="21">
        <f t="shared" si="12"/>
        <v>0</v>
      </c>
      <c r="W79" s="3" t="str">
        <f t="shared" si="13"/>
        <v>OK</v>
      </c>
      <c r="X79" s="3" t="s">
        <v>475</v>
      </c>
      <c r="Y79" s="3" t="s">
        <v>29</v>
      </c>
      <c r="Z79" s="3" t="s">
        <v>476</v>
      </c>
    </row>
    <row r="80" spans="1:26" x14ac:dyDescent="0.2">
      <c r="A80" s="3" t="str">
        <f t="shared" si="7"/>
        <v>TRIP-T-111</v>
      </c>
      <c r="B80" s="2">
        <v>45751</v>
      </c>
      <c r="C80" s="3" t="str">
        <f>_xlfn.XLOOKUP(D80,'[1]Jan Customer Duplicate Hyva'!$B:$B,'[1]Jan Customer Duplicate Hyva'!$A:$A,"NOT FOUND")</f>
        <v>CUST-345</v>
      </c>
      <c r="D80" s="26" t="s">
        <v>550</v>
      </c>
      <c r="E80" s="3"/>
      <c r="F80" s="3"/>
      <c r="G80" s="3"/>
      <c r="H80" s="3"/>
      <c r="I80" s="3"/>
      <c r="J80" s="3"/>
      <c r="K80" s="3"/>
      <c r="L80" s="26" t="s">
        <v>217</v>
      </c>
      <c r="M80" s="27">
        <v>1</v>
      </c>
      <c r="N80" s="13">
        <v>4000</v>
      </c>
      <c r="O80" s="13">
        <f t="shared" si="8"/>
        <v>4000</v>
      </c>
      <c r="P80" s="13">
        <v>4000</v>
      </c>
      <c r="Q80" s="13">
        <f t="shared" si="9"/>
        <v>0</v>
      </c>
      <c r="R80" s="3"/>
      <c r="S80" s="3"/>
      <c r="T80" s="3">
        <f t="shared" si="10"/>
        <v>4000</v>
      </c>
      <c r="U80" s="3" t="str">
        <f t="shared" si="11"/>
        <v>OK</v>
      </c>
      <c r="V80" s="21">
        <f t="shared" si="12"/>
        <v>0</v>
      </c>
      <c r="W80" s="3" t="str">
        <f t="shared" si="13"/>
        <v>OK</v>
      </c>
      <c r="X80" s="3" t="s">
        <v>475</v>
      </c>
      <c r="Y80" s="3" t="s">
        <v>29</v>
      </c>
      <c r="Z80" s="3" t="s">
        <v>476</v>
      </c>
    </row>
    <row r="81" spans="1:26" x14ac:dyDescent="0.2">
      <c r="A81" s="3" t="str">
        <f t="shared" si="7"/>
        <v>TRIP-T-112</v>
      </c>
      <c r="B81" s="2">
        <v>45752</v>
      </c>
      <c r="C81" s="3" t="str">
        <f>_xlfn.XLOOKUP(D81,'[1]Jan Customer Duplicate Hyva'!$B:$B,'[1]Jan Customer Duplicate Hyva'!$A:$A,"NOT FOUND")</f>
        <v>CUST-133</v>
      </c>
      <c r="D81" s="26" t="s">
        <v>551</v>
      </c>
      <c r="E81" s="3"/>
      <c r="F81" s="3"/>
      <c r="G81" s="3"/>
      <c r="H81" s="3"/>
      <c r="I81" s="3"/>
      <c r="J81" s="3"/>
      <c r="K81" s="3"/>
      <c r="L81" s="26" t="s">
        <v>33</v>
      </c>
      <c r="M81" s="27">
        <v>1</v>
      </c>
      <c r="N81" s="13">
        <v>4000</v>
      </c>
      <c r="O81" s="13">
        <f t="shared" si="8"/>
        <v>4000</v>
      </c>
      <c r="P81" s="13">
        <v>4000</v>
      </c>
      <c r="Q81" s="13">
        <f t="shared" si="9"/>
        <v>0</v>
      </c>
      <c r="R81" s="3"/>
      <c r="S81" s="3"/>
      <c r="T81" s="3">
        <f t="shared" si="10"/>
        <v>4000</v>
      </c>
      <c r="U81" s="3" t="str">
        <f t="shared" si="11"/>
        <v>OK</v>
      </c>
      <c r="V81" s="21">
        <f t="shared" si="12"/>
        <v>0</v>
      </c>
      <c r="W81" s="3" t="str">
        <f t="shared" si="13"/>
        <v>OK</v>
      </c>
      <c r="X81" s="3" t="s">
        <v>475</v>
      </c>
      <c r="Y81" s="3" t="s">
        <v>29</v>
      </c>
      <c r="Z81" s="3" t="s">
        <v>476</v>
      </c>
    </row>
    <row r="82" spans="1:26" x14ac:dyDescent="0.2">
      <c r="A82" s="3" t="str">
        <f t="shared" si="7"/>
        <v>TRIP-T-113</v>
      </c>
      <c r="B82" s="2">
        <v>45753</v>
      </c>
      <c r="C82" s="3" t="str">
        <f>_xlfn.XLOOKUP(D82,'[1]Jan Customer Duplicate Hyva'!$B:$B,'[1]Jan Customer Duplicate Hyva'!$A:$A,"NOT FOUND")</f>
        <v>NOT FOUND</v>
      </c>
      <c r="D82" s="26" t="s">
        <v>549</v>
      </c>
      <c r="E82" s="3"/>
      <c r="F82" s="3"/>
      <c r="G82" s="3"/>
      <c r="H82" s="3"/>
      <c r="I82" s="3"/>
      <c r="J82" s="3"/>
      <c r="K82" s="3"/>
      <c r="L82" s="26" t="s">
        <v>120</v>
      </c>
      <c r="M82" s="27">
        <v>1</v>
      </c>
      <c r="N82" s="13">
        <v>4750</v>
      </c>
      <c r="O82" s="13">
        <f t="shared" si="8"/>
        <v>4750</v>
      </c>
      <c r="P82" s="13">
        <v>4750</v>
      </c>
      <c r="Q82" s="13">
        <f t="shared" si="9"/>
        <v>0</v>
      </c>
      <c r="R82" s="3"/>
      <c r="S82" s="3"/>
      <c r="T82" s="3">
        <f t="shared" si="10"/>
        <v>4750</v>
      </c>
      <c r="U82" s="3" t="str">
        <f t="shared" si="11"/>
        <v>OK</v>
      </c>
      <c r="V82" s="21">
        <f t="shared" si="12"/>
        <v>0</v>
      </c>
      <c r="W82" s="3" t="str">
        <f t="shared" si="13"/>
        <v>OK</v>
      </c>
      <c r="X82" s="3" t="s">
        <v>475</v>
      </c>
      <c r="Y82" s="3" t="s">
        <v>29</v>
      </c>
      <c r="Z82" s="3" t="s">
        <v>476</v>
      </c>
    </row>
    <row r="83" spans="1:26" x14ac:dyDescent="0.2">
      <c r="A83" s="3" t="str">
        <f t="shared" si="7"/>
        <v>TRIP-T-114</v>
      </c>
      <c r="B83" s="2">
        <v>45753</v>
      </c>
      <c r="C83" s="3" t="str">
        <f>_xlfn.XLOOKUP(D83,'[1]Jan Customer Duplicate Hyva'!$B:$B,'[1]Jan Customer Duplicate Hyva'!$A:$A,"NOT FOUND")</f>
        <v>NOT FOUND</v>
      </c>
      <c r="D83" s="26" t="s">
        <v>552</v>
      </c>
      <c r="E83" s="3"/>
      <c r="F83" s="3"/>
      <c r="G83" s="3"/>
      <c r="H83" s="3"/>
      <c r="I83" s="3"/>
      <c r="J83" s="3"/>
      <c r="K83" s="3"/>
      <c r="L83" s="26" t="s">
        <v>152</v>
      </c>
      <c r="M83" s="27">
        <v>1</v>
      </c>
      <c r="N83" s="13">
        <v>5000</v>
      </c>
      <c r="O83" s="13">
        <f t="shared" si="8"/>
        <v>5000</v>
      </c>
      <c r="P83" s="13">
        <v>5000</v>
      </c>
      <c r="Q83" s="13">
        <f t="shared" si="9"/>
        <v>0</v>
      </c>
      <c r="R83" s="3"/>
      <c r="S83" s="3"/>
      <c r="T83" s="3">
        <f t="shared" si="10"/>
        <v>5000</v>
      </c>
      <c r="U83" s="3" t="str">
        <f t="shared" si="11"/>
        <v>OK</v>
      </c>
      <c r="V83" s="21">
        <f t="shared" si="12"/>
        <v>0</v>
      </c>
      <c r="W83" s="3" t="str">
        <f t="shared" si="13"/>
        <v>OK</v>
      </c>
      <c r="X83" s="3" t="s">
        <v>475</v>
      </c>
      <c r="Y83" s="3" t="s">
        <v>29</v>
      </c>
      <c r="Z83" s="3" t="s">
        <v>476</v>
      </c>
    </row>
    <row r="84" spans="1:26" x14ac:dyDescent="0.2">
      <c r="A84" s="3" t="str">
        <f t="shared" si="7"/>
        <v>TRIP-T-115</v>
      </c>
      <c r="B84" s="2">
        <v>45753</v>
      </c>
      <c r="C84" s="3" t="str">
        <f>_xlfn.XLOOKUP(D84,'[1]Jan Customer Duplicate Hyva'!$B:$B,'[1]Jan Customer Duplicate Hyva'!$A:$A,"NOT FOUND")</f>
        <v>CUST-253</v>
      </c>
      <c r="D84" s="26" t="s">
        <v>148</v>
      </c>
      <c r="E84" s="3"/>
      <c r="F84" s="3"/>
      <c r="G84" s="3"/>
      <c r="H84" s="3"/>
      <c r="I84" s="3"/>
      <c r="J84" s="3"/>
      <c r="K84" s="3"/>
      <c r="L84" s="26" t="s">
        <v>217</v>
      </c>
      <c r="M84" s="27">
        <v>1</v>
      </c>
      <c r="N84" s="13">
        <v>5000</v>
      </c>
      <c r="O84" s="13">
        <f t="shared" si="8"/>
        <v>5000</v>
      </c>
      <c r="P84" s="13">
        <v>5000</v>
      </c>
      <c r="Q84" s="13">
        <f t="shared" si="9"/>
        <v>0</v>
      </c>
      <c r="R84" s="3"/>
      <c r="S84" s="3"/>
      <c r="T84" s="3">
        <f t="shared" si="10"/>
        <v>5000</v>
      </c>
      <c r="U84" s="3" t="str">
        <f t="shared" si="11"/>
        <v>OK</v>
      </c>
      <c r="V84" s="21">
        <f t="shared" si="12"/>
        <v>0</v>
      </c>
      <c r="W84" s="3" t="str">
        <f t="shared" si="13"/>
        <v>OK</v>
      </c>
      <c r="X84" s="3" t="s">
        <v>475</v>
      </c>
      <c r="Y84" s="3" t="s">
        <v>29</v>
      </c>
      <c r="Z84" s="3" t="s">
        <v>476</v>
      </c>
    </row>
    <row r="85" spans="1:26" x14ac:dyDescent="0.2">
      <c r="A85" s="3" t="str">
        <f t="shared" si="7"/>
        <v>TRIP-T-116</v>
      </c>
      <c r="B85" s="2">
        <v>45753</v>
      </c>
      <c r="C85" s="3" t="str">
        <f>_xlfn.XLOOKUP(D85,'[1]Jan Customer Duplicate Hyva'!$B:$B,'[1]Jan Customer Duplicate Hyva'!$A:$A,"NOT FOUND")</f>
        <v>CUST-320</v>
      </c>
      <c r="D85" s="26" t="s">
        <v>505</v>
      </c>
      <c r="E85" s="3"/>
      <c r="F85" s="3"/>
      <c r="G85" s="3"/>
      <c r="H85" s="3"/>
      <c r="I85" s="3"/>
      <c r="J85" s="3"/>
      <c r="K85" s="3"/>
      <c r="L85" s="26" t="s">
        <v>172</v>
      </c>
      <c r="M85" s="27">
        <v>1</v>
      </c>
      <c r="N85" s="13">
        <v>4500</v>
      </c>
      <c r="O85" s="13">
        <f t="shared" si="8"/>
        <v>4500</v>
      </c>
      <c r="P85" s="13">
        <v>4000</v>
      </c>
      <c r="Q85" s="13">
        <f t="shared" si="9"/>
        <v>500</v>
      </c>
      <c r="R85" s="3"/>
      <c r="S85" s="3"/>
      <c r="T85" s="3">
        <f t="shared" si="10"/>
        <v>4500</v>
      </c>
      <c r="U85" s="3" t="str">
        <f t="shared" si="11"/>
        <v>OK</v>
      </c>
      <c r="V85" s="21">
        <f t="shared" si="12"/>
        <v>500</v>
      </c>
      <c r="W85" s="3" t="str">
        <f t="shared" si="13"/>
        <v>OK</v>
      </c>
      <c r="X85" s="3" t="s">
        <v>475</v>
      </c>
      <c r="Y85" s="3" t="s">
        <v>29</v>
      </c>
      <c r="Z85" s="3" t="s">
        <v>476</v>
      </c>
    </row>
    <row r="86" spans="1:26" x14ac:dyDescent="0.2">
      <c r="A86" s="3" t="str">
        <f t="shared" si="7"/>
        <v>TRIP-T-117</v>
      </c>
      <c r="B86" s="2">
        <v>45754</v>
      </c>
      <c r="C86" s="3" t="str">
        <f>_xlfn.XLOOKUP(D86,'[1]Jan Customer Duplicate Hyva'!$B:$B,'[1]Jan Customer Duplicate Hyva'!$A:$A,"NOT FOUND")</f>
        <v>CUST-228</v>
      </c>
      <c r="D86" s="26" t="s">
        <v>553</v>
      </c>
      <c r="E86" s="3"/>
      <c r="F86" s="3"/>
      <c r="G86" s="3"/>
      <c r="H86" s="3"/>
      <c r="I86" s="3"/>
      <c r="J86" s="3"/>
      <c r="K86" s="3"/>
      <c r="L86" s="26" t="s">
        <v>554</v>
      </c>
      <c r="M86" s="27">
        <v>1</v>
      </c>
      <c r="N86" s="13">
        <v>1500</v>
      </c>
      <c r="O86" s="13">
        <f t="shared" si="8"/>
        <v>1500</v>
      </c>
      <c r="P86" s="13">
        <v>1500</v>
      </c>
      <c r="Q86" s="13">
        <f t="shared" si="9"/>
        <v>0</v>
      </c>
      <c r="R86" s="3"/>
      <c r="S86" s="3"/>
      <c r="T86" s="3">
        <f t="shared" si="10"/>
        <v>1500</v>
      </c>
      <c r="U86" s="3" t="str">
        <f t="shared" si="11"/>
        <v>OK</v>
      </c>
      <c r="V86" s="21">
        <f t="shared" si="12"/>
        <v>0</v>
      </c>
      <c r="W86" s="3" t="str">
        <f t="shared" si="13"/>
        <v>OK</v>
      </c>
      <c r="X86" s="3" t="s">
        <v>475</v>
      </c>
      <c r="Y86" s="3" t="s">
        <v>29</v>
      </c>
      <c r="Z86" s="3" t="s">
        <v>476</v>
      </c>
    </row>
    <row r="87" spans="1:26" x14ac:dyDescent="0.2">
      <c r="A87" s="3" t="str">
        <f t="shared" si="7"/>
        <v>TRIP-T-118</v>
      </c>
      <c r="B87" s="2">
        <v>45754</v>
      </c>
      <c r="C87" s="3" t="str">
        <f>_xlfn.XLOOKUP(D87,'[1]Jan Customer Duplicate Hyva'!$B:$B,'[1]Jan Customer Duplicate Hyva'!$A:$A,"NOT FOUND")</f>
        <v>NOT FOUND</v>
      </c>
      <c r="D87" s="11" t="s">
        <v>555</v>
      </c>
      <c r="E87" s="3"/>
      <c r="F87" s="3"/>
      <c r="G87" s="3"/>
      <c r="H87" s="3"/>
      <c r="I87" s="3"/>
      <c r="J87" s="3"/>
      <c r="K87" s="3"/>
      <c r="L87" s="11" t="s">
        <v>142</v>
      </c>
      <c r="M87" s="12">
        <v>1</v>
      </c>
      <c r="N87" s="13">
        <v>5000</v>
      </c>
      <c r="O87" s="13">
        <f t="shared" si="8"/>
        <v>5000</v>
      </c>
      <c r="P87" s="13">
        <v>5000</v>
      </c>
      <c r="Q87" s="13">
        <f t="shared" si="9"/>
        <v>0</v>
      </c>
      <c r="R87" s="3"/>
      <c r="S87" s="3"/>
      <c r="T87" s="3">
        <f t="shared" si="10"/>
        <v>5000</v>
      </c>
      <c r="U87" s="3" t="str">
        <f t="shared" si="11"/>
        <v>OK</v>
      </c>
      <c r="V87" s="21">
        <f t="shared" si="12"/>
        <v>0</v>
      </c>
      <c r="W87" s="3" t="str">
        <f t="shared" si="13"/>
        <v>OK</v>
      </c>
      <c r="X87" s="3" t="s">
        <v>475</v>
      </c>
      <c r="Y87" s="3" t="s">
        <v>29</v>
      </c>
      <c r="Z87" s="3" t="s">
        <v>476</v>
      </c>
    </row>
    <row r="88" spans="1:26" x14ac:dyDescent="0.2">
      <c r="A88" s="3" t="str">
        <f t="shared" si="7"/>
        <v>TRIP-T-119</v>
      </c>
      <c r="B88" s="2">
        <v>45754</v>
      </c>
      <c r="C88" s="3" t="str">
        <f>_xlfn.XLOOKUP(D88,'[1]Jan Customer Duplicate Hyva'!$B:$B,'[1]Jan Customer Duplicate Hyva'!$A:$A,"NOT FOUND")</f>
        <v>CUST-102</v>
      </c>
      <c r="D88" s="25" t="s">
        <v>519</v>
      </c>
      <c r="E88" s="3"/>
      <c r="F88" s="3"/>
      <c r="G88" s="3"/>
      <c r="H88" s="3"/>
      <c r="I88" s="3"/>
      <c r="J88" s="3"/>
      <c r="K88" s="3"/>
      <c r="L88" s="11" t="s">
        <v>33</v>
      </c>
      <c r="M88" s="12">
        <v>3</v>
      </c>
      <c r="N88" s="13">
        <v>4000</v>
      </c>
      <c r="O88" s="13">
        <f t="shared" si="8"/>
        <v>12000</v>
      </c>
      <c r="P88" s="13">
        <v>12000</v>
      </c>
      <c r="Q88" s="13">
        <f t="shared" si="9"/>
        <v>0</v>
      </c>
      <c r="R88" s="3"/>
      <c r="S88" s="3"/>
      <c r="T88" s="3">
        <f t="shared" si="10"/>
        <v>12000</v>
      </c>
      <c r="U88" s="3" t="str">
        <f t="shared" si="11"/>
        <v>OK</v>
      </c>
      <c r="V88" s="21">
        <f t="shared" si="12"/>
        <v>0</v>
      </c>
      <c r="W88" s="3" t="str">
        <f t="shared" si="13"/>
        <v>OK</v>
      </c>
      <c r="X88" s="3" t="s">
        <v>475</v>
      </c>
      <c r="Y88" s="3" t="s">
        <v>29</v>
      </c>
      <c r="Z88" s="3" t="s">
        <v>476</v>
      </c>
    </row>
    <row r="89" spans="1:26" x14ac:dyDescent="0.2">
      <c r="A89" s="3" t="str">
        <f t="shared" si="7"/>
        <v>TRIP-T-120</v>
      </c>
      <c r="B89" s="2">
        <v>45755</v>
      </c>
      <c r="C89" s="3" t="str">
        <f>_xlfn.XLOOKUP(D89,'[1]Jan Customer Duplicate Hyva'!$B:$B,'[1]Jan Customer Duplicate Hyva'!$A:$A,"NOT FOUND")</f>
        <v>CUST-316</v>
      </c>
      <c r="D89" s="11" t="s">
        <v>556</v>
      </c>
      <c r="E89" s="3"/>
      <c r="F89" s="3"/>
      <c r="G89" s="3"/>
      <c r="H89" s="3"/>
      <c r="I89" s="3"/>
      <c r="J89" s="3"/>
      <c r="K89" s="3"/>
      <c r="L89" s="11" t="s">
        <v>56</v>
      </c>
      <c r="M89" s="12">
        <v>2</v>
      </c>
      <c r="N89" s="13">
        <v>4000</v>
      </c>
      <c r="O89" s="13">
        <f t="shared" si="8"/>
        <v>8000</v>
      </c>
      <c r="P89" s="13">
        <v>8000</v>
      </c>
      <c r="Q89" s="13">
        <f t="shared" si="9"/>
        <v>0</v>
      </c>
      <c r="R89" s="3"/>
      <c r="S89" s="3"/>
      <c r="T89" s="3">
        <f t="shared" si="10"/>
        <v>8000</v>
      </c>
      <c r="U89" s="3" t="str">
        <f t="shared" si="11"/>
        <v>OK</v>
      </c>
      <c r="V89" s="21">
        <f t="shared" si="12"/>
        <v>0</v>
      </c>
      <c r="W89" s="3" t="str">
        <f t="shared" si="13"/>
        <v>OK</v>
      </c>
      <c r="X89" s="3" t="s">
        <v>475</v>
      </c>
      <c r="Y89" s="3" t="s">
        <v>29</v>
      </c>
      <c r="Z89" s="3" t="s">
        <v>476</v>
      </c>
    </row>
    <row r="90" spans="1:26" x14ac:dyDescent="0.2">
      <c r="A90" s="3" t="str">
        <f t="shared" si="7"/>
        <v>TRIP-T-121</v>
      </c>
      <c r="B90" s="2">
        <v>45756</v>
      </c>
      <c r="C90" s="3" t="str">
        <f>_xlfn.XLOOKUP(D90,'[1]Jan Customer Duplicate Hyva'!$B:$B,'[1]Jan Customer Duplicate Hyva'!$A:$A,"NOT FOUND")</f>
        <v>NOT FOUND</v>
      </c>
      <c r="D90" s="11" t="s">
        <v>557</v>
      </c>
      <c r="E90" s="3"/>
      <c r="F90" s="3"/>
      <c r="G90" s="3"/>
      <c r="H90" s="3"/>
      <c r="I90" s="3"/>
      <c r="J90" s="3"/>
      <c r="K90" s="3"/>
      <c r="L90" s="11" t="s">
        <v>120</v>
      </c>
      <c r="M90" s="12">
        <v>1</v>
      </c>
      <c r="N90" s="13">
        <v>4000</v>
      </c>
      <c r="O90" s="13">
        <f t="shared" si="8"/>
        <v>4000</v>
      </c>
      <c r="P90" s="13">
        <v>4000</v>
      </c>
      <c r="Q90" s="13">
        <f t="shared" si="9"/>
        <v>0</v>
      </c>
      <c r="R90" s="3"/>
      <c r="S90" s="3"/>
      <c r="T90" s="3">
        <f t="shared" si="10"/>
        <v>4000</v>
      </c>
      <c r="U90" s="3" t="str">
        <f t="shared" si="11"/>
        <v>OK</v>
      </c>
      <c r="V90" s="21">
        <f t="shared" si="12"/>
        <v>0</v>
      </c>
      <c r="W90" s="3" t="str">
        <f t="shared" si="13"/>
        <v>OK</v>
      </c>
      <c r="X90" s="3" t="s">
        <v>475</v>
      </c>
      <c r="Y90" s="3" t="s">
        <v>29</v>
      </c>
      <c r="Z90" s="3" t="s">
        <v>476</v>
      </c>
    </row>
    <row r="91" spans="1:26" x14ac:dyDescent="0.2">
      <c r="A91" s="3" t="str">
        <f t="shared" si="7"/>
        <v>TRIP-T-122</v>
      </c>
      <c r="B91" s="2">
        <v>45757</v>
      </c>
      <c r="C91" s="3" t="str">
        <f>_xlfn.XLOOKUP(D91,'[1]Jan Customer Duplicate Hyva'!$B:$B,'[1]Jan Customer Duplicate Hyva'!$A:$A,"NOT FOUND")</f>
        <v>CUST-088</v>
      </c>
      <c r="D91" s="11" t="s">
        <v>482</v>
      </c>
      <c r="E91" s="3"/>
      <c r="F91" s="3"/>
      <c r="G91" s="3"/>
      <c r="H91" s="3"/>
      <c r="I91" s="3"/>
      <c r="J91" s="3"/>
      <c r="K91" s="3"/>
      <c r="L91" s="11" t="s">
        <v>558</v>
      </c>
      <c r="M91" s="12">
        <v>5</v>
      </c>
      <c r="N91" s="13">
        <v>1000</v>
      </c>
      <c r="O91" s="13">
        <f t="shared" si="8"/>
        <v>5000</v>
      </c>
      <c r="P91" s="13">
        <v>5000</v>
      </c>
      <c r="Q91" s="13">
        <f t="shared" si="9"/>
        <v>0</v>
      </c>
      <c r="R91" s="3"/>
      <c r="S91" s="3"/>
      <c r="T91" s="3">
        <f t="shared" si="10"/>
        <v>5000</v>
      </c>
      <c r="U91" s="3" t="str">
        <f t="shared" si="11"/>
        <v>OK</v>
      </c>
      <c r="V91" s="21">
        <f t="shared" si="12"/>
        <v>0</v>
      </c>
      <c r="W91" s="3" t="str">
        <f t="shared" si="13"/>
        <v>OK</v>
      </c>
      <c r="X91" s="3" t="s">
        <v>475</v>
      </c>
      <c r="Y91" s="3" t="s">
        <v>29</v>
      </c>
      <c r="Z91" s="3" t="s">
        <v>476</v>
      </c>
    </row>
    <row r="92" spans="1:26" x14ac:dyDescent="0.2">
      <c r="A92" s="3" t="str">
        <f t="shared" si="7"/>
        <v>TRIP-T-123</v>
      </c>
      <c r="B92" s="2">
        <v>45758</v>
      </c>
      <c r="C92" s="3" t="str">
        <f>_xlfn.XLOOKUP(D92,'[1]Jan Customer Duplicate Hyva'!$B:$B,'[1]Jan Customer Duplicate Hyva'!$A:$A,"NOT FOUND")</f>
        <v>CUST-253</v>
      </c>
      <c r="D92" s="11" t="s">
        <v>148</v>
      </c>
      <c r="E92" s="3"/>
      <c r="F92" s="3"/>
      <c r="G92" s="3"/>
      <c r="H92" s="3"/>
      <c r="I92" s="3"/>
      <c r="J92" s="3"/>
      <c r="K92" s="3"/>
      <c r="L92" s="11" t="s">
        <v>559</v>
      </c>
      <c r="M92" s="12">
        <v>1</v>
      </c>
      <c r="N92" s="13">
        <v>1300</v>
      </c>
      <c r="O92" s="13">
        <f t="shared" si="8"/>
        <v>1300</v>
      </c>
      <c r="P92" s="13">
        <v>1300</v>
      </c>
      <c r="Q92" s="13">
        <f t="shared" si="9"/>
        <v>0</v>
      </c>
      <c r="R92" s="3"/>
      <c r="S92" s="3"/>
      <c r="T92" s="3">
        <f t="shared" si="10"/>
        <v>1300</v>
      </c>
      <c r="U92" s="3" t="str">
        <f t="shared" si="11"/>
        <v>OK</v>
      </c>
      <c r="V92" s="21">
        <f t="shared" si="12"/>
        <v>0</v>
      </c>
      <c r="W92" s="3" t="str">
        <f t="shared" si="13"/>
        <v>OK</v>
      </c>
      <c r="X92" s="3" t="s">
        <v>475</v>
      </c>
      <c r="Y92" s="3" t="s">
        <v>29</v>
      </c>
      <c r="Z92" s="3" t="s">
        <v>476</v>
      </c>
    </row>
    <row r="93" spans="1:26" x14ac:dyDescent="0.2">
      <c r="A93" s="3" t="str">
        <f t="shared" si="7"/>
        <v>TRIP-T-124</v>
      </c>
      <c r="B93" s="2">
        <v>45758</v>
      </c>
      <c r="C93" s="3" t="str">
        <f>_xlfn.XLOOKUP(D93,'[1]Jan Customer Duplicate Hyva'!$B:$B,'[1]Jan Customer Duplicate Hyva'!$A:$A,"NOT FOUND")</f>
        <v>CUST-017</v>
      </c>
      <c r="D93" s="26" t="s">
        <v>151</v>
      </c>
      <c r="E93" s="3"/>
      <c r="F93" s="3"/>
      <c r="G93" s="3"/>
      <c r="H93" s="3"/>
      <c r="I93" s="3"/>
      <c r="J93" s="3"/>
      <c r="K93" s="3"/>
      <c r="L93" s="26" t="s">
        <v>152</v>
      </c>
      <c r="M93" s="27">
        <v>2</v>
      </c>
      <c r="N93" s="13">
        <v>4750</v>
      </c>
      <c r="O93" s="13">
        <f t="shared" si="8"/>
        <v>9500</v>
      </c>
      <c r="P93" s="13">
        <v>9500</v>
      </c>
      <c r="Q93" s="13">
        <f t="shared" si="9"/>
        <v>0</v>
      </c>
      <c r="R93" s="3"/>
      <c r="S93" s="3"/>
      <c r="T93" s="3">
        <f t="shared" si="10"/>
        <v>9500</v>
      </c>
      <c r="U93" s="3" t="str">
        <f t="shared" si="11"/>
        <v>OK</v>
      </c>
      <c r="V93" s="21">
        <f t="shared" si="12"/>
        <v>0</v>
      </c>
      <c r="W93" s="3" t="str">
        <f t="shared" si="13"/>
        <v>OK</v>
      </c>
      <c r="X93" s="3" t="s">
        <v>475</v>
      </c>
      <c r="Y93" s="3" t="s">
        <v>29</v>
      </c>
      <c r="Z93" s="3" t="s">
        <v>476</v>
      </c>
    </row>
    <row r="94" spans="1:26" x14ac:dyDescent="0.2">
      <c r="A94" s="3" t="str">
        <f t="shared" si="7"/>
        <v>TRIP-T-125</v>
      </c>
      <c r="B94" s="2">
        <v>45759</v>
      </c>
      <c r="C94" s="3" t="str">
        <f>_xlfn.XLOOKUP(D94,'[1]Jan Customer Duplicate Hyva'!$B:$B,'[1]Jan Customer Duplicate Hyva'!$A:$A,"NOT FOUND")</f>
        <v>NOT FOUND</v>
      </c>
      <c r="D94" s="26" t="s">
        <v>560</v>
      </c>
      <c r="E94" s="3"/>
      <c r="F94" s="3"/>
      <c r="G94" s="3"/>
      <c r="H94" s="3"/>
      <c r="I94" s="3"/>
      <c r="J94" s="3"/>
      <c r="K94" s="3"/>
      <c r="L94" s="26" t="s">
        <v>33</v>
      </c>
      <c r="M94" s="27">
        <v>1</v>
      </c>
      <c r="N94" s="13">
        <v>4000</v>
      </c>
      <c r="O94" s="13">
        <f t="shared" si="8"/>
        <v>4000</v>
      </c>
      <c r="P94" s="13">
        <v>4000</v>
      </c>
      <c r="Q94" s="13">
        <f t="shared" si="9"/>
        <v>0</v>
      </c>
      <c r="R94" s="3"/>
      <c r="S94" s="3"/>
      <c r="T94" s="3">
        <f t="shared" si="10"/>
        <v>4000</v>
      </c>
      <c r="U94" s="3" t="str">
        <f t="shared" si="11"/>
        <v>OK</v>
      </c>
      <c r="V94" s="21">
        <f t="shared" si="12"/>
        <v>0</v>
      </c>
      <c r="W94" s="3" t="str">
        <f t="shared" si="13"/>
        <v>OK</v>
      </c>
      <c r="X94" s="3" t="s">
        <v>475</v>
      </c>
      <c r="Y94" s="3" t="s">
        <v>29</v>
      </c>
      <c r="Z94" s="3" t="s">
        <v>476</v>
      </c>
    </row>
    <row r="95" spans="1:26" x14ac:dyDescent="0.2">
      <c r="A95" s="3" t="str">
        <f t="shared" si="7"/>
        <v>TRIP-T-126</v>
      </c>
      <c r="B95" s="2">
        <v>45760</v>
      </c>
      <c r="C95" s="3" t="str">
        <f>_xlfn.XLOOKUP(D95,'[1]Jan Customer Duplicate Hyva'!$B:$B,'[1]Jan Customer Duplicate Hyva'!$A:$A,"NOT FOUND")</f>
        <v>CUST-133</v>
      </c>
      <c r="D95" s="26" t="s">
        <v>551</v>
      </c>
      <c r="E95" s="3"/>
      <c r="F95" s="3"/>
      <c r="G95" s="3"/>
      <c r="H95" s="3"/>
      <c r="I95" s="3"/>
      <c r="J95" s="3"/>
      <c r="K95" s="3"/>
      <c r="L95" s="26" t="s">
        <v>33</v>
      </c>
      <c r="M95" s="27">
        <v>1</v>
      </c>
      <c r="N95" s="13">
        <v>4000</v>
      </c>
      <c r="O95" s="13">
        <f t="shared" si="8"/>
        <v>4000</v>
      </c>
      <c r="P95" s="13">
        <v>4000</v>
      </c>
      <c r="Q95" s="13">
        <f t="shared" si="9"/>
        <v>0</v>
      </c>
      <c r="R95" s="3"/>
      <c r="S95" s="3"/>
      <c r="T95" s="3">
        <f t="shared" si="10"/>
        <v>4000</v>
      </c>
      <c r="U95" s="3" t="str">
        <f t="shared" si="11"/>
        <v>OK</v>
      </c>
      <c r="V95" s="21">
        <f t="shared" si="12"/>
        <v>0</v>
      </c>
      <c r="W95" s="3" t="str">
        <f t="shared" si="13"/>
        <v>OK</v>
      </c>
      <c r="X95" s="3" t="s">
        <v>475</v>
      </c>
      <c r="Y95" s="3" t="s">
        <v>29</v>
      </c>
      <c r="Z95" s="3" t="s">
        <v>476</v>
      </c>
    </row>
    <row r="96" spans="1:26" x14ac:dyDescent="0.2">
      <c r="A96" s="3" t="str">
        <f t="shared" si="7"/>
        <v>TRIP-T-127</v>
      </c>
      <c r="B96" s="2">
        <v>45761</v>
      </c>
      <c r="C96" s="3" t="str">
        <f>_xlfn.XLOOKUP(D96,'[1]Jan Customer Duplicate Hyva'!$B:$B,'[1]Jan Customer Duplicate Hyva'!$A:$A,"NOT FOUND")</f>
        <v>CUST-176</v>
      </c>
      <c r="D96" s="26" t="s">
        <v>561</v>
      </c>
      <c r="E96" s="3"/>
      <c r="F96" s="3"/>
      <c r="G96" s="3"/>
      <c r="H96" s="3"/>
      <c r="I96" s="3"/>
      <c r="J96" s="3"/>
      <c r="K96" s="3"/>
      <c r="L96" s="26" t="s">
        <v>33</v>
      </c>
      <c r="M96" s="27">
        <v>1</v>
      </c>
      <c r="N96" s="13">
        <v>4000</v>
      </c>
      <c r="O96" s="13">
        <f t="shared" si="8"/>
        <v>4000</v>
      </c>
      <c r="P96" s="13">
        <v>4000</v>
      </c>
      <c r="Q96" s="13">
        <f t="shared" si="9"/>
        <v>0</v>
      </c>
      <c r="R96" s="3"/>
      <c r="S96" s="3"/>
      <c r="T96" s="3">
        <f t="shared" si="10"/>
        <v>4000</v>
      </c>
      <c r="U96" s="3" t="str">
        <f t="shared" si="11"/>
        <v>OK</v>
      </c>
      <c r="V96" s="21">
        <f t="shared" si="12"/>
        <v>0</v>
      </c>
      <c r="W96" s="3" t="str">
        <f t="shared" si="13"/>
        <v>OK</v>
      </c>
      <c r="X96" s="3" t="s">
        <v>475</v>
      </c>
      <c r="Y96" s="3" t="s">
        <v>29</v>
      </c>
      <c r="Z96" s="3" t="s">
        <v>476</v>
      </c>
    </row>
    <row r="97" spans="1:26" x14ac:dyDescent="0.2">
      <c r="A97" s="3" t="str">
        <f t="shared" si="7"/>
        <v>TRIP-T-128</v>
      </c>
      <c r="B97" s="2">
        <v>45762</v>
      </c>
      <c r="C97" s="3" t="str">
        <f>_xlfn.XLOOKUP(D97,'[1]Jan Customer Duplicate Hyva'!$B:$B,'[1]Jan Customer Duplicate Hyva'!$A:$A,"NOT FOUND")</f>
        <v>CUST-377</v>
      </c>
      <c r="D97" s="26" t="s">
        <v>377</v>
      </c>
      <c r="E97" s="3"/>
      <c r="F97" s="3"/>
      <c r="G97" s="3"/>
      <c r="H97" s="3"/>
      <c r="I97" s="3"/>
      <c r="J97" s="3"/>
      <c r="K97" s="3"/>
      <c r="L97" s="26" t="s">
        <v>56</v>
      </c>
      <c r="M97" s="27">
        <v>2</v>
      </c>
      <c r="N97" s="13">
        <v>4750</v>
      </c>
      <c r="O97" s="13">
        <f t="shared" si="8"/>
        <v>9500</v>
      </c>
      <c r="P97" s="13">
        <v>9500</v>
      </c>
      <c r="Q97" s="13">
        <f t="shared" si="9"/>
        <v>0</v>
      </c>
      <c r="R97" s="3"/>
      <c r="S97" s="3"/>
      <c r="T97" s="3">
        <f t="shared" si="10"/>
        <v>9500</v>
      </c>
      <c r="U97" s="3" t="str">
        <f t="shared" si="11"/>
        <v>OK</v>
      </c>
      <c r="V97" s="21">
        <f t="shared" si="12"/>
        <v>0</v>
      </c>
      <c r="W97" s="3" t="str">
        <f t="shared" si="13"/>
        <v>OK</v>
      </c>
      <c r="X97" s="3" t="s">
        <v>475</v>
      </c>
      <c r="Y97" s="3" t="s">
        <v>29</v>
      </c>
      <c r="Z97" s="3" t="s">
        <v>476</v>
      </c>
    </row>
    <row r="98" spans="1:26" x14ac:dyDescent="0.2">
      <c r="A98" s="3" t="str">
        <f t="shared" si="7"/>
        <v>TRIP-T-129</v>
      </c>
      <c r="B98" s="2">
        <v>45763</v>
      </c>
      <c r="C98" s="3" t="str">
        <f>_xlfn.XLOOKUP(D98,'[1]Jan Customer Duplicate Hyva'!$B:$B,'[1]Jan Customer Duplicate Hyva'!$A:$A,"NOT FOUND")</f>
        <v>CUST-385</v>
      </c>
      <c r="D98" s="26" t="s">
        <v>562</v>
      </c>
      <c r="E98" s="3"/>
      <c r="F98" s="3"/>
      <c r="G98" s="3"/>
      <c r="H98" s="3"/>
      <c r="I98" s="3"/>
      <c r="J98" s="3"/>
      <c r="K98" s="3"/>
      <c r="L98" s="26" t="s">
        <v>126</v>
      </c>
      <c r="M98" s="27">
        <v>2</v>
      </c>
      <c r="N98" s="13">
        <v>5000</v>
      </c>
      <c r="O98" s="13">
        <f t="shared" si="8"/>
        <v>10000</v>
      </c>
      <c r="P98" s="13">
        <v>10000</v>
      </c>
      <c r="Q98" s="13">
        <f t="shared" si="9"/>
        <v>0</v>
      </c>
      <c r="R98" s="3"/>
      <c r="S98" s="3"/>
      <c r="T98" s="3">
        <f t="shared" si="10"/>
        <v>10000</v>
      </c>
      <c r="U98" s="3" t="str">
        <f t="shared" si="11"/>
        <v>OK</v>
      </c>
      <c r="V98" s="21">
        <f t="shared" si="12"/>
        <v>0</v>
      </c>
      <c r="W98" s="3" t="str">
        <f t="shared" si="13"/>
        <v>OK</v>
      </c>
      <c r="X98" s="3" t="s">
        <v>475</v>
      </c>
      <c r="Y98" s="3" t="s">
        <v>29</v>
      </c>
      <c r="Z98" s="3" t="s">
        <v>476</v>
      </c>
    </row>
    <row r="99" spans="1:26" x14ac:dyDescent="0.2">
      <c r="A99" s="3" t="str">
        <f t="shared" si="7"/>
        <v>TRIP-T-130</v>
      </c>
      <c r="B99" s="2">
        <v>45763</v>
      </c>
      <c r="C99" s="3" t="str">
        <f>_xlfn.XLOOKUP(D99,'[1]Jan Customer Duplicate Hyva'!$B:$B,'[1]Jan Customer Duplicate Hyva'!$A:$A,"NOT FOUND")</f>
        <v>NOT FOUND</v>
      </c>
      <c r="D99" s="26" t="s">
        <v>560</v>
      </c>
      <c r="E99" s="3"/>
      <c r="F99" s="3"/>
      <c r="G99" s="3"/>
      <c r="H99" s="3"/>
      <c r="I99" s="3"/>
      <c r="J99" s="3"/>
      <c r="K99" s="3"/>
      <c r="L99" s="26" t="s">
        <v>33</v>
      </c>
      <c r="M99" s="27">
        <v>1</v>
      </c>
      <c r="N99" s="13">
        <v>4000</v>
      </c>
      <c r="O99" s="13">
        <f t="shared" si="8"/>
        <v>4000</v>
      </c>
      <c r="P99" s="13">
        <v>4000</v>
      </c>
      <c r="Q99" s="13">
        <f t="shared" si="9"/>
        <v>0</v>
      </c>
      <c r="R99" s="3"/>
      <c r="S99" s="3"/>
      <c r="T99" s="3">
        <f t="shared" si="10"/>
        <v>4000</v>
      </c>
      <c r="U99" s="3" t="str">
        <f t="shared" si="11"/>
        <v>OK</v>
      </c>
      <c r="V99" s="21">
        <f t="shared" si="12"/>
        <v>0</v>
      </c>
      <c r="W99" s="3" t="str">
        <f t="shared" si="13"/>
        <v>OK</v>
      </c>
      <c r="X99" s="3" t="s">
        <v>475</v>
      </c>
      <c r="Y99" s="3" t="s">
        <v>29</v>
      </c>
      <c r="Z99" s="3" t="s">
        <v>476</v>
      </c>
    </row>
    <row r="100" spans="1:26" x14ac:dyDescent="0.2">
      <c r="A100" s="3" t="str">
        <f t="shared" si="7"/>
        <v>TRIP-T-131</v>
      </c>
      <c r="B100" s="2">
        <v>45764</v>
      </c>
      <c r="C100" s="3" t="str">
        <f>_xlfn.XLOOKUP(D100,'[1]Jan Customer Duplicate Hyva'!$B:$B,'[1]Jan Customer Duplicate Hyva'!$A:$A,"NOT FOUND")</f>
        <v>CUST-088</v>
      </c>
      <c r="D100" s="11" t="s">
        <v>482</v>
      </c>
      <c r="E100" s="3"/>
      <c r="F100" s="3"/>
      <c r="G100" s="3"/>
      <c r="H100" s="3"/>
      <c r="I100" s="3"/>
      <c r="J100" s="3"/>
      <c r="K100" s="3"/>
      <c r="L100" s="26" t="s">
        <v>558</v>
      </c>
      <c r="M100" s="27">
        <v>5</v>
      </c>
      <c r="N100" s="13">
        <v>1000</v>
      </c>
      <c r="O100" s="13">
        <f t="shared" si="8"/>
        <v>5000</v>
      </c>
      <c r="P100" s="13">
        <v>5000</v>
      </c>
      <c r="Q100" s="13">
        <f t="shared" si="9"/>
        <v>0</v>
      </c>
      <c r="R100" s="3"/>
      <c r="S100" s="3"/>
      <c r="T100" s="3">
        <f t="shared" si="10"/>
        <v>5000</v>
      </c>
      <c r="U100" s="3" t="str">
        <f t="shared" si="11"/>
        <v>OK</v>
      </c>
      <c r="V100" s="21">
        <f t="shared" si="12"/>
        <v>0</v>
      </c>
      <c r="W100" s="3" t="str">
        <f t="shared" si="13"/>
        <v>OK</v>
      </c>
      <c r="X100" s="3" t="s">
        <v>475</v>
      </c>
      <c r="Y100" s="3" t="s">
        <v>29</v>
      </c>
      <c r="Z100" s="3" t="s">
        <v>476</v>
      </c>
    </row>
    <row r="101" spans="1:26" x14ac:dyDescent="0.2">
      <c r="A101" s="3" t="str">
        <f t="shared" si="7"/>
        <v>TRIP-T-132</v>
      </c>
      <c r="B101" s="2">
        <v>45765</v>
      </c>
      <c r="C101" s="3" t="str">
        <f>_xlfn.XLOOKUP(D101,'[1]Jan Customer Duplicate Hyva'!$B:$B,'[1]Jan Customer Duplicate Hyva'!$A:$A,"NOT FOUND")</f>
        <v>CUST-145</v>
      </c>
      <c r="D101" s="26" t="s">
        <v>563</v>
      </c>
      <c r="E101" s="3"/>
      <c r="F101" s="3"/>
      <c r="G101" s="3"/>
      <c r="H101" s="3"/>
      <c r="I101" s="3"/>
      <c r="J101" s="3"/>
      <c r="K101" s="3"/>
      <c r="L101" s="26" t="s">
        <v>564</v>
      </c>
      <c r="M101" s="27">
        <v>1</v>
      </c>
      <c r="N101" s="13">
        <v>4000</v>
      </c>
      <c r="O101" s="13">
        <f t="shared" si="8"/>
        <v>4000</v>
      </c>
      <c r="P101" s="13">
        <v>4000</v>
      </c>
      <c r="Q101" s="13">
        <f t="shared" si="9"/>
        <v>0</v>
      </c>
      <c r="R101" s="3"/>
      <c r="S101" s="3"/>
      <c r="T101" s="3">
        <f t="shared" si="10"/>
        <v>4000</v>
      </c>
      <c r="U101" s="3" t="str">
        <f t="shared" si="11"/>
        <v>OK</v>
      </c>
      <c r="V101" s="21">
        <f t="shared" si="12"/>
        <v>0</v>
      </c>
      <c r="W101" s="3" t="str">
        <f t="shared" si="13"/>
        <v>OK</v>
      </c>
      <c r="X101" s="3" t="s">
        <v>475</v>
      </c>
      <c r="Y101" s="3" t="s">
        <v>29</v>
      </c>
      <c r="Z101" s="3" t="s">
        <v>476</v>
      </c>
    </row>
    <row r="102" spans="1:26" x14ac:dyDescent="0.2">
      <c r="A102" s="3" t="str">
        <f t="shared" si="7"/>
        <v>TRIP-T-133</v>
      </c>
      <c r="B102" s="2">
        <v>45766</v>
      </c>
      <c r="C102" s="3" t="str">
        <f>_xlfn.XLOOKUP(D102,'[1]Jan Customer Duplicate Hyva'!$B:$B,'[1]Jan Customer Duplicate Hyva'!$A:$A,"NOT FOUND")</f>
        <v>CUST-385</v>
      </c>
      <c r="D102" s="26" t="s">
        <v>562</v>
      </c>
      <c r="E102" s="3"/>
      <c r="F102" s="3"/>
      <c r="G102" s="3"/>
      <c r="H102" s="3"/>
      <c r="I102" s="3"/>
      <c r="J102" s="3"/>
      <c r="K102" s="3"/>
      <c r="L102" s="26" t="s">
        <v>126</v>
      </c>
      <c r="M102" s="27">
        <v>1</v>
      </c>
      <c r="N102" s="13">
        <v>5000</v>
      </c>
      <c r="O102" s="13">
        <f t="shared" si="8"/>
        <v>5000</v>
      </c>
      <c r="P102" s="13">
        <v>5000</v>
      </c>
      <c r="Q102" s="13">
        <f t="shared" si="9"/>
        <v>0</v>
      </c>
      <c r="R102" s="3"/>
      <c r="S102" s="3"/>
      <c r="T102" s="3">
        <f t="shared" si="10"/>
        <v>5000</v>
      </c>
      <c r="U102" s="3" t="str">
        <f t="shared" si="11"/>
        <v>OK</v>
      </c>
      <c r="V102" s="21">
        <f t="shared" si="12"/>
        <v>0</v>
      </c>
      <c r="W102" s="3" t="str">
        <f t="shared" si="13"/>
        <v>OK</v>
      </c>
      <c r="X102" s="3" t="s">
        <v>475</v>
      </c>
      <c r="Y102" s="3" t="s">
        <v>29</v>
      </c>
      <c r="Z102" s="3" t="s">
        <v>476</v>
      </c>
    </row>
    <row r="103" spans="1:26" x14ac:dyDescent="0.2">
      <c r="A103" s="3" t="str">
        <f t="shared" si="7"/>
        <v>TRIP-T-134</v>
      </c>
      <c r="B103" s="2">
        <v>45767</v>
      </c>
      <c r="C103" s="3" t="str">
        <f>_xlfn.XLOOKUP(D103,'[1]Jan Customer Duplicate Hyva'!$B:$B,'[1]Jan Customer Duplicate Hyva'!$A:$A,"NOT FOUND")</f>
        <v>CUST-031</v>
      </c>
      <c r="D103" s="26" t="s">
        <v>534</v>
      </c>
      <c r="E103" s="3"/>
      <c r="F103" s="3"/>
      <c r="G103" s="3"/>
      <c r="H103" s="3"/>
      <c r="I103" s="3"/>
      <c r="J103" s="3"/>
      <c r="K103" s="3"/>
      <c r="L103" s="26" t="s">
        <v>33</v>
      </c>
      <c r="M103" s="27">
        <v>1</v>
      </c>
      <c r="N103" s="13">
        <v>4000</v>
      </c>
      <c r="O103" s="13">
        <f t="shared" si="8"/>
        <v>4000</v>
      </c>
      <c r="P103" s="13">
        <v>0</v>
      </c>
      <c r="Q103" s="13">
        <f t="shared" si="9"/>
        <v>4000</v>
      </c>
      <c r="R103" s="3"/>
      <c r="S103" s="3"/>
      <c r="T103" s="3">
        <f t="shared" si="10"/>
        <v>4000</v>
      </c>
      <c r="U103" s="3" t="str">
        <f t="shared" si="11"/>
        <v>OK</v>
      </c>
      <c r="V103" s="21">
        <f t="shared" si="12"/>
        <v>4000</v>
      </c>
      <c r="W103" s="3" t="str">
        <f t="shared" si="13"/>
        <v>OK</v>
      </c>
      <c r="X103" s="3" t="s">
        <v>475</v>
      </c>
      <c r="Y103" s="3" t="s">
        <v>29</v>
      </c>
      <c r="Z103" s="3" t="s">
        <v>476</v>
      </c>
    </row>
    <row r="104" spans="1:26" x14ac:dyDescent="0.2">
      <c r="A104" s="3" t="str">
        <f t="shared" si="7"/>
        <v>TRIP-T-135</v>
      </c>
      <c r="B104" s="2">
        <v>45767</v>
      </c>
      <c r="C104" s="3" t="str">
        <f>_xlfn.XLOOKUP(D104,'[1]Jan Customer Duplicate Hyva'!$B:$B,'[1]Jan Customer Duplicate Hyva'!$A:$A,"NOT FOUND")</f>
        <v>NOT FOUND</v>
      </c>
      <c r="D104" s="26" t="s">
        <v>565</v>
      </c>
      <c r="E104" s="3"/>
      <c r="F104" s="3"/>
      <c r="G104" s="3"/>
      <c r="H104" s="3"/>
      <c r="I104" s="3"/>
      <c r="J104" s="3"/>
      <c r="K104" s="3"/>
      <c r="L104" s="26" t="s">
        <v>114</v>
      </c>
      <c r="M104" s="27">
        <v>1</v>
      </c>
      <c r="N104" s="13">
        <v>4000</v>
      </c>
      <c r="O104" s="13">
        <f t="shared" si="8"/>
        <v>4000</v>
      </c>
      <c r="P104" s="13">
        <v>4000</v>
      </c>
      <c r="Q104" s="13">
        <f t="shared" si="9"/>
        <v>0</v>
      </c>
      <c r="R104" s="3"/>
      <c r="S104" s="3"/>
      <c r="T104" s="3">
        <f t="shared" si="10"/>
        <v>4000</v>
      </c>
      <c r="U104" s="3" t="str">
        <f t="shared" si="11"/>
        <v>OK</v>
      </c>
      <c r="V104" s="21">
        <f t="shared" si="12"/>
        <v>0</v>
      </c>
      <c r="W104" s="3" t="str">
        <f t="shared" si="13"/>
        <v>OK</v>
      </c>
      <c r="X104" s="3" t="s">
        <v>475</v>
      </c>
      <c r="Y104" s="3" t="s">
        <v>29</v>
      </c>
      <c r="Z104" s="3" t="s">
        <v>476</v>
      </c>
    </row>
    <row r="105" spans="1:26" x14ac:dyDescent="0.2">
      <c r="A105" s="3" t="str">
        <f t="shared" si="7"/>
        <v>TRIP-T-136</v>
      </c>
      <c r="B105" s="2">
        <v>45768</v>
      </c>
      <c r="C105" s="3" t="str">
        <f>_xlfn.XLOOKUP(D105,'[1]Jan Customer Duplicate Hyva'!$B:$B,'[1]Jan Customer Duplicate Hyva'!$A:$A,"NOT FOUND")</f>
        <v>CUST-107</v>
      </c>
      <c r="D105" s="25" t="s">
        <v>513</v>
      </c>
      <c r="E105" s="3"/>
      <c r="F105" s="3"/>
      <c r="G105" s="3"/>
      <c r="H105" s="3"/>
      <c r="I105" s="3"/>
      <c r="J105" s="3"/>
      <c r="K105" s="3"/>
      <c r="L105" s="26" t="s">
        <v>152</v>
      </c>
      <c r="M105" s="27">
        <v>4</v>
      </c>
      <c r="N105" s="13">
        <v>4000</v>
      </c>
      <c r="O105" s="13">
        <f t="shared" si="8"/>
        <v>16000</v>
      </c>
      <c r="P105" s="13">
        <v>16000</v>
      </c>
      <c r="Q105" s="13">
        <f t="shared" si="9"/>
        <v>0</v>
      </c>
      <c r="R105" s="3"/>
      <c r="S105" s="3"/>
      <c r="T105" s="3">
        <f t="shared" si="10"/>
        <v>16000</v>
      </c>
      <c r="U105" s="3" t="str">
        <f t="shared" si="11"/>
        <v>OK</v>
      </c>
      <c r="V105" s="21">
        <f t="shared" si="12"/>
        <v>0</v>
      </c>
      <c r="W105" s="3" t="str">
        <f t="shared" si="13"/>
        <v>OK</v>
      </c>
      <c r="X105" s="3" t="s">
        <v>475</v>
      </c>
      <c r="Y105" s="3" t="s">
        <v>29</v>
      </c>
      <c r="Z105" s="3" t="s">
        <v>476</v>
      </c>
    </row>
    <row r="106" spans="1:26" x14ac:dyDescent="0.2">
      <c r="A106" s="3" t="str">
        <f t="shared" si="7"/>
        <v>TRIP-T-137</v>
      </c>
      <c r="B106" s="2">
        <v>45769</v>
      </c>
      <c r="C106" s="3" t="str">
        <f>_xlfn.XLOOKUP(D106,'[1]Jan Customer Duplicate Hyva'!$B:$B,'[1]Jan Customer Duplicate Hyva'!$A:$A,"NOT FOUND")</f>
        <v>CUST-192</v>
      </c>
      <c r="D106" s="26" t="s">
        <v>566</v>
      </c>
      <c r="E106" s="3"/>
      <c r="F106" s="3"/>
      <c r="G106" s="3"/>
      <c r="H106" s="3"/>
      <c r="I106" s="3"/>
      <c r="J106" s="3"/>
      <c r="K106" s="3"/>
      <c r="L106" s="26" t="s">
        <v>567</v>
      </c>
      <c r="M106" s="27">
        <v>1</v>
      </c>
      <c r="N106" s="13">
        <v>4000</v>
      </c>
      <c r="O106" s="13">
        <f t="shared" si="8"/>
        <v>4000</v>
      </c>
      <c r="P106" s="13">
        <v>4000</v>
      </c>
      <c r="Q106" s="13">
        <f t="shared" si="9"/>
        <v>0</v>
      </c>
      <c r="R106" s="3"/>
      <c r="S106" s="3"/>
      <c r="T106" s="3">
        <f t="shared" si="10"/>
        <v>4000</v>
      </c>
      <c r="U106" s="3" t="str">
        <f t="shared" si="11"/>
        <v>OK</v>
      </c>
      <c r="V106" s="21">
        <f t="shared" si="12"/>
        <v>0</v>
      </c>
      <c r="W106" s="3" t="str">
        <f t="shared" si="13"/>
        <v>OK</v>
      </c>
      <c r="X106" s="3" t="s">
        <v>475</v>
      </c>
      <c r="Y106" s="3" t="s">
        <v>29</v>
      </c>
      <c r="Z106" s="3" t="s">
        <v>476</v>
      </c>
    </row>
    <row r="107" spans="1:26" x14ac:dyDescent="0.2">
      <c r="A107" s="3" t="str">
        <f t="shared" si="7"/>
        <v>TRIP-T-138</v>
      </c>
      <c r="B107" s="2">
        <v>45769</v>
      </c>
      <c r="C107" s="3" t="str">
        <f>_xlfn.XLOOKUP(D107,'[1]Jan Customer Duplicate Hyva'!$B:$B,'[1]Jan Customer Duplicate Hyva'!$A:$A,"NOT FOUND")</f>
        <v>CUST-265</v>
      </c>
      <c r="D107" s="26" t="s">
        <v>188</v>
      </c>
      <c r="E107" s="3"/>
      <c r="F107" s="3"/>
      <c r="G107" s="3"/>
      <c r="H107" s="3"/>
      <c r="I107" s="3"/>
      <c r="J107" s="3"/>
      <c r="K107" s="3"/>
      <c r="L107" s="26" t="s">
        <v>45</v>
      </c>
      <c r="M107" s="27">
        <v>5</v>
      </c>
      <c r="N107" s="13">
        <v>6000</v>
      </c>
      <c r="O107" s="13">
        <f t="shared" si="8"/>
        <v>30000</v>
      </c>
      <c r="P107" s="13">
        <v>30000</v>
      </c>
      <c r="Q107" s="13">
        <f t="shared" si="9"/>
        <v>0</v>
      </c>
      <c r="R107" s="3"/>
      <c r="S107" s="3"/>
      <c r="T107" s="3">
        <f t="shared" si="10"/>
        <v>30000</v>
      </c>
      <c r="U107" s="3" t="str">
        <f t="shared" si="11"/>
        <v>OK</v>
      </c>
      <c r="V107" s="21">
        <f t="shared" si="12"/>
        <v>0</v>
      </c>
      <c r="W107" s="3" t="str">
        <f t="shared" si="13"/>
        <v>OK</v>
      </c>
      <c r="X107" s="3" t="s">
        <v>475</v>
      </c>
      <c r="Y107" s="3" t="s">
        <v>29</v>
      </c>
      <c r="Z107" s="3" t="s">
        <v>476</v>
      </c>
    </row>
    <row r="108" spans="1:26" x14ac:dyDescent="0.2">
      <c r="A108" s="3" t="str">
        <f t="shared" si="7"/>
        <v>TRIP-T-139</v>
      </c>
      <c r="B108" s="2">
        <v>45769</v>
      </c>
      <c r="C108" s="3" t="str">
        <f>_xlfn.XLOOKUP(D108,'[1]Jan Customer Duplicate Hyva'!$B:$B,'[1]Jan Customer Duplicate Hyva'!$A:$A,"NOT FOUND")</f>
        <v>NOT FOUND</v>
      </c>
      <c r="D108" s="26" t="s">
        <v>568</v>
      </c>
      <c r="E108" s="3"/>
      <c r="F108" s="3"/>
      <c r="G108" s="3"/>
      <c r="H108" s="3"/>
      <c r="I108" s="3"/>
      <c r="J108" s="3"/>
      <c r="K108" s="3"/>
      <c r="L108" s="26" t="s">
        <v>172</v>
      </c>
      <c r="M108" s="27">
        <v>1</v>
      </c>
      <c r="N108" s="13">
        <v>4000</v>
      </c>
      <c r="O108" s="13">
        <f t="shared" si="8"/>
        <v>4000</v>
      </c>
      <c r="P108" s="13">
        <v>4000</v>
      </c>
      <c r="Q108" s="13">
        <f t="shared" si="9"/>
        <v>0</v>
      </c>
      <c r="R108" s="3"/>
      <c r="S108" s="3"/>
      <c r="T108" s="3">
        <f t="shared" si="10"/>
        <v>4000</v>
      </c>
      <c r="U108" s="3" t="str">
        <f t="shared" si="11"/>
        <v>OK</v>
      </c>
      <c r="V108" s="21">
        <f t="shared" si="12"/>
        <v>0</v>
      </c>
      <c r="W108" s="3" t="str">
        <f t="shared" si="13"/>
        <v>OK</v>
      </c>
      <c r="X108" s="3" t="s">
        <v>475</v>
      </c>
      <c r="Y108" s="3" t="s">
        <v>29</v>
      </c>
      <c r="Z108" s="3" t="s">
        <v>476</v>
      </c>
    </row>
    <row r="109" spans="1:26" x14ac:dyDescent="0.2">
      <c r="A109" s="3" t="str">
        <f t="shared" si="7"/>
        <v>TRIP-T-140</v>
      </c>
      <c r="B109" s="2">
        <v>45770</v>
      </c>
      <c r="C109" s="3" t="str">
        <f>_xlfn.XLOOKUP(D109,'[1]Jan Customer Duplicate Hyva'!$B:$B,'[1]Jan Customer Duplicate Hyva'!$A:$A,"NOT FOUND")</f>
        <v>CUST-007</v>
      </c>
      <c r="D109" s="26" t="s">
        <v>569</v>
      </c>
      <c r="E109" s="3"/>
      <c r="F109" s="3"/>
      <c r="G109" s="3"/>
      <c r="H109" s="3"/>
      <c r="I109" s="3"/>
      <c r="J109" s="3"/>
      <c r="K109" s="3"/>
      <c r="L109" s="26" t="s">
        <v>61</v>
      </c>
      <c r="M109" s="27">
        <v>1</v>
      </c>
      <c r="N109" s="13">
        <v>5500</v>
      </c>
      <c r="O109" s="13">
        <f t="shared" si="8"/>
        <v>5500</v>
      </c>
      <c r="P109" s="13">
        <v>5500</v>
      </c>
      <c r="Q109" s="13">
        <f t="shared" si="9"/>
        <v>0</v>
      </c>
      <c r="R109" s="3"/>
      <c r="S109" s="3"/>
      <c r="T109" s="3">
        <f t="shared" si="10"/>
        <v>5500</v>
      </c>
      <c r="U109" s="3" t="str">
        <f t="shared" si="11"/>
        <v>OK</v>
      </c>
      <c r="V109" s="21">
        <f t="shared" si="12"/>
        <v>0</v>
      </c>
      <c r="W109" s="3" t="str">
        <f t="shared" si="13"/>
        <v>OK</v>
      </c>
      <c r="X109" s="3" t="s">
        <v>475</v>
      </c>
      <c r="Y109" s="3" t="s">
        <v>29</v>
      </c>
      <c r="Z109" s="3" t="s">
        <v>476</v>
      </c>
    </row>
    <row r="110" spans="1:26" x14ac:dyDescent="0.2">
      <c r="A110" s="3" t="str">
        <f t="shared" si="7"/>
        <v>TRIP-T-141</v>
      </c>
      <c r="B110" s="2">
        <v>45771</v>
      </c>
      <c r="C110" s="3" t="str">
        <f>_xlfn.XLOOKUP(D110,'[1]Jan Customer Duplicate Hyva'!$B:$B,'[1]Jan Customer Duplicate Hyva'!$A:$A,"NOT FOUND")</f>
        <v>CUST-021</v>
      </c>
      <c r="D110" s="26" t="s">
        <v>570</v>
      </c>
      <c r="E110" s="3"/>
      <c r="F110" s="3"/>
      <c r="G110" s="3"/>
      <c r="H110" s="3"/>
      <c r="I110" s="3"/>
      <c r="J110" s="3"/>
      <c r="K110" s="3"/>
      <c r="L110" s="26" t="s">
        <v>498</v>
      </c>
      <c r="M110" s="27">
        <v>1</v>
      </c>
      <c r="N110" s="13">
        <v>0</v>
      </c>
      <c r="O110" s="13">
        <f t="shared" si="8"/>
        <v>0</v>
      </c>
      <c r="P110" s="13"/>
      <c r="Q110" s="13">
        <f t="shared" si="9"/>
        <v>0</v>
      </c>
      <c r="R110" s="3"/>
      <c r="S110" s="3"/>
      <c r="T110" s="3">
        <f t="shared" si="10"/>
        <v>0</v>
      </c>
      <c r="U110" s="3" t="str">
        <f t="shared" si="11"/>
        <v>OK</v>
      </c>
      <c r="V110" s="21">
        <f t="shared" si="12"/>
        <v>0</v>
      </c>
      <c r="W110" s="3" t="str">
        <f t="shared" si="13"/>
        <v>OK</v>
      </c>
      <c r="X110" s="3" t="s">
        <v>475</v>
      </c>
      <c r="Y110" s="3" t="s">
        <v>29</v>
      </c>
      <c r="Z110" s="3" t="s">
        <v>476</v>
      </c>
    </row>
    <row r="111" spans="1:26" x14ac:dyDescent="0.2">
      <c r="A111" s="3" t="str">
        <f t="shared" si="7"/>
        <v>TRIP-T-142</v>
      </c>
      <c r="B111" s="2">
        <v>45774</v>
      </c>
      <c r="C111" s="3" t="str">
        <f>_xlfn.XLOOKUP(D111,'[1]Jan Customer Duplicate Hyva'!$B:$B,'[1]Jan Customer Duplicate Hyva'!$A:$A,"NOT FOUND")</f>
        <v>CUST-088</v>
      </c>
      <c r="D111" s="11" t="s">
        <v>482</v>
      </c>
      <c r="E111" s="3"/>
      <c r="F111" s="3"/>
      <c r="G111" s="3"/>
      <c r="H111" s="3"/>
      <c r="I111" s="3"/>
      <c r="J111" s="3"/>
      <c r="K111" s="3"/>
      <c r="L111" s="26" t="s">
        <v>571</v>
      </c>
      <c r="M111" s="27">
        <v>2</v>
      </c>
      <c r="N111" s="13">
        <v>1000</v>
      </c>
      <c r="O111" s="13">
        <f t="shared" si="8"/>
        <v>2000</v>
      </c>
      <c r="P111" s="13">
        <v>2000</v>
      </c>
      <c r="Q111" s="13">
        <f t="shared" si="9"/>
        <v>0</v>
      </c>
      <c r="R111" s="3"/>
      <c r="S111" s="3"/>
      <c r="T111" s="3">
        <f t="shared" si="10"/>
        <v>2000</v>
      </c>
      <c r="U111" s="3" t="str">
        <f t="shared" si="11"/>
        <v>OK</v>
      </c>
      <c r="V111" s="21">
        <f t="shared" si="12"/>
        <v>0</v>
      </c>
      <c r="W111" s="3" t="str">
        <f t="shared" si="13"/>
        <v>OK</v>
      </c>
      <c r="X111" s="3" t="s">
        <v>475</v>
      </c>
      <c r="Y111" s="3" t="s">
        <v>29</v>
      </c>
      <c r="Z111" s="3" t="s">
        <v>476</v>
      </c>
    </row>
    <row r="112" spans="1:26" x14ac:dyDescent="0.2">
      <c r="A112" s="3" t="str">
        <f t="shared" si="7"/>
        <v>TRIP-T-143</v>
      </c>
      <c r="B112" s="2">
        <v>45775</v>
      </c>
      <c r="C112" s="3" t="str">
        <f>_xlfn.XLOOKUP(D112,'[1]Jan Customer Duplicate Hyva'!$B:$B,'[1]Jan Customer Duplicate Hyva'!$A:$A,"NOT FOUND")</f>
        <v>CUST-246</v>
      </c>
      <c r="D112" s="26" t="s">
        <v>572</v>
      </c>
      <c r="E112" s="3"/>
      <c r="F112" s="3"/>
      <c r="G112" s="3"/>
      <c r="H112" s="3"/>
      <c r="I112" s="3"/>
      <c r="J112" s="3"/>
      <c r="K112" s="3"/>
      <c r="L112" s="26" t="s">
        <v>172</v>
      </c>
      <c r="M112" s="27">
        <v>1</v>
      </c>
      <c r="N112" s="13">
        <v>4000</v>
      </c>
      <c r="O112" s="13">
        <f t="shared" si="8"/>
        <v>4000</v>
      </c>
      <c r="P112" s="13">
        <v>4000</v>
      </c>
      <c r="Q112" s="13">
        <f t="shared" si="9"/>
        <v>0</v>
      </c>
      <c r="R112" s="3"/>
      <c r="S112" s="3"/>
      <c r="T112" s="3">
        <f t="shared" si="10"/>
        <v>4000</v>
      </c>
      <c r="U112" s="3" t="str">
        <f t="shared" si="11"/>
        <v>OK</v>
      </c>
      <c r="V112" s="21">
        <f t="shared" si="12"/>
        <v>0</v>
      </c>
      <c r="W112" s="3" t="str">
        <f t="shared" si="13"/>
        <v>OK</v>
      </c>
      <c r="X112" s="3" t="s">
        <v>475</v>
      </c>
      <c r="Y112" s="3" t="s">
        <v>29</v>
      </c>
      <c r="Z112" s="3" t="s">
        <v>476</v>
      </c>
    </row>
    <row r="113" spans="1:26" x14ac:dyDescent="0.2">
      <c r="A113" s="3" t="str">
        <f t="shared" si="7"/>
        <v>TRIP-T-144</v>
      </c>
      <c r="B113" s="2">
        <v>45775</v>
      </c>
      <c r="C113" s="3" t="str">
        <f>_xlfn.XLOOKUP(D113,'[1]Jan Customer Duplicate Hyva'!$B:$B,'[1]Jan Customer Duplicate Hyva'!$A:$A,"NOT FOUND")</f>
        <v>NOT FOUND</v>
      </c>
      <c r="D113" s="26" t="s">
        <v>573</v>
      </c>
      <c r="E113" s="3"/>
      <c r="F113" s="3"/>
      <c r="G113" s="3"/>
      <c r="H113" s="3"/>
      <c r="I113" s="3"/>
      <c r="J113" s="3"/>
      <c r="K113" s="3"/>
      <c r="L113" s="26" t="s">
        <v>36</v>
      </c>
      <c r="M113" s="27">
        <v>1</v>
      </c>
      <c r="N113" s="13">
        <v>5000</v>
      </c>
      <c r="O113" s="13">
        <f t="shared" si="8"/>
        <v>5000</v>
      </c>
      <c r="P113" s="13">
        <v>5000</v>
      </c>
      <c r="Q113" s="13">
        <f t="shared" si="9"/>
        <v>0</v>
      </c>
      <c r="R113" s="3"/>
      <c r="S113" s="3"/>
      <c r="T113" s="3">
        <f t="shared" si="10"/>
        <v>5000</v>
      </c>
      <c r="U113" s="3" t="str">
        <f t="shared" si="11"/>
        <v>OK</v>
      </c>
      <c r="V113" s="21">
        <f t="shared" si="12"/>
        <v>0</v>
      </c>
      <c r="W113" s="3" t="str">
        <f t="shared" si="13"/>
        <v>OK</v>
      </c>
      <c r="X113" s="3" t="s">
        <v>475</v>
      </c>
      <c r="Y113" s="3" t="s">
        <v>29</v>
      </c>
      <c r="Z113" s="3" t="s">
        <v>476</v>
      </c>
    </row>
    <row r="114" spans="1:26" x14ac:dyDescent="0.2">
      <c r="A114" s="3" t="str">
        <f t="shared" si="7"/>
        <v>TRIP-T-145</v>
      </c>
      <c r="B114" s="2">
        <v>45775</v>
      </c>
      <c r="C114" s="3" t="str">
        <f>_xlfn.XLOOKUP(D114,'[1]Jan Customer Duplicate Hyva'!$B:$B,'[1]Jan Customer Duplicate Hyva'!$A:$A,"NOT FOUND")</f>
        <v>CUST-088</v>
      </c>
      <c r="D114" s="11" t="s">
        <v>482</v>
      </c>
      <c r="E114" s="3"/>
      <c r="F114" s="3"/>
      <c r="G114" s="3"/>
      <c r="H114" s="3"/>
      <c r="I114" s="3"/>
      <c r="J114" s="3"/>
      <c r="K114" s="3"/>
      <c r="L114" s="26" t="s">
        <v>120</v>
      </c>
      <c r="M114" s="27">
        <v>2</v>
      </c>
      <c r="N114" s="13">
        <v>4500</v>
      </c>
      <c r="O114" s="13">
        <f t="shared" si="8"/>
        <v>9000</v>
      </c>
      <c r="P114" s="13">
        <v>9000</v>
      </c>
      <c r="Q114" s="13">
        <f t="shared" si="9"/>
        <v>0</v>
      </c>
      <c r="R114" s="3"/>
      <c r="S114" s="3"/>
      <c r="T114" s="3">
        <f t="shared" si="10"/>
        <v>9000</v>
      </c>
      <c r="U114" s="3" t="str">
        <f t="shared" si="11"/>
        <v>OK</v>
      </c>
      <c r="V114" s="21">
        <f t="shared" si="12"/>
        <v>0</v>
      </c>
      <c r="W114" s="3" t="str">
        <f t="shared" si="13"/>
        <v>OK</v>
      </c>
      <c r="X114" s="3" t="s">
        <v>475</v>
      </c>
      <c r="Y114" s="3" t="s">
        <v>29</v>
      </c>
      <c r="Z114" s="3" t="s">
        <v>476</v>
      </c>
    </row>
    <row r="115" spans="1:26" x14ac:dyDescent="0.2">
      <c r="A115" s="3" t="str">
        <f t="shared" si="7"/>
        <v>TRIP-T-146</v>
      </c>
      <c r="B115" s="2">
        <v>45775</v>
      </c>
      <c r="C115" s="3" t="str">
        <f>_xlfn.XLOOKUP(D115,'[1]Jan Customer Duplicate Hyva'!$B:$B,'[1]Jan Customer Duplicate Hyva'!$A:$A,"NOT FOUND")</f>
        <v>NOT FOUND</v>
      </c>
      <c r="D115" s="26" t="s">
        <v>574</v>
      </c>
      <c r="E115" s="3"/>
      <c r="F115" s="3"/>
      <c r="G115" s="3"/>
      <c r="H115" s="3"/>
      <c r="I115" s="3"/>
      <c r="J115" s="3"/>
      <c r="K115" s="3"/>
      <c r="L115" s="26" t="s">
        <v>575</v>
      </c>
      <c r="M115" s="27">
        <v>1</v>
      </c>
      <c r="N115" s="13">
        <v>1000</v>
      </c>
      <c r="O115" s="13">
        <f t="shared" si="8"/>
        <v>1000</v>
      </c>
      <c r="P115" s="13">
        <v>1000</v>
      </c>
      <c r="Q115" s="13">
        <f t="shared" si="9"/>
        <v>0</v>
      </c>
      <c r="R115" s="3"/>
      <c r="S115" s="3"/>
      <c r="T115" s="3">
        <f t="shared" si="10"/>
        <v>1000</v>
      </c>
      <c r="U115" s="3" t="str">
        <f t="shared" si="11"/>
        <v>OK</v>
      </c>
      <c r="V115" s="21">
        <f t="shared" si="12"/>
        <v>0</v>
      </c>
      <c r="W115" s="3" t="str">
        <f t="shared" si="13"/>
        <v>OK</v>
      </c>
      <c r="X115" s="3" t="s">
        <v>475</v>
      </c>
      <c r="Y115" s="3" t="s">
        <v>29</v>
      </c>
      <c r="Z115" s="3" t="s">
        <v>476</v>
      </c>
    </row>
    <row r="116" spans="1:26" x14ac:dyDescent="0.2">
      <c r="A116" s="3" t="str">
        <f t="shared" si="7"/>
        <v>TRIP-T-147</v>
      </c>
      <c r="B116" s="2">
        <v>45775</v>
      </c>
      <c r="C116" s="3" t="str">
        <f>_xlfn.XLOOKUP(D116,'[1]Jan Customer Duplicate Hyva'!$B:$B,'[1]Jan Customer Duplicate Hyva'!$A:$A,"NOT FOUND")</f>
        <v>CUST-385</v>
      </c>
      <c r="D116" s="26" t="s">
        <v>562</v>
      </c>
      <c r="E116" s="3"/>
      <c r="F116" s="3"/>
      <c r="G116" s="3"/>
      <c r="H116" s="3"/>
      <c r="I116" s="3"/>
      <c r="J116" s="3"/>
      <c r="K116" s="3"/>
      <c r="L116" s="26" t="s">
        <v>126</v>
      </c>
      <c r="M116" s="27">
        <v>1</v>
      </c>
      <c r="N116" s="13">
        <v>5000</v>
      </c>
      <c r="O116" s="13">
        <f t="shared" si="8"/>
        <v>5000</v>
      </c>
      <c r="P116" s="13">
        <v>5000</v>
      </c>
      <c r="Q116" s="13">
        <f t="shared" si="9"/>
        <v>0</v>
      </c>
      <c r="R116" s="3"/>
      <c r="S116" s="3"/>
      <c r="T116" s="3">
        <f t="shared" si="10"/>
        <v>5000</v>
      </c>
      <c r="U116" s="3" t="str">
        <f t="shared" si="11"/>
        <v>OK</v>
      </c>
      <c r="V116" s="21">
        <f t="shared" si="12"/>
        <v>0</v>
      </c>
      <c r="W116" s="3" t="str">
        <f t="shared" si="13"/>
        <v>OK</v>
      </c>
      <c r="X116" s="3" t="s">
        <v>475</v>
      </c>
      <c r="Y116" s="3" t="s">
        <v>29</v>
      </c>
      <c r="Z116" s="3" t="s">
        <v>476</v>
      </c>
    </row>
    <row r="117" spans="1:26" x14ac:dyDescent="0.2">
      <c r="A117" s="3" t="str">
        <f t="shared" si="7"/>
        <v>TRIP-T-148</v>
      </c>
      <c r="B117" s="2">
        <v>45776</v>
      </c>
      <c r="C117" s="3" t="str">
        <f>_xlfn.XLOOKUP(D117,'[1]Jan Customer Duplicate Hyva'!$B:$B,'[1]Jan Customer Duplicate Hyva'!$A:$A,"NOT FOUND")</f>
        <v>CUST-390</v>
      </c>
      <c r="D117" s="25" t="s">
        <v>496</v>
      </c>
      <c r="E117" s="3"/>
      <c r="F117" s="3"/>
      <c r="G117" s="3"/>
      <c r="H117" s="3"/>
      <c r="I117" s="3"/>
      <c r="J117" s="3"/>
      <c r="K117" s="3"/>
      <c r="L117" s="26" t="s">
        <v>33</v>
      </c>
      <c r="M117" s="27">
        <v>1</v>
      </c>
      <c r="N117" s="13">
        <v>4000</v>
      </c>
      <c r="O117" s="13">
        <f t="shared" si="8"/>
        <v>4000</v>
      </c>
      <c r="P117" s="13">
        <v>4000</v>
      </c>
      <c r="Q117" s="13">
        <f t="shared" si="9"/>
        <v>0</v>
      </c>
      <c r="R117" s="3"/>
      <c r="S117" s="3"/>
      <c r="T117" s="3">
        <f t="shared" si="10"/>
        <v>4000</v>
      </c>
      <c r="U117" s="3" t="str">
        <f t="shared" si="11"/>
        <v>OK</v>
      </c>
      <c r="V117" s="21">
        <f t="shared" si="12"/>
        <v>0</v>
      </c>
      <c r="W117" s="3" t="str">
        <f t="shared" si="13"/>
        <v>OK</v>
      </c>
      <c r="X117" s="3" t="s">
        <v>475</v>
      </c>
      <c r="Y117" s="3" t="s">
        <v>29</v>
      </c>
      <c r="Z117" s="3" t="s">
        <v>476</v>
      </c>
    </row>
    <row r="118" spans="1:26" x14ac:dyDescent="0.2">
      <c r="A118" s="3" t="str">
        <f t="shared" si="7"/>
        <v>TRIP-T-149</v>
      </c>
      <c r="B118" s="2">
        <v>45777</v>
      </c>
      <c r="C118" s="3" t="str">
        <f>_xlfn.XLOOKUP(D118,'[1]Jan Customer Duplicate Hyva'!$B:$B,'[1]Jan Customer Duplicate Hyva'!$A:$A,"NOT FOUND")</f>
        <v>CUST-140</v>
      </c>
      <c r="D118" s="26" t="s">
        <v>576</v>
      </c>
      <c r="E118" s="3"/>
      <c r="F118" s="3"/>
      <c r="G118" s="3"/>
      <c r="H118" s="3"/>
      <c r="I118" s="3"/>
      <c r="J118" s="3"/>
      <c r="K118" s="3"/>
      <c r="L118" s="26" t="s">
        <v>63</v>
      </c>
      <c r="M118" s="27">
        <v>3</v>
      </c>
      <c r="N118" s="13">
        <v>5500</v>
      </c>
      <c r="O118" s="13">
        <f t="shared" si="8"/>
        <v>16500</v>
      </c>
      <c r="P118" s="13">
        <v>16500</v>
      </c>
      <c r="Q118" s="13">
        <f t="shared" si="9"/>
        <v>0</v>
      </c>
      <c r="R118" s="3"/>
      <c r="S118" s="3"/>
      <c r="T118" s="3">
        <f t="shared" si="10"/>
        <v>16500</v>
      </c>
      <c r="U118" s="3" t="str">
        <f t="shared" si="11"/>
        <v>OK</v>
      </c>
      <c r="V118" s="21">
        <f t="shared" si="12"/>
        <v>0</v>
      </c>
      <c r="W118" s="3" t="str">
        <f t="shared" si="13"/>
        <v>OK</v>
      </c>
      <c r="X118" s="3" t="s">
        <v>475</v>
      </c>
      <c r="Y118" s="3" t="s">
        <v>29</v>
      </c>
      <c r="Z118" s="3" t="s">
        <v>476</v>
      </c>
    </row>
    <row r="119" spans="1:26" x14ac:dyDescent="0.2">
      <c r="A119" s="3" t="str">
        <f t="shared" si="7"/>
        <v>TRIP-T-150</v>
      </c>
      <c r="B119" s="2">
        <v>45778</v>
      </c>
      <c r="C119" s="3" t="str">
        <f>_xlfn.XLOOKUP(D119,'[1]Jan Customer Duplicate Hyva'!$B:$B,'[1]Jan Customer Duplicate Hyva'!$A:$A,"NOT FOUND")</f>
        <v>CUST-177</v>
      </c>
      <c r="D119" s="26" t="s">
        <v>577</v>
      </c>
      <c r="E119" s="3"/>
      <c r="F119" s="3"/>
      <c r="G119" s="3"/>
      <c r="H119" s="3"/>
      <c r="I119" s="3"/>
      <c r="J119" s="3"/>
      <c r="K119" s="3"/>
      <c r="L119" s="26" t="s">
        <v>120</v>
      </c>
      <c r="M119" s="27">
        <v>4</v>
      </c>
      <c r="N119" s="13">
        <v>5000</v>
      </c>
      <c r="O119" s="13">
        <f t="shared" si="8"/>
        <v>20000</v>
      </c>
      <c r="P119" s="13">
        <v>20000</v>
      </c>
      <c r="Q119" s="13">
        <f t="shared" si="9"/>
        <v>0</v>
      </c>
      <c r="R119" s="3"/>
      <c r="S119" s="3"/>
      <c r="T119" s="3">
        <f t="shared" si="10"/>
        <v>20000</v>
      </c>
      <c r="U119" s="3" t="str">
        <f t="shared" si="11"/>
        <v>OK</v>
      </c>
      <c r="V119" s="21">
        <f t="shared" si="12"/>
        <v>0</v>
      </c>
      <c r="W119" s="3" t="str">
        <f t="shared" si="13"/>
        <v>OK</v>
      </c>
      <c r="X119" s="3" t="s">
        <v>475</v>
      </c>
      <c r="Y119" s="3" t="s">
        <v>29</v>
      </c>
      <c r="Z119" s="3" t="s">
        <v>476</v>
      </c>
    </row>
    <row r="120" spans="1:26" x14ac:dyDescent="0.2">
      <c r="A120" s="3" t="str">
        <f t="shared" si="7"/>
        <v>TRIP-T-151</v>
      </c>
      <c r="B120" s="2">
        <v>45779</v>
      </c>
      <c r="C120" s="3" t="str">
        <f>_xlfn.XLOOKUP(D120,'[1]Jan Customer Duplicate Hyva'!$B:$B,'[1]Jan Customer Duplicate Hyva'!$A:$A,"NOT FOUND")</f>
        <v>CUST-272</v>
      </c>
      <c r="D120" s="26" t="s">
        <v>578</v>
      </c>
      <c r="E120" s="3"/>
      <c r="F120" s="3"/>
      <c r="G120" s="3"/>
      <c r="H120" s="3"/>
      <c r="I120" s="3"/>
      <c r="J120" s="3"/>
      <c r="K120" s="3"/>
      <c r="L120" s="26" t="s">
        <v>377</v>
      </c>
      <c r="M120" s="27">
        <v>1</v>
      </c>
      <c r="N120" s="13">
        <v>4750</v>
      </c>
      <c r="O120" s="13">
        <f t="shared" si="8"/>
        <v>4750</v>
      </c>
      <c r="P120" s="13">
        <v>4750</v>
      </c>
      <c r="Q120" s="13">
        <f t="shared" si="9"/>
        <v>0</v>
      </c>
      <c r="R120" s="3"/>
      <c r="S120" s="3"/>
      <c r="T120" s="3">
        <f t="shared" si="10"/>
        <v>4750</v>
      </c>
      <c r="U120" s="3" t="str">
        <f t="shared" si="11"/>
        <v>OK</v>
      </c>
      <c r="V120" s="21">
        <f t="shared" si="12"/>
        <v>0</v>
      </c>
      <c r="W120" s="3" t="str">
        <f t="shared" si="13"/>
        <v>OK</v>
      </c>
      <c r="X120" s="3" t="s">
        <v>475</v>
      </c>
      <c r="Y120" s="3" t="s">
        <v>29</v>
      </c>
      <c r="Z120" s="3" t="s">
        <v>476</v>
      </c>
    </row>
    <row r="121" spans="1:26" x14ac:dyDescent="0.2">
      <c r="A121" s="3" t="str">
        <f t="shared" si="7"/>
        <v>TRIP-T-152</v>
      </c>
      <c r="B121" s="28">
        <v>45780</v>
      </c>
      <c r="C121" s="3" t="str">
        <f>_xlfn.XLOOKUP(D121,'[1]Jan Customer Duplicate Hyva'!$B:$B,'[1]Jan Customer Duplicate Hyva'!$A:$A,"NOT FOUND")</f>
        <v>CUST-017</v>
      </c>
      <c r="D121" s="26" t="s">
        <v>151</v>
      </c>
      <c r="E121" s="3"/>
      <c r="F121" s="3"/>
      <c r="G121" s="3"/>
      <c r="H121" s="3"/>
      <c r="I121" s="3"/>
      <c r="J121" s="3"/>
      <c r="K121" s="3"/>
      <c r="L121" s="11" t="s">
        <v>152</v>
      </c>
      <c r="M121" s="12">
        <v>2</v>
      </c>
      <c r="N121" s="13">
        <v>4750</v>
      </c>
      <c r="O121" s="13">
        <f t="shared" si="8"/>
        <v>9500</v>
      </c>
      <c r="P121" s="13">
        <v>9500</v>
      </c>
      <c r="Q121" s="13">
        <f t="shared" si="9"/>
        <v>0</v>
      </c>
      <c r="R121" s="3"/>
      <c r="S121" s="3"/>
      <c r="T121" s="3">
        <f t="shared" si="10"/>
        <v>9500</v>
      </c>
      <c r="U121" s="3" t="str">
        <f t="shared" si="11"/>
        <v>OK</v>
      </c>
      <c r="V121" s="21">
        <f t="shared" si="12"/>
        <v>0</v>
      </c>
      <c r="W121" s="3" t="str">
        <f t="shared" si="13"/>
        <v>OK</v>
      </c>
      <c r="X121" s="3" t="s">
        <v>475</v>
      </c>
      <c r="Y121" s="3" t="s">
        <v>29</v>
      </c>
      <c r="Z121" s="3" t="s">
        <v>476</v>
      </c>
    </row>
    <row r="122" spans="1:26" x14ac:dyDescent="0.2">
      <c r="A122" s="3" t="str">
        <f t="shared" si="7"/>
        <v>TRIP-T-153</v>
      </c>
      <c r="B122" s="28">
        <v>45780</v>
      </c>
      <c r="C122" s="3" t="str">
        <f>_xlfn.XLOOKUP(D122,'[1]Jan Customer Duplicate Hyva'!$B:$B,'[1]Jan Customer Duplicate Hyva'!$A:$A,"NOT FOUND")</f>
        <v>CUST-021</v>
      </c>
      <c r="D122" s="26" t="s">
        <v>570</v>
      </c>
      <c r="E122" s="3"/>
      <c r="F122" s="3"/>
      <c r="G122" s="3"/>
      <c r="H122" s="3"/>
      <c r="I122" s="3"/>
      <c r="J122" s="3"/>
      <c r="K122" s="3"/>
      <c r="L122" s="26" t="s">
        <v>498</v>
      </c>
      <c r="M122" s="27">
        <v>1</v>
      </c>
      <c r="N122" s="13">
        <v>0</v>
      </c>
      <c r="O122" s="13">
        <f t="shared" si="8"/>
        <v>0</v>
      </c>
      <c r="P122" s="13">
        <v>0</v>
      </c>
      <c r="Q122" s="13">
        <f t="shared" si="9"/>
        <v>0</v>
      </c>
      <c r="R122" s="3"/>
      <c r="S122" s="3"/>
      <c r="T122" s="3">
        <f t="shared" si="10"/>
        <v>0</v>
      </c>
      <c r="U122" s="3" t="str">
        <f t="shared" si="11"/>
        <v>OK</v>
      </c>
      <c r="V122" s="21">
        <f t="shared" si="12"/>
        <v>0</v>
      </c>
      <c r="W122" s="3" t="str">
        <f t="shared" si="13"/>
        <v>OK</v>
      </c>
      <c r="X122" s="3" t="s">
        <v>475</v>
      </c>
      <c r="Y122" s="3" t="s">
        <v>29</v>
      </c>
      <c r="Z122" s="3" t="s">
        <v>476</v>
      </c>
    </row>
    <row r="123" spans="1:26" x14ac:dyDescent="0.2">
      <c r="A123" s="3" t="str">
        <f t="shared" si="7"/>
        <v>TRIP-T-154</v>
      </c>
      <c r="B123" s="2">
        <v>45780</v>
      </c>
      <c r="C123" s="3" t="str">
        <f>_xlfn.XLOOKUP(D123,'[1]Jan Customer Duplicate Hyva'!$B:$B,'[1]Jan Customer Duplicate Hyva'!$A:$A,"NOT FOUND")</f>
        <v>CUST-152</v>
      </c>
      <c r="D123" s="26" t="s">
        <v>579</v>
      </c>
      <c r="E123" s="3"/>
      <c r="F123" s="3"/>
      <c r="G123" s="3"/>
      <c r="H123" s="3"/>
      <c r="I123" s="3"/>
      <c r="J123" s="3"/>
      <c r="K123" s="3"/>
      <c r="L123" s="26" t="s">
        <v>120</v>
      </c>
      <c r="M123" s="27">
        <v>2</v>
      </c>
      <c r="N123" s="13">
        <v>5000</v>
      </c>
      <c r="O123" s="13">
        <f t="shared" si="8"/>
        <v>10000</v>
      </c>
      <c r="P123" s="13">
        <v>10000</v>
      </c>
      <c r="Q123" s="13">
        <f t="shared" si="9"/>
        <v>0</v>
      </c>
      <c r="R123" s="3"/>
      <c r="S123" s="3"/>
      <c r="T123" s="3">
        <f t="shared" si="10"/>
        <v>10000</v>
      </c>
      <c r="U123" s="3" t="str">
        <f t="shared" si="11"/>
        <v>OK</v>
      </c>
      <c r="V123" s="21">
        <f t="shared" si="12"/>
        <v>0</v>
      </c>
      <c r="W123" s="3" t="str">
        <f t="shared" si="13"/>
        <v>OK</v>
      </c>
      <c r="X123" s="3" t="s">
        <v>475</v>
      </c>
      <c r="Y123" s="3" t="s">
        <v>29</v>
      </c>
      <c r="Z123" s="3" t="s">
        <v>476</v>
      </c>
    </row>
    <row r="124" spans="1:26" x14ac:dyDescent="0.2">
      <c r="A124" s="3" t="str">
        <f t="shared" si="7"/>
        <v>TRIP-T-155</v>
      </c>
      <c r="B124" s="2">
        <v>45781</v>
      </c>
      <c r="C124" s="3" t="str">
        <f>_xlfn.XLOOKUP(D124,'[1]Jan Customer Duplicate Hyva'!$B:$B,'[1]Jan Customer Duplicate Hyva'!$A:$A,"NOT FOUND")</f>
        <v>CUST-177</v>
      </c>
      <c r="D124" s="26" t="s">
        <v>577</v>
      </c>
      <c r="E124" s="3"/>
      <c r="F124" s="3"/>
      <c r="G124" s="3"/>
      <c r="H124" s="3"/>
      <c r="I124" s="3"/>
      <c r="J124" s="3"/>
      <c r="K124" s="3"/>
      <c r="L124" s="26" t="s">
        <v>120</v>
      </c>
      <c r="M124" s="27">
        <v>1</v>
      </c>
      <c r="N124" s="13">
        <v>5000</v>
      </c>
      <c r="O124" s="13">
        <f t="shared" si="8"/>
        <v>5000</v>
      </c>
      <c r="P124" s="13">
        <v>5000</v>
      </c>
      <c r="Q124" s="13">
        <f t="shared" si="9"/>
        <v>0</v>
      </c>
      <c r="R124" s="3"/>
      <c r="S124" s="3"/>
      <c r="T124" s="3">
        <f t="shared" si="10"/>
        <v>5000</v>
      </c>
      <c r="U124" s="3" t="str">
        <f t="shared" si="11"/>
        <v>OK</v>
      </c>
      <c r="V124" s="21">
        <f t="shared" si="12"/>
        <v>0</v>
      </c>
      <c r="W124" s="3" t="str">
        <f t="shared" si="13"/>
        <v>OK</v>
      </c>
      <c r="X124" s="3" t="s">
        <v>475</v>
      </c>
      <c r="Y124" s="3" t="s">
        <v>29</v>
      </c>
      <c r="Z124" s="3" t="s">
        <v>476</v>
      </c>
    </row>
    <row r="125" spans="1:26" x14ac:dyDescent="0.2">
      <c r="A125" s="3" t="str">
        <f t="shared" si="7"/>
        <v>TRIP-T-156</v>
      </c>
      <c r="B125" s="28">
        <v>45782</v>
      </c>
      <c r="C125" s="3" t="str">
        <f>_xlfn.XLOOKUP(D125,'[1]Jan Customer Duplicate Hyva'!$B:$B,'[1]Jan Customer Duplicate Hyva'!$A:$A,"NOT FOUND")</f>
        <v>NOT FOUND</v>
      </c>
      <c r="D125" s="26" t="s">
        <v>580</v>
      </c>
      <c r="E125" s="3"/>
      <c r="F125" s="3"/>
      <c r="G125" s="3"/>
      <c r="H125" s="3"/>
      <c r="I125" s="3"/>
      <c r="J125" s="3"/>
      <c r="K125" s="3"/>
      <c r="L125" s="26" t="s">
        <v>172</v>
      </c>
      <c r="M125" s="27">
        <v>2</v>
      </c>
      <c r="N125" s="13">
        <v>4000</v>
      </c>
      <c r="O125" s="13">
        <f t="shared" si="8"/>
        <v>8000</v>
      </c>
      <c r="P125" s="13">
        <v>8000</v>
      </c>
      <c r="Q125" s="13">
        <f t="shared" si="9"/>
        <v>0</v>
      </c>
      <c r="R125" s="3"/>
      <c r="S125" s="3"/>
      <c r="T125" s="3">
        <f t="shared" si="10"/>
        <v>8000</v>
      </c>
      <c r="U125" s="3" t="str">
        <f t="shared" si="11"/>
        <v>OK</v>
      </c>
      <c r="V125" s="21">
        <f t="shared" si="12"/>
        <v>0</v>
      </c>
      <c r="W125" s="3" t="str">
        <f t="shared" si="13"/>
        <v>OK</v>
      </c>
      <c r="X125" s="3" t="s">
        <v>475</v>
      </c>
      <c r="Y125" s="3" t="s">
        <v>29</v>
      </c>
      <c r="Z125" s="3" t="s">
        <v>476</v>
      </c>
    </row>
    <row r="126" spans="1:26" x14ac:dyDescent="0.2">
      <c r="A126" s="3" t="str">
        <f t="shared" si="7"/>
        <v>TRIP-T-157</v>
      </c>
      <c r="B126" s="2">
        <v>45782</v>
      </c>
      <c r="C126" s="3" t="str">
        <f>_xlfn.XLOOKUP(D126,'[1]Jan Customer Duplicate Hyva'!$B:$B,'[1]Jan Customer Duplicate Hyva'!$A:$A,"NOT FOUND")</f>
        <v>CUST-194</v>
      </c>
      <c r="D126" s="11" t="s">
        <v>399</v>
      </c>
      <c r="E126" s="3"/>
      <c r="F126" s="3"/>
      <c r="G126" s="3"/>
      <c r="H126" s="3"/>
      <c r="I126" s="3"/>
      <c r="J126" s="3"/>
      <c r="K126" s="3"/>
      <c r="L126" s="11" t="s">
        <v>581</v>
      </c>
      <c r="M126" s="12">
        <v>1</v>
      </c>
      <c r="N126" s="13">
        <v>5500</v>
      </c>
      <c r="O126" s="13">
        <f t="shared" si="8"/>
        <v>5500</v>
      </c>
      <c r="P126" s="13">
        <v>5500</v>
      </c>
      <c r="Q126" s="13">
        <f t="shared" si="9"/>
        <v>0</v>
      </c>
      <c r="R126" s="3"/>
      <c r="S126" s="3"/>
      <c r="T126" s="3">
        <f t="shared" si="10"/>
        <v>5500</v>
      </c>
      <c r="U126" s="3" t="str">
        <f t="shared" si="11"/>
        <v>OK</v>
      </c>
      <c r="V126" s="21">
        <f t="shared" si="12"/>
        <v>0</v>
      </c>
      <c r="W126" s="3" t="str">
        <f t="shared" si="13"/>
        <v>OK</v>
      </c>
      <c r="X126" s="3" t="s">
        <v>475</v>
      </c>
      <c r="Y126" s="3" t="s">
        <v>29</v>
      </c>
      <c r="Z126" s="3" t="s">
        <v>476</v>
      </c>
    </row>
    <row r="127" spans="1:26" x14ac:dyDescent="0.2">
      <c r="A127" s="3" t="str">
        <f t="shared" si="7"/>
        <v>TRIP-T-158</v>
      </c>
      <c r="B127" s="2">
        <v>45783</v>
      </c>
      <c r="C127" s="3" t="str">
        <f>_xlfn.XLOOKUP(D127,'[1]Jan Customer Duplicate Hyva'!$B:$B,'[1]Jan Customer Duplicate Hyva'!$A:$A,"NOT FOUND")</f>
        <v>CUST-206</v>
      </c>
      <c r="D127" s="26" t="s">
        <v>158</v>
      </c>
      <c r="E127" s="3"/>
      <c r="F127" s="3"/>
      <c r="G127" s="3"/>
      <c r="H127" s="3"/>
      <c r="I127" s="3"/>
      <c r="J127" s="3"/>
      <c r="K127" s="3"/>
      <c r="L127" s="26" t="s">
        <v>311</v>
      </c>
      <c r="M127" s="27">
        <v>1</v>
      </c>
      <c r="N127" s="13">
        <v>4750</v>
      </c>
      <c r="O127" s="13">
        <f t="shared" si="8"/>
        <v>4750</v>
      </c>
      <c r="P127" s="13">
        <v>4750</v>
      </c>
      <c r="Q127" s="13">
        <f t="shared" si="9"/>
        <v>0</v>
      </c>
      <c r="R127" s="3"/>
      <c r="S127" s="3"/>
      <c r="T127" s="3">
        <f t="shared" si="10"/>
        <v>4750</v>
      </c>
      <c r="U127" s="3" t="str">
        <f t="shared" si="11"/>
        <v>OK</v>
      </c>
      <c r="V127" s="21">
        <f t="shared" si="12"/>
        <v>0</v>
      </c>
      <c r="W127" s="3" t="str">
        <f t="shared" si="13"/>
        <v>OK</v>
      </c>
      <c r="X127" s="3" t="s">
        <v>475</v>
      </c>
      <c r="Y127" s="3" t="s">
        <v>29</v>
      </c>
      <c r="Z127" s="3" t="s">
        <v>476</v>
      </c>
    </row>
    <row r="128" spans="1:26" x14ac:dyDescent="0.2">
      <c r="A128" s="3" t="str">
        <f t="shared" si="7"/>
        <v>TRIP-T-159</v>
      </c>
      <c r="B128" s="28">
        <v>45784</v>
      </c>
      <c r="C128" s="3" t="str">
        <f>_xlfn.XLOOKUP(D128,'[1]Jan Customer Duplicate Hyva'!$B:$B,'[1]Jan Customer Duplicate Hyva'!$A:$A,"NOT FOUND")</f>
        <v>CUST-130</v>
      </c>
      <c r="D128" s="26" t="s">
        <v>582</v>
      </c>
      <c r="E128" s="3"/>
      <c r="F128" s="3"/>
      <c r="G128" s="3"/>
      <c r="H128" s="3"/>
      <c r="I128" s="3"/>
      <c r="J128" s="3"/>
      <c r="K128" s="3"/>
      <c r="L128" s="26" t="s">
        <v>172</v>
      </c>
      <c r="M128" s="27">
        <v>1</v>
      </c>
      <c r="N128" s="13">
        <v>4000</v>
      </c>
      <c r="O128" s="13">
        <f t="shared" si="8"/>
        <v>4000</v>
      </c>
      <c r="P128" s="13">
        <v>4000</v>
      </c>
      <c r="Q128" s="13">
        <f t="shared" si="9"/>
        <v>0</v>
      </c>
      <c r="R128" s="3"/>
      <c r="S128" s="3"/>
      <c r="T128" s="3">
        <f t="shared" si="10"/>
        <v>4000</v>
      </c>
      <c r="U128" s="3" t="str">
        <f t="shared" si="11"/>
        <v>OK</v>
      </c>
      <c r="V128" s="21">
        <f t="shared" si="12"/>
        <v>0</v>
      </c>
      <c r="W128" s="3" t="str">
        <f t="shared" si="13"/>
        <v>OK</v>
      </c>
      <c r="X128" s="3" t="s">
        <v>475</v>
      </c>
      <c r="Y128" s="3" t="s">
        <v>29</v>
      </c>
      <c r="Z128" s="3" t="s">
        <v>476</v>
      </c>
    </row>
    <row r="129" spans="1:26" x14ac:dyDescent="0.2">
      <c r="A129" s="3" t="str">
        <f t="shared" si="7"/>
        <v>TRIP-T-160</v>
      </c>
      <c r="B129" s="28">
        <v>45784</v>
      </c>
      <c r="C129" s="3" t="str">
        <f>_xlfn.XLOOKUP(D129,'[1]Jan Customer Duplicate Hyva'!$B:$B,'[1]Jan Customer Duplicate Hyva'!$A:$A,"NOT FOUND")</f>
        <v>CUST-206</v>
      </c>
      <c r="D129" s="26" t="s">
        <v>158</v>
      </c>
      <c r="E129" s="3"/>
      <c r="F129" s="3"/>
      <c r="G129" s="3"/>
      <c r="H129" s="3"/>
      <c r="I129" s="3"/>
      <c r="J129" s="3"/>
      <c r="K129" s="3"/>
      <c r="L129" s="26" t="s">
        <v>311</v>
      </c>
      <c r="M129" s="27">
        <v>3</v>
      </c>
      <c r="N129" s="13">
        <v>4750</v>
      </c>
      <c r="O129" s="13">
        <f t="shared" si="8"/>
        <v>14250</v>
      </c>
      <c r="P129" s="13">
        <v>14250</v>
      </c>
      <c r="Q129" s="13">
        <f t="shared" si="9"/>
        <v>0</v>
      </c>
      <c r="R129" s="3"/>
      <c r="S129" s="3"/>
      <c r="T129" s="3">
        <f t="shared" si="10"/>
        <v>14250</v>
      </c>
      <c r="U129" s="3" t="str">
        <f t="shared" si="11"/>
        <v>OK</v>
      </c>
      <c r="V129" s="21">
        <f t="shared" si="12"/>
        <v>0</v>
      </c>
      <c r="W129" s="3" t="str">
        <f t="shared" si="13"/>
        <v>OK</v>
      </c>
      <c r="X129" s="3" t="s">
        <v>475</v>
      </c>
      <c r="Y129" s="3" t="s">
        <v>29</v>
      </c>
      <c r="Z129" s="3" t="s">
        <v>476</v>
      </c>
    </row>
    <row r="130" spans="1:26" x14ac:dyDescent="0.2">
      <c r="A130" s="3" t="str">
        <f t="shared" ref="A130:A193" si="14">"TRIP-T-"&amp;TEXT(ROW()+31,"000")</f>
        <v>TRIP-T-161</v>
      </c>
      <c r="B130" s="2">
        <v>45784</v>
      </c>
      <c r="C130" s="3" t="str">
        <f>_xlfn.XLOOKUP(D130,'[1]Jan Customer Duplicate Hyva'!$B:$B,'[1]Jan Customer Duplicate Hyva'!$A:$A,"NOT FOUND")</f>
        <v>CUST-120</v>
      </c>
      <c r="D130" s="26" t="s">
        <v>122</v>
      </c>
      <c r="E130" s="3"/>
      <c r="F130" s="3"/>
      <c r="G130" s="3"/>
      <c r="H130" s="3"/>
      <c r="I130" s="3"/>
      <c r="J130" s="3"/>
      <c r="K130" s="3"/>
      <c r="L130" s="26" t="s">
        <v>142</v>
      </c>
      <c r="M130" s="27">
        <v>5</v>
      </c>
      <c r="N130" s="13">
        <v>4500</v>
      </c>
      <c r="O130" s="13">
        <f t="shared" ref="O130:O193" si="15">N130*M130</f>
        <v>22500</v>
      </c>
      <c r="P130" s="13">
        <v>22500</v>
      </c>
      <c r="Q130" s="13">
        <f t="shared" ref="Q130:Q193" si="16">O130-P130</f>
        <v>0</v>
      </c>
      <c r="R130" s="3"/>
      <c r="S130" s="3"/>
      <c r="T130" s="3">
        <f t="shared" ref="T130:T193" si="17">M130*N130</f>
        <v>22500</v>
      </c>
      <c r="U130" s="3" t="str">
        <f t="shared" ref="U130:U193" si="18">IF(ROUND(T130,2)=ROUND(O130,2),"OK","CHECK")</f>
        <v>OK</v>
      </c>
      <c r="V130" s="21">
        <f t="shared" ref="V130:V193" si="19">O130-P130</f>
        <v>0</v>
      </c>
      <c r="W130" s="3" t="str">
        <f t="shared" ref="W130:W193" si="20">IF(ROUND(V130,2)=ROUND(Q130,2),"OK","CHECK")</f>
        <v>OK</v>
      </c>
      <c r="X130" s="3" t="s">
        <v>475</v>
      </c>
      <c r="Y130" s="3" t="s">
        <v>29</v>
      </c>
      <c r="Z130" s="3" t="s">
        <v>476</v>
      </c>
    </row>
    <row r="131" spans="1:26" x14ac:dyDescent="0.2">
      <c r="A131" s="3" t="str">
        <f t="shared" si="14"/>
        <v>TRIP-T-162</v>
      </c>
      <c r="B131" s="28">
        <v>45785</v>
      </c>
      <c r="C131" s="3" t="str">
        <f>_xlfn.XLOOKUP(D131,'[1]Jan Customer Duplicate Hyva'!$B:$B,'[1]Jan Customer Duplicate Hyva'!$A:$A,"NOT FOUND")</f>
        <v>CUST-206</v>
      </c>
      <c r="D131" s="26" t="s">
        <v>158</v>
      </c>
      <c r="E131" s="3"/>
      <c r="F131" s="3"/>
      <c r="G131" s="3"/>
      <c r="H131" s="3"/>
      <c r="I131" s="3"/>
      <c r="J131" s="3"/>
      <c r="K131" s="3"/>
      <c r="L131" s="26" t="s">
        <v>311</v>
      </c>
      <c r="M131" s="27">
        <v>2</v>
      </c>
      <c r="N131" s="13">
        <v>4750</v>
      </c>
      <c r="O131" s="13">
        <f t="shared" si="15"/>
        <v>9500</v>
      </c>
      <c r="P131" s="13">
        <v>9500</v>
      </c>
      <c r="Q131" s="13">
        <f t="shared" si="16"/>
        <v>0</v>
      </c>
      <c r="R131" s="3"/>
      <c r="S131" s="3"/>
      <c r="T131" s="3">
        <f t="shared" si="17"/>
        <v>9500</v>
      </c>
      <c r="U131" s="3" t="str">
        <f t="shared" si="18"/>
        <v>OK</v>
      </c>
      <c r="V131" s="21">
        <f t="shared" si="19"/>
        <v>0</v>
      </c>
      <c r="W131" s="3" t="str">
        <f t="shared" si="20"/>
        <v>OK</v>
      </c>
      <c r="X131" s="3" t="s">
        <v>475</v>
      </c>
      <c r="Y131" s="3" t="s">
        <v>29</v>
      </c>
      <c r="Z131" s="3" t="s">
        <v>476</v>
      </c>
    </row>
    <row r="132" spans="1:26" x14ac:dyDescent="0.2">
      <c r="A132" s="3" t="str">
        <f t="shared" si="14"/>
        <v>TRIP-T-163</v>
      </c>
      <c r="B132" s="2">
        <v>45785</v>
      </c>
      <c r="C132" s="3" t="str">
        <f>_xlfn.XLOOKUP(D132,'[1]Jan Customer Duplicate Hyva'!$B:$B,'[1]Jan Customer Duplicate Hyva'!$A:$A,"NOT FOUND")</f>
        <v>CUST-120</v>
      </c>
      <c r="D132" s="26" t="s">
        <v>122</v>
      </c>
      <c r="E132" s="3"/>
      <c r="F132" s="3"/>
      <c r="G132" s="3"/>
      <c r="H132" s="3"/>
      <c r="I132" s="3"/>
      <c r="J132" s="3"/>
      <c r="K132" s="3"/>
      <c r="L132" s="26" t="s">
        <v>142</v>
      </c>
      <c r="M132" s="27">
        <v>1</v>
      </c>
      <c r="N132" s="13">
        <v>4500</v>
      </c>
      <c r="O132" s="13">
        <f t="shared" si="15"/>
        <v>4500</v>
      </c>
      <c r="P132" s="13">
        <v>4500</v>
      </c>
      <c r="Q132" s="13">
        <f t="shared" si="16"/>
        <v>0</v>
      </c>
      <c r="R132" s="3"/>
      <c r="S132" s="3"/>
      <c r="T132" s="3">
        <f t="shared" si="17"/>
        <v>4500</v>
      </c>
      <c r="U132" s="3" t="str">
        <f t="shared" si="18"/>
        <v>OK</v>
      </c>
      <c r="V132" s="21">
        <f t="shared" si="19"/>
        <v>0</v>
      </c>
      <c r="W132" s="3" t="str">
        <f t="shared" si="20"/>
        <v>OK</v>
      </c>
      <c r="X132" s="3" t="s">
        <v>475</v>
      </c>
      <c r="Y132" s="3" t="s">
        <v>29</v>
      </c>
      <c r="Z132" s="3" t="s">
        <v>476</v>
      </c>
    </row>
    <row r="133" spans="1:26" x14ac:dyDescent="0.2">
      <c r="A133" s="3" t="str">
        <f t="shared" si="14"/>
        <v>TRIP-T-164</v>
      </c>
      <c r="B133" s="2">
        <v>45786</v>
      </c>
      <c r="C133" s="3" t="str">
        <f>_xlfn.XLOOKUP(D133,'[1]Jan Customer Duplicate Hyva'!$B:$B,'[1]Jan Customer Duplicate Hyva'!$A:$A,"NOT FOUND")</f>
        <v>CUST-316</v>
      </c>
      <c r="D133" s="26" t="s">
        <v>556</v>
      </c>
      <c r="E133" s="3"/>
      <c r="F133" s="3"/>
      <c r="G133" s="3"/>
      <c r="H133" s="3"/>
      <c r="I133" s="3"/>
      <c r="J133" s="3"/>
      <c r="K133" s="3"/>
      <c r="L133" s="26" t="s">
        <v>56</v>
      </c>
      <c r="M133" s="27">
        <v>2</v>
      </c>
      <c r="N133" s="13">
        <v>4000</v>
      </c>
      <c r="O133" s="13">
        <f t="shared" si="15"/>
        <v>8000</v>
      </c>
      <c r="P133" s="13">
        <v>8000</v>
      </c>
      <c r="Q133" s="13">
        <f t="shared" si="16"/>
        <v>0</v>
      </c>
      <c r="R133" s="3"/>
      <c r="S133" s="3"/>
      <c r="T133" s="3">
        <f t="shared" si="17"/>
        <v>8000</v>
      </c>
      <c r="U133" s="3" t="str">
        <f t="shared" si="18"/>
        <v>OK</v>
      </c>
      <c r="V133" s="21">
        <f t="shared" si="19"/>
        <v>0</v>
      </c>
      <c r="W133" s="3" t="str">
        <f t="shared" si="20"/>
        <v>OK</v>
      </c>
      <c r="X133" s="3" t="s">
        <v>475</v>
      </c>
      <c r="Y133" s="3" t="s">
        <v>29</v>
      </c>
      <c r="Z133" s="3" t="s">
        <v>476</v>
      </c>
    </row>
    <row r="134" spans="1:26" x14ac:dyDescent="0.2">
      <c r="A134" s="3" t="str">
        <f t="shared" si="14"/>
        <v>TRIP-T-165</v>
      </c>
      <c r="B134" s="2">
        <v>45787</v>
      </c>
      <c r="C134" s="3" t="str">
        <f>_xlfn.XLOOKUP(D134,'[1]Jan Customer Duplicate Hyva'!$B:$B,'[1]Jan Customer Duplicate Hyva'!$A:$A,"NOT FOUND")</f>
        <v>NOT FOUND</v>
      </c>
      <c r="D134" s="26" t="s">
        <v>583</v>
      </c>
      <c r="E134" s="3"/>
      <c r="F134" s="3"/>
      <c r="G134" s="3"/>
      <c r="H134" s="3"/>
      <c r="I134" s="3"/>
      <c r="J134" s="3"/>
      <c r="K134" s="3"/>
      <c r="L134" s="26" t="s">
        <v>120</v>
      </c>
      <c r="M134" s="27">
        <v>3</v>
      </c>
      <c r="N134" s="13">
        <v>4800</v>
      </c>
      <c r="O134" s="13">
        <f t="shared" si="15"/>
        <v>14400</v>
      </c>
      <c r="P134" s="13">
        <v>14400</v>
      </c>
      <c r="Q134" s="13">
        <f t="shared" si="16"/>
        <v>0</v>
      </c>
      <c r="R134" s="3"/>
      <c r="S134" s="3"/>
      <c r="T134" s="3">
        <f t="shared" si="17"/>
        <v>14400</v>
      </c>
      <c r="U134" s="3" t="str">
        <f t="shared" si="18"/>
        <v>OK</v>
      </c>
      <c r="V134" s="21">
        <f t="shared" si="19"/>
        <v>0</v>
      </c>
      <c r="W134" s="3" t="str">
        <f t="shared" si="20"/>
        <v>OK</v>
      </c>
      <c r="X134" s="3" t="s">
        <v>475</v>
      </c>
      <c r="Y134" s="3" t="s">
        <v>29</v>
      </c>
      <c r="Z134" s="3" t="s">
        <v>476</v>
      </c>
    </row>
    <row r="135" spans="1:26" x14ac:dyDescent="0.2">
      <c r="A135" s="3" t="str">
        <f t="shared" si="14"/>
        <v>TRIP-T-166</v>
      </c>
      <c r="B135" s="28">
        <v>45788</v>
      </c>
      <c r="C135" s="3" t="str">
        <f>_xlfn.XLOOKUP(D135,'[1]Jan Customer Duplicate Hyva'!$B:$B,'[1]Jan Customer Duplicate Hyva'!$A:$A,"NOT FOUND")</f>
        <v>CUST-059</v>
      </c>
      <c r="D135" s="26" t="s">
        <v>84</v>
      </c>
      <c r="E135" s="3"/>
      <c r="F135" s="3"/>
      <c r="G135" s="3"/>
      <c r="H135" s="3"/>
      <c r="I135" s="3"/>
      <c r="J135" s="3"/>
      <c r="K135" s="3"/>
      <c r="L135" s="26" t="s">
        <v>584</v>
      </c>
      <c r="M135" s="27">
        <v>1</v>
      </c>
      <c r="N135" s="13">
        <v>5000</v>
      </c>
      <c r="O135" s="13">
        <f t="shared" si="15"/>
        <v>5000</v>
      </c>
      <c r="P135" s="13">
        <v>5000</v>
      </c>
      <c r="Q135" s="13">
        <f t="shared" si="16"/>
        <v>0</v>
      </c>
      <c r="R135" s="3"/>
      <c r="S135" s="3"/>
      <c r="T135" s="3">
        <f t="shared" si="17"/>
        <v>5000</v>
      </c>
      <c r="U135" s="3" t="str">
        <f t="shared" si="18"/>
        <v>OK</v>
      </c>
      <c r="V135" s="21">
        <f t="shared" si="19"/>
        <v>0</v>
      </c>
      <c r="W135" s="3" t="str">
        <f t="shared" si="20"/>
        <v>OK</v>
      </c>
      <c r="X135" s="3" t="s">
        <v>475</v>
      </c>
      <c r="Y135" s="3" t="s">
        <v>29</v>
      </c>
      <c r="Z135" s="3" t="s">
        <v>476</v>
      </c>
    </row>
    <row r="136" spans="1:26" x14ac:dyDescent="0.2">
      <c r="A136" s="3" t="str">
        <f t="shared" si="14"/>
        <v>TRIP-T-167</v>
      </c>
      <c r="B136" s="2">
        <v>45788</v>
      </c>
      <c r="C136" s="3" t="str">
        <f>_xlfn.XLOOKUP(D136,'[1]Jan Customer Duplicate Hyva'!$B:$B,'[1]Jan Customer Duplicate Hyva'!$A:$A,"NOT FOUND")</f>
        <v>CUST-206</v>
      </c>
      <c r="D136" s="26" t="s">
        <v>158</v>
      </c>
      <c r="E136" s="3"/>
      <c r="F136" s="3"/>
      <c r="G136" s="3"/>
      <c r="H136" s="3"/>
      <c r="I136" s="3"/>
      <c r="J136" s="3"/>
      <c r="K136" s="3"/>
      <c r="L136" s="26" t="s">
        <v>585</v>
      </c>
      <c r="M136" s="27">
        <v>1</v>
      </c>
      <c r="N136" s="13">
        <v>5500</v>
      </c>
      <c r="O136" s="13">
        <f t="shared" si="15"/>
        <v>5500</v>
      </c>
      <c r="P136" s="13">
        <v>5500</v>
      </c>
      <c r="Q136" s="13">
        <f t="shared" si="16"/>
        <v>0</v>
      </c>
      <c r="R136" s="3"/>
      <c r="S136" s="3"/>
      <c r="T136" s="3">
        <f t="shared" si="17"/>
        <v>5500</v>
      </c>
      <c r="U136" s="3" t="str">
        <f t="shared" si="18"/>
        <v>OK</v>
      </c>
      <c r="V136" s="21">
        <f t="shared" si="19"/>
        <v>0</v>
      </c>
      <c r="W136" s="3" t="str">
        <f t="shared" si="20"/>
        <v>OK</v>
      </c>
      <c r="X136" s="3" t="s">
        <v>475</v>
      </c>
      <c r="Y136" s="3" t="s">
        <v>29</v>
      </c>
      <c r="Z136" s="3" t="s">
        <v>476</v>
      </c>
    </row>
    <row r="137" spans="1:26" x14ac:dyDescent="0.2">
      <c r="A137" s="3" t="str">
        <f t="shared" si="14"/>
        <v>TRIP-T-168</v>
      </c>
      <c r="B137" s="2">
        <v>45789</v>
      </c>
      <c r="C137" s="3" t="str">
        <f>_xlfn.XLOOKUP(D137,'[1]Jan Customer Duplicate Hyva'!$B:$B,'[1]Jan Customer Duplicate Hyva'!$A:$A,"NOT FOUND")</f>
        <v>CUST-059</v>
      </c>
      <c r="D137" s="26" t="s">
        <v>84</v>
      </c>
      <c r="E137" s="3"/>
      <c r="F137" s="3"/>
      <c r="G137" s="3"/>
      <c r="H137" s="3"/>
      <c r="I137" s="3"/>
      <c r="J137" s="3"/>
      <c r="K137" s="3"/>
      <c r="L137" s="26" t="s">
        <v>120</v>
      </c>
      <c r="M137" s="27">
        <v>2</v>
      </c>
      <c r="N137" s="13">
        <v>5000</v>
      </c>
      <c r="O137" s="13">
        <f t="shared" si="15"/>
        <v>10000</v>
      </c>
      <c r="P137" s="13">
        <v>10000</v>
      </c>
      <c r="Q137" s="13">
        <f t="shared" si="16"/>
        <v>0</v>
      </c>
      <c r="R137" s="3"/>
      <c r="S137" s="3"/>
      <c r="T137" s="3">
        <f t="shared" si="17"/>
        <v>10000</v>
      </c>
      <c r="U137" s="3" t="str">
        <f t="shared" si="18"/>
        <v>OK</v>
      </c>
      <c r="V137" s="21">
        <f t="shared" si="19"/>
        <v>0</v>
      </c>
      <c r="W137" s="3" t="str">
        <f t="shared" si="20"/>
        <v>OK</v>
      </c>
      <c r="X137" s="3" t="s">
        <v>475</v>
      </c>
      <c r="Y137" s="3" t="s">
        <v>29</v>
      </c>
      <c r="Z137" s="3" t="s">
        <v>476</v>
      </c>
    </row>
    <row r="138" spans="1:26" x14ac:dyDescent="0.2">
      <c r="A138" s="3" t="str">
        <f t="shared" si="14"/>
        <v>TRIP-T-169</v>
      </c>
      <c r="B138" s="28">
        <v>45790</v>
      </c>
      <c r="C138" s="3" t="str">
        <f>_xlfn.XLOOKUP(D138,'[1]Jan Customer Duplicate Hyva'!$B:$B,'[1]Jan Customer Duplicate Hyva'!$A:$A,"NOT FOUND")</f>
        <v>CUST-059</v>
      </c>
      <c r="D138" s="26" t="s">
        <v>84</v>
      </c>
      <c r="E138" s="3"/>
      <c r="F138" s="3"/>
      <c r="G138" s="3"/>
      <c r="H138" s="3"/>
      <c r="I138" s="3"/>
      <c r="J138" s="3"/>
      <c r="K138" s="3"/>
      <c r="L138" s="26" t="s">
        <v>61</v>
      </c>
      <c r="M138" s="27">
        <v>1</v>
      </c>
      <c r="N138" s="13">
        <v>5000</v>
      </c>
      <c r="O138" s="13">
        <f t="shared" si="15"/>
        <v>5000</v>
      </c>
      <c r="P138" s="13">
        <v>5000</v>
      </c>
      <c r="Q138" s="13">
        <f t="shared" si="16"/>
        <v>0</v>
      </c>
      <c r="R138" s="3"/>
      <c r="S138" s="3"/>
      <c r="T138" s="3">
        <f t="shared" si="17"/>
        <v>5000</v>
      </c>
      <c r="U138" s="3" t="str">
        <f t="shared" si="18"/>
        <v>OK</v>
      </c>
      <c r="V138" s="21">
        <f t="shared" si="19"/>
        <v>0</v>
      </c>
      <c r="W138" s="3" t="str">
        <f t="shared" si="20"/>
        <v>OK</v>
      </c>
      <c r="X138" s="3" t="s">
        <v>475</v>
      </c>
      <c r="Y138" s="3" t="s">
        <v>29</v>
      </c>
      <c r="Z138" s="3" t="s">
        <v>476</v>
      </c>
    </row>
    <row r="139" spans="1:26" x14ac:dyDescent="0.2">
      <c r="A139" s="3" t="str">
        <f t="shared" si="14"/>
        <v>TRIP-T-170</v>
      </c>
      <c r="B139" s="28">
        <v>45790</v>
      </c>
      <c r="C139" s="3" t="str">
        <f>_xlfn.XLOOKUP(D139,'[1]Jan Customer Duplicate Hyva'!$B:$B,'[1]Jan Customer Duplicate Hyva'!$A:$A,"NOT FOUND")</f>
        <v>CUST-021</v>
      </c>
      <c r="D139" s="26" t="s">
        <v>570</v>
      </c>
      <c r="E139" s="3"/>
      <c r="F139" s="3"/>
      <c r="G139" s="3"/>
      <c r="H139" s="3"/>
      <c r="I139" s="3"/>
      <c r="J139" s="3"/>
      <c r="K139" s="3"/>
      <c r="L139" s="26" t="s">
        <v>498</v>
      </c>
      <c r="M139" s="27">
        <v>1</v>
      </c>
      <c r="N139" s="13">
        <v>0</v>
      </c>
      <c r="O139" s="13">
        <f t="shared" si="15"/>
        <v>0</v>
      </c>
      <c r="P139" s="13">
        <v>0</v>
      </c>
      <c r="Q139" s="13">
        <f t="shared" si="16"/>
        <v>0</v>
      </c>
      <c r="R139" s="3"/>
      <c r="S139" s="3"/>
      <c r="T139" s="3">
        <f t="shared" si="17"/>
        <v>0</v>
      </c>
      <c r="U139" s="3" t="str">
        <f t="shared" si="18"/>
        <v>OK</v>
      </c>
      <c r="V139" s="21">
        <f t="shared" si="19"/>
        <v>0</v>
      </c>
      <c r="W139" s="3" t="str">
        <f t="shared" si="20"/>
        <v>OK</v>
      </c>
      <c r="X139" s="3" t="s">
        <v>475</v>
      </c>
      <c r="Y139" s="3" t="s">
        <v>29</v>
      </c>
      <c r="Z139" s="3" t="s">
        <v>476</v>
      </c>
    </row>
    <row r="140" spans="1:26" x14ac:dyDescent="0.2">
      <c r="A140" s="3" t="str">
        <f t="shared" si="14"/>
        <v>TRIP-T-171</v>
      </c>
      <c r="B140" s="2">
        <v>45790</v>
      </c>
      <c r="C140" s="3" t="str">
        <f>_xlfn.XLOOKUP(D140,'[1]Jan Customer Duplicate Hyva'!$B:$B,'[1]Jan Customer Duplicate Hyva'!$A:$A,"NOT FOUND")</f>
        <v>CUST-102</v>
      </c>
      <c r="D140" s="25" t="s">
        <v>519</v>
      </c>
      <c r="E140" s="3"/>
      <c r="F140" s="3"/>
      <c r="G140" s="3"/>
      <c r="H140" s="3"/>
      <c r="I140" s="3"/>
      <c r="J140" s="3"/>
      <c r="K140" s="3"/>
      <c r="L140" s="26" t="s">
        <v>33</v>
      </c>
      <c r="M140" s="27">
        <v>2</v>
      </c>
      <c r="N140" s="13">
        <v>4000</v>
      </c>
      <c r="O140" s="13">
        <f t="shared" si="15"/>
        <v>8000</v>
      </c>
      <c r="P140" s="13">
        <v>8000</v>
      </c>
      <c r="Q140" s="13">
        <f t="shared" si="16"/>
        <v>0</v>
      </c>
      <c r="R140" s="3"/>
      <c r="S140" s="3"/>
      <c r="T140" s="3">
        <f t="shared" si="17"/>
        <v>8000</v>
      </c>
      <c r="U140" s="3" t="str">
        <f t="shared" si="18"/>
        <v>OK</v>
      </c>
      <c r="V140" s="21">
        <f t="shared" si="19"/>
        <v>0</v>
      </c>
      <c r="W140" s="3" t="str">
        <f t="shared" si="20"/>
        <v>OK</v>
      </c>
      <c r="X140" s="3" t="s">
        <v>475</v>
      </c>
      <c r="Y140" s="3" t="s">
        <v>29</v>
      </c>
      <c r="Z140" s="3" t="s">
        <v>476</v>
      </c>
    </row>
    <row r="141" spans="1:26" x14ac:dyDescent="0.2">
      <c r="A141" s="3" t="str">
        <f t="shared" si="14"/>
        <v>TRIP-T-172</v>
      </c>
      <c r="B141" s="2">
        <v>45791</v>
      </c>
      <c r="C141" s="3" t="str">
        <f>_xlfn.XLOOKUP(D141,'[1]Jan Customer Duplicate Hyva'!$B:$B,'[1]Jan Customer Duplicate Hyva'!$A:$A,"NOT FOUND")</f>
        <v>NOT FOUND</v>
      </c>
      <c r="D141" s="26" t="s">
        <v>586</v>
      </c>
      <c r="E141" s="3"/>
      <c r="F141" s="3"/>
      <c r="G141" s="3"/>
      <c r="H141" s="3"/>
      <c r="I141" s="3"/>
      <c r="J141" s="3"/>
      <c r="K141" s="3"/>
      <c r="L141" s="26" t="s">
        <v>587</v>
      </c>
      <c r="M141" s="27">
        <v>39</v>
      </c>
      <c r="N141" s="13">
        <v>1000</v>
      </c>
      <c r="O141" s="13">
        <f t="shared" si="15"/>
        <v>39000</v>
      </c>
      <c r="P141" s="13">
        <v>39000</v>
      </c>
      <c r="Q141" s="13">
        <f t="shared" si="16"/>
        <v>0</v>
      </c>
      <c r="R141" s="3"/>
      <c r="S141" s="3"/>
      <c r="T141" s="3">
        <f t="shared" si="17"/>
        <v>39000</v>
      </c>
      <c r="U141" s="3" t="str">
        <f t="shared" si="18"/>
        <v>OK</v>
      </c>
      <c r="V141" s="21">
        <f t="shared" si="19"/>
        <v>0</v>
      </c>
      <c r="W141" s="3" t="str">
        <f t="shared" si="20"/>
        <v>OK</v>
      </c>
      <c r="X141" s="3" t="s">
        <v>475</v>
      </c>
      <c r="Y141" s="3" t="s">
        <v>29</v>
      </c>
      <c r="Z141" s="3" t="s">
        <v>476</v>
      </c>
    </row>
    <row r="142" spans="1:26" x14ac:dyDescent="0.2">
      <c r="A142" s="3" t="str">
        <f t="shared" si="14"/>
        <v>TRIP-T-173</v>
      </c>
      <c r="B142" s="2">
        <v>45792</v>
      </c>
      <c r="C142" s="3" t="str">
        <f>_xlfn.XLOOKUP(D142,'[1]Jan Customer Duplicate Hyva'!$B:$B,'[1]Jan Customer Duplicate Hyva'!$A:$A,"NOT FOUND")</f>
        <v>CUST-059</v>
      </c>
      <c r="D142" s="26" t="s">
        <v>84</v>
      </c>
      <c r="E142" s="3"/>
      <c r="F142" s="3"/>
      <c r="G142" s="3"/>
      <c r="H142" s="3"/>
      <c r="I142" s="3"/>
      <c r="J142" s="3"/>
      <c r="K142" s="3"/>
      <c r="L142" s="26" t="s">
        <v>114</v>
      </c>
      <c r="M142" s="27">
        <v>2</v>
      </c>
      <c r="N142" s="13">
        <v>4750</v>
      </c>
      <c r="O142" s="13">
        <f t="shared" si="15"/>
        <v>9500</v>
      </c>
      <c r="P142" s="13">
        <v>9500</v>
      </c>
      <c r="Q142" s="13">
        <f t="shared" si="16"/>
        <v>0</v>
      </c>
      <c r="R142" s="3"/>
      <c r="S142" s="3"/>
      <c r="T142" s="3">
        <f t="shared" si="17"/>
        <v>9500</v>
      </c>
      <c r="U142" s="3" t="str">
        <f t="shared" si="18"/>
        <v>OK</v>
      </c>
      <c r="V142" s="21">
        <f t="shared" si="19"/>
        <v>0</v>
      </c>
      <c r="W142" s="3" t="str">
        <f t="shared" si="20"/>
        <v>OK</v>
      </c>
      <c r="X142" s="3" t="s">
        <v>475</v>
      </c>
      <c r="Y142" s="3" t="s">
        <v>29</v>
      </c>
      <c r="Z142" s="3" t="s">
        <v>476</v>
      </c>
    </row>
    <row r="143" spans="1:26" x14ac:dyDescent="0.2">
      <c r="A143" s="3" t="str">
        <f t="shared" si="14"/>
        <v>TRIP-T-174</v>
      </c>
      <c r="B143" s="28">
        <v>45793</v>
      </c>
      <c r="C143" s="3" t="str">
        <f>_xlfn.XLOOKUP(D143,'[1]Jan Customer Duplicate Hyva'!$B:$B,'[1]Jan Customer Duplicate Hyva'!$A:$A,"NOT FOUND")</f>
        <v>NOT FOUND</v>
      </c>
      <c r="D143" s="26" t="s">
        <v>565</v>
      </c>
      <c r="E143" s="3"/>
      <c r="F143" s="3"/>
      <c r="G143" s="3"/>
      <c r="H143" s="3"/>
      <c r="I143" s="3"/>
      <c r="J143" s="3"/>
      <c r="K143" s="3"/>
      <c r="L143" s="26" t="s">
        <v>114</v>
      </c>
      <c r="M143" s="27">
        <v>1</v>
      </c>
      <c r="N143" s="13">
        <v>5000</v>
      </c>
      <c r="O143" s="13">
        <f t="shared" si="15"/>
        <v>5000</v>
      </c>
      <c r="P143" s="13">
        <v>5000</v>
      </c>
      <c r="Q143" s="13">
        <f t="shared" si="16"/>
        <v>0</v>
      </c>
      <c r="R143" s="3"/>
      <c r="S143" s="3"/>
      <c r="T143" s="3">
        <f t="shared" si="17"/>
        <v>5000</v>
      </c>
      <c r="U143" s="3" t="str">
        <f t="shared" si="18"/>
        <v>OK</v>
      </c>
      <c r="V143" s="21">
        <f t="shared" si="19"/>
        <v>0</v>
      </c>
      <c r="W143" s="3" t="str">
        <f t="shared" si="20"/>
        <v>OK</v>
      </c>
      <c r="X143" s="3" t="s">
        <v>475</v>
      </c>
      <c r="Y143" s="3" t="s">
        <v>29</v>
      </c>
      <c r="Z143" s="3" t="s">
        <v>476</v>
      </c>
    </row>
    <row r="144" spans="1:26" x14ac:dyDescent="0.2">
      <c r="A144" s="3" t="str">
        <f t="shared" si="14"/>
        <v>TRIP-T-175</v>
      </c>
      <c r="B144" s="2">
        <v>45793</v>
      </c>
      <c r="C144" s="3" t="str">
        <f>_xlfn.XLOOKUP(D144,'[1]Jan Customer Duplicate Hyva'!$B:$B,'[1]Jan Customer Duplicate Hyva'!$A:$A,"NOT FOUND")</f>
        <v>NOT FOUND</v>
      </c>
      <c r="D144" s="26" t="s">
        <v>586</v>
      </c>
      <c r="E144" s="3"/>
      <c r="F144" s="3"/>
      <c r="G144" s="3"/>
      <c r="H144" s="3"/>
      <c r="I144" s="3"/>
      <c r="J144" s="3"/>
      <c r="K144" s="3"/>
      <c r="L144" s="26" t="s">
        <v>588</v>
      </c>
      <c r="M144" s="27">
        <v>8</v>
      </c>
      <c r="N144" s="13">
        <v>1000</v>
      </c>
      <c r="O144" s="13">
        <f t="shared" si="15"/>
        <v>8000</v>
      </c>
      <c r="P144" s="13">
        <v>8000</v>
      </c>
      <c r="Q144" s="13">
        <f t="shared" si="16"/>
        <v>0</v>
      </c>
      <c r="R144" s="3"/>
      <c r="S144" s="3"/>
      <c r="T144" s="3">
        <f t="shared" si="17"/>
        <v>8000</v>
      </c>
      <c r="U144" s="3" t="str">
        <f t="shared" si="18"/>
        <v>OK</v>
      </c>
      <c r="V144" s="21">
        <f t="shared" si="19"/>
        <v>0</v>
      </c>
      <c r="W144" s="3" t="str">
        <f t="shared" si="20"/>
        <v>OK</v>
      </c>
      <c r="X144" s="3" t="s">
        <v>475</v>
      </c>
      <c r="Y144" s="3" t="s">
        <v>29</v>
      </c>
      <c r="Z144" s="3" t="s">
        <v>476</v>
      </c>
    </row>
    <row r="145" spans="1:26" x14ac:dyDescent="0.2">
      <c r="A145" s="3" t="str">
        <f t="shared" si="14"/>
        <v>TRIP-T-176</v>
      </c>
      <c r="B145" s="28">
        <v>45794</v>
      </c>
      <c r="C145" s="3" t="str">
        <f>_xlfn.XLOOKUP(D145,'[1]Jan Customer Duplicate Hyva'!$B:$B,'[1]Jan Customer Duplicate Hyva'!$A:$A,"NOT FOUND")</f>
        <v>CUST-316</v>
      </c>
      <c r="D145" s="26" t="s">
        <v>556</v>
      </c>
      <c r="E145" s="3"/>
      <c r="F145" s="3"/>
      <c r="G145" s="3"/>
      <c r="H145" s="3"/>
      <c r="I145" s="3"/>
      <c r="J145" s="3"/>
      <c r="K145" s="3"/>
      <c r="L145" s="26" t="s">
        <v>589</v>
      </c>
      <c r="M145" s="27">
        <v>9</v>
      </c>
      <c r="N145" s="13">
        <v>800</v>
      </c>
      <c r="O145" s="13">
        <f t="shared" si="15"/>
        <v>7200</v>
      </c>
      <c r="P145" s="13">
        <v>7200</v>
      </c>
      <c r="Q145" s="13">
        <f t="shared" si="16"/>
        <v>0</v>
      </c>
      <c r="R145" s="3"/>
      <c r="S145" s="3"/>
      <c r="T145" s="3">
        <f t="shared" si="17"/>
        <v>7200</v>
      </c>
      <c r="U145" s="3" t="str">
        <f t="shared" si="18"/>
        <v>OK</v>
      </c>
      <c r="V145" s="21">
        <f t="shared" si="19"/>
        <v>0</v>
      </c>
      <c r="W145" s="3" t="str">
        <f t="shared" si="20"/>
        <v>OK</v>
      </c>
      <c r="X145" s="3" t="s">
        <v>475</v>
      </c>
      <c r="Y145" s="3" t="s">
        <v>29</v>
      </c>
      <c r="Z145" s="3" t="s">
        <v>476</v>
      </c>
    </row>
    <row r="146" spans="1:26" x14ac:dyDescent="0.2">
      <c r="A146" s="3" t="str">
        <f t="shared" si="14"/>
        <v>TRIP-T-177</v>
      </c>
      <c r="B146" s="28">
        <v>45794</v>
      </c>
      <c r="C146" s="3" t="str">
        <f>_xlfn.XLOOKUP(D146,'[1]Jan Customer Duplicate Hyva'!$B:$B,'[1]Jan Customer Duplicate Hyva'!$A:$A,"NOT FOUND")</f>
        <v>CUST-059</v>
      </c>
      <c r="D146" s="26" t="s">
        <v>84</v>
      </c>
      <c r="E146" s="3"/>
      <c r="F146" s="3"/>
      <c r="G146" s="3"/>
      <c r="H146" s="3"/>
      <c r="I146" s="3"/>
      <c r="J146" s="3"/>
      <c r="K146" s="3"/>
      <c r="L146" s="26" t="s">
        <v>61</v>
      </c>
      <c r="M146" s="27">
        <v>2</v>
      </c>
      <c r="N146" s="13">
        <v>5000</v>
      </c>
      <c r="O146" s="13">
        <f t="shared" si="15"/>
        <v>10000</v>
      </c>
      <c r="P146" s="13">
        <v>10000</v>
      </c>
      <c r="Q146" s="13">
        <f t="shared" si="16"/>
        <v>0</v>
      </c>
      <c r="R146" s="3"/>
      <c r="S146" s="3"/>
      <c r="T146" s="3">
        <f t="shared" si="17"/>
        <v>10000</v>
      </c>
      <c r="U146" s="3" t="str">
        <f t="shared" si="18"/>
        <v>OK</v>
      </c>
      <c r="V146" s="21">
        <f t="shared" si="19"/>
        <v>0</v>
      </c>
      <c r="W146" s="3" t="str">
        <f t="shared" si="20"/>
        <v>OK</v>
      </c>
      <c r="X146" s="3" t="s">
        <v>475</v>
      </c>
      <c r="Y146" s="3" t="s">
        <v>29</v>
      </c>
      <c r="Z146" s="3" t="s">
        <v>476</v>
      </c>
    </row>
    <row r="147" spans="1:26" x14ac:dyDescent="0.2">
      <c r="A147" s="3" t="str">
        <f t="shared" si="14"/>
        <v>TRIP-T-178</v>
      </c>
      <c r="B147" s="2">
        <v>45794</v>
      </c>
      <c r="C147" s="3" t="str">
        <f>_xlfn.XLOOKUP(D147,'[1]Jan Customer Duplicate Hyva'!$B:$B,'[1]Jan Customer Duplicate Hyva'!$A:$A,"NOT FOUND")</f>
        <v>CUST-176</v>
      </c>
      <c r="D147" s="26" t="s">
        <v>561</v>
      </c>
      <c r="E147" s="3"/>
      <c r="F147" s="3"/>
      <c r="G147" s="3"/>
      <c r="H147" s="3"/>
      <c r="I147" s="3"/>
      <c r="J147" s="3"/>
      <c r="K147" s="3"/>
      <c r="L147" s="26" t="s">
        <v>33</v>
      </c>
      <c r="M147" s="27">
        <v>1</v>
      </c>
      <c r="N147" s="13">
        <v>4000</v>
      </c>
      <c r="O147" s="13">
        <f t="shared" si="15"/>
        <v>4000</v>
      </c>
      <c r="P147" s="13">
        <v>4000</v>
      </c>
      <c r="Q147" s="13">
        <f t="shared" si="16"/>
        <v>0</v>
      </c>
      <c r="R147" s="3"/>
      <c r="S147" s="3"/>
      <c r="T147" s="3">
        <f t="shared" si="17"/>
        <v>4000</v>
      </c>
      <c r="U147" s="3" t="str">
        <f t="shared" si="18"/>
        <v>OK</v>
      </c>
      <c r="V147" s="21">
        <f t="shared" si="19"/>
        <v>0</v>
      </c>
      <c r="W147" s="3" t="str">
        <f t="shared" si="20"/>
        <v>OK</v>
      </c>
      <c r="X147" s="3" t="s">
        <v>475</v>
      </c>
      <c r="Y147" s="3" t="s">
        <v>29</v>
      </c>
      <c r="Z147" s="3" t="s">
        <v>476</v>
      </c>
    </row>
    <row r="148" spans="1:26" x14ac:dyDescent="0.2">
      <c r="A148" s="3" t="str">
        <f t="shared" si="14"/>
        <v>TRIP-T-179</v>
      </c>
      <c r="B148" s="28">
        <v>45795</v>
      </c>
      <c r="C148" s="3" t="str">
        <f>_xlfn.XLOOKUP(D148,'[1]Jan Customer Duplicate Hyva'!$B:$B,'[1]Jan Customer Duplicate Hyva'!$A:$A,"NOT FOUND")</f>
        <v>CUST-337</v>
      </c>
      <c r="D148" s="26" t="s">
        <v>590</v>
      </c>
      <c r="E148" s="3"/>
      <c r="F148" s="3"/>
      <c r="G148" s="3"/>
      <c r="H148" s="3"/>
      <c r="I148" s="3"/>
      <c r="J148" s="3"/>
      <c r="K148" s="3"/>
      <c r="L148" s="26" t="s">
        <v>591</v>
      </c>
      <c r="M148" s="27">
        <v>1</v>
      </c>
      <c r="N148" s="13">
        <v>5000</v>
      </c>
      <c r="O148" s="13">
        <f t="shared" si="15"/>
        <v>5000</v>
      </c>
      <c r="P148" s="13">
        <v>5000</v>
      </c>
      <c r="Q148" s="13">
        <f t="shared" si="16"/>
        <v>0</v>
      </c>
      <c r="R148" s="3"/>
      <c r="S148" s="3"/>
      <c r="T148" s="3">
        <f t="shared" si="17"/>
        <v>5000</v>
      </c>
      <c r="U148" s="3" t="str">
        <f t="shared" si="18"/>
        <v>OK</v>
      </c>
      <c r="V148" s="21">
        <f t="shared" si="19"/>
        <v>0</v>
      </c>
      <c r="W148" s="3" t="str">
        <f t="shared" si="20"/>
        <v>OK</v>
      </c>
      <c r="X148" s="3" t="s">
        <v>475</v>
      </c>
      <c r="Y148" s="3" t="s">
        <v>29</v>
      </c>
      <c r="Z148" s="3" t="s">
        <v>476</v>
      </c>
    </row>
    <row r="149" spans="1:26" x14ac:dyDescent="0.2">
      <c r="A149" s="3" t="str">
        <f t="shared" si="14"/>
        <v>TRIP-T-180</v>
      </c>
      <c r="B149" s="2">
        <v>45795</v>
      </c>
      <c r="C149" s="3" t="str">
        <f>_xlfn.XLOOKUP(D149,'[1]Jan Customer Duplicate Hyva'!$B:$B,'[1]Jan Customer Duplicate Hyva'!$A:$A,"NOT FOUND")</f>
        <v>NOT FOUND</v>
      </c>
      <c r="D149" s="26" t="s">
        <v>592</v>
      </c>
      <c r="E149" s="3"/>
      <c r="F149" s="3"/>
      <c r="G149" s="3"/>
      <c r="H149" s="3"/>
      <c r="I149" s="3"/>
      <c r="J149" s="3"/>
      <c r="K149" s="3"/>
      <c r="L149" s="26" t="s">
        <v>114</v>
      </c>
      <c r="M149" s="27">
        <v>2</v>
      </c>
      <c r="N149" s="13">
        <v>5000</v>
      </c>
      <c r="O149" s="13">
        <f t="shared" si="15"/>
        <v>10000</v>
      </c>
      <c r="P149" s="13">
        <v>10000</v>
      </c>
      <c r="Q149" s="13">
        <f t="shared" si="16"/>
        <v>0</v>
      </c>
      <c r="R149" s="3"/>
      <c r="S149" s="3"/>
      <c r="T149" s="3">
        <f t="shared" si="17"/>
        <v>10000</v>
      </c>
      <c r="U149" s="3" t="str">
        <f t="shared" si="18"/>
        <v>OK</v>
      </c>
      <c r="V149" s="21">
        <f t="shared" si="19"/>
        <v>0</v>
      </c>
      <c r="W149" s="3" t="str">
        <f t="shared" si="20"/>
        <v>OK</v>
      </c>
      <c r="X149" s="3" t="s">
        <v>475</v>
      </c>
      <c r="Y149" s="3" t="s">
        <v>29</v>
      </c>
      <c r="Z149" s="3" t="s">
        <v>476</v>
      </c>
    </row>
    <row r="150" spans="1:26" x14ac:dyDescent="0.2">
      <c r="A150" s="3" t="str">
        <f t="shared" si="14"/>
        <v>TRIP-T-181</v>
      </c>
      <c r="B150" s="28">
        <v>45796</v>
      </c>
      <c r="C150" s="3" t="str">
        <f>_xlfn.XLOOKUP(D150,'[1]Jan Customer Duplicate Hyva'!$B:$B,'[1]Jan Customer Duplicate Hyva'!$A:$A,"NOT FOUND")</f>
        <v>CUST-120</v>
      </c>
      <c r="D150" s="26" t="s">
        <v>122</v>
      </c>
      <c r="E150" s="3"/>
      <c r="F150" s="3"/>
      <c r="G150" s="3"/>
      <c r="H150" s="3"/>
      <c r="I150" s="3"/>
      <c r="J150" s="3"/>
      <c r="K150" s="3"/>
      <c r="L150" s="26" t="s">
        <v>56</v>
      </c>
      <c r="M150" s="27">
        <v>3</v>
      </c>
      <c r="N150" s="13">
        <v>5500</v>
      </c>
      <c r="O150" s="13">
        <f t="shared" si="15"/>
        <v>16500</v>
      </c>
      <c r="P150" s="13">
        <v>16500</v>
      </c>
      <c r="Q150" s="13">
        <f t="shared" si="16"/>
        <v>0</v>
      </c>
      <c r="R150" s="3"/>
      <c r="S150" s="3"/>
      <c r="T150" s="3">
        <f t="shared" si="17"/>
        <v>16500</v>
      </c>
      <c r="U150" s="3" t="str">
        <f t="shared" si="18"/>
        <v>OK</v>
      </c>
      <c r="V150" s="21">
        <f t="shared" si="19"/>
        <v>0</v>
      </c>
      <c r="W150" s="3" t="str">
        <f t="shared" si="20"/>
        <v>OK</v>
      </c>
      <c r="X150" s="3" t="s">
        <v>475</v>
      </c>
      <c r="Y150" s="3" t="s">
        <v>29</v>
      </c>
      <c r="Z150" s="3" t="s">
        <v>476</v>
      </c>
    </row>
    <row r="151" spans="1:26" x14ac:dyDescent="0.2">
      <c r="A151" s="3" t="str">
        <f t="shared" si="14"/>
        <v>TRIP-T-182</v>
      </c>
      <c r="B151" s="28">
        <v>45796</v>
      </c>
      <c r="C151" s="3" t="str">
        <f>_xlfn.XLOOKUP(D151,'[1]Jan Customer Duplicate Hyva'!$B:$B,'[1]Jan Customer Duplicate Hyva'!$A:$A,"NOT FOUND")</f>
        <v>CUST-194</v>
      </c>
      <c r="D151" s="26" t="s">
        <v>392</v>
      </c>
      <c r="E151" s="3"/>
      <c r="F151" s="3"/>
      <c r="G151" s="3"/>
      <c r="H151" s="3"/>
      <c r="I151" s="3"/>
      <c r="J151" s="3"/>
      <c r="K151" s="3"/>
      <c r="L151" s="26" t="s">
        <v>33</v>
      </c>
      <c r="M151" s="27">
        <v>1</v>
      </c>
      <c r="N151" s="13">
        <v>5000</v>
      </c>
      <c r="O151" s="13">
        <f t="shared" si="15"/>
        <v>5000</v>
      </c>
      <c r="P151" s="13">
        <v>5000</v>
      </c>
      <c r="Q151" s="13">
        <f t="shared" si="16"/>
        <v>0</v>
      </c>
      <c r="R151" s="3"/>
      <c r="S151" s="3"/>
      <c r="T151" s="3">
        <f t="shared" si="17"/>
        <v>5000</v>
      </c>
      <c r="U151" s="3" t="str">
        <f t="shared" si="18"/>
        <v>OK</v>
      </c>
      <c r="V151" s="21">
        <f t="shared" si="19"/>
        <v>0</v>
      </c>
      <c r="W151" s="3" t="str">
        <f t="shared" si="20"/>
        <v>OK</v>
      </c>
      <c r="X151" s="3" t="s">
        <v>475</v>
      </c>
      <c r="Y151" s="3" t="s">
        <v>29</v>
      </c>
      <c r="Z151" s="3" t="s">
        <v>476</v>
      </c>
    </row>
    <row r="152" spans="1:26" x14ac:dyDescent="0.2">
      <c r="A152" s="3" t="str">
        <f t="shared" si="14"/>
        <v>TRIP-T-183</v>
      </c>
      <c r="B152" s="2">
        <v>45796</v>
      </c>
      <c r="C152" s="3" t="str">
        <f>_xlfn.XLOOKUP(D152,'[1]Jan Customer Duplicate Hyva'!$B:$B,'[1]Jan Customer Duplicate Hyva'!$A:$A,"NOT FOUND")</f>
        <v>CUST-165</v>
      </c>
      <c r="D152" s="26" t="s">
        <v>593</v>
      </c>
      <c r="E152" s="3"/>
      <c r="F152" s="3"/>
      <c r="G152" s="3"/>
      <c r="H152" s="3"/>
      <c r="I152" s="3"/>
      <c r="J152" s="3"/>
      <c r="K152" s="3"/>
      <c r="L152" s="26" t="s">
        <v>172</v>
      </c>
      <c r="M152" s="27">
        <v>1</v>
      </c>
      <c r="N152" s="13">
        <v>5000</v>
      </c>
      <c r="O152" s="13">
        <f t="shared" si="15"/>
        <v>5000</v>
      </c>
      <c r="P152" s="13">
        <v>5000</v>
      </c>
      <c r="Q152" s="13">
        <f t="shared" si="16"/>
        <v>0</v>
      </c>
      <c r="R152" s="3"/>
      <c r="S152" s="3"/>
      <c r="T152" s="3">
        <f t="shared" si="17"/>
        <v>5000</v>
      </c>
      <c r="U152" s="3" t="str">
        <f t="shared" si="18"/>
        <v>OK</v>
      </c>
      <c r="V152" s="21">
        <f t="shared" si="19"/>
        <v>0</v>
      </c>
      <c r="W152" s="3" t="str">
        <f t="shared" si="20"/>
        <v>OK</v>
      </c>
      <c r="X152" s="3" t="s">
        <v>475</v>
      </c>
      <c r="Y152" s="3" t="s">
        <v>29</v>
      </c>
      <c r="Z152" s="3" t="s">
        <v>476</v>
      </c>
    </row>
    <row r="153" spans="1:26" x14ac:dyDescent="0.2">
      <c r="A153" s="3" t="str">
        <f t="shared" si="14"/>
        <v>TRIP-T-184</v>
      </c>
      <c r="B153" s="2">
        <v>45797</v>
      </c>
      <c r="C153" s="3" t="str">
        <f>_xlfn.XLOOKUP(D153,'[1]Jan Customer Duplicate Hyva'!$B:$B,'[1]Jan Customer Duplicate Hyva'!$A:$A,"NOT FOUND")</f>
        <v>CUST-276</v>
      </c>
      <c r="D153" s="26" t="s">
        <v>323</v>
      </c>
      <c r="E153" s="3"/>
      <c r="F153" s="3"/>
      <c r="G153" s="3"/>
      <c r="H153" s="3"/>
      <c r="I153" s="3"/>
      <c r="J153" s="3"/>
      <c r="K153" s="3"/>
      <c r="L153" s="26" t="s">
        <v>305</v>
      </c>
      <c r="M153" s="27">
        <v>1</v>
      </c>
      <c r="N153" s="13">
        <v>5000</v>
      </c>
      <c r="O153" s="13">
        <f t="shared" si="15"/>
        <v>5000</v>
      </c>
      <c r="P153" s="13">
        <v>5000</v>
      </c>
      <c r="Q153" s="13">
        <f t="shared" si="16"/>
        <v>0</v>
      </c>
      <c r="R153" s="3"/>
      <c r="S153" s="3"/>
      <c r="T153" s="3">
        <f t="shared" si="17"/>
        <v>5000</v>
      </c>
      <c r="U153" s="3" t="str">
        <f t="shared" si="18"/>
        <v>OK</v>
      </c>
      <c r="V153" s="21">
        <f t="shared" si="19"/>
        <v>0</v>
      </c>
      <c r="W153" s="3" t="str">
        <f t="shared" si="20"/>
        <v>OK</v>
      </c>
      <c r="X153" s="3" t="s">
        <v>475</v>
      </c>
      <c r="Y153" s="3" t="s">
        <v>29</v>
      </c>
      <c r="Z153" s="3" t="s">
        <v>476</v>
      </c>
    </row>
    <row r="154" spans="1:26" x14ac:dyDescent="0.2">
      <c r="A154" s="3" t="str">
        <f t="shared" si="14"/>
        <v>TRIP-T-185</v>
      </c>
      <c r="B154" s="28">
        <v>45798</v>
      </c>
      <c r="C154" s="3" t="str">
        <f>_xlfn.XLOOKUP(D154,'[1]Jan Customer Duplicate Hyva'!$B:$B,'[1]Jan Customer Duplicate Hyva'!$A:$A,"NOT FOUND")</f>
        <v>CUST-072</v>
      </c>
      <c r="D154" s="26" t="s">
        <v>594</v>
      </c>
      <c r="E154" s="3"/>
      <c r="F154" s="3"/>
      <c r="G154" s="3"/>
      <c r="H154" s="3"/>
      <c r="I154" s="3"/>
      <c r="J154" s="3"/>
      <c r="K154" s="3"/>
      <c r="L154" s="26" t="s">
        <v>150</v>
      </c>
      <c r="M154" s="27">
        <v>1</v>
      </c>
      <c r="N154" s="13">
        <v>4000</v>
      </c>
      <c r="O154" s="13">
        <f t="shared" si="15"/>
        <v>4000</v>
      </c>
      <c r="P154" s="13">
        <v>4000</v>
      </c>
      <c r="Q154" s="13">
        <f t="shared" si="16"/>
        <v>0</v>
      </c>
      <c r="R154" s="3"/>
      <c r="S154" s="3"/>
      <c r="T154" s="3">
        <f t="shared" si="17"/>
        <v>4000</v>
      </c>
      <c r="U154" s="3" t="str">
        <f t="shared" si="18"/>
        <v>OK</v>
      </c>
      <c r="V154" s="21">
        <f t="shared" si="19"/>
        <v>0</v>
      </c>
      <c r="W154" s="3" t="str">
        <f t="shared" si="20"/>
        <v>OK</v>
      </c>
      <c r="X154" s="3" t="s">
        <v>475</v>
      </c>
      <c r="Y154" s="3" t="s">
        <v>29</v>
      </c>
      <c r="Z154" s="3" t="s">
        <v>476</v>
      </c>
    </row>
    <row r="155" spans="1:26" x14ac:dyDescent="0.2">
      <c r="A155" s="3" t="str">
        <f t="shared" si="14"/>
        <v>TRIP-T-186</v>
      </c>
      <c r="B155" s="2">
        <v>45798</v>
      </c>
      <c r="C155" s="3" t="str">
        <f>_xlfn.XLOOKUP(D155,'[1]Jan Customer Duplicate Hyva'!$B:$B,'[1]Jan Customer Duplicate Hyva'!$A:$A,"NOT FOUND")</f>
        <v>CUST-257</v>
      </c>
      <c r="D155" s="26" t="s">
        <v>595</v>
      </c>
      <c r="E155" s="3"/>
      <c r="F155" s="3"/>
      <c r="G155" s="3"/>
      <c r="H155" s="3"/>
      <c r="I155" s="3"/>
      <c r="J155" s="3"/>
      <c r="K155" s="3"/>
      <c r="L155" s="26" t="s">
        <v>596</v>
      </c>
      <c r="M155" s="27">
        <v>2</v>
      </c>
      <c r="N155" s="13">
        <v>5000</v>
      </c>
      <c r="O155" s="13">
        <f t="shared" si="15"/>
        <v>10000</v>
      </c>
      <c r="P155" s="13">
        <v>10000</v>
      </c>
      <c r="Q155" s="13">
        <f t="shared" si="16"/>
        <v>0</v>
      </c>
      <c r="R155" s="3"/>
      <c r="S155" s="3"/>
      <c r="T155" s="3">
        <f t="shared" si="17"/>
        <v>10000</v>
      </c>
      <c r="U155" s="3" t="str">
        <f t="shared" si="18"/>
        <v>OK</v>
      </c>
      <c r="V155" s="21">
        <f t="shared" si="19"/>
        <v>0</v>
      </c>
      <c r="W155" s="3" t="str">
        <f t="shared" si="20"/>
        <v>OK</v>
      </c>
      <c r="X155" s="3" t="s">
        <v>475</v>
      </c>
      <c r="Y155" s="3" t="s">
        <v>29</v>
      </c>
      <c r="Z155" s="3" t="s">
        <v>476</v>
      </c>
    </row>
    <row r="156" spans="1:26" x14ac:dyDescent="0.2">
      <c r="A156" s="3" t="str">
        <f t="shared" si="14"/>
        <v>TRIP-T-187</v>
      </c>
      <c r="B156" s="2">
        <v>45799</v>
      </c>
      <c r="C156" s="3" t="str">
        <f>_xlfn.XLOOKUP(D156,'[1]Jan Customer Duplicate Hyva'!$B:$B,'[1]Jan Customer Duplicate Hyva'!$A:$A,"NOT FOUND")</f>
        <v>CUST-265</v>
      </c>
      <c r="D156" s="26" t="s">
        <v>188</v>
      </c>
      <c r="E156" s="3"/>
      <c r="F156" s="3"/>
      <c r="G156" s="3"/>
      <c r="H156" s="3"/>
      <c r="I156" s="3"/>
      <c r="J156" s="3"/>
      <c r="K156" s="3"/>
      <c r="L156" s="26" t="s">
        <v>597</v>
      </c>
      <c r="M156" s="27">
        <v>1</v>
      </c>
      <c r="N156" s="13">
        <v>7000</v>
      </c>
      <c r="O156" s="13">
        <f t="shared" si="15"/>
        <v>7000</v>
      </c>
      <c r="P156" s="13">
        <v>7000</v>
      </c>
      <c r="Q156" s="13">
        <f t="shared" si="16"/>
        <v>0</v>
      </c>
      <c r="R156" s="3"/>
      <c r="S156" s="3"/>
      <c r="T156" s="3">
        <f t="shared" si="17"/>
        <v>7000</v>
      </c>
      <c r="U156" s="3" t="str">
        <f t="shared" si="18"/>
        <v>OK</v>
      </c>
      <c r="V156" s="21">
        <f t="shared" si="19"/>
        <v>0</v>
      </c>
      <c r="W156" s="3" t="str">
        <f t="shared" si="20"/>
        <v>OK</v>
      </c>
      <c r="X156" s="3" t="s">
        <v>475</v>
      </c>
      <c r="Y156" s="3" t="s">
        <v>29</v>
      </c>
      <c r="Z156" s="3" t="s">
        <v>476</v>
      </c>
    </row>
    <row r="157" spans="1:26" x14ac:dyDescent="0.2">
      <c r="A157" s="3" t="str">
        <f t="shared" si="14"/>
        <v>TRIP-T-188</v>
      </c>
      <c r="B157" s="28">
        <v>45803</v>
      </c>
      <c r="C157" s="3" t="str">
        <f>_xlfn.XLOOKUP(D157,'[1]Jan Customer Duplicate Hyva'!$B:$B,'[1]Jan Customer Duplicate Hyva'!$A:$A,"NOT FOUND")</f>
        <v>NOT FOUND</v>
      </c>
      <c r="D157" s="26" t="s">
        <v>598</v>
      </c>
      <c r="E157" s="3"/>
      <c r="F157" s="3"/>
      <c r="G157" s="3"/>
      <c r="H157" s="3"/>
      <c r="I157" s="3"/>
      <c r="J157" s="3"/>
      <c r="K157" s="3"/>
      <c r="L157" s="26" t="s">
        <v>599</v>
      </c>
      <c r="M157" s="27">
        <v>1</v>
      </c>
      <c r="N157" s="13">
        <v>800</v>
      </c>
      <c r="O157" s="13">
        <f t="shared" si="15"/>
        <v>800</v>
      </c>
      <c r="P157" s="13">
        <v>800</v>
      </c>
      <c r="Q157" s="13">
        <f t="shared" si="16"/>
        <v>0</v>
      </c>
      <c r="R157" s="3"/>
      <c r="S157" s="3"/>
      <c r="T157" s="3">
        <f t="shared" si="17"/>
        <v>800</v>
      </c>
      <c r="U157" s="3" t="str">
        <f t="shared" si="18"/>
        <v>OK</v>
      </c>
      <c r="V157" s="21">
        <f t="shared" si="19"/>
        <v>0</v>
      </c>
      <c r="W157" s="3" t="str">
        <f t="shared" si="20"/>
        <v>OK</v>
      </c>
      <c r="X157" s="3" t="s">
        <v>475</v>
      </c>
      <c r="Y157" s="3" t="s">
        <v>29</v>
      </c>
      <c r="Z157" s="3" t="s">
        <v>476</v>
      </c>
    </row>
    <row r="158" spans="1:26" x14ac:dyDescent="0.2">
      <c r="A158" s="3" t="str">
        <f t="shared" si="14"/>
        <v>TRIP-T-189</v>
      </c>
      <c r="B158" s="2">
        <v>45803</v>
      </c>
      <c r="C158" s="3" t="str">
        <f>_xlfn.XLOOKUP(D158,'[1]Jan Customer Duplicate Hyva'!$B:$B,'[1]Jan Customer Duplicate Hyva'!$A:$A,"NOT FOUND")</f>
        <v>NOT FOUND</v>
      </c>
      <c r="D158" s="26" t="s">
        <v>598</v>
      </c>
      <c r="E158" s="3"/>
      <c r="F158" s="3"/>
      <c r="G158" s="3"/>
      <c r="H158" s="3"/>
      <c r="I158" s="3"/>
      <c r="J158" s="3"/>
      <c r="K158" s="3"/>
      <c r="L158" s="26" t="s">
        <v>599</v>
      </c>
      <c r="M158" s="27">
        <v>9</v>
      </c>
      <c r="N158" s="13">
        <v>800</v>
      </c>
      <c r="O158" s="13">
        <f t="shared" si="15"/>
        <v>7200</v>
      </c>
      <c r="P158" s="13">
        <v>7200</v>
      </c>
      <c r="Q158" s="13">
        <f t="shared" si="16"/>
        <v>0</v>
      </c>
      <c r="R158" s="3"/>
      <c r="S158" s="3"/>
      <c r="T158" s="3">
        <f t="shared" si="17"/>
        <v>7200</v>
      </c>
      <c r="U158" s="3" t="str">
        <f t="shared" si="18"/>
        <v>OK</v>
      </c>
      <c r="V158" s="21">
        <f t="shared" si="19"/>
        <v>0</v>
      </c>
      <c r="W158" s="3" t="str">
        <f t="shared" si="20"/>
        <v>OK</v>
      </c>
      <c r="X158" s="3" t="s">
        <v>475</v>
      </c>
      <c r="Y158" s="3" t="s">
        <v>29</v>
      </c>
      <c r="Z158" s="3" t="s">
        <v>476</v>
      </c>
    </row>
    <row r="159" spans="1:26" x14ac:dyDescent="0.2">
      <c r="A159" s="3" t="str">
        <f t="shared" si="14"/>
        <v>TRIP-T-190</v>
      </c>
      <c r="B159" s="2">
        <v>45804</v>
      </c>
      <c r="C159" s="3" t="str">
        <f>_xlfn.XLOOKUP(D159,'[1]Jan Customer Duplicate Hyva'!$B:$B,'[1]Jan Customer Duplicate Hyva'!$A:$A,"NOT FOUND")</f>
        <v>CUST-021</v>
      </c>
      <c r="D159" s="26" t="s">
        <v>570</v>
      </c>
      <c r="E159" s="3"/>
      <c r="F159" s="3"/>
      <c r="G159" s="3"/>
      <c r="H159" s="3"/>
      <c r="I159" s="3"/>
      <c r="J159" s="3"/>
      <c r="K159" s="3"/>
      <c r="L159" s="26" t="s">
        <v>498</v>
      </c>
      <c r="M159" s="27">
        <v>1</v>
      </c>
      <c r="N159" s="13">
        <v>0</v>
      </c>
      <c r="O159" s="13">
        <f t="shared" si="15"/>
        <v>0</v>
      </c>
      <c r="P159" s="13">
        <v>0</v>
      </c>
      <c r="Q159" s="13">
        <f t="shared" si="16"/>
        <v>0</v>
      </c>
      <c r="R159" s="3"/>
      <c r="S159" s="3"/>
      <c r="T159" s="3">
        <f t="shared" si="17"/>
        <v>0</v>
      </c>
      <c r="U159" s="3" t="str">
        <f t="shared" si="18"/>
        <v>OK</v>
      </c>
      <c r="V159" s="21">
        <f t="shared" si="19"/>
        <v>0</v>
      </c>
      <c r="W159" s="3" t="str">
        <f t="shared" si="20"/>
        <v>OK</v>
      </c>
      <c r="X159" s="3" t="s">
        <v>475</v>
      </c>
      <c r="Y159" s="3" t="s">
        <v>29</v>
      </c>
      <c r="Z159" s="3" t="s">
        <v>476</v>
      </c>
    </row>
    <row r="160" spans="1:26" x14ac:dyDescent="0.2">
      <c r="A160" s="3" t="str">
        <f t="shared" si="14"/>
        <v>TRIP-T-191</v>
      </c>
      <c r="B160" s="2">
        <v>45804</v>
      </c>
      <c r="C160" s="3" t="str">
        <f>_xlfn.XLOOKUP(D160,'[1]Jan Customer Duplicate Hyva'!$B:$B,'[1]Jan Customer Duplicate Hyva'!$A:$A,"NOT FOUND")</f>
        <v>CUST-040</v>
      </c>
      <c r="D160" s="26" t="s">
        <v>600</v>
      </c>
      <c r="E160" s="3"/>
      <c r="F160" s="3"/>
      <c r="G160" s="3"/>
      <c r="H160" s="3"/>
      <c r="I160" s="3"/>
      <c r="J160" s="3"/>
      <c r="K160" s="3"/>
      <c r="L160" s="26" t="s">
        <v>33</v>
      </c>
      <c r="M160" s="27">
        <v>1</v>
      </c>
      <c r="N160" s="13">
        <v>4000</v>
      </c>
      <c r="O160" s="13">
        <f t="shared" si="15"/>
        <v>4000</v>
      </c>
      <c r="P160" s="13">
        <v>4000</v>
      </c>
      <c r="Q160" s="13">
        <f t="shared" si="16"/>
        <v>0</v>
      </c>
      <c r="R160" s="3"/>
      <c r="S160" s="3"/>
      <c r="T160" s="3">
        <f t="shared" si="17"/>
        <v>4000</v>
      </c>
      <c r="U160" s="3" t="str">
        <f t="shared" si="18"/>
        <v>OK</v>
      </c>
      <c r="V160" s="21">
        <f t="shared" si="19"/>
        <v>0</v>
      </c>
      <c r="W160" s="3" t="str">
        <f t="shared" si="20"/>
        <v>OK</v>
      </c>
      <c r="X160" s="3" t="s">
        <v>475</v>
      </c>
      <c r="Y160" s="3" t="s">
        <v>29</v>
      </c>
      <c r="Z160" s="3" t="s">
        <v>476</v>
      </c>
    </row>
    <row r="161" spans="1:26" x14ac:dyDescent="0.2">
      <c r="A161" s="3" t="str">
        <f t="shared" si="14"/>
        <v>TRIP-T-192</v>
      </c>
      <c r="B161" s="28">
        <v>45805</v>
      </c>
      <c r="C161" s="3" t="str">
        <f>_xlfn.XLOOKUP(D161,'[1]Jan Customer Duplicate Hyva'!$B:$B,'[1]Jan Customer Duplicate Hyva'!$A:$A,"NOT FOUND")</f>
        <v>CUST-058</v>
      </c>
      <c r="D161" s="26" t="s">
        <v>484</v>
      </c>
      <c r="E161" s="3"/>
      <c r="F161" s="3"/>
      <c r="G161" s="3"/>
      <c r="H161" s="3"/>
      <c r="I161" s="3"/>
      <c r="J161" s="3"/>
      <c r="K161" s="3"/>
      <c r="L161" s="26" t="s">
        <v>33</v>
      </c>
      <c r="M161" s="27">
        <v>1</v>
      </c>
      <c r="N161" s="13">
        <v>4000</v>
      </c>
      <c r="O161" s="13">
        <f t="shared" si="15"/>
        <v>4000</v>
      </c>
      <c r="P161" s="13">
        <v>4000</v>
      </c>
      <c r="Q161" s="13">
        <f t="shared" si="16"/>
        <v>0</v>
      </c>
      <c r="R161" s="3"/>
      <c r="S161" s="3"/>
      <c r="T161" s="3">
        <f t="shared" si="17"/>
        <v>4000</v>
      </c>
      <c r="U161" s="3" t="str">
        <f t="shared" si="18"/>
        <v>OK</v>
      </c>
      <c r="V161" s="21">
        <f t="shared" si="19"/>
        <v>0</v>
      </c>
      <c r="W161" s="3" t="str">
        <f t="shared" si="20"/>
        <v>OK</v>
      </c>
      <c r="X161" s="3" t="s">
        <v>475</v>
      </c>
      <c r="Y161" s="3" t="s">
        <v>29</v>
      </c>
      <c r="Z161" s="3" t="s">
        <v>476</v>
      </c>
    </row>
    <row r="162" spans="1:26" x14ac:dyDescent="0.2">
      <c r="A162" s="3" t="str">
        <f t="shared" si="14"/>
        <v>TRIP-T-193</v>
      </c>
      <c r="B162" s="28">
        <v>45805</v>
      </c>
      <c r="C162" s="3" t="str">
        <f>_xlfn.XLOOKUP(D162,'[1]Jan Customer Duplicate Hyva'!$B:$B,'[1]Jan Customer Duplicate Hyva'!$A:$A,"NOT FOUND")</f>
        <v>CUST-298</v>
      </c>
      <c r="D162" s="26" t="s">
        <v>601</v>
      </c>
      <c r="E162" s="3"/>
      <c r="F162" s="3"/>
      <c r="G162" s="3"/>
      <c r="H162" s="3"/>
      <c r="I162" s="3"/>
      <c r="J162" s="3"/>
      <c r="K162" s="3"/>
      <c r="L162" s="26" t="s">
        <v>120</v>
      </c>
      <c r="M162" s="27">
        <v>2</v>
      </c>
      <c r="N162" s="13">
        <v>5000</v>
      </c>
      <c r="O162" s="13">
        <f t="shared" si="15"/>
        <v>10000</v>
      </c>
      <c r="P162" s="13">
        <v>10000</v>
      </c>
      <c r="Q162" s="13">
        <f t="shared" si="16"/>
        <v>0</v>
      </c>
      <c r="R162" s="3"/>
      <c r="S162" s="3"/>
      <c r="T162" s="3">
        <f t="shared" si="17"/>
        <v>10000</v>
      </c>
      <c r="U162" s="3" t="str">
        <f t="shared" si="18"/>
        <v>OK</v>
      </c>
      <c r="V162" s="21">
        <f t="shared" si="19"/>
        <v>0</v>
      </c>
      <c r="W162" s="3" t="str">
        <f t="shared" si="20"/>
        <v>OK</v>
      </c>
      <c r="X162" s="3" t="s">
        <v>475</v>
      </c>
      <c r="Y162" s="3" t="s">
        <v>29</v>
      </c>
      <c r="Z162" s="3" t="s">
        <v>476</v>
      </c>
    </row>
    <row r="163" spans="1:26" x14ac:dyDescent="0.2">
      <c r="A163" s="3" t="str">
        <f t="shared" si="14"/>
        <v>TRIP-T-194</v>
      </c>
      <c r="B163" s="2">
        <v>45805</v>
      </c>
      <c r="C163" s="3" t="str">
        <f>_xlfn.XLOOKUP(D163,'[1]Jan Customer Duplicate Hyva'!$B:$B,'[1]Jan Customer Duplicate Hyva'!$A:$A,"NOT FOUND")</f>
        <v>NOT FOUND</v>
      </c>
      <c r="D163" s="26" t="s">
        <v>598</v>
      </c>
      <c r="E163" s="3"/>
      <c r="F163" s="3"/>
      <c r="G163" s="3"/>
      <c r="H163" s="3"/>
      <c r="I163" s="3"/>
      <c r="J163" s="3"/>
      <c r="K163" s="3"/>
      <c r="L163" s="26" t="s">
        <v>599</v>
      </c>
      <c r="M163" s="27">
        <v>12</v>
      </c>
      <c r="N163" s="13">
        <v>800</v>
      </c>
      <c r="O163" s="13">
        <f t="shared" si="15"/>
        <v>9600</v>
      </c>
      <c r="P163" s="13">
        <v>9600</v>
      </c>
      <c r="Q163" s="13">
        <f t="shared" si="16"/>
        <v>0</v>
      </c>
      <c r="R163" s="3"/>
      <c r="S163" s="3"/>
      <c r="T163" s="3">
        <f t="shared" si="17"/>
        <v>9600</v>
      </c>
      <c r="U163" s="3" t="str">
        <f t="shared" si="18"/>
        <v>OK</v>
      </c>
      <c r="V163" s="21">
        <f t="shared" si="19"/>
        <v>0</v>
      </c>
      <c r="W163" s="3" t="str">
        <f t="shared" si="20"/>
        <v>OK</v>
      </c>
      <c r="X163" s="3" t="s">
        <v>475</v>
      </c>
      <c r="Y163" s="3" t="s">
        <v>29</v>
      </c>
      <c r="Z163" s="3" t="s">
        <v>476</v>
      </c>
    </row>
    <row r="164" spans="1:26" x14ac:dyDescent="0.2">
      <c r="A164" s="3" t="str">
        <f t="shared" si="14"/>
        <v>TRIP-T-195</v>
      </c>
      <c r="B164" s="2">
        <v>45805</v>
      </c>
      <c r="C164" s="3" t="str">
        <f>_xlfn.XLOOKUP(D164,'[1]Jan Customer Duplicate Hyva'!$B:$B,'[1]Jan Customer Duplicate Hyva'!$A:$A,"NOT FOUND")</f>
        <v>NOT FOUND</v>
      </c>
      <c r="D164" s="26" t="s">
        <v>602</v>
      </c>
      <c r="E164" s="3"/>
      <c r="F164" s="3"/>
      <c r="G164" s="3"/>
      <c r="H164" s="3"/>
      <c r="I164" s="3"/>
      <c r="J164" s="3"/>
      <c r="K164" s="3"/>
      <c r="L164" s="26" t="s">
        <v>63</v>
      </c>
      <c r="M164" s="27">
        <v>1</v>
      </c>
      <c r="N164" s="13">
        <v>5000</v>
      </c>
      <c r="O164" s="13">
        <f t="shared" si="15"/>
        <v>5000</v>
      </c>
      <c r="P164" s="13">
        <v>5000</v>
      </c>
      <c r="Q164" s="13">
        <f t="shared" si="16"/>
        <v>0</v>
      </c>
      <c r="R164" s="3"/>
      <c r="S164" s="3"/>
      <c r="T164" s="3">
        <f t="shared" si="17"/>
        <v>5000</v>
      </c>
      <c r="U164" s="3" t="str">
        <f t="shared" si="18"/>
        <v>OK</v>
      </c>
      <c r="V164" s="21">
        <f t="shared" si="19"/>
        <v>0</v>
      </c>
      <c r="W164" s="3" t="str">
        <f t="shared" si="20"/>
        <v>OK</v>
      </c>
      <c r="X164" s="3" t="s">
        <v>475</v>
      </c>
      <c r="Y164" s="3" t="s">
        <v>29</v>
      </c>
      <c r="Z164" s="3" t="s">
        <v>476</v>
      </c>
    </row>
    <row r="165" spans="1:26" x14ac:dyDescent="0.2">
      <c r="A165" s="3" t="str">
        <f t="shared" si="14"/>
        <v>TRIP-T-196</v>
      </c>
      <c r="B165" s="28">
        <v>45806</v>
      </c>
      <c r="C165" s="3" t="str">
        <f>_xlfn.XLOOKUP(D165,'[1]Jan Customer Duplicate Hyva'!$B:$B,'[1]Jan Customer Duplicate Hyva'!$A:$A,"NOT FOUND")</f>
        <v>CUST-120</v>
      </c>
      <c r="D165" s="26" t="s">
        <v>122</v>
      </c>
      <c r="E165" s="3"/>
      <c r="F165" s="3"/>
      <c r="G165" s="3"/>
      <c r="H165" s="3"/>
      <c r="I165" s="3"/>
      <c r="J165" s="3"/>
      <c r="K165" s="3"/>
      <c r="L165" s="26" t="s">
        <v>56</v>
      </c>
      <c r="M165" s="27">
        <v>3</v>
      </c>
      <c r="N165" s="13">
        <v>5500</v>
      </c>
      <c r="O165" s="13">
        <f t="shared" si="15"/>
        <v>16500</v>
      </c>
      <c r="P165" s="13">
        <v>16500</v>
      </c>
      <c r="Q165" s="13">
        <f t="shared" si="16"/>
        <v>0</v>
      </c>
      <c r="R165" s="3"/>
      <c r="S165" s="3"/>
      <c r="T165" s="3">
        <f t="shared" si="17"/>
        <v>16500</v>
      </c>
      <c r="U165" s="3" t="str">
        <f t="shared" si="18"/>
        <v>OK</v>
      </c>
      <c r="V165" s="21">
        <f t="shared" si="19"/>
        <v>0</v>
      </c>
      <c r="W165" s="3" t="str">
        <f t="shared" si="20"/>
        <v>OK</v>
      </c>
      <c r="X165" s="3" t="s">
        <v>475</v>
      </c>
      <c r="Y165" s="3" t="s">
        <v>29</v>
      </c>
      <c r="Z165" s="3" t="s">
        <v>476</v>
      </c>
    </row>
    <row r="166" spans="1:26" x14ac:dyDescent="0.2">
      <c r="A166" s="3" t="str">
        <f t="shared" si="14"/>
        <v>TRIP-T-197</v>
      </c>
      <c r="B166" s="2">
        <v>45806</v>
      </c>
      <c r="C166" s="3" t="str">
        <f>_xlfn.XLOOKUP(D166,'[1]Jan Customer Duplicate Hyva'!$B:$B,'[1]Jan Customer Duplicate Hyva'!$A:$A,"NOT FOUND")</f>
        <v>NOT FOUND</v>
      </c>
      <c r="D166" s="26" t="s">
        <v>603</v>
      </c>
      <c r="E166" s="3"/>
      <c r="F166" s="3"/>
      <c r="G166" s="3"/>
      <c r="H166" s="3"/>
      <c r="I166" s="3"/>
      <c r="J166" s="3"/>
      <c r="K166" s="3"/>
      <c r="L166" s="26" t="s">
        <v>63</v>
      </c>
      <c r="M166" s="27">
        <v>1</v>
      </c>
      <c r="N166" s="13">
        <v>5000</v>
      </c>
      <c r="O166" s="13">
        <f t="shared" si="15"/>
        <v>5000</v>
      </c>
      <c r="P166" s="13">
        <v>5000</v>
      </c>
      <c r="Q166" s="13">
        <f t="shared" si="16"/>
        <v>0</v>
      </c>
      <c r="R166" s="3"/>
      <c r="S166" s="3"/>
      <c r="T166" s="3">
        <f t="shared" si="17"/>
        <v>5000</v>
      </c>
      <c r="U166" s="3" t="str">
        <f t="shared" si="18"/>
        <v>OK</v>
      </c>
      <c r="V166" s="21">
        <f t="shared" si="19"/>
        <v>0</v>
      </c>
      <c r="W166" s="3" t="str">
        <f t="shared" si="20"/>
        <v>OK</v>
      </c>
      <c r="X166" s="3" t="s">
        <v>475</v>
      </c>
      <c r="Y166" s="3" t="s">
        <v>29</v>
      </c>
      <c r="Z166" s="3" t="s">
        <v>476</v>
      </c>
    </row>
    <row r="167" spans="1:26" x14ac:dyDescent="0.2">
      <c r="A167" s="3" t="str">
        <f t="shared" si="14"/>
        <v>TRIP-T-198</v>
      </c>
      <c r="B167" s="28">
        <v>45807</v>
      </c>
      <c r="C167" s="3" t="str">
        <f>_xlfn.XLOOKUP(D167,'[1]Jan Customer Duplicate Hyva'!$B:$B,'[1]Jan Customer Duplicate Hyva'!$A:$A,"NOT FOUND")</f>
        <v>CUST-276</v>
      </c>
      <c r="D167" s="11" t="s">
        <v>323</v>
      </c>
      <c r="E167" s="3"/>
      <c r="F167" s="3"/>
      <c r="G167" s="3"/>
      <c r="H167" s="3"/>
      <c r="I167" s="3"/>
      <c r="J167" s="3"/>
      <c r="K167" s="3"/>
      <c r="L167" s="11" t="s">
        <v>305</v>
      </c>
      <c r="M167" s="12">
        <v>1</v>
      </c>
      <c r="N167" s="13">
        <v>5000</v>
      </c>
      <c r="O167" s="13">
        <f t="shared" si="15"/>
        <v>5000</v>
      </c>
      <c r="P167" s="13">
        <v>5000</v>
      </c>
      <c r="Q167" s="13">
        <f t="shared" si="16"/>
        <v>0</v>
      </c>
      <c r="R167" s="3"/>
      <c r="S167" s="3"/>
      <c r="T167" s="3">
        <f t="shared" si="17"/>
        <v>5000</v>
      </c>
      <c r="U167" s="3" t="str">
        <f t="shared" si="18"/>
        <v>OK</v>
      </c>
      <c r="V167" s="21">
        <f t="shared" si="19"/>
        <v>0</v>
      </c>
      <c r="W167" s="3" t="str">
        <f t="shared" si="20"/>
        <v>OK</v>
      </c>
      <c r="X167" s="3" t="s">
        <v>475</v>
      </c>
      <c r="Y167" s="3" t="s">
        <v>29</v>
      </c>
      <c r="Z167" s="3" t="s">
        <v>476</v>
      </c>
    </row>
    <row r="168" spans="1:26" x14ac:dyDescent="0.2">
      <c r="A168" s="3" t="str">
        <f t="shared" si="14"/>
        <v>TRIP-T-199</v>
      </c>
      <c r="B168" s="28">
        <v>45807</v>
      </c>
      <c r="C168" s="3" t="str">
        <f>_xlfn.XLOOKUP(D168,'[1]Jan Customer Duplicate Hyva'!$B:$B,'[1]Jan Customer Duplicate Hyva'!$A:$A,"NOT FOUND")</f>
        <v>CUST-017</v>
      </c>
      <c r="D168" s="26" t="s">
        <v>151</v>
      </c>
      <c r="E168" s="3"/>
      <c r="F168" s="3"/>
      <c r="G168" s="3"/>
      <c r="H168" s="3"/>
      <c r="I168" s="3"/>
      <c r="J168" s="3"/>
      <c r="K168" s="3"/>
      <c r="L168" s="11" t="s">
        <v>152</v>
      </c>
      <c r="M168" s="12">
        <v>1</v>
      </c>
      <c r="N168" s="13">
        <v>5500</v>
      </c>
      <c r="O168" s="13">
        <f t="shared" si="15"/>
        <v>5500</v>
      </c>
      <c r="P168" s="13">
        <v>5500</v>
      </c>
      <c r="Q168" s="13">
        <f t="shared" si="16"/>
        <v>0</v>
      </c>
      <c r="R168" s="3"/>
      <c r="S168" s="3"/>
      <c r="T168" s="3">
        <f t="shared" si="17"/>
        <v>5500</v>
      </c>
      <c r="U168" s="3" t="str">
        <f t="shared" si="18"/>
        <v>OK</v>
      </c>
      <c r="V168" s="21">
        <f t="shared" si="19"/>
        <v>0</v>
      </c>
      <c r="W168" s="3" t="str">
        <f t="shared" si="20"/>
        <v>OK</v>
      </c>
      <c r="X168" s="3" t="s">
        <v>475</v>
      </c>
      <c r="Y168" s="3" t="s">
        <v>29</v>
      </c>
      <c r="Z168" s="3" t="s">
        <v>476</v>
      </c>
    </row>
    <row r="169" spans="1:26" x14ac:dyDescent="0.2">
      <c r="A169" s="3" t="str">
        <f t="shared" si="14"/>
        <v>TRIP-T-200</v>
      </c>
      <c r="B169" s="28">
        <v>45807</v>
      </c>
      <c r="C169" s="3" t="str">
        <f>_xlfn.XLOOKUP(D169,'[1]Jan Customer Duplicate Hyva'!$B:$B,'[1]Jan Customer Duplicate Hyva'!$A:$A,"NOT FOUND")</f>
        <v>CUST-021</v>
      </c>
      <c r="D169" s="11" t="s">
        <v>570</v>
      </c>
      <c r="E169" s="3"/>
      <c r="F169" s="3"/>
      <c r="G169" s="3"/>
      <c r="H169" s="3"/>
      <c r="I169" s="3"/>
      <c r="J169" s="3"/>
      <c r="K169" s="3"/>
      <c r="L169" s="11" t="s">
        <v>498</v>
      </c>
      <c r="M169" s="12">
        <v>1</v>
      </c>
      <c r="N169" s="13">
        <v>0</v>
      </c>
      <c r="O169" s="13">
        <f t="shared" si="15"/>
        <v>0</v>
      </c>
      <c r="P169" s="13"/>
      <c r="Q169" s="13">
        <f t="shared" si="16"/>
        <v>0</v>
      </c>
      <c r="R169" s="3"/>
      <c r="S169" s="3"/>
      <c r="T169" s="3">
        <f t="shared" si="17"/>
        <v>0</v>
      </c>
      <c r="U169" s="3" t="str">
        <f t="shared" si="18"/>
        <v>OK</v>
      </c>
      <c r="V169" s="21">
        <f t="shared" si="19"/>
        <v>0</v>
      </c>
      <c r="W169" s="3" t="str">
        <f t="shared" si="20"/>
        <v>OK</v>
      </c>
      <c r="X169" s="3" t="s">
        <v>475</v>
      </c>
      <c r="Y169" s="3" t="s">
        <v>29</v>
      </c>
      <c r="Z169" s="3" t="s">
        <v>476</v>
      </c>
    </row>
    <row r="170" spans="1:26" x14ac:dyDescent="0.2">
      <c r="A170" s="3" t="str">
        <f t="shared" si="14"/>
        <v>TRIP-T-201</v>
      </c>
      <c r="B170" s="28">
        <v>45807</v>
      </c>
      <c r="C170" s="3" t="str">
        <f>_xlfn.XLOOKUP(D170,'[1]Jan Customer Duplicate Hyva'!$B:$B,'[1]Jan Customer Duplicate Hyva'!$A:$A,"NOT FOUND")</f>
        <v>CUST-040</v>
      </c>
      <c r="D170" s="26" t="s">
        <v>600</v>
      </c>
      <c r="E170" s="3"/>
      <c r="F170" s="3"/>
      <c r="G170" s="3"/>
      <c r="H170" s="3"/>
      <c r="I170" s="3"/>
      <c r="J170" s="3"/>
      <c r="K170" s="3"/>
      <c r="L170" s="11" t="s">
        <v>33</v>
      </c>
      <c r="M170" s="12">
        <v>1</v>
      </c>
      <c r="N170" s="13">
        <v>5000</v>
      </c>
      <c r="O170" s="13">
        <f t="shared" si="15"/>
        <v>5000</v>
      </c>
      <c r="P170" s="13">
        <v>5000</v>
      </c>
      <c r="Q170" s="13">
        <f t="shared" si="16"/>
        <v>0</v>
      </c>
      <c r="R170" s="3"/>
      <c r="S170" s="3"/>
      <c r="T170" s="3">
        <f t="shared" si="17"/>
        <v>5000</v>
      </c>
      <c r="U170" s="3" t="str">
        <f t="shared" si="18"/>
        <v>OK</v>
      </c>
      <c r="V170" s="21">
        <f t="shared" si="19"/>
        <v>0</v>
      </c>
      <c r="W170" s="3" t="str">
        <f t="shared" si="20"/>
        <v>OK</v>
      </c>
      <c r="X170" s="3" t="s">
        <v>475</v>
      </c>
      <c r="Y170" s="3" t="s">
        <v>29</v>
      </c>
      <c r="Z170" s="3" t="s">
        <v>476</v>
      </c>
    </row>
    <row r="171" spans="1:26" x14ac:dyDescent="0.2">
      <c r="A171" s="3" t="str">
        <f t="shared" si="14"/>
        <v>TRIP-T-202</v>
      </c>
      <c r="B171" s="2">
        <v>45807</v>
      </c>
      <c r="C171" s="3" t="str">
        <f>_xlfn.XLOOKUP(D171,'[1]Jan Customer Duplicate Hyva'!$B:$B,'[1]Jan Customer Duplicate Hyva'!$A:$A,"NOT FOUND")</f>
        <v>CUST-040</v>
      </c>
      <c r="D171" s="26" t="s">
        <v>600</v>
      </c>
      <c r="E171" s="3"/>
      <c r="F171" s="3"/>
      <c r="G171" s="3"/>
      <c r="H171" s="3"/>
      <c r="I171" s="3"/>
      <c r="J171" s="3"/>
      <c r="K171" s="3"/>
      <c r="L171" s="11" t="s">
        <v>33</v>
      </c>
      <c r="M171" s="12">
        <v>1</v>
      </c>
      <c r="N171" s="13">
        <v>5000</v>
      </c>
      <c r="O171" s="13">
        <f t="shared" si="15"/>
        <v>5000</v>
      </c>
      <c r="P171" s="13">
        <v>5000</v>
      </c>
      <c r="Q171" s="13">
        <f t="shared" si="16"/>
        <v>0</v>
      </c>
      <c r="R171" s="3"/>
      <c r="S171" s="3"/>
      <c r="T171" s="3">
        <f t="shared" si="17"/>
        <v>5000</v>
      </c>
      <c r="U171" s="3" t="str">
        <f t="shared" si="18"/>
        <v>OK</v>
      </c>
      <c r="V171" s="21">
        <f t="shared" si="19"/>
        <v>0</v>
      </c>
      <c r="W171" s="3" t="str">
        <f t="shared" si="20"/>
        <v>OK</v>
      </c>
      <c r="X171" s="3" t="s">
        <v>475</v>
      </c>
      <c r="Y171" s="3" t="s">
        <v>29</v>
      </c>
      <c r="Z171" s="3" t="s">
        <v>476</v>
      </c>
    </row>
    <row r="172" spans="1:26" x14ac:dyDescent="0.2">
      <c r="A172" s="3" t="str">
        <f t="shared" si="14"/>
        <v>TRIP-T-203</v>
      </c>
      <c r="B172" s="2">
        <v>45807</v>
      </c>
      <c r="C172" s="3" t="str">
        <f>_xlfn.XLOOKUP(D172,'[1]Jan Customer Duplicate Hyva'!$B:$B,'[1]Jan Customer Duplicate Hyva'!$A:$A,"NOT FOUND")</f>
        <v>CUST-165</v>
      </c>
      <c r="D172" s="26" t="s">
        <v>593</v>
      </c>
      <c r="E172" s="3"/>
      <c r="F172" s="3"/>
      <c r="G172" s="3"/>
      <c r="H172" s="3"/>
      <c r="I172" s="3"/>
      <c r="J172" s="3"/>
      <c r="K172" s="3"/>
      <c r="L172" s="11" t="s">
        <v>172</v>
      </c>
      <c r="M172" s="12">
        <v>1</v>
      </c>
      <c r="N172" s="13">
        <v>5000</v>
      </c>
      <c r="O172" s="13">
        <f t="shared" si="15"/>
        <v>5000</v>
      </c>
      <c r="P172" s="13">
        <v>5000</v>
      </c>
      <c r="Q172" s="13">
        <f t="shared" si="16"/>
        <v>0</v>
      </c>
      <c r="R172" s="3"/>
      <c r="S172" s="3"/>
      <c r="T172" s="3">
        <f t="shared" si="17"/>
        <v>5000</v>
      </c>
      <c r="U172" s="3" t="str">
        <f t="shared" si="18"/>
        <v>OK</v>
      </c>
      <c r="V172" s="21">
        <f t="shared" si="19"/>
        <v>0</v>
      </c>
      <c r="W172" s="3" t="str">
        <f t="shared" si="20"/>
        <v>OK</v>
      </c>
      <c r="X172" s="3" t="s">
        <v>475</v>
      </c>
      <c r="Y172" s="3" t="s">
        <v>29</v>
      </c>
      <c r="Z172" s="3" t="s">
        <v>476</v>
      </c>
    </row>
    <row r="173" spans="1:26" x14ac:dyDescent="0.2">
      <c r="A173" s="3" t="str">
        <f t="shared" si="14"/>
        <v>TRIP-T-204</v>
      </c>
      <c r="B173" s="28">
        <v>45808</v>
      </c>
      <c r="C173" s="3" t="str">
        <f>_xlfn.XLOOKUP(D173,'[1]Jan Customer Duplicate Hyva'!$B:$B,'[1]Jan Customer Duplicate Hyva'!$A:$A,"NOT FOUND")</f>
        <v>NOT FOUND</v>
      </c>
      <c r="D173" s="11" t="s">
        <v>604</v>
      </c>
      <c r="E173" s="3"/>
      <c r="F173" s="3"/>
      <c r="G173" s="3"/>
      <c r="H173" s="3"/>
      <c r="I173" s="3"/>
      <c r="J173" s="3"/>
      <c r="K173" s="3"/>
      <c r="L173" s="11" t="s">
        <v>33</v>
      </c>
      <c r="M173" s="12">
        <v>1</v>
      </c>
      <c r="N173" s="13">
        <v>4000</v>
      </c>
      <c r="O173" s="13">
        <f t="shared" si="15"/>
        <v>4000</v>
      </c>
      <c r="P173" s="13">
        <v>4000</v>
      </c>
      <c r="Q173" s="13">
        <f t="shared" si="16"/>
        <v>0</v>
      </c>
      <c r="R173" s="3"/>
      <c r="S173" s="3"/>
      <c r="T173" s="3">
        <f t="shared" si="17"/>
        <v>4000</v>
      </c>
      <c r="U173" s="3" t="str">
        <f t="shared" si="18"/>
        <v>OK</v>
      </c>
      <c r="V173" s="21">
        <f t="shared" si="19"/>
        <v>0</v>
      </c>
      <c r="W173" s="3" t="str">
        <f t="shared" si="20"/>
        <v>OK</v>
      </c>
      <c r="X173" s="3" t="s">
        <v>475</v>
      </c>
      <c r="Y173" s="3" t="s">
        <v>29</v>
      </c>
      <c r="Z173" s="3" t="s">
        <v>476</v>
      </c>
    </row>
    <row r="174" spans="1:26" x14ac:dyDescent="0.2">
      <c r="A174" s="3" t="str">
        <f t="shared" si="14"/>
        <v>TRIP-T-205</v>
      </c>
      <c r="B174" s="28">
        <v>45808</v>
      </c>
      <c r="C174" s="3" t="str">
        <f>_xlfn.XLOOKUP(D174,'[1]Jan Customer Duplicate Hyva'!$B:$B,'[1]Jan Customer Duplicate Hyva'!$A:$A,"NOT FOUND")</f>
        <v>CUST-206</v>
      </c>
      <c r="D174" s="26" t="s">
        <v>158</v>
      </c>
      <c r="E174" s="3"/>
      <c r="F174" s="3"/>
      <c r="G174" s="3"/>
      <c r="H174" s="3"/>
      <c r="I174" s="3"/>
      <c r="J174" s="3"/>
      <c r="K174" s="3"/>
      <c r="L174" s="26" t="s">
        <v>605</v>
      </c>
      <c r="M174" s="27">
        <v>2</v>
      </c>
      <c r="N174" s="13">
        <v>1250</v>
      </c>
      <c r="O174" s="13">
        <f t="shared" si="15"/>
        <v>2500</v>
      </c>
      <c r="P174" s="13">
        <v>2500</v>
      </c>
      <c r="Q174" s="13">
        <f t="shared" si="16"/>
        <v>0</v>
      </c>
      <c r="R174" s="3"/>
      <c r="S174" s="3"/>
      <c r="T174" s="3">
        <f t="shared" si="17"/>
        <v>2500</v>
      </c>
      <c r="U174" s="3" t="str">
        <f t="shared" si="18"/>
        <v>OK</v>
      </c>
      <c r="V174" s="21">
        <f t="shared" si="19"/>
        <v>0</v>
      </c>
      <c r="W174" s="3" t="str">
        <f t="shared" si="20"/>
        <v>OK</v>
      </c>
      <c r="X174" s="3" t="s">
        <v>475</v>
      </c>
      <c r="Y174" s="3" t="s">
        <v>29</v>
      </c>
      <c r="Z174" s="3" t="s">
        <v>476</v>
      </c>
    </row>
    <row r="175" spans="1:26" x14ac:dyDescent="0.2">
      <c r="A175" s="3" t="str">
        <f t="shared" si="14"/>
        <v>TRIP-T-206</v>
      </c>
      <c r="B175" s="28">
        <v>45808</v>
      </c>
      <c r="C175" s="3" t="str">
        <f>_xlfn.XLOOKUP(D175,'[1]Jan Customer Duplicate Hyva'!$B:$B,'[1]Jan Customer Duplicate Hyva'!$A:$A,"NOT FOUND")</f>
        <v>CUST-206</v>
      </c>
      <c r="D175" s="26" t="s">
        <v>158</v>
      </c>
      <c r="E175" s="3"/>
      <c r="F175" s="3"/>
      <c r="G175" s="3"/>
      <c r="H175" s="3"/>
      <c r="I175" s="3"/>
      <c r="J175" s="3"/>
      <c r="K175" s="3"/>
      <c r="L175" s="26" t="s">
        <v>142</v>
      </c>
      <c r="M175" s="27">
        <v>1</v>
      </c>
      <c r="N175" s="13">
        <v>5000</v>
      </c>
      <c r="O175" s="13">
        <f t="shared" si="15"/>
        <v>5000</v>
      </c>
      <c r="P175" s="13">
        <v>5000</v>
      </c>
      <c r="Q175" s="13">
        <f t="shared" si="16"/>
        <v>0</v>
      </c>
      <c r="R175" s="3"/>
      <c r="S175" s="3"/>
      <c r="T175" s="3">
        <f t="shared" si="17"/>
        <v>5000</v>
      </c>
      <c r="U175" s="3" t="str">
        <f t="shared" si="18"/>
        <v>OK</v>
      </c>
      <c r="V175" s="21">
        <f t="shared" si="19"/>
        <v>0</v>
      </c>
      <c r="W175" s="3" t="str">
        <f t="shared" si="20"/>
        <v>OK</v>
      </c>
      <c r="X175" s="3" t="s">
        <v>475</v>
      </c>
      <c r="Y175" s="3" t="s">
        <v>29</v>
      </c>
      <c r="Z175" s="3" t="s">
        <v>476</v>
      </c>
    </row>
    <row r="176" spans="1:26" x14ac:dyDescent="0.2">
      <c r="A176" s="3" t="str">
        <f t="shared" si="14"/>
        <v>TRIP-T-207</v>
      </c>
      <c r="B176" s="2">
        <v>45808</v>
      </c>
      <c r="C176" s="3" t="str">
        <f>_xlfn.XLOOKUP(D176,'[1]Jan Customer Duplicate Hyva'!$B:$B,'[1]Jan Customer Duplicate Hyva'!$A:$A,"NOT FOUND")</f>
        <v>CUST-040</v>
      </c>
      <c r="D176" s="26" t="s">
        <v>600</v>
      </c>
      <c r="E176" s="3"/>
      <c r="F176" s="3"/>
      <c r="G176" s="3"/>
      <c r="H176" s="3"/>
      <c r="I176" s="3"/>
      <c r="J176" s="3"/>
      <c r="K176" s="3"/>
      <c r="L176" s="26" t="s">
        <v>33</v>
      </c>
      <c r="M176" s="27">
        <v>1</v>
      </c>
      <c r="N176" s="13">
        <v>5000</v>
      </c>
      <c r="O176" s="13">
        <f t="shared" si="15"/>
        <v>5000</v>
      </c>
      <c r="P176" s="13">
        <v>5000</v>
      </c>
      <c r="Q176" s="13">
        <f t="shared" si="16"/>
        <v>0</v>
      </c>
      <c r="R176" s="3"/>
      <c r="S176" s="3"/>
      <c r="T176" s="3">
        <f t="shared" si="17"/>
        <v>5000</v>
      </c>
      <c r="U176" s="3" t="str">
        <f t="shared" si="18"/>
        <v>OK</v>
      </c>
      <c r="V176" s="21">
        <f t="shared" si="19"/>
        <v>0</v>
      </c>
      <c r="W176" s="3" t="str">
        <f t="shared" si="20"/>
        <v>OK</v>
      </c>
      <c r="X176" s="3" t="s">
        <v>475</v>
      </c>
      <c r="Y176" s="3" t="s">
        <v>29</v>
      </c>
      <c r="Z176" s="3" t="s">
        <v>476</v>
      </c>
    </row>
    <row r="177" spans="1:26" x14ac:dyDescent="0.2">
      <c r="A177" s="3" t="str">
        <f t="shared" si="14"/>
        <v>TRIP-T-208</v>
      </c>
      <c r="B177" s="2">
        <v>45808</v>
      </c>
      <c r="C177" s="3" t="str">
        <f>_xlfn.XLOOKUP(D177,'[1]Jan Customer Duplicate Hyva'!$B:$B,'[1]Jan Customer Duplicate Hyva'!$A:$A,"NOT FOUND")</f>
        <v>CUST-058</v>
      </c>
      <c r="D177" s="26" t="s">
        <v>484</v>
      </c>
      <c r="E177" s="3"/>
      <c r="F177" s="3"/>
      <c r="G177" s="3"/>
      <c r="H177" s="3"/>
      <c r="I177" s="3"/>
      <c r="J177" s="3"/>
      <c r="K177" s="3"/>
      <c r="L177" s="26" t="s">
        <v>33</v>
      </c>
      <c r="M177" s="27">
        <v>1</v>
      </c>
      <c r="N177" s="13">
        <v>4000</v>
      </c>
      <c r="O177" s="13">
        <f t="shared" si="15"/>
        <v>4000</v>
      </c>
      <c r="P177" s="13">
        <v>4000</v>
      </c>
      <c r="Q177" s="13">
        <f t="shared" si="16"/>
        <v>0</v>
      </c>
      <c r="R177" s="3"/>
      <c r="S177" s="3"/>
      <c r="T177" s="3">
        <f t="shared" si="17"/>
        <v>4000</v>
      </c>
      <c r="U177" s="3" t="str">
        <f t="shared" si="18"/>
        <v>OK</v>
      </c>
      <c r="V177" s="21">
        <f t="shared" si="19"/>
        <v>0</v>
      </c>
      <c r="W177" s="3" t="str">
        <f t="shared" si="20"/>
        <v>OK</v>
      </c>
      <c r="X177" s="3" t="s">
        <v>475</v>
      </c>
      <c r="Y177" s="3" t="s">
        <v>29</v>
      </c>
      <c r="Z177" s="3" t="s">
        <v>476</v>
      </c>
    </row>
    <row r="178" spans="1:26" x14ac:dyDescent="0.2">
      <c r="A178" s="3" t="str">
        <f t="shared" si="14"/>
        <v>TRIP-T-209</v>
      </c>
      <c r="B178" s="2">
        <v>45809</v>
      </c>
      <c r="C178" s="3" t="str">
        <f>_xlfn.XLOOKUP(D178,'[1]Jan Customer Duplicate Hyva'!$B:$B,'[1]Jan Customer Duplicate Hyva'!$A:$A,"NOT FOUND")</f>
        <v>CUST-206</v>
      </c>
      <c r="D178" s="26" t="s">
        <v>158</v>
      </c>
      <c r="E178" s="3"/>
      <c r="F178" s="3"/>
      <c r="G178" s="3"/>
      <c r="H178" s="3"/>
      <c r="I178" s="3"/>
      <c r="J178" s="3"/>
      <c r="K178" s="3"/>
      <c r="L178" s="26" t="s">
        <v>142</v>
      </c>
      <c r="M178" s="27">
        <v>1</v>
      </c>
      <c r="N178" s="13">
        <v>5000</v>
      </c>
      <c r="O178" s="13">
        <f t="shared" si="15"/>
        <v>5000</v>
      </c>
      <c r="P178" s="13">
        <v>5000</v>
      </c>
      <c r="Q178" s="13">
        <f t="shared" si="16"/>
        <v>0</v>
      </c>
      <c r="R178" s="3"/>
      <c r="S178" s="3"/>
      <c r="T178" s="3">
        <f t="shared" si="17"/>
        <v>5000</v>
      </c>
      <c r="U178" s="3" t="str">
        <f t="shared" si="18"/>
        <v>OK</v>
      </c>
      <c r="V178" s="21">
        <f t="shared" si="19"/>
        <v>0</v>
      </c>
      <c r="W178" s="3" t="str">
        <f t="shared" si="20"/>
        <v>OK</v>
      </c>
      <c r="X178" s="3" t="s">
        <v>475</v>
      </c>
      <c r="Y178" s="3" t="s">
        <v>29</v>
      </c>
      <c r="Z178" s="3" t="s">
        <v>476</v>
      </c>
    </row>
    <row r="179" spans="1:26" x14ac:dyDescent="0.2">
      <c r="A179" s="3" t="str">
        <f t="shared" si="14"/>
        <v>TRIP-T-210</v>
      </c>
      <c r="B179" s="2">
        <v>45810</v>
      </c>
      <c r="C179" s="3" t="str">
        <f>_xlfn.XLOOKUP(D179,'[1]Jan Customer Duplicate Hyva'!$B:$B,'[1]Jan Customer Duplicate Hyva'!$A:$A,"NOT FOUND")</f>
        <v>CUST-361</v>
      </c>
      <c r="D179" s="26" t="s">
        <v>606</v>
      </c>
      <c r="E179" s="3"/>
      <c r="F179" s="3"/>
      <c r="G179" s="3"/>
      <c r="H179" s="3"/>
      <c r="I179" s="3"/>
      <c r="J179" s="3"/>
      <c r="K179" s="3"/>
      <c r="L179" s="26" t="s">
        <v>120</v>
      </c>
      <c r="M179" s="27">
        <v>1</v>
      </c>
      <c r="N179" s="13">
        <v>5000</v>
      </c>
      <c r="O179" s="13">
        <f t="shared" si="15"/>
        <v>5000</v>
      </c>
      <c r="P179" s="13"/>
      <c r="Q179" s="13">
        <f t="shared" si="16"/>
        <v>5000</v>
      </c>
      <c r="R179" s="3"/>
      <c r="S179" s="3"/>
      <c r="T179" s="3">
        <f t="shared" si="17"/>
        <v>5000</v>
      </c>
      <c r="U179" s="3" t="str">
        <f t="shared" si="18"/>
        <v>OK</v>
      </c>
      <c r="V179" s="21">
        <f t="shared" si="19"/>
        <v>5000</v>
      </c>
      <c r="W179" s="3" t="str">
        <f t="shared" si="20"/>
        <v>OK</v>
      </c>
      <c r="X179" s="3" t="s">
        <v>475</v>
      </c>
      <c r="Y179" s="3" t="s">
        <v>29</v>
      </c>
      <c r="Z179" s="3" t="s">
        <v>476</v>
      </c>
    </row>
    <row r="180" spans="1:26" x14ac:dyDescent="0.2">
      <c r="A180" s="3" t="str">
        <f t="shared" si="14"/>
        <v>TRIP-T-211</v>
      </c>
      <c r="B180" s="2">
        <v>45810</v>
      </c>
      <c r="C180" s="3" t="str">
        <f>_xlfn.XLOOKUP(D180,'[1]Jan Customer Duplicate Hyva'!$B:$B,'[1]Jan Customer Duplicate Hyva'!$A:$A,"NOT FOUND")</f>
        <v>NOT FOUND</v>
      </c>
      <c r="D180" s="26" t="s">
        <v>552</v>
      </c>
      <c r="E180" s="3"/>
      <c r="F180" s="3"/>
      <c r="G180" s="3"/>
      <c r="H180" s="3"/>
      <c r="I180" s="3"/>
      <c r="J180" s="3"/>
      <c r="K180" s="3"/>
      <c r="L180" s="26" t="s">
        <v>152</v>
      </c>
      <c r="M180" s="27">
        <v>1</v>
      </c>
      <c r="N180" s="13">
        <v>5000</v>
      </c>
      <c r="O180" s="13">
        <f t="shared" si="15"/>
        <v>5000</v>
      </c>
      <c r="P180" s="13">
        <v>5000</v>
      </c>
      <c r="Q180" s="13">
        <f t="shared" si="16"/>
        <v>0</v>
      </c>
      <c r="R180" s="3"/>
      <c r="S180" s="3"/>
      <c r="T180" s="3">
        <f t="shared" si="17"/>
        <v>5000</v>
      </c>
      <c r="U180" s="3" t="str">
        <f t="shared" si="18"/>
        <v>OK</v>
      </c>
      <c r="V180" s="21">
        <f t="shared" si="19"/>
        <v>0</v>
      </c>
      <c r="W180" s="3" t="str">
        <f t="shared" si="20"/>
        <v>OK</v>
      </c>
      <c r="X180" s="3" t="s">
        <v>475</v>
      </c>
      <c r="Y180" s="3" t="s">
        <v>29</v>
      </c>
      <c r="Z180" s="3" t="s">
        <v>476</v>
      </c>
    </row>
    <row r="181" spans="1:26" x14ac:dyDescent="0.2">
      <c r="A181" s="3" t="str">
        <f t="shared" si="14"/>
        <v>TRIP-T-212</v>
      </c>
      <c r="B181" s="2">
        <v>45810</v>
      </c>
      <c r="C181" s="3" t="str">
        <f>_xlfn.XLOOKUP(D181,'[1]Jan Customer Duplicate Hyva'!$B:$B,'[1]Jan Customer Duplicate Hyva'!$A:$A,"NOT FOUND")</f>
        <v>CUST-059</v>
      </c>
      <c r="D181" s="26" t="s">
        <v>84</v>
      </c>
      <c r="E181" s="3"/>
      <c r="F181" s="3"/>
      <c r="G181" s="3"/>
      <c r="H181" s="3"/>
      <c r="I181" s="3"/>
      <c r="J181" s="3"/>
      <c r="K181" s="3"/>
      <c r="L181" s="26" t="s">
        <v>120</v>
      </c>
      <c r="M181" s="27">
        <v>5</v>
      </c>
      <c r="N181" s="13">
        <v>5500</v>
      </c>
      <c r="O181" s="13">
        <f t="shared" si="15"/>
        <v>27500</v>
      </c>
      <c r="P181" s="13">
        <v>27500</v>
      </c>
      <c r="Q181" s="13">
        <f t="shared" si="16"/>
        <v>0</v>
      </c>
      <c r="R181" s="3"/>
      <c r="S181" s="3"/>
      <c r="T181" s="3">
        <f t="shared" si="17"/>
        <v>27500</v>
      </c>
      <c r="U181" s="3" t="str">
        <f t="shared" si="18"/>
        <v>OK</v>
      </c>
      <c r="V181" s="21">
        <f t="shared" si="19"/>
        <v>0</v>
      </c>
      <c r="W181" s="3" t="str">
        <f t="shared" si="20"/>
        <v>OK</v>
      </c>
      <c r="X181" s="3" t="s">
        <v>475</v>
      </c>
      <c r="Y181" s="3" t="s">
        <v>29</v>
      </c>
      <c r="Z181" s="3" t="s">
        <v>476</v>
      </c>
    </row>
    <row r="182" spans="1:26" x14ac:dyDescent="0.2">
      <c r="A182" s="3" t="str">
        <f t="shared" si="14"/>
        <v>TRIP-T-213</v>
      </c>
      <c r="B182" s="2">
        <v>45811</v>
      </c>
      <c r="C182" s="3" t="str">
        <f>_xlfn.XLOOKUP(D182,'[1]Jan Customer Duplicate Hyva'!$B:$B,'[1]Jan Customer Duplicate Hyva'!$A:$A,"NOT FOUND")</f>
        <v>CUST-040</v>
      </c>
      <c r="D182" s="26" t="s">
        <v>600</v>
      </c>
      <c r="E182" s="3"/>
      <c r="F182" s="3"/>
      <c r="G182" s="3"/>
      <c r="H182" s="3"/>
      <c r="I182" s="3"/>
      <c r="J182" s="3"/>
      <c r="K182" s="3"/>
      <c r="L182" s="26" t="s">
        <v>33</v>
      </c>
      <c r="M182" s="27">
        <v>1</v>
      </c>
      <c r="N182" s="13">
        <v>5000</v>
      </c>
      <c r="O182" s="13">
        <f t="shared" si="15"/>
        <v>5000</v>
      </c>
      <c r="P182" s="13">
        <v>5000</v>
      </c>
      <c r="Q182" s="13">
        <f t="shared" si="16"/>
        <v>0</v>
      </c>
      <c r="R182" s="3"/>
      <c r="S182" s="3"/>
      <c r="T182" s="3">
        <f t="shared" si="17"/>
        <v>5000</v>
      </c>
      <c r="U182" s="3" t="str">
        <f t="shared" si="18"/>
        <v>OK</v>
      </c>
      <c r="V182" s="21">
        <f t="shared" si="19"/>
        <v>0</v>
      </c>
      <c r="W182" s="3" t="str">
        <f t="shared" si="20"/>
        <v>OK</v>
      </c>
      <c r="X182" s="3" t="s">
        <v>475</v>
      </c>
      <c r="Y182" s="3" t="s">
        <v>29</v>
      </c>
      <c r="Z182" s="3" t="s">
        <v>476</v>
      </c>
    </row>
    <row r="183" spans="1:26" x14ac:dyDescent="0.2">
      <c r="A183" s="3" t="str">
        <f t="shared" si="14"/>
        <v>TRIP-T-214</v>
      </c>
      <c r="B183" s="2">
        <v>45811</v>
      </c>
      <c r="C183" s="3" t="str">
        <f>_xlfn.XLOOKUP(D183,'[1]Jan Customer Duplicate Hyva'!$B:$B,'[1]Jan Customer Duplicate Hyva'!$A:$A,"NOT FOUND")</f>
        <v>NOT FOUND</v>
      </c>
      <c r="D183" s="26" t="s">
        <v>607</v>
      </c>
      <c r="E183" s="3"/>
      <c r="F183" s="3"/>
      <c r="G183" s="3"/>
      <c r="H183" s="3"/>
      <c r="I183" s="3"/>
      <c r="J183" s="3"/>
      <c r="K183" s="3"/>
      <c r="L183" s="26" t="s">
        <v>165</v>
      </c>
      <c r="M183" s="27">
        <v>1</v>
      </c>
      <c r="N183" s="13">
        <v>5500</v>
      </c>
      <c r="O183" s="13">
        <f t="shared" si="15"/>
        <v>5500</v>
      </c>
      <c r="P183" s="13">
        <v>5500</v>
      </c>
      <c r="Q183" s="13">
        <f t="shared" si="16"/>
        <v>0</v>
      </c>
      <c r="R183" s="3"/>
      <c r="S183" s="3"/>
      <c r="T183" s="3">
        <f t="shared" si="17"/>
        <v>5500</v>
      </c>
      <c r="U183" s="3" t="str">
        <f t="shared" si="18"/>
        <v>OK</v>
      </c>
      <c r="V183" s="21">
        <f t="shared" si="19"/>
        <v>0</v>
      </c>
      <c r="W183" s="3" t="str">
        <f t="shared" si="20"/>
        <v>OK</v>
      </c>
      <c r="X183" s="3" t="s">
        <v>475</v>
      </c>
      <c r="Y183" s="3" t="s">
        <v>29</v>
      </c>
      <c r="Z183" s="3" t="s">
        <v>476</v>
      </c>
    </row>
    <row r="184" spans="1:26" x14ac:dyDescent="0.2">
      <c r="A184" s="3" t="str">
        <f t="shared" si="14"/>
        <v>TRIP-T-215</v>
      </c>
      <c r="B184" s="2">
        <v>45811</v>
      </c>
      <c r="C184" s="3" t="str">
        <f>_xlfn.XLOOKUP(D184,'[1]Jan Customer Duplicate Hyva'!$B:$B,'[1]Jan Customer Duplicate Hyva'!$A:$A,"NOT FOUND")</f>
        <v>NOT FOUND</v>
      </c>
      <c r="D184" s="11" t="s">
        <v>543</v>
      </c>
      <c r="E184" s="3"/>
      <c r="F184" s="3"/>
      <c r="G184" s="3"/>
      <c r="H184" s="3"/>
      <c r="I184" s="3"/>
      <c r="J184" s="3"/>
      <c r="K184" s="3"/>
      <c r="L184" s="26" t="s">
        <v>172</v>
      </c>
      <c r="M184" s="27">
        <v>1</v>
      </c>
      <c r="N184" s="13">
        <v>4500</v>
      </c>
      <c r="O184" s="13">
        <f t="shared" si="15"/>
        <v>4500</v>
      </c>
      <c r="P184" s="13">
        <v>4500</v>
      </c>
      <c r="Q184" s="13">
        <f t="shared" si="16"/>
        <v>0</v>
      </c>
      <c r="R184" s="3"/>
      <c r="S184" s="3"/>
      <c r="T184" s="3">
        <f t="shared" si="17"/>
        <v>4500</v>
      </c>
      <c r="U184" s="3" t="str">
        <f t="shared" si="18"/>
        <v>OK</v>
      </c>
      <c r="V184" s="21">
        <f t="shared" si="19"/>
        <v>0</v>
      </c>
      <c r="W184" s="3" t="str">
        <f t="shared" si="20"/>
        <v>OK</v>
      </c>
      <c r="X184" s="3" t="s">
        <v>475</v>
      </c>
      <c r="Y184" s="3" t="s">
        <v>29</v>
      </c>
      <c r="Z184" s="3" t="s">
        <v>476</v>
      </c>
    </row>
    <row r="185" spans="1:26" x14ac:dyDescent="0.2">
      <c r="A185" s="3" t="str">
        <f t="shared" si="14"/>
        <v>TRIP-T-216</v>
      </c>
      <c r="B185" s="2">
        <v>45811</v>
      </c>
      <c r="C185" s="3" t="str">
        <f>_xlfn.XLOOKUP(D185,'[1]Jan Customer Duplicate Hyva'!$B:$B,'[1]Jan Customer Duplicate Hyva'!$A:$A,"NOT FOUND")</f>
        <v>CUST-310</v>
      </c>
      <c r="D185" s="26" t="s">
        <v>608</v>
      </c>
      <c r="E185" s="3"/>
      <c r="F185" s="3"/>
      <c r="G185" s="3"/>
      <c r="H185" s="3"/>
      <c r="I185" s="3"/>
      <c r="J185" s="3"/>
      <c r="K185" s="3"/>
      <c r="L185" s="26" t="s">
        <v>172</v>
      </c>
      <c r="M185" s="27">
        <v>1</v>
      </c>
      <c r="N185" s="13">
        <v>4000</v>
      </c>
      <c r="O185" s="13">
        <f t="shared" si="15"/>
        <v>4000</v>
      </c>
      <c r="P185" s="13">
        <v>4000</v>
      </c>
      <c r="Q185" s="13">
        <f t="shared" si="16"/>
        <v>0</v>
      </c>
      <c r="R185" s="3"/>
      <c r="S185" s="3"/>
      <c r="T185" s="3">
        <f t="shared" si="17"/>
        <v>4000</v>
      </c>
      <c r="U185" s="3" t="str">
        <f t="shared" si="18"/>
        <v>OK</v>
      </c>
      <c r="V185" s="21">
        <f t="shared" si="19"/>
        <v>0</v>
      </c>
      <c r="W185" s="3" t="str">
        <f t="shared" si="20"/>
        <v>OK</v>
      </c>
      <c r="X185" s="3" t="s">
        <v>475</v>
      </c>
      <c r="Y185" s="3" t="s">
        <v>29</v>
      </c>
      <c r="Z185" s="3" t="s">
        <v>476</v>
      </c>
    </row>
    <row r="186" spans="1:26" x14ac:dyDescent="0.2">
      <c r="A186" s="3" t="str">
        <f t="shared" si="14"/>
        <v>TRIP-T-217</v>
      </c>
      <c r="B186" s="2">
        <v>45812</v>
      </c>
      <c r="C186" s="3" t="str">
        <f>_xlfn.XLOOKUP(D186,'[1]Jan Customer Duplicate Hyva'!$B:$B,'[1]Jan Customer Duplicate Hyva'!$A:$A,"NOT FOUND")</f>
        <v>CUST-352</v>
      </c>
      <c r="D186" s="26" t="s">
        <v>609</v>
      </c>
      <c r="E186" s="3"/>
      <c r="F186" s="3"/>
      <c r="G186" s="3"/>
      <c r="H186" s="3"/>
      <c r="I186" s="3"/>
      <c r="J186" s="3"/>
      <c r="K186" s="3"/>
      <c r="L186" s="26" t="s">
        <v>114</v>
      </c>
      <c r="M186" s="27">
        <v>2</v>
      </c>
      <c r="N186" s="13">
        <v>5500</v>
      </c>
      <c r="O186" s="13">
        <f t="shared" si="15"/>
        <v>11000</v>
      </c>
      <c r="P186" s="13">
        <v>11000</v>
      </c>
      <c r="Q186" s="13">
        <f t="shared" si="16"/>
        <v>0</v>
      </c>
      <c r="R186" s="3"/>
      <c r="S186" s="3"/>
      <c r="T186" s="3">
        <f t="shared" si="17"/>
        <v>11000</v>
      </c>
      <c r="U186" s="3" t="str">
        <f t="shared" si="18"/>
        <v>OK</v>
      </c>
      <c r="V186" s="21">
        <f t="shared" si="19"/>
        <v>0</v>
      </c>
      <c r="W186" s="3" t="str">
        <f t="shared" si="20"/>
        <v>OK</v>
      </c>
      <c r="X186" s="3" t="s">
        <v>475</v>
      </c>
      <c r="Y186" s="3" t="s">
        <v>29</v>
      </c>
      <c r="Z186" s="3" t="s">
        <v>476</v>
      </c>
    </row>
    <row r="187" spans="1:26" x14ac:dyDescent="0.2">
      <c r="A187" s="3" t="str">
        <f t="shared" si="14"/>
        <v>TRIP-T-218</v>
      </c>
      <c r="B187" s="2">
        <v>45813</v>
      </c>
      <c r="C187" s="3" t="str">
        <f>_xlfn.XLOOKUP(D187,'[1]Jan Customer Duplicate Hyva'!$B:$B,'[1]Jan Customer Duplicate Hyva'!$A:$A,"NOT FOUND")</f>
        <v>NOT FOUND</v>
      </c>
      <c r="D187" s="26" t="s">
        <v>610</v>
      </c>
      <c r="E187" s="3"/>
      <c r="F187" s="3"/>
      <c r="G187" s="3"/>
      <c r="H187" s="3"/>
      <c r="I187" s="3"/>
      <c r="J187" s="3"/>
      <c r="K187" s="3"/>
      <c r="L187" s="26" t="s">
        <v>33</v>
      </c>
      <c r="M187" s="27">
        <v>1</v>
      </c>
      <c r="N187" s="13">
        <v>5000</v>
      </c>
      <c r="O187" s="13">
        <f t="shared" si="15"/>
        <v>5000</v>
      </c>
      <c r="P187" s="13"/>
      <c r="Q187" s="13">
        <f t="shared" si="16"/>
        <v>5000</v>
      </c>
      <c r="R187" s="3"/>
      <c r="S187" s="3"/>
      <c r="T187" s="3">
        <f t="shared" si="17"/>
        <v>5000</v>
      </c>
      <c r="U187" s="3" t="str">
        <f t="shared" si="18"/>
        <v>OK</v>
      </c>
      <c r="V187" s="21">
        <f t="shared" si="19"/>
        <v>5000</v>
      </c>
      <c r="W187" s="3" t="str">
        <f t="shared" si="20"/>
        <v>OK</v>
      </c>
      <c r="X187" s="3" t="s">
        <v>475</v>
      </c>
      <c r="Y187" s="3" t="s">
        <v>29</v>
      </c>
      <c r="Z187" s="3" t="s">
        <v>476</v>
      </c>
    </row>
    <row r="188" spans="1:26" x14ac:dyDescent="0.2">
      <c r="A188" s="3" t="str">
        <f t="shared" si="14"/>
        <v>TRIP-T-219</v>
      </c>
      <c r="B188" s="2">
        <v>45813</v>
      </c>
      <c r="C188" s="3" t="str">
        <f>_xlfn.XLOOKUP(D188,'[1]Jan Customer Duplicate Hyva'!$B:$B,'[1]Jan Customer Duplicate Hyva'!$A:$A,"NOT FOUND")</f>
        <v>CUST-031</v>
      </c>
      <c r="D188" s="31" t="s">
        <v>534</v>
      </c>
      <c r="E188" s="3"/>
      <c r="F188" s="3"/>
      <c r="G188" s="3"/>
      <c r="H188" s="3"/>
      <c r="I188" s="3"/>
      <c r="J188" s="3"/>
      <c r="K188" s="3"/>
      <c r="L188" s="31" t="s">
        <v>33</v>
      </c>
      <c r="M188" s="27">
        <v>1</v>
      </c>
      <c r="N188" s="13">
        <v>5000</v>
      </c>
      <c r="O188" s="13">
        <f t="shared" si="15"/>
        <v>5000</v>
      </c>
      <c r="P188" s="13"/>
      <c r="Q188" s="13">
        <f t="shared" si="16"/>
        <v>5000</v>
      </c>
      <c r="R188" s="3"/>
      <c r="S188" s="3"/>
      <c r="T188" s="3">
        <f t="shared" si="17"/>
        <v>5000</v>
      </c>
      <c r="U188" s="3" t="str">
        <f t="shared" si="18"/>
        <v>OK</v>
      </c>
      <c r="V188" s="21">
        <f t="shared" si="19"/>
        <v>5000</v>
      </c>
      <c r="W188" s="3" t="str">
        <f t="shared" si="20"/>
        <v>OK</v>
      </c>
      <c r="X188" s="3" t="s">
        <v>475</v>
      </c>
      <c r="Y188" s="3" t="s">
        <v>29</v>
      </c>
      <c r="Z188" s="3" t="s">
        <v>476</v>
      </c>
    </row>
    <row r="189" spans="1:26" x14ac:dyDescent="0.2">
      <c r="A189" s="3" t="str">
        <f t="shared" si="14"/>
        <v>TRIP-T-220</v>
      </c>
      <c r="B189" s="2">
        <v>45813</v>
      </c>
      <c r="C189" s="3" t="str">
        <f>_xlfn.XLOOKUP(D189,'[1]Jan Customer Duplicate Hyva'!$B:$B,'[1]Jan Customer Duplicate Hyva'!$A:$A,"NOT FOUND")</f>
        <v>CUST-058</v>
      </c>
      <c r="D189" s="26" t="s">
        <v>484</v>
      </c>
      <c r="E189" s="3"/>
      <c r="F189" s="3"/>
      <c r="G189" s="3"/>
      <c r="H189" s="3"/>
      <c r="I189" s="3"/>
      <c r="J189" s="3"/>
      <c r="K189" s="3"/>
      <c r="L189" s="31" t="s">
        <v>33</v>
      </c>
      <c r="M189" s="27">
        <v>1</v>
      </c>
      <c r="N189" s="13">
        <v>5000</v>
      </c>
      <c r="O189" s="13">
        <f t="shared" si="15"/>
        <v>5000</v>
      </c>
      <c r="P189" s="13">
        <v>5000</v>
      </c>
      <c r="Q189" s="13">
        <f t="shared" si="16"/>
        <v>0</v>
      </c>
      <c r="R189" s="3"/>
      <c r="S189" s="3"/>
      <c r="T189" s="3">
        <f t="shared" si="17"/>
        <v>5000</v>
      </c>
      <c r="U189" s="3" t="str">
        <f t="shared" si="18"/>
        <v>OK</v>
      </c>
      <c r="V189" s="21">
        <f t="shared" si="19"/>
        <v>0</v>
      </c>
      <c r="W189" s="3" t="str">
        <f t="shared" si="20"/>
        <v>OK</v>
      </c>
      <c r="X189" s="3" t="s">
        <v>475</v>
      </c>
      <c r="Y189" s="3" t="s">
        <v>29</v>
      </c>
      <c r="Z189" s="3" t="s">
        <v>476</v>
      </c>
    </row>
    <row r="190" spans="1:26" x14ac:dyDescent="0.2">
      <c r="A190" s="3" t="str">
        <f t="shared" si="14"/>
        <v>TRIP-T-221</v>
      </c>
      <c r="B190" s="2">
        <v>45813</v>
      </c>
      <c r="C190" s="3" t="str">
        <f>_xlfn.XLOOKUP(D190,'[1]Jan Customer Duplicate Hyva'!$B:$B,'[1]Jan Customer Duplicate Hyva'!$A:$A,"NOT FOUND")</f>
        <v>CUST-107</v>
      </c>
      <c r="D190" s="25" t="s">
        <v>513</v>
      </c>
      <c r="E190" s="3"/>
      <c r="F190" s="3"/>
      <c r="G190" s="3"/>
      <c r="H190" s="3"/>
      <c r="I190" s="3"/>
      <c r="J190" s="3"/>
      <c r="K190" s="3"/>
      <c r="L190" s="31" t="s">
        <v>152</v>
      </c>
      <c r="M190" s="27">
        <v>1</v>
      </c>
      <c r="N190" s="13">
        <v>5000</v>
      </c>
      <c r="O190" s="13">
        <f t="shared" si="15"/>
        <v>5000</v>
      </c>
      <c r="P190" s="13">
        <v>5000</v>
      </c>
      <c r="Q190" s="13">
        <f t="shared" si="16"/>
        <v>0</v>
      </c>
      <c r="R190" s="3"/>
      <c r="S190" s="3"/>
      <c r="T190" s="3">
        <f t="shared" si="17"/>
        <v>5000</v>
      </c>
      <c r="U190" s="3" t="str">
        <f t="shared" si="18"/>
        <v>OK</v>
      </c>
      <c r="V190" s="21">
        <f t="shared" si="19"/>
        <v>0</v>
      </c>
      <c r="W190" s="3" t="str">
        <f t="shared" si="20"/>
        <v>OK</v>
      </c>
      <c r="X190" s="3" t="s">
        <v>475</v>
      </c>
      <c r="Y190" s="3" t="s">
        <v>29</v>
      </c>
      <c r="Z190" s="3" t="s">
        <v>476</v>
      </c>
    </row>
    <row r="191" spans="1:26" x14ac:dyDescent="0.2">
      <c r="A191" s="3" t="str">
        <f t="shared" si="14"/>
        <v>TRIP-T-222</v>
      </c>
      <c r="B191" s="2">
        <v>45814</v>
      </c>
      <c r="C191" s="3" t="str">
        <f>_xlfn.XLOOKUP(D191,'[1]Jan Customer Duplicate Hyva'!$B:$B,'[1]Jan Customer Duplicate Hyva'!$A:$A,"NOT FOUND")</f>
        <v>CUST-176</v>
      </c>
      <c r="D191" s="26" t="s">
        <v>561</v>
      </c>
      <c r="E191" s="3"/>
      <c r="F191" s="3"/>
      <c r="G191" s="3"/>
      <c r="H191" s="3"/>
      <c r="I191" s="3"/>
      <c r="J191" s="3"/>
      <c r="K191" s="3"/>
      <c r="L191" s="31" t="s">
        <v>33</v>
      </c>
      <c r="M191" s="27">
        <v>1</v>
      </c>
      <c r="N191" s="13">
        <v>5000</v>
      </c>
      <c r="O191" s="13">
        <f t="shared" si="15"/>
        <v>5000</v>
      </c>
      <c r="P191" s="13"/>
      <c r="Q191" s="13">
        <f t="shared" si="16"/>
        <v>5000</v>
      </c>
      <c r="R191" s="3"/>
      <c r="S191" s="3"/>
      <c r="T191" s="3">
        <f t="shared" si="17"/>
        <v>5000</v>
      </c>
      <c r="U191" s="3" t="str">
        <f t="shared" si="18"/>
        <v>OK</v>
      </c>
      <c r="V191" s="21">
        <f t="shared" si="19"/>
        <v>5000</v>
      </c>
      <c r="W191" s="3" t="str">
        <f t="shared" si="20"/>
        <v>OK</v>
      </c>
      <c r="X191" s="3" t="s">
        <v>475</v>
      </c>
      <c r="Y191" s="3" t="s">
        <v>29</v>
      </c>
      <c r="Z191" s="3" t="s">
        <v>476</v>
      </c>
    </row>
    <row r="192" spans="1:26" x14ac:dyDescent="0.2">
      <c r="A192" s="3" t="str">
        <f t="shared" si="14"/>
        <v>TRIP-T-223</v>
      </c>
      <c r="B192" s="2">
        <v>45815</v>
      </c>
      <c r="C192" s="3" t="str">
        <f>_xlfn.XLOOKUP(D192,'[1]Jan Customer Duplicate Hyva'!$B:$B,'[1]Jan Customer Duplicate Hyva'!$A:$A,"NOT FOUND")</f>
        <v>CUST-040</v>
      </c>
      <c r="D192" s="26" t="s">
        <v>600</v>
      </c>
      <c r="E192" s="3"/>
      <c r="F192" s="3"/>
      <c r="G192" s="3"/>
      <c r="H192" s="3"/>
      <c r="I192" s="3"/>
      <c r="J192" s="3"/>
      <c r="K192" s="3"/>
      <c r="L192" s="31" t="s">
        <v>33</v>
      </c>
      <c r="M192" s="27">
        <v>1</v>
      </c>
      <c r="N192" s="13">
        <v>5000</v>
      </c>
      <c r="O192" s="13">
        <f t="shared" si="15"/>
        <v>5000</v>
      </c>
      <c r="P192" s="13">
        <v>5000</v>
      </c>
      <c r="Q192" s="13">
        <f t="shared" si="16"/>
        <v>0</v>
      </c>
      <c r="R192" s="3"/>
      <c r="S192" s="3"/>
      <c r="T192" s="3">
        <f t="shared" si="17"/>
        <v>5000</v>
      </c>
      <c r="U192" s="3" t="str">
        <f t="shared" si="18"/>
        <v>OK</v>
      </c>
      <c r="V192" s="21">
        <f t="shared" si="19"/>
        <v>0</v>
      </c>
      <c r="W192" s="3" t="str">
        <f t="shared" si="20"/>
        <v>OK</v>
      </c>
      <c r="X192" s="3" t="s">
        <v>475</v>
      </c>
      <c r="Y192" s="3" t="s">
        <v>29</v>
      </c>
      <c r="Z192" s="3" t="s">
        <v>476</v>
      </c>
    </row>
    <row r="193" spans="1:26" x14ac:dyDescent="0.2">
      <c r="A193" s="3" t="str">
        <f t="shared" si="14"/>
        <v>TRIP-T-224</v>
      </c>
      <c r="B193" s="2">
        <v>45817</v>
      </c>
      <c r="C193" s="3" t="str">
        <f>_xlfn.XLOOKUP(D193,'[1]Jan Customer Duplicate Hyva'!$B:$B,'[1]Jan Customer Duplicate Hyva'!$A:$A,"NOT FOUND")</f>
        <v>NOT FOUND</v>
      </c>
      <c r="D193" s="31" t="s">
        <v>611</v>
      </c>
      <c r="E193" s="3"/>
      <c r="F193" s="3"/>
      <c r="G193" s="3"/>
      <c r="H193" s="3"/>
      <c r="I193" s="3"/>
      <c r="J193" s="3"/>
      <c r="K193" s="3"/>
      <c r="L193" s="31" t="s">
        <v>172</v>
      </c>
      <c r="M193" s="27">
        <v>1</v>
      </c>
      <c r="N193" s="13">
        <v>4500</v>
      </c>
      <c r="O193" s="13">
        <f t="shared" si="15"/>
        <v>4500</v>
      </c>
      <c r="P193" s="13">
        <v>4500</v>
      </c>
      <c r="Q193" s="13">
        <f t="shared" si="16"/>
        <v>0</v>
      </c>
      <c r="R193" s="3"/>
      <c r="S193" s="3"/>
      <c r="T193" s="3">
        <f t="shared" si="17"/>
        <v>4500</v>
      </c>
      <c r="U193" s="3" t="str">
        <f t="shared" si="18"/>
        <v>OK</v>
      </c>
      <c r="V193" s="21">
        <f t="shared" si="19"/>
        <v>0</v>
      </c>
      <c r="W193" s="3" t="str">
        <f t="shared" si="20"/>
        <v>OK</v>
      </c>
      <c r="X193" s="3" t="s">
        <v>475</v>
      </c>
      <c r="Y193" s="3" t="s">
        <v>29</v>
      </c>
      <c r="Z193" s="3" t="s">
        <v>476</v>
      </c>
    </row>
    <row r="194" spans="1:26" x14ac:dyDescent="0.2">
      <c r="A194" s="3" t="str">
        <f t="shared" ref="A194:A257" si="21">"TRIP-T-"&amp;TEXT(ROW()+31,"000")</f>
        <v>TRIP-T-225</v>
      </c>
      <c r="B194" s="2">
        <v>45818</v>
      </c>
      <c r="C194" s="3" t="str">
        <f>_xlfn.XLOOKUP(D194,'[1]Jan Customer Duplicate Hyva'!$B:$B,'[1]Jan Customer Duplicate Hyva'!$A:$A,"NOT FOUND")</f>
        <v>CUST-040</v>
      </c>
      <c r="D194" s="26" t="s">
        <v>600</v>
      </c>
      <c r="E194" s="3"/>
      <c r="F194" s="3"/>
      <c r="G194" s="3"/>
      <c r="H194" s="3"/>
      <c r="I194" s="3"/>
      <c r="J194" s="3"/>
      <c r="K194" s="3"/>
      <c r="L194" s="31" t="s">
        <v>33</v>
      </c>
      <c r="M194" s="27">
        <v>1</v>
      </c>
      <c r="N194" s="13">
        <v>4000</v>
      </c>
      <c r="O194" s="13">
        <f t="shared" ref="O194:O257" si="22">N194*M194</f>
        <v>4000</v>
      </c>
      <c r="P194" s="13">
        <v>5000</v>
      </c>
      <c r="Q194" s="13">
        <f t="shared" ref="Q194:Q257" si="23">O194-P194</f>
        <v>-1000</v>
      </c>
      <c r="R194" s="3"/>
      <c r="S194" s="3"/>
      <c r="T194" s="3">
        <f t="shared" ref="T194:T257" si="24">M194*N194</f>
        <v>4000</v>
      </c>
      <c r="U194" s="3" t="str">
        <f t="shared" ref="U194:U257" si="25">IF(ROUND(T194,2)=ROUND(O194,2),"OK","CHECK")</f>
        <v>OK</v>
      </c>
      <c r="V194" s="21">
        <f t="shared" ref="V194:V257" si="26">O194-P194</f>
        <v>-1000</v>
      </c>
      <c r="W194" s="3" t="str">
        <f t="shared" ref="W194:W257" si="27">IF(ROUND(V194,2)=ROUND(Q194,2),"OK","CHECK")</f>
        <v>OK</v>
      </c>
      <c r="X194" s="3" t="s">
        <v>475</v>
      </c>
      <c r="Y194" s="3" t="s">
        <v>29</v>
      </c>
      <c r="Z194" s="3" t="s">
        <v>476</v>
      </c>
    </row>
    <row r="195" spans="1:26" x14ac:dyDescent="0.2">
      <c r="A195" s="3" t="str">
        <f t="shared" si="21"/>
        <v>TRIP-T-226</v>
      </c>
      <c r="B195" s="2">
        <v>45818</v>
      </c>
      <c r="C195" s="3" t="str">
        <f>_xlfn.XLOOKUP(D195,'[1]Jan Customer Duplicate Hyva'!$B:$B,'[1]Jan Customer Duplicate Hyva'!$A:$A,"NOT FOUND")</f>
        <v>NOT FOUND</v>
      </c>
      <c r="D195" s="31" t="s">
        <v>612</v>
      </c>
      <c r="E195" s="3"/>
      <c r="F195" s="3"/>
      <c r="G195" s="3"/>
      <c r="H195" s="3"/>
      <c r="I195" s="3"/>
      <c r="J195" s="3"/>
      <c r="K195" s="3"/>
      <c r="L195" s="31" t="s">
        <v>613</v>
      </c>
      <c r="M195" s="27">
        <v>1</v>
      </c>
      <c r="N195" s="13">
        <v>5000</v>
      </c>
      <c r="O195" s="13">
        <f t="shared" si="22"/>
        <v>5000</v>
      </c>
      <c r="P195" s="13">
        <v>5000</v>
      </c>
      <c r="Q195" s="13">
        <f t="shared" si="23"/>
        <v>0</v>
      </c>
      <c r="R195" s="3"/>
      <c r="S195" s="3"/>
      <c r="T195" s="3">
        <f t="shared" si="24"/>
        <v>5000</v>
      </c>
      <c r="U195" s="3" t="str">
        <f t="shared" si="25"/>
        <v>OK</v>
      </c>
      <c r="V195" s="21">
        <f t="shared" si="26"/>
        <v>0</v>
      </c>
      <c r="W195" s="3" t="str">
        <f t="shared" si="27"/>
        <v>OK</v>
      </c>
      <c r="X195" s="3" t="s">
        <v>475</v>
      </c>
      <c r="Y195" s="3" t="s">
        <v>29</v>
      </c>
      <c r="Z195" s="3" t="s">
        <v>476</v>
      </c>
    </row>
    <row r="196" spans="1:26" x14ac:dyDescent="0.2">
      <c r="A196" s="3" t="str">
        <f t="shared" si="21"/>
        <v>TRIP-T-227</v>
      </c>
      <c r="B196" s="2">
        <v>45819</v>
      </c>
      <c r="C196" s="3" t="str">
        <f>_xlfn.XLOOKUP(D196,'[1]Jan Customer Duplicate Hyva'!$B:$B,'[1]Jan Customer Duplicate Hyva'!$A:$A,"NOT FOUND")</f>
        <v>CUST-107</v>
      </c>
      <c r="D196" s="25" t="s">
        <v>513</v>
      </c>
      <c r="E196" s="3"/>
      <c r="F196" s="3"/>
      <c r="G196" s="3"/>
      <c r="H196" s="3"/>
      <c r="I196" s="3"/>
      <c r="J196" s="3"/>
      <c r="K196" s="3"/>
      <c r="L196" s="31" t="s">
        <v>152</v>
      </c>
      <c r="M196" s="27">
        <v>1</v>
      </c>
      <c r="N196" s="13">
        <v>5000</v>
      </c>
      <c r="O196" s="13">
        <f t="shared" si="22"/>
        <v>5000</v>
      </c>
      <c r="P196" s="13">
        <v>5000</v>
      </c>
      <c r="Q196" s="13">
        <f t="shared" si="23"/>
        <v>0</v>
      </c>
      <c r="R196" s="3"/>
      <c r="S196" s="3"/>
      <c r="T196" s="3">
        <f t="shared" si="24"/>
        <v>5000</v>
      </c>
      <c r="U196" s="3" t="str">
        <f t="shared" si="25"/>
        <v>OK</v>
      </c>
      <c r="V196" s="21">
        <f t="shared" si="26"/>
        <v>0</v>
      </c>
      <c r="W196" s="3" t="str">
        <f t="shared" si="27"/>
        <v>OK</v>
      </c>
      <c r="X196" s="3" t="s">
        <v>475</v>
      </c>
      <c r="Y196" s="3" t="s">
        <v>29</v>
      </c>
      <c r="Z196" s="3" t="s">
        <v>476</v>
      </c>
    </row>
    <row r="197" spans="1:26" x14ac:dyDescent="0.2">
      <c r="A197" s="3" t="str">
        <f t="shared" si="21"/>
        <v>TRIP-T-228</v>
      </c>
      <c r="B197" s="2">
        <v>45820</v>
      </c>
      <c r="C197" s="3" t="str">
        <f>_xlfn.XLOOKUP(D197,'[1]Jan Customer Duplicate Hyva'!$B:$B,'[1]Jan Customer Duplicate Hyva'!$A:$A,"NOT FOUND")</f>
        <v>CUST-120</v>
      </c>
      <c r="D197" s="26" t="s">
        <v>122</v>
      </c>
      <c r="E197" s="3"/>
      <c r="F197" s="3"/>
      <c r="G197" s="3"/>
      <c r="H197" s="3"/>
      <c r="I197" s="3"/>
      <c r="J197" s="3"/>
      <c r="K197" s="3"/>
      <c r="L197" s="31" t="s">
        <v>614</v>
      </c>
      <c r="M197" s="27">
        <v>2</v>
      </c>
      <c r="N197" s="13">
        <v>1000</v>
      </c>
      <c r="O197" s="13">
        <f t="shared" si="22"/>
        <v>2000</v>
      </c>
      <c r="P197" s="13">
        <v>2000</v>
      </c>
      <c r="Q197" s="13">
        <f t="shared" si="23"/>
        <v>0</v>
      </c>
      <c r="R197" s="3"/>
      <c r="S197" s="3"/>
      <c r="T197" s="3">
        <f t="shared" si="24"/>
        <v>2000</v>
      </c>
      <c r="U197" s="3" t="str">
        <f t="shared" si="25"/>
        <v>OK</v>
      </c>
      <c r="V197" s="21">
        <f t="shared" si="26"/>
        <v>0</v>
      </c>
      <c r="W197" s="3" t="str">
        <f t="shared" si="27"/>
        <v>OK</v>
      </c>
      <c r="X197" s="3" t="s">
        <v>475</v>
      </c>
      <c r="Y197" s="3" t="s">
        <v>29</v>
      </c>
      <c r="Z197" s="3" t="s">
        <v>476</v>
      </c>
    </row>
    <row r="198" spans="1:26" x14ac:dyDescent="0.2">
      <c r="A198" s="3" t="str">
        <f t="shared" si="21"/>
        <v>TRIP-T-229</v>
      </c>
      <c r="B198" s="2">
        <v>45821</v>
      </c>
      <c r="C198" s="3" t="str">
        <f>_xlfn.XLOOKUP(D198,'[1]Jan Customer Duplicate Hyva'!$B:$B,'[1]Jan Customer Duplicate Hyva'!$A:$A,"NOT FOUND")</f>
        <v>CUST-317</v>
      </c>
      <c r="D198" s="31" t="s">
        <v>615</v>
      </c>
      <c r="E198" s="3"/>
      <c r="F198" s="3"/>
      <c r="G198" s="3"/>
      <c r="H198" s="3"/>
      <c r="I198" s="3"/>
      <c r="J198" s="3"/>
      <c r="K198" s="3"/>
      <c r="L198" s="31" t="s">
        <v>126</v>
      </c>
      <c r="M198" s="27">
        <v>1</v>
      </c>
      <c r="N198" s="13">
        <v>5500</v>
      </c>
      <c r="O198" s="13">
        <f t="shared" si="22"/>
        <v>5500</v>
      </c>
      <c r="P198" s="13">
        <v>5500</v>
      </c>
      <c r="Q198" s="13">
        <f t="shared" si="23"/>
        <v>0</v>
      </c>
      <c r="R198" s="3"/>
      <c r="S198" s="3"/>
      <c r="T198" s="3">
        <f t="shared" si="24"/>
        <v>5500</v>
      </c>
      <c r="U198" s="3" t="str">
        <f t="shared" si="25"/>
        <v>OK</v>
      </c>
      <c r="V198" s="21">
        <f t="shared" si="26"/>
        <v>0</v>
      </c>
      <c r="W198" s="3" t="str">
        <f t="shared" si="27"/>
        <v>OK</v>
      </c>
      <c r="X198" s="3" t="s">
        <v>475</v>
      </c>
      <c r="Y198" s="3" t="s">
        <v>29</v>
      </c>
      <c r="Z198" s="3" t="s">
        <v>476</v>
      </c>
    </row>
    <row r="199" spans="1:26" x14ac:dyDescent="0.2">
      <c r="A199" s="3" t="str">
        <f t="shared" si="21"/>
        <v>TRIP-T-230</v>
      </c>
      <c r="B199" s="2">
        <v>45822</v>
      </c>
      <c r="C199" s="3" t="str">
        <f>_xlfn.XLOOKUP(D199,'[1]Jan Customer Duplicate Hyva'!$B:$B,'[1]Jan Customer Duplicate Hyva'!$A:$A,"NOT FOUND")</f>
        <v>CUST-234</v>
      </c>
      <c r="D199" s="11" t="s">
        <v>616</v>
      </c>
      <c r="E199" s="3"/>
      <c r="F199" s="3"/>
      <c r="G199" s="3"/>
      <c r="H199" s="3"/>
      <c r="I199" s="3"/>
      <c r="J199" s="3"/>
      <c r="K199" s="3"/>
      <c r="L199" s="11" t="s">
        <v>617</v>
      </c>
      <c r="M199" s="12">
        <v>1</v>
      </c>
      <c r="N199" s="13">
        <v>4000</v>
      </c>
      <c r="O199" s="13">
        <f t="shared" si="22"/>
        <v>4000</v>
      </c>
      <c r="P199" s="13">
        <v>4000</v>
      </c>
      <c r="Q199" s="13">
        <f t="shared" si="23"/>
        <v>0</v>
      </c>
      <c r="R199" s="3"/>
      <c r="S199" s="3"/>
      <c r="T199" s="3">
        <f t="shared" si="24"/>
        <v>4000</v>
      </c>
      <c r="U199" s="3" t="str">
        <f t="shared" si="25"/>
        <v>OK</v>
      </c>
      <c r="V199" s="21">
        <f t="shared" si="26"/>
        <v>0</v>
      </c>
      <c r="W199" s="3" t="str">
        <f t="shared" si="27"/>
        <v>OK</v>
      </c>
      <c r="X199" s="3" t="s">
        <v>475</v>
      </c>
      <c r="Y199" s="3" t="s">
        <v>29</v>
      </c>
      <c r="Z199" s="3" t="s">
        <v>476</v>
      </c>
    </row>
    <row r="200" spans="1:26" x14ac:dyDescent="0.2">
      <c r="A200" s="3" t="str">
        <f t="shared" si="21"/>
        <v>TRIP-T-231</v>
      </c>
      <c r="B200" s="2">
        <v>45822</v>
      </c>
      <c r="C200" s="3" t="str">
        <f>_xlfn.XLOOKUP(D200,'[1]Jan Customer Duplicate Hyva'!$B:$B,'[1]Jan Customer Duplicate Hyva'!$A:$A,"NOT FOUND")</f>
        <v>CUST-120</v>
      </c>
      <c r="D200" s="26" t="s">
        <v>122</v>
      </c>
      <c r="E200" s="3"/>
      <c r="F200" s="3"/>
      <c r="G200" s="3"/>
      <c r="H200" s="3"/>
      <c r="I200" s="3"/>
      <c r="J200" s="3"/>
      <c r="K200" s="3"/>
      <c r="L200" s="11" t="s">
        <v>618</v>
      </c>
      <c r="M200" s="12">
        <v>3</v>
      </c>
      <c r="N200" s="13">
        <v>1000</v>
      </c>
      <c r="O200" s="13">
        <f t="shared" si="22"/>
        <v>3000</v>
      </c>
      <c r="P200" s="13">
        <v>3000</v>
      </c>
      <c r="Q200" s="13">
        <f t="shared" si="23"/>
        <v>0</v>
      </c>
      <c r="R200" s="3"/>
      <c r="S200" s="3"/>
      <c r="T200" s="3">
        <f t="shared" si="24"/>
        <v>3000</v>
      </c>
      <c r="U200" s="3" t="str">
        <f t="shared" si="25"/>
        <v>OK</v>
      </c>
      <c r="V200" s="21">
        <f t="shared" si="26"/>
        <v>0</v>
      </c>
      <c r="W200" s="3" t="str">
        <f t="shared" si="27"/>
        <v>OK</v>
      </c>
      <c r="X200" s="3" t="s">
        <v>475</v>
      </c>
      <c r="Y200" s="3" t="s">
        <v>29</v>
      </c>
      <c r="Z200" s="3" t="s">
        <v>476</v>
      </c>
    </row>
    <row r="201" spans="1:26" x14ac:dyDescent="0.2">
      <c r="A201" s="3" t="str">
        <f t="shared" si="21"/>
        <v>TRIP-T-232</v>
      </c>
      <c r="B201" s="2">
        <v>45822</v>
      </c>
      <c r="C201" s="3" t="str">
        <f>_xlfn.XLOOKUP(D201,'[1]Jan Customer Duplicate Hyva'!$B:$B,'[1]Jan Customer Duplicate Hyva'!$A:$A,"NOT FOUND")</f>
        <v>CUST-120</v>
      </c>
      <c r="D201" s="26" t="s">
        <v>122</v>
      </c>
      <c r="E201" s="3"/>
      <c r="F201" s="3"/>
      <c r="G201" s="3"/>
      <c r="H201" s="3"/>
      <c r="I201" s="3"/>
      <c r="J201" s="3"/>
      <c r="K201" s="3"/>
      <c r="L201" s="11" t="s">
        <v>618</v>
      </c>
      <c r="M201" s="12">
        <v>1</v>
      </c>
      <c r="N201" s="13">
        <v>1000</v>
      </c>
      <c r="O201" s="13">
        <f t="shared" si="22"/>
        <v>1000</v>
      </c>
      <c r="P201" s="13">
        <v>1000</v>
      </c>
      <c r="Q201" s="13">
        <f t="shared" si="23"/>
        <v>0</v>
      </c>
      <c r="R201" s="3"/>
      <c r="S201" s="3"/>
      <c r="T201" s="3">
        <f t="shared" si="24"/>
        <v>1000</v>
      </c>
      <c r="U201" s="3" t="str">
        <f t="shared" si="25"/>
        <v>OK</v>
      </c>
      <c r="V201" s="21">
        <f t="shared" si="26"/>
        <v>0</v>
      </c>
      <c r="W201" s="3" t="str">
        <f t="shared" si="27"/>
        <v>OK</v>
      </c>
      <c r="X201" s="3" t="s">
        <v>475</v>
      </c>
      <c r="Y201" s="3" t="s">
        <v>29</v>
      </c>
      <c r="Z201" s="3" t="s">
        <v>476</v>
      </c>
    </row>
    <row r="202" spans="1:26" x14ac:dyDescent="0.2">
      <c r="A202" s="3" t="str">
        <f t="shared" si="21"/>
        <v>TRIP-T-233</v>
      </c>
      <c r="B202" s="2">
        <v>45822</v>
      </c>
      <c r="C202" s="3" t="str">
        <f>_xlfn.XLOOKUP(D202,'[1]Jan Customer Duplicate Hyva'!$B:$B,'[1]Jan Customer Duplicate Hyva'!$A:$A,"NOT FOUND")</f>
        <v>CUST-317</v>
      </c>
      <c r="D202" s="31" t="s">
        <v>615</v>
      </c>
      <c r="E202" s="3"/>
      <c r="F202" s="3"/>
      <c r="G202" s="3"/>
      <c r="H202" s="3"/>
      <c r="I202" s="3"/>
      <c r="J202" s="3"/>
      <c r="K202" s="3"/>
      <c r="L202" s="11" t="s">
        <v>126</v>
      </c>
      <c r="M202" s="12">
        <v>1</v>
      </c>
      <c r="N202" s="13">
        <v>5000</v>
      </c>
      <c r="O202" s="13">
        <f t="shared" si="22"/>
        <v>5000</v>
      </c>
      <c r="P202" s="13">
        <v>5000</v>
      </c>
      <c r="Q202" s="13">
        <f t="shared" si="23"/>
        <v>0</v>
      </c>
      <c r="R202" s="3"/>
      <c r="S202" s="3"/>
      <c r="T202" s="3">
        <f t="shared" si="24"/>
        <v>5000</v>
      </c>
      <c r="U202" s="3" t="str">
        <f t="shared" si="25"/>
        <v>OK</v>
      </c>
      <c r="V202" s="21">
        <f t="shared" si="26"/>
        <v>0</v>
      </c>
      <c r="W202" s="3" t="str">
        <f t="shared" si="27"/>
        <v>OK</v>
      </c>
      <c r="X202" s="3" t="s">
        <v>475</v>
      </c>
      <c r="Y202" s="3" t="s">
        <v>29</v>
      </c>
      <c r="Z202" s="3" t="s">
        <v>476</v>
      </c>
    </row>
    <row r="203" spans="1:26" x14ac:dyDescent="0.2">
      <c r="A203" s="3" t="str">
        <f t="shared" si="21"/>
        <v>TRIP-T-234</v>
      </c>
      <c r="B203" s="2">
        <v>45824</v>
      </c>
      <c r="C203" s="3" t="str">
        <f>_xlfn.XLOOKUP(D203,'[1]Jan Customer Duplicate Hyva'!$B:$B,'[1]Jan Customer Duplicate Hyva'!$A:$A,"NOT FOUND")</f>
        <v>CUST-189</v>
      </c>
      <c r="D203" s="11" t="s">
        <v>619</v>
      </c>
      <c r="E203" s="3"/>
      <c r="F203" s="3"/>
      <c r="G203" s="3"/>
      <c r="H203" s="3"/>
      <c r="I203" s="3"/>
      <c r="J203" s="3"/>
      <c r="K203" s="3"/>
      <c r="L203" s="11" t="s">
        <v>620</v>
      </c>
      <c r="M203" s="12">
        <v>1</v>
      </c>
      <c r="N203" s="13">
        <v>5500</v>
      </c>
      <c r="O203" s="13">
        <f t="shared" si="22"/>
        <v>5500</v>
      </c>
      <c r="P203" s="13">
        <v>5500</v>
      </c>
      <c r="Q203" s="13">
        <f t="shared" si="23"/>
        <v>0</v>
      </c>
      <c r="R203" s="3"/>
      <c r="S203" s="3"/>
      <c r="T203" s="3">
        <f t="shared" si="24"/>
        <v>5500</v>
      </c>
      <c r="U203" s="3" t="str">
        <f t="shared" si="25"/>
        <v>OK</v>
      </c>
      <c r="V203" s="21">
        <f t="shared" si="26"/>
        <v>0</v>
      </c>
      <c r="W203" s="3" t="str">
        <f t="shared" si="27"/>
        <v>OK</v>
      </c>
      <c r="X203" s="3" t="s">
        <v>475</v>
      </c>
      <c r="Y203" s="3" t="s">
        <v>29</v>
      </c>
      <c r="Z203" s="3" t="s">
        <v>476</v>
      </c>
    </row>
    <row r="204" spans="1:26" x14ac:dyDescent="0.2">
      <c r="A204" s="3" t="str">
        <f t="shared" si="21"/>
        <v>TRIP-T-235</v>
      </c>
      <c r="B204" s="2">
        <v>45824</v>
      </c>
      <c r="C204" s="3" t="str">
        <f>_xlfn.XLOOKUP(D204,'[1]Jan Customer Duplicate Hyva'!$B:$B,'[1]Jan Customer Duplicate Hyva'!$A:$A,"NOT FOUND")</f>
        <v>CUST-234</v>
      </c>
      <c r="D204" s="11" t="s">
        <v>616</v>
      </c>
      <c r="E204" s="3"/>
      <c r="F204" s="3"/>
      <c r="G204" s="3"/>
      <c r="H204" s="3"/>
      <c r="I204" s="3"/>
      <c r="J204" s="3"/>
      <c r="K204" s="3"/>
      <c r="L204" s="11" t="s">
        <v>617</v>
      </c>
      <c r="M204" s="12">
        <v>1</v>
      </c>
      <c r="N204" s="13">
        <v>4000</v>
      </c>
      <c r="O204" s="13">
        <f t="shared" si="22"/>
        <v>4000</v>
      </c>
      <c r="P204" s="13">
        <v>4000</v>
      </c>
      <c r="Q204" s="13">
        <f t="shared" si="23"/>
        <v>0</v>
      </c>
      <c r="R204" s="3"/>
      <c r="S204" s="3"/>
      <c r="T204" s="3">
        <f t="shared" si="24"/>
        <v>4000</v>
      </c>
      <c r="U204" s="3" t="str">
        <f t="shared" si="25"/>
        <v>OK</v>
      </c>
      <c r="V204" s="21">
        <f t="shared" si="26"/>
        <v>0</v>
      </c>
      <c r="W204" s="3" t="str">
        <f t="shared" si="27"/>
        <v>OK</v>
      </c>
      <c r="X204" s="3" t="s">
        <v>475</v>
      </c>
      <c r="Y204" s="3" t="s">
        <v>29</v>
      </c>
      <c r="Z204" s="3" t="s">
        <v>476</v>
      </c>
    </row>
    <row r="205" spans="1:26" x14ac:dyDescent="0.2">
      <c r="A205" s="3" t="str">
        <f t="shared" si="21"/>
        <v>TRIP-T-236</v>
      </c>
      <c r="B205" s="2">
        <v>45824</v>
      </c>
      <c r="C205" s="3" t="str">
        <f>_xlfn.XLOOKUP(D205,'[1]Jan Customer Duplicate Hyva'!$B:$B,'[1]Jan Customer Duplicate Hyva'!$A:$A,"NOT FOUND")</f>
        <v>NOT FOUND</v>
      </c>
      <c r="D205" s="11" t="s">
        <v>621</v>
      </c>
      <c r="E205" s="3"/>
      <c r="F205" s="3"/>
      <c r="G205" s="3"/>
      <c r="H205" s="3"/>
      <c r="I205" s="3"/>
      <c r="J205" s="3"/>
      <c r="K205" s="3"/>
      <c r="L205" s="11" t="s">
        <v>85</v>
      </c>
      <c r="M205" s="12">
        <v>1</v>
      </c>
      <c r="N205" s="13">
        <v>5000</v>
      </c>
      <c r="O205" s="13">
        <f t="shared" si="22"/>
        <v>5000</v>
      </c>
      <c r="P205" s="13">
        <v>5000</v>
      </c>
      <c r="Q205" s="13">
        <f t="shared" si="23"/>
        <v>0</v>
      </c>
      <c r="R205" s="3"/>
      <c r="S205" s="3"/>
      <c r="T205" s="3">
        <f t="shared" si="24"/>
        <v>5000</v>
      </c>
      <c r="U205" s="3" t="str">
        <f t="shared" si="25"/>
        <v>OK</v>
      </c>
      <c r="V205" s="21">
        <f t="shared" si="26"/>
        <v>0</v>
      </c>
      <c r="W205" s="3" t="str">
        <f t="shared" si="27"/>
        <v>OK</v>
      </c>
      <c r="X205" s="3" t="s">
        <v>475</v>
      </c>
      <c r="Y205" s="3" t="s">
        <v>29</v>
      </c>
      <c r="Z205" s="3" t="s">
        <v>476</v>
      </c>
    </row>
    <row r="206" spans="1:26" x14ac:dyDescent="0.2">
      <c r="A206" s="3" t="str">
        <f t="shared" si="21"/>
        <v>TRIP-T-237</v>
      </c>
      <c r="B206" s="2">
        <v>45825</v>
      </c>
      <c r="C206" s="3" t="str">
        <f>_xlfn.XLOOKUP(D206,'[1]Jan Customer Duplicate Hyva'!$B:$B,'[1]Jan Customer Duplicate Hyva'!$A:$A,"NOT FOUND")</f>
        <v>NOT FOUND</v>
      </c>
      <c r="D206" s="11" t="s">
        <v>622</v>
      </c>
      <c r="E206" s="3"/>
      <c r="F206" s="3"/>
      <c r="G206" s="3"/>
      <c r="H206" s="3"/>
      <c r="I206" s="3"/>
      <c r="J206" s="3"/>
      <c r="K206" s="3"/>
      <c r="L206" s="11" t="s">
        <v>114</v>
      </c>
      <c r="M206" s="12">
        <v>1</v>
      </c>
      <c r="N206" s="13">
        <v>5500</v>
      </c>
      <c r="O206" s="13">
        <f t="shared" si="22"/>
        <v>5500</v>
      </c>
      <c r="P206" s="13">
        <v>5500</v>
      </c>
      <c r="Q206" s="13">
        <f t="shared" si="23"/>
        <v>0</v>
      </c>
      <c r="R206" s="3"/>
      <c r="S206" s="3"/>
      <c r="T206" s="3">
        <f t="shared" si="24"/>
        <v>5500</v>
      </c>
      <c r="U206" s="3" t="str">
        <f t="shared" si="25"/>
        <v>OK</v>
      </c>
      <c r="V206" s="21">
        <f t="shared" si="26"/>
        <v>0</v>
      </c>
      <c r="W206" s="3" t="str">
        <f t="shared" si="27"/>
        <v>OK</v>
      </c>
      <c r="X206" s="3" t="s">
        <v>475</v>
      </c>
      <c r="Y206" s="3" t="s">
        <v>29</v>
      </c>
      <c r="Z206" s="3" t="s">
        <v>476</v>
      </c>
    </row>
    <row r="207" spans="1:26" x14ac:dyDescent="0.2">
      <c r="A207" s="3" t="str">
        <f t="shared" si="21"/>
        <v>TRIP-T-238</v>
      </c>
      <c r="B207" s="2">
        <v>45826</v>
      </c>
      <c r="C207" s="3" t="str">
        <f>_xlfn.XLOOKUP(D207,'[1]Jan Customer Duplicate Hyva'!$B:$B,'[1]Jan Customer Duplicate Hyva'!$A:$A,"NOT FOUND")</f>
        <v>CUST-107</v>
      </c>
      <c r="D207" s="25" t="s">
        <v>513</v>
      </c>
      <c r="E207" s="3"/>
      <c r="F207" s="3"/>
      <c r="G207" s="3"/>
      <c r="H207" s="3"/>
      <c r="I207" s="3"/>
      <c r="J207" s="3"/>
      <c r="K207" s="3"/>
      <c r="L207" s="26" t="s">
        <v>152</v>
      </c>
      <c r="M207" s="27">
        <v>1</v>
      </c>
      <c r="N207" s="13">
        <v>5000</v>
      </c>
      <c r="O207" s="13">
        <f t="shared" si="22"/>
        <v>5000</v>
      </c>
      <c r="P207" s="13">
        <v>5000</v>
      </c>
      <c r="Q207" s="13">
        <f t="shared" si="23"/>
        <v>0</v>
      </c>
      <c r="R207" s="3"/>
      <c r="S207" s="3"/>
      <c r="T207" s="3">
        <f t="shared" si="24"/>
        <v>5000</v>
      </c>
      <c r="U207" s="3" t="str">
        <f t="shared" si="25"/>
        <v>OK</v>
      </c>
      <c r="V207" s="21">
        <f t="shared" si="26"/>
        <v>0</v>
      </c>
      <c r="W207" s="3" t="str">
        <f t="shared" si="27"/>
        <v>OK</v>
      </c>
      <c r="X207" s="3" t="s">
        <v>475</v>
      </c>
      <c r="Y207" s="3" t="s">
        <v>29</v>
      </c>
      <c r="Z207" s="3" t="s">
        <v>476</v>
      </c>
    </row>
    <row r="208" spans="1:26" x14ac:dyDescent="0.2">
      <c r="A208" s="3" t="str">
        <f t="shared" si="21"/>
        <v>TRIP-T-239</v>
      </c>
      <c r="B208" s="2">
        <v>45827</v>
      </c>
      <c r="C208" s="3" t="str">
        <f>_xlfn.XLOOKUP(D208,'[1]Jan Customer Duplicate Hyva'!$B:$B,'[1]Jan Customer Duplicate Hyva'!$A:$A,"NOT FOUND")</f>
        <v>CUST-234</v>
      </c>
      <c r="D208" s="11" t="s">
        <v>616</v>
      </c>
      <c r="E208" s="3"/>
      <c r="F208" s="3"/>
      <c r="G208" s="3"/>
      <c r="H208" s="3"/>
      <c r="I208" s="3"/>
      <c r="J208" s="3"/>
      <c r="K208" s="3"/>
      <c r="L208" s="11" t="s">
        <v>617</v>
      </c>
      <c r="M208" s="12">
        <v>2</v>
      </c>
      <c r="N208" s="13">
        <v>4000</v>
      </c>
      <c r="O208" s="13">
        <f t="shared" si="22"/>
        <v>8000</v>
      </c>
      <c r="P208" s="13">
        <v>8000</v>
      </c>
      <c r="Q208" s="13">
        <f t="shared" si="23"/>
        <v>0</v>
      </c>
      <c r="R208" s="3"/>
      <c r="S208" s="3"/>
      <c r="T208" s="3">
        <f t="shared" si="24"/>
        <v>8000</v>
      </c>
      <c r="U208" s="3" t="str">
        <f t="shared" si="25"/>
        <v>OK</v>
      </c>
      <c r="V208" s="21">
        <f t="shared" si="26"/>
        <v>0</v>
      </c>
      <c r="W208" s="3" t="str">
        <f t="shared" si="27"/>
        <v>OK</v>
      </c>
      <c r="X208" s="3" t="s">
        <v>475</v>
      </c>
      <c r="Y208" s="3" t="s">
        <v>29</v>
      </c>
      <c r="Z208" s="3" t="s">
        <v>476</v>
      </c>
    </row>
    <row r="209" spans="1:26" x14ac:dyDescent="0.2">
      <c r="A209" s="3" t="str">
        <f t="shared" si="21"/>
        <v>TRIP-T-240</v>
      </c>
      <c r="B209" s="2">
        <v>45828</v>
      </c>
      <c r="C209" s="3" t="str">
        <f>_xlfn.XLOOKUP(D209,'[1]Jan Customer Duplicate Hyva'!$B:$B,'[1]Jan Customer Duplicate Hyva'!$A:$A,"NOT FOUND")</f>
        <v>CUST-317</v>
      </c>
      <c r="D209" s="31" t="s">
        <v>615</v>
      </c>
      <c r="E209" s="3"/>
      <c r="F209" s="3"/>
      <c r="G209" s="3"/>
      <c r="H209" s="3"/>
      <c r="I209" s="3"/>
      <c r="J209" s="3"/>
      <c r="K209" s="3"/>
      <c r="L209" s="26" t="s">
        <v>126</v>
      </c>
      <c r="M209" s="27">
        <v>1</v>
      </c>
      <c r="N209" s="13">
        <v>5000</v>
      </c>
      <c r="O209" s="13">
        <f t="shared" si="22"/>
        <v>5000</v>
      </c>
      <c r="P209" s="13">
        <v>5000</v>
      </c>
      <c r="Q209" s="13">
        <f t="shared" si="23"/>
        <v>0</v>
      </c>
      <c r="R209" s="3"/>
      <c r="S209" s="3"/>
      <c r="T209" s="3">
        <f t="shared" si="24"/>
        <v>5000</v>
      </c>
      <c r="U209" s="3" t="str">
        <f t="shared" si="25"/>
        <v>OK</v>
      </c>
      <c r="V209" s="21">
        <f t="shared" si="26"/>
        <v>0</v>
      </c>
      <c r="W209" s="3" t="str">
        <f t="shared" si="27"/>
        <v>OK</v>
      </c>
      <c r="X209" s="3" t="s">
        <v>475</v>
      </c>
      <c r="Y209" s="3" t="s">
        <v>29</v>
      </c>
      <c r="Z209" s="3" t="s">
        <v>476</v>
      </c>
    </row>
    <row r="210" spans="1:26" x14ac:dyDescent="0.2">
      <c r="A210" s="3" t="str">
        <f t="shared" si="21"/>
        <v>TRIP-T-241</v>
      </c>
      <c r="B210" s="2">
        <v>45828</v>
      </c>
      <c r="C210" s="3" t="str">
        <f>_xlfn.XLOOKUP(D210,'[1]Jan Customer Duplicate Hyva'!$B:$B,'[1]Jan Customer Duplicate Hyva'!$A:$A,"NOT FOUND")</f>
        <v>CUST-072</v>
      </c>
      <c r="D210" s="26" t="s">
        <v>594</v>
      </c>
      <c r="E210" s="3"/>
      <c r="F210" s="3"/>
      <c r="G210" s="3"/>
      <c r="H210" s="3"/>
      <c r="I210" s="3"/>
      <c r="J210" s="3"/>
      <c r="K210" s="3"/>
      <c r="L210" s="26" t="s">
        <v>150</v>
      </c>
      <c r="M210" s="27">
        <v>1</v>
      </c>
      <c r="N210" s="13">
        <v>4000</v>
      </c>
      <c r="O210" s="13">
        <f t="shared" si="22"/>
        <v>4000</v>
      </c>
      <c r="P210" s="13"/>
      <c r="Q210" s="13">
        <f t="shared" si="23"/>
        <v>4000</v>
      </c>
      <c r="R210" s="3"/>
      <c r="S210" s="3"/>
      <c r="T210" s="3">
        <f t="shared" si="24"/>
        <v>4000</v>
      </c>
      <c r="U210" s="3" t="str">
        <f t="shared" si="25"/>
        <v>OK</v>
      </c>
      <c r="V210" s="21">
        <f t="shared" si="26"/>
        <v>4000</v>
      </c>
      <c r="W210" s="3" t="str">
        <f t="shared" si="27"/>
        <v>OK</v>
      </c>
      <c r="X210" s="3" t="s">
        <v>475</v>
      </c>
      <c r="Y210" s="3" t="s">
        <v>29</v>
      </c>
      <c r="Z210" s="3" t="s">
        <v>476</v>
      </c>
    </row>
    <row r="211" spans="1:26" x14ac:dyDescent="0.2">
      <c r="A211" s="3" t="str">
        <f t="shared" si="21"/>
        <v>TRIP-T-242</v>
      </c>
      <c r="B211" s="2">
        <v>45828</v>
      </c>
      <c r="C211" s="3" t="str">
        <f>_xlfn.XLOOKUP(D211,'[1]Jan Customer Duplicate Hyva'!$B:$B,'[1]Jan Customer Duplicate Hyva'!$A:$A,"NOT FOUND")</f>
        <v>NOT FOUND</v>
      </c>
      <c r="D211" s="26" t="s">
        <v>598</v>
      </c>
      <c r="E211" s="3"/>
      <c r="F211" s="3"/>
      <c r="G211" s="3"/>
      <c r="H211" s="3"/>
      <c r="I211" s="3"/>
      <c r="J211" s="3"/>
      <c r="K211" s="3"/>
      <c r="L211" s="26" t="s">
        <v>120</v>
      </c>
      <c r="M211" s="27">
        <v>1</v>
      </c>
      <c r="N211" s="13">
        <v>5000</v>
      </c>
      <c r="O211" s="13">
        <f t="shared" si="22"/>
        <v>5000</v>
      </c>
      <c r="P211" s="13">
        <v>5000</v>
      </c>
      <c r="Q211" s="13">
        <f t="shared" si="23"/>
        <v>0</v>
      </c>
      <c r="R211" s="3"/>
      <c r="S211" s="3"/>
      <c r="T211" s="3">
        <f t="shared" si="24"/>
        <v>5000</v>
      </c>
      <c r="U211" s="3" t="str">
        <f t="shared" si="25"/>
        <v>OK</v>
      </c>
      <c r="V211" s="21">
        <f t="shared" si="26"/>
        <v>0</v>
      </c>
      <c r="W211" s="3" t="str">
        <f t="shared" si="27"/>
        <v>OK</v>
      </c>
      <c r="X211" s="3" t="s">
        <v>475</v>
      </c>
      <c r="Y211" s="3" t="s">
        <v>29</v>
      </c>
      <c r="Z211" s="3" t="s">
        <v>476</v>
      </c>
    </row>
    <row r="212" spans="1:26" x14ac:dyDescent="0.2">
      <c r="A212" s="3" t="str">
        <f t="shared" si="21"/>
        <v>TRIP-T-243</v>
      </c>
      <c r="B212" s="2">
        <v>45828</v>
      </c>
      <c r="C212" s="3" t="str">
        <f>_xlfn.XLOOKUP(D212,'[1]Jan Customer Duplicate Hyva'!$B:$B,'[1]Jan Customer Duplicate Hyva'!$A:$A,"NOT FOUND")</f>
        <v>CUST-317</v>
      </c>
      <c r="D212" s="31" t="s">
        <v>615</v>
      </c>
      <c r="E212" s="3"/>
      <c r="F212" s="3"/>
      <c r="G212" s="3"/>
      <c r="H212" s="3"/>
      <c r="I212" s="3"/>
      <c r="J212" s="3"/>
      <c r="K212" s="3"/>
      <c r="L212" s="26" t="s">
        <v>126</v>
      </c>
      <c r="M212" s="27">
        <v>1</v>
      </c>
      <c r="N212" s="13">
        <v>5000</v>
      </c>
      <c r="O212" s="13">
        <f t="shared" si="22"/>
        <v>5000</v>
      </c>
      <c r="P212" s="13">
        <v>5000</v>
      </c>
      <c r="Q212" s="13">
        <f t="shared" si="23"/>
        <v>0</v>
      </c>
      <c r="R212" s="3"/>
      <c r="S212" s="3"/>
      <c r="T212" s="3">
        <f t="shared" si="24"/>
        <v>5000</v>
      </c>
      <c r="U212" s="3" t="str">
        <f t="shared" si="25"/>
        <v>OK</v>
      </c>
      <c r="V212" s="21">
        <f t="shared" si="26"/>
        <v>0</v>
      </c>
      <c r="W212" s="3" t="str">
        <f t="shared" si="27"/>
        <v>OK</v>
      </c>
      <c r="X212" s="3" t="s">
        <v>475</v>
      </c>
      <c r="Y212" s="3" t="s">
        <v>29</v>
      </c>
      <c r="Z212" s="3" t="s">
        <v>476</v>
      </c>
    </row>
    <row r="213" spans="1:26" x14ac:dyDescent="0.2">
      <c r="A213" s="3" t="str">
        <f t="shared" si="21"/>
        <v>TRIP-T-244</v>
      </c>
      <c r="B213" s="2">
        <v>45828</v>
      </c>
      <c r="C213" s="3" t="str">
        <f>_xlfn.XLOOKUP(D213,'[1]Jan Customer Duplicate Hyva'!$B:$B,'[1]Jan Customer Duplicate Hyva'!$A:$A,"NOT FOUND")</f>
        <v>CUST-372</v>
      </c>
      <c r="D213" s="26" t="s">
        <v>623</v>
      </c>
      <c r="E213" s="3"/>
      <c r="F213" s="3"/>
      <c r="G213" s="3"/>
      <c r="H213" s="3"/>
      <c r="I213" s="3"/>
      <c r="J213" s="3"/>
      <c r="K213" s="3"/>
      <c r="L213" s="26" t="s">
        <v>264</v>
      </c>
      <c r="M213" s="27">
        <v>1</v>
      </c>
      <c r="N213" s="13">
        <v>5000</v>
      </c>
      <c r="O213" s="13">
        <f t="shared" si="22"/>
        <v>5000</v>
      </c>
      <c r="P213" s="13"/>
      <c r="Q213" s="13">
        <f t="shared" si="23"/>
        <v>5000</v>
      </c>
      <c r="R213" s="3"/>
      <c r="S213" s="3"/>
      <c r="T213" s="3">
        <f t="shared" si="24"/>
        <v>5000</v>
      </c>
      <c r="U213" s="3" t="str">
        <f t="shared" si="25"/>
        <v>OK</v>
      </c>
      <c r="V213" s="21">
        <f t="shared" si="26"/>
        <v>5000</v>
      </c>
      <c r="W213" s="3" t="str">
        <f t="shared" si="27"/>
        <v>OK</v>
      </c>
      <c r="X213" s="3" t="s">
        <v>475</v>
      </c>
      <c r="Y213" s="3" t="s">
        <v>29</v>
      </c>
      <c r="Z213" s="3" t="s">
        <v>476</v>
      </c>
    </row>
    <row r="214" spans="1:26" x14ac:dyDescent="0.2">
      <c r="A214" s="3" t="str">
        <f t="shared" si="21"/>
        <v>TRIP-T-245</v>
      </c>
      <c r="B214" s="2">
        <v>45828</v>
      </c>
      <c r="C214" s="3" t="str">
        <f>_xlfn.XLOOKUP(D214,'[1]Jan Customer Duplicate Hyva'!$B:$B,'[1]Jan Customer Duplicate Hyva'!$A:$A,"NOT FOUND")</f>
        <v>CUST-169</v>
      </c>
      <c r="D214" s="26" t="s">
        <v>46</v>
      </c>
      <c r="E214" s="3"/>
      <c r="F214" s="3"/>
      <c r="G214" s="3"/>
      <c r="H214" s="3"/>
      <c r="I214" s="3"/>
      <c r="J214" s="3"/>
      <c r="K214" s="3"/>
      <c r="L214" s="26" t="s">
        <v>624</v>
      </c>
      <c r="M214" s="27">
        <v>1</v>
      </c>
      <c r="N214" s="13">
        <v>5000</v>
      </c>
      <c r="O214" s="13">
        <f t="shared" si="22"/>
        <v>5000</v>
      </c>
      <c r="P214" s="13">
        <v>5000</v>
      </c>
      <c r="Q214" s="13">
        <f t="shared" si="23"/>
        <v>0</v>
      </c>
      <c r="R214" s="3"/>
      <c r="S214" s="3"/>
      <c r="T214" s="3">
        <f t="shared" si="24"/>
        <v>5000</v>
      </c>
      <c r="U214" s="3" t="str">
        <f t="shared" si="25"/>
        <v>OK</v>
      </c>
      <c r="V214" s="21">
        <f t="shared" si="26"/>
        <v>0</v>
      </c>
      <c r="W214" s="3" t="str">
        <f t="shared" si="27"/>
        <v>OK</v>
      </c>
      <c r="X214" s="3" t="s">
        <v>475</v>
      </c>
      <c r="Y214" s="3" t="s">
        <v>29</v>
      </c>
      <c r="Z214" s="3" t="s">
        <v>476</v>
      </c>
    </row>
    <row r="215" spans="1:26" x14ac:dyDescent="0.2">
      <c r="A215" s="3" t="str">
        <f t="shared" si="21"/>
        <v>TRIP-T-246</v>
      </c>
      <c r="B215" s="2">
        <v>45828</v>
      </c>
      <c r="C215" s="3" t="str">
        <f>_xlfn.XLOOKUP(D215,'[1]Jan Customer Duplicate Hyva'!$B:$B,'[1]Jan Customer Duplicate Hyva'!$A:$A,"NOT FOUND")</f>
        <v>NOT FOUND</v>
      </c>
      <c r="D215" s="26" t="s">
        <v>598</v>
      </c>
      <c r="E215" s="3"/>
      <c r="F215" s="3"/>
      <c r="G215" s="3"/>
      <c r="H215" s="3"/>
      <c r="I215" s="3"/>
      <c r="J215" s="3"/>
      <c r="K215" s="3"/>
      <c r="L215" s="26" t="s">
        <v>120</v>
      </c>
      <c r="M215" s="27">
        <v>1</v>
      </c>
      <c r="N215" s="13">
        <v>5000</v>
      </c>
      <c r="O215" s="13">
        <f t="shared" si="22"/>
        <v>5000</v>
      </c>
      <c r="P215" s="13">
        <v>5000</v>
      </c>
      <c r="Q215" s="13">
        <f t="shared" si="23"/>
        <v>0</v>
      </c>
      <c r="R215" s="3"/>
      <c r="S215" s="3"/>
      <c r="T215" s="3">
        <f t="shared" si="24"/>
        <v>5000</v>
      </c>
      <c r="U215" s="3" t="str">
        <f t="shared" si="25"/>
        <v>OK</v>
      </c>
      <c r="V215" s="21">
        <f t="shared" si="26"/>
        <v>0</v>
      </c>
      <c r="W215" s="3" t="str">
        <f t="shared" si="27"/>
        <v>OK</v>
      </c>
      <c r="X215" s="3" t="s">
        <v>475</v>
      </c>
      <c r="Y215" s="3" t="s">
        <v>29</v>
      </c>
      <c r="Z215" s="3" t="s">
        <v>476</v>
      </c>
    </row>
    <row r="216" spans="1:26" x14ac:dyDescent="0.2">
      <c r="A216" s="3" t="str">
        <f t="shared" si="21"/>
        <v>TRIP-T-247</v>
      </c>
      <c r="B216" s="2">
        <v>45829</v>
      </c>
      <c r="C216" s="3" t="str">
        <f>_xlfn.XLOOKUP(D216,'[1]Jan Customer Duplicate Hyva'!$B:$B,'[1]Jan Customer Duplicate Hyva'!$A:$A,"NOT FOUND")</f>
        <v>NOT FOUND</v>
      </c>
      <c r="D216" s="26" t="s">
        <v>378</v>
      </c>
      <c r="E216" s="3"/>
      <c r="F216" s="3"/>
      <c r="G216" s="3"/>
      <c r="H216" s="3"/>
      <c r="I216" s="3"/>
      <c r="J216" s="3"/>
      <c r="K216" s="3"/>
      <c r="L216" s="26" t="s">
        <v>172</v>
      </c>
      <c r="M216" s="27">
        <v>2</v>
      </c>
      <c r="N216" s="13">
        <v>4500</v>
      </c>
      <c r="O216" s="13">
        <f t="shared" si="22"/>
        <v>9000</v>
      </c>
      <c r="P216" s="13">
        <v>9000</v>
      </c>
      <c r="Q216" s="13">
        <f t="shared" si="23"/>
        <v>0</v>
      </c>
      <c r="R216" s="3"/>
      <c r="S216" s="3"/>
      <c r="T216" s="3">
        <f t="shared" si="24"/>
        <v>9000</v>
      </c>
      <c r="U216" s="3" t="str">
        <f t="shared" si="25"/>
        <v>OK</v>
      </c>
      <c r="V216" s="21">
        <f t="shared" si="26"/>
        <v>0</v>
      </c>
      <c r="W216" s="3" t="str">
        <f t="shared" si="27"/>
        <v>OK</v>
      </c>
      <c r="X216" s="3" t="s">
        <v>475</v>
      </c>
      <c r="Y216" s="3" t="s">
        <v>29</v>
      </c>
      <c r="Z216" s="3" t="s">
        <v>476</v>
      </c>
    </row>
    <row r="217" spans="1:26" x14ac:dyDescent="0.2">
      <c r="A217" s="3" t="str">
        <f t="shared" si="21"/>
        <v>TRIP-T-248</v>
      </c>
      <c r="B217" s="2">
        <v>45829</v>
      </c>
      <c r="C217" s="3" t="str">
        <f>_xlfn.XLOOKUP(D217,'[1]Jan Customer Duplicate Hyva'!$B:$B,'[1]Jan Customer Duplicate Hyva'!$A:$A,"NOT FOUND")</f>
        <v>CUST-372</v>
      </c>
      <c r="D217" s="26" t="s">
        <v>623</v>
      </c>
      <c r="E217" s="3"/>
      <c r="F217" s="3"/>
      <c r="G217" s="3"/>
      <c r="H217" s="3"/>
      <c r="I217" s="3"/>
      <c r="J217" s="3"/>
      <c r="K217" s="3"/>
      <c r="L217" s="26" t="s">
        <v>172</v>
      </c>
      <c r="M217" s="27">
        <v>2</v>
      </c>
      <c r="N217" s="13">
        <v>4000</v>
      </c>
      <c r="O217" s="13">
        <f t="shared" si="22"/>
        <v>8000</v>
      </c>
      <c r="P217" s="13">
        <v>8000</v>
      </c>
      <c r="Q217" s="13">
        <f t="shared" si="23"/>
        <v>0</v>
      </c>
      <c r="R217" s="3"/>
      <c r="S217" s="3"/>
      <c r="T217" s="3">
        <f t="shared" si="24"/>
        <v>8000</v>
      </c>
      <c r="U217" s="3" t="str">
        <f t="shared" si="25"/>
        <v>OK</v>
      </c>
      <c r="V217" s="21">
        <f t="shared" si="26"/>
        <v>0</v>
      </c>
      <c r="W217" s="3" t="str">
        <f t="shared" si="27"/>
        <v>OK</v>
      </c>
      <c r="X217" s="3" t="s">
        <v>475</v>
      </c>
      <c r="Y217" s="3" t="s">
        <v>29</v>
      </c>
      <c r="Z217" s="3" t="s">
        <v>476</v>
      </c>
    </row>
    <row r="218" spans="1:26" x14ac:dyDescent="0.2">
      <c r="A218" s="3" t="str">
        <f t="shared" si="21"/>
        <v>TRIP-T-249</v>
      </c>
      <c r="B218" s="2">
        <v>45829</v>
      </c>
      <c r="C218" s="3" t="str">
        <f>_xlfn.XLOOKUP(D218,'[1]Jan Customer Duplicate Hyva'!$B:$B,'[1]Jan Customer Duplicate Hyva'!$A:$A,"NOT FOUND")</f>
        <v>CUST-177</v>
      </c>
      <c r="D218" s="26" t="s">
        <v>577</v>
      </c>
      <c r="E218" s="3"/>
      <c r="F218" s="3"/>
      <c r="G218" s="3"/>
      <c r="H218" s="3"/>
      <c r="I218" s="3"/>
      <c r="J218" s="3"/>
      <c r="K218" s="3"/>
      <c r="L218" s="26" t="s">
        <v>150</v>
      </c>
      <c r="M218" s="27">
        <v>3</v>
      </c>
      <c r="N218" s="13">
        <v>4500</v>
      </c>
      <c r="O218" s="13">
        <f t="shared" si="22"/>
        <v>13500</v>
      </c>
      <c r="P218" s="13">
        <v>13500</v>
      </c>
      <c r="Q218" s="13">
        <f t="shared" si="23"/>
        <v>0</v>
      </c>
      <c r="R218" s="3"/>
      <c r="S218" s="3"/>
      <c r="T218" s="3">
        <f t="shared" si="24"/>
        <v>13500</v>
      </c>
      <c r="U218" s="3" t="str">
        <f t="shared" si="25"/>
        <v>OK</v>
      </c>
      <c r="V218" s="21">
        <f t="shared" si="26"/>
        <v>0</v>
      </c>
      <c r="W218" s="3" t="str">
        <f t="shared" si="27"/>
        <v>OK</v>
      </c>
      <c r="X218" s="3" t="s">
        <v>475</v>
      </c>
      <c r="Y218" s="3" t="s">
        <v>29</v>
      </c>
      <c r="Z218" s="3" t="s">
        <v>476</v>
      </c>
    </row>
    <row r="219" spans="1:26" x14ac:dyDescent="0.2">
      <c r="A219" s="3" t="str">
        <f t="shared" si="21"/>
        <v>TRIP-T-250</v>
      </c>
      <c r="B219" s="2">
        <v>45831</v>
      </c>
      <c r="C219" s="3" t="str">
        <f>_xlfn.XLOOKUP(D219,'[1]Jan Customer Duplicate Hyva'!$B:$B,'[1]Jan Customer Duplicate Hyva'!$A:$A,"NOT FOUND")</f>
        <v>NOT FOUND</v>
      </c>
      <c r="D219" s="26" t="s">
        <v>598</v>
      </c>
      <c r="E219" s="3"/>
      <c r="F219" s="3"/>
      <c r="G219" s="3"/>
      <c r="H219" s="3"/>
      <c r="I219" s="3"/>
      <c r="J219" s="3"/>
      <c r="K219" s="3"/>
      <c r="L219" s="26" t="s">
        <v>120</v>
      </c>
      <c r="M219" s="27">
        <v>1</v>
      </c>
      <c r="N219" s="13">
        <v>5000</v>
      </c>
      <c r="O219" s="13">
        <f t="shared" si="22"/>
        <v>5000</v>
      </c>
      <c r="P219" s="13">
        <v>5000</v>
      </c>
      <c r="Q219" s="13">
        <f t="shared" si="23"/>
        <v>0</v>
      </c>
      <c r="R219" s="3"/>
      <c r="S219" s="3"/>
      <c r="T219" s="3">
        <f t="shared" si="24"/>
        <v>5000</v>
      </c>
      <c r="U219" s="3" t="str">
        <f t="shared" si="25"/>
        <v>OK</v>
      </c>
      <c r="V219" s="21">
        <f t="shared" si="26"/>
        <v>0</v>
      </c>
      <c r="W219" s="3" t="str">
        <f t="shared" si="27"/>
        <v>OK</v>
      </c>
      <c r="X219" s="3" t="s">
        <v>475</v>
      </c>
      <c r="Y219" s="3" t="s">
        <v>29</v>
      </c>
      <c r="Z219" s="3" t="s">
        <v>476</v>
      </c>
    </row>
    <row r="220" spans="1:26" x14ac:dyDescent="0.2">
      <c r="A220" s="3" t="str">
        <f t="shared" si="21"/>
        <v>TRIP-T-251</v>
      </c>
      <c r="B220" s="2">
        <v>45831</v>
      </c>
      <c r="C220" s="3" t="str">
        <f>_xlfn.XLOOKUP(D220,'[1]Jan Customer Duplicate Hyva'!$B:$B,'[1]Jan Customer Duplicate Hyva'!$A:$A,"NOT FOUND")</f>
        <v>CUST-104</v>
      </c>
      <c r="D220" s="31" t="s">
        <v>625</v>
      </c>
      <c r="E220" s="3"/>
      <c r="F220" s="3"/>
      <c r="G220" s="3"/>
      <c r="H220" s="3"/>
      <c r="I220" s="3"/>
      <c r="J220" s="3"/>
      <c r="K220" s="3"/>
      <c r="L220" s="31" t="s">
        <v>626</v>
      </c>
      <c r="M220" s="27">
        <v>2</v>
      </c>
      <c r="N220" s="13">
        <v>0</v>
      </c>
      <c r="O220" s="13">
        <f t="shared" si="22"/>
        <v>0</v>
      </c>
      <c r="P220" s="13"/>
      <c r="Q220" s="13">
        <f t="shared" si="23"/>
        <v>0</v>
      </c>
      <c r="R220" s="3"/>
      <c r="S220" s="3"/>
      <c r="T220" s="3">
        <f t="shared" si="24"/>
        <v>0</v>
      </c>
      <c r="U220" s="3" t="str">
        <f t="shared" si="25"/>
        <v>OK</v>
      </c>
      <c r="V220" s="21">
        <f t="shared" si="26"/>
        <v>0</v>
      </c>
      <c r="W220" s="3" t="str">
        <f t="shared" si="27"/>
        <v>OK</v>
      </c>
      <c r="X220" s="3" t="s">
        <v>475</v>
      </c>
      <c r="Y220" s="3" t="s">
        <v>29</v>
      </c>
      <c r="Z220" s="3" t="s">
        <v>476</v>
      </c>
    </row>
    <row r="221" spans="1:26" x14ac:dyDescent="0.2">
      <c r="A221" s="3" t="str">
        <f t="shared" si="21"/>
        <v>TRIP-T-252</v>
      </c>
      <c r="B221" s="2">
        <v>45831</v>
      </c>
      <c r="C221" s="3" t="str">
        <f>_xlfn.XLOOKUP(D221,'[1]Jan Customer Duplicate Hyva'!$B:$B,'[1]Jan Customer Duplicate Hyva'!$A:$A,"NOT FOUND")</f>
        <v>NOT FOUND</v>
      </c>
      <c r="D221" s="31" t="s">
        <v>627</v>
      </c>
      <c r="E221" s="3"/>
      <c r="F221" s="3"/>
      <c r="G221" s="3"/>
      <c r="H221" s="3"/>
      <c r="I221" s="3"/>
      <c r="J221" s="3"/>
      <c r="K221" s="3"/>
      <c r="L221" s="31" t="s">
        <v>628</v>
      </c>
      <c r="M221" s="27">
        <v>2</v>
      </c>
      <c r="N221" s="13">
        <v>4500</v>
      </c>
      <c r="O221" s="13">
        <f t="shared" si="22"/>
        <v>9000</v>
      </c>
      <c r="P221" s="13">
        <v>9000</v>
      </c>
      <c r="Q221" s="13">
        <f t="shared" si="23"/>
        <v>0</v>
      </c>
      <c r="R221" s="3"/>
      <c r="S221" s="3"/>
      <c r="T221" s="3">
        <f t="shared" si="24"/>
        <v>9000</v>
      </c>
      <c r="U221" s="3" t="str">
        <f t="shared" si="25"/>
        <v>OK</v>
      </c>
      <c r="V221" s="21">
        <f t="shared" si="26"/>
        <v>0</v>
      </c>
      <c r="W221" s="3" t="str">
        <f t="shared" si="27"/>
        <v>OK</v>
      </c>
      <c r="X221" s="3" t="s">
        <v>475</v>
      </c>
      <c r="Y221" s="3" t="s">
        <v>29</v>
      </c>
      <c r="Z221" s="3" t="s">
        <v>476</v>
      </c>
    </row>
    <row r="222" spans="1:26" x14ac:dyDescent="0.2">
      <c r="A222" s="3" t="str">
        <f t="shared" si="21"/>
        <v>TRIP-T-253</v>
      </c>
      <c r="B222" s="2">
        <v>45832</v>
      </c>
      <c r="C222" s="3" t="str">
        <f>_xlfn.XLOOKUP(D222,'[1]Jan Customer Duplicate Hyva'!$B:$B,'[1]Jan Customer Duplicate Hyva'!$A:$A,"NOT FOUND")</f>
        <v>CUST-017</v>
      </c>
      <c r="D222" s="26" t="s">
        <v>151</v>
      </c>
      <c r="E222" s="3"/>
      <c r="F222" s="3"/>
      <c r="G222" s="3"/>
      <c r="H222" s="3"/>
      <c r="I222" s="3"/>
      <c r="J222" s="3"/>
      <c r="K222" s="3"/>
      <c r="L222" s="26" t="s">
        <v>629</v>
      </c>
      <c r="M222" s="27">
        <v>1</v>
      </c>
      <c r="N222" s="13">
        <v>4500</v>
      </c>
      <c r="O222" s="13">
        <f t="shared" si="22"/>
        <v>4500</v>
      </c>
      <c r="P222" s="13">
        <v>4500</v>
      </c>
      <c r="Q222" s="13">
        <f t="shared" si="23"/>
        <v>0</v>
      </c>
      <c r="R222" s="3"/>
      <c r="S222" s="3"/>
      <c r="T222" s="3">
        <f t="shared" si="24"/>
        <v>4500</v>
      </c>
      <c r="U222" s="3" t="str">
        <f t="shared" si="25"/>
        <v>OK</v>
      </c>
      <c r="V222" s="21">
        <f t="shared" si="26"/>
        <v>0</v>
      </c>
      <c r="W222" s="3" t="str">
        <f t="shared" si="27"/>
        <v>OK</v>
      </c>
      <c r="X222" s="3" t="s">
        <v>475</v>
      </c>
      <c r="Y222" s="3" t="s">
        <v>29</v>
      </c>
      <c r="Z222" s="3" t="s">
        <v>476</v>
      </c>
    </row>
    <row r="223" spans="1:26" x14ac:dyDescent="0.2">
      <c r="A223" s="3" t="str">
        <f t="shared" si="21"/>
        <v>TRIP-T-254</v>
      </c>
      <c r="B223" s="2">
        <v>45835</v>
      </c>
      <c r="C223" s="3" t="str">
        <f>_xlfn.XLOOKUP(D223,'[1]Jan Customer Duplicate Hyva'!$B:$B,'[1]Jan Customer Duplicate Hyva'!$A:$A,"NOT FOUND")</f>
        <v>NOT FOUND</v>
      </c>
      <c r="D223" s="26" t="s">
        <v>630</v>
      </c>
      <c r="E223" s="3"/>
      <c r="F223" s="3"/>
      <c r="G223" s="3"/>
      <c r="H223" s="3"/>
      <c r="I223" s="3"/>
      <c r="J223" s="3"/>
      <c r="K223" s="3"/>
      <c r="L223" s="26" t="s">
        <v>120</v>
      </c>
      <c r="M223" s="27">
        <v>1</v>
      </c>
      <c r="N223" s="13">
        <v>4700</v>
      </c>
      <c r="O223" s="13">
        <f t="shared" si="22"/>
        <v>4700</v>
      </c>
      <c r="P223" s="13">
        <v>4700</v>
      </c>
      <c r="Q223" s="13">
        <f t="shared" si="23"/>
        <v>0</v>
      </c>
      <c r="R223" s="3"/>
      <c r="S223" s="3"/>
      <c r="T223" s="3">
        <f t="shared" si="24"/>
        <v>4700</v>
      </c>
      <c r="U223" s="3" t="str">
        <f t="shared" si="25"/>
        <v>OK</v>
      </c>
      <c r="V223" s="21">
        <f t="shared" si="26"/>
        <v>0</v>
      </c>
      <c r="W223" s="3" t="str">
        <f t="shared" si="27"/>
        <v>OK</v>
      </c>
      <c r="X223" s="3" t="s">
        <v>475</v>
      </c>
      <c r="Y223" s="3" t="s">
        <v>29</v>
      </c>
      <c r="Z223" s="3" t="s">
        <v>476</v>
      </c>
    </row>
    <row r="224" spans="1:26" x14ac:dyDescent="0.2">
      <c r="A224" s="3" t="str">
        <f t="shared" si="21"/>
        <v>TRIP-T-255</v>
      </c>
      <c r="B224" s="2">
        <v>45835</v>
      </c>
      <c r="C224" s="3" t="str">
        <f>_xlfn.XLOOKUP(D224,'[1]Jan Customer Duplicate Hyva'!$B:$B,'[1]Jan Customer Duplicate Hyva'!$A:$A,"NOT FOUND")</f>
        <v>CUST-040</v>
      </c>
      <c r="D224" s="26" t="s">
        <v>600</v>
      </c>
      <c r="E224" s="3"/>
      <c r="F224" s="3"/>
      <c r="G224" s="3"/>
      <c r="H224" s="3"/>
      <c r="I224" s="3"/>
      <c r="J224" s="3"/>
      <c r="K224" s="3"/>
      <c r="L224" s="11" t="s">
        <v>33</v>
      </c>
      <c r="M224" s="12">
        <v>1</v>
      </c>
      <c r="N224" s="13">
        <v>4000</v>
      </c>
      <c r="O224" s="13">
        <f t="shared" si="22"/>
        <v>4000</v>
      </c>
      <c r="P224" s="13"/>
      <c r="Q224" s="13">
        <f t="shared" si="23"/>
        <v>4000</v>
      </c>
      <c r="R224" s="3"/>
      <c r="S224" s="3"/>
      <c r="T224" s="3">
        <f t="shared" si="24"/>
        <v>4000</v>
      </c>
      <c r="U224" s="3" t="str">
        <f t="shared" si="25"/>
        <v>OK</v>
      </c>
      <c r="V224" s="21">
        <f t="shared" si="26"/>
        <v>4000</v>
      </c>
      <c r="W224" s="3" t="str">
        <f t="shared" si="27"/>
        <v>OK</v>
      </c>
      <c r="X224" s="3" t="s">
        <v>475</v>
      </c>
      <c r="Y224" s="3" t="s">
        <v>29</v>
      </c>
      <c r="Z224" s="3" t="s">
        <v>476</v>
      </c>
    </row>
    <row r="225" spans="1:26" x14ac:dyDescent="0.2">
      <c r="A225" s="3" t="str">
        <f t="shared" si="21"/>
        <v>TRIP-T-256</v>
      </c>
      <c r="B225" s="2">
        <v>45835</v>
      </c>
      <c r="C225" s="3" t="str">
        <f>_xlfn.XLOOKUP(D225,'[1]Jan Customer Duplicate Hyva'!$B:$B,'[1]Jan Customer Duplicate Hyva'!$A:$A,"NOT FOUND")</f>
        <v>NOT FOUND</v>
      </c>
      <c r="D225" s="26" t="s">
        <v>592</v>
      </c>
      <c r="E225" s="3"/>
      <c r="F225" s="3"/>
      <c r="G225" s="3"/>
      <c r="H225" s="3"/>
      <c r="I225" s="3"/>
      <c r="J225" s="3"/>
      <c r="K225" s="3"/>
      <c r="L225" s="26" t="s">
        <v>114</v>
      </c>
      <c r="M225" s="27">
        <v>1</v>
      </c>
      <c r="N225" s="13">
        <v>5000</v>
      </c>
      <c r="O225" s="13">
        <f t="shared" si="22"/>
        <v>5000</v>
      </c>
      <c r="P225" s="13">
        <v>5000</v>
      </c>
      <c r="Q225" s="13">
        <f t="shared" si="23"/>
        <v>0</v>
      </c>
      <c r="R225" s="3"/>
      <c r="S225" s="3"/>
      <c r="T225" s="3">
        <f t="shared" si="24"/>
        <v>5000</v>
      </c>
      <c r="U225" s="3" t="str">
        <f t="shared" si="25"/>
        <v>OK</v>
      </c>
      <c r="V225" s="21">
        <f t="shared" si="26"/>
        <v>0</v>
      </c>
      <c r="W225" s="3" t="str">
        <f t="shared" si="27"/>
        <v>OK</v>
      </c>
      <c r="X225" s="3" t="s">
        <v>475</v>
      </c>
      <c r="Y225" s="3" t="s">
        <v>29</v>
      </c>
      <c r="Z225" s="3" t="s">
        <v>476</v>
      </c>
    </row>
    <row r="226" spans="1:26" x14ac:dyDescent="0.2">
      <c r="A226" s="3" t="str">
        <f t="shared" si="21"/>
        <v>TRIP-T-257</v>
      </c>
      <c r="B226" s="2">
        <v>45835</v>
      </c>
      <c r="C226" s="3" t="str">
        <f>_xlfn.XLOOKUP(D226,'[1]Jan Customer Duplicate Hyva'!$B:$B,'[1]Jan Customer Duplicate Hyva'!$A:$A,"NOT FOUND")</f>
        <v>CUST-073</v>
      </c>
      <c r="D226" s="26" t="s">
        <v>421</v>
      </c>
      <c r="E226" s="3"/>
      <c r="F226" s="3"/>
      <c r="G226" s="3"/>
      <c r="H226" s="3"/>
      <c r="I226" s="3"/>
      <c r="J226" s="3"/>
      <c r="K226" s="3"/>
      <c r="L226" s="26" t="s">
        <v>33</v>
      </c>
      <c r="M226" s="27">
        <v>2</v>
      </c>
      <c r="N226" s="13">
        <v>4000</v>
      </c>
      <c r="O226" s="13">
        <f t="shared" si="22"/>
        <v>8000</v>
      </c>
      <c r="P226" s="13">
        <v>8000</v>
      </c>
      <c r="Q226" s="13">
        <f t="shared" si="23"/>
        <v>0</v>
      </c>
      <c r="R226" s="3"/>
      <c r="S226" s="3"/>
      <c r="T226" s="3">
        <f t="shared" si="24"/>
        <v>8000</v>
      </c>
      <c r="U226" s="3" t="str">
        <f t="shared" si="25"/>
        <v>OK</v>
      </c>
      <c r="V226" s="21">
        <f t="shared" si="26"/>
        <v>0</v>
      </c>
      <c r="W226" s="3" t="str">
        <f t="shared" si="27"/>
        <v>OK</v>
      </c>
      <c r="X226" s="3" t="s">
        <v>475</v>
      </c>
      <c r="Y226" s="3" t="s">
        <v>29</v>
      </c>
      <c r="Z226" s="3" t="s">
        <v>476</v>
      </c>
    </row>
    <row r="227" spans="1:26" x14ac:dyDescent="0.2">
      <c r="A227" s="3" t="str">
        <f t="shared" si="21"/>
        <v>TRIP-T-258</v>
      </c>
      <c r="B227" s="2">
        <v>45836</v>
      </c>
      <c r="C227" s="3" t="str">
        <f>_xlfn.XLOOKUP(D227,'[1]Jan Customer Duplicate Hyva'!$B:$B,'[1]Jan Customer Duplicate Hyva'!$A:$A,"NOT FOUND")</f>
        <v>CUST-098</v>
      </c>
      <c r="D227" s="26" t="s">
        <v>631</v>
      </c>
      <c r="E227" s="3"/>
      <c r="F227" s="3"/>
      <c r="G227" s="3"/>
      <c r="H227" s="3"/>
      <c r="I227" s="3"/>
      <c r="J227" s="3"/>
      <c r="K227" s="3"/>
      <c r="L227" s="26" t="s">
        <v>172</v>
      </c>
      <c r="M227" s="27">
        <v>2</v>
      </c>
      <c r="N227" s="13">
        <v>4000</v>
      </c>
      <c r="O227" s="13">
        <f t="shared" si="22"/>
        <v>8000</v>
      </c>
      <c r="P227" s="13">
        <v>8000</v>
      </c>
      <c r="Q227" s="13">
        <f t="shared" si="23"/>
        <v>0</v>
      </c>
      <c r="R227" s="3"/>
      <c r="S227" s="3"/>
      <c r="T227" s="3">
        <f t="shared" si="24"/>
        <v>8000</v>
      </c>
      <c r="U227" s="3" t="str">
        <f t="shared" si="25"/>
        <v>OK</v>
      </c>
      <c r="V227" s="21">
        <f t="shared" si="26"/>
        <v>0</v>
      </c>
      <c r="W227" s="3" t="str">
        <f t="shared" si="27"/>
        <v>OK</v>
      </c>
      <c r="X227" s="3" t="s">
        <v>475</v>
      </c>
      <c r="Y227" s="3" t="s">
        <v>29</v>
      </c>
      <c r="Z227" s="3" t="s">
        <v>476</v>
      </c>
    </row>
    <row r="228" spans="1:26" x14ac:dyDescent="0.2">
      <c r="A228" s="3" t="str">
        <f t="shared" si="21"/>
        <v>TRIP-T-259</v>
      </c>
      <c r="B228" s="2">
        <v>45838</v>
      </c>
      <c r="C228" s="3" t="str">
        <f>_xlfn.XLOOKUP(D228,'[1]Jan Customer Duplicate Hyva'!$B:$B,'[1]Jan Customer Duplicate Hyva'!$A:$A,"NOT FOUND")</f>
        <v>CUST-098</v>
      </c>
      <c r="D228" s="26" t="s">
        <v>631</v>
      </c>
      <c r="E228" s="3"/>
      <c r="F228" s="3"/>
      <c r="G228" s="3"/>
      <c r="H228" s="3"/>
      <c r="I228" s="3"/>
      <c r="J228" s="3"/>
      <c r="K228" s="3"/>
      <c r="L228" s="11" t="s">
        <v>172</v>
      </c>
      <c r="M228" s="12">
        <v>1</v>
      </c>
      <c r="N228" s="13">
        <v>4500</v>
      </c>
      <c r="O228" s="13">
        <f t="shared" si="22"/>
        <v>4500</v>
      </c>
      <c r="P228" s="13">
        <v>4500</v>
      </c>
      <c r="Q228" s="13">
        <f t="shared" si="23"/>
        <v>0</v>
      </c>
      <c r="R228" s="3"/>
      <c r="S228" s="3"/>
      <c r="T228" s="3">
        <f t="shared" si="24"/>
        <v>4500</v>
      </c>
      <c r="U228" s="3" t="str">
        <f t="shared" si="25"/>
        <v>OK</v>
      </c>
      <c r="V228" s="21">
        <f t="shared" si="26"/>
        <v>0</v>
      </c>
      <c r="W228" s="3" t="str">
        <f t="shared" si="27"/>
        <v>OK</v>
      </c>
      <c r="X228" s="3" t="s">
        <v>475</v>
      </c>
      <c r="Y228" s="3" t="s">
        <v>29</v>
      </c>
      <c r="Z228" s="3" t="s">
        <v>476</v>
      </c>
    </row>
    <row r="229" spans="1:26" x14ac:dyDescent="0.2">
      <c r="A229" s="3" t="str">
        <f t="shared" si="21"/>
        <v>TRIP-T-260</v>
      </c>
      <c r="B229" s="2">
        <v>45841</v>
      </c>
      <c r="C229" s="3" t="str">
        <f>_xlfn.XLOOKUP(D229,'[1]Jan Customer Duplicate Hyva'!$B:$B,'[1]Jan Customer Duplicate Hyva'!$A:$A,"NOT FOUND")</f>
        <v>CUST-098</v>
      </c>
      <c r="D229" s="26" t="s">
        <v>631</v>
      </c>
      <c r="E229" s="3"/>
      <c r="F229" s="3"/>
      <c r="G229" s="3"/>
      <c r="H229" s="3"/>
      <c r="I229" s="3"/>
      <c r="J229" s="3"/>
      <c r="K229" s="3"/>
      <c r="L229" s="26" t="s">
        <v>172</v>
      </c>
      <c r="M229" s="27">
        <v>1</v>
      </c>
      <c r="N229" s="13">
        <v>4500</v>
      </c>
      <c r="O229" s="13">
        <f t="shared" si="22"/>
        <v>4500</v>
      </c>
      <c r="P229" s="13">
        <v>4500</v>
      </c>
      <c r="Q229" s="13">
        <f t="shared" si="23"/>
        <v>0</v>
      </c>
      <c r="R229" s="3"/>
      <c r="S229" s="3"/>
      <c r="T229" s="3">
        <f t="shared" si="24"/>
        <v>4500</v>
      </c>
      <c r="U229" s="3" t="str">
        <f t="shared" si="25"/>
        <v>OK</v>
      </c>
      <c r="V229" s="21">
        <f t="shared" si="26"/>
        <v>0</v>
      </c>
      <c r="W229" s="3" t="str">
        <f t="shared" si="27"/>
        <v>OK</v>
      </c>
      <c r="X229" s="3" t="s">
        <v>475</v>
      </c>
      <c r="Y229" s="3" t="s">
        <v>29</v>
      </c>
      <c r="Z229" s="3" t="s">
        <v>476</v>
      </c>
    </row>
    <row r="230" spans="1:26" x14ac:dyDescent="0.2">
      <c r="A230" s="3" t="str">
        <f t="shared" si="21"/>
        <v>TRIP-T-261</v>
      </c>
      <c r="B230" s="2">
        <v>45841</v>
      </c>
      <c r="C230" s="3" t="str">
        <f>_xlfn.XLOOKUP(D230,'[1]Jan Customer Duplicate Hyva'!$B:$B,'[1]Jan Customer Duplicate Hyva'!$A:$A,"NOT FOUND")</f>
        <v>NOT FOUND</v>
      </c>
      <c r="D230" s="11" t="s">
        <v>543</v>
      </c>
      <c r="E230" s="3"/>
      <c r="F230" s="3"/>
      <c r="G230" s="3"/>
      <c r="H230" s="3"/>
      <c r="I230" s="3"/>
      <c r="J230" s="3"/>
      <c r="K230" s="3"/>
      <c r="L230" s="26" t="s">
        <v>172</v>
      </c>
      <c r="M230" s="27">
        <v>1</v>
      </c>
      <c r="N230" s="13">
        <v>4500</v>
      </c>
      <c r="O230" s="13">
        <f t="shared" si="22"/>
        <v>4500</v>
      </c>
      <c r="P230" s="13">
        <v>4500</v>
      </c>
      <c r="Q230" s="13">
        <f t="shared" si="23"/>
        <v>0</v>
      </c>
      <c r="R230" s="3"/>
      <c r="S230" s="3"/>
      <c r="T230" s="3">
        <f t="shared" si="24"/>
        <v>4500</v>
      </c>
      <c r="U230" s="3" t="str">
        <f t="shared" si="25"/>
        <v>OK</v>
      </c>
      <c r="V230" s="21">
        <f t="shared" si="26"/>
        <v>0</v>
      </c>
      <c r="W230" s="3" t="str">
        <f t="shared" si="27"/>
        <v>OK</v>
      </c>
      <c r="X230" s="3" t="s">
        <v>475</v>
      </c>
      <c r="Y230" s="3" t="s">
        <v>29</v>
      </c>
      <c r="Z230" s="3" t="s">
        <v>476</v>
      </c>
    </row>
    <row r="231" spans="1:26" x14ac:dyDescent="0.2">
      <c r="A231" s="3" t="str">
        <f t="shared" si="21"/>
        <v>TRIP-T-262</v>
      </c>
      <c r="B231" s="2">
        <v>45841</v>
      </c>
      <c r="C231" s="3" t="str">
        <f>_xlfn.XLOOKUP(D231,'[1]Jan Customer Duplicate Hyva'!$B:$B,'[1]Jan Customer Duplicate Hyva'!$A:$A,"NOT FOUND")</f>
        <v>CUST-205</v>
      </c>
      <c r="D231" s="26" t="s">
        <v>632</v>
      </c>
      <c r="E231" s="3"/>
      <c r="F231" s="3"/>
      <c r="G231" s="3"/>
      <c r="H231" s="3"/>
      <c r="I231" s="3"/>
      <c r="J231" s="3"/>
      <c r="K231" s="3"/>
      <c r="L231" s="26" t="s">
        <v>344</v>
      </c>
      <c r="M231" s="27">
        <v>1</v>
      </c>
      <c r="N231" s="13">
        <v>5000</v>
      </c>
      <c r="O231" s="13">
        <f t="shared" si="22"/>
        <v>5000</v>
      </c>
      <c r="P231" s="13">
        <v>5000</v>
      </c>
      <c r="Q231" s="13">
        <f t="shared" si="23"/>
        <v>0</v>
      </c>
      <c r="R231" s="3"/>
      <c r="S231" s="3"/>
      <c r="T231" s="3">
        <f t="shared" si="24"/>
        <v>5000</v>
      </c>
      <c r="U231" s="3" t="str">
        <f t="shared" si="25"/>
        <v>OK</v>
      </c>
      <c r="V231" s="21">
        <f t="shared" si="26"/>
        <v>0</v>
      </c>
      <c r="W231" s="3" t="str">
        <f t="shared" si="27"/>
        <v>OK</v>
      </c>
      <c r="X231" s="3" t="s">
        <v>475</v>
      </c>
      <c r="Y231" s="3" t="s">
        <v>29</v>
      </c>
      <c r="Z231" s="3" t="s">
        <v>476</v>
      </c>
    </row>
    <row r="232" spans="1:26" x14ac:dyDescent="0.2">
      <c r="A232" s="3" t="str">
        <f t="shared" si="21"/>
        <v>TRIP-T-263</v>
      </c>
      <c r="B232" s="2">
        <v>45841</v>
      </c>
      <c r="C232" s="3" t="str">
        <f>_xlfn.XLOOKUP(D232,'[1]Jan Customer Duplicate Hyva'!$B:$B,'[1]Jan Customer Duplicate Hyva'!$A:$A,"NOT FOUND")</f>
        <v>NOT FOUND</v>
      </c>
      <c r="D232" s="11" t="s">
        <v>633</v>
      </c>
      <c r="E232" s="3"/>
      <c r="F232" s="3"/>
      <c r="G232" s="3"/>
      <c r="H232" s="3"/>
      <c r="I232" s="3"/>
      <c r="J232" s="3"/>
      <c r="K232" s="3"/>
      <c r="L232" s="11" t="s">
        <v>33</v>
      </c>
      <c r="M232" s="12">
        <v>1</v>
      </c>
      <c r="N232" s="13">
        <v>4000</v>
      </c>
      <c r="O232" s="13">
        <f t="shared" si="22"/>
        <v>4000</v>
      </c>
      <c r="P232" s="13">
        <v>4000</v>
      </c>
      <c r="Q232" s="13">
        <f t="shared" si="23"/>
        <v>0</v>
      </c>
      <c r="R232" s="3"/>
      <c r="S232" s="3"/>
      <c r="T232" s="3">
        <f t="shared" si="24"/>
        <v>4000</v>
      </c>
      <c r="U232" s="3" t="str">
        <f t="shared" si="25"/>
        <v>OK</v>
      </c>
      <c r="V232" s="21">
        <f t="shared" si="26"/>
        <v>0</v>
      </c>
      <c r="W232" s="3" t="str">
        <f t="shared" si="27"/>
        <v>OK</v>
      </c>
      <c r="X232" s="3" t="s">
        <v>475</v>
      </c>
      <c r="Y232" s="3" t="s">
        <v>29</v>
      </c>
      <c r="Z232" s="3" t="s">
        <v>476</v>
      </c>
    </row>
    <row r="233" spans="1:26" x14ac:dyDescent="0.2">
      <c r="A233" s="3" t="str">
        <f t="shared" si="21"/>
        <v>TRIP-T-264</v>
      </c>
      <c r="B233" s="2">
        <v>45842</v>
      </c>
      <c r="C233" s="3" t="str">
        <f>_xlfn.XLOOKUP(D233,'[1]Jan Customer Duplicate Hyva'!$B:$B,'[1]Jan Customer Duplicate Hyva'!$A:$A,"NOT FOUND")</f>
        <v>NOT FOUND</v>
      </c>
      <c r="D233" s="11" t="s">
        <v>633</v>
      </c>
      <c r="E233" s="3"/>
      <c r="F233" s="3"/>
      <c r="G233" s="3"/>
      <c r="H233" s="3"/>
      <c r="I233" s="3"/>
      <c r="J233" s="3"/>
      <c r="K233" s="3"/>
      <c r="L233" s="26" t="s">
        <v>33</v>
      </c>
      <c r="M233" s="27">
        <v>1</v>
      </c>
      <c r="N233" s="13">
        <v>4000</v>
      </c>
      <c r="O233" s="13">
        <f t="shared" si="22"/>
        <v>4000</v>
      </c>
      <c r="P233" s="13">
        <v>4000</v>
      </c>
      <c r="Q233" s="13">
        <f t="shared" si="23"/>
        <v>0</v>
      </c>
      <c r="R233" s="3"/>
      <c r="S233" s="3"/>
      <c r="T233" s="3">
        <f t="shared" si="24"/>
        <v>4000</v>
      </c>
      <c r="U233" s="3" t="str">
        <f t="shared" si="25"/>
        <v>OK</v>
      </c>
      <c r="V233" s="21">
        <f t="shared" si="26"/>
        <v>0</v>
      </c>
      <c r="W233" s="3" t="str">
        <f t="shared" si="27"/>
        <v>OK</v>
      </c>
      <c r="X233" s="3" t="s">
        <v>475</v>
      </c>
      <c r="Y233" s="3" t="s">
        <v>29</v>
      </c>
      <c r="Z233" s="3" t="s">
        <v>476</v>
      </c>
    </row>
    <row r="234" spans="1:26" x14ac:dyDescent="0.2">
      <c r="A234" s="3" t="str">
        <f t="shared" si="21"/>
        <v>TRIP-T-265</v>
      </c>
      <c r="B234" s="2">
        <v>45842</v>
      </c>
      <c r="C234" s="3" t="str">
        <f>_xlfn.XLOOKUP(D234,'[1]Jan Customer Duplicate Hyva'!$B:$B,'[1]Jan Customer Duplicate Hyva'!$A:$A,"NOT FOUND")</f>
        <v>NOT FOUND</v>
      </c>
      <c r="D234" s="26" t="s">
        <v>634</v>
      </c>
      <c r="E234" s="3"/>
      <c r="F234" s="3"/>
      <c r="G234" s="3"/>
      <c r="H234" s="3"/>
      <c r="I234" s="3"/>
      <c r="J234" s="3"/>
      <c r="K234" s="3"/>
      <c r="L234" s="26" t="s">
        <v>63</v>
      </c>
      <c r="M234" s="27">
        <v>1</v>
      </c>
      <c r="N234" s="13">
        <v>5000</v>
      </c>
      <c r="O234" s="13">
        <f t="shared" si="22"/>
        <v>5000</v>
      </c>
      <c r="P234" s="13">
        <v>5000</v>
      </c>
      <c r="Q234" s="13">
        <f t="shared" si="23"/>
        <v>0</v>
      </c>
      <c r="R234" s="3"/>
      <c r="S234" s="3"/>
      <c r="T234" s="3">
        <f t="shared" si="24"/>
        <v>5000</v>
      </c>
      <c r="U234" s="3" t="str">
        <f t="shared" si="25"/>
        <v>OK</v>
      </c>
      <c r="V234" s="21">
        <f t="shared" si="26"/>
        <v>0</v>
      </c>
      <c r="W234" s="3" t="str">
        <f t="shared" si="27"/>
        <v>OK</v>
      </c>
      <c r="X234" s="3" t="s">
        <v>475</v>
      </c>
      <c r="Y234" s="3" t="s">
        <v>29</v>
      </c>
      <c r="Z234" s="3" t="s">
        <v>476</v>
      </c>
    </row>
    <row r="235" spans="1:26" x14ac:dyDescent="0.2">
      <c r="A235" s="3" t="str">
        <f t="shared" si="21"/>
        <v>TRIP-T-266</v>
      </c>
      <c r="B235" s="2">
        <v>45843</v>
      </c>
      <c r="C235" s="3" t="str">
        <f>_xlfn.XLOOKUP(D235,'[1]Jan Customer Duplicate Hyva'!$B:$B,'[1]Jan Customer Duplicate Hyva'!$A:$A,"NOT FOUND")</f>
        <v>NOT FOUND</v>
      </c>
      <c r="D235" s="26" t="s">
        <v>634</v>
      </c>
      <c r="E235" s="3"/>
      <c r="F235" s="3"/>
      <c r="G235" s="3"/>
      <c r="H235" s="3"/>
      <c r="I235" s="3"/>
      <c r="J235" s="3"/>
      <c r="K235" s="3"/>
      <c r="L235" s="26" t="s">
        <v>63</v>
      </c>
      <c r="M235" s="27">
        <v>1</v>
      </c>
      <c r="N235" s="13">
        <v>5000</v>
      </c>
      <c r="O235" s="13">
        <f t="shared" si="22"/>
        <v>5000</v>
      </c>
      <c r="P235" s="13">
        <v>5000</v>
      </c>
      <c r="Q235" s="13">
        <f t="shared" si="23"/>
        <v>0</v>
      </c>
      <c r="R235" s="3"/>
      <c r="S235" s="3"/>
      <c r="T235" s="3">
        <f t="shared" si="24"/>
        <v>5000</v>
      </c>
      <c r="U235" s="3" t="str">
        <f t="shared" si="25"/>
        <v>OK</v>
      </c>
      <c r="V235" s="21">
        <f t="shared" si="26"/>
        <v>0</v>
      </c>
      <c r="W235" s="3" t="str">
        <f t="shared" si="27"/>
        <v>OK</v>
      </c>
      <c r="X235" s="3" t="s">
        <v>475</v>
      </c>
      <c r="Y235" s="3" t="s">
        <v>29</v>
      </c>
      <c r="Z235" s="3" t="s">
        <v>476</v>
      </c>
    </row>
    <row r="236" spans="1:26" x14ac:dyDescent="0.2">
      <c r="A236" s="3" t="str">
        <f t="shared" si="21"/>
        <v>TRIP-T-267</v>
      </c>
      <c r="B236" s="2">
        <v>45843</v>
      </c>
      <c r="C236" s="3" t="str">
        <f>_xlfn.XLOOKUP(D236,'[1]Jan Customer Duplicate Hyva'!$B:$B,'[1]Jan Customer Duplicate Hyva'!$A:$A,"NOT FOUND")</f>
        <v>CUST-263</v>
      </c>
      <c r="D236" s="26" t="s">
        <v>635</v>
      </c>
      <c r="E236" s="3"/>
      <c r="F236" s="3"/>
      <c r="G236" s="3"/>
      <c r="H236" s="3"/>
      <c r="I236" s="3"/>
      <c r="J236" s="3"/>
      <c r="K236" s="3"/>
      <c r="L236" s="26" t="s">
        <v>150</v>
      </c>
      <c r="M236" s="27">
        <v>1</v>
      </c>
      <c r="N236" s="13">
        <v>4000</v>
      </c>
      <c r="O236" s="13">
        <f t="shared" si="22"/>
        <v>4000</v>
      </c>
      <c r="P236" s="13">
        <v>4000</v>
      </c>
      <c r="Q236" s="13">
        <f t="shared" si="23"/>
        <v>0</v>
      </c>
      <c r="R236" s="3"/>
      <c r="S236" s="3"/>
      <c r="T236" s="3">
        <f t="shared" si="24"/>
        <v>4000</v>
      </c>
      <c r="U236" s="3" t="str">
        <f t="shared" si="25"/>
        <v>OK</v>
      </c>
      <c r="V236" s="21">
        <f t="shared" si="26"/>
        <v>0</v>
      </c>
      <c r="W236" s="3" t="str">
        <f t="shared" si="27"/>
        <v>OK</v>
      </c>
      <c r="X236" s="3" t="s">
        <v>475</v>
      </c>
      <c r="Y236" s="3" t="s">
        <v>29</v>
      </c>
      <c r="Z236" s="3" t="s">
        <v>476</v>
      </c>
    </row>
    <row r="237" spans="1:26" x14ac:dyDescent="0.2">
      <c r="A237" s="3" t="str">
        <f t="shared" si="21"/>
        <v>TRIP-T-268</v>
      </c>
      <c r="B237" s="2">
        <v>45843</v>
      </c>
      <c r="C237" s="3" t="str">
        <f>_xlfn.XLOOKUP(D237,'[1]Jan Customer Duplicate Hyva'!$B:$B,'[1]Jan Customer Duplicate Hyva'!$A:$A,"NOT FOUND")</f>
        <v>CUST-270</v>
      </c>
      <c r="D237" s="26" t="s">
        <v>636</v>
      </c>
      <c r="E237" s="3"/>
      <c r="F237" s="3"/>
      <c r="G237" s="3"/>
      <c r="H237" s="3"/>
      <c r="I237" s="3"/>
      <c r="J237" s="3"/>
      <c r="K237" s="3"/>
      <c r="L237" s="26" t="s">
        <v>217</v>
      </c>
      <c r="M237" s="27">
        <v>1</v>
      </c>
      <c r="N237" s="13">
        <v>4000</v>
      </c>
      <c r="O237" s="13">
        <f t="shared" si="22"/>
        <v>4000</v>
      </c>
      <c r="P237" s="13">
        <v>4000</v>
      </c>
      <c r="Q237" s="13">
        <f t="shared" si="23"/>
        <v>0</v>
      </c>
      <c r="R237" s="3"/>
      <c r="S237" s="3"/>
      <c r="T237" s="3">
        <f t="shared" si="24"/>
        <v>4000</v>
      </c>
      <c r="U237" s="3" t="str">
        <f t="shared" si="25"/>
        <v>OK</v>
      </c>
      <c r="V237" s="21">
        <f t="shared" si="26"/>
        <v>0</v>
      </c>
      <c r="W237" s="3" t="str">
        <f t="shared" si="27"/>
        <v>OK</v>
      </c>
      <c r="X237" s="3" t="s">
        <v>475</v>
      </c>
      <c r="Y237" s="3" t="s">
        <v>29</v>
      </c>
      <c r="Z237" s="3" t="s">
        <v>476</v>
      </c>
    </row>
    <row r="238" spans="1:26" x14ac:dyDescent="0.2">
      <c r="A238" s="3" t="str">
        <f t="shared" si="21"/>
        <v>TRIP-T-269</v>
      </c>
      <c r="B238" s="2">
        <v>45843</v>
      </c>
      <c r="C238" s="3" t="str">
        <f>_xlfn.XLOOKUP(D238,'[1]Jan Customer Duplicate Hyva'!$B:$B,'[1]Jan Customer Duplicate Hyva'!$A:$A,"NOT FOUND")</f>
        <v>NOT FOUND</v>
      </c>
      <c r="D238" s="26" t="s">
        <v>637</v>
      </c>
      <c r="E238" s="3"/>
      <c r="F238" s="3"/>
      <c r="G238" s="3"/>
      <c r="H238" s="3"/>
      <c r="I238" s="3"/>
      <c r="J238" s="3"/>
      <c r="K238" s="3"/>
      <c r="L238" s="26" t="s">
        <v>101</v>
      </c>
      <c r="M238" s="27">
        <v>1</v>
      </c>
      <c r="N238" s="13">
        <v>4500</v>
      </c>
      <c r="O238" s="13">
        <f t="shared" si="22"/>
        <v>4500</v>
      </c>
      <c r="P238" s="13">
        <v>4500</v>
      </c>
      <c r="Q238" s="13">
        <f t="shared" si="23"/>
        <v>0</v>
      </c>
      <c r="R238" s="3"/>
      <c r="S238" s="3"/>
      <c r="T238" s="3">
        <f t="shared" si="24"/>
        <v>4500</v>
      </c>
      <c r="U238" s="3" t="str">
        <f t="shared" si="25"/>
        <v>OK</v>
      </c>
      <c r="V238" s="21">
        <f t="shared" si="26"/>
        <v>0</v>
      </c>
      <c r="W238" s="3" t="str">
        <f t="shared" si="27"/>
        <v>OK</v>
      </c>
      <c r="X238" s="3" t="s">
        <v>475</v>
      </c>
      <c r="Y238" s="3" t="s">
        <v>29</v>
      </c>
      <c r="Z238" s="3" t="s">
        <v>476</v>
      </c>
    </row>
    <row r="239" spans="1:26" x14ac:dyDescent="0.2">
      <c r="A239" s="3" t="str">
        <f t="shared" si="21"/>
        <v>TRIP-T-270</v>
      </c>
      <c r="B239" s="2">
        <v>45848</v>
      </c>
      <c r="C239" s="3" t="str">
        <f>_xlfn.XLOOKUP(D239,'[1]Jan Customer Duplicate Hyva'!$B:$B,'[1]Jan Customer Duplicate Hyva'!$A:$A,"NOT FOUND")</f>
        <v>NOT FOUND</v>
      </c>
      <c r="D239" s="26" t="s">
        <v>621</v>
      </c>
      <c r="E239" s="3"/>
      <c r="F239" s="3"/>
      <c r="G239" s="3"/>
      <c r="H239" s="3"/>
      <c r="I239" s="3"/>
      <c r="J239" s="3"/>
      <c r="K239" s="3"/>
      <c r="L239" s="26" t="s">
        <v>629</v>
      </c>
      <c r="M239" s="27">
        <v>1</v>
      </c>
      <c r="N239" s="13">
        <v>4500</v>
      </c>
      <c r="O239" s="13">
        <f t="shared" si="22"/>
        <v>4500</v>
      </c>
      <c r="P239" s="13">
        <v>4500</v>
      </c>
      <c r="Q239" s="13">
        <f t="shared" si="23"/>
        <v>0</v>
      </c>
      <c r="R239" s="3"/>
      <c r="S239" s="3"/>
      <c r="T239" s="3">
        <f t="shared" si="24"/>
        <v>4500</v>
      </c>
      <c r="U239" s="3" t="str">
        <f t="shared" si="25"/>
        <v>OK</v>
      </c>
      <c r="V239" s="21">
        <f t="shared" si="26"/>
        <v>0</v>
      </c>
      <c r="W239" s="3" t="str">
        <f t="shared" si="27"/>
        <v>OK</v>
      </c>
      <c r="X239" s="3" t="s">
        <v>475</v>
      </c>
      <c r="Y239" s="3" t="s">
        <v>29</v>
      </c>
      <c r="Z239" s="3" t="s">
        <v>476</v>
      </c>
    </row>
    <row r="240" spans="1:26" x14ac:dyDescent="0.2">
      <c r="A240" s="3" t="str">
        <f t="shared" si="21"/>
        <v>TRIP-T-271</v>
      </c>
      <c r="B240" s="2">
        <v>45848</v>
      </c>
      <c r="C240" s="3" t="str">
        <f>_xlfn.XLOOKUP(D240,'[1]Jan Customer Duplicate Hyva'!$B:$B,'[1]Jan Customer Duplicate Hyva'!$A:$A,"NOT FOUND")</f>
        <v>NOT FOUND</v>
      </c>
      <c r="D240" s="26" t="s">
        <v>549</v>
      </c>
      <c r="E240" s="3"/>
      <c r="F240" s="3"/>
      <c r="G240" s="3"/>
      <c r="H240" s="3"/>
      <c r="I240" s="3"/>
      <c r="J240" s="3"/>
      <c r="K240" s="3"/>
      <c r="L240" s="26" t="s">
        <v>120</v>
      </c>
      <c r="M240" s="27">
        <v>1</v>
      </c>
      <c r="N240" s="13">
        <v>4000</v>
      </c>
      <c r="O240" s="13">
        <f t="shared" si="22"/>
        <v>4000</v>
      </c>
      <c r="P240" s="13">
        <v>4000</v>
      </c>
      <c r="Q240" s="13">
        <f t="shared" si="23"/>
        <v>0</v>
      </c>
      <c r="R240" s="3"/>
      <c r="S240" s="3"/>
      <c r="T240" s="3">
        <f t="shared" si="24"/>
        <v>4000</v>
      </c>
      <c r="U240" s="3" t="str">
        <f t="shared" si="25"/>
        <v>OK</v>
      </c>
      <c r="V240" s="21">
        <f t="shared" si="26"/>
        <v>0</v>
      </c>
      <c r="W240" s="3" t="str">
        <f t="shared" si="27"/>
        <v>OK</v>
      </c>
      <c r="X240" s="3" t="s">
        <v>475</v>
      </c>
      <c r="Y240" s="3" t="s">
        <v>29</v>
      </c>
      <c r="Z240" s="3" t="s">
        <v>476</v>
      </c>
    </row>
    <row r="241" spans="1:26" x14ac:dyDescent="0.2">
      <c r="A241" s="3" t="str">
        <f t="shared" si="21"/>
        <v>TRIP-T-272</v>
      </c>
      <c r="B241" s="2">
        <v>45849</v>
      </c>
      <c r="C241" s="3" t="str">
        <f>_xlfn.XLOOKUP(D241,'[1]Jan Customer Duplicate Hyva'!$B:$B,'[1]Jan Customer Duplicate Hyva'!$A:$A,"NOT FOUND")</f>
        <v>NOT FOUND</v>
      </c>
      <c r="D241" s="11" t="s">
        <v>540</v>
      </c>
      <c r="E241" s="3"/>
      <c r="F241" s="3"/>
      <c r="G241" s="3"/>
      <c r="H241" s="3"/>
      <c r="I241" s="3"/>
      <c r="J241" s="3"/>
      <c r="K241" s="3"/>
      <c r="L241" s="11" t="s">
        <v>172</v>
      </c>
      <c r="M241" s="12">
        <v>1</v>
      </c>
      <c r="N241" s="13">
        <v>4000</v>
      </c>
      <c r="O241" s="13">
        <f t="shared" si="22"/>
        <v>4000</v>
      </c>
      <c r="P241" s="13">
        <v>4000</v>
      </c>
      <c r="Q241" s="13">
        <f t="shared" si="23"/>
        <v>0</v>
      </c>
      <c r="R241" s="3"/>
      <c r="S241" s="3"/>
      <c r="T241" s="3">
        <f t="shared" si="24"/>
        <v>4000</v>
      </c>
      <c r="U241" s="3" t="str">
        <f t="shared" si="25"/>
        <v>OK</v>
      </c>
      <c r="V241" s="21">
        <f t="shared" si="26"/>
        <v>0</v>
      </c>
      <c r="W241" s="3" t="str">
        <f t="shared" si="27"/>
        <v>OK</v>
      </c>
      <c r="X241" s="3" t="s">
        <v>475</v>
      </c>
      <c r="Y241" s="3" t="s">
        <v>29</v>
      </c>
      <c r="Z241" s="3" t="s">
        <v>476</v>
      </c>
    </row>
    <row r="242" spans="1:26" x14ac:dyDescent="0.2">
      <c r="A242" s="3" t="str">
        <f t="shared" si="21"/>
        <v>TRIP-T-273</v>
      </c>
      <c r="B242" s="2">
        <v>45851</v>
      </c>
      <c r="C242" s="3" t="str">
        <f>_xlfn.XLOOKUP(D242,'[1]Jan Customer Duplicate Hyva'!$B:$B,'[1]Jan Customer Duplicate Hyva'!$A:$A,"NOT FOUND")</f>
        <v>CUST-346</v>
      </c>
      <c r="D242" s="11" t="s">
        <v>638</v>
      </c>
      <c r="E242" s="3"/>
      <c r="F242" s="3"/>
      <c r="G242" s="3"/>
      <c r="H242" s="3"/>
      <c r="I242" s="3"/>
      <c r="J242" s="3"/>
      <c r="K242" s="3"/>
      <c r="L242" s="11" t="s">
        <v>172</v>
      </c>
      <c r="M242" s="12">
        <v>1</v>
      </c>
      <c r="N242" s="13">
        <v>4000</v>
      </c>
      <c r="O242" s="13">
        <f t="shared" si="22"/>
        <v>4000</v>
      </c>
      <c r="P242" s="13">
        <v>4000</v>
      </c>
      <c r="Q242" s="13">
        <f t="shared" si="23"/>
        <v>0</v>
      </c>
      <c r="R242" s="3"/>
      <c r="S242" s="3"/>
      <c r="T242" s="3">
        <f t="shared" si="24"/>
        <v>4000</v>
      </c>
      <c r="U242" s="3" t="str">
        <f t="shared" si="25"/>
        <v>OK</v>
      </c>
      <c r="V242" s="21">
        <f t="shared" si="26"/>
        <v>0</v>
      </c>
      <c r="W242" s="3" t="str">
        <f t="shared" si="27"/>
        <v>OK</v>
      </c>
      <c r="X242" s="3" t="s">
        <v>475</v>
      </c>
      <c r="Y242" s="3" t="s">
        <v>29</v>
      </c>
      <c r="Z242" s="3" t="s">
        <v>476</v>
      </c>
    </row>
    <row r="243" spans="1:26" x14ac:dyDescent="0.2">
      <c r="A243" s="3" t="str">
        <f t="shared" si="21"/>
        <v>TRIP-T-274</v>
      </c>
      <c r="B243" s="2">
        <v>45851</v>
      </c>
      <c r="C243" s="3" t="str">
        <f>_xlfn.XLOOKUP(D243,'[1]Jan Customer Duplicate Hyva'!$B:$B,'[1]Jan Customer Duplicate Hyva'!$A:$A,"NOT FOUND")</f>
        <v>NOT FOUND</v>
      </c>
      <c r="D243" s="26" t="s">
        <v>598</v>
      </c>
      <c r="E243" s="3"/>
      <c r="F243" s="3"/>
      <c r="G243" s="3"/>
      <c r="H243" s="3"/>
      <c r="I243" s="3"/>
      <c r="J243" s="3"/>
      <c r="K243" s="3"/>
      <c r="L243" s="11" t="s">
        <v>120</v>
      </c>
      <c r="M243" s="12">
        <v>1</v>
      </c>
      <c r="N243" s="13">
        <v>5000</v>
      </c>
      <c r="O243" s="13">
        <f t="shared" si="22"/>
        <v>5000</v>
      </c>
      <c r="P243" s="13">
        <v>5000</v>
      </c>
      <c r="Q243" s="13">
        <f t="shared" si="23"/>
        <v>0</v>
      </c>
      <c r="R243" s="3"/>
      <c r="S243" s="3"/>
      <c r="T243" s="3">
        <f t="shared" si="24"/>
        <v>5000</v>
      </c>
      <c r="U243" s="3" t="str">
        <f t="shared" si="25"/>
        <v>OK</v>
      </c>
      <c r="V243" s="21">
        <f t="shared" si="26"/>
        <v>0</v>
      </c>
      <c r="W243" s="3" t="str">
        <f t="shared" si="27"/>
        <v>OK</v>
      </c>
      <c r="X243" s="3" t="s">
        <v>475</v>
      </c>
      <c r="Y243" s="3" t="s">
        <v>29</v>
      </c>
      <c r="Z243" s="3" t="s">
        <v>476</v>
      </c>
    </row>
    <row r="244" spans="1:26" x14ac:dyDescent="0.2">
      <c r="A244" s="3" t="str">
        <f t="shared" si="21"/>
        <v>TRIP-T-275</v>
      </c>
      <c r="B244" s="2">
        <v>45851</v>
      </c>
      <c r="C244" s="3" t="str">
        <f>_xlfn.XLOOKUP(D244,'[1]Jan Customer Duplicate Hyva'!$B:$B,'[1]Jan Customer Duplicate Hyva'!$A:$A,"NOT FOUND")</f>
        <v>NOT FOUND</v>
      </c>
      <c r="D244" s="26" t="s">
        <v>598</v>
      </c>
      <c r="E244" s="3"/>
      <c r="F244" s="3"/>
      <c r="G244" s="3"/>
      <c r="H244" s="3"/>
      <c r="I244" s="3"/>
      <c r="J244" s="3"/>
      <c r="K244" s="3"/>
      <c r="L244" s="26" t="s">
        <v>120</v>
      </c>
      <c r="M244" s="27">
        <v>1</v>
      </c>
      <c r="N244" s="13">
        <v>5000</v>
      </c>
      <c r="O244" s="13">
        <f t="shared" si="22"/>
        <v>5000</v>
      </c>
      <c r="P244" s="13">
        <v>5000</v>
      </c>
      <c r="Q244" s="13">
        <f t="shared" si="23"/>
        <v>0</v>
      </c>
      <c r="R244" s="3"/>
      <c r="S244" s="3"/>
      <c r="T244" s="3">
        <f t="shared" si="24"/>
        <v>5000</v>
      </c>
      <c r="U244" s="3" t="str">
        <f t="shared" si="25"/>
        <v>OK</v>
      </c>
      <c r="V244" s="21">
        <f t="shared" si="26"/>
        <v>0</v>
      </c>
      <c r="W244" s="3" t="str">
        <f t="shared" si="27"/>
        <v>OK</v>
      </c>
      <c r="X244" s="3" t="s">
        <v>475</v>
      </c>
      <c r="Y244" s="3" t="s">
        <v>29</v>
      </c>
      <c r="Z244" s="3" t="s">
        <v>476</v>
      </c>
    </row>
    <row r="245" spans="1:26" x14ac:dyDescent="0.2">
      <c r="A245" s="3" t="str">
        <f t="shared" si="21"/>
        <v>TRIP-T-276</v>
      </c>
      <c r="B245" s="2">
        <v>45851</v>
      </c>
      <c r="C245" s="3" t="str">
        <f>_xlfn.XLOOKUP(D245,'[1]Jan Customer Duplicate Hyva'!$B:$B,'[1]Jan Customer Duplicate Hyva'!$A:$A,"NOT FOUND")</f>
        <v>CUST-352</v>
      </c>
      <c r="D245" s="26" t="s">
        <v>609</v>
      </c>
      <c r="E245" s="3"/>
      <c r="F245" s="3"/>
      <c r="G245" s="3"/>
      <c r="H245" s="3"/>
      <c r="I245" s="3"/>
      <c r="J245" s="3"/>
      <c r="K245" s="3"/>
      <c r="L245" s="26" t="s">
        <v>63</v>
      </c>
      <c r="M245" s="27">
        <v>2</v>
      </c>
      <c r="N245" s="13">
        <v>5250</v>
      </c>
      <c r="O245" s="13">
        <f t="shared" si="22"/>
        <v>10500</v>
      </c>
      <c r="P245" s="13">
        <v>10500</v>
      </c>
      <c r="Q245" s="13">
        <f t="shared" si="23"/>
        <v>0</v>
      </c>
      <c r="R245" s="3"/>
      <c r="S245" s="3"/>
      <c r="T245" s="3">
        <f t="shared" si="24"/>
        <v>10500</v>
      </c>
      <c r="U245" s="3" t="str">
        <f t="shared" si="25"/>
        <v>OK</v>
      </c>
      <c r="V245" s="21">
        <f t="shared" si="26"/>
        <v>0</v>
      </c>
      <c r="W245" s="3" t="str">
        <f t="shared" si="27"/>
        <v>OK</v>
      </c>
      <c r="X245" s="3" t="s">
        <v>475</v>
      </c>
      <c r="Y245" s="3" t="s">
        <v>29</v>
      </c>
      <c r="Z245" s="3" t="s">
        <v>476</v>
      </c>
    </row>
    <row r="246" spans="1:26" x14ac:dyDescent="0.2">
      <c r="A246" s="3" t="str">
        <f t="shared" si="21"/>
        <v>TRIP-T-277</v>
      </c>
      <c r="B246" s="2">
        <v>45852</v>
      </c>
      <c r="C246" s="3" t="str">
        <f>_xlfn.XLOOKUP(D246,'[1]Jan Customer Duplicate Hyva'!$B:$B,'[1]Jan Customer Duplicate Hyva'!$A:$A,"NOT FOUND")</f>
        <v>CUST-352</v>
      </c>
      <c r="D246" s="26" t="s">
        <v>609</v>
      </c>
      <c r="E246" s="3"/>
      <c r="F246" s="3"/>
      <c r="G246" s="3"/>
      <c r="H246" s="3"/>
      <c r="I246" s="3"/>
      <c r="J246" s="3"/>
      <c r="K246" s="3"/>
      <c r="L246" s="11" t="s">
        <v>63</v>
      </c>
      <c r="M246" s="12">
        <v>1</v>
      </c>
      <c r="N246" s="13">
        <v>5500</v>
      </c>
      <c r="O246" s="13">
        <f t="shared" si="22"/>
        <v>5500</v>
      </c>
      <c r="P246" s="13">
        <v>5500</v>
      </c>
      <c r="Q246" s="13">
        <f t="shared" si="23"/>
        <v>0</v>
      </c>
      <c r="R246" s="3"/>
      <c r="S246" s="3"/>
      <c r="T246" s="3">
        <f t="shared" si="24"/>
        <v>5500</v>
      </c>
      <c r="U246" s="3" t="str">
        <f t="shared" si="25"/>
        <v>OK</v>
      </c>
      <c r="V246" s="21">
        <f t="shared" si="26"/>
        <v>0</v>
      </c>
      <c r="W246" s="3" t="str">
        <f t="shared" si="27"/>
        <v>OK</v>
      </c>
      <c r="X246" s="3" t="s">
        <v>475</v>
      </c>
      <c r="Y246" s="3" t="s">
        <v>29</v>
      </c>
      <c r="Z246" s="3" t="s">
        <v>476</v>
      </c>
    </row>
    <row r="247" spans="1:26" x14ac:dyDescent="0.2">
      <c r="A247" s="3" t="str">
        <f t="shared" si="21"/>
        <v>TRIP-T-278</v>
      </c>
      <c r="B247" s="2">
        <v>45852</v>
      </c>
      <c r="C247" s="3" t="str">
        <f>_xlfn.XLOOKUP(D247,'[1]Jan Customer Duplicate Hyva'!$B:$B,'[1]Jan Customer Duplicate Hyva'!$A:$A,"NOT FOUND")</f>
        <v>CUST-352</v>
      </c>
      <c r="D247" s="26" t="s">
        <v>609</v>
      </c>
      <c r="E247" s="3"/>
      <c r="F247" s="3"/>
      <c r="G247" s="3"/>
      <c r="H247" s="3"/>
      <c r="I247" s="3"/>
      <c r="J247" s="3"/>
      <c r="K247" s="3"/>
      <c r="L247" s="26" t="s">
        <v>114</v>
      </c>
      <c r="M247" s="27">
        <v>1</v>
      </c>
      <c r="N247" s="13">
        <v>5500</v>
      </c>
      <c r="O247" s="13">
        <f t="shared" si="22"/>
        <v>5500</v>
      </c>
      <c r="P247" s="13">
        <v>5500</v>
      </c>
      <c r="Q247" s="13">
        <f t="shared" si="23"/>
        <v>0</v>
      </c>
      <c r="R247" s="3"/>
      <c r="S247" s="3"/>
      <c r="T247" s="3">
        <f t="shared" si="24"/>
        <v>5500</v>
      </c>
      <c r="U247" s="3" t="str">
        <f t="shared" si="25"/>
        <v>OK</v>
      </c>
      <c r="V247" s="21">
        <f t="shared" si="26"/>
        <v>0</v>
      </c>
      <c r="W247" s="3" t="str">
        <f t="shared" si="27"/>
        <v>OK</v>
      </c>
      <c r="X247" s="3" t="s">
        <v>475</v>
      </c>
      <c r="Y247" s="3" t="s">
        <v>29</v>
      </c>
      <c r="Z247" s="3" t="s">
        <v>476</v>
      </c>
    </row>
    <row r="248" spans="1:26" x14ac:dyDescent="0.2">
      <c r="A248" s="3" t="str">
        <f t="shared" si="21"/>
        <v>TRIP-T-279</v>
      </c>
      <c r="B248" s="2">
        <v>45852</v>
      </c>
      <c r="C248" s="3" t="str">
        <f>_xlfn.XLOOKUP(D248,'[1]Jan Customer Duplicate Hyva'!$B:$B,'[1]Jan Customer Duplicate Hyva'!$A:$A,"NOT FOUND")</f>
        <v>CUST-352</v>
      </c>
      <c r="D248" s="26" t="s">
        <v>609</v>
      </c>
      <c r="E248" s="3"/>
      <c r="F248" s="3"/>
      <c r="G248" s="3"/>
      <c r="H248" s="3"/>
      <c r="I248" s="3"/>
      <c r="J248" s="3"/>
      <c r="K248" s="3"/>
      <c r="L248" s="26" t="s">
        <v>63</v>
      </c>
      <c r="M248" s="27">
        <v>1</v>
      </c>
      <c r="N248" s="13">
        <v>5500</v>
      </c>
      <c r="O248" s="13">
        <f t="shared" si="22"/>
        <v>5500</v>
      </c>
      <c r="P248" s="13">
        <v>5500</v>
      </c>
      <c r="Q248" s="13">
        <f t="shared" si="23"/>
        <v>0</v>
      </c>
      <c r="R248" s="3"/>
      <c r="S248" s="3"/>
      <c r="T248" s="3">
        <f t="shared" si="24"/>
        <v>5500</v>
      </c>
      <c r="U248" s="3" t="str">
        <f t="shared" si="25"/>
        <v>OK</v>
      </c>
      <c r="V248" s="21">
        <f t="shared" si="26"/>
        <v>0</v>
      </c>
      <c r="W248" s="3" t="str">
        <f t="shared" si="27"/>
        <v>OK</v>
      </c>
      <c r="X248" s="3" t="s">
        <v>475</v>
      </c>
      <c r="Y248" s="3" t="s">
        <v>29</v>
      </c>
      <c r="Z248" s="3" t="s">
        <v>476</v>
      </c>
    </row>
    <row r="249" spans="1:26" x14ac:dyDescent="0.2">
      <c r="A249" s="3" t="str">
        <f t="shared" si="21"/>
        <v>TRIP-T-280</v>
      </c>
      <c r="B249" s="2">
        <v>45852</v>
      </c>
      <c r="C249" s="3" t="str">
        <f>_xlfn.XLOOKUP(D249,'[1]Jan Customer Duplicate Hyva'!$B:$B,'[1]Jan Customer Duplicate Hyva'!$A:$A,"NOT FOUND")</f>
        <v>CUST-372</v>
      </c>
      <c r="D249" s="26" t="s">
        <v>623</v>
      </c>
      <c r="E249" s="3"/>
      <c r="F249" s="3"/>
      <c r="G249" s="3"/>
      <c r="H249" s="3"/>
      <c r="I249" s="3"/>
      <c r="J249" s="3"/>
      <c r="K249" s="3"/>
      <c r="L249" s="26" t="s">
        <v>172</v>
      </c>
      <c r="M249" s="27">
        <v>1</v>
      </c>
      <c r="N249" s="13">
        <v>4000</v>
      </c>
      <c r="O249" s="13">
        <f t="shared" si="22"/>
        <v>4000</v>
      </c>
      <c r="P249" s="13">
        <v>4000</v>
      </c>
      <c r="Q249" s="13">
        <f t="shared" si="23"/>
        <v>0</v>
      </c>
      <c r="R249" s="3"/>
      <c r="S249" s="3"/>
      <c r="T249" s="3">
        <f t="shared" si="24"/>
        <v>4000</v>
      </c>
      <c r="U249" s="3" t="str">
        <f t="shared" si="25"/>
        <v>OK</v>
      </c>
      <c r="V249" s="21">
        <f t="shared" si="26"/>
        <v>0</v>
      </c>
      <c r="W249" s="3" t="str">
        <f t="shared" si="27"/>
        <v>OK</v>
      </c>
      <c r="X249" s="3" t="s">
        <v>475</v>
      </c>
      <c r="Y249" s="3" t="s">
        <v>29</v>
      </c>
      <c r="Z249" s="3" t="s">
        <v>476</v>
      </c>
    </row>
    <row r="250" spans="1:26" x14ac:dyDescent="0.2">
      <c r="A250" s="3" t="str">
        <f t="shared" si="21"/>
        <v>TRIP-T-281</v>
      </c>
      <c r="B250" s="2">
        <v>45852</v>
      </c>
      <c r="C250" s="3" t="str">
        <f>_xlfn.XLOOKUP(D250,'[1]Jan Customer Duplicate Hyva'!$B:$B,'[1]Jan Customer Duplicate Hyva'!$A:$A,"NOT FOUND")</f>
        <v>CUST-372</v>
      </c>
      <c r="D250" s="26" t="s">
        <v>623</v>
      </c>
      <c r="E250" s="3"/>
      <c r="F250" s="3"/>
      <c r="G250" s="3"/>
      <c r="H250" s="3"/>
      <c r="I250" s="3"/>
      <c r="J250" s="3"/>
      <c r="K250" s="3"/>
      <c r="L250" s="26" t="s">
        <v>172</v>
      </c>
      <c r="M250" s="27">
        <v>1</v>
      </c>
      <c r="N250" s="13">
        <v>4500</v>
      </c>
      <c r="O250" s="13">
        <f t="shared" si="22"/>
        <v>4500</v>
      </c>
      <c r="P250" s="13">
        <v>4500</v>
      </c>
      <c r="Q250" s="13">
        <f t="shared" si="23"/>
        <v>0</v>
      </c>
      <c r="R250" s="3"/>
      <c r="S250" s="3"/>
      <c r="T250" s="3">
        <f t="shared" si="24"/>
        <v>4500</v>
      </c>
      <c r="U250" s="3" t="str">
        <f t="shared" si="25"/>
        <v>OK</v>
      </c>
      <c r="V250" s="21">
        <f t="shared" si="26"/>
        <v>0</v>
      </c>
      <c r="W250" s="3" t="str">
        <f t="shared" si="27"/>
        <v>OK</v>
      </c>
      <c r="X250" s="3" t="s">
        <v>475</v>
      </c>
      <c r="Y250" s="3" t="s">
        <v>29</v>
      </c>
      <c r="Z250" s="3" t="s">
        <v>476</v>
      </c>
    </row>
    <row r="251" spans="1:26" x14ac:dyDescent="0.2">
      <c r="A251" s="3" t="str">
        <f t="shared" si="21"/>
        <v>TRIP-T-282</v>
      </c>
      <c r="B251" s="2">
        <v>45852</v>
      </c>
      <c r="C251" s="3" t="str">
        <f>_xlfn.XLOOKUP(D251,'[1]Jan Customer Duplicate Hyva'!$B:$B,'[1]Jan Customer Duplicate Hyva'!$A:$A,"NOT FOUND")</f>
        <v>CUST-390</v>
      </c>
      <c r="D251" s="25" t="s">
        <v>496</v>
      </c>
      <c r="E251" s="3"/>
      <c r="F251" s="3"/>
      <c r="G251" s="3"/>
      <c r="H251" s="3"/>
      <c r="I251" s="3"/>
      <c r="J251" s="3"/>
      <c r="K251" s="3"/>
      <c r="L251" s="11" t="s">
        <v>33</v>
      </c>
      <c r="M251" s="12">
        <v>1</v>
      </c>
      <c r="N251" s="13">
        <v>4000</v>
      </c>
      <c r="O251" s="13">
        <f t="shared" si="22"/>
        <v>4000</v>
      </c>
      <c r="P251" s="13">
        <v>4000</v>
      </c>
      <c r="Q251" s="13">
        <f t="shared" si="23"/>
        <v>0</v>
      </c>
      <c r="R251" s="3"/>
      <c r="S251" s="3"/>
      <c r="T251" s="3">
        <f t="shared" si="24"/>
        <v>4000</v>
      </c>
      <c r="U251" s="3" t="str">
        <f t="shared" si="25"/>
        <v>OK</v>
      </c>
      <c r="V251" s="21">
        <f t="shared" si="26"/>
        <v>0</v>
      </c>
      <c r="W251" s="3" t="str">
        <f t="shared" si="27"/>
        <v>OK</v>
      </c>
      <c r="X251" s="3" t="s">
        <v>475</v>
      </c>
      <c r="Y251" s="3" t="s">
        <v>29</v>
      </c>
      <c r="Z251" s="3" t="s">
        <v>476</v>
      </c>
    </row>
    <row r="252" spans="1:26" x14ac:dyDescent="0.2">
      <c r="A252" s="3" t="str">
        <f t="shared" si="21"/>
        <v>TRIP-T-283</v>
      </c>
      <c r="B252" s="2">
        <v>45853</v>
      </c>
      <c r="C252" s="3" t="str">
        <f>_xlfn.XLOOKUP(D252,'[1]Jan Customer Duplicate Hyva'!$B:$B,'[1]Jan Customer Duplicate Hyva'!$A:$A,"NOT FOUND")</f>
        <v>CUST-390</v>
      </c>
      <c r="D252" s="25" t="s">
        <v>496</v>
      </c>
      <c r="E252" s="3"/>
      <c r="F252" s="3"/>
      <c r="G252" s="3"/>
      <c r="H252" s="3"/>
      <c r="I252" s="3"/>
      <c r="J252" s="3"/>
      <c r="K252" s="3"/>
      <c r="L252" s="26" t="s">
        <v>33</v>
      </c>
      <c r="M252" s="27">
        <v>1</v>
      </c>
      <c r="N252" s="13">
        <v>4000</v>
      </c>
      <c r="O252" s="13">
        <f t="shared" si="22"/>
        <v>4000</v>
      </c>
      <c r="P252" s="13">
        <v>4000</v>
      </c>
      <c r="Q252" s="13">
        <f t="shared" si="23"/>
        <v>0</v>
      </c>
      <c r="R252" s="3"/>
      <c r="S252" s="3"/>
      <c r="T252" s="3">
        <f t="shared" si="24"/>
        <v>4000</v>
      </c>
      <c r="U252" s="3" t="str">
        <f t="shared" si="25"/>
        <v>OK</v>
      </c>
      <c r="V252" s="21">
        <f t="shared" si="26"/>
        <v>0</v>
      </c>
      <c r="W252" s="3" t="str">
        <f t="shared" si="27"/>
        <v>OK</v>
      </c>
      <c r="X252" s="3" t="s">
        <v>475</v>
      </c>
      <c r="Y252" s="3" t="s">
        <v>29</v>
      </c>
      <c r="Z252" s="3" t="s">
        <v>476</v>
      </c>
    </row>
    <row r="253" spans="1:26" x14ac:dyDescent="0.2">
      <c r="A253" s="3" t="str">
        <f t="shared" si="21"/>
        <v>TRIP-T-284</v>
      </c>
      <c r="B253" s="2">
        <v>45853</v>
      </c>
      <c r="C253" s="3" t="str">
        <f>_xlfn.XLOOKUP(D253,'[1]Jan Customer Duplicate Hyva'!$B:$B,'[1]Jan Customer Duplicate Hyva'!$A:$A,"NOT FOUND")</f>
        <v>CUST-040</v>
      </c>
      <c r="D253" s="26" t="s">
        <v>600</v>
      </c>
      <c r="E253" s="3"/>
      <c r="F253" s="3"/>
      <c r="G253" s="3"/>
      <c r="H253" s="3"/>
      <c r="I253" s="3"/>
      <c r="J253" s="3"/>
      <c r="K253" s="3"/>
      <c r="L253" s="26" t="s">
        <v>33</v>
      </c>
      <c r="M253" s="27">
        <v>1</v>
      </c>
      <c r="N253" s="13">
        <v>4000</v>
      </c>
      <c r="O253" s="13">
        <f t="shared" si="22"/>
        <v>4000</v>
      </c>
      <c r="P253" s="13"/>
      <c r="Q253" s="13">
        <f t="shared" si="23"/>
        <v>4000</v>
      </c>
      <c r="R253" s="3"/>
      <c r="S253" s="3"/>
      <c r="T253" s="3">
        <f t="shared" si="24"/>
        <v>4000</v>
      </c>
      <c r="U253" s="3" t="str">
        <f t="shared" si="25"/>
        <v>OK</v>
      </c>
      <c r="V253" s="21">
        <f t="shared" si="26"/>
        <v>4000</v>
      </c>
      <c r="W253" s="3" t="str">
        <f t="shared" si="27"/>
        <v>OK</v>
      </c>
      <c r="X253" s="3" t="s">
        <v>475</v>
      </c>
      <c r="Y253" s="3" t="s">
        <v>29</v>
      </c>
      <c r="Z253" s="3" t="s">
        <v>476</v>
      </c>
    </row>
    <row r="254" spans="1:26" x14ac:dyDescent="0.2">
      <c r="A254" s="3" t="str">
        <f t="shared" si="21"/>
        <v>TRIP-T-285</v>
      </c>
      <c r="B254" s="2">
        <v>45853</v>
      </c>
      <c r="C254" s="3" t="str">
        <f>_xlfn.XLOOKUP(D254,'[1]Jan Customer Duplicate Hyva'!$B:$B,'[1]Jan Customer Duplicate Hyva'!$A:$A,"NOT FOUND")</f>
        <v>NOT FOUND</v>
      </c>
      <c r="D254" s="26" t="s">
        <v>639</v>
      </c>
      <c r="E254" s="3"/>
      <c r="F254" s="3"/>
      <c r="G254" s="3"/>
      <c r="H254" s="3"/>
      <c r="I254" s="3"/>
      <c r="J254" s="3"/>
      <c r="K254" s="3"/>
      <c r="L254" s="26" t="s">
        <v>120</v>
      </c>
      <c r="M254" s="27">
        <v>2</v>
      </c>
      <c r="N254" s="13">
        <v>4500</v>
      </c>
      <c r="O254" s="13">
        <f t="shared" si="22"/>
        <v>9000</v>
      </c>
      <c r="P254" s="13"/>
      <c r="Q254" s="13">
        <f t="shared" si="23"/>
        <v>9000</v>
      </c>
      <c r="R254" s="3"/>
      <c r="S254" s="3"/>
      <c r="T254" s="3">
        <f t="shared" si="24"/>
        <v>9000</v>
      </c>
      <c r="U254" s="3" t="str">
        <f t="shared" si="25"/>
        <v>OK</v>
      </c>
      <c r="V254" s="21">
        <f t="shared" si="26"/>
        <v>9000</v>
      </c>
      <c r="W254" s="3" t="str">
        <f t="shared" si="27"/>
        <v>OK</v>
      </c>
      <c r="X254" s="3" t="s">
        <v>475</v>
      </c>
      <c r="Y254" s="3" t="s">
        <v>29</v>
      </c>
      <c r="Z254" s="3" t="s">
        <v>476</v>
      </c>
    </row>
    <row r="255" spans="1:26" x14ac:dyDescent="0.2">
      <c r="A255" s="3" t="str">
        <f t="shared" si="21"/>
        <v>TRIP-T-286</v>
      </c>
      <c r="B255" s="2">
        <v>45854</v>
      </c>
      <c r="C255" s="3" t="str">
        <f>_xlfn.XLOOKUP(D255,'[1]Jan Customer Duplicate Hyva'!$B:$B,'[1]Jan Customer Duplicate Hyva'!$A:$A,"NOT FOUND")</f>
        <v>CUST-073</v>
      </c>
      <c r="D255" s="26" t="s">
        <v>421</v>
      </c>
      <c r="E255" s="3"/>
      <c r="F255" s="3"/>
      <c r="G255" s="3"/>
      <c r="H255" s="3"/>
      <c r="I255" s="3"/>
      <c r="J255" s="3"/>
      <c r="K255" s="3"/>
      <c r="L255" s="26" t="s">
        <v>33</v>
      </c>
      <c r="M255" s="27">
        <v>1</v>
      </c>
      <c r="N255" s="13">
        <v>4000</v>
      </c>
      <c r="O255" s="13">
        <f t="shared" si="22"/>
        <v>4000</v>
      </c>
      <c r="P255" s="13"/>
      <c r="Q255" s="13">
        <f t="shared" si="23"/>
        <v>4000</v>
      </c>
      <c r="R255" s="3"/>
      <c r="S255" s="3"/>
      <c r="T255" s="3">
        <f t="shared" si="24"/>
        <v>4000</v>
      </c>
      <c r="U255" s="3" t="str">
        <f t="shared" si="25"/>
        <v>OK</v>
      </c>
      <c r="V255" s="21">
        <f t="shared" si="26"/>
        <v>4000</v>
      </c>
      <c r="W255" s="3" t="str">
        <f t="shared" si="27"/>
        <v>OK</v>
      </c>
      <c r="X255" s="3" t="s">
        <v>475</v>
      </c>
      <c r="Y255" s="3" t="s">
        <v>29</v>
      </c>
      <c r="Z255" s="3" t="s">
        <v>476</v>
      </c>
    </row>
    <row r="256" spans="1:26" x14ac:dyDescent="0.2">
      <c r="A256" s="3" t="str">
        <f t="shared" si="21"/>
        <v>TRIP-T-287</v>
      </c>
      <c r="B256" s="2">
        <v>45855</v>
      </c>
      <c r="C256" s="3" t="str">
        <f>_xlfn.XLOOKUP(D256,'[1]Jan Customer Duplicate Hyva'!$B:$B,'[1]Jan Customer Duplicate Hyva'!$A:$A,"NOT FOUND")</f>
        <v>CUST-073</v>
      </c>
      <c r="D256" s="26" t="s">
        <v>421</v>
      </c>
      <c r="E256" s="3"/>
      <c r="F256" s="3"/>
      <c r="G256" s="3"/>
      <c r="H256" s="3"/>
      <c r="I256" s="3"/>
      <c r="J256" s="3"/>
      <c r="K256" s="3"/>
      <c r="L256" s="26" t="s">
        <v>33</v>
      </c>
      <c r="M256" s="27">
        <v>1</v>
      </c>
      <c r="N256" s="13">
        <v>4000</v>
      </c>
      <c r="O256" s="13">
        <f t="shared" si="22"/>
        <v>4000</v>
      </c>
      <c r="P256" s="13"/>
      <c r="Q256" s="13">
        <f t="shared" si="23"/>
        <v>4000</v>
      </c>
      <c r="R256" s="3"/>
      <c r="S256" s="3"/>
      <c r="T256" s="3">
        <f t="shared" si="24"/>
        <v>4000</v>
      </c>
      <c r="U256" s="3" t="str">
        <f t="shared" si="25"/>
        <v>OK</v>
      </c>
      <c r="V256" s="21">
        <f t="shared" si="26"/>
        <v>4000</v>
      </c>
      <c r="W256" s="3" t="str">
        <f t="shared" si="27"/>
        <v>OK</v>
      </c>
      <c r="X256" s="3" t="s">
        <v>475</v>
      </c>
      <c r="Y256" s="3" t="s">
        <v>29</v>
      </c>
      <c r="Z256" s="3" t="s">
        <v>476</v>
      </c>
    </row>
    <row r="257" spans="1:26" x14ac:dyDescent="0.2">
      <c r="A257" s="3" t="str">
        <f t="shared" si="21"/>
        <v>TRIP-T-288</v>
      </c>
      <c r="B257" s="2">
        <v>45855</v>
      </c>
      <c r="C257" s="3" t="str">
        <f>_xlfn.XLOOKUP(D257,'[1]Jan Customer Duplicate Hyva'!$B:$B,'[1]Jan Customer Duplicate Hyva'!$A:$A,"NOT FOUND")</f>
        <v>CUST-073</v>
      </c>
      <c r="D257" s="26" t="s">
        <v>421</v>
      </c>
      <c r="E257" s="3"/>
      <c r="F257" s="3"/>
      <c r="G257" s="3"/>
      <c r="H257" s="3"/>
      <c r="I257" s="3"/>
      <c r="J257" s="3"/>
      <c r="K257" s="3"/>
      <c r="L257" s="26" t="s">
        <v>33</v>
      </c>
      <c r="M257" s="27">
        <v>1</v>
      </c>
      <c r="N257" s="13">
        <v>4000</v>
      </c>
      <c r="O257" s="13">
        <f t="shared" si="22"/>
        <v>4000</v>
      </c>
      <c r="P257" s="13"/>
      <c r="Q257" s="13">
        <f t="shared" si="23"/>
        <v>4000</v>
      </c>
      <c r="R257" s="3"/>
      <c r="S257" s="3"/>
      <c r="T257" s="3">
        <f t="shared" si="24"/>
        <v>4000</v>
      </c>
      <c r="U257" s="3" t="str">
        <f t="shared" si="25"/>
        <v>OK</v>
      </c>
      <c r="V257" s="21">
        <f t="shared" si="26"/>
        <v>4000</v>
      </c>
      <c r="W257" s="3" t="str">
        <f t="shared" si="27"/>
        <v>OK</v>
      </c>
      <c r="X257" s="3" t="s">
        <v>475</v>
      </c>
      <c r="Y257" s="3" t="s">
        <v>29</v>
      </c>
      <c r="Z257" s="3" t="s">
        <v>476</v>
      </c>
    </row>
    <row r="258" spans="1:26" x14ac:dyDescent="0.2">
      <c r="A258" s="3" t="str">
        <f t="shared" ref="A258:A321" si="28">"TRIP-T-"&amp;TEXT(ROW()+31,"000")</f>
        <v>TRIP-T-289</v>
      </c>
      <c r="B258" s="2">
        <v>45857</v>
      </c>
      <c r="C258" s="3" t="str">
        <f>_xlfn.XLOOKUP(D258,'[1]Jan Customer Duplicate Hyva'!$B:$B,'[1]Jan Customer Duplicate Hyva'!$A:$A,"NOT FOUND")</f>
        <v>CUST-110</v>
      </c>
      <c r="D258" s="31" t="s">
        <v>640</v>
      </c>
      <c r="E258" s="3"/>
      <c r="F258" s="3"/>
      <c r="G258" s="3"/>
      <c r="H258" s="3"/>
      <c r="I258" s="3"/>
      <c r="J258" s="3"/>
      <c r="K258" s="3"/>
      <c r="L258" s="31" t="s">
        <v>33</v>
      </c>
      <c r="M258" s="27">
        <v>2</v>
      </c>
      <c r="N258" s="13">
        <v>3500</v>
      </c>
      <c r="O258" s="13">
        <f t="shared" ref="O258:O321" si="29">N258*M258</f>
        <v>7000</v>
      </c>
      <c r="P258" s="13">
        <v>7000</v>
      </c>
      <c r="Q258" s="13">
        <f t="shared" ref="Q258:Q321" si="30">O258-P258</f>
        <v>0</v>
      </c>
      <c r="R258" s="3"/>
      <c r="S258" s="3"/>
      <c r="T258" s="3">
        <f t="shared" ref="T258:T321" si="31">M258*N258</f>
        <v>7000</v>
      </c>
      <c r="U258" s="3" t="str">
        <f t="shared" ref="U258:U321" si="32">IF(ROUND(T258,2)=ROUND(O258,2),"OK","CHECK")</f>
        <v>OK</v>
      </c>
      <c r="V258" s="21">
        <f t="shared" ref="V258:V321" si="33">O258-P258</f>
        <v>0</v>
      </c>
      <c r="W258" s="3" t="str">
        <f t="shared" ref="W258:W321" si="34">IF(ROUND(V258,2)=ROUND(Q258,2),"OK","CHECK")</f>
        <v>OK</v>
      </c>
      <c r="X258" s="3" t="s">
        <v>475</v>
      </c>
      <c r="Y258" s="3" t="s">
        <v>29</v>
      </c>
      <c r="Z258" s="3" t="s">
        <v>476</v>
      </c>
    </row>
    <row r="259" spans="1:26" x14ac:dyDescent="0.2">
      <c r="A259" s="3" t="str">
        <f t="shared" si="28"/>
        <v>TRIP-T-290</v>
      </c>
      <c r="B259" s="2">
        <v>45857</v>
      </c>
      <c r="C259" s="3" t="str">
        <f>_xlfn.XLOOKUP(D259,'[1]Jan Customer Duplicate Hyva'!$B:$B,'[1]Jan Customer Duplicate Hyva'!$A:$A,"NOT FOUND")</f>
        <v>CUST-165</v>
      </c>
      <c r="D259" s="26" t="s">
        <v>593</v>
      </c>
      <c r="E259" s="3"/>
      <c r="F259" s="3"/>
      <c r="G259" s="3"/>
      <c r="H259" s="3"/>
      <c r="I259" s="3"/>
      <c r="J259" s="3"/>
      <c r="K259" s="3"/>
      <c r="L259" s="26" t="s">
        <v>172</v>
      </c>
      <c r="M259" s="27">
        <v>1</v>
      </c>
      <c r="N259" s="13">
        <v>4000</v>
      </c>
      <c r="O259" s="13">
        <f t="shared" si="29"/>
        <v>4000</v>
      </c>
      <c r="P259" s="13">
        <v>4000</v>
      </c>
      <c r="Q259" s="13">
        <f t="shared" si="30"/>
        <v>0</v>
      </c>
      <c r="R259" s="3"/>
      <c r="S259" s="3"/>
      <c r="T259" s="3">
        <f t="shared" si="31"/>
        <v>4000</v>
      </c>
      <c r="U259" s="3" t="str">
        <f t="shared" si="32"/>
        <v>OK</v>
      </c>
      <c r="V259" s="21">
        <f t="shared" si="33"/>
        <v>0</v>
      </c>
      <c r="W259" s="3" t="str">
        <f t="shared" si="34"/>
        <v>OK</v>
      </c>
      <c r="X259" s="3" t="s">
        <v>475</v>
      </c>
      <c r="Y259" s="3" t="s">
        <v>29</v>
      </c>
      <c r="Z259" s="3" t="s">
        <v>476</v>
      </c>
    </row>
    <row r="260" spans="1:26" x14ac:dyDescent="0.2">
      <c r="A260" s="3" t="str">
        <f t="shared" si="28"/>
        <v>TRIP-T-291</v>
      </c>
      <c r="B260" s="2">
        <v>45857</v>
      </c>
      <c r="C260" s="3" t="str">
        <f>_xlfn.XLOOKUP(D260,'[1]Jan Customer Duplicate Hyva'!$B:$B,'[1]Jan Customer Duplicate Hyva'!$A:$A,"NOT FOUND")</f>
        <v>NOT FOUND</v>
      </c>
      <c r="D260" s="11" t="s">
        <v>641</v>
      </c>
      <c r="E260" s="3"/>
      <c r="F260" s="3"/>
      <c r="G260" s="3"/>
      <c r="H260" s="3"/>
      <c r="I260" s="3"/>
      <c r="J260" s="3"/>
      <c r="K260" s="3"/>
      <c r="L260" s="11" t="s">
        <v>150</v>
      </c>
      <c r="M260" s="12">
        <v>1</v>
      </c>
      <c r="N260" s="13">
        <v>3000</v>
      </c>
      <c r="O260" s="13">
        <f t="shared" si="29"/>
        <v>3000</v>
      </c>
      <c r="P260" s="13">
        <v>3000</v>
      </c>
      <c r="Q260" s="13">
        <f t="shared" si="30"/>
        <v>0</v>
      </c>
      <c r="R260" s="3"/>
      <c r="S260" s="3"/>
      <c r="T260" s="3">
        <f t="shared" si="31"/>
        <v>3000</v>
      </c>
      <c r="U260" s="3" t="str">
        <f t="shared" si="32"/>
        <v>OK</v>
      </c>
      <c r="V260" s="21">
        <f t="shared" si="33"/>
        <v>0</v>
      </c>
      <c r="W260" s="3" t="str">
        <f t="shared" si="34"/>
        <v>OK</v>
      </c>
      <c r="X260" s="3" t="s">
        <v>475</v>
      </c>
      <c r="Y260" s="3" t="s">
        <v>29</v>
      </c>
      <c r="Z260" s="3" t="s">
        <v>476</v>
      </c>
    </row>
    <row r="261" spans="1:26" x14ac:dyDescent="0.2">
      <c r="A261" s="3" t="str">
        <f t="shared" si="28"/>
        <v>TRIP-T-292</v>
      </c>
      <c r="B261" s="2">
        <v>45857</v>
      </c>
      <c r="C261" s="3" t="str">
        <f>_xlfn.XLOOKUP(D261,'[1]Jan Customer Duplicate Hyva'!$B:$B,'[1]Jan Customer Duplicate Hyva'!$A:$A,"NOT FOUND")</f>
        <v>CUST-197</v>
      </c>
      <c r="D261" s="26" t="s">
        <v>642</v>
      </c>
      <c r="E261" s="3"/>
      <c r="F261" s="3"/>
      <c r="G261" s="3"/>
      <c r="H261" s="3"/>
      <c r="I261" s="3"/>
      <c r="J261" s="3"/>
      <c r="K261" s="3"/>
      <c r="L261" s="26" t="s">
        <v>172</v>
      </c>
      <c r="M261" s="27">
        <v>1</v>
      </c>
      <c r="N261" s="13">
        <v>4000</v>
      </c>
      <c r="O261" s="13">
        <f t="shared" si="29"/>
        <v>4000</v>
      </c>
      <c r="P261" s="13">
        <v>4000</v>
      </c>
      <c r="Q261" s="13">
        <f t="shared" si="30"/>
        <v>0</v>
      </c>
      <c r="R261" s="3"/>
      <c r="S261" s="3"/>
      <c r="T261" s="3">
        <f t="shared" si="31"/>
        <v>4000</v>
      </c>
      <c r="U261" s="3" t="str">
        <f t="shared" si="32"/>
        <v>OK</v>
      </c>
      <c r="V261" s="21">
        <f t="shared" si="33"/>
        <v>0</v>
      </c>
      <c r="W261" s="3" t="str">
        <f t="shared" si="34"/>
        <v>OK</v>
      </c>
      <c r="X261" s="3" t="s">
        <v>475</v>
      </c>
      <c r="Y261" s="3" t="s">
        <v>29</v>
      </c>
      <c r="Z261" s="3" t="s">
        <v>476</v>
      </c>
    </row>
    <row r="262" spans="1:26" x14ac:dyDescent="0.2">
      <c r="A262" s="3" t="str">
        <f t="shared" si="28"/>
        <v>TRIP-T-293</v>
      </c>
      <c r="B262" s="2">
        <v>45868</v>
      </c>
      <c r="C262" s="3" t="str">
        <f>_xlfn.XLOOKUP(D262,'[1]Jan Customer Duplicate Hyva'!$B:$B,'[1]Jan Customer Duplicate Hyva'!$A:$A,"NOT FOUND")</f>
        <v>CUST-197</v>
      </c>
      <c r="D262" s="26" t="s">
        <v>642</v>
      </c>
      <c r="E262" s="3"/>
      <c r="F262" s="3"/>
      <c r="G262" s="3"/>
      <c r="H262" s="3"/>
      <c r="I262" s="3"/>
      <c r="J262" s="3"/>
      <c r="K262" s="3"/>
      <c r="L262" s="26" t="s">
        <v>172</v>
      </c>
      <c r="M262" s="27">
        <v>1</v>
      </c>
      <c r="N262" s="13">
        <v>4000</v>
      </c>
      <c r="O262" s="13">
        <f t="shared" si="29"/>
        <v>4000</v>
      </c>
      <c r="P262" s="13">
        <v>4000</v>
      </c>
      <c r="Q262" s="13">
        <f t="shared" si="30"/>
        <v>0</v>
      </c>
      <c r="R262" s="3"/>
      <c r="S262" s="3"/>
      <c r="T262" s="3">
        <f t="shared" si="31"/>
        <v>4000</v>
      </c>
      <c r="U262" s="3" t="str">
        <f t="shared" si="32"/>
        <v>OK</v>
      </c>
      <c r="V262" s="21">
        <f t="shared" si="33"/>
        <v>0</v>
      </c>
      <c r="W262" s="3" t="str">
        <f t="shared" si="34"/>
        <v>OK</v>
      </c>
      <c r="X262" s="3" t="s">
        <v>475</v>
      </c>
      <c r="Y262" s="3" t="s">
        <v>29</v>
      </c>
      <c r="Z262" s="3" t="s">
        <v>476</v>
      </c>
    </row>
    <row r="263" spans="1:26" x14ac:dyDescent="0.2">
      <c r="A263" s="3" t="str">
        <f t="shared" si="28"/>
        <v>TRIP-T-294</v>
      </c>
      <c r="B263" s="2">
        <v>45869</v>
      </c>
      <c r="C263" s="3" t="str">
        <f>_xlfn.XLOOKUP(D263,'[1]Jan Customer Duplicate Hyva'!$B:$B,'[1]Jan Customer Duplicate Hyva'!$A:$A,"NOT FOUND")</f>
        <v>NOT FOUND</v>
      </c>
      <c r="D263" s="11" t="s">
        <v>633</v>
      </c>
      <c r="E263" s="3"/>
      <c r="F263" s="3"/>
      <c r="G263" s="3"/>
      <c r="H263" s="3"/>
      <c r="I263" s="3"/>
      <c r="J263" s="3"/>
      <c r="K263" s="3"/>
      <c r="L263" s="11" t="s">
        <v>33</v>
      </c>
      <c r="M263" s="12">
        <v>1</v>
      </c>
      <c r="N263" s="13">
        <v>4000</v>
      </c>
      <c r="O263" s="13">
        <f t="shared" si="29"/>
        <v>4000</v>
      </c>
      <c r="P263" s="13">
        <v>4000</v>
      </c>
      <c r="Q263" s="13">
        <f t="shared" si="30"/>
        <v>0</v>
      </c>
      <c r="R263" s="3"/>
      <c r="S263" s="3"/>
      <c r="T263" s="3">
        <f t="shared" si="31"/>
        <v>4000</v>
      </c>
      <c r="U263" s="3" t="str">
        <f t="shared" si="32"/>
        <v>OK</v>
      </c>
      <c r="V263" s="21">
        <f t="shared" si="33"/>
        <v>0</v>
      </c>
      <c r="W263" s="3" t="str">
        <f t="shared" si="34"/>
        <v>OK</v>
      </c>
      <c r="X263" s="3" t="s">
        <v>475</v>
      </c>
      <c r="Y263" s="3" t="s">
        <v>29</v>
      </c>
      <c r="Z263" s="3" t="s">
        <v>476</v>
      </c>
    </row>
    <row r="264" spans="1:26" x14ac:dyDescent="0.2">
      <c r="A264" s="3" t="str">
        <f t="shared" si="28"/>
        <v>TRIP-T-295</v>
      </c>
      <c r="B264" s="2">
        <v>45869</v>
      </c>
      <c r="C264" s="3" t="str">
        <f>_xlfn.XLOOKUP(D264,'[1]Jan Customer Duplicate Hyva'!$B:$B,'[1]Jan Customer Duplicate Hyva'!$A:$A,"NOT FOUND")</f>
        <v>NOT FOUND</v>
      </c>
      <c r="D264" s="11" t="s">
        <v>633</v>
      </c>
      <c r="E264" s="3"/>
      <c r="F264" s="3"/>
      <c r="G264" s="3"/>
      <c r="H264" s="3"/>
      <c r="I264" s="3"/>
      <c r="J264" s="3"/>
      <c r="K264" s="3"/>
      <c r="L264" s="11" t="s">
        <v>33</v>
      </c>
      <c r="M264" s="12">
        <v>1</v>
      </c>
      <c r="N264" s="13">
        <v>4000</v>
      </c>
      <c r="O264" s="13">
        <f t="shared" si="29"/>
        <v>4000</v>
      </c>
      <c r="P264" s="13">
        <v>4000</v>
      </c>
      <c r="Q264" s="13">
        <f t="shared" si="30"/>
        <v>0</v>
      </c>
      <c r="R264" s="3"/>
      <c r="S264" s="3"/>
      <c r="T264" s="3">
        <f t="shared" si="31"/>
        <v>4000</v>
      </c>
      <c r="U264" s="3" t="str">
        <f t="shared" si="32"/>
        <v>OK</v>
      </c>
      <c r="V264" s="21">
        <f t="shared" si="33"/>
        <v>0</v>
      </c>
      <c r="W264" s="3" t="str">
        <f t="shared" si="34"/>
        <v>OK</v>
      </c>
      <c r="X264" s="3" t="s">
        <v>475</v>
      </c>
      <c r="Y264" s="3" t="s">
        <v>29</v>
      </c>
      <c r="Z264" s="3" t="s">
        <v>476</v>
      </c>
    </row>
    <row r="265" spans="1:26" x14ac:dyDescent="0.2">
      <c r="A265" s="3" t="str">
        <f t="shared" si="28"/>
        <v>TRIP-T-296</v>
      </c>
      <c r="B265" s="2">
        <v>45869</v>
      </c>
      <c r="C265" s="3" t="str">
        <f>_xlfn.XLOOKUP(D265,'[1]Jan Customer Duplicate Hyva'!$B:$B,'[1]Jan Customer Duplicate Hyva'!$A:$A,"NOT FOUND")</f>
        <v>CUST-248</v>
      </c>
      <c r="D265" s="11" t="s">
        <v>643</v>
      </c>
      <c r="E265" s="3"/>
      <c r="F265" s="3"/>
      <c r="G265" s="3"/>
      <c r="H265" s="3"/>
      <c r="I265" s="3"/>
      <c r="J265" s="3"/>
      <c r="K265" s="3"/>
      <c r="L265" s="11" t="s">
        <v>644</v>
      </c>
      <c r="M265" s="12">
        <v>1</v>
      </c>
      <c r="N265" s="13">
        <v>4000</v>
      </c>
      <c r="O265" s="13">
        <f t="shared" si="29"/>
        <v>4000</v>
      </c>
      <c r="P265" s="13">
        <v>4000</v>
      </c>
      <c r="Q265" s="13">
        <f t="shared" si="30"/>
        <v>0</v>
      </c>
      <c r="R265" s="3"/>
      <c r="S265" s="3"/>
      <c r="T265" s="3">
        <f t="shared" si="31"/>
        <v>4000</v>
      </c>
      <c r="U265" s="3" t="str">
        <f t="shared" si="32"/>
        <v>OK</v>
      </c>
      <c r="V265" s="21">
        <f t="shared" si="33"/>
        <v>0</v>
      </c>
      <c r="W265" s="3" t="str">
        <f t="shared" si="34"/>
        <v>OK</v>
      </c>
      <c r="X265" s="3" t="s">
        <v>475</v>
      </c>
      <c r="Y265" s="3" t="s">
        <v>29</v>
      </c>
      <c r="Z265" s="3" t="s">
        <v>476</v>
      </c>
    </row>
    <row r="266" spans="1:26" x14ac:dyDescent="0.2">
      <c r="A266" s="3" t="str">
        <f t="shared" si="28"/>
        <v>TRIP-T-297</v>
      </c>
      <c r="B266" s="2">
        <v>45870</v>
      </c>
      <c r="C266" s="3" t="str">
        <f>_xlfn.XLOOKUP(D266,'[1]Jan Customer Duplicate Hyva'!$B:$B,'[1]Jan Customer Duplicate Hyva'!$A:$A,"NOT FOUND")</f>
        <v>NOT FOUND</v>
      </c>
      <c r="D266" s="26" t="s">
        <v>378</v>
      </c>
      <c r="E266" s="3"/>
      <c r="F266" s="3"/>
      <c r="G266" s="3"/>
      <c r="H266" s="3"/>
      <c r="I266" s="3"/>
      <c r="J266" s="3"/>
      <c r="K266" s="3"/>
      <c r="L266" s="26" t="s">
        <v>120</v>
      </c>
      <c r="M266" s="27">
        <v>1</v>
      </c>
      <c r="N266" s="13">
        <v>4700</v>
      </c>
      <c r="O266" s="13">
        <f t="shared" si="29"/>
        <v>4700</v>
      </c>
      <c r="P266" s="13">
        <v>4700</v>
      </c>
      <c r="Q266" s="13">
        <f t="shared" si="30"/>
        <v>0</v>
      </c>
      <c r="R266" s="3"/>
      <c r="S266" s="3"/>
      <c r="T266" s="3">
        <f t="shared" si="31"/>
        <v>4700</v>
      </c>
      <c r="U266" s="3" t="str">
        <f t="shared" si="32"/>
        <v>OK</v>
      </c>
      <c r="V266" s="21">
        <f t="shared" si="33"/>
        <v>0</v>
      </c>
      <c r="W266" s="3" t="str">
        <f t="shared" si="34"/>
        <v>OK</v>
      </c>
      <c r="X266" s="3" t="s">
        <v>475</v>
      </c>
      <c r="Y266" s="3" t="s">
        <v>29</v>
      </c>
      <c r="Z266" s="3" t="s">
        <v>476</v>
      </c>
    </row>
    <row r="267" spans="1:26" x14ac:dyDescent="0.2">
      <c r="A267" s="3" t="str">
        <f t="shared" si="28"/>
        <v>TRIP-T-298</v>
      </c>
      <c r="B267" s="2">
        <v>45870</v>
      </c>
      <c r="C267" s="3" t="str">
        <f>_xlfn.XLOOKUP(D267,'[1]Jan Customer Duplicate Hyva'!$B:$B,'[1]Jan Customer Duplicate Hyva'!$A:$A,"NOT FOUND")</f>
        <v>CUST-248</v>
      </c>
      <c r="D267" s="11" t="s">
        <v>643</v>
      </c>
      <c r="E267" s="3"/>
      <c r="F267" s="3"/>
      <c r="G267" s="3"/>
      <c r="H267" s="3"/>
      <c r="I267" s="3"/>
      <c r="J267" s="3"/>
      <c r="K267" s="3"/>
      <c r="L267" s="11" t="s">
        <v>644</v>
      </c>
      <c r="M267" s="27">
        <v>1</v>
      </c>
      <c r="N267" s="13">
        <v>4000</v>
      </c>
      <c r="O267" s="13">
        <f t="shared" si="29"/>
        <v>4000</v>
      </c>
      <c r="P267" s="13">
        <v>4000</v>
      </c>
      <c r="Q267" s="13">
        <f t="shared" si="30"/>
        <v>0</v>
      </c>
      <c r="R267" s="3"/>
      <c r="S267" s="3"/>
      <c r="T267" s="3">
        <f t="shared" si="31"/>
        <v>4000</v>
      </c>
      <c r="U267" s="3" t="str">
        <f t="shared" si="32"/>
        <v>OK</v>
      </c>
      <c r="V267" s="21">
        <f t="shared" si="33"/>
        <v>0</v>
      </c>
      <c r="W267" s="3" t="str">
        <f t="shared" si="34"/>
        <v>OK</v>
      </c>
      <c r="X267" s="3" t="s">
        <v>475</v>
      </c>
      <c r="Y267" s="3" t="s">
        <v>29</v>
      </c>
      <c r="Z267" s="3" t="s">
        <v>476</v>
      </c>
    </row>
    <row r="268" spans="1:26" x14ac:dyDescent="0.2">
      <c r="A268" s="3" t="str">
        <f t="shared" si="28"/>
        <v>TRIP-T-299</v>
      </c>
      <c r="B268" s="2">
        <v>45870</v>
      </c>
      <c r="C268" s="3" t="str">
        <f>_xlfn.XLOOKUP(D268,'[1]Jan Customer Duplicate Hyva'!$B:$B,'[1]Jan Customer Duplicate Hyva'!$A:$A,"NOT FOUND")</f>
        <v>CUST-248</v>
      </c>
      <c r="D268" s="26" t="s">
        <v>643</v>
      </c>
      <c r="E268" s="3"/>
      <c r="F268" s="3"/>
      <c r="G268" s="3"/>
      <c r="H268" s="3"/>
      <c r="I268" s="3"/>
      <c r="J268" s="3"/>
      <c r="K268" s="3"/>
      <c r="L268" s="26" t="s">
        <v>643</v>
      </c>
      <c r="M268" s="27">
        <v>1</v>
      </c>
      <c r="N268" s="13">
        <v>4000</v>
      </c>
      <c r="O268" s="13">
        <f t="shared" si="29"/>
        <v>4000</v>
      </c>
      <c r="P268" s="13"/>
      <c r="Q268" s="13">
        <f t="shared" si="30"/>
        <v>4000</v>
      </c>
      <c r="R268" s="3"/>
      <c r="S268" s="3"/>
      <c r="T268" s="3">
        <f t="shared" si="31"/>
        <v>4000</v>
      </c>
      <c r="U268" s="3" t="str">
        <f t="shared" si="32"/>
        <v>OK</v>
      </c>
      <c r="V268" s="21">
        <f t="shared" si="33"/>
        <v>4000</v>
      </c>
      <c r="W268" s="3" t="str">
        <f t="shared" si="34"/>
        <v>OK</v>
      </c>
      <c r="X268" s="3" t="s">
        <v>475</v>
      </c>
      <c r="Y268" s="3" t="s">
        <v>29</v>
      </c>
      <c r="Z268" s="3" t="s">
        <v>476</v>
      </c>
    </row>
    <row r="269" spans="1:26" x14ac:dyDescent="0.2">
      <c r="A269" s="3" t="str">
        <f t="shared" si="28"/>
        <v>TRIP-T-300</v>
      </c>
      <c r="B269" s="2">
        <v>45870</v>
      </c>
      <c r="C269" s="3" t="str">
        <f>_xlfn.XLOOKUP(D269,'[1]Jan Customer Duplicate Hyva'!$B:$B,'[1]Jan Customer Duplicate Hyva'!$A:$A,"NOT FOUND")</f>
        <v>CUST-346</v>
      </c>
      <c r="D269" s="11" t="s">
        <v>638</v>
      </c>
      <c r="E269" s="3"/>
      <c r="F269" s="3"/>
      <c r="G269" s="3"/>
      <c r="H269" s="3"/>
      <c r="I269" s="3"/>
      <c r="J269" s="3"/>
      <c r="K269" s="3"/>
      <c r="L269" s="11" t="s">
        <v>172</v>
      </c>
      <c r="M269" s="12">
        <v>1</v>
      </c>
      <c r="N269" s="13">
        <v>4000</v>
      </c>
      <c r="O269" s="13">
        <f t="shared" si="29"/>
        <v>4000</v>
      </c>
      <c r="P269" s="13">
        <v>4000</v>
      </c>
      <c r="Q269" s="13">
        <f t="shared" si="30"/>
        <v>0</v>
      </c>
      <c r="R269" s="3"/>
      <c r="S269" s="3"/>
      <c r="T269" s="3">
        <f t="shared" si="31"/>
        <v>4000</v>
      </c>
      <c r="U269" s="3" t="str">
        <f t="shared" si="32"/>
        <v>OK</v>
      </c>
      <c r="V269" s="21">
        <f t="shared" si="33"/>
        <v>0</v>
      </c>
      <c r="W269" s="3" t="str">
        <f t="shared" si="34"/>
        <v>OK</v>
      </c>
      <c r="X269" s="3" t="s">
        <v>475</v>
      </c>
      <c r="Y269" s="3" t="s">
        <v>29</v>
      </c>
      <c r="Z269" s="3" t="s">
        <v>476</v>
      </c>
    </row>
    <row r="270" spans="1:26" x14ac:dyDescent="0.2">
      <c r="A270" s="3" t="str">
        <f t="shared" si="28"/>
        <v>TRIP-T-301</v>
      </c>
      <c r="B270" s="2">
        <v>45870</v>
      </c>
      <c r="C270" s="3" t="str">
        <f>_xlfn.XLOOKUP(D270,'[1]Jan Customer Duplicate Hyva'!$B:$B,'[1]Jan Customer Duplicate Hyva'!$A:$A,"NOT FOUND")</f>
        <v>CUST-346</v>
      </c>
      <c r="D270" s="11" t="s">
        <v>638</v>
      </c>
      <c r="E270" s="3"/>
      <c r="F270" s="3"/>
      <c r="G270" s="3"/>
      <c r="H270" s="3"/>
      <c r="I270" s="3"/>
      <c r="J270" s="3"/>
      <c r="K270" s="3"/>
      <c r="L270" s="11" t="s">
        <v>172</v>
      </c>
      <c r="M270" s="12">
        <v>1</v>
      </c>
      <c r="N270" s="13">
        <v>4000</v>
      </c>
      <c r="O270" s="13">
        <f t="shared" si="29"/>
        <v>4000</v>
      </c>
      <c r="P270" s="13">
        <v>4000</v>
      </c>
      <c r="Q270" s="13">
        <f t="shared" si="30"/>
        <v>0</v>
      </c>
      <c r="R270" s="3"/>
      <c r="S270" s="3"/>
      <c r="T270" s="3">
        <f t="shared" si="31"/>
        <v>4000</v>
      </c>
      <c r="U270" s="3" t="str">
        <f t="shared" si="32"/>
        <v>OK</v>
      </c>
      <c r="V270" s="21">
        <f t="shared" si="33"/>
        <v>0</v>
      </c>
      <c r="W270" s="3" t="str">
        <f t="shared" si="34"/>
        <v>OK</v>
      </c>
      <c r="X270" s="3" t="s">
        <v>475</v>
      </c>
      <c r="Y270" s="3" t="s">
        <v>29</v>
      </c>
      <c r="Z270" s="3" t="s">
        <v>476</v>
      </c>
    </row>
    <row r="271" spans="1:26" x14ac:dyDescent="0.2">
      <c r="A271" s="3" t="str">
        <f t="shared" si="28"/>
        <v>TRIP-T-302</v>
      </c>
      <c r="B271" s="2">
        <v>45870</v>
      </c>
      <c r="C271" s="3" t="str">
        <f>_xlfn.XLOOKUP(D271,'[1]Jan Customer Duplicate Hyva'!$B:$B,'[1]Jan Customer Duplicate Hyva'!$A:$A,"NOT FOUND")</f>
        <v>CUST-346</v>
      </c>
      <c r="D271" s="11" t="s">
        <v>638</v>
      </c>
      <c r="E271" s="3"/>
      <c r="F271" s="3"/>
      <c r="G271" s="3"/>
      <c r="H271" s="3"/>
      <c r="I271" s="3"/>
      <c r="J271" s="3"/>
      <c r="K271" s="3"/>
      <c r="L271" s="11" t="s">
        <v>172</v>
      </c>
      <c r="M271" s="12">
        <v>1</v>
      </c>
      <c r="N271" s="13">
        <v>4000</v>
      </c>
      <c r="O271" s="13">
        <f t="shared" si="29"/>
        <v>4000</v>
      </c>
      <c r="P271" s="13">
        <v>4000</v>
      </c>
      <c r="Q271" s="13">
        <f t="shared" si="30"/>
        <v>0</v>
      </c>
      <c r="R271" s="3"/>
      <c r="S271" s="3"/>
      <c r="T271" s="3">
        <f t="shared" si="31"/>
        <v>4000</v>
      </c>
      <c r="U271" s="3" t="str">
        <f t="shared" si="32"/>
        <v>OK</v>
      </c>
      <c r="V271" s="21">
        <f t="shared" si="33"/>
        <v>0</v>
      </c>
      <c r="W271" s="3" t="str">
        <f t="shared" si="34"/>
        <v>OK</v>
      </c>
      <c r="X271" s="3" t="s">
        <v>475</v>
      </c>
      <c r="Y271" s="3" t="s">
        <v>29</v>
      </c>
      <c r="Z271" s="3" t="s">
        <v>476</v>
      </c>
    </row>
    <row r="272" spans="1:26" x14ac:dyDescent="0.2">
      <c r="A272" s="3" t="str">
        <f t="shared" si="28"/>
        <v>TRIP-T-303</v>
      </c>
      <c r="B272" s="2">
        <v>45870</v>
      </c>
      <c r="C272" s="3" t="str">
        <f>_xlfn.XLOOKUP(D272,'[1]Jan Customer Duplicate Hyva'!$B:$B,'[1]Jan Customer Duplicate Hyva'!$A:$A,"NOT FOUND")</f>
        <v>CUST-346</v>
      </c>
      <c r="D272" s="11" t="s">
        <v>638</v>
      </c>
      <c r="E272" s="3"/>
      <c r="F272" s="3"/>
      <c r="G272" s="3"/>
      <c r="H272" s="3"/>
      <c r="I272" s="3"/>
      <c r="J272" s="3"/>
      <c r="K272" s="3"/>
      <c r="L272" s="26" t="s">
        <v>172</v>
      </c>
      <c r="M272" s="27">
        <v>1</v>
      </c>
      <c r="N272" s="13">
        <v>4000</v>
      </c>
      <c r="O272" s="13">
        <f t="shared" si="29"/>
        <v>4000</v>
      </c>
      <c r="P272" s="13">
        <v>4000</v>
      </c>
      <c r="Q272" s="13">
        <f t="shared" si="30"/>
        <v>0</v>
      </c>
      <c r="R272" s="3"/>
      <c r="S272" s="3"/>
      <c r="T272" s="3">
        <f t="shared" si="31"/>
        <v>4000</v>
      </c>
      <c r="U272" s="3" t="str">
        <f t="shared" si="32"/>
        <v>OK</v>
      </c>
      <c r="V272" s="21">
        <f t="shared" si="33"/>
        <v>0</v>
      </c>
      <c r="W272" s="3" t="str">
        <f t="shared" si="34"/>
        <v>OK</v>
      </c>
      <c r="X272" s="3" t="s">
        <v>475</v>
      </c>
      <c r="Y272" s="3" t="s">
        <v>29</v>
      </c>
      <c r="Z272" s="3" t="s">
        <v>476</v>
      </c>
    </row>
    <row r="273" spans="1:26" x14ac:dyDescent="0.2">
      <c r="A273" s="3" t="str">
        <f t="shared" si="28"/>
        <v>TRIP-T-304</v>
      </c>
      <c r="B273" s="2">
        <v>45871</v>
      </c>
      <c r="C273" s="3" t="str">
        <f>_xlfn.XLOOKUP(D273,'[1]Jan Customer Duplicate Hyva'!$B:$B,'[1]Jan Customer Duplicate Hyva'!$A:$A,"NOT FOUND")</f>
        <v>CUST-346</v>
      </c>
      <c r="D273" s="11" t="s">
        <v>638</v>
      </c>
      <c r="E273" s="3"/>
      <c r="F273" s="3"/>
      <c r="G273" s="3"/>
      <c r="H273" s="3"/>
      <c r="I273" s="3"/>
      <c r="J273" s="3"/>
      <c r="K273" s="3"/>
      <c r="L273" s="11" t="s">
        <v>172</v>
      </c>
      <c r="M273" s="12">
        <v>1</v>
      </c>
      <c r="N273" s="13">
        <v>4000</v>
      </c>
      <c r="O273" s="13">
        <f t="shared" si="29"/>
        <v>4000</v>
      </c>
      <c r="P273" s="13">
        <v>4000</v>
      </c>
      <c r="Q273" s="13">
        <f t="shared" si="30"/>
        <v>0</v>
      </c>
      <c r="R273" s="3"/>
      <c r="S273" s="3"/>
      <c r="T273" s="3">
        <f t="shared" si="31"/>
        <v>4000</v>
      </c>
      <c r="U273" s="3" t="str">
        <f t="shared" si="32"/>
        <v>OK</v>
      </c>
      <c r="V273" s="21">
        <f t="shared" si="33"/>
        <v>0</v>
      </c>
      <c r="W273" s="3" t="str">
        <f t="shared" si="34"/>
        <v>OK</v>
      </c>
      <c r="X273" s="3" t="s">
        <v>475</v>
      </c>
      <c r="Y273" s="3" t="s">
        <v>29</v>
      </c>
      <c r="Z273" s="3" t="s">
        <v>476</v>
      </c>
    </row>
    <row r="274" spans="1:26" x14ac:dyDescent="0.2">
      <c r="A274" s="3" t="str">
        <f t="shared" si="28"/>
        <v>TRIP-T-305</v>
      </c>
      <c r="B274" s="2">
        <v>45871</v>
      </c>
      <c r="C274" s="3" t="str">
        <f>_xlfn.XLOOKUP(D274,'[1]Jan Customer Duplicate Hyva'!$B:$B,'[1]Jan Customer Duplicate Hyva'!$A:$A,"NOT FOUND")</f>
        <v>CUST-372</v>
      </c>
      <c r="D274" s="26" t="s">
        <v>623</v>
      </c>
      <c r="E274" s="3"/>
      <c r="F274" s="3"/>
      <c r="G274" s="3"/>
      <c r="H274" s="3"/>
      <c r="I274" s="3"/>
      <c r="J274" s="3"/>
      <c r="K274" s="3"/>
      <c r="L274" s="26" t="s">
        <v>172</v>
      </c>
      <c r="M274" s="27">
        <v>1</v>
      </c>
      <c r="N274" s="13">
        <v>4000</v>
      </c>
      <c r="O274" s="13">
        <f t="shared" si="29"/>
        <v>4000</v>
      </c>
      <c r="P274" s="13">
        <v>4000</v>
      </c>
      <c r="Q274" s="13">
        <f t="shared" si="30"/>
        <v>0</v>
      </c>
      <c r="R274" s="3"/>
      <c r="S274" s="3"/>
      <c r="T274" s="3">
        <f t="shared" si="31"/>
        <v>4000</v>
      </c>
      <c r="U274" s="3" t="str">
        <f t="shared" si="32"/>
        <v>OK</v>
      </c>
      <c r="V274" s="21">
        <f t="shared" si="33"/>
        <v>0</v>
      </c>
      <c r="W274" s="3" t="str">
        <f t="shared" si="34"/>
        <v>OK</v>
      </c>
      <c r="X274" s="3" t="s">
        <v>475</v>
      </c>
      <c r="Y274" s="3" t="s">
        <v>29</v>
      </c>
      <c r="Z274" s="3" t="s">
        <v>476</v>
      </c>
    </row>
    <row r="275" spans="1:26" x14ac:dyDescent="0.2">
      <c r="A275" s="3" t="str">
        <f t="shared" si="28"/>
        <v>TRIP-T-306</v>
      </c>
      <c r="B275" s="2">
        <v>45872</v>
      </c>
      <c r="C275" s="3" t="str">
        <f>_xlfn.XLOOKUP(D275,'[1]Jan Customer Duplicate Hyva'!$B:$B,'[1]Jan Customer Duplicate Hyva'!$A:$A,"NOT FOUND")</f>
        <v>NOT FOUND</v>
      </c>
      <c r="D275" s="26" t="s">
        <v>645</v>
      </c>
      <c r="E275" s="3"/>
      <c r="F275" s="3"/>
      <c r="G275" s="3"/>
      <c r="H275" s="3"/>
      <c r="I275" s="3"/>
      <c r="J275" s="3"/>
      <c r="K275" s="3"/>
      <c r="L275" s="26" t="s">
        <v>646</v>
      </c>
      <c r="M275" s="27">
        <v>1</v>
      </c>
      <c r="N275" s="13">
        <v>4000</v>
      </c>
      <c r="O275" s="13">
        <f t="shared" si="29"/>
        <v>4000</v>
      </c>
      <c r="P275" s="13">
        <v>4000</v>
      </c>
      <c r="Q275" s="13">
        <f t="shared" si="30"/>
        <v>0</v>
      </c>
      <c r="R275" s="3"/>
      <c r="S275" s="3"/>
      <c r="T275" s="3">
        <f t="shared" si="31"/>
        <v>4000</v>
      </c>
      <c r="U275" s="3" t="str">
        <f t="shared" si="32"/>
        <v>OK</v>
      </c>
      <c r="V275" s="21">
        <f t="shared" si="33"/>
        <v>0</v>
      </c>
      <c r="W275" s="3" t="str">
        <f t="shared" si="34"/>
        <v>OK</v>
      </c>
      <c r="X275" s="3" t="s">
        <v>475</v>
      </c>
      <c r="Y275" s="3" t="s">
        <v>29</v>
      </c>
      <c r="Z275" s="3" t="s">
        <v>476</v>
      </c>
    </row>
    <row r="276" spans="1:26" x14ac:dyDescent="0.2">
      <c r="A276" s="3" t="str">
        <f t="shared" si="28"/>
        <v>TRIP-T-307</v>
      </c>
      <c r="B276" s="2">
        <v>45872</v>
      </c>
      <c r="C276" s="3"/>
      <c r="D276" s="3"/>
      <c r="E276" s="3"/>
      <c r="F276" s="3"/>
      <c r="G276" s="3"/>
      <c r="H276" s="3"/>
      <c r="I276" s="3"/>
      <c r="J276" s="3"/>
      <c r="K276" s="3"/>
      <c r="L276" s="25" t="s">
        <v>428</v>
      </c>
      <c r="M276" s="29">
        <v>10</v>
      </c>
      <c r="N276" s="3"/>
      <c r="O276" s="3"/>
      <c r="P276" s="3"/>
      <c r="Q276" s="3"/>
      <c r="R276" s="3"/>
      <c r="S276" s="3"/>
      <c r="T276" s="3">
        <f t="shared" si="31"/>
        <v>0</v>
      </c>
      <c r="U276" s="3" t="str">
        <f t="shared" si="32"/>
        <v>OK</v>
      </c>
      <c r="V276" s="21">
        <f t="shared" si="33"/>
        <v>0</v>
      </c>
      <c r="W276" s="3" t="str">
        <f t="shared" si="34"/>
        <v>OK</v>
      </c>
      <c r="X276" s="3" t="s">
        <v>647</v>
      </c>
      <c r="Y276" s="3" t="s">
        <v>29</v>
      </c>
      <c r="Z276" s="3" t="s">
        <v>476</v>
      </c>
    </row>
    <row r="277" spans="1:26" x14ac:dyDescent="0.2">
      <c r="A277" s="3" t="str">
        <f t="shared" si="28"/>
        <v>TRIP-T-308</v>
      </c>
      <c r="B277" s="2">
        <v>45873</v>
      </c>
      <c r="C277" s="3"/>
      <c r="D277" s="3"/>
      <c r="E277" s="3"/>
      <c r="F277" s="3"/>
      <c r="G277" s="3"/>
      <c r="H277" s="3"/>
      <c r="I277" s="3"/>
      <c r="J277" s="3"/>
      <c r="K277" s="3"/>
      <c r="L277" s="25" t="s">
        <v>428</v>
      </c>
      <c r="M277" s="29">
        <v>14</v>
      </c>
      <c r="N277" s="3"/>
      <c r="O277" s="3"/>
      <c r="P277" s="3"/>
      <c r="Q277" s="3"/>
      <c r="R277" s="3"/>
      <c r="S277" s="3"/>
      <c r="T277" s="3">
        <f t="shared" si="31"/>
        <v>0</v>
      </c>
      <c r="U277" s="3" t="str">
        <f t="shared" si="32"/>
        <v>OK</v>
      </c>
      <c r="V277" s="21">
        <f t="shared" si="33"/>
        <v>0</v>
      </c>
      <c r="W277" s="3" t="str">
        <f t="shared" si="34"/>
        <v>OK</v>
      </c>
      <c r="X277" s="3" t="s">
        <v>647</v>
      </c>
      <c r="Y277" s="3" t="s">
        <v>29</v>
      </c>
      <c r="Z277" s="3" t="s">
        <v>476</v>
      </c>
    </row>
    <row r="278" spans="1:26" x14ac:dyDescent="0.2">
      <c r="A278" s="3" t="str">
        <f t="shared" si="28"/>
        <v>TRIP-T-309</v>
      </c>
      <c r="B278" s="2">
        <v>45873</v>
      </c>
      <c r="C278" s="3"/>
      <c r="D278" s="3"/>
      <c r="E278" s="3"/>
      <c r="F278" s="3"/>
      <c r="G278" s="3"/>
      <c r="H278" s="3"/>
      <c r="I278" s="3"/>
      <c r="J278" s="3"/>
      <c r="K278" s="3"/>
      <c r="L278" s="25" t="s">
        <v>428</v>
      </c>
      <c r="M278" s="27">
        <v>12</v>
      </c>
      <c r="N278" s="3"/>
      <c r="O278" s="3"/>
      <c r="P278" s="3"/>
      <c r="Q278" s="3"/>
      <c r="R278" s="3"/>
      <c r="S278" s="3"/>
      <c r="T278" s="3">
        <f t="shared" si="31"/>
        <v>0</v>
      </c>
      <c r="U278" s="3" t="str">
        <f t="shared" si="32"/>
        <v>OK</v>
      </c>
      <c r="V278" s="21">
        <f t="shared" si="33"/>
        <v>0</v>
      </c>
      <c r="W278" s="3" t="str">
        <f t="shared" si="34"/>
        <v>OK</v>
      </c>
      <c r="X278" s="3" t="s">
        <v>647</v>
      </c>
      <c r="Y278" s="3" t="s">
        <v>29</v>
      </c>
      <c r="Z278" s="3" t="s">
        <v>476</v>
      </c>
    </row>
    <row r="279" spans="1:26" x14ac:dyDescent="0.2">
      <c r="A279" s="3" t="str">
        <f t="shared" si="28"/>
        <v>TRIP-T-310</v>
      </c>
      <c r="B279" s="2">
        <v>45874</v>
      </c>
      <c r="C279" s="3"/>
      <c r="D279" s="3"/>
      <c r="E279" s="3"/>
      <c r="F279" s="3"/>
      <c r="G279" s="3"/>
      <c r="H279" s="3"/>
      <c r="I279" s="3"/>
      <c r="J279" s="3"/>
      <c r="K279" s="3"/>
      <c r="L279" s="25" t="s">
        <v>428</v>
      </c>
      <c r="M279" s="29">
        <v>6</v>
      </c>
      <c r="N279" s="3"/>
      <c r="O279" s="3"/>
      <c r="P279" s="3"/>
      <c r="Q279" s="3"/>
      <c r="R279" s="3"/>
      <c r="S279" s="3"/>
      <c r="T279" s="3">
        <f t="shared" si="31"/>
        <v>0</v>
      </c>
      <c r="U279" s="3" t="str">
        <f t="shared" si="32"/>
        <v>OK</v>
      </c>
      <c r="V279" s="21">
        <f t="shared" si="33"/>
        <v>0</v>
      </c>
      <c r="W279" s="3" t="str">
        <f t="shared" si="34"/>
        <v>OK</v>
      </c>
      <c r="X279" s="3" t="s">
        <v>647</v>
      </c>
      <c r="Y279" s="3" t="s">
        <v>29</v>
      </c>
      <c r="Z279" s="3" t="s">
        <v>476</v>
      </c>
    </row>
    <row r="280" spans="1:26" x14ac:dyDescent="0.2">
      <c r="A280" s="3" t="str">
        <f t="shared" si="28"/>
        <v>TRIP-T-311</v>
      </c>
      <c r="B280" s="2">
        <v>45874</v>
      </c>
      <c r="C280" s="3"/>
      <c r="D280" s="3"/>
      <c r="E280" s="3"/>
      <c r="F280" s="3"/>
      <c r="G280" s="3"/>
      <c r="H280" s="3"/>
      <c r="I280" s="3"/>
      <c r="J280" s="3"/>
      <c r="K280" s="3"/>
      <c r="L280" s="25" t="s">
        <v>428</v>
      </c>
      <c r="M280" s="27">
        <v>9</v>
      </c>
      <c r="N280" s="3"/>
      <c r="O280" s="3"/>
      <c r="P280" s="3"/>
      <c r="Q280" s="3"/>
      <c r="R280" s="3"/>
      <c r="S280" s="3"/>
      <c r="T280" s="3">
        <f t="shared" si="31"/>
        <v>0</v>
      </c>
      <c r="U280" s="3" t="str">
        <f t="shared" si="32"/>
        <v>OK</v>
      </c>
      <c r="V280" s="21">
        <f t="shared" si="33"/>
        <v>0</v>
      </c>
      <c r="W280" s="3" t="str">
        <f t="shared" si="34"/>
        <v>OK</v>
      </c>
      <c r="X280" s="3" t="s">
        <v>647</v>
      </c>
      <c r="Y280" s="3" t="s">
        <v>29</v>
      </c>
      <c r="Z280" s="3" t="s">
        <v>476</v>
      </c>
    </row>
    <row r="281" spans="1:26" x14ac:dyDescent="0.2">
      <c r="A281" s="3" t="str">
        <f t="shared" si="28"/>
        <v>TRIP-T-312</v>
      </c>
      <c r="B281" s="2">
        <v>45875</v>
      </c>
      <c r="C281" s="3"/>
      <c r="D281" s="3"/>
      <c r="E281" s="3"/>
      <c r="F281" s="3"/>
      <c r="G281" s="3"/>
      <c r="H281" s="3"/>
      <c r="I281" s="3"/>
      <c r="J281" s="3"/>
      <c r="K281" s="3"/>
      <c r="L281" s="25" t="s">
        <v>428</v>
      </c>
      <c r="M281" s="29">
        <v>8</v>
      </c>
      <c r="N281" s="3"/>
      <c r="O281" s="3"/>
      <c r="P281" s="3"/>
      <c r="Q281" s="3"/>
      <c r="R281" s="3"/>
      <c r="S281" s="3"/>
      <c r="T281" s="3">
        <f t="shared" si="31"/>
        <v>0</v>
      </c>
      <c r="U281" s="3" t="str">
        <f t="shared" si="32"/>
        <v>OK</v>
      </c>
      <c r="V281" s="21">
        <f t="shared" si="33"/>
        <v>0</v>
      </c>
      <c r="W281" s="3" t="str">
        <f t="shared" si="34"/>
        <v>OK</v>
      </c>
      <c r="X281" s="3" t="s">
        <v>647</v>
      </c>
      <c r="Y281" s="3" t="s">
        <v>29</v>
      </c>
      <c r="Z281" s="3" t="s">
        <v>476</v>
      </c>
    </row>
    <row r="282" spans="1:26" x14ac:dyDescent="0.2">
      <c r="A282" s="3" t="str">
        <f t="shared" si="28"/>
        <v>TRIP-T-313</v>
      </c>
      <c r="B282" s="2">
        <v>45875</v>
      </c>
      <c r="C282" s="3"/>
      <c r="D282" s="3"/>
      <c r="E282" s="3"/>
      <c r="F282" s="3"/>
      <c r="G282" s="3"/>
      <c r="H282" s="3"/>
      <c r="I282" s="3"/>
      <c r="J282" s="3"/>
      <c r="K282" s="3"/>
      <c r="L282" s="25" t="s">
        <v>428</v>
      </c>
      <c r="M282" s="29">
        <v>2</v>
      </c>
      <c r="N282" s="3"/>
      <c r="O282" s="3"/>
      <c r="P282" s="3"/>
      <c r="Q282" s="3"/>
      <c r="R282" s="3"/>
      <c r="S282" s="3"/>
      <c r="T282" s="3">
        <f t="shared" si="31"/>
        <v>0</v>
      </c>
      <c r="U282" s="3" t="str">
        <f t="shared" si="32"/>
        <v>OK</v>
      </c>
      <c r="V282" s="21">
        <f t="shared" si="33"/>
        <v>0</v>
      </c>
      <c r="W282" s="3" t="str">
        <f t="shared" si="34"/>
        <v>OK</v>
      </c>
      <c r="X282" s="3" t="s">
        <v>647</v>
      </c>
      <c r="Y282" s="3" t="s">
        <v>29</v>
      </c>
      <c r="Z282" s="3" t="s">
        <v>476</v>
      </c>
    </row>
    <row r="283" spans="1:26" x14ac:dyDescent="0.2">
      <c r="A283" s="3" t="str">
        <f t="shared" si="28"/>
        <v>TRIP-T-314</v>
      </c>
      <c r="B283" s="2">
        <v>45875</v>
      </c>
      <c r="C283" s="3"/>
      <c r="D283" s="3"/>
      <c r="E283" s="3"/>
      <c r="F283" s="3"/>
      <c r="G283" s="3"/>
      <c r="H283" s="3"/>
      <c r="I283" s="3"/>
      <c r="J283" s="3"/>
      <c r="K283" s="3"/>
      <c r="L283" s="25" t="s">
        <v>428</v>
      </c>
      <c r="M283" s="27">
        <v>18</v>
      </c>
      <c r="N283" s="3"/>
      <c r="O283" s="3"/>
      <c r="P283" s="3"/>
      <c r="Q283" s="3"/>
      <c r="R283" s="3"/>
      <c r="S283" s="3"/>
      <c r="T283" s="3">
        <f t="shared" si="31"/>
        <v>0</v>
      </c>
      <c r="U283" s="3" t="str">
        <f t="shared" si="32"/>
        <v>OK</v>
      </c>
      <c r="V283" s="21">
        <f t="shared" si="33"/>
        <v>0</v>
      </c>
      <c r="W283" s="3" t="str">
        <f t="shared" si="34"/>
        <v>OK</v>
      </c>
      <c r="X283" s="3" t="s">
        <v>647</v>
      </c>
      <c r="Y283" s="3" t="s">
        <v>29</v>
      </c>
      <c r="Z283" s="3" t="s">
        <v>476</v>
      </c>
    </row>
    <row r="284" spans="1:26" x14ac:dyDescent="0.2">
      <c r="A284" s="3" t="str">
        <f t="shared" si="28"/>
        <v>TRIP-T-315</v>
      </c>
      <c r="B284" s="2">
        <v>45875</v>
      </c>
      <c r="C284" s="3"/>
      <c r="D284" s="3"/>
      <c r="E284" s="3"/>
      <c r="F284" s="3"/>
      <c r="G284" s="3"/>
      <c r="H284" s="3"/>
      <c r="I284" s="3"/>
      <c r="J284" s="3"/>
      <c r="K284" s="3"/>
      <c r="L284" s="25" t="s">
        <v>428</v>
      </c>
      <c r="M284" s="27">
        <v>12</v>
      </c>
      <c r="N284" s="3"/>
      <c r="O284" s="3"/>
      <c r="P284" s="3"/>
      <c r="Q284" s="3"/>
      <c r="R284" s="3"/>
      <c r="S284" s="3"/>
      <c r="T284" s="3">
        <f t="shared" si="31"/>
        <v>0</v>
      </c>
      <c r="U284" s="3" t="str">
        <f t="shared" si="32"/>
        <v>OK</v>
      </c>
      <c r="V284" s="21">
        <f t="shared" si="33"/>
        <v>0</v>
      </c>
      <c r="W284" s="3" t="str">
        <f t="shared" si="34"/>
        <v>OK</v>
      </c>
      <c r="X284" s="3" t="s">
        <v>647</v>
      </c>
      <c r="Y284" s="3" t="s">
        <v>29</v>
      </c>
      <c r="Z284" s="3" t="s">
        <v>476</v>
      </c>
    </row>
    <row r="285" spans="1:26" x14ac:dyDescent="0.2">
      <c r="A285" s="3" t="str">
        <f t="shared" si="28"/>
        <v>TRIP-T-316</v>
      </c>
      <c r="B285" s="2">
        <v>45876</v>
      </c>
      <c r="C285" s="3"/>
      <c r="D285" s="3"/>
      <c r="E285" s="3"/>
      <c r="F285" s="3"/>
      <c r="G285" s="3"/>
      <c r="H285" s="3"/>
      <c r="I285" s="3"/>
      <c r="J285" s="3"/>
      <c r="K285" s="3"/>
      <c r="L285" s="25" t="s">
        <v>428</v>
      </c>
      <c r="M285" s="27">
        <v>17</v>
      </c>
      <c r="N285" s="3"/>
      <c r="O285" s="3"/>
      <c r="P285" s="3"/>
      <c r="Q285" s="3"/>
      <c r="R285" s="3"/>
      <c r="S285" s="3"/>
      <c r="T285" s="3">
        <f t="shared" si="31"/>
        <v>0</v>
      </c>
      <c r="U285" s="3" t="str">
        <f t="shared" si="32"/>
        <v>OK</v>
      </c>
      <c r="V285" s="21">
        <f t="shared" si="33"/>
        <v>0</v>
      </c>
      <c r="W285" s="3" t="str">
        <f t="shared" si="34"/>
        <v>OK</v>
      </c>
      <c r="X285" s="3" t="s">
        <v>647</v>
      </c>
      <c r="Y285" s="3" t="s">
        <v>29</v>
      </c>
      <c r="Z285" s="3" t="s">
        <v>476</v>
      </c>
    </row>
    <row r="286" spans="1:26" x14ac:dyDescent="0.2">
      <c r="A286" s="3" t="str">
        <f t="shared" si="28"/>
        <v>TRIP-T-317</v>
      </c>
      <c r="B286" s="2">
        <v>45876</v>
      </c>
      <c r="C286" s="3"/>
      <c r="D286" s="3"/>
      <c r="E286" s="3"/>
      <c r="F286" s="3"/>
      <c r="G286" s="3"/>
      <c r="H286" s="3"/>
      <c r="I286" s="3"/>
      <c r="J286" s="3"/>
      <c r="K286" s="3"/>
      <c r="L286" s="25" t="s">
        <v>428</v>
      </c>
      <c r="M286" s="27">
        <v>16</v>
      </c>
      <c r="N286" s="3"/>
      <c r="O286" s="3"/>
      <c r="P286" s="3"/>
      <c r="Q286" s="3"/>
      <c r="R286" s="3"/>
      <c r="S286" s="3"/>
      <c r="T286" s="3">
        <f t="shared" si="31"/>
        <v>0</v>
      </c>
      <c r="U286" s="3" t="str">
        <f t="shared" si="32"/>
        <v>OK</v>
      </c>
      <c r="V286" s="21">
        <f t="shared" si="33"/>
        <v>0</v>
      </c>
      <c r="W286" s="3" t="str">
        <f t="shared" si="34"/>
        <v>OK</v>
      </c>
      <c r="X286" s="3" t="s">
        <v>647</v>
      </c>
      <c r="Y286" s="3" t="s">
        <v>29</v>
      </c>
      <c r="Z286" s="3" t="s">
        <v>476</v>
      </c>
    </row>
    <row r="287" spans="1:26" x14ac:dyDescent="0.2">
      <c r="A287" s="3" t="str">
        <f t="shared" si="28"/>
        <v>TRIP-T-318</v>
      </c>
      <c r="B287" s="2">
        <v>45876</v>
      </c>
      <c r="C287" s="3"/>
      <c r="D287" s="3"/>
      <c r="E287" s="3"/>
      <c r="F287" s="3"/>
      <c r="G287" s="3"/>
      <c r="H287" s="3"/>
      <c r="I287" s="3"/>
      <c r="J287" s="3"/>
      <c r="K287" s="3"/>
      <c r="L287" s="25" t="s">
        <v>428</v>
      </c>
      <c r="M287" s="27">
        <v>16</v>
      </c>
      <c r="N287" s="3"/>
      <c r="O287" s="3"/>
      <c r="P287" s="3"/>
      <c r="Q287" s="3"/>
      <c r="R287" s="3"/>
      <c r="S287" s="3"/>
      <c r="T287" s="3">
        <f t="shared" si="31"/>
        <v>0</v>
      </c>
      <c r="U287" s="3" t="str">
        <f t="shared" si="32"/>
        <v>OK</v>
      </c>
      <c r="V287" s="21">
        <f t="shared" si="33"/>
        <v>0</v>
      </c>
      <c r="W287" s="3" t="str">
        <f t="shared" si="34"/>
        <v>OK</v>
      </c>
      <c r="X287" s="3" t="s">
        <v>647</v>
      </c>
      <c r="Y287" s="3" t="s">
        <v>29</v>
      </c>
      <c r="Z287" s="3" t="s">
        <v>476</v>
      </c>
    </row>
    <row r="288" spans="1:26" x14ac:dyDescent="0.2">
      <c r="A288" s="3" t="str">
        <f t="shared" si="28"/>
        <v>TRIP-T-319</v>
      </c>
      <c r="B288" s="2">
        <v>45877</v>
      </c>
      <c r="C288" s="3"/>
      <c r="D288" s="3"/>
      <c r="E288" s="3"/>
      <c r="F288" s="3"/>
      <c r="G288" s="3"/>
      <c r="H288" s="3"/>
      <c r="I288" s="3"/>
      <c r="J288" s="3"/>
      <c r="K288" s="3"/>
      <c r="L288" s="25" t="s">
        <v>428</v>
      </c>
      <c r="M288" s="27">
        <v>1</v>
      </c>
      <c r="N288" s="3"/>
      <c r="O288" s="3"/>
      <c r="P288" s="3"/>
      <c r="Q288" s="3"/>
      <c r="R288" s="3"/>
      <c r="S288" s="3"/>
      <c r="T288" s="3">
        <f t="shared" si="31"/>
        <v>0</v>
      </c>
      <c r="U288" s="3" t="str">
        <f t="shared" si="32"/>
        <v>OK</v>
      </c>
      <c r="V288" s="21">
        <f t="shared" si="33"/>
        <v>0</v>
      </c>
      <c r="W288" s="3" t="str">
        <f t="shared" si="34"/>
        <v>OK</v>
      </c>
      <c r="X288" s="3" t="s">
        <v>647</v>
      </c>
      <c r="Y288" s="3" t="s">
        <v>29</v>
      </c>
      <c r="Z288" s="3" t="s">
        <v>476</v>
      </c>
    </row>
    <row r="289" spans="1:26" x14ac:dyDescent="0.2">
      <c r="A289" s="3" t="str">
        <f t="shared" si="28"/>
        <v>TRIP-T-320</v>
      </c>
      <c r="B289" s="2">
        <v>45879</v>
      </c>
      <c r="C289" s="3"/>
      <c r="D289" s="3"/>
      <c r="E289" s="3"/>
      <c r="F289" s="3"/>
      <c r="G289" s="3"/>
      <c r="H289" s="3"/>
      <c r="I289" s="3"/>
      <c r="J289" s="3"/>
      <c r="K289" s="3"/>
      <c r="L289" s="25" t="s">
        <v>428</v>
      </c>
      <c r="M289" s="27">
        <v>2</v>
      </c>
      <c r="N289" s="3"/>
      <c r="O289" s="3"/>
      <c r="P289" s="3"/>
      <c r="Q289" s="3"/>
      <c r="R289" s="3"/>
      <c r="S289" s="3"/>
      <c r="T289" s="3">
        <f t="shared" si="31"/>
        <v>0</v>
      </c>
      <c r="U289" s="3" t="str">
        <f t="shared" si="32"/>
        <v>OK</v>
      </c>
      <c r="V289" s="21">
        <f t="shared" si="33"/>
        <v>0</v>
      </c>
      <c r="W289" s="3" t="str">
        <f t="shared" si="34"/>
        <v>OK</v>
      </c>
      <c r="X289" s="3" t="s">
        <v>647</v>
      </c>
      <c r="Y289" s="3" t="s">
        <v>29</v>
      </c>
      <c r="Z289" s="3" t="s">
        <v>476</v>
      </c>
    </row>
    <row r="290" spans="1:26" x14ac:dyDescent="0.2">
      <c r="A290" s="3" t="str">
        <f t="shared" si="28"/>
        <v>TRIP-T-321</v>
      </c>
      <c r="B290" s="2">
        <v>45879</v>
      </c>
      <c r="C290" s="3"/>
      <c r="D290" s="3"/>
      <c r="E290" s="3"/>
      <c r="F290" s="3"/>
      <c r="G290" s="3"/>
      <c r="H290" s="3"/>
      <c r="I290" s="3"/>
      <c r="J290" s="3"/>
      <c r="K290" s="3"/>
      <c r="L290" s="25" t="s">
        <v>428</v>
      </c>
      <c r="M290" s="27">
        <v>7</v>
      </c>
      <c r="N290" s="3"/>
      <c r="O290" s="3"/>
      <c r="P290" s="3"/>
      <c r="Q290" s="3"/>
      <c r="R290" s="3"/>
      <c r="S290" s="3"/>
      <c r="T290" s="3">
        <f t="shared" si="31"/>
        <v>0</v>
      </c>
      <c r="U290" s="3" t="str">
        <f t="shared" si="32"/>
        <v>OK</v>
      </c>
      <c r="V290" s="21">
        <f t="shared" si="33"/>
        <v>0</v>
      </c>
      <c r="W290" s="3" t="str">
        <f t="shared" si="34"/>
        <v>OK</v>
      </c>
      <c r="X290" s="3" t="s">
        <v>647</v>
      </c>
      <c r="Y290" s="3" t="s">
        <v>29</v>
      </c>
      <c r="Z290" s="3" t="s">
        <v>476</v>
      </c>
    </row>
    <row r="291" spans="1:26" x14ac:dyDescent="0.2">
      <c r="A291" s="3" t="str">
        <f t="shared" si="28"/>
        <v>TRIP-T-322</v>
      </c>
      <c r="B291" s="2">
        <v>45879</v>
      </c>
      <c r="C291" s="3"/>
      <c r="D291" s="3"/>
      <c r="E291" s="3"/>
      <c r="F291" s="3"/>
      <c r="G291" s="3"/>
      <c r="H291" s="3"/>
      <c r="I291" s="3"/>
      <c r="J291" s="3"/>
      <c r="K291" s="3"/>
      <c r="L291" s="25" t="s">
        <v>428</v>
      </c>
      <c r="M291" s="27">
        <v>14</v>
      </c>
      <c r="N291" s="3"/>
      <c r="O291" s="3"/>
      <c r="P291" s="3"/>
      <c r="Q291" s="3"/>
      <c r="R291" s="3"/>
      <c r="S291" s="3"/>
      <c r="T291" s="3">
        <f t="shared" si="31"/>
        <v>0</v>
      </c>
      <c r="U291" s="3" t="str">
        <f t="shared" si="32"/>
        <v>OK</v>
      </c>
      <c r="V291" s="21">
        <f t="shared" si="33"/>
        <v>0</v>
      </c>
      <c r="W291" s="3" t="str">
        <f t="shared" si="34"/>
        <v>OK</v>
      </c>
      <c r="X291" s="3" t="s">
        <v>647</v>
      </c>
      <c r="Y291" s="3" t="s">
        <v>29</v>
      </c>
      <c r="Z291" s="3" t="s">
        <v>476</v>
      </c>
    </row>
    <row r="292" spans="1:26" x14ac:dyDescent="0.2">
      <c r="A292" s="3" t="str">
        <f t="shared" si="28"/>
        <v>TRIP-T-323</v>
      </c>
      <c r="B292" s="2">
        <v>45880</v>
      </c>
      <c r="C292" s="3"/>
      <c r="D292" s="3"/>
      <c r="E292" s="3"/>
      <c r="F292" s="3"/>
      <c r="G292" s="3"/>
      <c r="H292" s="3"/>
      <c r="I292" s="3"/>
      <c r="J292" s="3"/>
      <c r="K292" s="3"/>
      <c r="L292" s="25" t="s">
        <v>428</v>
      </c>
      <c r="M292" s="27">
        <v>7</v>
      </c>
      <c r="N292" s="3"/>
      <c r="O292" s="3"/>
      <c r="P292" s="3"/>
      <c r="Q292" s="3"/>
      <c r="R292" s="3"/>
      <c r="S292" s="3"/>
      <c r="T292" s="3">
        <f t="shared" si="31"/>
        <v>0</v>
      </c>
      <c r="U292" s="3" t="str">
        <f t="shared" si="32"/>
        <v>OK</v>
      </c>
      <c r="V292" s="21">
        <f t="shared" si="33"/>
        <v>0</v>
      </c>
      <c r="W292" s="3" t="str">
        <f t="shared" si="34"/>
        <v>OK</v>
      </c>
      <c r="X292" s="3" t="s">
        <v>647</v>
      </c>
      <c r="Y292" s="3" t="s">
        <v>29</v>
      </c>
      <c r="Z292" s="3" t="s">
        <v>476</v>
      </c>
    </row>
    <row r="293" spans="1:26" x14ac:dyDescent="0.2">
      <c r="A293" s="3" t="str">
        <f t="shared" si="28"/>
        <v>TRIP-T-324</v>
      </c>
      <c r="B293" s="2">
        <v>45880</v>
      </c>
      <c r="C293" s="3"/>
      <c r="D293" s="3"/>
      <c r="E293" s="3"/>
      <c r="F293" s="3"/>
      <c r="G293" s="3"/>
      <c r="H293" s="3"/>
      <c r="I293" s="3"/>
      <c r="J293" s="3"/>
      <c r="K293" s="3"/>
      <c r="L293" s="25" t="s">
        <v>428</v>
      </c>
      <c r="M293" s="27">
        <v>22</v>
      </c>
      <c r="N293" s="3"/>
      <c r="O293" s="3"/>
      <c r="P293" s="3"/>
      <c r="Q293" s="3"/>
      <c r="R293" s="3"/>
      <c r="S293" s="3"/>
      <c r="T293" s="3">
        <f t="shared" si="31"/>
        <v>0</v>
      </c>
      <c r="U293" s="3" t="str">
        <f t="shared" si="32"/>
        <v>OK</v>
      </c>
      <c r="V293" s="21">
        <f t="shared" si="33"/>
        <v>0</v>
      </c>
      <c r="W293" s="3" t="str">
        <f t="shared" si="34"/>
        <v>OK</v>
      </c>
      <c r="X293" s="3" t="s">
        <v>647</v>
      </c>
      <c r="Y293" s="3" t="s">
        <v>29</v>
      </c>
      <c r="Z293" s="3" t="s">
        <v>476</v>
      </c>
    </row>
    <row r="294" spans="1:26" x14ac:dyDescent="0.2">
      <c r="A294" s="3" t="str">
        <f t="shared" si="28"/>
        <v>TRIP-T-325</v>
      </c>
      <c r="B294" s="2">
        <v>45880</v>
      </c>
      <c r="C294" s="3"/>
      <c r="D294" s="3"/>
      <c r="E294" s="3"/>
      <c r="F294" s="3"/>
      <c r="G294" s="3"/>
      <c r="H294" s="3"/>
      <c r="I294" s="3"/>
      <c r="J294" s="3"/>
      <c r="K294" s="3"/>
      <c r="L294" s="25" t="s">
        <v>428</v>
      </c>
      <c r="M294" s="27">
        <v>10</v>
      </c>
      <c r="N294" s="3"/>
      <c r="O294" s="3"/>
      <c r="P294" s="3"/>
      <c r="Q294" s="3"/>
      <c r="R294" s="3"/>
      <c r="S294" s="3"/>
      <c r="T294" s="3">
        <f t="shared" si="31"/>
        <v>0</v>
      </c>
      <c r="U294" s="3" t="str">
        <f t="shared" si="32"/>
        <v>OK</v>
      </c>
      <c r="V294" s="21">
        <f t="shared" si="33"/>
        <v>0</v>
      </c>
      <c r="W294" s="3" t="str">
        <f t="shared" si="34"/>
        <v>OK</v>
      </c>
      <c r="X294" s="3" t="s">
        <v>647</v>
      </c>
      <c r="Y294" s="3" t="s">
        <v>29</v>
      </c>
      <c r="Z294" s="3" t="s">
        <v>476</v>
      </c>
    </row>
    <row r="295" spans="1:26" x14ac:dyDescent="0.2">
      <c r="A295" s="3" t="str">
        <f t="shared" si="28"/>
        <v>TRIP-T-326</v>
      </c>
      <c r="B295" s="2">
        <v>45880</v>
      </c>
      <c r="C295" s="3"/>
      <c r="D295" s="3"/>
      <c r="E295" s="3"/>
      <c r="F295" s="3"/>
      <c r="G295" s="3"/>
      <c r="H295" s="3"/>
      <c r="I295" s="3"/>
      <c r="J295" s="3"/>
      <c r="K295" s="3"/>
      <c r="L295" s="25" t="s">
        <v>428</v>
      </c>
      <c r="M295" s="27">
        <v>21</v>
      </c>
      <c r="N295" s="3"/>
      <c r="O295" s="3"/>
      <c r="P295" s="3"/>
      <c r="Q295" s="3"/>
      <c r="R295" s="3"/>
      <c r="S295" s="3"/>
      <c r="T295" s="3">
        <f t="shared" si="31"/>
        <v>0</v>
      </c>
      <c r="U295" s="3" t="str">
        <f t="shared" si="32"/>
        <v>OK</v>
      </c>
      <c r="V295" s="21">
        <f t="shared" si="33"/>
        <v>0</v>
      </c>
      <c r="W295" s="3" t="str">
        <f t="shared" si="34"/>
        <v>OK</v>
      </c>
      <c r="X295" s="3" t="s">
        <v>647</v>
      </c>
      <c r="Y295" s="3" t="s">
        <v>29</v>
      </c>
      <c r="Z295" s="3" t="s">
        <v>476</v>
      </c>
    </row>
    <row r="296" spans="1:26" x14ac:dyDescent="0.2">
      <c r="A296" s="3" t="str">
        <f t="shared" si="28"/>
        <v>TRIP-T-327</v>
      </c>
      <c r="B296" s="2">
        <v>45881</v>
      </c>
      <c r="C296" s="3"/>
      <c r="D296" s="3"/>
      <c r="E296" s="3"/>
      <c r="F296" s="3"/>
      <c r="G296" s="3"/>
      <c r="H296" s="3"/>
      <c r="I296" s="3"/>
      <c r="J296" s="3"/>
      <c r="K296" s="3"/>
      <c r="L296" s="25" t="s">
        <v>428</v>
      </c>
      <c r="M296" s="29">
        <v>16</v>
      </c>
      <c r="N296" s="3"/>
      <c r="O296" s="3"/>
      <c r="P296" s="3"/>
      <c r="Q296" s="3"/>
      <c r="R296" s="3"/>
      <c r="S296" s="3"/>
      <c r="T296" s="3">
        <f t="shared" si="31"/>
        <v>0</v>
      </c>
      <c r="U296" s="3" t="str">
        <f t="shared" si="32"/>
        <v>OK</v>
      </c>
      <c r="V296" s="21">
        <f t="shared" si="33"/>
        <v>0</v>
      </c>
      <c r="W296" s="3" t="str">
        <f t="shared" si="34"/>
        <v>OK</v>
      </c>
      <c r="X296" s="3" t="s">
        <v>647</v>
      </c>
      <c r="Y296" s="3" t="s">
        <v>29</v>
      </c>
      <c r="Z296" s="3" t="s">
        <v>476</v>
      </c>
    </row>
    <row r="297" spans="1:26" x14ac:dyDescent="0.2">
      <c r="A297" s="3" t="str">
        <f t="shared" si="28"/>
        <v>TRIP-T-328</v>
      </c>
      <c r="B297" s="2">
        <v>45881</v>
      </c>
      <c r="C297" s="3"/>
      <c r="D297" s="3"/>
      <c r="E297" s="3"/>
      <c r="F297" s="3"/>
      <c r="G297" s="3"/>
      <c r="H297" s="3"/>
      <c r="I297" s="3"/>
      <c r="J297" s="3"/>
      <c r="K297" s="3"/>
      <c r="L297" s="25" t="s">
        <v>428</v>
      </c>
      <c r="M297" s="29">
        <v>15</v>
      </c>
      <c r="N297" s="3"/>
      <c r="O297" s="3"/>
      <c r="P297" s="3"/>
      <c r="Q297" s="3"/>
      <c r="R297" s="3"/>
      <c r="S297" s="3"/>
      <c r="T297" s="3">
        <f t="shared" si="31"/>
        <v>0</v>
      </c>
      <c r="U297" s="3" t="str">
        <f t="shared" si="32"/>
        <v>OK</v>
      </c>
      <c r="V297" s="21">
        <f t="shared" si="33"/>
        <v>0</v>
      </c>
      <c r="W297" s="3" t="str">
        <f t="shared" si="34"/>
        <v>OK</v>
      </c>
      <c r="X297" s="3" t="s">
        <v>647</v>
      </c>
      <c r="Y297" s="3" t="s">
        <v>29</v>
      </c>
      <c r="Z297" s="3" t="s">
        <v>476</v>
      </c>
    </row>
    <row r="298" spans="1:26" x14ac:dyDescent="0.2">
      <c r="A298" s="3" t="str">
        <f t="shared" si="28"/>
        <v>TRIP-T-329</v>
      </c>
      <c r="B298" s="2">
        <v>45881</v>
      </c>
      <c r="C298" s="3"/>
      <c r="D298" s="3"/>
      <c r="E298" s="3"/>
      <c r="F298" s="3"/>
      <c r="G298" s="3"/>
      <c r="H298" s="3"/>
      <c r="I298" s="3"/>
      <c r="J298" s="3"/>
      <c r="K298" s="3"/>
      <c r="L298" s="25" t="s">
        <v>428</v>
      </c>
      <c r="M298" s="27">
        <v>18</v>
      </c>
      <c r="N298" s="3"/>
      <c r="O298" s="3"/>
      <c r="P298" s="3"/>
      <c r="Q298" s="3"/>
      <c r="R298" s="3"/>
      <c r="S298" s="3"/>
      <c r="T298" s="3">
        <f t="shared" si="31"/>
        <v>0</v>
      </c>
      <c r="U298" s="3" t="str">
        <f t="shared" si="32"/>
        <v>OK</v>
      </c>
      <c r="V298" s="21">
        <f t="shared" si="33"/>
        <v>0</v>
      </c>
      <c r="W298" s="3" t="str">
        <f t="shared" si="34"/>
        <v>OK</v>
      </c>
      <c r="X298" s="3" t="s">
        <v>647</v>
      </c>
      <c r="Y298" s="3" t="s">
        <v>29</v>
      </c>
      <c r="Z298" s="3" t="s">
        <v>476</v>
      </c>
    </row>
    <row r="299" spans="1:26" x14ac:dyDescent="0.2">
      <c r="A299" s="3" t="str">
        <f t="shared" si="28"/>
        <v>TRIP-T-330</v>
      </c>
      <c r="B299" s="2">
        <v>45886</v>
      </c>
      <c r="C299" s="3"/>
      <c r="D299" s="3"/>
      <c r="E299" s="3"/>
      <c r="F299" s="3"/>
      <c r="G299" s="3"/>
      <c r="H299" s="3"/>
      <c r="I299" s="3"/>
      <c r="J299" s="3"/>
      <c r="K299" s="3"/>
      <c r="L299" s="25" t="s">
        <v>428</v>
      </c>
      <c r="M299" s="29">
        <v>14</v>
      </c>
      <c r="N299" s="3"/>
      <c r="O299" s="3"/>
      <c r="P299" s="3"/>
      <c r="Q299" s="3"/>
      <c r="R299" s="3"/>
      <c r="S299" s="3"/>
      <c r="T299" s="3">
        <f t="shared" si="31"/>
        <v>0</v>
      </c>
      <c r="U299" s="3" t="str">
        <f t="shared" si="32"/>
        <v>OK</v>
      </c>
      <c r="V299" s="21">
        <f t="shared" si="33"/>
        <v>0</v>
      </c>
      <c r="W299" s="3" t="str">
        <f t="shared" si="34"/>
        <v>OK</v>
      </c>
      <c r="X299" s="3" t="s">
        <v>647</v>
      </c>
      <c r="Y299" s="3" t="s">
        <v>29</v>
      </c>
      <c r="Z299" s="3" t="s">
        <v>476</v>
      </c>
    </row>
    <row r="300" spans="1:26" x14ac:dyDescent="0.2">
      <c r="A300" s="3" t="str">
        <f t="shared" si="28"/>
        <v>TRIP-T-331</v>
      </c>
      <c r="B300" s="2">
        <v>45886</v>
      </c>
      <c r="C300" s="3"/>
      <c r="D300" s="3"/>
      <c r="E300" s="3"/>
      <c r="F300" s="3"/>
      <c r="G300" s="3"/>
      <c r="H300" s="3"/>
      <c r="I300" s="3"/>
      <c r="J300" s="3"/>
      <c r="K300" s="3"/>
      <c r="L300" s="25" t="s">
        <v>428</v>
      </c>
      <c r="M300" s="27">
        <v>20</v>
      </c>
      <c r="N300" s="3"/>
      <c r="O300" s="3"/>
      <c r="P300" s="3"/>
      <c r="Q300" s="3"/>
      <c r="R300" s="3"/>
      <c r="S300" s="3"/>
      <c r="T300" s="3">
        <f t="shared" si="31"/>
        <v>0</v>
      </c>
      <c r="U300" s="3" t="str">
        <f t="shared" si="32"/>
        <v>OK</v>
      </c>
      <c r="V300" s="21">
        <f t="shared" si="33"/>
        <v>0</v>
      </c>
      <c r="W300" s="3" t="str">
        <f t="shared" si="34"/>
        <v>OK</v>
      </c>
      <c r="X300" s="3" t="s">
        <v>647</v>
      </c>
      <c r="Y300" s="3" t="s">
        <v>29</v>
      </c>
      <c r="Z300" s="3" t="s">
        <v>476</v>
      </c>
    </row>
    <row r="301" spans="1:26" x14ac:dyDescent="0.2">
      <c r="A301" s="3" t="str">
        <f t="shared" si="28"/>
        <v>TRIP-T-332</v>
      </c>
      <c r="B301" s="2">
        <v>45886</v>
      </c>
      <c r="C301" s="3"/>
      <c r="D301" s="3"/>
      <c r="E301" s="3"/>
      <c r="F301" s="3"/>
      <c r="G301" s="3"/>
      <c r="H301" s="3"/>
      <c r="I301" s="3"/>
      <c r="J301" s="3"/>
      <c r="K301" s="3"/>
      <c r="L301" s="25" t="s">
        <v>428</v>
      </c>
      <c r="M301" s="29">
        <v>23</v>
      </c>
      <c r="N301" s="3"/>
      <c r="O301" s="3"/>
      <c r="P301" s="3"/>
      <c r="Q301" s="3"/>
      <c r="R301" s="3"/>
      <c r="S301" s="3"/>
      <c r="T301" s="3">
        <f t="shared" si="31"/>
        <v>0</v>
      </c>
      <c r="U301" s="3" t="str">
        <f t="shared" si="32"/>
        <v>OK</v>
      </c>
      <c r="V301" s="21">
        <f t="shared" si="33"/>
        <v>0</v>
      </c>
      <c r="W301" s="3" t="str">
        <f t="shared" si="34"/>
        <v>OK</v>
      </c>
      <c r="X301" s="3" t="s">
        <v>647</v>
      </c>
      <c r="Y301" s="3" t="s">
        <v>29</v>
      </c>
      <c r="Z301" s="3" t="s">
        <v>476</v>
      </c>
    </row>
    <row r="302" spans="1:26" x14ac:dyDescent="0.2">
      <c r="A302" s="3" t="str">
        <f t="shared" si="28"/>
        <v>TRIP-T-333</v>
      </c>
      <c r="B302" s="2">
        <v>45889</v>
      </c>
      <c r="C302" s="3"/>
      <c r="D302" s="3"/>
      <c r="E302" s="3"/>
      <c r="F302" s="3"/>
      <c r="G302" s="3"/>
      <c r="H302" s="3"/>
      <c r="I302" s="3"/>
      <c r="J302" s="3"/>
      <c r="K302" s="3"/>
      <c r="L302" s="25" t="s">
        <v>648</v>
      </c>
      <c r="M302" s="29">
        <v>20</v>
      </c>
      <c r="N302" s="3"/>
      <c r="O302" s="3"/>
      <c r="P302" s="3"/>
      <c r="Q302" s="3"/>
      <c r="R302" s="3"/>
      <c r="S302" s="3"/>
      <c r="T302" s="3">
        <f t="shared" si="31"/>
        <v>0</v>
      </c>
      <c r="U302" s="3" t="str">
        <f t="shared" si="32"/>
        <v>OK</v>
      </c>
      <c r="V302" s="21">
        <f t="shared" si="33"/>
        <v>0</v>
      </c>
      <c r="W302" s="3" t="str">
        <f t="shared" si="34"/>
        <v>OK</v>
      </c>
      <c r="X302" s="3" t="s">
        <v>647</v>
      </c>
      <c r="Y302" s="3" t="s">
        <v>29</v>
      </c>
      <c r="Z302" s="3" t="s">
        <v>476</v>
      </c>
    </row>
    <row r="303" spans="1:26" x14ac:dyDescent="0.2">
      <c r="A303" s="3" t="str">
        <f t="shared" si="28"/>
        <v>TRIP-T-334</v>
      </c>
      <c r="B303" s="2">
        <v>45889</v>
      </c>
      <c r="C303" s="3"/>
      <c r="D303" s="3"/>
      <c r="E303" s="3"/>
      <c r="F303" s="3"/>
      <c r="G303" s="3"/>
      <c r="H303" s="3"/>
      <c r="I303" s="3"/>
      <c r="J303" s="3"/>
      <c r="K303" s="3"/>
      <c r="L303" s="25" t="s">
        <v>428</v>
      </c>
      <c r="M303" s="29">
        <v>23</v>
      </c>
      <c r="N303" s="3"/>
      <c r="O303" s="3"/>
      <c r="P303" s="3"/>
      <c r="Q303" s="3"/>
      <c r="R303" s="3"/>
      <c r="S303" s="3"/>
      <c r="T303" s="3">
        <f t="shared" si="31"/>
        <v>0</v>
      </c>
      <c r="U303" s="3" t="str">
        <f t="shared" si="32"/>
        <v>OK</v>
      </c>
      <c r="V303" s="21">
        <f t="shared" si="33"/>
        <v>0</v>
      </c>
      <c r="W303" s="3" t="str">
        <f t="shared" si="34"/>
        <v>OK</v>
      </c>
      <c r="X303" s="3" t="s">
        <v>647</v>
      </c>
      <c r="Y303" s="3" t="s">
        <v>29</v>
      </c>
      <c r="Z303" s="3" t="s">
        <v>476</v>
      </c>
    </row>
    <row r="304" spans="1:26" x14ac:dyDescent="0.2">
      <c r="A304" s="3" t="str">
        <f t="shared" si="28"/>
        <v>TRIP-T-335</v>
      </c>
      <c r="B304" s="2">
        <v>45890</v>
      </c>
      <c r="C304" s="3"/>
      <c r="D304" s="3"/>
      <c r="E304" s="3"/>
      <c r="F304" s="3"/>
      <c r="G304" s="3"/>
      <c r="H304" s="3"/>
      <c r="I304" s="3"/>
      <c r="J304" s="3"/>
      <c r="K304" s="3"/>
      <c r="L304" s="25" t="s">
        <v>428</v>
      </c>
      <c r="M304" s="27">
        <v>21</v>
      </c>
      <c r="N304" s="3"/>
      <c r="O304" s="3"/>
      <c r="P304" s="3"/>
      <c r="Q304" s="3"/>
      <c r="R304" s="3"/>
      <c r="S304" s="3"/>
      <c r="T304" s="3">
        <f t="shared" si="31"/>
        <v>0</v>
      </c>
      <c r="U304" s="3" t="str">
        <f t="shared" si="32"/>
        <v>OK</v>
      </c>
      <c r="V304" s="21">
        <f t="shared" si="33"/>
        <v>0</v>
      </c>
      <c r="W304" s="3" t="str">
        <f t="shared" si="34"/>
        <v>OK</v>
      </c>
      <c r="X304" s="3" t="s">
        <v>647</v>
      </c>
      <c r="Y304" s="3" t="s">
        <v>29</v>
      </c>
      <c r="Z304" s="3" t="s">
        <v>476</v>
      </c>
    </row>
    <row r="305" spans="1:26" x14ac:dyDescent="0.2">
      <c r="A305" s="3" t="str">
        <f t="shared" si="28"/>
        <v>TRIP-T-336</v>
      </c>
      <c r="B305" s="2">
        <v>45891</v>
      </c>
      <c r="C305" s="3"/>
      <c r="D305" s="3"/>
      <c r="E305" s="3"/>
      <c r="F305" s="3"/>
      <c r="G305" s="3"/>
      <c r="H305" s="3"/>
      <c r="I305" s="3"/>
      <c r="J305" s="3"/>
      <c r="K305" s="3"/>
      <c r="L305" s="25" t="s">
        <v>428</v>
      </c>
      <c r="M305" s="27">
        <v>18</v>
      </c>
      <c r="N305" s="3"/>
      <c r="O305" s="3"/>
      <c r="P305" s="3"/>
      <c r="Q305" s="3"/>
      <c r="R305" s="3"/>
      <c r="S305" s="3"/>
      <c r="T305" s="3">
        <f t="shared" si="31"/>
        <v>0</v>
      </c>
      <c r="U305" s="3" t="str">
        <f t="shared" si="32"/>
        <v>OK</v>
      </c>
      <c r="V305" s="21">
        <f t="shared" si="33"/>
        <v>0</v>
      </c>
      <c r="W305" s="3" t="str">
        <f t="shared" si="34"/>
        <v>OK</v>
      </c>
      <c r="X305" s="3" t="s">
        <v>647</v>
      </c>
      <c r="Y305" s="3" t="s">
        <v>29</v>
      </c>
      <c r="Z305" s="3" t="s">
        <v>476</v>
      </c>
    </row>
    <row r="306" spans="1:26" x14ac:dyDescent="0.2">
      <c r="A306" s="3" t="str">
        <f t="shared" si="28"/>
        <v>TRIP-T-337</v>
      </c>
      <c r="B306" s="2">
        <v>45891</v>
      </c>
      <c r="C306" s="3"/>
      <c r="D306" s="3"/>
      <c r="E306" s="3"/>
      <c r="F306" s="3"/>
      <c r="G306" s="3"/>
      <c r="H306" s="3"/>
      <c r="I306" s="3"/>
      <c r="J306" s="3"/>
      <c r="K306" s="3"/>
      <c r="L306" s="25" t="s">
        <v>428</v>
      </c>
      <c r="M306" s="27">
        <v>19</v>
      </c>
      <c r="N306" s="3"/>
      <c r="O306" s="3"/>
      <c r="P306" s="3"/>
      <c r="Q306" s="3"/>
      <c r="R306" s="3"/>
      <c r="S306" s="3"/>
      <c r="T306" s="3">
        <f t="shared" si="31"/>
        <v>0</v>
      </c>
      <c r="U306" s="3" t="str">
        <f t="shared" si="32"/>
        <v>OK</v>
      </c>
      <c r="V306" s="21">
        <f t="shared" si="33"/>
        <v>0</v>
      </c>
      <c r="W306" s="3" t="str">
        <f t="shared" si="34"/>
        <v>OK</v>
      </c>
      <c r="X306" s="3" t="s">
        <v>647</v>
      </c>
      <c r="Y306" s="3" t="s">
        <v>29</v>
      </c>
      <c r="Z306" s="3" t="s">
        <v>476</v>
      </c>
    </row>
    <row r="307" spans="1:26" x14ac:dyDescent="0.2">
      <c r="A307" s="3" t="str">
        <f t="shared" si="28"/>
        <v>TRIP-T-338</v>
      </c>
      <c r="B307" s="2">
        <v>45891</v>
      </c>
      <c r="C307" s="3"/>
      <c r="D307" s="3"/>
      <c r="E307" s="3"/>
      <c r="F307" s="3"/>
      <c r="G307" s="3"/>
      <c r="H307" s="3"/>
      <c r="I307" s="3"/>
      <c r="J307" s="3"/>
      <c r="K307" s="3"/>
      <c r="L307" s="25" t="s">
        <v>428</v>
      </c>
      <c r="M307" s="27">
        <v>15</v>
      </c>
      <c r="N307" s="3"/>
      <c r="O307" s="3"/>
      <c r="P307" s="3"/>
      <c r="Q307" s="3"/>
      <c r="R307" s="3"/>
      <c r="S307" s="3"/>
      <c r="T307" s="3">
        <f t="shared" si="31"/>
        <v>0</v>
      </c>
      <c r="U307" s="3" t="str">
        <f t="shared" si="32"/>
        <v>OK</v>
      </c>
      <c r="V307" s="21">
        <f t="shared" si="33"/>
        <v>0</v>
      </c>
      <c r="W307" s="3" t="str">
        <f t="shared" si="34"/>
        <v>OK</v>
      </c>
      <c r="X307" s="3" t="s">
        <v>647</v>
      </c>
      <c r="Y307" s="3" t="s">
        <v>29</v>
      </c>
      <c r="Z307" s="3" t="s">
        <v>476</v>
      </c>
    </row>
    <row r="308" spans="1:26" x14ac:dyDescent="0.2">
      <c r="A308" s="3" t="str">
        <f t="shared" si="28"/>
        <v>TRIP-T-339</v>
      </c>
      <c r="B308" s="2">
        <v>45892</v>
      </c>
      <c r="C308" s="3"/>
      <c r="D308" s="3"/>
      <c r="E308" s="3"/>
      <c r="F308" s="3"/>
      <c r="G308" s="3"/>
      <c r="H308" s="3"/>
      <c r="I308" s="3"/>
      <c r="J308" s="3"/>
      <c r="K308" s="3"/>
      <c r="L308" s="25" t="s">
        <v>648</v>
      </c>
      <c r="M308" s="27">
        <v>23</v>
      </c>
      <c r="N308" s="3"/>
      <c r="O308" s="3"/>
      <c r="P308" s="3"/>
      <c r="Q308" s="3"/>
      <c r="R308" s="3"/>
      <c r="S308" s="3"/>
      <c r="T308" s="3">
        <f t="shared" si="31"/>
        <v>0</v>
      </c>
      <c r="U308" s="3" t="str">
        <f t="shared" si="32"/>
        <v>OK</v>
      </c>
      <c r="V308" s="21">
        <f t="shared" si="33"/>
        <v>0</v>
      </c>
      <c r="W308" s="3" t="str">
        <f t="shared" si="34"/>
        <v>OK</v>
      </c>
      <c r="X308" s="3" t="s">
        <v>647</v>
      </c>
      <c r="Y308" s="3" t="s">
        <v>29</v>
      </c>
      <c r="Z308" s="3" t="s">
        <v>476</v>
      </c>
    </row>
    <row r="309" spans="1:26" x14ac:dyDescent="0.2">
      <c r="A309" s="3" t="str">
        <f t="shared" si="28"/>
        <v>TRIP-T-340</v>
      </c>
      <c r="B309" s="2">
        <v>45894</v>
      </c>
      <c r="C309" s="3"/>
      <c r="D309" s="3"/>
      <c r="E309" s="3"/>
      <c r="F309" s="3"/>
      <c r="G309" s="3"/>
      <c r="H309" s="3"/>
      <c r="I309" s="3"/>
      <c r="J309" s="3"/>
      <c r="K309" s="3"/>
      <c r="L309" s="25" t="s">
        <v>428</v>
      </c>
      <c r="M309" s="27">
        <v>21</v>
      </c>
      <c r="N309" s="3"/>
      <c r="O309" s="3"/>
      <c r="P309" s="3"/>
      <c r="Q309" s="3"/>
      <c r="R309" s="3"/>
      <c r="S309" s="3"/>
      <c r="T309" s="3">
        <f t="shared" si="31"/>
        <v>0</v>
      </c>
      <c r="U309" s="3" t="str">
        <f t="shared" si="32"/>
        <v>OK</v>
      </c>
      <c r="V309" s="21">
        <f t="shared" si="33"/>
        <v>0</v>
      </c>
      <c r="W309" s="3" t="str">
        <f t="shared" si="34"/>
        <v>OK</v>
      </c>
      <c r="X309" s="3" t="s">
        <v>647</v>
      </c>
      <c r="Y309" s="3" t="s">
        <v>29</v>
      </c>
      <c r="Z309" s="3" t="s">
        <v>476</v>
      </c>
    </row>
    <row r="310" spans="1:26" x14ac:dyDescent="0.2">
      <c r="A310" s="3" t="str">
        <f t="shared" si="28"/>
        <v>TRIP-T-341</v>
      </c>
      <c r="B310" s="2">
        <v>45894</v>
      </c>
      <c r="C310" s="3"/>
      <c r="D310" s="3"/>
      <c r="E310" s="3"/>
      <c r="F310" s="3"/>
      <c r="G310" s="3"/>
      <c r="H310" s="3"/>
      <c r="I310" s="3"/>
      <c r="J310" s="3"/>
      <c r="K310" s="3"/>
      <c r="L310" s="25" t="s">
        <v>428</v>
      </c>
      <c r="M310" s="27">
        <v>12</v>
      </c>
      <c r="N310" s="3"/>
      <c r="O310" s="3"/>
      <c r="P310" s="3"/>
      <c r="Q310" s="3"/>
      <c r="R310" s="3"/>
      <c r="S310" s="3"/>
      <c r="T310" s="3">
        <f t="shared" si="31"/>
        <v>0</v>
      </c>
      <c r="U310" s="3" t="str">
        <f t="shared" si="32"/>
        <v>OK</v>
      </c>
      <c r="V310" s="21">
        <f t="shared" si="33"/>
        <v>0</v>
      </c>
      <c r="W310" s="3" t="str">
        <f t="shared" si="34"/>
        <v>OK</v>
      </c>
      <c r="X310" s="3" t="s">
        <v>647</v>
      </c>
      <c r="Y310" s="3" t="s">
        <v>29</v>
      </c>
      <c r="Z310" s="3" t="s">
        <v>476</v>
      </c>
    </row>
    <row r="311" spans="1:26" x14ac:dyDescent="0.2">
      <c r="A311" s="3" t="str">
        <f t="shared" si="28"/>
        <v>TRIP-T-342</v>
      </c>
      <c r="B311" s="2">
        <v>45894</v>
      </c>
      <c r="C311" s="3"/>
      <c r="D311" s="3"/>
      <c r="E311" s="3"/>
      <c r="F311" s="3"/>
      <c r="G311" s="3"/>
      <c r="H311" s="3"/>
      <c r="I311" s="3"/>
      <c r="J311" s="3"/>
      <c r="K311" s="3"/>
      <c r="L311" s="25" t="s">
        <v>428</v>
      </c>
      <c r="M311" s="27">
        <v>16</v>
      </c>
      <c r="N311" s="3"/>
      <c r="O311" s="3"/>
      <c r="P311" s="3"/>
      <c r="Q311" s="3"/>
      <c r="R311" s="3"/>
      <c r="S311" s="3"/>
      <c r="T311" s="3">
        <f t="shared" si="31"/>
        <v>0</v>
      </c>
      <c r="U311" s="3" t="str">
        <f t="shared" si="32"/>
        <v>OK</v>
      </c>
      <c r="V311" s="21">
        <f t="shared" si="33"/>
        <v>0</v>
      </c>
      <c r="W311" s="3" t="str">
        <f t="shared" si="34"/>
        <v>OK</v>
      </c>
      <c r="X311" s="3" t="s">
        <v>647</v>
      </c>
      <c r="Y311" s="3" t="s">
        <v>29</v>
      </c>
      <c r="Z311" s="3" t="s">
        <v>476</v>
      </c>
    </row>
    <row r="312" spans="1:26" x14ac:dyDescent="0.2">
      <c r="A312" s="3" t="str">
        <f t="shared" si="28"/>
        <v>TRIP-T-343</v>
      </c>
      <c r="B312" s="2">
        <v>45894</v>
      </c>
      <c r="C312" s="3"/>
      <c r="D312" s="3"/>
      <c r="E312" s="3"/>
      <c r="F312" s="3"/>
      <c r="G312" s="3"/>
      <c r="H312" s="3"/>
      <c r="I312" s="3"/>
      <c r="J312" s="3"/>
      <c r="K312" s="3"/>
      <c r="L312" s="25" t="s">
        <v>648</v>
      </c>
      <c r="M312" s="27">
        <v>15</v>
      </c>
      <c r="N312" s="3"/>
      <c r="O312" s="3"/>
      <c r="P312" s="3"/>
      <c r="Q312" s="3"/>
      <c r="R312" s="3"/>
      <c r="S312" s="3"/>
      <c r="T312" s="3">
        <f t="shared" si="31"/>
        <v>0</v>
      </c>
      <c r="U312" s="3" t="str">
        <f t="shared" si="32"/>
        <v>OK</v>
      </c>
      <c r="V312" s="21">
        <f t="shared" si="33"/>
        <v>0</v>
      </c>
      <c r="W312" s="3" t="str">
        <f t="shared" si="34"/>
        <v>OK</v>
      </c>
      <c r="X312" s="3" t="s">
        <v>647</v>
      </c>
      <c r="Y312" s="3" t="s">
        <v>29</v>
      </c>
      <c r="Z312" s="3" t="s">
        <v>476</v>
      </c>
    </row>
    <row r="313" spans="1:26" x14ac:dyDescent="0.2">
      <c r="A313" s="3" t="str">
        <f t="shared" si="28"/>
        <v>TRIP-T-344</v>
      </c>
      <c r="B313" s="2">
        <v>45895</v>
      </c>
      <c r="C313" s="3"/>
      <c r="D313" s="3"/>
      <c r="E313" s="3"/>
      <c r="F313" s="3"/>
      <c r="G313" s="3"/>
      <c r="H313" s="3"/>
      <c r="I313" s="3"/>
      <c r="J313" s="3"/>
      <c r="K313" s="3"/>
      <c r="L313" s="25" t="s">
        <v>428</v>
      </c>
      <c r="M313" s="27">
        <v>18</v>
      </c>
      <c r="N313" s="3"/>
      <c r="O313" s="3"/>
      <c r="P313" s="3"/>
      <c r="Q313" s="3"/>
      <c r="R313" s="3"/>
      <c r="S313" s="3"/>
      <c r="T313" s="3">
        <f t="shared" si="31"/>
        <v>0</v>
      </c>
      <c r="U313" s="3" t="str">
        <f t="shared" si="32"/>
        <v>OK</v>
      </c>
      <c r="V313" s="21">
        <f t="shared" si="33"/>
        <v>0</v>
      </c>
      <c r="W313" s="3" t="str">
        <f t="shared" si="34"/>
        <v>OK</v>
      </c>
      <c r="X313" s="3" t="s">
        <v>647</v>
      </c>
      <c r="Y313" s="3" t="s">
        <v>29</v>
      </c>
      <c r="Z313" s="3" t="s">
        <v>476</v>
      </c>
    </row>
    <row r="314" spans="1:26" x14ac:dyDescent="0.2">
      <c r="A314" s="3" t="str">
        <f t="shared" si="28"/>
        <v>TRIP-T-345</v>
      </c>
      <c r="B314" s="2">
        <v>45896</v>
      </c>
      <c r="C314" s="3"/>
      <c r="D314" s="3"/>
      <c r="E314" s="3"/>
      <c r="F314" s="3"/>
      <c r="G314" s="3"/>
      <c r="H314" s="3"/>
      <c r="I314" s="3"/>
      <c r="J314" s="3"/>
      <c r="K314" s="3"/>
      <c r="L314" s="25" t="s">
        <v>428</v>
      </c>
      <c r="M314" s="27">
        <v>17</v>
      </c>
      <c r="N314" s="3"/>
      <c r="O314" s="3"/>
      <c r="P314" s="3"/>
      <c r="Q314" s="3"/>
      <c r="R314" s="3"/>
      <c r="S314" s="3"/>
      <c r="T314" s="3">
        <f t="shared" si="31"/>
        <v>0</v>
      </c>
      <c r="U314" s="3" t="str">
        <f t="shared" si="32"/>
        <v>OK</v>
      </c>
      <c r="V314" s="21">
        <f t="shared" si="33"/>
        <v>0</v>
      </c>
      <c r="W314" s="3" t="str">
        <f t="shared" si="34"/>
        <v>OK</v>
      </c>
      <c r="X314" s="3" t="s">
        <v>647</v>
      </c>
      <c r="Y314" s="3" t="s">
        <v>29</v>
      </c>
      <c r="Z314" s="3" t="s">
        <v>476</v>
      </c>
    </row>
    <row r="315" spans="1:26" x14ac:dyDescent="0.2">
      <c r="A315" s="3" t="str">
        <f t="shared" si="28"/>
        <v>TRIP-T-346</v>
      </c>
      <c r="B315" s="2">
        <v>45900</v>
      </c>
      <c r="C315" s="3"/>
      <c r="D315" s="3"/>
      <c r="E315" s="3"/>
      <c r="F315" s="3"/>
      <c r="G315" s="3"/>
      <c r="H315" s="3"/>
      <c r="I315" s="3"/>
      <c r="J315" s="3"/>
      <c r="K315" s="3"/>
      <c r="L315" s="25" t="s">
        <v>428</v>
      </c>
      <c r="M315" s="27">
        <v>22</v>
      </c>
      <c r="N315" s="3"/>
      <c r="O315" s="3"/>
      <c r="P315" s="3"/>
      <c r="Q315" s="3"/>
      <c r="R315" s="3"/>
      <c r="S315" s="3"/>
      <c r="T315" s="3">
        <f t="shared" si="31"/>
        <v>0</v>
      </c>
      <c r="U315" s="3" t="str">
        <f t="shared" si="32"/>
        <v>OK</v>
      </c>
      <c r="V315" s="21">
        <f t="shared" si="33"/>
        <v>0</v>
      </c>
      <c r="W315" s="3" t="str">
        <f t="shared" si="34"/>
        <v>OK</v>
      </c>
      <c r="X315" s="3" t="s">
        <v>647</v>
      </c>
      <c r="Y315" s="3" t="s">
        <v>29</v>
      </c>
      <c r="Z315" s="3" t="s">
        <v>476</v>
      </c>
    </row>
    <row r="316" spans="1:26" x14ac:dyDescent="0.2">
      <c r="A316" s="3" t="str">
        <f t="shared" si="28"/>
        <v>TRIP-T-347</v>
      </c>
      <c r="B316" s="2">
        <v>45900</v>
      </c>
      <c r="C316" s="3"/>
      <c r="D316" s="3"/>
      <c r="E316" s="3"/>
      <c r="F316" s="3"/>
      <c r="G316" s="3"/>
      <c r="H316" s="3"/>
      <c r="I316" s="3"/>
      <c r="J316" s="3"/>
      <c r="K316" s="3"/>
      <c r="L316" s="25" t="s">
        <v>428</v>
      </c>
      <c r="M316" s="27">
        <v>15</v>
      </c>
      <c r="N316" s="3"/>
      <c r="O316" s="3"/>
      <c r="P316" s="3"/>
      <c r="Q316" s="3"/>
      <c r="R316" s="3"/>
      <c r="S316" s="3"/>
      <c r="T316" s="3">
        <f t="shared" si="31"/>
        <v>0</v>
      </c>
      <c r="U316" s="3" t="str">
        <f t="shared" si="32"/>
        <v>OK</v>
      </c>
      <c r="V316" s="21">
        <f t="shared" si="33"/>
        <v>0</v>
      </c>
      <c r="W316" s="3" t="str">
        <f t="shared" si="34"/>
        <v>OK</v>
      </c>
      <c r="X316" s="3" t="s">
        <v>647</v>
      </c>
      <c r="Y316" s="3" t="s">
        <v>29</v>
      </c>
      <c r="Z316" s="3" t="s">
        <v>476</v>
      </c>
    </row>
    <row r="317" spans="1:26" x14ac:dyDescent="0.2">
      <c r="A317" s="3" t="str">
        <f t="shared" si="28"/>
        <v>TRIP-T-348</v>
      </c>
      <c r="B317" s="2">
        <v>45901</v>
      </c>
      <c r="C317" s="3"/>
      <c r="D317" s="3"/>
      <c r="E317" s="3"/>
      <c r="F317" s="3"/>
      <c r="G317" s="3"/>
      <c r="H317" s="3"/>
      <c r="I317" s="3"/>
      <c r="J317" s="3"/>
      <c r="K317" s="3"/>
      <c r="L317" s="25" t="s">
        <v>428</v>
      </c>
      <c r="M317" s="27">
        <v>17</v>
      </c>
      <c r="N317" s="3"/>
      <c r="O317" s="3"/>
      <c r="P317" s="3"/>
      <c r="Q317" s="3"/>
      <c r="R317" s="3"/>
      <c r="S317" s="3"/>
      <c r="T317" s="3">
        <f t="shared" si="31"/>
        <v>0</v>
      </c>
      <c r="U317" s="3" t="str">
        <f t="shared" si="32"/>
        <v>OK</v>
      </c>
      <c r="V317" s="21">
        <f t="shared" si="33"/>
        <v>0</v>
      </c>
      <c r="W317" s="3" t="str">
        <f t="shared" si="34"/>
        <v>OK</v>
      </c>
      <c r="X317" s="3" t="s">
        <v>647</v>
      </c>
      <c r="Y317" s="3" t="s">
        <v>29</v>
      </c>
      <c r="Z317" s="3" t="s">
        <v>476</v>
      </c>
    </row>
    <row r="318" spans="1:26" x14ac:dyDescent="0.2">
      <c r="A318" s="3" t="str">
        <f t="shared" si="28"/>
        <v>TRIP-T-349</v>
      </c>
      <c r="B318" s="2">
        <v>45908</v>
      </c>
      <c r="C318" s="3"/>
      <c r="D318" s="3"/>
      <c r="E318" s="3"/>
      <c r="F318" s="3"/>
      <c r="G318" s="3"/>
      <c r="H318" s="3"/>
      <c r="I318" s="3"/>
      <c r="J318" s="3"/>
      <c r="K318" s="3"/>
      <c r="L318" s="25" t="s">
        <v>428</v>
      </c>
      <c r="M318" s="27">
        <v>20</v>
      </c>
      <c r="N318" s="3"/>
      <c r="O318" s="3"/>
      <c r="P318" s="3"/>
      <c r="Q318" s="3"/>
      <c r="R318" s="3"/>
      <c r="S318" s="3"/>
      <c r="T318" s="3">
        <f t="shared" si="31"/>
        <v>0</v>
      </c>
      <c r="U318" s="3" t="str">
        <f t="shared" si="32"/>
        <v>OK</v>
      </c>
      <c r="V318" s="21">
        <f t="shared" si="33"/>
        <v>0</v>
      </c>
      <c r="W318" s="3" t="str">
        <f t="shared" si="34"/>
        <v>OK</v>
      </c>
      <c r="X318" s="3" t="s">
        <v>647</v>
      </c>
      <c r="Y318" s="3" t="s">
        <v>29</v>
      </c>
      <c r="Z318" s="3" t="s">
        <v>476</v>
      </c>
    </row>
    <row r="319" spans="1:26" x14ac:dyDescent="0.2">
      <c r="A319" s="3" t="str">
        <f t="shared" si="28"/>
        <v>TRIP-T-350</v>
      </c>
      <c r="B319" s="2">
        <v>45908</v>
      </c>
      <c r="C319" s="3"/>
      <c r="D319" s="3"/>
      <c r="E319" s="3"/>
      <c r="F319" s="3"/>
      <c r="G319" s="3"/>
      <c r="H319" s="3"/>
      <c r="I319" s="3"/>
      <c r="J319" s="3"/>
      <c r="K319" s="3"/>
      <c r="L319" s="25" t="s">
        <v>428</v>
      </c>
      <c r="M319" s="27">
        <v>23</v>
      </c>
      <c r="N319" s="3"/>
      <c r="O319" s="3"/>
      <c r="P319" s="3"/>
      <c r="Q319" s="3"/>
      <c r="R319" s="3"/>
      <c r="S319" s="3"/>
      <c r="T319" s="3">
        <f t="shared" si="31"/>
        <v>0</v>
      </c>
      <c r="U319" s="3" t="str">
        <f t="shared" si="32"/>
        <v>OK</v>
      </c>
      <c r="V319" s="21">
        <f t="shared" si="33"/>
        <v>0</v>
      </c>
      <c r="W319" s="3" t="str">
        <f t="shared" si="34"/>
        <v>OK</v>
      </c>
      <c r="X319" s="3" t="s">
        <v>647</v>
      </c>
      <c r="Y319" s="3" t="s">
        <v>29</v>
      </c>
      <c r="Z319" s="3" t="s">
        <v>476</v>
      </c>
    </row>
    <row r="320" spans="1:26" x14ac:dyDescent="0.2">
      <c r="A320" s="3" t="str">
        <f t="shared" si="28"/>
        <v>TRIP-T-351</v>
      </c>
      <c r="B320" s="2">
        <v>45908</v>
      </c>
      <c r="C320" s="3"/>
      <c r="D320" s="3"/>
      <c r="E320" s="3"/>
      <c r="F320" s="3"/>
      <c r="G320" s="3"/>
      <c r="H320" s="3"/>
      <c r="I320" s="3"/>
      <c r="J320" s="3"/>
      <c r="K320" s="3"/>
      <c r="L320" s="25" t="s">
        <v>428</v>
      </c>
      <c r="M320" s="27">
        <v>19</v>
      </c>
      <c r="N320" s="3"/>
      <c r="O320" s="3"/>
      <c r="P320" s="3"/>
      <c r="Q320" s="3"/>
      <c r="R320" s="3"/>
      <c r="S320" s="3"/>
      <c r="T320" s="3">
        <f t="shared" si="31"/>
        <v>0</v>
      </c>
      <c r="U320" s="3" t="str">
        <f t="shared" si="32"/>
        <v>OK</v>
      </c>
      <c r="V320" s="21">
        <f t="shared" si="33"/>
        <v>0</v>
      </c>
      <c r="W320" s="3" t="str">
        <f t="shared" si="34"/>
        <v>OK</v>
      </c>
      <c r="X320" s="3" t="s">
        <v>647</v>
      </c>
      <c r="Y320" s="3" t="s">
        <v>29</v>
      </c>
      <c r="Z320" s="3" t="s">
        <v>476</v>
      </c>
    </row>
    <row r="321" spans="1:26" x14ac:dyDescent="0.2">
      <c r="A321" s="3" t="str">
        <f t="shared" si="28"/>
        <v>TRIP-T-352</v>
      </c>
      <c r="B321" s="2">
        <v>45908</v>
      </c>
      <c r="C321" s="3"/>
      <c r="D321" s="3"/>
      <c r="E321" s="3"/>
      <c r="F321" s="3"/>
      <c r="G321" s="3"/>
      <c r="H321" s="3"/>
      <c r="I321" s="3"/>
      <c r="J321" s="3"/>
      <c r="K321" s="3"/>
      <c r="L321" s="25" t="s">
        <v>428</v>
      </c>
      <c r="M321" s="27">
        <v>22</v>
      </c>
      <c r="N321" s="3"/>
      <c r="O321" s="3"/>
      <c r="P321" s="3"/>
      <c r="Q321" s="3"/>
      <c r="R321" s="3"/>
      <c r="S321" s="3"/>
      <c r="T321" s="3">
        <f t="shared" si="31"/>
        <v>0</v>
      </c>
      <c r="U321" s="3" t="str">
        <f t="shared" si="32"/>
        <v>OK</v>
      </c>
      <c r="V321" s="21">
        <f t="shared" si="33"/>
        <v>0</v>
      </c>
      <c r="W321" s="3" t="str">
        <f t="shared" si="34"/>
        <v>OK</v>
      </c>
      <c r="X321" s="3" t="s">
        <v>647</v>
      </c>
      <c r="Y321" s="3" t="s">
        <v>29</v>
      </c>
      <c r="Z321" s="3" t="s">
        <v>476</v>
      </c>
    </row>
    <row r="322" spans="1:26" x14ac:dyDescent="0.2">
      <c r="A322" s="3" t="str">
        <f t="shared" ref="A322:A385" si="35">"TRIP-T-"&amp;TEXT(ROW()+31,"000")</f>
        <v>TRIP-T-353</v>
      </c>
      <c r="B322" s="2">
        <v>45908</v>
      </c>
      <c r="C322" s="3"/>
      <c r="D322" s="3"/>
      <c r="E322" s="3"/>
      <c r="F322" s="3"/>
      <c r="G322" s="3"/>
      <c r="H322" s="3"/>
      <c r="I322" s="3"/>
      <c r="J322" s="3"/>
      <c r="K322" s="3"/>
      <c r="L322" s="25" t="s">
        <v>428</v>
      </c>
      <c r="M322" s="27">
        <v>15</v>
      </c>
      <c r="N322" s="3"/>
      <c r="O322" s="3"/>
      <c r="P322" s="3"/>
      <c r="Q322" s="3"/>
      <c r="R322" s="3"/>
      <c r="S322" s="3"/>
      <c r="T322" s="3">
        <f t="shared" ref="T322:T385" si="36">M322*N322</f>
        <v>0</v>
      </c>
      <c r="U322" s="3" t="str">
        <f t="shared" ref="U322:U385" si="37">IF(ROUND(T322,2)=ROUND(O322,2),"OK","CHECK")</f>
        <v>OK</v>
      </c>
      <c r="V322" s="21">
        <f t="shared" ref="V322:V385" si="38">O322-P322</f>
        <v>0</v>
      </c>
      <c r="W322" s="3" t="str">
        <f t="shared" ref="W322:W385" si="39">IF(ROUND(V322,2)=ROUND(Q322,2),"OK","CHECK")</f>
        <v>OK</v>
      </c>
      <c r="X322" s="3" t="s">
        <v>647</v>
      </c>
      <c r="Y322" s="3" t="s">
        <v>29</v>
      </c>
      <c r="Z322" s="3" t="s">
        <v>476</v>
      </c>
    </row>
    <row r="323" spans="1:26" x14ac:dyDescent="0.2">
      <c r="A323" s="3" t="str">
        <f t="shared" si="35"/>
        <v>TRIP-T-354</v>
      </c>
      <c r="B323" s="2">
        <v>45908</v>
      </c>
      <c r="C323" s="3"/>
      <c r="D323" s="3"/>
      <c r="E323" s="3"/>
      <c r="F323" s="3"/>
      <c r="G323" s="3"/>
      <c r="H323" s="3"/>
      <c r="I323" s="3"/>
      <c r="J323" s="3"/>
      <c r="K323" s="3"/>
      <c r="L323" s="25" t="s">
        <v>428</v>
      </c>
      <c r="M323" s="27">
        <v>17</v>
      </c>
      <c r="N323" s="3"/>
      <c r="O323" s="3"/>
      <c r="P323" s="3"/>
      <c r="Q323" s="3"/>
      <c r="R323" s="3"/>
      <c r="S323" s="3"/>
      <c r="T323" s="3">
        <f t="shared" si="36"/>
        <v>0</v>
      </c>
      <c r="U323" s="3" t="str">
        <f t="shared" si="37"/>
        <v>OK</v>
      </c>
      <c r="V323" s="21">
        <f t="shared" si="38"/>
        <v>0</v>
      </c>
      <c r="W323" s="3" t="str">
        <f t="shared" si="39"/>
        <v>OK</v>
      </c>
      <c r="X323" s="3" t="s">
        <v>647</v>
      </c>
      <c r="Y323" s="3" t="s">
        <v>29</v>
      </c>
      <c r="Z323" s="3" t="s">
        <v>476</v>
      </c>
    </row>
    <row r="324" spans="1:26" x14ac:dyDescent="0.2">
      <c r="A324" s="3" t="str">
        <f t="shared" si="35"/>
        <v>TRIP-T-355</v>
      </c>
      <c r="B324" s="2">
        <v>45909</v>
      </c>
      <c r="C324" s="3"/>
      <c r="D324" s="3"/>
      <c r="E324" s="3"/>
      <c r="F324" s="3"/>
      <c r="G324" s="3"/>
      <c r="H324" s="3"/>
      <c r="I324" s="3"/>
      <c r="J324" s="3"/>
      <c r="K324" s="3"/>
      <c r="L324" s="25" t="s">
        <v>428</v>
      </c>
      <c r="M324" s="27">
        <v>19</v>
      </c>
      <c r="N324" s="3"/>
      <c r="O324" s="3"/>
      <c r="P324" s="3"/>
      <c r="Q324" s="3"/>
      <c r="R324" s="3"/>
      <c r="S324" s="3"/>
      <c r="T324" s="3">
        <f t="shared" si="36"/>
        <v>0</v>
      </c>
      <c r="U324" s="3" t="str">
        <f t="shared" si="37"/>
        <v>OK</v>
      </c>
      <c r="V324" s="21">
        <f t="shared" si="38"/>
        <v>0</v>
      </c>
      <c r="W324" s="3" t="str">
        <f t="shared" si="39"/>
        <v>OK</v>
      </c>
      <c r="X324" s="3" t="s">
        <v>647</v>
      </c>
      <c r="Y324" s="3" t="s">
        <v>29</v>
      </c>
      <c r="Z324" s="3" t="s">
        <v>476</v>
      </c>
    </row>
    <row r="325" spans="1:26" x14ac:dyDescent="0.2">
      <c r="A325" s="3" t="str">
        <f t="shared" si="35"/>
        <v>TRIP-T-356</v>
      </c>
      <c r="B325" s="2">
        <v>45911</v>
      </c>
      <c r="C325" s="3"/>
      <c r="D325" s="3"/>
      <c r="E325" s="3"/>
      <c r="F325" s="3"/>
      <c r="G325" s="3"/>
      <c r="H325" s="3"/>
      <c r="I325" s="3"/>
      <c r="J325" s="3"/>
      <c r="K325" s="3"/>
      <c r="L325" s="25" t="s">
        <v>428</v>
      </c>
      <c r="M325" s="27">
        <v>16</v>
      </c>
      <c r="N325" s="3"/>
      <c r="O325" s="3"/>
      <c r="P325" s="3"/>
      <c r="Q325" s="3"/>
      <c r="R325" s="3"/>
      <c r="S325" s="3"/>
      <c r="T325" s="3">
        <f t="shared" si="36"/>
        <v>0</v>
      </c>
      <c r="U325" s="3" t="str">
        <f t="shared" si="37"/>
        <v>OK</v>
      </c>
      <c r="V325" s="21">
        <f t="shared" si="38"/>
        <v>0</v>
      </c>
      <c r="W325" s="3" t="str">
        <f t="shared" si="39"/>
        <v>OK</v>
      </c>
      <c r="X325" s="3" t="s">
        <v>647</v>
      </c>
      <c r="Y325" s="3" t="s">
        <v>29</v>
      </c>
      <c r="Z325" s="3" t="s">
        <v>476</v>
      </c>
    </row>
    <row r="326" spans="1:26" x14ac:dyDescent="0.2">
      <c r="A326" s="3" t="str">
        <f t="shared" si="35"/>
        <v>TRIP-T-357</v>
      </c>
      <c r="B326" s="2">
        <v>45915</v>
      </c>
      <c r="C326" s="3"/>
      <c r="D326" s="3"/>
      <c r="E326" s="3"/>
      <c r="F326" s="3"/>
      <c r="G326" s="3"/>
      <c r="H326" s="3"/>
      <c r="I326" s="3"/>
      <c r="J326" s="3"/>
      <c r="K326" s="3"/>
      <c r="L326" s="25" t="s">
        <v>428</v>
      </c>
      <c r="M326" s="29">
        <v>19</v>
      </c>
      <c r="N326" s="3"/>
      <c r="O326" s="3"/>
      <c r="P326" s="3"/>
      <c r="Q326" s="3"/>
      <c r="R326" s="3"/>
      <c r="S326" s="3"/>
      <c r="T326" s="3">
        <f t="shared" si="36"/>
        <v>0</v>
      </c>
      <c r="U326" s="3" t="str">
        <f t="shared" si="37"/>
        <v>OK</v>
      </c>
      <c r="V326" s="21">
        <f t="shared" si="38"/>
        <v>0</v>
      </c>
      <c r="W326" s="3" t="str">
        <f t="shared" si="39"/>
        <v>OK</v>
      </c>
      <c r="X326" s="3" t="s">
        <v>647</v>
      </c>
      <c r="Y326" s="3" t="s">
        <v>29</v>
      </c>
      <c r="Z326" s="3" t="s">
        <v>476</v>
      </c>
    </row>
    <row r="327" spans="1:26" x14ac:dyDescent="0.2">
      <c r="A327" s="3" t="str">
        <f t="shared" si="35"/>
        <v>TRIP-T-358</v>
      </c>
      <c r="B327" s="2">
        <v>45915</v>
      </c>
      <c r="C327" s="3"/>
      <c r="D327" s="3"/>
      <c r="E327" s="3"/>
      <c r="F327" s="3"/>
      <c r="G327" s="3"/>
      <c r="H327" s="3"/>
      <c r="I327" s="3"/>
      <c r="J327" s="3"/>
      <c r="K327" s="3"/>
      <c r="L327" s="25" t="s">
        <v>428</v>
      </c>
      <c r="M327" s="29">
        <v>16</v>
      </c>
      <c r="N327" s="3"/>
      <c r="O327" s="3"/>
      <c r="P327" s="3"/>
      <c r="Q327" s="3"/>
      <c r="R327" s="3"/>
      <c r="S327" s="3"/>
      <c r="T327" s="3">
        <f t="shared" si="36"/>
        <v>0</v>
      </c>
      <c r="U327" s="3" t="str">
        <f t="shared" si="37"/>
        <v>OK</v>
      </c>
      <c r="V327" s="21">
        <f t="shared" si="38"/>
        <v>0</v>
      </c>
      <c r="W327" s="3" t="str">
        <f t="shared" si="39"/>
        <v>OK</v>
      </c>
      <c r="X327" s="3" t="s">
        <v>647</v>
      </c>
      <c r="Y327" s="3" t="s">
        <v>29</v>
      </c>
      <c r="Z327" s="3" t="s">
        <v>476</v>
      </c>
    </row>
    <row r="328" spans="1:26" x14ac:dyDescent="0.2">
      <c r="A328" s="3" t="str">
        <f t="shared" si="35"/>
        <v>TRIP-T-359</v>
      </c>
      <c r="B328" s="2">
        <v>45915</v>
      </c>
      <c r="C328" s="3"/>
      <c r="D328" s="3"/>
      <c r="E328" s="3"/>
      <c r="F328" s="3"/>
      <c r="G328" s="3"/>
      <c r="H328" s="3"/>
      <c r="I328" s="3"/>
      <c r="J328" s="3"/>
      <c r="K328" s="3"/>
      <c r="L328" s="25" t="s">
        <v>428</v>
      </c>
      <c r="M328" s="27">
        <v>13</v>
      </c>
      <c r="N328" s="3"/>
      <c r="O328" s="3"/>
      <c r="P328" s="3"/>
      <c r="Q328" s="3"/>
      <c r="R328" s="3"/>
      <c r="S328" s="3"/>
      <c r="T328" s="3">
        <f t="shared" si="36"/>
        <v>0</v>
      </c>
      <c r="U328" s="3" t="str">
        <f t="shared" si="37"/>
        <v>OK</v>
      </c>
      <c r="V328" s="21">
        <f t="shared" si="38"/>
        <v>0</v>
      </c>
      <c r="W328" s="3" t="str">
        <f t="shared" si="39"/>
        <v>OK</v>
      </c>
      <c r="X328" s="3" t="s">
        <v>647</v>
      </c>
      <c r="Y328" s="3" t="s">
        <v>29</v>
      </c>
      <c r="Z328" s="3" t="s">
        <v>476</v>
      </c>
    </row>
    <row r="329" spans="1:26" x14ac:dyDescent="0.2">
      <c r="A329" s="3" t="str">
        <f t="shared" si="35"/>
        <v>TRIP-T-360</v>
      </c>
      <c r="B329" s="2">
        <v>45915</v>
      </c>
      <c r="C329" s="3"/>
      <c r="D329" s="3"/>
      <c r="E329" s="3"/>
      <c r="F329" s="3"/>
      <c r="G329" s="3"/>
      <c r="H329" s="3"/>
      <c r="I329" s="3"/>
      <c r="J329" s="3"/>
      <c r="K329" s="3"/>
      <c r="L329" s="25" t="s">
        <v>428</v>
      </c>
      <c r="M329" s="29">
        <v>11</v>
      </c>
      <c r="N329" s="3"/>
      <c r="O329" s="3"/>
      <c r="P329" s="3"/>
      <c r="Q329" s="3"/>
      <c r="R329" s="3"/>
      <c r="S329" s="3"/>
      <c r="T329" s="3">
        <f t="shared" si="36"/>
        <v>0</v>
      </c>
      <c r="U329" s="3" t="str">
        <f t="shared" si="37"/>
        <v>OK</v>
      </c>
      <c r="V329" s="21">
        <f t="shared" si="38"/>
        <v>0</v>
      </c>
      <c r="W329" s="3" t="str">
        <f t="shared" si="39"/>
        <v>OK</v>
      </c>
      <c r="X329" s="3" t="s">
        <v>647</v>
      </c>
      <c r="Y329" s="3" t="s">
        <v>29</v>
      </c>
      <c r="Z329" s="3" t="s">
        <v>476</v>
      </c>
    </row>
    <row r="330" spans="1:26" x14ac:dyDescent="0.2">
      <c r="A330" s="3" t="str">
        <f t="shared" si="35"/>
        <v>TRIP-T-361</v>
      </c>
      <c r="B330" s="2">
        <v>45915</v>
      </c>
      <c r="C330" s="3"/>
      <c r="D330" s="3"/>
      <c r="E330" s="3"/>
      <c r="F330" s="3"/>
      <c r="G330" s="3"/>
      <c r="H330" s="3"/>
      <c r="I330" s="3"/>
      <c r="J330" s="3"/>
      <c r="K330" s="3"/>
      <c r="L330" s="25" t="s">
        <v>428</v>
      </c>
      <c r="M330" s="27">
        <v>2</v>
      </c>
      <c r="N330" s="3"/>
      <c r="O330" s="3"/>
      <c r="P330" s="3"/>
      <c r="Q330" s="3"/>
      <c r="R330" s="3"/>
      <c r="S330" s="3"/>
      <c r="T330" s="3">
        <f t="shared" si="36"/>
        <v>0</v>
      </c>
      <c r="U330" s="3" t="str">
        <f t="shared" si="37"/>
        <v>OK</v>
      </c>
      <c r="V330" s="21">
        <f t="shared" si="38"/>
        <v>0</v>
      </c>
      <c r="W330" s="3" t="str">
        <f t="shared" si="39"/>
        <v>OK</v>
      </c>
      <c r="X330" s="3" t="s">
        <v>647</v>
      </c>
      <c r="Y330" s="3" t="s">
        <v>29</v>
      </c>
      <c r="Z330" s="3" t="s">
        <v>476</v>
      </c>
    </row>
    <row r="331" spans="1:26" x14ac:dyDescent="0.2">
      <c r="A331" s="3" t="str">
        <f t="shared" si="35"/>
        <v>TRIP-T-362</v>
      </c>
      <c r="B331" s="2">
        <v>45915</v>
      </c>
      <c r="C331" s="3"/>
      <c r="D331" s="3"/>
      <c r="E331" s="3"/>
      <c r="F331" s="3"/>
      <c r="G331" s="3"/>
      <c r="H331" s="3"/>
      <c r="I331" s="3"/>
      <c r="J331" s="3"/>
      <c r="K331" s="3"/>
      <c r="L331" s="25" t="s">
        <v>428</v>
      </c>
      <c r="M331" s="29">
        <v>6</v>
      </c>
      <c r="N331" s="3"/>
      <c r="O331" s="3"/>
      <c r="P331" s="3"/>
      <c r="Q331" s="3"/>
      <c r="R331" s="3"/>
      <c r="S331" s="3"/>
      <c r="T331" s="3">
        <f t="shared" si="36"/>
        <v>0</v>
      </c>
      <c r="U331" s="3" t="str">
        <f t="shared" si="37"/>
        <v>OK</v>
      </c>
      <c r="V331" s="21">
        <f t="shared" si="38"/>
        <v>0</v>
      </c>
      <c r="W331" s="3" t="str">
        <f t="shared" si="39"/>
        <v>OK</v>
      </c>
      <c r="X331" s="3" t="s">
        <v>647</v>
      </c>
      <c r="Y331" s="3" t="s">
        <v>29</v>
      </c>
      <c r="Z331" s="3" t="s">
        <v>476</v>
      </c>
    </row>
    <row r="332" spans="1:26" x14ac:dyDescent="0.2">
      <c r="A332" s="3" t="str">
        <f t="shared" si="35"/>
        <v>TRIP-T-363</v>
      </c>
      <c r="B332" s="2">
        <v>45915</v>
      </c>
      <c r="C332" s="3"/>
      <c r="D332" s="3"/>
      <c r="E332" s="3"/>
      <c r="F332" s="3"/>
      <c r="G332" s="3"/>
      <c r="H332" s="3"/>
      <c r="I332" s="3"/>
      <c r="J332" s="3"/>
      <c r="K332" s="3"/>
      <c r="L332" s="25" t="s">
        <v>428</v>
      </c>
      <c r="M332" s="29">
        <v>13</v>
      </c>
      <c r="N332" s="3"/>
      <c r="O332" s="3"/>
      <c r="P332" s="3"/>
      <c r="Q332" s="3"/>
      <c r="R332" s="3"/>
      <c r="S332" s="3"/>
      <c r="T332" s="3">
        <f t="shared" si="36"/>
        <v>0</v>
      </c>
      <c r="U332" s="3" t="str">
        <f t="shared" si="37"/>
        <v>OK</v>
      </c>
      <c r="V332" s="21">
        <f t="shared" si="38"/>
        <v>0</v>
      </c>
      <c r="W332" s="3" t="str">
        <f t="shared" si="39"/>
        <v>OK</v>
      </c>
      <c r="X332" s="3" t="s">
        <v>647</v>
      </c>
      <c r="Y332" s="3" t="s">
        <v>29</v>
      </c>
      <c r="Z332" s="3" t="s">
        <v>476</v>
      </c>
    </row>
    <row r="333" spans="1:26" x14ac:dyDescent="0.2">
      <c r="A333" s="3" t="str">
        <f t="shared" si="35"/>
        <v>TRIP-T-364</v>
      </c>
      <c r="B333" s="2">
        <v>45916</v>
      </c>
      <c r="C333" s="3"/>
      <c r="D333" s="3"/>
      <c r="E333" s="3"/>
      <c r="F333" s="3"/>
      <c r="G333" s="3"/>
      <c r="H333" s="3"/>
      <c r="I333" s="3"/>
      <c r="J333" s="3"/>
      <c r="K333" s="3"/>
      <c r="L333" s="25" t="s">
        <v>428</v>
      </c>
      <c r="M333" s="27">
        <v>15</v>
      </c>
      <c r="N333" s="3"/>
      <c r="O333" s="3"/>
      <c r="P333" s="3"/>
      <c r="Q333" s="3"/>
      <c r="R333" s="3"/>
      <c r="S333" s="3"/>
      <c r="T333" s="3">
        <f t="shared" si="36"/>
        <v>0</v>
      </c>
      <c r="U333" s="3" t="str">
        <f t="shared" si="37"/>
        <v>OK</v>
      </c>
      <c r="V333" s="21">
        <f t="shared" si="38"/>
        <v>0</v>
      </c>
      <c r="W333" s="3" t="str">
        <f t="shared" si="39"/>
        <v>OK</v>
      </c>
      <c r="X333" s="3" t="s">
        <v>647</v>
      </c>
      <c r="Y333" s="3" t="s">
        <v>29</v>
      </c>
      <c r="Z333" s="3" t="s">
        <v>476</v>
      </c>
    </row>
    <row r="334" spans="1:26" x14ac:dyDescent="0.2">
      <c r="A334" s="3" t="str">
        <f t="shared" si="35"/>
        <v>TRIP-T-365</v>
      </c>
      <c r="B334" s="2">
        <v>45916</v>
      </c>
      <c r="C334" s="3"/>
      <c r="D334" s="3"/>
      <c r="E334" s="3"/>
      <c r="F334" s="3"/>
      <c r="G334" s="3"/>
      <c r="H334" s="3"/>
      <c r="I334" s="3"/>
      <c r="J334" s="3"/>
      <c r="K334" s="3"/>
      <c r="L334" s="25" t="s">
        <v>428</v>
      </c>
      <c r="M334" s="27">
        <v>15</v>
      </c>
      <c r="N334" s="3"/>
      <c r="O334" s="3"/>
      <c r="P334" s="3"/>
      <c r="Q334" s="3"/>
      <c r="R334" s="3"/>
      <c r="S334" s="3"/>
      <c r="T334" s="3">
        <f t="shared" si="36"/>
        <v>0</v>
      </c>
      <c r="U334" s="3" t="str">
        <f t="shared" si="37"/>
        <v>OK</v>
      </c>
      <c r="V334" s="21">
        <f t="shared" si="38"/>
        <v>0</v>
      </c>
      <c r="W334" s="3" t="str">
        <f t="shared" si="39"/>
        <v>OK</v>
      </c>
      <c r="X334" s="3" t="s">
        <v>647</v>
      </c>
      <c r="Y334" s="3" t="s">
        <v>29</v>
      </c>
      <c r="Z334" s="3" t="s">
        <v>476</v>
      </c>
    </row>
    <row r="335" spans="1:26" x14ac:dyDescent="0.2">
      <c r="A335" s="3" t="str">
        <f t="shared" si="35"/>
        <v>TRIP-T-366</v>
      </c>
      <c r="B335" s="2">
        <v>45918</v>
      </c>
      <c r="C335" s="3"/>
      <c r="D335" s="3"/>
      <c r="E335" s="3"/>
      <c r="F335" s="3"/>
      <c r="G335" s="3"/>
      <c r="H335" s="3"/>
      <c r="I335" s="3"/>
      <c r="J335" s="3"/>
      <c r="K335" s="3"/>
      <c r="L335" s="25" t="s">
        <v>428</v>
      </c>
      <c r="M335" s="27">
        <v>8</v>
      </c>
      <c r="N335" s="3"/>
      <c r="O335" s="3"/>
      <c r="P335" s="3"/>
      <c r="Q335" s="3"/>
      <c r="R335" s="3"/>
      <c r="S335" s="3"/>
      <c r="T335" s="3">
        <f t="shared" si="36"/>
        <v>0</v>
      </c>
      <c r="U335" s="3" t="str">
        <f t="shared" si="37"/>
        <v>OK</v>
      </c>
      <c r="V335" s="21">
        <f t="shared" si="38"/>
        <v>0</v>
      </c>
      <c r="W335" s="3" t="str">
        <f t="shared" si="39"/>
        <v>OK</v>
      </c>
      <c r="X335" s="3" t="s">
        <v>647</v>
      </c>
      <c r="Y335" s="3" t="s">
        <v>29</v>
      </c>
      <c r="Z335" s="3" t="s">
        <v>476</v>
      </c>
    </row>
    <row r="336" spans="1:26" x14ac:dyDescent="0.2">
      <c r="A336" s="3" t="str">
        <f t="shared" si="35"/>
        <v>TRIP-T-367</v>
      </c>
      <c r="B336" s="2">
        <v>45918</v>
      </c>
      <c r="C336" s="3"/>
      <c r="D336" s="3"/>
      <c r="E336" s="3"/>
      <c r="F336" s="3"/>
      <c r="G336" s="3"/>
      <c r="H336" s="3"/>
      <c r="I336" s="3"/>
      <c r="J336" s="3"/>
      <c r="K336" s="3"/>
      <c r="L336" s="25" t="s">
        <v>428</v>
      </c>
      <c r="M336" s="27">
        <v>19</v>
      </c>
      <c r="N336" s="3"/>
      <c r="O336" s="3"/>
      <c r="P336" s="3"/>
      <c r="Q336" s="3"/>
      <c r="R336" s="3"/>
      <c r="S336" s="3"/>
      <c r="T336" s="3">
        <f t="shared" si="36"/>
        <v>0</v>
      </c>
      <c r="U336" s="3" t="str">
        <f t="shared" si="37"/>
        <v>OK</v>
      </c>
      <c r="V336" s="21">
        <f t="shared" si="38"/>
        <v>0</v>
      </c>
      <c r="W336" s="3" t="str">
        <f t="shared" si="39"/>
        <v>OK</v>
      </c>
      <c r="X336" s="3" t="s">
        <v>647</v>
      </c>
      <c r="Y336" s="3" t="s">
        <v>29</v>
      </c>
      <c r="Z336" s="3" t="s">
        <v>476</v>
      </c>
    </row>
    <row r="337" spans="1:26" x14ac:dyDescent="0.2">
      <c r="A337" s="3" t="str">
        <f t="shared" si="35"/>
        <v>TRIP-T-368</v>
      </c>
      <c r="B337" s="2">
        <v>45919</v>
      </c>
      <c r="C337" s="3"/>
      <c r="D337" s="3"/>
      <c r="E337" s="3"/>
      <c r="F337" s="3"/>
      <c r="G337" s="3"/>
      <c r="H337" s="3"/>
      <c r="I337" s="3"/>
      <c r="J337" s="3"/>
      <c r="K337" s="3"/>
      <c r="L337" s="25" t="s">
        <v>428</v>
      </c>
      <c r="M337" s="27">
        <v>9</v>
      </c>
      <c r="N337" s="3"/>
      <c r="O337" s="3"/>
      <c r="P337" s="3"/>
      <c r="Q337" s="3"/>
      <c r="R337" s="3"/>
      <c r="S337" s="3"/>
      <c r="T337" s="3">
        <f t="shared" si="36"/>
        <v>0</v>
      </c>
      <c r="U337" s="3" t="str">
        <f t="shared" si="37"/>
        <v>OK</v>
      </c>
      <c r="V337" s="21">
        <f t="shared" si="38"/>
        <v>0</v>
      </c>
      <c r="W337" s="3" t="str">
        <f t="shared" si="39"/>
        <v>OK</v>
      </c>
      <c r="X337" s="3" t="s">
        <v>647</v>
      </c>
      <c r="Y337" s="3" t="s">
        <v>29</v>
      </c>
      <c r="Z337" s="3" t="s">
        <v>476</v>
      </c>
    </row>
    <row r="338" spans="1:26" x14ac:dyDescent="0.2">
      <c r="A338" s="3" t="str">
        <f t="shared" si="35"/>
        <v>TRIP-T-369</v>
      </c>
      <c r="B338" s="2">
        <v>45919</v>
      </c>
      <c r="C338" s="3"/>
      <c r="D338" s="3"/>
      <c r="E338" s="3"/>
      <c r="F338" s="3"/>
      <c r="G338" s="3"/>
      <c r="H338" s="3"/>
      <c r="I338" s="3"/>
      <c r="J338" s="3"/>
      <c r="K338" s="3"/>
      <c r="L338" s="25" t="s">
        <v>428</v>
      </c>
      <c r="M338" s="27">
        <v>10</v>
      </c>
      <c r="N338" s="3"/>
      <c r="O338" s="3"/>
      <c r="P338" s="3"/>
      <c r="Q338" s="3"/>
      <c r="R338" s="3"/>
      <c r="S338" s="3"/>
      <c r="T338" s="3">
        <f t="shared" si="36"/>
        <v>0</v>
      </c>
      <c r="U338" s="3" t="str">
        <f t="shared" si="37"/>
        <v>OK</v>
      </c>
      <c r="V338" s="21">
        <f t="shared" si="38"/>
        <v>0</v>
      </c>
      <c r="W338" s="3" t="str">
        <f t="shared" si="39"/>
        <v>OK</v>
      </c>
      <c r="X338" s="3" t="s">
        <v>647</v>
      </c>
      <c r="Y338" s="3" t="s">
        <v>29</v>
      </c>
      <c r="Z338" s="3" t="s">
        <v>476</v>
      </c>
    </row>
    <row r="339" spans="1:26" x14ac:dyDescent="0.2">
      <c r="A339" s="3" t="str">
        <f t="shared" si="35"/>
        <v>TRIP-T-370</v>
      </c>
      <c r="B339" s="2">
        <v>45919</v>
      </c>
      <c r="C339" s="3"/>
      <c r="D339" s="3"/>
      <c r="E339" s="3"/>
      <c r="F339" s="3"/>
      <c r="G339" s="3"/>
      <c r="H339" s="3"/>
      <c r="I339" s="3"/>
      <c r="J339" s="3"/>
      <c r="K339" s="3"/>
      <c r="L339" s="25" t="s">
        <v>428</v>
      </c>
      <c r="M339" s="27">
        <v>15</v>
      </c>
      <c r="N339" s="3"/>
      <c r="O339" s="3"/>
      <c r="P339" s="3"/>
      <c r="Q339" s="3"/>
      <c r="R339" s="3"/>
      <c r="S339" s="3"/>
      <c r="T339" s="3">
        <f t="shared" si="36"/>
        <v>0</v>
      </c>
      <c r="U339" s="3" t="str">
        <f t="shared" si="37"/>
        <v>OK</v>
      </c>
      <c r="V339" s="21">
        <f t="shared" si="38"/>
        <v>0</v>
      </c>
      <c r="W339" s="3" t="str">
        <f t="shared" si="39"/>
        <v>OK</v>
      </c>
      <c r="X339" s="3" t="s">
        <v>647</v>
      </c>
      <c r="Y339" s="3" t="s">
        <v>29</v>
      </c>
      <c r="Z339" s="3" t="s">
        <v>476</v>
      </c>
    </row>
    <row r="340" spans="1:26" x14ac:dyDescent="0.2">
      <c r="A340" s="3" t="str">
        <f t="shared" si="35"/>
        <v>TRIP-T-371</v>
      </c>
      <c r="B340" s="2">
        <v>45919</v>
      </c>
      <c r="C340" s="3"/>
      <c r="D340" s="3"/>
      <c r="E340" s="3"/>
      <c r="F340" s="3"/>
      <c r="G340" s="3"/>
      <c r="H340" s="3"/>
      <c r="I340" s="3"/>
      <c r="J340" s="3"/>
      <c r="K340" s="3"/>
      <c r="L340" s="25" t="s">
        <v>428</v>
      </c>
      <c r="M340" s="27">
        <v>13</v>
      </c>
      <c r="N340" s="3"/>
      <c r="O340" s="3"/>
      <c r="P340" s="3"/>
      <c r="Q340" s="3"/>
      <c r="R340" s="3"/>
      <c r="S340" s="3"/>
      <c r="T340" s="3">
        <f t="shared" si="36"/>
        <v>0</v>
      </c>
      <c r="U340" s="3" t="str">
        <f t="shared" si="37"/>
        <v>OK</v>
      </c>
      <c r="V340" s="21">
        <f t="shared" si="38"/>
        <v>0</v>
      </c>
      <c r="W340" s="3" t="str">
        <f t="shared" si="39"/>
        <v>OK</v>
      </c>
      <c r="X340" s="3" t="s">
        <v>647</v>
      </c>
      <c r="Y340" s="3" t="s">
        <v>29</v>
      </c>
      <c r="Z340" s="3" t="s">
        <v>476</v>
      </c>
    </row>
    <row r="341" spans="1:26" x14ac:dyDescent="0.2">
      <c r="A341" s="3" t="str">
        <f t="shared" si="35"/>
        <v>TRIP-T-372</v>
      </c>
      <c r="B341" s="2">
        <v>45919</v>
      </c>
      <c r="C341" s="3"/>
      <c r="D341" s="3"/>
      <c r="E341" s="3"/>
      <c r="F341" s="3"/>
      <c r="G341" s="3"/>
      <c r="H341" s="3"/>
      <c r="I341" s="3"/>
      <c r="J341" s="3"/>
      <c r="K341" s="3"/>
      <c r="L341" s="25" t="s">
        <v>428</v>
      </c>
      <c r="M341" s="27">
        <v>11</v>
      </c>
      <c r="N341" s="3"/>
      <c r="O341" s="3"/>
      <c r="P341" s="3"/>
      <c r="Q341" s="3"/>
      <c r="R341" s="3"/>
      <c r="S341" s="3"/>
      <c r="T341" s="3">
        <f t="shared" si="36"/>
        <v>0</v>
      </c>
      <c r="U341" s="3" t="str">
        <f t="shared" si="37"/>
        <v>OK</v>
      </c>
      <c r="V341" s="21">
        <f t="shared" si="38"/>
        <v>0</v>
      </c>
      <c r="W341" s="3" t="str">
        <f t="shared" si="39"/>
        <v>OK</v>
      </c>
      <c r="X341" s="3" t="s">
        <v>647</v>
      </c>
      <c r="Y341" s="3" t="s">
        <v>29</v>
      </c>
      <c r="Z341" s="3" t="s">
        <v>476</v>
      </c>
    </row>
    <row r="342" spans="1:26" x14ac:dyDescent="0.2">
      <c r="A342" s="3" t="str">
        <f t="shared" si="35"/>
        <v>TRIP-T-373</v>
      </c>
      <c r="B342" s="2">
        <v>45919</v>
      </c>
      <c r="C342" s="3"/>
      <c r="D342" s="3"/>
      <c r="E342" s="3"/>
      <c r="F342" s="3"/>
      <c r="G342" s="3"/>
      <c r="H342" s="3"/>
      <c r="I342" s="3"/>
      <c r="J342" s="3"/>
      <c r="K342" s="3"/>
      <c r="L342" s="25" t="s">
        <v>428</v>
      </c>
      <c r="M342" s="27">
        <v>19</v>
      </c>
      <c r="N342" s="3"/>
      <c r="O342" s="3"/>
      <c r="P342" s="3"/>
      <c r="Q342" s="3"/>
      <c r="R342" s="3"/>
      <c r="S342" s="3"/>
      <c r="T342" s="3">
        <f t="shared" si="36"/>
        <v>0</v>
      </c>
      <c r="U342" s="3" t="str">
        <f t="shared" si="37"/>
        <v>OK</v>
      </c>
      <c r="V342" s="21">
        <f t="shared" si="38"/>
        <v>0</v>
      </c>
      <c r="W342" s="3" t="str">
        <f t="shared" si="39"/>
        <v>OK</v>
      </c>
      <c r="X342" s="3" t="s">
        <v>647</v>
      </c>
      <c r="Y342" s="3" t="s">
        <v>29</v>
      </c>
      <c r="Z342" s="3" t="s">
        <v>476</v>
      </c>
    </row>
    <row r="343" spans="1:26" x14ac:dyDescent="0.2">
      <c r="A343" s="3" t="str">
        <f t="shared" si="35"/>
        <v>TRIP-T-374</v>
      </c>
      <c r="B343" s="2">
        <v>45920</v>
      </c>
      <c r="C343" s="3"/>
      <c r="D343" s="3"/>
      <c r="E343" s="3"/>
      <c r="F343" s="3"/>
      <c r="G343" s="3"/>
      <c r="H343" s="3"/>
      <c r="I343" s="3"/>
      <c r="J343" s="3"/>
      <c r="K343" s="3"/>
      <c r="L343" s="25" t="s">
        <v>428</v>
      </c>
      <c r="M343" s="27">
        <v>18</v>
      </c>
      <c r="N343" s="3"/>
      <c r="O343" s="3"/>
      <c r="P343" s="3"/>
      <c r="Q343" s="3"/>
      <c r="R343" s="3"/>
      <c r="S343" s="3"/>
      <c r="T343" s="3">
        <f t="shared" si="36"/>
        <v>0</v>
      </c>
      <c r="U343" s="3" t="str">
        <f t="shared" si="37"/>
        <v>OK</v>
      </c>
      <c r="V343" s="21">
        <f t="shared" si="38"/>
        <v>0</v>
      </c>
      <c r="W343" s="3" t="str">
        <f t="shared" si="39"/>
        <v>OK</v>
      </c>
      <c r="X343" s="3" t="s">
        <v>647</v>
      </c>
      <c r="Y343" s="3" t="s">
        <v>29</v>
      </c>
      <c r="Z343" s="3" t="s">
        <v>476</v>
      </c>
    </row>
    <row r="344" spans="1:26" x14ac:dyDescent="0.2">
      <c r="A344" s="3" t="str">
        <f t="shared" si="35"/>
        <v>TRIP-T-375</v>
      </c>
      <c r="B344" s="2">
        <v>45920</v>
      </c>
      <c r="C344" s="3"/>
      <c r="D344" s="3"/>
      <c r="E344" s="3"/>
      <c r="F344" s="3"/>
      <c r="G344" s="3"/>
      <c r="H344" s="3"/>
      <c r="I344" s="3"/>
      <c r="J344" s="3"/>
      <c r="K344" s="3"/>
      <c r="L344" s="25" t="s">
        <v>428</v>
      </c>
      <c r="M344" s="27">
        <v>15</v>
      </c>
      <c r="N344" s="3"/>
      <c r="O344" s="3"/>
      <c r="P344" s="3"/>
      <c r="Q344" s="3"/>
      <c r="R344" s="3"/>
      <c r="S344" s="3"/>
      <c r="T344" s="3">
        <f t="shared" si="36"/>
        <v>0</v>
      </c>
      <c r="U344" s="3" t="str">
        <f t="shared" si="37"/>
        <v>OK</v>
      </c>
      <c r="V344" s="21">
        <f t="shared" si="38"/>
        <v>0</v>
      </c>
      <c r="W344" s="3" t="str">
        <f t="shared" si="39"/>
        <v>OK</v>
      </c>
      <c r="X344" s="3" t="s">
        <v>647</v>
      </c>
      <c r="Y344" s="3" t="s">
        <v>29</v>
      </c>
      <c r="Z344" s="3" t="s">
        <v>476</v>
      </c>
    </row>
    <row r="345" spans="1:26" x14ac:dyDescent="0.2">
      <c r="A345" s="3" t="str">
        <f t="shared" si="35"/>
        <v>TRIP-T-376</v>
      </c>
      <c r="B345" s="2">
        <v>45921</v>
      </c>
      <c r="C345" s="3"/>
      <c r="D345" s="3"/>
      <c r="E345" s="3"/>
      <c r="F345" s="3"/>
      <c r="G345" s="3"/>
      <c r="H345" s="3"/>
      <c r="I345" s="3"/>
      <c r="J345" s="3"/>
      <c r="K345" s="3"/>
      <c r="L345" s="25" t="s">
        <v>428</v>
      </c>
      <c r="M345" s="27">
        <v>7</v>
      </c>
      <c r="N345" s="3"/>
      <c r="O345" s="3"/>
      <c r="P345" s="3"/>
      <c r="Q345" s="3"/>
      <c r="R345" s="3"/>
      <c r="S345" s="3"/>
      <c r="T345" s="3">
        <f t="shared" si="36"/>
        <v>0</v>
      </c>
      <c r="U345" s="3" t="str">
        <f t="shared" si="37"/>
        <v>OK</v>
      </c>
      <c r="V345" s="21">
        <f t="shared" si="38"/>
        <v>0</v>
      </c>
      <c r="W345" s="3" t="str">
        <f t="shared" si="39"/>
        <v>OK</v>
      </c>
      <c r="X345" s="3" t="s">
        <v>647</v>
      </c>
      <c r="Y345" s="3" t="s">
        <v>29</v>
      </c>
      <c r="Z345" s="3" t="s">
        <v>476</v>
      </c>
    </row>
    <row r="346" spans="1:26" x14ac:dyDescent="0.2">
      <c r="A346" s="3" t="str">
        <f t="shared" si="35"/>
        <v>TRIP-T-377</v>
      </c>
      <c r="B346" s="2">
        <v>45921</v>
      </c>
      <c r="C346" s="3"/>
      <c r="D346" s="3"/>
      <c r="E346" s="3"/>
      <c r="F346" s="3"/>
      <c r="G346" s="3"/>
      <c r="H346" s="3"/>
      <c r="I346" s="3"/>
      <c r="J346" s="3"/>
      <c r="K346" s="3"/>
      <c r="L346" s="25" t="s">
        <v>428</v>
      </c>
      <c r="M346" s="27">
        <v>13</v>
      </c>
      <c r="N346" s="3"/>
      <c r="O346" s="3"/>
      <c r="P346" s="3"/>
      <c r="Q346" s="3"/>
      <c r="R346" s="3"/>
      <c r="S346" s="3"/>
      <c r="T346" s="3">
        <f t="shared" si="36"/>
        <v>0</v>
      </c>
      <c r="U346" s="3" t="str">
        <f t="shared" si="37"/>
        <v>OK</v>
      </c>
      <c r="V346" s="21">
        <f t="shared" si="38"/>
        <v>0</v>
      </c>
      <c r="W346" s="3" t="str">
        <f t="shared" si="39"/>
        <v>OK</v>
      </c>
      <c r="X346" s="3" t="s">
        <v>647</v>
      </c>
      <c r="Y346" s="3" t="s">
        <v>29</v>
      </c>
      <c r="Z346" s="3" t="s">
        <v>476</v>
      </c>
    </row>
    <row r="347" spans="1:26" x14ac:dyDescent="0.2">
      <c r="A347" s="3" t="str">
        <f t="shared" si="35"/>
        <v>TRIP-T-378</v>
      </c>
      <c r="B347" s="2">
        <v>45921</v>
      </c>
      <c r="C347" s="3"/>
      <c r="D347" s="3"/>
      <c r="E347" s="3"/>
      <c r="F347" s="3"/>
      <c r="G347" s="3"/>
      <c r="H347" s="3"/>
      <c r="I347" s="3"/>
      <c r="J347" s="3"/>
      <c r="K347" s="3"/>
      <c r="L347" s="25" t="s">
        <v>428</v>
      </c>
      <c r="M347" s="27">
        <v>12</v>
      </c>
      <c r="N347" s="3"/>
      <c r="O347" s="3"/>
      <c r="P347" s="3"/>
      <c r="Q347" s="3"/>
      <c r="R347" s="3"/>
      <c r="S347" s="3"/>
      <c r="T347" s="3">
        <f t="shared" si="36"/>
        <v>0</v>
      </c>
      <c r="U347" s="3" t="str">
        <f t="shared" si="37"/>
        <v>OK</v>
      </c>
      <c r="V347" s="21">
        <f t="shared" si="38"/>
        <v>0</v>
      </c>
      <c r="W347" s="3" t="str">
        <f t="shared" si="39"/>
        <v>OK</v>
      </c>
      <c r="X347" s="3" t="s">
        <v>647</v>
      </c>
      <c r="Y347" s="3" t="s">
        <v>29</v>
      </c>
      <c r="Z347" s="3" t="s">
        <v>476</v>
      </c>
    </row>
    <row r="348" spans="1:26" x14ac:dyDescent="0.2">
      <c r="A348" s="3" t="str">
        <f t="shared" si="35"/>
        <v>TRIP-T-379</v>
      </c>
      <c r="B348" s="2">
        <v>45921</v>
      </c>
      <c r="C348" s="3"/>
      <c r="D348" s="3"/>
      <c r="E348" s="3"/>
      <c r="F348" s="3"/>
      <c r="G348" s="3"/>
      <c r="H348" s="3"/>
      <c r="I348" s="3"/>
      <c r="J348" s="3"/>
      <c r="K348" s="3"/>
      <c r="L348" s="25" t="s">
        <v>648</v>
      </c>
      <c r="M348" s="27">
        <v>3</v>
      </c>
      <c r="N348" s="3"/>
      <c r="O348" s="3"/>
      <c r="P348" s="3"/>
      <c r="Q348" s="3"/>
      <c r="R348" s="3"/>
      <c r="S348" s="3"/>
      <c r="T348" s="3">
        <f t="shared" si="36"/>
        <v>0</v>
      </c>
      <c r="U348" s="3" t="str">
        <f t="shared" si="37"/>
        <v>OK</v>
      </c>
      <c r="V348" s="21">
        <f t="shared" si="38"/>
        <v>0</v>
      </c>
      <c r="W348" s="3" t="str">
        <f t="shared" si="39"/>
        <v>OK</v>
      </c>
      <c r="X348" s="3" t="s">
        <v>647</v>
      </c>
      <c r="Y348" s="3" t="s">
        <v>29</v>
      </c>
      <c r="Z348" s="3" t="s">
        <v>476</v>
      </c>
    </row>
    <row r="349" spans="1:26" x14ac:dyDescent="0.2">
      <c r="A349" s="3" t="str">
        <f t="shared" si="35"/>
        <v>TRIP-T-380</v>
      </c>
      <c r="B349" s="2">
        <v>45921</v>
      </c>
      <c r="C349" s="3"/>
      <c r="D349" s="3"/>
      <c r="E349" s="3"/>
      <c r="F349" s="3"/>
      <c r="G349" s="3"/>
      <c r="H349" s="3"/>
      <c r="I349" s="3"/>
      <c r="J349" s="3"/>
      <c r="K349" s="3"/>
      <c r="L349" s="25" t="s">
        <v>428</v>
      </c>
      <c r="M349" s="27">
        <v>17</v>
      </c>
      <c r="N349" s="3"/>
      <c r="O349" s="3"/>
      <c r="P349" s="3"/>
      <c r="Q349" s="3"/>
      <c r="R349" s="3"/>
      <c r="S349" s="3"/>
      <c r="T349" s="3">
        <f t="shared" si="36"/>
        <v>0</v>
      </c>
      <c r="U349" s="3" t="str">
        <f t="shared" si="37"/>
        <v>OK</v>
      </c>
      <c r="V349" s="21">
        <f t="shared" si="38"/>
        <v>0</v>
      </c>
      <c r="W349" s="3" t="str">
        <f t="shared" si="39"/>
        <v>OK</v>
      </c>
      <c r="X349" s="3" t="s">
        <v>647</v>
      </c>
      <c r="Y349" s="3" t="s">
        <v>29</v>
      </c>
      <c r="Z349" s="3" t="s">
        <v>476</v>
      </c>
    </row>
    <row r="350" spans="1:26" x14ac:dyDescent="0.2">
      <c r="A350" s="3" t="str">
        <f t="shared" si="35"/>
        <v>TRIP-T-381</v>
      </c>
      <c r="B350" s="2">
        <v>45921</v>
      </c>
      <c r="C350" s="3"/>
      <c r="D350" s="3"/>
      <c r="E350" s="3"/>
      <c r="F350" s="3"/>
      <c r="G350" s="3"/>
      <c r="H350" s="3"/>
      <c r="I350" s="3"/>
      <c r="J350" s="3"/>
      <c r="K350" s="3"/>
      <c r="L350" s="25" t="s">
        <v>428</v>
      </c>
      <c r="M350" s="27">
        <v>19</v>
      </c>
      <c r="N350" s="3"/>
      <c r="O350" s="3"/>
      <c r="P350" s="3"/>
      <c r="Q350" s="3"/>
      <c r="R350" s="3"/>
      <c r="S350" s="3"/>
      <c r="T350" s="3">
        <f t="shared" si="36"/>
        <v>0</v>
      </c>
      <c r="U350" s="3" t="str">
        <f t="shared" si="37"/>
        <v>OK</v>
      </c>
      <c r="V350" s="21">
        <f t="shared" si="38"/>
        <v>0</v>
      </c>
      <c r="W350" s="3" t="str">
        <f t="shared" si="39"/>
        <v>OK</v>
      </c>
      <c r="X350" s="3" t="s">
        <v>647</v>
      </c>
      <c r="Y350" s="3" t="s">
        <v>29</v>
      </c>
      <c r="Z350" s="3" t="s">
        <v>476</v>
      </c>
    </row>
    <row r="351" spans="1:26" x14ac:dyDescent="0.2">
      <c r="A351" s="3" t="str">
        <f t="shared" si="35"/>
        <v>TRIP-T-382</v>
      </c>
      <c r="B351" s="2">
        <v>45921</v>
      </c>
      <c r="C351" s="3"/>
      <c r="D351" s="3"/>
      <c r="E351" s="3"/>
      <c r="F351" s="3"/>
      <c r="G351" s="3"/>
      <c r="H351" s="3"/>
      <c r="I351" s="3"/>
      <c r="J351" s="3"/>
      <c r="K351" s="3"/>
      <c r="L351" s="25" t="s">
        <v>428</v>
      </c>
      <c r="M351" s="27">
        <v>17</v>
      </c>
      <c r="N351" s="3"/>
      <c r="O351" s="3"/>
      <c r="P351" s="3"/>
      <c r="Q351" s="3"/>
      <c r="R351" s="3"/>
      <c r="S351" s="3"/>
      <c r="T351" s="3">
        <f t="shared" si="36"/>
        <v>0</v>
      </c>
      <c r="U351" s="3" t="str">
        <f t="shared" si="37"/>
        <v>OK</v>
      </c>
      <c r="V351" s="21">
        <f t="shared" si="38"/>
        <v>0</v>
      </c>
      <c r="W351" s="3" t="str">
        <f t="shared" si="39"/>
        <v>OK</v>
      </c>
      <c r="X351" s="3" t="s">
        <v>647</v>
      </c>
      <c r="Y351" s="3" t="s">
        <v>29</v>
      </c>
      <c r="Z351" s="3" t="s">
        <v>476</v>
      </c>
    </row>
    <row r="352" spans="1:26" x14ac:dyDescent="0.2">
      <c r="A352" s="3" t="str">
        <f t="shared" si="35"/>
        <v>TRIP-T-383</v>
      </c>
      <c r="B352" s="2">
        <v>45922</v>
      </c>
      <c r="C352" s="3"/>
      <c r="D352" s="3"/>
      <c r="E352" s="3"/>
      <c r="F352" s="3"/>
      <c r="G352" s="3"/>
      <c r="H352" s="3"/>
      <c r="I352" s="3"/>
      <c r="J352" s="3"/>
      <c r="K352" s="3"/>
      <c r="L352" s="25" t="s">
        <v>428</v>
      </c>
      <c r="M352" s="27">
        <v>11</v>
      </c>
      <c r="N352" s="3"/>
      <c r="O352" s="3"/>
      <c r="P352" s="3"/>
      <c r="Q352" s="3"/>
      <c r="R352" s="3"/>
      <c r="S352" s="3"/>
      <c r="T352" s="3">
        <f t="shared" si="36"/>
        <v>0</v>
      </c>
      <c r="U352" s="3" t="str">
        <f t="shared" si="37"/>
        <v>OK</v>
      </c>
      <c r="V352" s="21">
        <f t="shared" si="38"/>
        <v>0</v>
      </c>
      <c r="W352" s="3" t="str">
        <f t="shared" si="39"/>
        <v>OK</v>
      </c>
      <c r="X352" s="3" t="s">
        <v>647</v>
      </c>
      <c r="Y352" s="3" t="s">
        <v>29</v>
      </c>
      <c r="Z352" s="3" t="s">
        <v>476</v>
      </c>
    </row>
    <row r="353" spans="1:26" x14ac:dyDescent="0.2">
      <c r="A353" s="3" t="str">
        <f t="shared" si="35"/>
        <v>TRIP-T-384</v>
      </c>
      <c r="B353" s="2">
        <v>45922</v>
      </c>
      <c r="C353" s="3"/>
      <c r="D353" s="3"/>
      <c r="E353" s="3"/>
      <c r="F353" s="3"/>
      <c r="G353" s="3"/>
      <c r="H353" s="3"/>
      <c r="I353" s="3"/>
      <c r="J353" s="3"/>
      <c r="K353" s="3"/>
      <c r="L353" s="25" t="s">
        <v>428</v>
      </c>
      <c r="M353" s="27">
        <v>19</v>
      </c>
      <c r="N353" s="3"/>
      <c r="O353" s="3"/>
      <c r="P353" s="3"/>
      <c r="Q353" s="3"/>
      <c r="R353" s="3"/>
      <c r="S353" s="3"/>
      <c r="T353" s="3">
        <f t="shared" si="36"/>
        <v>0</v>
      </c>
      <c r="U353" s="3" t="str">
        <f t="shared" si="37"/>
        <v>OK</v>
      </c>
      <c r="V353" s="21">
        <f t="shared" si="38"/>
        <v>0</v>
      </c>
      <c r="W353" s="3" t="str">
        <f t="shared" si="39"/>
        <v>OK</v>
      </c>
      <c r="X353" s="3" t="s">
        <v>647</v>
      </c>
      <c r="Y353" s="3" t="s">
        <v>29</v>
      </c>
      <c r="Z353" s="3" t="s">
        <v>476</v>
      </c>
    </row>
    <row r="354" spans="1:26" x14ac:dyDescent="0.2">
      <c r="A354" s="3" t="str">
        <f t="shared" si="35"/>
        <v>TRIP-T-385</v>
      </c>
      <c r="B354" s="2">
        <v>45922</v>
      </c>
      <c r="C354" s="3"/>
      <c r="D354" s="3"/>
      <c r="E354" s="3"/>
      <c r="F354" s="3"/>
      <c r="G354" s="3"/>
      <c r="H354" s="3"/>
      <c r="I354" s="3"/>
      <c r="J354" s="3"/>
      <c r="K354" s="3"/>
      <c r="L354" s="25" t="s">
        <v>428</v>
      </c>
      <c r="M354" s="27">
        <v>15</v>
      </c>
      <c r="N354" s="3"/>
      <c r="O354" s="3"/>
      <c r="P354" s="3"/>
      <c r="Q354" s="3"/>
      <c r="R354" s="3"/>
      <c r="S354" s="3"/>
      <c r="T354" s="3">
        <f t="shared" si="36"/>
        <v>0</v>
      </c>
      <c r="U354" s="3" t="str">
        <f t="shared" si="37"/>
        <v>OK</v>
      </c>
      <c r="V354" s="21">
        <f t="shared" si="38"/>
        <v>0</v>
      </c>
      <c r="W354" s="3" t="str">
        <f t="shared" si="39"/>
        <v>OK</v>
      </c>
      <c r="X354" s="3" t="s">
        <v>647</v>
      </c>
      <c r="Y354" s="3" t="s">
        <v>29</v>
      </c>
      <c r="Z354" s="3" t="s">
        <v>476</v>
      </c>
    </row>
    <row r="355" spans="1:26" x14ac:dyDescent="0.2">
      <c r="A355" s="3" t="str">
        <f t="shared" si="35"/>
        <v>TRIP-T-386</v>
      </c>
      <c r="B355" s="2">
        <v>45922</v>
      </c>
      <c r="C355" s="3"/>
      <c r="D355" s="3"/>
      <c r="E355" s="3"/>
      <c r="F355" s="3"/>
      <c r="G355" s="3"/>
      <c r="H355" s="3"/>
      <c r="I355" s="3"/>
      <c r="J355" s="3"/>
      <c r="K355" s="3"/>
      <c r="L355" s="25" t="s">
        <v>428</v>
      </c>
      <c r="M355" s="29">
        <v>18</v>
      </c>
      <c r="N355" s="3"/>
      <c r="O355" s="3"/>
      <c r="P355" s="3"/>
      <c r="Q355" s="3"/>
      <c r="R355" s="3"/>
      <c r="S355" s="3"/>
      <c r="T355" s="3">
        <f t="shared" si="36"/>
        <v>0</v>
      </c>
      <c r="U355" s="3" t="str">
        <f t="shared" si="37"/>
        <v>OK</v>
      </c>
      <c r="V355" s="21">
        <f t="shared" si="38"/>
        <v>0</v>
      </c>
      <c r="W355" s="3" t="str">
        <f t="shared" si="39"/>
        <v>OK</v>
      </c>
      <c r="X355" s="3" t="s">
        <v>647</v>
      </c>
      <c r="Y355" s="3" t="s">
        <v>29</v>
      </c>
      <c r="Z355" s="3" t="s">
        <v>476</v>
      </c>
    </row>
    <row r="356" spans="1:26" x14ac:dyDescent="0.2">
      <c r="A356" s="3" t="str">
        <f t="shared" si="35"/>
        <v>TRIP-T-387</v>
      </c>
      <c r="B356" s="2">
        <v>45923</v>
      </c>
      <c r="C356" s="3"/>
      <c r="D356" s="3"/>
      <c r="E356" s="3"/>
      <c r="F356" s="3"/>
      <c r="G356" s="3"/>
      <c r="H356" s="3"/>
      <c r="I356" s="3"/>
      <c r="J356" s="3"/>
      <c r="K356" s="3"/>
      <c r="L356" s="25" t="s">
        <v>428</v>
      </c>
      <c r="M356" s="29">
        <v>19</v>
      </c>
      <c r="N356" s="3"/>
      <c r="O356" s="3"/>
      <c r="P356" s="3"/>
      <c r="Q356" s="3"/>
      <c r="R356" s="3"/>
      <c r="S356" s="3"/>
      <c r="T356" s="3">
        <f t="shared" si="36"/>
        <v>0</v>
      </c>
      <c r="U356" s="3" t="str">
        <f t="shared" si="37"/>
        <v>OK</v>
      </c>
      <c r="V356" s="21">
        <f t="shared" si="38"/>
        <v>0</v>
      </c>
      <c r="W356" s="3" t="str">
        <f t="shared" si="39"/>
        <v>OK</v>
      </c>
      <c r="X356" s="3" t="s">
        <v>647</v>
      </c>
      <c r="Y356" s="3" t="s">
        <v>29</v>
      </c>
      <c r="Z356" s="3" t="s">
        <v>476</v>
      </c>
    </row>
    <row r="357" spans="1:26" x14ac:dyDescent="0.2">
      <c r="A357" s="3" t="str">
        <f t="shared" si="35"/>
        <v>TRIP-T-388</v>
      </c>
      <c r="B357" s="2">
        <v>45923</v>
      </c>
      <c r="C357" s="3"/>
      <c r="D357" s="3"/>
      <c r="E357" s="3"/>
      <c r="F357" s="3"/>
      <c r="G357" s="3"/>
      <c r="H357" s="3"/>
      <c r="I357" s="3"/>
      <c r="J357" s="3"/>
      <c r="K357" s="3"/>
      <c r="L357" s="25" t="s">
        <v>428</v>
      </c>
      <c r="M357" s="29">
        <v>15</v>
      </c>
      <c r="N357" s="3"/>
      <c r="O357" s="3"/>
      <c r="P357" s="3"/>
      <c r="Q357" s="3"/>
      <c r="R357" s="3"/>
      <c r="S357" s="3"/>
      <c r="T357" s="3">
        <f t="shared" si="36"/>
        <v>0</v>
      </c>
      <c r="U357" s="3" t="str">
        <f t="shared" si="37"/>
        <v>OK</v>
      </c>
      <c r="V357" s="21">
        <f t="shared" si="38"/>
        <v>0</v>
      </c>
      <c r="W357" s="3" t="str">
        <f t="shared" si="39"/>
        <v>OK</v>
      </c>
      <c r="X357" s="3" t="s">
        <v>647</v>
      </c>
      <c r="Y357" s="3" t="s">
        <v>29</v>
      </c>
      <c r="Z357" s="3" t="s">
        <v>476</v>
      </c>
    </row>
    <row r="358" spans="1:26" x14ac:dyDescent="0.2">
      <c r="A358" s="3" t="str">
        <f t="shared" si="35"/>
        <v>TRIP-T-389</v>
      </c>
      <c r="B358" s="2">
        <v>45923</v>
      </c>
      <c r="C358" s="3"/>
      <c r="D358" s="3"/>
      <c r="E358" s="3"/>
      <c r="F358" s="3"/>
      <c r="G358" s="3"/>
      <c r="H358" s="3"/>
      <c r="I358" s="3"/>
      <c r="J358" s="3"/>
      <c r="K358" s="3"/>
      <c r="L358" s="25" t="s">
        <v>428</v>
      </c>
      <c r="M358" s="29">
        <v>8</v>
      </c>
      <c r="N358" s="3"/>
      <c r="O358" s="3"/>
      <c r="P358" s="3"/>
      <c r="Q358" s="3"/>
      <c r="R358" s="3"/>
      <c r="S358" s="3"/>
      <c r="T358" s="3">
        <f t="shared" si="36"/>
        <v>0</v>
      </c>
      <c r="U358" s="3" t="str">
        <f t="shared" si="37"/>
        <v>OK</v>
      </c>
      <c r="V358" s="21">
        <f t="shared" si="38"/>
        <v>0</v>
      </c>
      <c r="W358" s="3" t="str">
        <f t="shared" si="39"/>
        <v>OK</v>
      </c>
      <c r="X358" s="3" t="s">
        <v>647</v>
      </c>
      <c r="Y358" s="3" t="s">
        <v>29</v>
      </c>
      <c r="Z358" s="3" t="s">
        <v>476</v>
      </c>
    </row>
    <row r="359" spans="1:26" x14ac:dyDescent="0.2">
      <c r="A359" s="3" t="str">
        <f t="shared" si="35"/>
        <v>TRIP-T-390</v>
      </c>
      <c r="B359" s="2">
        <v>45924</v>
      </c>
      <c r="C359" s="3"/>
      <c r="D359" s="3"/>
      <c r="E359" s="3"/>
      <c r="F359" s="3"/>
      <c r="G359" s="3"/>
      <c r="H359" s="3"/>
      <c r="I359" s="3"/>
      <c r="J359" s="3"/>
      <c r="K359" s="3"/>
      <c r="L359" s="25" t="s">
        <v>428</v>
      </c>
      <c r="M359" s="29">
        <v>13</v>
      </c>
      <c r="N359" s="3"/>
      <c r="O359" s="3"/>
      <c r="P359" s="3"/>
      <c r="Q359" s="3"/>
      <c r="R359" s="3"/>
      <c r="S359" s="3"/>
      <c r="T359" s="3">
        <f t="shared" si="36"/>
        <v>0</v>
      </c>
      <c r="U359" s="3" t="str">
        <f t="shared" si="37"/>
        <v>OK</v>
      </c>
      <c r="V359" s="21">
        <f t="shared" si="38"/>
        <v>0</v>
      </c>
      <c r="W359" s="3" t="str">
        <f t="shared" si="39"/>
        <v>OK</v>
      </c>
      <c r="X359" s="3" t="s">
        <v>647</v>
      </c>
      <c r="Y359" s="3" t="s">
        <v>29</v>
      </c>
      <c r="Z359" s="3" t="s">
        <v>476</v>
      </c>
    </row>
    <row r="360" spans="1:26" x14ac:dyDescent="0.2">
      <c r="A360" s="3" t="str">
        <f t="shared" si="35"/>
        <v>TRIP-T-391</v>
      </c>
      <c r="B360" s="2">
        <v>45924</v>
      </c>
      <c r="C360" s="3"/>
      <c r="D360" s="3"/>
      <c r="E360" s="3"/>
      <c r="F360" s="3"/>
      <c r="G360" s="3"/>
      <c r="H360" s="3"/>
      <c r="I360" s="3"/>
      <c r="J360" s="3"/>
      <c r="K360" s="3"/>
      <c r="L360" s="25" t="s">
        <v>428</v>
      </c>
      <c r="M360" s="27">
        <v>18</v>
      </c>
      <c r="N360" s="3"/>
      <c r="O360" s="3"/>
      <c r="P360" s="3"/>
      <c r="Q360" s="3"/>
      <c r="R360" s="3"/>
      <c r="S360" s="3"/>
      <c r="T360" s="3">
        <f t="shared" si="36"/>
        <v>0</v>
      </c>
      <c r="U360" s="3" t="str">
        <f t="shared" si="37"/>
        <v>OK</v>
      </c>
      <c r="V360" s="21">
        <f t="shared" si="38"/>
        <v>0</v>
      </c>
      <c r="W360" s="3" t="str">
        <f t="shared" si="39"/>
        <v>OK</v>
      </c>
      <c r="X360" s="3" t="s">
        <v>647</v>
      </c>
      <c r="Y360" s="3" t="s">
        <v>29</v>
      </c>
      <c r="Z360" s="3" t="s">
        <v>476</v>
      </c>
    </row>
    <row r="361" spans="1:26" x14ac:dyDescent="0.2">
      <c r="A361" s="3" t="str">
        <f t="shared" si="35"/>
        <v>TRIP-T-392</v>
      </c>
      <c r="B361" s="2">
        <v>45929</v>
      </c>
      <c r="C361" s="3"/>
      <c r="D361" s="3"/>
      <c r="E361" s="3"/>
      <c r="F361" s="3"/>
      <c r="G361" s="3"/>
      <c r="H361" s="3"/>
      <c r="I361" s="3"/>
      <c r="J361" s="3"/>
      <c r="K361" s="3"/>
      <c r="L361" s="25" t="s">
        <v>428</v>
      </c>
      <c r="M361" s="27">
        <v>8</v>
      </c>
      <c r="N361" s="3"/>
      <c r="O361" s="3"/>
      <c r="P361" s="3"/>
      <c r="Q361" s="3"/>
      <c r="R361" s="3"/>
      <c r="S361" s="3"/>
      <c r="T361" s="3">
        <f t="shared" si="36"/>
        <v>0</v>
      </c>
      <c r="U361" s="3" t="str">
        <f t="shared" si="37"/>
        <v>OK</v>
      </c>
      <c r="V361" s="21">
        <f t="shared" si="38"/>
        <v>0</v>
      </c>
      <c r="W361" s="3" t="str">
        <f t="shared" si="39"/>
        <v>OK</v>
      </c>
      <c r="X361" s="3" t="s">
        <v>647</v>
      </c>
      <c r="Y361" s="3" t="s">
        <v>29</v>
      </c>
      <c r="Z361" s="3" t="s">
        <v>476</v>
      </c>
    </row>
    <row r="362" spans="1:26" x14ac:dyDescent="0.2">
      <c r="A362" s="3" t="str">
        <f t="shared" si="35"/>
        <v>TRIP-T-393</v>
      </c>
      <c r="B362" s="2">
        <v>45929</v>
      </c>
      <c r="C362" s="3"/>
      <c r="D362" s="3"/>
      <c r="E362" s="3"/>
      <c r="F362" s="3"/>
      <c r="G362" s="3"/>
      <c r="H362" s="3"/>
      <c r="I362" s="3"/>
      <c r="J362" s="3"/>
      <c r="K362" s="3"/>
      <c r="L362" s="25" t="s">
        <v>428</v>
      </c>
      <c r="M362" s="27">
        <v>10</v>
      </c>
      <c r="N362" s="3"/>
      <c r="O362" s="3"/>
      <c r="P362" s="3"/>
      <c r="Q362" s="3"/>
      <c r="R362" s="3"/>
      <c r="S362" s="3"/>
      <c r="T362" s="3">
        <f t="shared" si="36"/>
        <v>0</v>
      </c>
      <c r="U362" s="3" t="str">
        <f t="shared" si="37"/>
        <v>OK</v>
      </c>
      <c r="V362" s="21">
        <f t="shared" si="38"/>
        <v>0</v>
      </c>
      <c r="W362" s="3" t="str">
        <f t="shared" si="39"/>
        <v>OK</v>
      </c>
      <c r="X362" s="3" t="s">
        <v>647</v>
      </c>
      <c r="Y362" s="3" t="s">
        <v>29</v>
      </c>
      <c r="Z362" s="3" t="s">
        <v>476</v>
      </c>
    </row>
    <row r="363" spans="1:26" x14ac:dyDescent="0.2">
      <c r="A363" s="3" t="str">
        <f t="shared" si="35"/>
        <v>TRIP-T-394</v>
      </c>
      <c r="B363" s="2">
        <v>45929</v>
      </c>
      <c r="C363" s="3"/>
      <c r="D363" s="3"/>
      <c r="E363" s="3"/>
      <c r="F363" s="3"/>
      <c r="G363" s="3"/>
      <c r="H363" s="3"/>
      <c r="I363" s="3"/>
      <c r="J363" s="3"/>
      <c r="K363" s="3"/>
      <c r="L363" s="25" t="s">
        <v>428</v>
      </c>
      <c r="M363" s="27">
        <v>23</v>
      </c>
      <c r="N363" s="3"/>
      <c r="O363" s="3"/>
      <c r="P363" s="3"/>
      <c r="Q363" s="3"/>
      <c r="R363" s="3"/>
      <c r="S363" s="3"/>
      <c r="T363" s="3">
        <f t="shared" si="36"/>
        <v>0</v>
      </c>
      <c r="U363" s="3" t="str">
        <f t="shared" si="37"/>
        <v>OK</v>
      </c>
      <c r="V363" s="21">
        <f t="shared" si="38"/>
        <v>0</v>
      </c>
      <c r="W363" s="3" t="str">
        <f t="shared" si="39"/>
        <v>OK</v>
      </c>
      <c r="X363" s="3" t="s">
        <v>647</v>
      </c>
      <c r="Y363" s="3" t="s">
        <v>29</v>
      </c>
      <c r="Z363" s="3" t="s">
        <v>476</v>
      </c>
    </row>
    <row r="364" spans="1:26" x14ac:dyDescent="0.2">
      <c r="A364" s="3" t="str">
        <f t="shared" si="35"/>
        <v>TRIP-T-395</v>
      </c>
      <c r="B364" s="2">
        <v>45929</v>
      </c>
      <c r="C364" s="3"/>
      <c r="D364" s="3"/>
      <c r="E364" s="3"/>
      <c r="F364" s="3"/>
      <c r="G364" s="3"/>
      <c r="H364" s="3"/>
      <c r="I364" s="3"/>
      <c r="J364" s="3"/>
      <c r="K364" s="3"/>
      <c r="L364" s="25" t="s">
        <v>428</v>
      </c>
      <c r="M364" s="27">
        <v>16</v>
      </c>
      <c r="N364" s="3"/>
      <c r="O364" s="3"/>
      <c r="P364" s="3"/>
      <c r="Q364" s="3"/>
      <c r="R364" s="3"/>
      <c r="S364" s="3"/>
      <c r="T364" s="3">
        <f t="shared" si="36"/>
        <v>0</v>
      </c>
      <c r="U364" s="3" t="str">
        <f t="shared" si="37"/>
        <v>OK</v>
      </c>
      <c r="V364" s="21">
        <f t="shared" si="38"/>
        <v>0</v>
      </c>
      <c r="W364" s="3" t="str">
        <f t="shared" si="39"/>
        <v>OK</v>
      </c>
      <c r="X364" s="3" t="s">
        <v>647</v>
      </c>
      <c r="Y364" s="3" t="s">
        <v>29</v>
      </c>
      <c r="Z364" s="3" t="s">
        <v>476</v>
      </c>
    </row>
    <row r="365" spans="1:26" x14ac:dyDescent="0.2">
      <c r="A365" s="3" t="str">
        <f t="shared" si="35"/>
        <v>TRIP-T-396</v>
      </c>
      <c r="B365" s="2">
        <v>45929</v>
      </c>
      <c r="C365" s="3"/>
      <c r="D365" s="3"/>
      <c r="E365" s="3"/>
      <c r="F365" s="3"/>
      <c r="G365" s="3"/>
      <c r="H365" s="3"/>
      <c r="I365" s="3"/>
      <c r="J365" s="3"/>
      <c r="K365" s="3"/>
      <c r="L365" s="25" t="s">
        <v>428</v>
      </c>
      <c r="M365" s="27">
        <v>16</v>
      </c>
      <c r="N365" s="3"/>
      <c r="O365" s="3"/>
      <c r="P365" s="3"/>
      <c r="Q365" s="3"/>
      <c r="R365" s="3"/>
      <c r="S365" s="3"/>
      <c r="T365" s="3">
        <f t="shared" si="36"/>
        <v>0</v>
      </c>
      <c r="U365" s="3" t="str">
        <f t="shared" si="37"/>
        <v>OK</v>
      </c>
      <c r="V365" s="21">
        <f t="shared" si="38"/>
        <v>0</v>
      </c>
      <c r="W365" s="3" t="str">
        <f t="shared" si="39"/>
        <v>OK</v>
      </c>
      <c r="X365" s="3" t="s">
        <v>647</v>
      </c>
      <c r="Y365" s="3" t="s">
        <v>29</v>
      </c>
      <c r="Z365" s="3" t="s">
        <v>476</v>
      </c>
    </row>
    <row r="366" spans="1:26" x14ac:dyDescent="0.2">
      <c r="A366" s="3" t="str">
        <f t="shared" si="35"/>
        <v>TRIP-T-397</v>
      </c>
      <c r="B366" s="2">
        <v>45929</v>
      </c>
      <c r="C366" s="3"/>
      <c r="D366" s="3"/>
      <c r="E366" s="3"/>
      <c r="F366" s="3"/>
      <c r="G366" s="3"/>
      <c r="H366" s="3"/>
      <c r="I366" s="3"/>
      <c r="J366" s="3"/>
      <c r="K366" s="3"/>
      <c r="L366" s="25" t="s">
        <v>428</v>
      </c>
      <c r="M366" s="27">
        <v>12</v>
      </c>
      <c r="N366" s="3"/>
      <c r="O366" s="3"/>
      <c r="P366" s="3"/>
      <c r="Q366" s="3"/>
      <c r="R366" s="3"/>
      <c r="S366" s="3"/>
      <c r="T366" s="3">
        <f t="shared" si="36"/>
        <v>0</v>
      </c>
      <c r="U366" s="3" t="str">
        <f t="shared" si="37"/>
        <v>OK</v>
      </c>
      <c r="V366" s="21">
        <f t="shared" si="38"/>
        <v>0</v>
      </c>
      <c r="W366" s="3" t="str">
        <f t="shared" si="39"/>
        <v>OK</v>
      </c>
      <c r="X366" s="3" t="s">
        <v>647</v>
      </c>
      <c r="Y366" s="3" t="s">
        <v>29</v>
      </c>
      <c r="Z366" s="3" t="s">
        <v>476</v>
      </c>
    </row>
    <row r="367" spans="1:26" x14ac:dyDescent="0.2">
      <c r="A367" s="3" t="str">
        <f t="shared" si="35"/>
        <v>TRIP-T-398</v>
      </c>
      <c r="B367" s="2">
        <v>45934</v>
      </c>
      <c r="C367" s="3"/>
      <c r="D367" s="3"/>
      <c r="E367" s="3"/>
      <c r="F367" s="3"/>
      <c r="G367" s="3"/>
      <c r="H367" s="3"/>
      <c r="I367" s="3"/>
      <c r="J367" s="3"/>
      <c r="K367" s="3"/>
      <c r="L367" s="25" t="s">
        <v>428</v>
      </c>
      <c r="M367" s="27">
        <v>11</v>
      </c>
      <c r="N367" s="3"/>
      <c r="O367" s="3"/>
      <c r="P367" s="3"/>
      <c r="Q367" s="3"/>
      <c r="R367" s="3"/>
      <c r="S367" s="3"/>
      <c r="T367" s="3">
        <f t="shared" si="36"/>
        <v>0</v>
      </c>
      <c r="U367" s="3" t="str">
        <f t="shared" si="37"/>
        <v>OK</v>
      </c>
      <c r="V367" s="21">
        <f t="shared" si="38"/>
        <v>0</v>
      </c>
      <c r="W367" s="3" t="str">
        <f t="shared" si="39"/>
        <v>OK</v>
      </c>
      <c r="X367" s="3" t="s">
        <v>647</v>
      </c>
      <c r="Y367" s="3" t="s">
        <v>29</v>
      </c>
      <c r="Z367" s="3" t="s">
        <v>476</v>
      </c>
    </row>
    <row r="368" spans="1:26" x14ac:dyDescent="0.2">
      <c r="A368" s="3" t="str">
        <f t="shared" si="35"/>
        <v>TRIP-T-399</v>
      </c>
      <c r="B368" s="2">
        <v>45934</v>
      </c>
      <c r="C368" s="3"/>
      <c r="D368" s="3"/>
      <c r="E368" s="3"/>
      <c r="F368" s="3"/>
      <c r="G368" s="3"/>
      <c r="H368" s="3"/>
      <c r="I368" s="3"/>
      <c r="J368" s="3"/>
      <c r="K368" s="3"/>
      <c r="L368" s="25" t="s">
        <v>428</v>
      </c>
      <c r="M368" s="27">
        <v>13</v>
      </c>
      <c r="N368" s="3"/>
      <c r="O368" s="3"/>
      <c r="P368" s="3"/>
      <c r="Q368" s="3"/>
      <c r="R368" s="3"/>
      <c r="S368" s="3"/>
      <c r="T368" s="3">
        <f t="shared" si="36"/>
        <v>0</v>
      </c>
      <c r="U368" s="3" t="str">
        <f t="shared" si="37"/>
        <v>OK</v>
      </c>
      <c r="V368" s="21">
        <f t="shared" si="38"/>
        <v>0</v>
      </c>
      <c r="W368" s="3" t="str">
        <f t="shared" si="39"/>
        <v>OK</v>
      </c>
      <c r="X368" s="3" t="s">
        <v>647</v>
      </c>
      <c r="Y368" s="3" t="s">
        <v>29</v>
      </c>
      <c r="Z368" s="3" t="s">
        <v>476</v>
      </c>
    </row>
    <row r="369" spans="1:26" x14ac:dyDescent="0.2">
      <c r="A369" s="3" t="str">
        <f t="shared" si="35"/>
        <v>TRIP-T-400</v>
      </c>
      <c r="B369" s="2">
        <v>45936</v>
      </c>
      <c r="C369" s="3"/>
      <c r="D369" s="3"/>
      <c r="E369" s="3"/>
      <c r="F369" s="3"/>
      <c r="G369" s="3"/>
      <c r="H369" s="3"/>
      <c r="I369" s="3"/>
      <c r="J369" s="3"/>
      <c r="K369" s="3"/>
      <c r="L369" s="25" t="s">
        <v>428</v>
      </c>
      <c r="M369" s="27">
        <v>11</v>
      </c>
      <c r="N369" s="3"/>
      <c r="O369" s="3"/>
      <c r="P369" s="3"/>
      <c r="Q369" s="3"/>
      <c r="R369" s="3"/>
      <c r="S369" s="3"/>
      <c r="T369" s="3">
        <f t="shared" si="36"/>
        <v>0</v>
      </c>
      <c r="U369" s="3" t="str">
        <f t="shared" si="37"/>
        <v>OK</v>
      </c>
      <c r="V369" s="21">
        <f t="shared" si="38"/>
        <v>0</v>
      </c>
      <c r="W369" s="3" t="str">
        <f t="shared" si="39"/>
        <v>OK</v>
      </c>
      <c r="X369" s="3" t="s">
        <v>647</v>
      </c>
      <c r="Y369" s="3" t="s">
        <v>29</v>
      </c>
      <c r="Z369" s="3" t="s">
        <v>476</v>
      </c>
    </row>
    <row r="370" spans="1:26" x14ac:dyDescent="0.2">
      <c r="A370" s="3" t="str">
        <f t="shared" si="35"/>
        <v>TRIP-T-401</v>
      </c>
      <c r="B370" s="2">
        <v>45938</v>
      </c>
      <c r="C370" s="3"/>
      <c r="D370" s="3"/>
      <c r="E370" s="3"/>
      <c r="F370" s="3"/>
      <c r="G370" s="3"/>
      <c r="H370" s="3"/>
      <c r="I370" s="3"/>
      <c r="J370" s="3"/>
      <c r="K370" s="3"/>
      <c r="L370" s="25" t="s">
        <v>428</v>
      </c>
      <c r="M370" s="27">
        <v>11</v>
      </c>
      <c r="N370" s="3"/>
      <c r="O370" s="3"/>
      <c r="P370" s="3"/>
      <c r="Q370" s="3"/>
      <c r="R370" s="3"/>
      <c r="S370" s="3"/>
      <c r="T370" s="3">
        <f t="shared" si="36"/>
        <v>0</v>
      </c>
      <c r="U370" s="3" t="str">
        <f t="shared" si="37"/>
        <v>OK</v>
      </c>
      <c r="V370" s="21">
        <f t="shared" si="38"/>
        <v>0</v>
      </c>
      <c r="W370" s="3" t="str">
        <f t="shared" si="39"/>
        <v>OK</v>
      </c>
      <c r="X370" s="3" t="s">
        <v>647</v>
      </c>
      <c r="Y370" s="3" t="s">
        <v>29</v>
      </c>
      <c r="Z370" s="3" t="s">
        <v>476</v>
      </c>
    </row>
    <row r="371" spans="1:26" x14ac:dyDescent="0.2">
      <c r="A371" s="3" t="str">
        <f t="shared" si="35"/>
        <v>TRIP-T-402</v>
      </c>
      <c r="B371" s="2">
        <v>45938</v>
      </c>
      <c r="C371" s="3"/>
      <c r="D371" s="3"/>
      <c r="E371" s="3"/>
      <c r="F371" s="3"/>
      <c r="G371" s="3"/>
      <c r="H371" s="3"/>
      <c r="I371" s="3"/>
      <c r="J371" s="3"/>
      <c r="K371" s="3"/>
      <c r="L371" s="25" t="s">
        <v>428</v>
      </c>
      <c r="M371" s="27">
        <v>13</v>
      </c>
      <c r="N371" s="3"/>
      <c r="O371" s="3"/>
      <c r="P371" s="3"/>
      <c r="Q371" s="3"/>
      <c r="R371" s="3"/>
      <c r="S371" s="3"/>
      <c r="T371" s="3">
        <f t="shared" si="36"/>
        <v>0</v>
      </c>
      <c r="U371" s="3" t="str">
        <f t="shared" si="37"/>
        <v>OK</v>
      </c>
      <c r="V371" s="21">
        <f t="shared" si="38"/>
        <v>0</v>
      </c>
      <c r="W371" s="3" t="str">
        <f t="shared" si="39"/>
        <v>OK</v>
      </c>
      <c r="X371" s="3" t="s">
        <v>647</v>
      </c>
      <c r="Y371" s="3" t="s">
        <v>29</v>
      </c>
      <c r="Z371" s="3" t="s">
        <v>476</v>
      </c>
    </row>
    <row r="372" spans="1:26" x14ac:dyDescent="0.2">
      <c r="A372" s="3" t="str">
        <f t="shared" si="35"/>
        <v>TRIP-T-403</v>
      </c>
      <c r="B372" s="2">
        <v>45938</v>
      </c>
      <c r="C372" s="3"/>
      <c r="D372" s="3"/>
      <c r="E372" s="3"/>
      <c r="F372" s="3"/>
      <c r="G372" s="3"/>
      <c r="H372" s="3"/>
      <c r="I372" s="3"/>
      <c r="J372" s="3"/>
      <c r="K372" s="3"/>
      <c r="L372" s="25" t="s">
        <v>428</v>
      </c>
      <c r="M372" s="27">
        <v>14</v>
      </c>
      <c r="N372" s="3"/>
      <c r="O372" s="3"/>
      <c r="P372" s="3"/>
      <c r="Q372" s="3"/>
      <c r="R372" s="3"/>
      <c r="S372" s="3"/>
      <c r="T372" s="3">
        <f t="shared" si="36"/>
        <v>0</v>
      </c>
      <c r="U372" s="3" t="str">
        <f t="shared" si="37"/>
        <v>OK</v>
      </c>
      <c r="V372" s="21">
        <f t="shared" si="38"/>
        <v>0</v>
      </c>
      <c r="W372" s="3" t="str">
        <f t="shared" si="39"/>
        <v>OK</v>
      </c>
      <c r="X372" s="3" t="s">
        <v>647</v>
      </c>
      <c r="Y372" s="3" t="s">
        <v>29</v>
      </c>
      <c r="Z372" s="3" t="s">
        <v>476</v>
      </c>
    </row>
    <row r="373" spans="1:26" x14ac:dyDescent="0.2">
      <c r="A373" s="3" t="str">
        <f t="shared" si="35"/>
        <v>TRIP-T-404</v>
      </c>
      <c r="B373" s="2">
        <v>45938</v>
      </c>
      <c r="C373" s="3"/>
      <c r="D373" s="3"/>
      <c r="E373" s="3"/>
      <c r="F373" s="3"/>
      <c r="G373" s="3"/>
      <c r="H373" s="3"/>
      <c r="I373" s="3"/>
      <c r="J373" s="3"/>
      <c r="K373" s="3"/>
      <c r="L373" s="25" t="s">
        <v>428</v>
      </c>
      <c r="M373" s="27">
        <v>13</v>
      </c>
      <c r="N373" s="3"/>
      <c r="O373" s="3"/>
      <c r="P373" s="3"/>
      <c r="Q373" s="3"/>
      <c r="R373" s="3"/>
      <c r="S373" s="3"/>
      <c r="T373" s="3">
        <f t="shared" si="36"/>
        <v>0</v>
      </c>
      <c r="U373" s="3" t="str">
        <f t="shared" si="37"/>
        <v>OK</v>
      </c>
      <c r="V373" s="21">
        <f t="shared" si="38"/>
        <v>0</v>
      </c>
      <c r="W373" s="3" t="str">
        <f t="shared" si="39"/>
        <v>OK</v>
      </c>
      <c r="X373" s="3" t="s">
        <v>647</v>
      </c>
      <c r="Y373" s="3" t="s">
        <v>29</v>
      </c>
      <c r="Z373" s="3" t="s">
        <v>476</v>
      </c>
    </row>
    <row r="374" spans="1:26" x14ac:dyDescent="0.2">
      <c r="A374" s="3" t="str">
        <f t="shared" si="35"/>
        <v>TRIP-T-405</v>
      </c>
      <c r="B374" s="2">
        <v>45939</v>
      </c>
      <c r="C374" s="3"/>
      <c r="D374" s="3"/>
      <c r="E374" s="3"/>
      <c r="F374" s="3"/>
      <c r="G374" s="3"/>
      <c r="H374" s="3"/>
      <c r="I374" s="3"/>
      <c r="J374" s="3"/>
      <c r="K374" s="3"/>
      <c r="L374" s="25" t="s">
        <v>428</v>
      </c>
      <c r="M374" s="27">
        <v>15</v>
      </c>
      <c r="N374" s="3"/>
      <c r="O374" s="3"/>
      <c r="P374" s="3"/>
      <c r="Q374" s="3"/>
      <c r="R374" s="3"/>
      <c r="S374" s="3"/>
      <c r="T374" s="3">
        <f t="shared" si="36"/>
        <v>0</v>
      </c>
      <c r="U374" s="3" t="str">
        <f t="shared" si="37"/>
        <v>OK</v>
      </c>
      <c r="V374" s="21">
        <f t="shared" si="38"/>
        <v>0</v>
      </c>
      <c r="W374" s="3" t="str">
        <f t="shared" si="39"/>
        <v>OK</v>
      </c>
      <c r="X374" s="3" t="s">
        <v>647</v>
      </c>
      <c r="Y374" s="3" t="s">
        <v>29</v>
      </c>
      <c r="Z374" s="3" t="s">
        <v>476</v>
      </c>
    </row>
    <row r="375" spans="1:26" x14ac:dyDescent="0.2">
      <c r="A375" s="3" t="str">
        <f t="shared" si="35"/>
        <v>TRIP-T-406</v>
      </c>
      <c r="B375" s="2">
        <v>45939</v>
      </c>
      <c r="C375" s="3"/>
      <c r="D375" s="3"/>
      <c r="E375" s="3"/>
      <c r="F375" s="3"/>
      <c r="G375" s="3"/>
      <c r="H375" s="3"/>
      <c r="I375" s="3"/>
      <c r="J375" s="3"/>
      <c r="K375" s="3"/>
      <c r="L375" s="25" t="s">
        <v>428</v>
      </c>
      <c r="M375" s="27">
        <v>12</v>
      </c>
      <c r="N375" s="3"/>
      <c r="O375" s="3"/>
      <c r="P375" s="3"/>
      <c r="Q375" s="3"/>
      <c r="R375" s="3"/>
      <c r="S375" s="3"/>
      <c r="T375" s="3">
        <f t="shared" si="36"/>
        <v>0</v>
      </c>
      <c r="U375" s="3" t="str">
        <f t="shared" si="37"/>
        <v>OK</v>
      </c>
      <c r="V375" s="21">
        <f t="shared" si="38"/>
        <v>0</v>
      </c>
      <c r="W375" s="3" t="str">
        <f t="shared" si="39"/>
        <v>OK</v>
      </c>
      <c r="X375" s="3" t="s">
        <v>647</v>
      </c>
      <c r="Y375" s="3" t="s">
        <v>29</v>
      </c>
      <c r="Z375" s="3" t="s">
        <v>476</v>
      </c>
    </row>
    <row r="376" spans="1:26" x14ac:dyDescent="0.2">
      <c r="A376" s="3" t="str">
        <f t="shared" si="35"/>
        <v>TRIP-T-407</v>
      </c>
      <c r="B376" s="2">
        <v>45939</v>
      </c>
      <c r="C376" s="3"/>
      <c r="D376" s="3"/>
      <c r="E376" s="3"/>
      <c r="F376" s="3"/>
      <c r="G376" s="3"/>
      <c r="H376" s="3"/>
      <c r="I376" s="3"/>
      <c r="J376" s="3"/>
      <c r="K376" s="3"/>
      <c r="L376" s="25" t="s">
        <v>428</v>
      </c>
      <c r="M376" s="27">
        <v>1</v>
      </c>
      <c r="N376" s="3"/>
      <c r="O376" s="3"/>
      <c r="P376" s="3"/>
      <c r="Q376" s="3"/>
      <c r="R376" s="3"/>
      <c r="S376" s="3"/>
      <c r="T376" s="3">
        <f t="shared" si="36"/>
        <v>0</v>
      </c>
      <c r="U376" s="3" t="str">
        <f t="shared" si="37"/>
        <v>OK</v>
      </c>
      <c r="V376" s="21">
        <f t="shared" si="38"/>
        <v>0</v>
      </c>
      <c r="W376" s="3" t="str">
        <f t="shared" si="39"/>
        <v>OK</v>
      </c>
      <c r="X376" s="3" t="s">
        <v>647</v>
      </c>
      <c r="Y376" s="3" t="s">
        <v>29</v>
      </c>
      <c r="Z376" s="3" t="s">
        <v>476</v>
      </c>
    </row>
    <row r="377" spans="1:26" x14ac:dyDescent="0.2">
      <c r="A377" s="3" t="str">
        <f t="shared" si="35"/>
        <v>TRIP-T-408</v>
      </c>
      <c r="B377" s="2">
        <v>45939</v>
      </c>
      <c r="C377" s="3"/>
      <c r="D377" s="3"/>
      <c r="E377" s="3"/>
      <c r="F377" s="3"/>
      <c r="G377" s="3"/>
      <c r="H377" s="3"/>
      <c r="I377" s="3"/>
      <c r="J377" s="3"/>
      <c r="K377" s="3"/>
      <c r="L377" s="25" t="s">
        <v>428</v>
      </c>
      <c r="M377" s="27">
        <v>12</v>
      </c>
      <c r="N377" s="3"/>
      <c r="O377" s="3"/>
      <c r="P377" s="3"/>
      <c r="Q377" s="3"/>
      <c r="R377" s="3"/>
      <c r="S377" s="3"/>
      <c r="T377" s="3">
        <f t="shared" si="36"/>
        <v>0</v>
      </c>
      <c r="U377" s="3" t="str">
        <f t="shared" si="37"/>
        <v>OK</v>
      </c>
      <c r="V377" s="21">
        <f t="shared" si="38"/>
        <v>0</v>
      </c>
      <c r="W377" s="3" t="str">
        <f t="shared" si="39"/>
        <v>OK</v>
      </c>
      <c r="X377" s="3" t="s">
        <v>647</v>
      </c>
      <c r="Y377" s="3" t="s">
        <v>29</v>
      </c>
      <c r="Z377" s="3" t="s">
        <v>476</v>
      </c>
    </row>
    <row r="378" spans="1:26" x14ac:dyDescent="0.2">
      <c r="A378" s="3" t="str">
        <f t="shared" si="35"/>
        <v>TRIP-T-409</v>
      </c>
      <c r="B378" s="2">
        <v>45939</v>
      </c>
      <c r="C378" s="3"/>
      <c r="D378" s="3"/>
      <c r="E378" s="3"/>
      <c r="F378" s="3"/>
      <c r="G378" s="3"/>
      <c r="H378" s="3"/>
      <c r="I378" s="3"/>
      <c r="J378" s="3"/>
      <c r="K378" s="3"/>
      <c r="L378" s="25" t="s">
        <v>428</v>
      </c>
      <c r="M378" s="27">
        <v>8</v>
      </c>
      <c r="N378" s="3"/>
      <c r="O378" s="3"/>
      <c r="P378" s="3"/>
      <c r="Q378" s="3"/>
      <c r="R378" s="3"/>
      <c r="S378" s="3"/>
      <c r="T378" s="3">
        <f t="shared" si="36"/>
        <v>0</v>
      </c>
      <c r="U378" s="3" t="str">
        <f t="shared" si="37"/>
        <v>OK</v>
      </c>
      <c r="V378" s="21">
        <f t="shared" si="38"/>
        <v>0</v>
      </c>
      <c r="W378" s="3" t="str">
        <f t="shared" si="39"/>
        <v>OK</v>
      </c>
      <c r="X378" s="3" t="s">
        <v>647</v>
      </c>
      <c r="Y378" s="3" t="s">
        <v>29</v>
      </c>
      <c r="Z378" s="3" t="s">
        <v>476</v>
      </c>
    </row>
    <row r="379" spans="1:26" x14ac:dyDescent="0.2">
      <c r="A379" s="3" t="str">
        <f t="shared" si="35"/>
        <v>TRIP-T-410</v>
      </c>
      <c r="B379" s="2">
        <v>45939</v>
      </c>
      <c r="C379" s="3"/>
      <c r="D379" s="3"/>
      <c r="E379" s="3"/>
      <c r="F379" s="3"/>
      <c r="G379" s="3"/>
      <c r="H379" s="3"/>
      <c r="I379" s="3"/>
      <c r="J379" s="3"/>
      <c r="K379" s="3"/>
      <c r="L379" s="25" t="s">
        <v>648</v>
      </c>
      <c r="M379" s="27">
        <v>19</v>
      </c>
      <c r="N379" s="3"/>
      <c r="O379" s="3"/>
      <c r="P379" s="3"/>
      <c r="Q379" s="3"/>
      <c r="R379" s="3"/>
      <c r="S379" s="3"/>
      <c r="T379" s="3">
        <f t="shared" si="36"/>
        <v>0</v>
      </c>
      <c r="U379" s="3" t="str">
        <f t="shared" si="37"/>
        <v>OK</v>
      </c>
      <c r="V379" s="21">
        <f t="shared" si="38"/>
        <v>0</v>
      </c>
      <c r="W379" s="3" t="str">
        <f t="shared" si="39"/>
        <v>OK</v>
      </c>
      <c r="X379" s="3" t="s">
        <v>647</v>
      </c>
      <c r="Y379" s="3" t="s">
        <v>29</v>
      </c>
      <c r="Z379" s="3" t="s">
        <v>476</v>
      </c>
    </row>
    <row r="380" spans="1:26" x14ac:dyDescent="0.2">
      <c r="A380" s="3" t="str">
        <f t="shared" si="35"/>
        <v>TRIP-T-411</v>
      </c>
      <c r="B380" s="2">
        <v>45940</v>
      </c>
      <c r="C380" s="3"/>
      <c r="D380" s="3"/>
      <c r="E380" s="3"/>
      <c r="F380" s="3"/>
      <c r="G380" s="3"/>
      <c r="H380" s="3"/>
      <c r="I380" s="3"/>
      <c r="J380" s="3"/>
      <c r="K380" s="3"/>
      <c r="L380" s="25" t="s">
        <v>428</v>
      </c>
      <c r="M380" s="27">
        <v>12</v>
      </c>
      <c r="N380" s="3"/>
      <c r="O380" s="3"/>
      <c r="P380" s="3"/>
      <c r="Q380" s="3"/>
      <c r="R380" s="3"/>
      <c r="S380" s="3"/>
      <c r="T380" s="3">
        <f t="shared" si="36"/>
        <v>0</v>
      </c>
      <c r="U380" s="3" t="str">
        <f t="shared" si="37"/>
        <v>OK</v>
      </c>
      <c r="V380" s="21">
        <f t="shared" si="38"/>
        <v>0</v>
      </c>
      <c r="W380" s="3" t="str">
        <f t="shared" si="39"/>
        <v>OK</v>
      </c>
      <c r="X380" s="3" t="s">
        <v>647</v>
      </c>
      <c r="Y380" s="3" t="s">
        <v>29</v>
      </c>
      <c r="Z380" s="3" t="s">
        <v>476</v>
      </c>
    </row>
    <row r="381" spans="1:26" x14ac:dyDescent="0.2">
      <c r="A381" s="3" t="str">
        <f t="shared" si="35"/>
        <v>TRIP-T-412</v>
      </c>
      <c r="B381" s="2">
        <v>45940</v>
      </c>
      <c r="C381" s="3"/>
      <c r="D381" s="3"/>
      <c r="E381" s="3"/>
      <c r="F381" s="3"/>
      <c r="G381" s="3"/>
      <c r="H381" s="3"/>
      <c r="I381" s="3"/>
      <c r="J381" s="3"/>
      <c r="K381" s="3"/>
      <c r="L381" s="25" t="s">
        <v>648</v>
      </c>
      <c r="M381" s="27">
        <v>2</v>
      </c>
      <c r="N381" s="3"/>
      <c r="O381" s="3"/>
      <c r="P381" s="3"/>
      <c r="Q381" s="3"/>
      <c r="R381" s="3"/>
      <c r="S381" s="3"/>
      <c r="T381" s="3">
        <f t="shared" si="36"/>
        <v>0</v>
      </c>
      <c r="U381" s="3" t="str">
        <f t="shared" si="37"/>
        <v>OK</v>
      </c>
      <c r="V381" s="21">
        <f t="shared" si="38"/>
        <v>0</v>
      </c>
      <c r="W381" s="3" t="str">
        <f t="shared" si="39"/>
        <v>OK</v>
      </c>
      <c r="X381" s="3" t="s">
        <v>647</v>
      </c>
      <c r="Y381" s="3" t="s">
        <v>29</v>
      </c>
      <c r="Z381" s="3" t="s">
        <v>476</v>
      </c>
    </row>
    <row r="382" spans="1:26" x14ac:dyDescent="0.2">
      <c r="A382" s="3" t="str">
        <f t="shared" si="35"/>
        <v>TRIP-T-413</v>
      </c>
      <c r="B382" s="2">
        <v>45940</v>
      </c>
      <c r="C382" s="3"/>
      <c r="D382" s="3"/>
      <c r="E382" s="3"/>
      <c r="F382" s="3"/>
      <c r="G382" s="3"/>
      <c r="H382" s="3"/>
      <c r="I382" s="3"/>
      <c r="J382" s="3"/>
      <c r="K382" s="3"/>
      <c r="L382" s="25" t="s">
        <v>428</v>
      </c>
      <c r="M382" s="27">
        <v>14</v>
      </c>
      <c r="N382" s="3"/>
      <c r="O382" s="3"/>
      <c r="P382" s="3"/>
      <c r="Q382" s="3"/>
      <c r="R382" s="3"/>
      <c r="S382" s="3"/>
      <c r="T382" s="3">
        <f t="shared" si="36"/>
        <v>0</v>
      </c>
      <c r="U382" s="3" t="str">
        <f t="shared" si="37"/>
        <v>OK</v>
      </c>
      <c r="V382" s="21">
        <f t="shared" si="38"/>
        <v>0</v>
      </c>
      <c r="W382" s="3" t="str">
        <f t="shared" si="39"/>
        <v>OK</v>
      </c>
      <c r="X382" s="3" t="s">
        <v>647</v>
      </c>
      <c r="Y382" s="3" t="s">
        <v>29</v>
      </c>
      <c r="Z382" s="3" t="s">
        <v>476</v>
      </c>
    </row>
    <row r="383" spans="1:26" x14ac:dyDescent="0.2">
      <c r="A383" s="3" t="str">
        <f t="shared" si="35"/>
        <v>TRIP-T-414</v>
      </c>
      <c r="B383" s="2">
        <v>45940</v>
      </c>
      <c r="C383" s="3"/>
      <c r="D383" s="3"/>
      <c r="E383" s="3"/>
      <c r="F383" s="3"/>
      <c r="G383" s="3"/>
      <c r="H383" s="3"/>
      <c r="I383" s="3"/>
      <c r="J383" s="3"/>
      <c r="K383" s="3"/>
      <c r="L383" s="25" t="s">
        <v>428</v>
      </c>
      <c r="M383" s="27">
        <v>14</v>
      </c>
      <c r="N383" s="3"/>
      <c r="O383" s="3"/>
      <c r="P383" s="3"/>
      <c r="Q383" s="3"/>
      <c r="R383" s="3"/>
      <c r="S383" s="3"/>
      <c r="T383" s="3">
        <f t="shared" si="36"/>
        <v>0</v>
      </c>
      <c r="U383" s="3" t="str">
        <f t="shared" si="37"/>
        <v>OK</v>
      </c>
      <c r="V383" s="21">
        <f t="shared" si="38"/>
        <v>0</v>
      </c>
      <c r="W383" s="3" t="str">
        <f t="shared" si="39"/>
        <v>OK</v>
      </c>
      <c r="X383" s="3" t="s">
        <v>647</v>
      </c>
      <c r="Y383" s="3" t="s">
        <v>29</v>
      </c>
      <c r="Z383" s="3" t="s">
        <v>476</v>
      </c>
    </row>
    <row r="384" spans="1:26" x14ac:dyDescent="0.2">
      <c r="A384" s="3" t="str">
        <f t="shared" si="35"/>
        <v>TRIP-T-415</v>
      </c>
      <c r="B384" s="2">
        <v>45940</v>
      </c>
      <c r="C384" s="3"/>
      <c r="D384" s="3"/>
      <c r="E384" s="3"/>
      <c r="F384" s="3"/>
      <c r="G384" s="3"/>
      <c r="H384" s="3"/>
      <c r="I384" s="3"/>
      <c r="J384" s="3"/>
      <c r="K384" s="3"/>
      <c r="L384" s="25" t="s">
        <v>648</v>
      </c>
      <c r="M384" s="27">
        <v>29</v>
      </c>
      <c r="N384" s="3"/>
      <c r="O384" s="3"/>
      <c r="P384" s="3"/>
      <c r="Q384" s="3"/>
      <c r="R384" s="3"/>
      <c r="S384" s="3"/>
      <c r="T384" s="3">
        <f t="shared" si="36"/>
        <v>0</v>
      </c>
      <c r="U384" s="3" t="str">
        <f t="shared" si="37"/>
        <v>OK</v>
      </c>
      <c r="V384" s="21">
        <f t="shared" si="38"/>
        <v>0</v>
      </c>
      <c r="W384" s="3" t="str">
        <f t="shared" si="39"/>
        <v>OK</v>
      </c>
      <c r="X384" s="3" t="s">
        <v>647</v>
      </c>
      <c r="Y384" s="3" t="s">
        <v>29</v>
      </c>
      <c r="Z384" s="3" t="s">
        <v>476</v>
      </c>
    </row>
    <row r="385" spans="1:26" x14ac:dyDescent="0.2">
      <c r="A385" s="3" t="str">
        <f t="shared" si="35"/>
        <v>TRIP-T-416</v>
      </c>
      <c r="B385" s="2">
        <v>45940</v>
      </c>
      <c r="C385" s="3"/>
      <c r="D385" s="3"/>
      <c r="E385" s="3"/>
      <c r="F385" s="3"/>
      <c r="G385" s="3"/>
      <c r="H385" s="3"/>
      <c r="I385" s="3"/>
      <c r="J385" s="3"/>
      <c r="K385" s="3"/>
      <c r="L385" s="25" t="s">
        <v>428</v>
      </c>
      <c r="M385" s="27">
        <v>13</v>
      </c>
      <c r="N385" s="3"/>
      <c r="O385" s="3"/>
      <c r="P385" s="3"/>
      <c r="Q385" s="3"/>
      <c r="R385" s="3"/>
      <c r="S385" s="3"/>
      <c r="T385" s="3">
        <f t="shared" si="36"/>
        <v>0</v>
      </c>
      <c r="U385" s="3" t="str">
        <f t="shared" si="37"/>
        <v>OK</v>
      </c>
      <c r="V385" s="21">
        <f t="shared" si="38"/>
        <v>0</v>
      </c>
      <c r="W385" s="3" t="str">
        <f t="shared" si="39"/>
        <v>OK</v>
      </c>
      <c r="X385" s="3" t="s">
        <v>647</v>
      </c>
      <c r="Y385" s="3" t="s">
        <v>29</v>
      </c>
      <c r="Z385" s="3" t="s">
        <v>476</v>
      </c>
    </row>
    <row r="386" spans="1:26" x14ac:dyDescent="0.2">
      <c r="A386" s="3" t="str">
        <f t="shared" ref="A386:A449" si="40">"TRIP-T-"&amp;TEXT(ROW()+31,"000")</f>
        <v>TRIP-T-417</v>
      </c>
      <c r="B386" s="2">
        <v>45941</v>
      </c>
      <c r="C386" s="3"/>
      <c r="D386" s="3"/>
      <c r="E386" s="3"/>
      <c r="F386" s="3"/>
      <c r="G386" s="3"/>
      <c r="H386" s="3"/>
      <c r="I386" s="3"/>
      <c r="J386" s="3"/>
      <c r="K386" s="3"/>
      <c r="L386" s="25" t="s">
        <v>648</v>
      </c>
      <c r="M386" s="27">
        <v>13</v>
      </c>
      <c r="N386" s="3"/>
      <c r="O386" s="3"/>
      <c r="P386" s="3"/>
      <c r="Q386" s="3"/>
      <c r="R386" s="3"/>
      <c r="S386" s="3"/>
      <c r="T386" s="3">
        <f t="shared" ref="T386:T449" si="41">M386*N386</f>
        <v>0</v>
      </c>
      <c r="U386" s="3" t="str">
        <f t="shared" ref="U386:U449" si="42">IF(ROUND(T386,2)=ROUND(O386,2),"OK","CHECK")</f>
        <v>OK</v>
      </c>
      <c r="V386" s="21">
        <f t="shared" ref="V386:V449" si="43">O386-P386</f>
        <v>0</v>
      </c>
      <c r="W386" s="3" t="str">
        <f t="shared" ref="W386:W449" si="44">IF(ROUND(V386,2)=ROUND(Q386,2),"OK","CHECK")</f>
        <v>OK</v>
      </c>
      <c r="X386" s="3" t="s">
        <v>647</v>
      </c>
      <c r="Y386" s="3" t="s">
        <v>29</v>
      </c>
      <c r="Z386" s="3" t="s">
        <v>476</v>
      </c>
    </row>
    <row r="387" spans="1:26" x14ac:dyDescent="0.2">
      <c r="A387" s="3" t="str">
        <f t="shared" si="40"/>
        <v>TRIP-T-418</v>
      </c>
      <c r="B387" s="2">
        <v>45941</v>
      </c>
      <c r="C387" s="3"/>
      <c r="D387" s="3"/>
      <c r="E387" s="3"/>
      <c r="F387" s="3"/>
      <c r="G387" s="3"/>
      <c r="H387" s="3"/>
      <c r="I387" s="3"/>
      <c r="J387" s="3"/>
      <c r="K387" s="3"/>
      <c r="L387" s="25" t="s">
        <v>428</v>
      </c>
      <c r="M387" s="29">
        <v>18</v>
      </c>
      <c r="N387" s="3"/>
      <c r="O387" s="3"/>
      <c r="P387" s="3"/>
      <c r="Q387" s="3"/>
      <c r="R387" s="3"/>
      <c r="S387" s="3"/>
      <c r="T387" s="3">
        <f t="shared" si="41"/>
        <v>0</v>
      </c>
      <c r="U387" s="3" t="str">
        <f t="shared" si="42"/>
        <v>OK</v>
      </c>
      <c r="V387" s="21">
        <f t="shared" si="43"/>
        <v>0</v>
      </c>
      <c r="W387" s="3" t="str">
        <f t="shared" si="44"/>
        <v>OK</v>
      </c>
      <c r="X387" s="3" t="s">
        <v>647</v>
      </c>
      <c r="Y387" s="3" t="s">
        <v>29</v>
      </c>
      <c r="Z387" s="3" t="s">
        <v>476</v>
      </c>
    </row>
    <row r="388" spans="1:26" x14ac:dyDescent="0.2">
      <c r="A388" s="3" t="str">
        <f t="shared" si="40"/>
        <v>TRIP-T-419</v>
      </c>
      <c r="B388" s="2">
        <v>45941</v>
      </c>
      <c r="C388" s="3"/>
      <c r="D388" s="3"/>
      <c r="E388" s="3"/>
      <c r="F388" s="3"/>
      <c r="G388" s="3"/>
      <c r="H388" s="3"/>
      <c r="I388" s="3"/>
      <c r="J388" s="3"/>
      <c r="K388" s="3"/>
      <c r="L388" s="25" t="s">
        <v>428</v>
      </c>
      <c r="M388" s="29">
        <v>16</v>
      </c>
      <c r="N388" s="3"/>
      <c r="O388" s="3"/>
      <c r="P388" s="3"/>
      <c r="Q388" s="3"/>
      <c r="R388" s="3"/>
      <c r="S388" s="3"/>
      <c r="T388" s="3">
        <f t="shared" si="41"/>
        <v>0</v>
      </c>
      <c r="U388" s="3" t="str">
        <f t="shared" si="42"/>
        <v>OK</v>
      </c>
      <c r="V388" s="21">
        <f t="shared" si="43"/>
        <v>0</v>
      </c>
      <c r="W388" s="3" t="str">
        <f t="shared" si="44"/>
        <v>OK</v>
      </c>
      <c r="X388" s="3" t="s">
        <v>647</v>
      </c>
      <c r="Y388" s="3" t="s">
        <v>29</v>
      </c>
      <c r="Z388" s="3" t="s">
        <v>476</v>
      </c>
    </row>
    <row r="389" spans="1:26" x14ac:dyDescent="0.2">
      <c r="A389" s="3" t="str">
        <f t="shared" si="40"/>
        <v>TRIP-T-420</v>
      </c>
      <c r="B389" s="2">
        <v>45942</v>
      </c>
      <c r="C389" s="3"/>
      <c r="D389" s="3"/>
      <c r="E389" s="3"/>
      <c r="F389" s="3"/>
      <c r="G389" s="3"/>
      <c r="H389" s="3"/>
      <c r="I389" s="3"/>
      <c r="J389" s="3"/>
      <c r="K389" s="3"/>
      <c r="L389" s="25" t="s">
        <v>648</v>
      </c>
      <c r="M389" s="27">
        <v>8</v>
      </c>
      <c r="N389" s="3"/>
      <c r="O389" s="3"/>
      <c r="P389" s="3"/>
      <c r="Q389" s="3"/>
      <c r="R389" s="3"/>
      <c r="S389" s="3"/>
      <c r="T389" s="3">
        <f t="shared" si="41"/>
        <v>0</v>
      </c>
      <c r="U389" s="3" t="str">
        <f t="shared" si="42"/>
        <v>OK</v>
      </c>
      <c r="V389" s="21">
        <f t="shared" si="43"/>
        <v>0</v>
      </c>
      <c r="W389" s="3" t="str">
        <f t="shared" si="44"/>
        <v>OK</v>
      </c>
      <c r="X389" s="3" t="s">
        <v>647</v>
      </c>
      <c r="Y389" s="3" t="s">
        <v>29</v>
      </c>
      <c r="Z389" s="3" t="s">
        <v>476</v>
      </c>
    </row>
    <row r="390" spans="1:26" x14ac:dyDescent="0.2">
      <c r="A390" s="3" t="str">
        <f t="shared" si="40"/>
        <v>TRIP-T-421</v>
      </c>
      <c r="B390" s="2">
        <v>45943</v>
      </c>
      <c r="C390" s="3"/>
      <c r="D390" s="3"/>
      <c r="E390" s="3"/>
      <c r="F390" s="3"/>
      <c r="G390" s="3"/>
      <c r="H390" s="3"/>
      <c r="I390" s="3"/>
      <c r="J390" s="3"/>
      <c r="K390" s="3"/>
      <c r="L390" s="25" t="s">
        <v>428</v>
      </c>
      <c r="M390" s="29">
        <v>16</v>
      </c>
      <c r="N390" s="3"/>
      <c r="O390" s="3"/>
      <c r="P390" s="3"/>
      <c r="Q390" s="3"/>
      <c r="R390" s="3"/>
      <c r="S390" s="3"/>
      <c r="T390" s="3">
        <f t="shared" si="41"/>
        <v>0</v>
      </c>
      <c r="U390" s="3" t="str">
        <f t="shared" si="42"/>
        <v>OK</v>
      </c>
      <c r="V390" s="21">
        <f t="shared" si="43"/>
        <v>0</v>
      </c>
      <c r="W390" s="3" t="str">
        <f t="shared" si="44"/>
        <v>OK</v>
      </c>
      <c r="X390" s="3" t="s">
        <v>647</v>
      </c>
      <c r="Y390" s="3" t="s">
        <v>29</v>
      </c>
      <c r="Z390" s="3" t="s">
        <v>476</v>
      </c>
    </row>
    <row r="391" spans="1:26" x14ac:dyDescent="0.2">
      <c r="A391" s="3" t="str">
        <f t="shared" si="40"/>
        <v>TRIP-T-422</v>
      </c>
      <c r="B391" s="2">
        <v>45943</v>
      </c>
      <c r="C391" s="3"/>
      <c r="D391" s="3"/>
      <c r="E391" s="3"/>
      <c r="F391" s="3"/>
      <c r="G391" s="3"/>
      <c r="H391" s="3"/>
      <c r="I391" s="3"/>
      <c r="J391" s="3"/>
      <c r="K391" s="3"/>
      <c r="L391" s="25" t="s">
        <v>648</v>
      </c>
      <c r="M391" s="27">
        <v>24</v>
      </c>
      <c r="N391" s="3"/>
      <c r="O391" s="3"/>
      <c r="P391" s="3"/>
      <c r="Q391" s="3"/>
      <c r="R391" s="3"/>
      <c r="S391" s="3"/>
      <c r="T391" s="3">
        <f t="shared" si="41"/>
        <v>0</v>
      </c>
      <c r="U391" s="3" t="str">
        <f t="shared" si="42"/>
        <v>OK</v>
      </c>
      <c r="V391" s="21">
        <f t="shared" si="43"/>
        <v>0</v>
      </c>
      <c r="W391" s="3" t="str">
        <f t="shared" si="44"/>
        <v>OK</v>
      </c>
      <c r="X391" s="3" t="s">
        <v>647</v>
      </c>
      <c r="Y391" s="3" t="s">
        <v>29</v>
      </c>
      <c r="Z391" s="3" t="s">
        <v>476</v>
      </c>
    </row>
    <row r="392" spans="1:26" x14ac:dyDescent="0.2">
      <c r="A392" s="3" t="str">
        <f t="shared" si="40"/>
        <v>TRIP-T-423</v>
      </c>
      <c r="B392" s="2">
        <v>45944</v>
      </c>
      <c r="C392" s="3"/>
      <c r="D392" s="3"/>
      <c r="E392" s="3"/>
      <c r="F392" s="3"/>
      <c r="G392" s="3"/>
      <c r="H392" s="3"/>
      <c r="I392" s="3"/>
      <c r="J392" s="3"/>
      <c r="K392" s="3"/>
      <c r="L392" s="25" t="s">
        <v>428</v>
      </c>
      <c r="M392" s="29">
        <v>10</v>
      </c>
      <c r="N392" s="3"/>
      <c r="O392" s="3"/>
      <c r="P392" s="3"/>
      <c r="Q392" s="3"/>
      <c r="R392" s="3"/>
      <c r="S392" s="3"/>
      <c r="T392" s="3">
        <f t="shared" si="41"/>
        <v>0</v>
      </c>
      <c r="U392" s="3" t="str">
        <f t="shared" si="42"/>
        <v>OK</v>
      </c>
      <c r="V392" s="21">
        <f t="shared" si="43"/>
        <v>0</v>
      </c>
      <c r="W392" s="3" t="str">
        <f t="shared" si="44"/>
        <v>OK</v>
      </c>
      <c r="X392" s="3" t="s">
        <v>647</v>
      </c>
      <c r="Y392" s="3" t="s">
        <v>29</v>
      </c>
      <c r="Z392" s="3" t="s">
        <v>476</v>
      </c>
    </row>
    <row r="393" spans="1:26" x14ac:dyDescent="0.2">
      <c r="A393" s="3" t="str">
        <f t="shared" si="40"/>
        <v>TRIP-T-424</v>
      </c>
      <c r="B393" s="2">
        <v>45945</v>
      </c>
      <c r="C393" s="3"/>
      <c r="D393" s="3"/>
      <c r="E393" s="3"/>
      <c r="F393" s="3"/>
      <c r="G393" s="3"/>
      <c r="H393" s="3"/>
      <c r="I393" s="3"/>
      <c r="J393" s="3"/>
      <c r="K393" s="3"/>
      <c r="L393" s="25" t="s">
        <v>428</v>
      </c>
      <c r="M393" s="29">
        <v>9</v>
      </c>
      <c r="N393" s="3"/>
      <c r="O393" s="3"/>
      <c r="P393" s="3"/>
      <c r="Q393" s="3"/>
      <c r="R393" s="3"/>
      <c r="S393" s="3"/>
      <c r="T393" s="3">
        <f t="shared" si="41"/>
        <v>0</v>
      </c>
      <c r="U393" s="3" t="str">
        <f t="shared" si="42"/>
        <v>OK</v>
      </c>
      <c r="V393" s="21">
        <f t="shared" si="43"/>
        <v>0</v>
      </c>
      <c r="W393" s="3" t="str">
        <f t="shared" si="44"/>
        <v>OK</v>
      </c>
      <c r="X393" s="3" t="s">
        <v>647</v>
      </c>
      <c r="Y393" s="3" t="s">
        <v>29</v>
      </c>
      <c r="Z393" s="3" t="s">
        <v>476</v>
      </c>
    </row>
    <row r="394" spans="1:26" x14ac:dyDescent="0.2">
      <c r="A394" s="3" t="str">
        <f t="shared" si="40"/>
        <v>TRIP-T-425</v>
      </c>
      <c r="B394" s="2">
        <v>45945</v>
      </c>
      <c r="C394" s="3"/>
      <c r="D394" s="3"/>
      <c r="E394" s="3"/>
      <c r="F394" s="3"/>
      <c r="G394" s="3"/>
      <c r="H394" s="3"/>
      <c r="I394" s="3"/>
      <c r="J394" s="3"/>
      <c r="K394" s="3"/>
      <c r="L394" s="25" t="s">
        <v>648</v>
      </c>
      <c r="M394" s="27">
        <v>34</v>
      </c>
      <c r="N394" s="3"/>
      <c r="O394" s="3"/>
      <c r="P394" s="3"/>
      <c r="Q394" s="3"/>
      <c r="R394" s="3"/>
      <c r="S394" s="3"/>
      <c r="T394" s="3">
        <f t="shared" si="41"/>
        <v>0</v>
      </c>
      <c r="U394" s="3" t="str">
        <f t="shared" si="42"/>
        <v>OK</v>
      </c>
      <c r="V394" s="21">
        <f t="shared" si="43"/>
        <v>0</v>
      </c>
      <c r="W394" s="3" t="str">
        <f t="shared" si="44"/>
        <v>OK</v>
      </c>
      <c r="X394" s="3" t="s">
        <v>647</v>
      </c>
      <c r="Y394" s="3" t="s">
        <v>29</v>
      </c>
      <c r="Z394" s="3" t="s">
        <v>476</v>
      </c>
    </row>
    <row r="395" spans="1:26" x14ac:dyDescent="0.2">
      <c r="A395" s="3" t="str">
        <f t="shared" si="40"/>
        <v>TRIP-T-426</v>
      </c>
      <c r="B395" s="2">
        <v>45945</v>
      </c>
      <c r="C395" s="3"/>
      <c r="D395" s="3"/>
      <c r="E395" s="3"/>
      <c r="F395" s="3"/>
      <c r="G395" s="3"/>
      <c r="H395" s="3"/>
      <c r="I395" s="3"/>
      <c r="J395" s="3"/>
      <c r="K395" s="3"/>
      <c r="L395" s="25" t="s">
        <v>428</v>
      </c>
      <c r="M395" s="27">
        <v>10</v>
      </c>
      <c r="N395" s="3"/>
      <c r="O395" s="3"/>
      <c r="P395" s="3"/>
      <c r="Q395" s="3"/>
      <c r="R395" s="3"/>
      <c r="S395" s="3"/>
      <c r="T395" s="3">
        <f t="shared" si="41"/>
        <v>0</v>
      </c>
      <c r="U395" s="3" t="str">
        <f t="shared" si="42"/>
        <v>OK</v>
      </c>
      <c r="V395" s="21">
        <f t="shared" si="43"/>
        <v>0</v>
      </c>
      <c r="W395" s="3" t="str">
        <f t="shared" si="44"/>
        <v>OK</v>
      </c>
      <c r="X395" s="3" t="s">
        <v>647</v>
      </c>
      <c r="Y395" s="3" t="s">
        <v>29</v>
      </c>
      <c r="Z395" s="3" t="s">
        <v>476</v>
      </c>
    </row>
    <row r="396" spans="1:26" x14ac:dyDescent="0.2">
      <c r="A396" s="3" t="str">
        <f t="shared" si="40"/>
        <v>TRIP-T-427</v>
      </c>
      <c r="B396" s="2">
        <v>45946</v>
      </c>
      <c r="C396" s="3"/>
      <c r="D396" s="3"/>
      <c r="E396" s="3"/>
      <c r="F396" s="3"/>
      <c r="G396" s="3"/>
      <c r="H396" s="3"/>
      <c r="I396" s="3"/>
      <c r="J396" s="3"/>
      <c r="K396" s="3"/>
      <c r="L396" s="25" t="s">
        <v>428</v>
      </c>
      <c r="M396" s="27">
        <v>18</v>
      </c>
      <c r="N396" s="3"/>
      <c r="O396" s="3"/>
      <c r="P396" s="3"/>
      <c r="Q396" s="3"/>
      <c r="R396" s="3"/>
      <c r="S396" s="3"/>
      <c r="T396" s="3">
        <f t="shared" si="41"/>
        <v>0</v>
      </c>
      <c r="U396" s="3" t="str">
        <f t="shared" si="42"/>
        <v>OK</v>
      </c>
      <c r="V396" s="21">
        <f t="shared" si="43"/>
        <v>0</v>
      </c>
      <c r="W396" s="3" t="str">
        <f t="shared" si="44"/>
        <v>OK</v>
      </c>
      <c r="X396" s="3" t="s">
        <v>647</v>
      </c>
      <c r="Y396" s="3" t="s">
        <v>29</v>
      </c>
      <c r="Z396" s="3" t="s">
        <v>476</v>
      </c>
    </row>
    <row r="397" spans="1:26" x14ac:dyDescent="0.2">
      <c r="A397" s="3" t="str">
        <f t="shared" si="40"/>
        <v>TRIP-T-428</v>
      </c>
      <c r="B397" s="2">
        <v>45946</v>
      </c>
      <c r="C397" s="3"/>
      <c r="D397" s="3"/>
      <c r="E397" s="3"/>
      <c r="F397" s="3"/>
      <c r="G397" s="3"/>
      <c r="H397" s="3"/>
      <c r="I397" s="3"/>
      <c r="J397" s="3"/>
      <c r="K397" s="3"/>
      <c r="L397" s="25" t="s">
        <v>428</v>
      </c>
      <c r="M397" s="27">
        <v>9</v>
      </c>
      <c r="N397" s="3"/>
      <c r="O397" s="3"/>
      <c r="P397" s="3"/>
      <c r="Q397" s="3"/>
      <c r="R397" s="3"/>
      <c r="S397" s="3"/>
      <c r="T397" s="3">
        <f t="shared" si="41"/>
        <v>0</v>
      </c>
      <c r="U397" s="3" t="str">
        <f t="shared" si="42"/>
        <v>OK</v>
      </c>
      <c r="V397" s="21">
        <f t="shared" si="43"/>
        <v>0</v>
      </c>
      <c r="W397" s="3" t="str">
        <f t="shared" si="44"/>
        <v>OK</v>
      </c>
      <c r="X397" s="3" t="s">
        <v>647</v>
      </c>
      <c r="Y397" s="3" t="s">
        <v>29</v>
      </c>
      <c r="Z397" s="3" t="s">
        <v>476</v>
      </c>
    </row>
    <row r="398" spans="1:26" x14ac:dyDescent="0.2">
      <c r="A398" s="3" t="str">
        <f t="shared" si="40"/>
        <v>TRIP-T-429</v>
      </c>
      <c r="B398" s="2">
        <v>45946</v>
      </c>
      <c r="C398" s="3"/>
      <c r="D398" s="3"/>
      <c r="E398" s="3"/>
      <c r="F398" s="3"/>
      <c r="G398" s="3"/>
      <c r="H398" s="3"/>
      <c r="I398" s="3"/>
      <c r="J398" s="3"/>
      <c r="K398" s="3"/>
      <c r="L398" s="25" t="s">
        <v>428</v>
      </c>
      <c r="M398" s="27">
        <v>10</v>
      </c>
      <c r="N398" s="3"/>
      <c r="O398" s="3"/>
      <c r="P398" s="3"/>
      <c r="Q398" s="3"/>
      <c r="R398" s="3"/>
      <c r="S398" s="3"/>
      <c r="T398" s="3">
        <f t="shared" si="41"/>
        <v>0</v>
      </c>
      <c r="U398" s="3" t="str">
        <f t="shared" si="42"/>
        <v>OK</v>
      </c>
      <c r="V398" s="21">
        <f t="shared" si="43"/>
        <v>0</v>
      </c>
      <c r="W398" s="3" t="str">
        <f t="shared" si="44"/>
        <v>OK</v>
      </c>
      <c r="X398" s="3" t="s">
        <v>647</v>
      </c>
      <c r="Y398" s="3" t="s">
        <v>29</v>
      </c>
      <c r="Z398" s="3" t="s">
        <v>476</v>
      </c>
    </row>
    <row r="399" spans="1:26" x14ac:dyDescent="0.2">
      <c r="A399" s="3" t="str">
        <f t="shared" si="40"/>
        <v>TRIP-T-430</v>
      </c>
      <c r="B399" s="2">
        <v>45947</v>
      </c>
      <c r="C399" s="3"/>
      <c r="D399" s="3"/>
      <c r="E399" s="3"/>
      <c r="F399" s="3"/>
      <c r="G399" s="3"/>
      <c r="H399" s="3"/>
      <c r="I399" s="3"/>
      <c r="J399" s="3"/>
      <c r="K399" s="3"/>
      <c r="L399" s="25" t="s">
        <v>648</v>
      </c>
      <c r="M399" s="27">
        <v>14</v>
      </c>
      <c r="N399" s="3"/>
      <c r="O399" s="3"/>
      <c r="P399" s="3"/>
      <c r="Q399" s="3"/>
      <c r="R399" s="3"/>
      <c r="S399" s="3"/>
      <c r="T399" s="3">
        <f t="shared" si="41"/>
        <v>0</v>
      </c>
      <c r="U399" s="3" t="str">
        <f t="shared" si="42"/>
        <v>OK</v>
      </c>
      <c r="V399" s="21">
        <f t="shared" si="43"/>
        <v>0</v>
      </c>
      <c r="W399" s="3" t="str">
        <f t="shared" si="44"/>
        <v>OK</v>
      </c>
      <c r="X399" s="3" t="s">
        <v>647</v>
      </c>
      <c r="Y399" s="3" t="s">
        <v>29</v>
      </c>
      <c r="Z399" s="3" t="s">
        <v>476</v>
      </c>
    </row>
    <row r="400" spans="1:26" x14ac:dyDescent="0.2">
      <c r="A400" s="3" t="str">
        <f t="shared" si="40"/>
        <v>TRIP-T-431</v>
      </c>
      <c r="B400" s="2">
        <v>45948</v>
      </c>
      <c r="C400" s="3"/>
      <c r="D400" s="3"/>
      <c r="E400" s="3"/>
      <c r="F400" s="3"/>
      <c r="G400" s="3"/>
      <c r="H400" s="3"/>
      <c r="I400" s="3"/>
      <c r="J400" s="3"/>
      <c r="K400" s="3"/>
      <c r="L400" s="25" t="s">
        <v>428</v>
      </c>
      <c r="M400" s="27">
        <v>3</v>
      </c>
      <c r="N400" s="3"/>
      <c r="O400" s="3"/>
      <c r="P400" s="3"/>
      <c r="Q400" s="3"/>
      <c r="R400" s="3"/>
      <c r="S400" s="3"/>
      <c r="T400" s="3">
        <f t="shared" si="41"/>
        <v>0</v>
      </c>
      <c r="U400" s="3" t="str">
        <f t="shared" si="42"/>
        <v>OK</v>
      </c>
      <c r="V400" s="21">
        <f t="shared" si="43"/>
        <v>0</v>
      </c>
      <c r="W400" s="3" t="str">
        <f t="shared" si="44"/>
        <v>OK</v>
      </c>
      <c r="X400" s="3" t="s">
        <v>647</v>
      </c>
      <c r="Y400" s="3" t="s">
        <v>29</v>
      </c>
      <c r="Z400" s="3" t="s">
        <v>476</v>
      </c>
    </row>
    <row r="401" spans="1:26" x14ac:dyDescent="0.2">
      <c r="A401" s="3" t="str">
        <f t="shared" si="40"/>
        <v>TRIP-T-432</v>
      </c>
      <c r="B401" s="2">
        <v>45948</v>
      </c>
      <c r="C401" s="3"/>
      <c r="D401" s="3"/>
      <c r="E401" s="3"/>
      <c r="F401" s="3"/>
      <c r="G401" s="3"/>
      <c r="H401" s="3"/>
      <c r="I401" s="3"/>
      <c r="J401" s="3"/>
      <c r="K401" s="3"/>
      <c r="L401" s="25" t="s">
        <v>428</v>
      </c>
      <c r="M401" s="27">
        <v>11</v>
      </c>
      <c r="N401" s="3"/>
      <c r="O401" s="3"/>
      <c r="P401" s="3"/>
      <c r="Q401" s="3"/>
      <c r="R401" s="3"/>
      <c r="S401" s="3"/>
      <c r="T401" s="3">
        <f t="shared" si="41"/>
        <v>0</v>
      </c>
      <c r="U401" s="3" t="str">
        <f t="shared" si="42"/>
        <v>OK</v>
      </c>
      <c r="V401" s="21">
        <f t="shared" si="43"/>
        <v>0</v>
      </c>
      <c r="W401" s="3" t="str">
        <f t="shared" si="44"/>
        <v>OK</v>
      </c>
      <c r="X401" s="3" t="s">
        <v>647</v>
      </c>
      <c r="Y401" s="3" t="s">
        <v>29</v>
      </c>
      <c r="Z401" s="3" t="s">
        <v>476</v>
      </c>
    </row>
    <row r="402" spans="1:26" x14ac:dyDescent="0.2">
      <c r="A402" s="3" t="str">
        <f t="shared" si="40"/>
        <v>TRIP-T-433</v>
      </c>
      <c r="B402" s="2">
        <v>45949</v>
      </c>
      <c r="C402" s="3"/>
      <c r="D402" s="3"/>
      <c r="E402" s="3"/>
      <c r="F402" s="3"/>
      <c r="G402" s="3"/>
      <c r="H402" s="3"/>
      <c r="I402" s="3"/>
      <c r="J402" s="3"/>
      <c r="K402" s="3"/>
      <c r="L402" s="25" t="s">
        <v>428</v>
      </c>
      <c r="M402" s="27">
        <v>13</v>
      </c>
      <c r="N402" s="3"/>
      <c r="O402" s="3"/>
      <c r="P402" s="3"/>
      <c r="Q402" s="3"/>
      <c r="R402" s="3"/>
      <c r="S402" s="3"/>
      <c r="T402" s="3">
        <f t="shared" si="41"/>
        <v>0</v>
      </c>
      <c r="U402" s="3" t="str">
        <f t="shared" si="42"/>
        <v>OK</v>
      </c>
      <c r="V402" s="21">
        <f t="shared" si="43"/>
        <v>0</v>
      </c>
      <c r="W402" s="3" t="str">
        <f t="shared" si="44"/>
        <v>OK</v>
      </c>
      <c r="X402" s="3" t="s">
        <v>647</v>
      </c>
      <c r="Y402" s="3" t="s">
        <v>29</v>
      </c>
      <c r="Z402" s="3" t="s">
        <v>476</v>
      </c>
    </row>
    <row r="403" spans="1:26" x14ac:dyDescent="0.2">
      <c r="A403" s="3" t="str">
        <f t="shared" si="40"/>
        <v>TRIP-T-434</v>
      </c>
      <c r="B403" s="2">
        <v>45954</v>
      </c>
      <c r="C403" s="3"/>
      <c r="D403" s="3"/>
      <c r="E403" s="3"/>
      <c r="F403" s="3"/>
      <c r="G403" s="3"/>
      <c r="H403" s="3"/>
      <c r="I403" s="3"/>
      <c r="J403" s="3"/>
      <c r="K403" s="3"/>
      <c r="L403" s="25" t="s">
        <v>428</v>
      </c>
      <c r="M403" s="27">
        <v>8</v>
      </c>
      <c r="N403" s="3"/>
      <c r="O403" s="3"/>
      <c r="P403" s="3"/>
      <c r="Q403" s="3"/>
      <c r="R403" s="3"/>
      <c r="S403" s="3"/>
      <c r="T403" s="3">
        <f t="shared" si="41"/>
        <v>0</v>
      </c>
      <c r="U403" s="3" t="str">
        <f t="shared" si="42"/>
        <v>OK</v>
      </c>
      <c r="V403" s="21">
        <f t="shared" si="43"/>
        <v>0</v>
      </c>
      <c r="W403" s="3" t="str">
        <f t="shared" si="44"/>
        <v>OK</v>
      </c>
      <c r="X403" s="3" t="s">
        <v>647</v>
      </c>
      <c r="Y403" s="3" t="s">
        <v>29</v>
      </c>
      <c r="Z403" s="3" t="s">
        <v>476</v>
      </c>
    </row>
    <row r="404" spans="1:26" x14ac:dyDescent="0.2">
      <c r="A404" s="3" t="str">
        <f t="shared" si="40"/>
        <v>TRIP-T-435</v>
      </c>
      <c r="B404" s="2">
        <v>45954</v>
      </c>
      <c r="C404" s="3"/>
      <c r="D404" s="3"/>
      <c r="E404" s="3"/>
      <c r="F404" s="3"/>
      <c r="G404" s="3"/>
      <c r="H404" s="3"/>
      <c r="I404" s="3"/>
      <c r="J404" s="3"/>
      <c r="K404" s="3"/>
      <c r="L404" s="25" t="s">
        <v>648</v>
      </c>
      <c r="M404" s="27">
        <v>13</v>
      </c>
      <c r="N404" s="3"/>
      <c r="O404" s="3"/>
      <c r="P404" s="3"/>
      <c r="Q404" s="3"/>
      <c r="R404" s="3"/>
      <c r="S404" s="3"/>
      <c r="T404" s="3">
        <f t="shared" si="41"/>
        <v>0</v>
      </c>
      <c r="U404" s="3" t="str">
        <f t="shared" si="42"/>
        <v>OK</v>
      </c>
      <c r="V404" s="21">
        <f t="shared" si="43"/>
        <v>0</v>
      </c>
      <c r="W404" s="3" t="str">
        <f t="shared" si="44"/>
        <v>OK</v>
      </c>
      <c r="X404" s="3" t="s">
        <v>647</v>
      </c>
      <c r="Y404" s="3" t="s">
        <v>29</v>
      </c>
      <c r="Z404" s="3" t="s">
        <v>476</v>
      </c>
    </row>
    <row r="405" spans="1:26" x14ac:dyDescent="0.2">
      <c r="A405" s="3" t="str">
        <f t="shared" si="40"/>
        <v>TRIP-T-436</v>
      </c>
      <c r="B405" s="2">
        <v>45955</v>
      </c>
      <c r="C405" s="3"/>
      <c r="D405" s="3"/>
      <c r="E405" s="3"/>
      <c r="F405" s="3"/>
      <c r="G405" s="3"/>
      <c r="H405" s="3"/>
      <c r="I405" s="3"/>
      <c r="J405" s="3"/>
      <c r="K405" s="3"/>
      <c r="L405" s="25" t="s">
        <v>428</v>
      </c>
      <c r="M405" s="27">
        <v>14</v>
      </c>
      <c r="N405" s="3"/>
      <c r="O405" s="3"/>
      <c r="P405" s="3"/>
      <c r="Q405" s="3"/>
      <c r="R405" s="3"/>
      <c r="S405" s="3"/>
      <c r="T405" s="3">
        <f t="shared" si="41"/>
        <v>0</v>
      </c>
      <c r="U405" s="3" t="str">
        <f t="shared" si="42"/>
        <v>OK</v>
      </c>
      <c r="V405" s="21">
        <f t="shared" si="43"/>
        <v>0</v>
      </c>
      <c r="W405" s="3" t="str">
        <f t="shared" si="44"/>
        <v>OK</v>
      </c>
      <c r="X405" s="3" t="s">
        <v>647</v>
      </c>
      <c r="Y405" s="3" t="s">
        <v>29</v>
      </c>
      <c r="Z405" s="3" t="s">
        <v>476</v>
      </c>
    </row>
    <row r="406" spans="1:26" x14ac:dyDescent="0.2">
      <c r="A406" s="3" t="str">
        <f t="shared" si="40"/>
        <v>TRIP-T-437</v>
      </c>
      <c r="B406" s="2">
        <v>45957</v>
      </c>
      <c r="C406" s="3"/>
      <c r="D406" s="3"/>
      <c r="E406" s="3"/>
      <c r="F406" s="3"/>
      <c r="G406" s="3"/>
      <c r="H406" s="3"/>
      <c r="I406" s="3"/>
      <c r="J406" s="3"/>
      <c r="K406" s="3"/>
      <c r="L406" s="25" t="s">
        <v>648</v>
      </c>
      <c r="M406" s="27">
        <v>2</v>
      </c>
      <c r="N406" s="3"/>
      <c r="O406" s="3"/>
      <c r="P406" s="3"/>
      <c r="Q406" s="3"/>
      <c r="R406" s="3"/>
      <c r="S406" s="3"/>
      <c r="T406" s="3">
        <f t="shared" si="41"/>
        <v>0</v>
      </c>
      <c r="U406" s="3" t="str">
        <f t="shared" si="42"/>
        <v>OK</v>
      </c>
      <c r="V406" s="21">
        <f t="shared" si="43"/>
        <v>0</v>
      </c>
      <c r="W406" s="3" t="str">
        <f t="shared" si="44"/>
        <v>OK</v>
      </c>
      <c r="X406" s="3" t="s">
        <v>647</v>
      </c>
      <c r="Y406" s="3" t="s">
        <v>29</v>
      </c>
      <c r="Z406" s="3" t="s">
        <v>476</v>
      </c>
    </row>
    <row r="407" spans="1:26" x14ac:dyDescent="0.2">
      <c r="A407" s="3" t="str">
        <f t="shared" si="40"/>
        <v>TRIP-T-438</v>
      </c>
      <c r="B407" s="2">
        <v>45957</v>
      </c>
      <c r="C407" s="3"/>
      <c r="D407" s="3"/>
      <c r="E407" s="3"/>
      <c r="F407" s="3"/>
      <c r="G407" s="3"/>
      <c r="H407" s="3"/>
      <c r="I407" s="3"/>
      <c r="J407" s="3"/>
      <c r="K407" s="3"/>
      <c r="L407" s="25" t="s">
        <v>428</v>
      </c>
      <c r="M407" s="27">
        <v>12</v>
      </c>
      <c r="N407" s="3"/>
      <c r="O407" s="3"/>
      <c r="P407" s="3"/>
      <c r="Q407" s="3"/>
      <c r="R407" s="3"/>
      <c r="S407" s="3"/>
      <c r="T407" s="3">
        <f t="shared" si="41"/>
        <v>0</v>
      </c>
      <c r="U407" s="3" t="str">
        <f t="shared" si="42"/>
        <v>OK</v>
      </c>
      <c r="V407" s="21">
        <f t="shared" si="43"/>
        <v>0</v>
      </c>
      <c r="W407" s="3" t="str">
        <f t="shared" si="44"/>
        <v>OK</v>
      </c>
      <c r="X407" s="3" t="s">
        <v>647</v>
      </c>
      <c r="Y407" s="3" t="s">
        <v>29</v>
      </c>
      <c r="Z407" s="3" t="s">
        <v>476</v>
      </c>
    </row>
    <row r="408" spans="1:26" x14ac:dyDescent="0.2">
      <c r="A408" s="3" t="str">
        <f t="shared" si="40"/>
        <v>TRIP-T-439</v>
      </c>
      <c r="B408" s="2">
        <v>45957</v>
      </c>
      <c r="C408" s="3"/>
      <c r="D408" s="3"/>
      <c r="E408" s="3"/>
      <c r="F408" s="3"/>
      <c r="G408" s="3"/>
      <c r="H408" s="3"/>
      <c r="I408" s="3"/>
      <c r="J408" s="3"/>
      <c r="K408" s="3"/>
      <c r="L408" s="25" t="s">
        <v>428</v>
      </c>
      <c r="M408" s="27">
        <v>15</v>
      </c>
      <c r="N408" s="3"/>
      <c r="O408" s="3"/>
      <c r="P408" s="3"/>
      <c r="Q408" s="3"/>
      <c r="R408" s="3"/>
      <c r="S408" s="3"/>
      <c r="T408" s="3">
        <f t="shared" si="41"/>
        <v>0</v>
      </c>
      <c r="U408" s="3" t="str">
        <f t="shared" si="42"/>
        <v>OK</v>
      </c>
      <c r="V408" s="21">
        <f t="shared" si="43"/>
        <v>0</v>
      </c>
      <c r="W408" s="3" t="str">
        <f t="shared" si="44"/>
        <v>OK</v>
      </c>
      <c r="X408" s="3" t="s">
        <v>647</v>
      </c>
      <c r="Y408" s="3" t="s">
        <v>29</v>
      </c>
      <c r="Z408" s="3" t="s">
        <v>476</v>
      </c>
    </row>
    <row r="409" spans="1:26" x14ac:dyDescent="0.2">
      <c r="A409" s="3" t="str">
        <f t="shared" si="40"/>
        <v>TRIP-T-440</v>
      </c>
      <c r="B409" s="2">
        <v>45958</v>
      </c>
      <c r="C409" s="3"/>
      <c r="D409" s="3"/>
      <c r="E409" s="3"/>
      <c r="F409" s="3"/>
      <c r="G409" s="3"/>
      <c r="H409" s="3"/>
      <c r="I409" s="3"/>
      <c r="J409" s="3"/>
      <c r="K409" s="3"/>
      <c r="L409" s="25" t="s">
        <v>428</v>
      </c>
      <c r="M409" s="27">
        <v>15</v>
      </c>
      <c r="N409" s="3"/>
      <c r="O409" s="3"/>
      <c r="P409" s="3"/>
      <c r="Q409" s="3"/>
      <c r="R409" s="3"/>
      <c r="S409" s="3"/>
      <c r="T409" s="3">
        <f t="shared" si="41"/>
        <v>0</v>
      </c>
      <c r="U409" s="3" t="str">
        <f t="shared" si="42"/>
        <v>OK</v>
      </c>
      <c r="V409" s="21">
        <f t="shared" si="43"/>
        <v>0</v>
      </c>
      <c r="W409" s="3" t="str">
        <f t="shared" si="44"/>
        <v>OK</v>
      </c>
      <c r="X409" s="3" t="s">
        <v>647</v>
      </c>
      <c r="Y409" s="3" t="s">
        <v>29</v>
      </c>
      <c r="Z409" s="3" t="s">
        <v>476</v>
      </c>
    </row>
    <row r="410" spans="1:26" x14ac:dyDescent="0.2">
      <c r="A410" s="3" t="str">
        <f t="shared" si="40"/>
        <v>TRIP-T-441</v>
      </c>
      <c r="B410" s="2">
        <v>45958</v>
      </c>
      <c r="C410" s="3"/>
      <c r="D410" s="3"/>
      <c r="E410" s="3"/>
      <c r="F410" s="3"/>
      <c r="G410" s="3"/>
      <c r="H410" s="3"/>
      <c r="I410" s="3"/>
      <c r="J410" s="3"/>
      <c r="K410" s="3"/>
      <c r="L410" s="25" t="s">
        <v>428</v>
      </c>
      <c r="M410" s="27">
        <v>10</v>
      </c>
      <c r="N410" s="3"/>
      <c r="O410" s="3"/>
      <c r="P410" s="3"/>
      <c r="Q410" s="3"/>
      <c r="R410" s="3"/>
      <c r="S410" s="3"/>
      <c r="T410" s="3">
        <f t="shared" si="41"/>
        <v>0</v>
      </c>
      <c r="U410" s="3" t="str">
        <f t="shared" si="42"/>
        <v>OK</v>
      </c>
      <c r="V410" s="21">
        <f t="shared" si="43"/>
        <v>0</v>
      </c>
      <c r="W410" s="3" t="str">
        <f t="shared" si="44"/>
        <v>OK</v>
      </c>
      <c r="X410" s="3" t="s">
        <v>647</v>
      </c>
      <c r="Y410" s="3" t="s">
        <v>29</v>
      </c>
      <c r="Z410" s="3" t="s">
        <v>476</v>
      </c>
    </row>
    <row r="411" spans="1:26" x14ac:dyDescent="0.2">
      <c r="A411" s="3" t="str">
        <f t="shared" si="40"/>
        <v>TRIP-T-442</v>
      </c>
      <c r="B411" s="2">
        <v>45958</v>
      </c>
      <c r="C411" s="3"/>
      <c r="D411" s="3"/>
      <c r="E411" s="3"/>
      <c r="F411" s="3"/>
      <c r="G411" s="3"/>
      <c r="H411" s="3"/>
      <c r="I411" s="3"/>
      <c r="J411" s="3"/>
      <c r="K411" s="3"/>
      <c r="L411" s="25" t="s">
        <v>648</v>
      </c>
      <c r="M411" s="27">
        <v>6</v>
      </c>
      <c r="N411" s="3"/>
      <c r="O411" s="3"/>
      <c r="P411" s="3"/>
      <c r="Q411" s="3"/>
      <c r="R411" s="3"/>
      <c r="S411" s="3"/>
      <c r="T411" s="3">
        <f t="shared" si="41"/>
        <v>0</v>
      </c>
      <c r="U411" s="3" t="str">
        <f t="shared" si="42"/>
        <v>OK</v>
      </c>
      <c r="V411" s="21">
        <f t="shared" si="43"/>
        <v>0</v>
      </c>
      <c r="W411" s="3" t="str">
        <f t="shared" si="44"/>
        <v>OK</v>
      </c>
      <c r="X411" s="3" t="s">
        <v>647</v>
      </c>
      <c r="Y411" s="3" t="s">
        <v>29</v>
      </c>
      <c r="Z411" s="3" t="s">
        <v>476</v>
      </c>
    </row>
    <row r="412" spans="1:26" x14ac:dyDescent="0.2">
      <c r="A412" s="3" t="str">
        <f t="shared" si="40"/>
        <v>TRIP-T-443</v>
      </c>
      <c r="B412" s="2">
        <v>45958</v>
      </c>
      <c r="C412" s="3"/>
      <c r="D412" s="3"/>
      <c r="E412" s="3"/>
      <c r="F412" s="3"/>
      <c r="G412" s="3"/>
      <c r="H412" s="3"/>
      <c r="I412" s="3"/>
      <c r="J412" s="3"/>
      <c r="K412" s="3"/>
      <c r="L412" s="25" t="s">
        <v>428</v>
      </c>
      <c r="M412" s="27">
        <v>7</v>
      </c>
      <c r="N412" s="3"/>
      <c r="O412" s="3"/>
      <c r="P412" s="3"/>
      <c r="Q412" s="3"/>
      <c r="R412" s="3"/>
      <c r="S412" s="3"/>
      <c r="T412" s="3">
        <f t="shared" si="41"/>
        <v>0</v>
      </c>
      <c r="U412" s="3" t="str">
        <f t="shared" si="42"/>
        <v>OK</v>
      </c>
      <c r="V412" s="21">
        <f t="shared" si="43"/>
        <v>0</v>
      </c>
      <c r="W412" s="3" t="str">
        <f t="shared" si="44"/>
        <v>OK</v>
      </c>
      <c r="X412" s="3" t="s">
        <v>647</v>
      </c>
      <c r="Y412" s="3" t="s">
        <v>29</v>
      </c>
      <c r="Z412" s="3" t="s">
        <v>476</v>
      </c>
    </row>
    <row r="413" spans="1:26" x14ac:dyDescent="0.2">
      <c r="A413" s="3" t="str">
        <f t="shared" si="40"/>
        <v>TRIP-T-444</v>
      </c>
      <c r="B413" s="2">
        <v>45959</v>
      </c>
      <c r="C413" s="3"/>
      <c r="D413" s="3"/>
      <c r="E413" s="3"/>
      <c r="F413" s="3"/>
      <c r="G413" s="3"/>
      <c r="H413" s="3"/>
      <c r="I413" s="3"/>
      <c r="J413" s="3"/>
      <c r="K413" s="3"/>
      <c r="L413" s="25" t="s">
        <v>648</v>
      </c>
      <c r="M413" s="27">
        <v>10</v>
      </c>
      <c r="N413" s="3"/>
      <c r="O413" s="3"/>
      <c r="P413" s="3"/>
      <c r="Q413" s="3"/>
      <c r="R413" s="3"/>
      <c r="S413" s="3"/>
      <c r="T413" s="3">
        <f t="shared" si="41"/>
        <v>0</v>
      </c>
      <c r="U413" s="3" t="str">
        <f t="shared" si="42"/>
        <v>OK</v>
      </c>
      <c r="V413" s="21">
        <f t="shared" si="43"/>
        <v>0</v>
      </c>
      <c r="W413" s="3" t="str">
        <f t="shared" si="44"/>
        <v>OK</v>
      </c>
      <c r="X413" s="3" t="s">
        <v>647</v>
      </c>
      <c r="Y413" s="3" t="s">
        <v>29</v>
      </c>
      <c r="Z413" s="3" t="s">
        <v>476</v>
      </c>
    </row>
    <row r="414" spans="1:26" x14ac:dyDescent="0.2">
      <c r="A414" s="3" t="str">
        <f t="shared" si="40"/>
        <v>TRIP-T-445</v>
      </c>
      <c r="B414" s="2">
        <v>45959</v>
      </c>
      <c r="C414" s="3"/>
      <c r="D414" s="3"/>
      <c r="E414" s="3"/>
      <c r="F414" s="3"/>
      <c r="G414" s="3"/>
      <c r="H414" s="3"/>
      <c r="I414" s="3"/>
      <c r="J414" s="3"/>
      <c r="K414" s="3"/>
      <c r="L414" s="25" t="s">
        <v>428</v>
      </c>
      <c r="M414" s="27">
        <v>9</v>
      </c>
      <c r="N414" s="3"/>
      <c r="O414" s="3"/>
      <c r="P414" s="3"/>
      <c r="Q414" s="3"/>
      <c r="R414" s="3"/>
      <c r="S414" s="3"/>
      <c r="T414" s="3">
        <f t="shared" si="41"/>
        <v>0</v>
      </c>
      <c r="U414" s="3" t="str">
        <f t="shared" si="42"/>
        <v>OK</v>
      </c>
      <c r="V414" s="21">
        <f t="shared" si="43"/>
        <v>0</v>
      </c>
      <c r="W414" s="3" t="str">
        <f t="shared" si="44"/>
        <v>OK</v>
      </c>
      <c r="X414" s="3" t="s">
        <v>647</v>
      </c>
      <c r="Y414" s="3" t="s">
        <v>29</v>
      </c>
      <c r="Z414" s="3" t="s">
        <v>476</v>
      </c>
    </row>
    <row r="415" spans="1:26" x14ac:dyDescent="0.2">
      <c r="A415" s="3" t="str">
        <f t="shared" si="40"/>
        <v>TRIP-T-446</v>
      </c>
      <c r="B415" s="2">
        <v>45959</v>
      </c>
      <c r="C415" s="3"/>
      <c r="D415" s="3"/>
      <c r="E415" s="3"/>
      <c r="F415" s="3"/>
      <c r="G415" s="3"/>
      <c r="H415" s="3"/>
      <c r="I415" s="3"/>
      <c r="J415" s="3"/>
      <c r="K415" s="3"/>
      <c r="L415" s="25" t="s">
        <v>428</v>
      </c>
      <c r="M415" s="27">
        <v>7</v>
      </c>
      <c r="N415" s="3"/>
      <c r="O415" s="3"/>
      <c r="P415" s="3"/>
      <c r="Q415" s="3"/>
      <c r="R415" s="3"/>
      <c r="S415" s="3"/>
      <c r="T415" s="3">
        <f t="shared" si="41"/>
        <v>0</v>
      </c>
      <c r="U415" s="3" t="str">
        <f t="shared" si="42"/>
        <v>OK</v>
      </c>
      <c r="V415" s="21">
        <f t="shared" si="43"/>
        <v>0</v>
      </c>
      <c r="W415" s="3" t="str">
        <f t="shared" si="44"/>
        <v>OK</v>
      </c>
      <c r="X415" s="3" t="s">
        <v>647</v>
      </c>
      <c r="Y415" s="3" t="s">
        <v>29</v>
      </c>
      <c r="Z415" s="3" t="s">
        <v>476</v>
      </c>
    </row>
    <row r="416" spans="1:26" x14ac:dyDescent="0.2">
      <c r="A416" s="3" t="str">
        <f t="shared" si="40"/>
        <v>TRIP-T-447</v>
      </c>
      <c r="B416" s="2">
        <v>45959</v>
      </c>
      <c r="C416" s="3"/>
      <c r="D416" s="3"/>
      <c r="E416" s="3"/>
      <c r="F416" s="3"/>
      <c r="G416" s="3"/>
      <c r="H416" s="3"/>
      <c r="I416" s="3"/>
      <c r="J416" s="3"/>
      <c r="K416" s="3"/>
      <c r="L416" s="25" t="s">
        <v>648</v>
      </c>
      <c r="M416" s="27">
        <v>19</v>
      </c>
      <c r="N416" s="3"/>
      <c r="O416" s="3"/>
      <c r="P416" s="3"/>
      <c r="Q416" s="3"/>
      <c r="R416" s="3"/>
      <c r="S416" s="3"/>
      <c r="T416" s="3">
        <f t="shared" si="41"/>
        <v>0</v>
      </c>
      <c r="U416" s="3" t="str">
        <f t="shared" si="42"/>
        <v>OK</v>
      </c>
      <c r="V416" s="21">
        <f t="shared" si="43"/>
        <v>0</v>
      </c>
      <c r="W416" s="3" t="str">
        <f t="shared" si="44"/>
        <v>OK</v>
      </c>
      <c r="X416" s="3" t="s">
        <v>647</v>
      </c>
      <c r="Y416" s="3" t="s">
        <v>29</v>
      </c>
      <c r="Z416" s="3" t="s">
        <v>476</v>
      </c>
    </row>
    <row r="417" spans="1:26" x14ac:dyDescent="0.2">
      <c r="A417" s="3" t="str">
        <f t="shared" si="40"/>
        <v>TRIP-T-448</v>
      </c>
      <c r="B417" s="2">
        <v>45963</v>
      </c>
      <c r="C417" s="3"/>
      <c r="D417" s="3"/>
      <c r="E417" s="3"/>
      <c r="F417" s="3"/>
      <c r="G417" s="3"/>
      <c r="H417" s="3"/>
      <c r="I417" s="3"/>
      <c r="J417" s="3"/>
      <c r="K417" s="3"/>
      <c r="L417" s="25" t="s">
        <v>428</v>
      </c>
      <c r="M417" s="27">
        <v>10</v>
      </c>
      <c r="N417" s="3"/>
      <c r="O417" s="3"/>
      <c r="P417" s="3"/>
      <c r="Q417" s="3"/>
      <c r="R417" s="3"/>
      <c r="S417" s="3"/>
      <c r="T417" s="3">
        <f t="shared" si="41"/>
        <v>0</v>
      </c>
      <c r="U417" s="3" t="str">
        <f t="shared" si="42"/>
        <v>OK</v>
      </c>
      <c r="V417" s="21">
        <f t="shared" si="43"/>
        <v>0</v>
      </c>
      <c r="W417" s="3" t="str">
        <f t="shared" si="44"/>
        <v>OK</v>
      </c>
      <c r="X417" s="3" t="s">
        <v>647</v>
      </c>
      <c r="Y417" s="3" t="s">
        <v>29</v>
      </c>
      <c r="Z417" s="3" t="s">
        <v>476</v>
      </c>
    </row>
    <row r="418" spans="1:26" x14ac:dyDescent="0.2">
      <c r="A418" s="3" t="str">
        <f t="shared" si="40"/>
        <v>TRIP-T-449</v>
      </c>
      <c r="B418" s="2">
        <v>45963</v>
      </c>
      <c r="C418" s="3"/>
      <c r="D418" s="3"/>
      <c r="E418" s="3"/>
      <c r="F418" s="3"/>
      <c r="G418" s="3"/>
      <c r="H418" s="3"/>
      <c r="I418" s="3"/>
      <c r="J418" s="3"/>
      <c r="K418" s="3"/>
      <c r="L418" s="25" t="s">
        <v>428</v>
      </c>
      <c r="M418" s="27">
        <v>9</v>
      </c>
      <c r="N418" s="3"/>
      <c r="O418" s="3"/>
      <c r="P418" s="3"/>
      <c r="Q418" s="3"/>
      <c r="R418" s="3"/>
      <c r="S418" s="3"/>
      <c r="T418" s="3">
        <f t="shared" si="41"/>
        <v>0</v>
      </c>
      <c r="U418" s="3" t="str">
        <f t="shared" si="42"/>
        <v>OK</v>
      </c>
      <c r="V418" s="21">
        <f t="shared" si="43"/>
        <v>0</v>
      </c>
      <c r="W418" s="3" t="str">
        <f t="shared" si="44"/>
        <v>OK</v>
      </c>
      <c r="X418" s="3" t="s">
        <v>647</v>
      </c>
      <c r="Y418" s="3" t="s">
        <v>29</v>
      </c>
      <c r="Z418" s="3" t="s">
        <v>476</v>
      </c>
    </row>
    <row r="419" spans="1:26" x14ac:dyDescent="0.2">
      <c r="A419" s="3" t="str">
        <f t="shared" si="40"/>
        <v>TRIP-T-450</v>
      </c>
      <c r="B419" s="2">
        <v>45964</v>
      </c>
      <c r="C419" s="3"/>
      <c r="D419" s="3"/>
      <c r="E419" s="3"/>
      <c r="F419" s="3"/>
      <c r="G419" s="3"/>
      <c r="H419" s="3"/>
      <c r="I419" s="3"/>
      <c r="J419" s="3"/>
      <c r="K419" s="3"/>
      <c r="L419" s="25" t="s">
        <v>648</v>
      </c>
      <c r="M419" s="27">
        <v>13</v>
      </c>
      <c r="N419" s="3"/>
      <c r="O419" s="3"/>
      <c r="P419" s="3"/>
      <c r="Q419" s="3"/>
      <c r="R419" s="3"/>
      <c r="S419" s="3"/>
      <c r="T419" s="3">
        <f t="shared" si="41"/>
        <v>0</v>
      </c>
      <c r="U419" s="3" t="str">
        <f t="shared" si="42"/>
        <v>OK</v>
      </c>
      <c r="V419" s="21">
        <f t="shared" si="43"/>
        <v>0</v>
      </c>
      <c r="W419" s="3" t="str">
        <f t="shared" si="44"/>
        <v>OK</v>
      </c>
      <c r="X419" s="3" t="s">
        <v>647</v>
      </c>
      <c r="Y419" s="3" t="s">
        <v>29</v>
      </c>
      <c r="Z419" s="3" t="s">
        <v>476</v>
      </c>
    </row>
    <row r="420" spans="1:26" x14ac:dyDescent="0.2">
      <c r="A420" s="3" t="str">
        <f t="shared" si="40"/>
        <v>TRIP-T-451</v>
      </c>
      <c r="B420" s="2">
        <v>45964</v>
      </c>
      <c r="C420" s="3"/>
      <c r="D420" s="3"/>
      <c r="E420" s="3"/>
      <c r="F420" s="3"/>
      <c r="G420" s="3"/>
      <c r="H420" s="3"/>
      <c r="I420" s="3"/>
      <c r="J420" s="3"/>
      <c r="K420" s="3"/>
      <c r="L420" s="25" t="s">
        <v>428</v>
      </c>
      <c r="M420" s="27">
        <v>3</v>
      </c>
      <c r="N420" s="3"/>
      <c r="O420" s="3"/>
      <c r="P420" s="3"/>
      <c r="Q420" s="3"/>
      <c r="R420" s="3"/>
      <c r="S420" s="3"/>
      <c r="T420" s="3">
        <f t="shared" si="41"/>
        <v>0</v>
      </c>
      <c r="U420" s="3" t="str">
        <f t="shared" si="42"/>
        <v>OK</v>
      </c>
      <c r="V420" s="21">
        <f t="shared" si="43"/>
        <v>0</v>
      </c>
      <c r="W420" s="3" t="str">
        <f t="shared" si="44"/>
        <v>OK</v>
      </c>
      <c r="X420" s="3" t="s">
        <v>647</v>
      </c>
      <c r="Y420" s="3" t="s">
        <v>29</v>
      </c>
      <c r="Z420" s="3" t="s">
        <v>476</v>
      </c>
    </row>
    <row r="421" spans="1:26" x14ac:dyDescent="0.2">
      <c r="A421" s="3" t="str">
        <f t="shared" si="40"/>
        <v>TRIP-T-452</v>
      </c>
      <c r="B421" s="2">
        <v>45964</v>
      </c>
      <c r="C421" s="3"/>
      <c r="D421" s="3"/>
      <c r="E421" s="3"/>
      <c r="F421" s="3"/>
      <c r="G421" s="3"/>
      <c r="H421" s="3"/>
      <c r="I421" s="3"/>
      <c r="J421" s="3"/>
      <c r="K421" s="3"/>
      <c r="L421" s="25" t="s">
        <v>649</v>
      </c>
      <c r="M421" s="27">
        <v>2</v>
      </c>
      <c r="N421" s="3"/>
      <c r="O421" s="3"/>
      <c r="P421" s="3"/>
      <c r="Q421" s="3"/>
      <c r="R421" s="3"/>
      <c r="S421" s="3"/>
      <c r="T421" s="3">
        <f t="shared" si="41"/>
        <v>0</v>
      </c>
      <c r="U421" s="3" t="str">
        <f t="shared" si="42"/>
        <v>OK</v>
      </c>
      <c r="V421" s="21">
        <f t="shared" si="43"/>
        <v>0</v>
      </c>
      <c r="W421" s="3" t="str">
        <f t="shared" si="44"/>
        <v>OK</v>
      </c>
      <c r="X421" s="3" t="s">
        <v>647</v>
      </c>
      <c r="Y421" s="3" t="s">
        <v>29</v>
      </c>
      <c r="Z421" s="3" t="s">
        <v>476</v>
      </c>
    </row>
    <row r="422" spans="1:26" x14ac:dyDescent="0.2">
      <c r="A422" s="3" t="str">
        <f t="shared" si="40"/>
        <v>TRIP-T-453</v>
      </c>
      <c r="B422" s="2">
        <v>45965</v>
      </c>
      <c r="C422" s="3"/>
      <c r="D422" s="3"/>
      <c r="E422" s="3"/>
      <c r="F422" s="3"/>
      <c r="G422" s="3"/>
      <c r="H422" s="3"/>
      <c r="I422" s="3"/>
      <c r="J422" s="3"/>
      <c r="K422" s="3"/>
      <c r="L422" s="25" t="s">
        <v>650</v>
      </c>
      <c r="M422" s="27">
        <v>2</v>
      </c>
      <c r="N422" s="3"/>
      <c r="O422" s="3"/>
      <c r="P422" s="3"/>
      <c r="Q422" s="3"/>
      <c r="R422" s="3"/>
      <c r="S422" s="3"/>
      <c r="T422" s="3">
        <f t="shared" si="41"/>
        <v>0</v>
      </c>
      <c r="U422" s="3" t="str">
        <f t="shared" si="42"/>
        <v>OK</v>
      </c>
      <c r="V422" s="21">
        <f t="shared" si="43"/>
        <v>0</v>
      </c>
      <c r="W422" s="3" t="str">
        <f t="shared" si="44"/>
        <v>OK</v>
      </c>
      <c r="X422" s="3" t="s">
        <v>647</v>
      </c>
      <c r="Y422" s="3" t="s">
        <v>29</v>
      </c>
      <c r="Z422" s="3" t="s">
        <v>476</v>
      </c>
    </row>
    <row r="423" spans="1:26" x14ac:dyDescent="0.2">
      <c r="A423" s="3" t="str">
        <f t="shared" si="40"/>
        <v>TRIP-T-454</v>
      </c>
      <c r="B423" s="2">
        <v>45967</v>
      </c>
      <c r="C423" s="3"/>
      <c r="D423" s="3"/>
      <c r="E423" s="3"/>
      <c r="F423" s="3"/>
      <c r="G423" s="3"/>
      <c r="H423" s="3"/>
      <c r="I423" s="3"/>
      <c r="J423" s="3"/>
      <c r="K423" s="3"/>
      <c r="L423" s="25" t="s">
        <v>648</v>
      </c>
      <c r="M423" s="27">
        <v>10</v>
      </c>
      <c r="N423" s="3"/>
      <c r="O423" s="3"/>
      <c r="P423" s="3"/>
      <c r="Q423" s="3"/>
      <c r="R423" s="3"/>
      <c r="S423" s="3"/>
      <c r="T423" s="3">
        <f t="shared" si="41"/>
        <v>0</v>
      </c>
      <c r="U423" s="3" t="str">
        <f t="shared" si="42"/>
        <v>OK</v>
      </c>
      <c r="V423" s="21">
        <f t="shared" si="43"/>
        <v>0</v>
      </c>
      <c r="W423" s="3" t="str">
        <f t="shared" si="44"/>
        <v>OK</v>
      </c>
      <c r="X423" s="3" t="s">
        <v>647</v>
      </c>
      <c r="Y423" s="3" t="s">
        <v>29</v>
      </c>
      <c r="Z423" s="3" t="s">
        <v>476</v>
      </c>
    </row>
    <row r="424" spans="1:26" x14ac:dyDescent="0.2">
      <c r="A424" s="3" t="str">
        <f t="shared" si="40"/>
        <v>TRIP-T-455</v>
      </c>
      <c r="B424" s="2">
        <v>45967</v>
      </c>
      <c r="C424" s="3"/>
      <c r="D424" s="3"/>
      <c r="E424" s="3"/>
      <c r="F424" s="3"/>
      <c r="G424" s="3"/>
      <c r="H424" s="3"/>
      <c r="I424" s="3"/>
      <c r="J424" s="3"/>
      <c r="K424" s="3"/>
      <c r="L424" s="25" t="s">
        <v>428</v>
      </c>
      <c r="M424" s="27">
        <v>2</v>
      </c>
      <c r="N424" s="3"/>
      <c r="O424" s="3"/>
      <c r="P424" s="3"/>
      <c r="Q424" s="3"/>
      <c r="R424" s="3"/>
      <c r="S424" s="3"/>
      <c r="T424" s="3">
        <f t="shared" si="41"/>
        <v>0</v>
      </c>
      <c r="U424" s="3" t="str">
        <f t="shared" si="42"/>
        <v>OK</v>
      </c>
      <c r="V424" s="21">
        <f t="shared" si="43"/>
        <v>0</v>
      </c>
      <c r="W424" s="3" t="str">
        <f t="shared" si="44"/>
        <v>OK</v>
      </c>
      <c r="X424" s="3" t="s">
        <v>647</v>
      </c>
      <c r="Y424" s="3" t="s">
        <v>29</v>
      </c>
      <c r="Z424" s="3" t="s">
        <v>476</v>
      </c>
    </row>
    <row r="425" spans="1:26" x14ac:dyDescent="0.2">
      <c r="A425" s="3" t="str">
        <f t="shared" si="40"/>
        <v>TRIP-T-456</v>
      </c>
      <c r="B425" s="2">
        <v>45967</v>
      </c>
      <c r="C425" s="3"/>
      <c r="D425" s="3"/>
      <c r="E425" s="3"/>
      <c r="F425" s="3"/>
      <c r="G425" s="3"/>
      <c r="H425" s="3"/>
      <c r="I425" s="3"/>
      <c r="J425" s="3"/>
      <c r="K425" s="3"/>
      <c r="L425" s="25" t="s">
        <v>650</v>
      </c>
      <c r="M425" s="27">
        <v>2</v>
      </c>
      <c r="N425" s="3"/>
      <c r="O425" s="3"/>
      <c r="P425" s="3"/>
      <c r="Q425" s="3"/>
      <c r="R425" s="3"/>
      <c r="S425" s="3"/>
      <c r="T425" s="3">
        <f t="shared" si="41"/>
        <v>0</v>
      </c>
      <c r="U425" s="3" t="str">
        <f t="shared" si="42"/>
        <v>OK</v>
      </c>
      <c r="V425" s="21">
        <f t="shared" si="43"/>
        <v>0</v>
      </c>
      <c r="W425" s="3" t="str">
        <f t="shared" si="44"/>
        <v>OK</v>
      </c>
      <c r="X425" s="3" t="s">
        <v>647</v>
      </c>
      <c r="Y425" s="3" t="s">
        <v>29</v>
      </c>
      <c r="Z425" s="3" t="s">
        <v>476</v>
      </c>
    </row>
    <row r="426" spans="1:26" x14ac:dyDescent="0.2">
      <c r="A426" s="3" t="str">
        <f t="shared" si="40"/>
        <v>TRIP-T-457</v>
      </c>
      <c r="B426" s="2">
        <v>45967</v>
      </c>
      <c r="C426" s="3"/>
      <c r="D426" s="3"/>
      <c r="E426" s="3"/>
      <c r="F426" s="3"/>
      <c r="G426" s="3"/>
      <c r="H426" s="3"/>
      <c r="I426" s="3"/>
      <c r="J426" s="3"/>
      <c r="K426" s="3"/>
      <c r="L426" s="26" t="s">
        <v>651</v>
      </c>
      <c r="M426" s="27">
        <v>1</v>
      </c>
      <c r="N426" s="3"/>
      <c r="O426" s="3"/>
      <c r="P426" s="3"/>
      <c r="Q426" s="3"/>
      <c r="R426" s="3"/>
      <c r="S426" s="3"/>
      <c r="T426" s="3">
        <f t="shared" si="41"/>
        <v>0</v>
      </c>
      <c r="U426" s="3" t="str">
        <f t="shared" si="42"/>
        <v>OK</v>
      </c>
      <c r="V426" s="21">
        <f t="shared" si="43"/>
        <v>0</v>
      </c>
      <c r="W426" s="3" t="str">
        <f t="shared" si="44"/>
        <v>OK</v>
      </c>
      <c r="X426" s="3" t="s">
        <v>647</v>
      </c>
      <c r="Y426" s="3" t="s">
        <v>29</v>
      </c>
      <c r="Z426" s="3" t="s">
        <v>476</v>
      </c>
    </row>
    <row r="427" spans="1:26" x14ac:dyDescent="0.2">
      <c r="A427" s="3" t="str">
        <f t="shared" si="40"/>
        <v>TRIP-T-458</v>
      </c>
      <c r="B427" s="2">
        <v>45969</v>
      </c>
      <c r="C427" s="3"/>
      <c r="D427" s="3"/>
      <c r="E427" s="3"/>
      <c r="F427" s="3"/>
      <c r="G427" s="3"/>
      <c r="H427" s="3"/>
      <c r="I427" s="3"/>
      <c r="J427" s="3"/>
      <c r="K427" s="3"/>
      <c r="L427" s="26" t="s">
        <v>322</v>
      </c>
      <c r="M427" s="27">
        <v>2</v>
      </c>
      <c r="N427" s="3"/>
      <c r="O427" s="3"/>
      <c r="P427" s="3"/>
      <c r="Q427" s="3"/>
      <c r="R427" s="3"/>
      <c r="S427" s="3"/>
      <c r="T427" s="3">
        <f t="shared" si="41"/>
        <v>0</v>
      </c>
      <c r="U427" s="3" t="str">
        <f t="shared" si="42"/>
        <v>OK</v>
      </c>
      <c r="V427" s="21">
        <f t="shared" si="43"/>
        <v>0</v>
      </c>
      <c r="W427" s="3" t="str">
        <f t="shared" si="44"/>
        <v>OK</v>
      </c>
      <c r="X427" s="3" t="s">
        <v>647</v>
      </c>
      <c r="Y427" s="3" t="s">
        <v>29</v>
      </c>
      <c r="Z427" s="3" t="s">
        <v>476</v>
      </c>
    </row>
    <row r="428" spans="1:26" x14ac:dyDescent="0.2">
      <c r="A428" s="3" t="str">
        <f t="shared" si="40"/>
        <v>TRIP-T-459</v>
      </c>
      <c r="B428" s="2">
        <v>45969</v>
      </c>
      <c r="C428" s="3"/>
      <c r="D428" s="3"/>
      <c r="E428" s="3"/>
      <c r="F428" s="3"/>
      <c r="G428" s="3"/>
      <c r="H428" s="3"/>
      <c r="I428" s="3"/>
      <c r="J428" s="3"/>
      <c r="K428" s="3"/>
      <c r="L428" s="26" t="s">
        <v>652</v>
      </c>
      <c r="M428" s="27">
        <v>1</v>
      </c>
      <c r="N428" s="3"/>
      <c r="O428" s="3"/>
      <c r="P428" s="3"/>
      <c r="Q428" s="3"/>
      <c r="R428" s="3"/>
      <c r="S428" s="3"/>
      <c r="T428" s="3">
        <f t="shared" si="41"/>
        <v>0</v>
      </c>
      <c r="U428" s="3" t="str">
        <f t="shared" si="42"/>
        <v>OK</v>
      </c>
      <c r="V428" s="21">
        <f t="shared" si="43"/>
        <v>0</v>
      </c>
      <c r="W428" s="3" t="str">
        <f t="shared" si="44"/>
        <v>OK</v>
      </c>
      <c r="X428" s="3" t="s">
        <v>647</v>
      </c>
      <c r="Y428" s="3" t="s">
        <v>29</v>
      </c>
      <c r="Z428" s="3" t="s">
        <v>476</v>
      </c>
    </row>
    <row r="429" spans="1:26" x14ac:dyDescent="0.2">
      <c r="A429" s="3" t="str">
        <f t="shared" si="40"/>
        <v>TRIP-T-460</v>
      </c>
      <c r="B429" s="2">
        <v>45969</v>
      </c>
      <c r="C429" s="3"/>
      <c r="D429" s="3"/>
      <c r="E429" s="3"/>
      <c r="F429" s="3"/>
      <c r="G429" s="3"/>
      <c r="H429" s="3"/>
      <c r="I429" s="3"/>
      <c r="J429" s="3"/>
      <c r="K429" s="3"/>
      <c r="L429" s="26" t="s">
        <v>322</v>
      </c>
      <c r="M429" s="27">
        <v>1</v>
      </c>
      <c r="N429" s="3"/>
      <c r="O429" s="3"/>
      <c r="P429" s="3"/>
      <c r="Q429" s="3"/>
      <c r="R429" s="3"/>
      <c r="S429" s="3"/>
      <c r="T429" s="3">
        <f t="shared" si="41"/>
        <v>0</v>
      </c>
      <c r="U429" s="3" t="str">
        <f t="shared" si="42"/>
        <v>OK</v>
      </c>
      <c r="V429" s="21">
        <f t="shared" si="43"/>
        <v>0</v>
      </c>
      <c r="W429" s="3" t="str">
        <f t="shared" si="44"/>
        <v>OK</v>
      </c>
      <c r="X429" s="3" t="s">
        <v>647</v>
      </c>
      <c r="Y429" s="3" t="s">
        <v>29</v>
      </c>
      <c r="Z429" s="3" t="s">
        <v>476</v>
      </c>
    </row>
    <row r="430" spans="1:26" x14ac:dyDescent="0.2">
      <c r="A430" s="3" t="str">
        <f t="shared" si="40"/>
        <v>TRIP-T-461</v>
      </c>
      <c r="B430" s="2">
        <v>45970</v>
      </c>
      <c r="C430" s="3"/>
      <c r="D430" s="3"/>
      <c r="E430" s="3"/>
      <c r="F430" s="3"/>
      <c r="G430" s="3"/>
      <c r="H430" s="3"/>
      <c r="I430" s="3"/>
      <c r="J430" s="3"/>
      <c r="K430" s="3"/>
      <c r="L430" s="26" t="s">
        <v>652</v>
      </c>
      <c r="M430" s="27">
        <v>4</v>
      </c>
      <c r="N430" s="3"/>
      <c r="O430" s="3"/>
      <c r="P430" s="3"/>
      <c r="Q430" s="3"/>
      <c r="R430" s="3"/>
      <c r="S430" s="3"/>
      <c r="T430" s="3">
        <f t="shared" si="41"/>
        <v>0</v>
      </c>
      <c r="U430" s="3" t="str">
        <f t="shared" si="42"/>
        <v>OK</v>
      </c>
      <c r="V430" s="21">
        <f t="shared" si="43"/>
        <v>0</v>
      </c>
      <c r="W430" s="3" t="str">
        <f t="shared" si="44"/>
        <v>OK</v>
      </c>
      <c r="X430" s="3" t="s">
        <v>647</v>
      </c>
      <c r="Y430" s="3" t="s">
        <v>29</v>
      </c>
      <c r="Z430" s="3" t="s">
        <v>476</v>
      </c>
    </row>
    <row r="431" spans="1:26" x14ac:dyDescent="0.2">
      <c r="A431" s="3" t="str">
        <f t="shared" si="40"/>
        <v>TRIP-T-462</v>
      </c>
      <c r="B431" s="2">
        <v>45970</v>
      </c>
      <c r="C431" s="3"/>
      <c r="D431" s="3"/>
      <c r="E431" s="3"/>
      <c r="F431" s="3"/>
      <c r="G431" s="3"/>
      <c r="H431" s="3"/>
      <c r="I431" s="3"/>
      <c r="J431" s="3"/>
      <c r="K431" s="3"/>
      <c r="L431" s="26" t="s">
        <v>652</v>
      </c>
      <c r="M431" s="27">
        <v>1</v>
      </c>
      <c r="N431" s="3"/>
      <c r="O431" s="3"/>
      <c r="P431" s="3"/>
      <c r="Q431" s="3"/>
      <c r="R431" s="3"/>
      <c r="S431" s="3"/>
      <c r="T431" s="3">
        <f t="shared" si="41"/>
        <v>0</v>
      </c>
      <c r="U431" s="3" t="str">
        <f t="shared" si="42"/>
        <v>OK</v>
      </c>
      <c r="V431" s="21">
        <f t="shared" si="43"/>
        <v>0</v>
      </c>
      <c r="W431" s="3" t="str">
        <f t="shared" si="44"/>
        <v>OK</v>
      </c>
      <c r="X431" s="3" t="s">
        <v>647</v>
      </c>
      <c r="Y431" s="3" t="s">
        <v>29</v>
      </c>
      <c r="Z431" s="3" t="s">
        <v>476</v>
      </c>
    </row>
    <row r="432" spans="1:26" x14ac:dyDescent="0.2">
      <c r="A432" s="3" t="str">
        <f t="shared" si="40"/>
        <v>TRIP-T-463</v>
      </c>
      <c r="B432" s="2">
        <v>45971</v>
      </c>
      <c r="C432" s="3"/>
      <c r="D432" s="3"/>
      <c r="E432" s="3"/>
      <c r="F432" s="3"/>
      <c r="G432" s="3"/>
      <c r="H432" s="3"/>
      <c r="I432" s="3"/>
      <c r="J432" s="3"/>
      <c r="K432" s="3"/>
      <c r="L432" s="26" t="s">
        <v>652</v>
      </c>
      <c r="M432" s="27">
        <v>6</v>
      </c>
      <c r="N432" s="3"/>
      <c r="O432" s="3"/>
      <c r="P432" s="3"/>
      <c r="Q432" s="3"/>
      <c r="R432" s="3"/>
      <c r="S432" s="3"/>
      <c r="T432" s="3">
        <f t="shared" si="41"/>
        <v>0</v>
      </c>
      <c r="U432" s="3" t="str">
        <f t="shared" si="42"/>
        <v>OK</v>
      </c>
      <c r="V432" s="21">
        <f t="shared" si="43"/>
        <v>0</v>
      </c>
      <c r="W432" s="3" t="str">
        <f t="shared" si="44"/>
        <v>OK</v>
      </c>
      <c r="X432" s="3" t="s">
        <v>647</v>
      </c>
      <c r="Y432" s="3" t="s">
        <v>29</v>
      </c>
      <c r="Z432" s="3" t="s">
        <v>476</v>
      </c>
    </row>
    <row r="433" spans="1:26" x14ac:dyDescent="0.2">
      <c r="A433" s="3" t="str">
        <f t="shared" si="40"/>
        <v>TRIP-T-464</v>
      </c>
      <c r="B433" s="2">
        <v>45971</v>
      </c>
      <c r="C433" s="3"/>
      <c r="D433" s="3"/>
      <c r="E433" s="3"/>
      <c r="F433" s="3"/>
      <c r="G433" s="3"/>
      <c r="H433" s="3"/>
      <c r="I433" s="3"/>
      <c r="J433" s="3"/>
      <c r="K433" s="3"/>
      <c r="L433" s="26" t="s">
        <v>652</v>
      </c>
      <c r="M433" s="27">
        <v>2</v>
      </c>
      <c r="N433" s="3"/>
      <c r="O433" s="3"/>
      <c r="P433" s="3"/>
      <c r="Q433" s="3"/>
      <c r="R433" s="3"/>
      <c r="S433" s="3"/>
      <c r="T433" s="3">
        <f t="shared" si="41"/>
        <v>0</v>
      </c>
      <c r="U433" s="3" t="str">
        <f t="shared" si="42"/>
        <v>OK</v>
      </c>
      <c r="V433" s="21">
        <f t="shared" si="43"/>
        <v>0</v>
      </c>
      <c r="W433" s="3" t="str">
        <f t="shared" si="44"/>
        <v>OK</v>
      </c>
      <c r="X433" s="3" t="s">
        <v>647</v>
      </c>
      <c r="Y433" s="3" t="s">
        <v>29</v>
      </c>
      <c r="Z433" s="3" t="s">
        <v>476</v>
      </c>
    </row>
    <row r="434" spans="1:26" x14ac:dyDescent="0.2">
      <c r="A434" s="3" t="str">
        <f t="shared" si="40"/>
        <v>TRIP-T-465</v>
      </c>
      <c r="B434" s="2">
        <v>45972</v>
      </c>
      <c r="C434" s="3"/>
      <c r="D434" s="3"/>
      <c r="E434" s="3"/>
      <c r="F434" s="3"/>
      <c r="G434" s="3"/>
      <c r="H434" s="3"/>
      <c r="I434" s="3"/>
      <c r="J434" s="3"/>
      <c r="K434" s="3"/>
      <c r="L434" s="26" t="s">
        <v>653</v>
      </c>
      <c r="M434" s="27">
        <v>8</v>
      </c>
      <c r="N434" s="3"/>
      <c r="O434" s="3"/>
      <c r="P434" s="3"/>
      <c r="Q434" s="3"/>
      <c r="R434" s="3"/>
      <c r="S434" s="3"/>
      <c r="T434" s="3">
        <f t="shared" si="41"/>
        <v>0</v>
      </c>
      <c r="U434" s="3" t="str">
        <f t="shared" si="42"/>
        <v>OK</v>
      </c>
      <c r="V434" s="21">
        <f t="shared" si="43"/>
        <v>0</v>
      </c>
      <c r="W434" s="3" t="str">
        <f t="shared" si="44"/>
        <v>OK</v>
      </c>
      <c r="X434" s="3" t="s">
        <v>647</v>
      </c>
      <c r="Y434" s="3" t="s">
        <v>29</v>
      </c>
      <c r="Z434" s="3" t="s">
        <v>476</v>
      </c>
    </row>
    <row r="435" spans="1:26" x14ac:dyDescent="0.2">
      <c r="A435" s="3" t="str">
        <f t="shared" si="40"/>
        <v>TRIP-T-466</v>
      </c>
      <c r="B435" s="2">
        <v>45972</v>
      </c>
      <c r="C435" s="3"/>
      <c r="D435" s="3"/>
      <c r="E435" s="3"/>
      <c r="F435" s="3"/>
      <c r="G435" s="3"/>
      <c r="H435" s="3"/>
      <c r="I435" s="3"/>
      <c r="J435" s="3"/>
      <c r="K435" s="3"/>
      <c r="L435" s="26" t="s">
        <v>652</v>
      </c>
      <c r="M435" s="27">
        <v>1</v>
      </c>
      <c r="N435" s="3"/>
      <c r="O435" s="3"/>
      <c r="P435" s="3"/>
      <c r="Q435" s="3"/>
      <c r="R435" s="3"/>
      <c r="S435" s="3"/>
      <c r="T435" s="3">
        <f t="shared" si="41"/>
        <v>0</v>
      </c>
      <c r="U435" s="3" t="str">
        <f t="shared" si="42"/>
        <v>OK</v>
      </c>
      <c r="V435" s="21">
        <f t="shared" si="43"/>
        <v>0</v>
      </c>
      <c r="W435" s="3" t="str">
        <f t="shared" si="44"/>
        <v>OK</v>
      </c>
      <c r="X435" s="3" t="s">
        <v>647</v>
      </c>
      <c r="Y435" s="3" t="s">
        <v>29</v>
      </c>
      <c r="Z435" s="3" t="s">
        <v>476</v>
      </c>
    </row>
    <row r="436" spans="1:26" x14ac:dyDescent="0.2">
      <c r="A436" s="3" t="str">
        <f t="shared" si="40"/>
        <v>TRIP-T-467</v>
      </c>
      <c r="B436" s="2">
        <v>45972</v>
      </c>
      <c r="C436" s="3"/>
      <c r="D436" s="3"/>
      <c r="E436" s="3"/>
      <c r="F436" s="3"/>
      <c r="G436" s="3"/>
      <c r="H436" s="3"/>
      <c r="I436" s="3"/>
      <c r="J436" s="3"/>
      <c r="K436" s="3"/>
      <c r="L436" s="26" t="s">
        <v>654</v>
      </c>
      <c r="M436" s="27">
        <v>6</v>
      </c>
      <c r="N436" s="3"/>
      <c r="O436" s="3"/>
      <c r="P436" s="3"/>
      <c r="Q436" s="3"/>
      <c r="R436" s="3"/>
      <c r="S436" s="3"/>
      <c r="T436" s="3">
        <f t="shared" si="41"/>
        <v>0</v>
      </c>
      <c r="U436" s="3" t="str">
        <f t="shared" si="42"/>
        <v>OK</v>
      </c>
      <c r="V436" s="21">
        <f t="shared" si="43"/>
        <v>0</v>
      </c>
      <c r="W436" s="3" t="str">
        <f t="shared" si="44"/>
        <v>OK</v>
      </c>
      <c r="X436" s="3" t="s">
        <v>647</v>
      </c>
      <c r="Y436" s="3" t="s">
        <v>29</v>
      </c>
      <c r="Z436" s="3" t="s">
        <v>476</v>
      </c>
    </row>
    <row r="437" spans="1:26" x14ac:dyDescent="0.2">
      <c r="A437" s="3" t="str">
        <f t="shared" si="40"/>
        <v>TRIP-T-468</v>
      </c>
      <c r="B437" s="2">
        <v>45972</v>
      </c>
      <c r="C437" s="3"/>
      <c r="D437" s="3"/>
      <c r="E437" s="3"/>
      <c r="F437" s="3"/>
      <c r="G437" s="3"/>
      <c r="H437" s="3"/>
      <c r="I437" s="3"/>
      <c r="J437" s="3"/>
      <c r="K437" s="3"/>
      <c r="L437" s="26" t="s">
        <v>652</v>
      </c>
      <c r="M437" s="27">
        <v>1</v>
      </c>
      <c r="N437" s="3"/>
      <c r="O437" s="3"/>
      <c r="P437" s="3"/>
      <c r="Q437" s="3"/>
      <c r="R437" s="3"/>
      <c r="S437" s="3"/>
      <c r="T437" s="3">
        <f t="shared" si="41"/>
        <v>0</v>
      </c>
      <c r="U437" s="3" t="str">
        <f t="shared" si="42"/>
        <v>OK</v>
      </c>
      <c r="V437" s="21">
        <f t="shared" si="43"/>
        <v>0</v>
      </c>
      <c r="W437" s="3" t="str">
        <f t="shared" si="44"/>
        <v>OK</v>
      </c>
      <c r="X437" s="3" t="s">
        <v>647</v>
      </c>
      <c r="Y437" s="3" t="s">
        <v>29</v>
      </c>
      <c r="Z437" s="3" t="s">
        <v>476</v>
      </c>
    </row>
    <row r="438" spans="1:26" x14ac:dyDescent="0.2">
      <c r="A438" s="3" t="str">
        <f t="shared" si="40"/>
        <v>TRIP-T-469</v>
      </c>
      <c r="B438" s="2">
        <v>45973</v>
      </c>
      <c r="C438" s="3"/>
      <c r="D438" s="3"/>
      <c r="E438" s="3"/>
      <c r="F438" s="3"/>
      <c r="G438" s="3"/>
      <c r="H438" s="3"/>
      <c r="I438" s="3"/>
      <c r="J438" s="3"/>
      <c r="K438" s="3"/>
      <c r="L438" s="26" t="s">
        <v>653</v>
      </c>
      <c r="M438" s="27">
        <v>12</v>
      </c>
      <c r="N438" s="3"/>
      <c r="O438" s="3"/>
      <c r="P438" s="3"/>
      <c r="Q438" s="3"/>
      <c r="R438" s="3"/>
      <c r="S438" s="3"/>
      <c r="T438" s="3">
        <f t="shared" si="41"/>
        <v>0</v>
      </c>
      <c r="U438" s="3" t="str">
        <f t="shared" si="42"/>
        <v>OK</v>
      </c>
      <c r="V438" s="21">
        <f t="shared" si="43"/>
        <v>0</v>
      </c>
      <c r="W438" s="3" t="str">
        <f t="shared" si="44"/>
        <v>OK</v>
      </c>
      <c r="X438" s="3" t="s">
        <v>647</v>
      </c>
      <c r="Y438" s="3" t="s">
        <v>29</v>
      </c>
      <c r="Z438" s="3" t="s">
        <v>476</v>
      </c>
    </row>
    <row r="439" spans="1:26" x14ac:dyDescent="0.2">
      <c r="A439" s="3" t="str">
        <f t="shared" si="40"/>
        <v>TRIP-T-470</v>
      </c>
      <c r="B439" s="2">
        <v>45973</v>
      </c>
      <c r="C439" s="3"/>
      <c r="D439" s="3"/>
      <c r="E439" s="3"/>
      <c r="F439" s="3"/>
      <c r="G439" s="3"/>
      <c r="H439" s="3"/>
      <c r="I439" s="3"/>
      <c r="J439" s="3"/>
      <c r="K439" s="3"/>
      <c r="L439" s="26" t="s">
        <v>654</v>
      </c>
      <c r="M439" s="27">
        <v>5</v>
      </c>
      <c r="N439" s="3"/>
      <c r="O439" s="3"/>
      <c r="P439" s="3"/>
      <c r="Q439" s="3"/>
      <c r="R439" s="3"/>
      <c r="S439" s="3"/>
      <c r="T439" s="3">
        <f t="shared" si="41"/>
        <v>0</v>
      </c>
      <c r="U439" s="3" t="str">
        <f t="shared" si="42"/>
        <v>OK</v>
      </c>
      <c r="V439" s="21">
        <f t="shared" si="43"/>
        <v>0</v>
      </c>
      <c r="W439" s="3" t="str">
        <f t="shared" si="44"/>
        <v>OK</v>
      </c>
      <c r="X439" s="3" t="s">
        <v>647</v>
      </c>
      <c r="Y439" s="3" t="s">
        <v>29</v>
      </c>
      <c r="Z439" s="3" t="s">
        <v>476</v>
      </c>
    </row>
    <row r="440" spans="1:26" x14ac:dyDescent="0.2">
      <c r="A440" s="3" t="str">
        <f t="shared" si="40"/>
        <v>TRIP-T-471</v>
      </c>
      <c r="B440" s="2">
        <v>45973</v>
      </c>
      <c r="C440" s="3"/>
      <c r="D440" s="3"/>
      <c r="E440" s="3"/>
      <c r="F440" s="3"/>
      <c r="G440" s="3"/>
      <c r="H440" s="3"/>
      <c r="I440" s="3"/>
      <c r="J440" s="3"/>
      <c r="K440" s="3"/>
      <c r="L440" s="26" t="s">
        <v>653</v>
      </c>
      <c r="M440" s="27">
        <v>11</v>
      </c>
      <c r="N440" s="3"/>
      <c r="O440" s="3"/>
      <c r="P440" s="3"/>
      <c r="Q440" s="3"/>
      <c r="R440" s="3"/>
      <c r="S440" s="3"/>
      <c r="T440" s="3">
        <f t="shared" si="41"/>
        <v>0</v>
      </c>
      <c r="U440" s="3" t="str">
        <f t="shared" si="42"/>
        <v>OK</v>
      </c>
      <c r="V440" s="21">
        <f t="shared" si="43"/>
        <v>0</v>
      </c>
      <c r="W440" s="3" t="str">
        <f t="shared" si="44"/>
        <v>OK</v>
      </c>
      <c r="X440" s="3" t="s">
        <v>647</v>
      </c>
      <c r="Y440" s="3" t="s">
        <v>29</v>
      </c>
      <c r="Z440" s="3" t="s">
        <v>476</v>
      </c>
    </row>
    <row r="441" spans="1:26" x14ac:dyDescent="0.2">
      <c r="A441" s="3" t="str">
        <f t="shared" si="40"/>
        <v>TRIP-T-472</v>
      </c>
      <c r="B441" s="2">
        <v>45974</v>
      </c>
      <c r="C441" s="3"/>
      <c r="D441" s="3"/>
      <c r="E441" s="3"/>
      <c r="F441" s="3"/>
      <c r="G441" s="3"/>
      <c r="H441" s="3"/>
      <c r="I441" s="3"/>
      <c r="J441" s="3"/>
      <c r="K441" s="3"/>
      <c r="L441" s="26" t="s">
        <v>653</v>
      </c>
      <c r="M441" s="27">
        <v>1</v>
      </c>
      <c r="N441" s="3"/>
      <c r="O441" s="3"/>
      <c r="P441" s="3"/>
      <c r="Q441" s="3"/>
      <c r="R441" s="3"/>
      <c r="S441" s="3"/>
      <c r="T441" s="3">
        <f t="shared" si="41"/>
        <v>0</v>
      </c>
      <c r="U441" s="3" t="str">
        <f t="shared" si="42"/>
        <v>OK</v>
      </c>
      <c r="V441" s="21">
        <f t="shared" si="43"/>
        <v>0</v>
      </c>
      <c r="W441" s="3" t="str">
        <f t="shared" si="44"/>
        <v>OK</v>
      </c>
      <c r="X441" s="3" t="s">
        <v>647</v>
      </c>
      <c r="Y441" s="3" t="s">
        <v>29</v>
      </c>
      <c r="Z441" s="3" t="s">
        <v>476</v>
      </c>
    </row>
    <row r="442" spans="1:26" x14ac:dyDescent="0.2">
      <c r="A442" s="3" t="str">
        <f t="shared" si="40"/>
        <v>TRIP-T-473</v>
      </c>
      <c r="B442" s="2">
        <v>45974</v>
      </c>
      <c r="C442" s="3"/>
      <c r="D442" s="3"/>
      <c r="E442" s="3"/>
      <c r="F442" s="3"/>
      <c r="G442" s="3"/>
      <c r="H442" s="3"/>
      <c r="I442" s="3"/>
      <c r="J442" s="3"/>
      <c r="K442" s="3"/>
      <c r="L442" s="26" t="s">
        <v>652</v>
      </c>
      <c r="M442" s="27">
        <v>3</v>
      </c>
      <c r="N442" s="3"/>
      <c r="O442" s="3"/>
      <c r="P442" s="3"/>
      <c r="Q442" s="3"/>
      <c r="R442" s="3"/>
      <c r="S442" s="3"/>
      <c r="T442" s="3">
        <f t="shared" si="41"/>
        <v>0</v>
      </c>
      <c r="U442" s="3" t="str">
        <f t="shared" si="42"/>
        <v>OK</v>
      </c>
      <c r="V442" s="21">
        <f t="shared" si="43"/>
        <v>0</v>
      </c>
      <c r="W442" s="3" t="str">
        <f t="shared" si="44"/>
        <v>OK</v>
      </c>
      <c r="X442" s="3" t="s">
        <v>647</v>
      </c>
      <c r="Y442" s="3" t="s">
        <v>29</v>
      </c>
      <c r="Z442" s="3" t="s">
        <v>476</v>
      </c>
    </row>
    <row r="443" spans="1:26" x14ac:dyDescent="0.2">
      <c r="A443" s="3" t="str">
        <f t="shared" si="40"/>
        <v>TRIP-T-474</v>
      </c>
      <c r="B443" s="2">
        <v>45974</v>
      </c>
      <c r="C443" s="3"/>
      <c r="D443" s="3"/>
      <c r="E443" s="3"/>
      <c r="F443" s="3"/>
      <c r="G443" s="3"/>
      <c r="H443" s="3"/>
      <c r="I443" s="3"/>
      <c r="J443" s="3"/>
      <c r="K443" s="3"/>
      <c r="L443" s="26" t="s">
        <v>322</v>
      </c>
      <c r="M443" s="27">
        <v>1</v>
      </c>
      <c r="N443" s="3"/>
      <c r="O443" s="3"/>
      <c r="P443" s="3"/>
      <c r="Q443" s="3"/>
      <c r="R443" s="3"/>
      <c r="S443" s="3"/>
      <c r="T443" s="3">
        <f t="shared" si="41"/>
        <v>0</v>
      </c>
      <c r="U443" s="3" t="str">
        <f t="shared" si="42"/>
        <v>OK</v>
      </c>
      <c r="V443" s="21">
        <f t="shared" si="43"/>
        <v>0</v>
      </c>
      <c r="W443" s="3" t="str">
        <f t="shared" si="44"/>
        <v>OK</v>
      </c>
      <c r="X443" s="3" t="s">
        <v>647</v>
      </c>
      <c r="Y443" s="3" t="s">
        <v>29</v>
      </c>
      <c r="Z443" s="3" t="s">
        <v>476</v>
      </c>
    </row>
    <row r="444" spans="1:26" x14ac:dyDescent="0.2">
      <c r="A444" s="3" t="str">
        <f t="shared" si="40"/>
        <v>TRIP-T-475</v>
      </c>
      <c r="B444" s="2">
        <v>45974</v>
      </c>
      <c r="C444" s="3"/>
      <c r="D444" s="3"/>
      <c r="E444" s="3"/>
      <c r="F444" s="3"/>
      <c r="G444" s="3"/>
      <c r="H444" s="3"/>
      <c r="I444" s="3"/>
      <c r="J444" s="3"/>
      <c r="K444" s="3"/>
      <c r="L444" s="26" t="s">
        <v>652</v>
      </c>
      <c r="M444" s="27">
        <v>3</v>
      </c>
      <c r="N444" s="3"/>
      <c r="O444" s="3"/>
      <c r="P444" s="3"/>
      <c r="Q444" s="3"/>
      <c r="R444" s="3"/>
      <c r="S444" s="3"/>
      <c r="T444" s="3">
        <f t="shared" si="41"/>
        <v>0</v>
      </c>
      <c r="U444" s="3" t="str">
        <f t="shared" si="42"/>
        <v>OK</v>
      </c>
      <c r="V444" s="21">
        <f t="shared" si="43"/>
        <v>0</v>
      </c>
      <c r="W444" s="3" t="str">
        <f t="shared" si="44"/>
        <v>OK</v>
      </c>
      <c r="X444" s="3" t="s">
        <v>647</v>
      </c>
      <c r="Y444" s="3" t="s">
        <v>29</v>
      </c>
      <c r="Z444" s="3" t="s">
        <v>476</v>
      </c>
    </row>
    <row r="445" spans="1:26" x14ac:dyDescent="0.2">
      <c r="A445" s="3" t="str">
        <f t="shared" si="40"/>
        <v>TRIP-T-476</v>
      </c>
      <c r="B445" s="2">
        <v>45974</v>
      </c>
      <c r="C445" s="3"/>
      <c r="D445" s="3"/>
      <c r="E445" s="3"/>
      <c r="F445" s="3"/>
      <c r="G445" s="3"/>
      <c r="H445" s="3"/>
      <c r="I445" s="3"/>
      <c r="J445" s="3"/>
      <c r="K445" s="3"/>
      <c r="L445" s="26" t="s">
        <v>652</v>
      </c>
      <c r="M445" s="27">
        <v>3</v>
      </c>
      <c r="N445" s="3"/>
      <c r="O445" s="3"/>
      <c r="P445" s="3"/>
      <c r="Q445" s="3"/>
      <c r="R445" s="3"/>
      <c r="S445" s="3"/>
      <c r="T445" s="3">
        <f t="shared" si="41"/>
        <v>0</v>
      </c>
      <c r="U445" s="3" t="str">
        <f t="shared" si="42"/>
        <v>OK</v>
      </c>
      <c r="V445" s="21">
        <f t="shared" si="43"/>
        <v>0</v>
      </c>
      <c r="W445" s="3" t="str">
        <f t="shared" si="44"/>
        <v>OK</v>
      </c>
      <c r="X445" s="3" t="s">
        <v>647</v>
      </c>
      <c r="Y445" s="3" t="s">
        <v>29</v>
      </c>
      <c r="Z445" s="3" t="s">
        <v>476</v>
      </c>
    </row>
    <row r="446" spans="1:26" x14ac:dyDescent="0.2">
      <c r="A446" s="3" t="str">
        <f t="shared" si="40"/>
        <v>TRIP-T-477</v>
      </c>
      <c r="B446" s="2">
        <v>45974</v>
      </c>
      <c r="C446" s="3"/>
      <c r="D446" s="3"/>
      <c r="E446" s="3"/>
      <c r="F446" s="3"/>
      <c r="G446" s="3"/>
      <c r="H446" s="3"/>
      <c r="I446" s="3"/>
      <c r="J446" s="3"/>
      <c r="K446" s="3"/>
      <c r="L446" s="26" t="s">
        <v>653</v>
      </c>
      <c r="M446" s="27">
        <v>7</v>
      </c>
      <c r="N446" s="3"/>
      <c r="O446" s="3"/>
      <c r="P446" s="3"/>
      <c r="Q446" s="3"/>
      <c r="R446" s="3"/>
      <c r="S446" s="3"/>
      <c r="T446" s="3">
        <f t="shared" si="41"/>
        <v>0</v>
      </c>
      <c r="U446" s="3" t="str">
        <f t="shared" si="42"/>
        <v>OK</v>
      </c>
      <c r="V446" s="21">
        <f t="shared" si="43"/>
        <v>0</v>
      </c>
      <c r="W446" s="3" t="str">
        <f t="shared" si="44"/>
        <v>OK</v>
      </c>
      <c r="X446" s="3" t="s">
        <v>647</v>
      </c>
      <c r="Y446" s="3" t="s">
        <v>29</v>
      </c>
      <c r="Z446" s="3" t="s">
        <v>476</v>
      </c>
    </row>
    <row r="447" spans="1:26" x14ac:dyDescent="0.2">
      <c r="A447" s="3" t="str">
        <f t="shared" si="40"/>
        <v>TRIP-T-478</v>
      </c>
      <c r="B447" s="2">
        <v>45975</v>
      </c>
      <c r="C447" s="3"/>
      <c r="D447" s="3"/>
      <c r="E447" s="3"/>
      <c r="F447" s="3"/>
      <c r="G447" s="3"/>
      <c r="H447" s="3"/>
      <c r="I447" s="3"/>
      <c r="J447" s="3"/>
      <c r="K447" s="3"/>
      <c r="L447" s="26" t="s">
        <v>653</v>
      </c>
      <c r="M447" s="27">
        <v>8</v>
      </c>
      <c r="N447" s="3"/>
      <c r="O447" s="3"/>
      <c r="P447" s="3"/>
      <c r="Q447" s="3"/>
      <c r="R447" s="3"/>
      <c r="S447" s="3"/>
      <c r="T447" s="3">
        <f t="shared" si="41"/>
        <v>0</v>
      </c>
      <c r="U447" s="3" t="str">
        <f t="shared" si="42"/>
        <v>OK</v>
      </c>
      <c r="V447" s="21">
        <f t="shared" si="43"/>
        <v>0</v>
      </c>
      <c r="W447" s="3" t="str">
        <f t="shared" si="44"/>
        <v>OK</v>
      </c>
      <c r="X447" s="3" t="s">
        <v>647</v>
      </c>
      <c r="Y447" s="3" t="s">
        <v>29</v>
      </c>
      <c r="Z447" s="3" t="s">
        <v>476</v>
      </c>
    </row>
    <row r="448" spans="1:26" x14ac:dyDescent="0.2">
      <c r="A448" s="3" t="str">
        <f t="shared" si="40"/>
        <v>TRIP-T-479</v>
      </c>
      <c r="B448" s="2">
        <v>45975</v>
      </c>
      <c r="C448" s="3"/>
      <c r="D448" s="3"/>
      <c r="E448" s="3"/>
      <c r="F448" s="3"/>
      <c r="G448" s="3"/>
      <c r="H448" s="3"/>
      <c r="I448" s="3"/>
      <c r="J448" s="3"/>
      <c r="K448" s="3"/>
      <c r="L448" s="26" t="s">
        <v>322</v>
      </c>
      <c r="M448" s="27">
        <v>1</v>
      </c>
      <c r="N448" s="3"/>
      <c r="O448" s="3"/>
      <c r="P448" s="3"/>
      <c r="Q448" s="3"/>
      <c r="R448" s="3"/>
      <c r="S448" s="3"/>
      <c r="T448" s="3">
        <f t="shared" si="41"/>
        <v>0</v>
      </c>
      <c r="U448" s="3" t="str">
        <f t="shared" si="42"/>
        <v>OK</v>
      </c>
      <c r="V448" s="21">
        <f t="shared" si="43"/>
        <v>0</v>
      </c>
      <c r="W448" s="3" t="str">
        <f t="shared" si="44"/>
        <v>OK</v>
      </c>
      <c r="X448" s="3" t="s">
        <v>647</v>
      </c>
      <c r="Y448" s="3" t="s">
        <v>29</v>
      </c>
      <c r="Z448" s="3" t="s">
        <v>476</v>
      </c>
    </row>
    <row r="449" spans="1:26" x14ac:dyDescent="0.2">
      <c r="A449" s="3" t="str">
        <f t="shared" si="40"/>
        <v>TRIP-T-480</v>
      </c>
      <c r="B449" s="2">
        <v>45975</v>
      </c>
      <c r="C449" s="3"/>
      <c r="D449" s="3"/>
      <c r="E449" s="3"/>
      <c r="F449" s="3"/>
      <c r="G449" s="3"/>
      <c r="H449" s="3"/>
      <c r="I449" s="3"/>
      <c r="J449" s="3"/>
      <c r="K449" s="3"/>
      <c r="L449" s="26" t="s">
        <v>655</v>
      </c>
      <c r="M449" s="27">
        <v>2</v>
      </c>
      <c r="N449" s="3"/>
      <c r="O449" s="3"/>
      <c r="P449" s="3"/>
      <c r="Q449" s="3"/>
      <c r="R449" s="3"/>
      <c r="S449" s="3"/>
      <c r="T449" s="3">
        <f t="shared" si="41"/>
        <v>0</v>
      </c>
      <c r="U449" s="3" t="str">
        <f t="shared" si="42"/>
        <v>OK</v>
      </c>
      <c r="V449" s="21">
        <f t="shared" si="43"/>
        <v>0</v>
      </c>
      <c r="W449" s="3" t="str">
        <f t="shared" si="44"/>
        <v>OK</v>
      </c>
      <c r="X449" s="3" t="s">
        <v>647</v>
      </c>
      <c r="Y449" s="3" t="s">
        <v>29</v>
      </c>
      <c r="Z449" s="3" t="s">
        <v>476</v>
      </c>
    </row>
    <row r="450" spans="1:26" x14ac:dyDescent="0.2">
      <c r="A450" s="3" t="str">
        <f t="shared" ref="A450:A513" si="45">"TRIP-T-"&amp;TEXT(ROW()+31,"000")</f>
        <v>TRIP-T-481</v>
      </c>
      <c r="B450" s="2">
        <v>45975</v>
      </c>
      <c r="C450" s="3"/>
      <c r="D450" s="3"/>
      <c r="E450" s="3"/>
      <c r="F450" s="3"/>
      <c r="G450" s="3"/>
      <c r="H450" s="3"/>
      <c r="I450" s="3"/>
      <c r="J450" s="3"/>
      <c r="K450" s="3"/>
      <c r="L450" s="26" t="s">
        <v>652</v>
      </c>
      <c r="M450" s="27">
        <v>2</v>
      </c>
      <c r="N450" s="3"/>
      <c r="O450" s="3"/>
      <c r="P450" s="3"/>
      <c r="Q450" s="3"/>
      <c r="R450" s="3"/>
      <c r="S450" s="3"/>
      <c r="T450" s="3">
        <f t="shared" ref="T450:T513" si="46">M450*N450</f>
        <v>0</v>
      </c>
      <c r="U450" s="3" t="str">
        <f t="shared" ref="U450:U513" si="47">IF(ROUND(T450,2)=ROUND(O450,2),"OK","CHECK")</f>
        <v>OK</v>
      </c>
      <c r="V450" s="21">
        <f t="shared" ref="V450:V513" si="48">O450-P450</f>
        <v>0</v>
      </c>
      <c r="W450" s="3" t="str">
        <f t="shared" ref="W450:W513" si="49">IF(ROUND(V450,2)=ROUND(Q450,2),"OK","CHECK")</f>
        <v>OK</v>
      </c>
      <c r="X450" s="3" t="s">
        <v>647</v>
      </c>
      <c r="Y450" s="3" t="s">
        <v>29</v>
      </c>
      <c r="Z450" s="3" t="s">
        <v>476</v>
      </c>
    </row>
    <row r="451" spans="1:26" x14ac:dyDescent="0.2">
      <c r="A451" s="3" t="str">
        <f t="shared" si="45"/>
        <v>TRIP-T-482</v>
      </c>
      <c r="B451" s="2">
        <v>45976</v>
      </c>
      <c r="C451" s="3"/>
      <c r="D451" s="3"/>
      <c r="E451" s="3"/>
      <c r="F451" s="3"/>
      <c r="G451" s="3"/>
      <c r="H451" s="3"/>
      <c r="I451" s="3"/>
      <c r="J451" s="3"/>
      <c r="K451" s="3"/>
      <c r="L451" s="26" t="s">
        <v>653</v>
      </c>
      <c r="M451" s="27">
        <v>13</v>
      </c>
      <c r="N451" s="3"/>
      <c r="O451" s="3"/>
      <c r="P451" s="3"/>
      <c r="Q451" s="3"/>
      <c r="R451" s="3"/>
      <c r="S451" s="3"/>
      <c r="T451" s="3">
        <f t="shared" si="46"/>
        <v>0</v>
      </c>
      <c r="U451" s="3" t="str">
        <f t="shared" si="47"/>
        <v>OK</v>
      </c>
      <c r="V451" s="21">
        <f t="shared" si="48"/>
        <v>0</v>
      </c>
      <c r="W451" s="3" t="str">
        <f t="shared" si="49"/>
        <v>OK</v>
      </c>
      <c r="X451" s="3" t="s">
        <v>647</v>
      </c>
      <c r="Y451" s="3" t="s">
        <v>29</v>
      </c>
      <c r="Z451" s="3" t="s">
        <v>476</v>
      </c>
    </row>
    <row r="452" spans="1:26" x14ac:dyDescent="0.2">
      <c r="A452" s="3" t="str">
        <f t="shared" si="45"/>
        <v>TRIP-T-483</v>
      </c>
      <c r="B452" s="2">
        <v>45976</v>
      </c>
      <c r="C452" s="3"/>
      <c r="D452" s="3"/>
      <c r="E452" s="3"/>
      <c r="F452" s="3"/>
      <c r="G452" s="3"/>
      <c r="H452" s="3"/>
      <c r="I452" s="3"/>
      <c r="J452" s="3"/>
      <c r="K452" s="3"/>
      <c r="L452" s="26" t="s">
        <v>655</v>
      </c>
      <c r="M452" s="27">
        <v>8</v>
      </c>
      <c r="N452" s="3"/>
      <c r="O452" s="3"/>
      <c r="P452" s="3"/>
      <c r="Q452" s="3"/>
      <c r="R452" s="3"/>
      <c r="S452" s="3"/>
      <c r="T452" s="3">
        <f t="shared" si="46"/>
        <v>0</v>
      </c>
      <c r="U452" s="3" t="str">
        <f t="shared" si="47"/>
        <v>OK</v>
      </c>
      <c r="V452" s="21">
        <f t="shared" si="48"/>
        <v>0</v>
      </c>
      <c r="W452" s="3" t="str">
        <f t="shared" si="49"/>
        <v>OK</v>
      </c>
      <c r="X452" s="3" t="s">
        <v>647</v>
      </c>
      <c r="Y452" s="3" t="s">
        <v>29</v>
      </c>
      <c r="Z452" s="3" t="s">
        <v>476</v>
      </c>
    </row>
    <row r="453" spans="1:26" x14ac:dyDescent="0.2">
      <c r="A453" s="3" t="str">
        <f t="shared" si="45"/>
        <v>TRIP-T-484</v>
      </c>
      <c r="B453" s="2">
        <v>45976</v>
      </c>
      <c r="C453" s="3"/>
      <c r="D453" s="3"/>
      <c r="E453" s="3"/>
      <c r="F453" s="3"/>
      <c r="G453" s="3"/>
      <c r="H453" s="3"/>
      <c r="I453" s="3"/>
      <c r="J453" s="3"/>
      <c r="K453" s="3"/>
      <c r="L453" s="26" t="s">
        <v>653</v>
      </c>
      <c r="M453" s="27">
        <v>26</v>
      </c>
      <c r="N453" s="3"/>
      <c r="O453" s="3"/>
      <c r="P453" s="3"/>
      <c r="Q453" s="3"/>
      <c r="R453" s="3"/>
      <c r="S453" s="3"/>
      <c r="T453" s="3">
        <f t="shared" si="46"/>
        <v>0</v>
      </c>
      <c r="U453" s="3" t="str">
        <f t="shared" si="47"/>
        <v>OK</v>
      </c>
      <c r="V453" s="21">
        <f t="shared" si="48"/>
        <v>0</v>
      </c>
      <c r="W453" s="3" t="str">
        <f t="shared" si="49"/>
        <v>OK</v>
      </c>
      <c r="X453" s="3" t="s">
        <v>647</v>
      </c>
      <c r="Y453" s="3" t="s">
        <v>29</v>
      </c>
      <c r="Z453" s="3" t="s">
        <v>476</v>
      </c>
    </row>
    <row r="454" spans="1:26" x14ac:dyDescent="0.2">
      <c r="A454" s="3" t="str">
        <f t="shared" si="45"/>
        <v>TRIP-T-485</v>
      </c>
      <c r="B454" s="2">
        <v>45977</v>
      </c>
      <c r="C454" s="3"/>
      <c r="D454" s="3"/>
      <c r="E454" s="3"/>
      <c r="F454" s="3"/>
      <c r="G454" s="3"/>
      <c r="H454" s="3"/>
      <c r="I454" s="3"/>
      <c r="J454" s="3"/>
      <c r="K454" s="3"/>
      <c r="L454" s="26" t="s">
        <v>322</v>
      </c>
      <c r="M454" s="27">
        <v>1</v>
      </c>
      <c r="N454" s="3"/>
      <c r="O454" s="3"/>
      <c r="P454" s="3"/>
      <c r="Q454" s="3"/>
      <c r="R454" s="3"/>
      <c r="S454" s="3"/>
      <c r="T454" s="3">
        <f t="shared" si="46"/>
        <v>0</v>
      </c>
      <c r="U454" s="3" t="str">
        <f t="shared" si="47"/>
        <v>OK</v>
      </c>
      <c r="V454" s="21">
        <f t="shared" si="48"/>
        <v>0</v>
      </c>
      <c r="W454" s="3" t="str">
        <f t="shared" si="49"/>
        <v>OK</v>
      </c>
      <c r="X454" s="3" t="s">
        <v>647</v>
      </c>
      <c r="Y454" s="3" t="s">
        <v>29</v>
      </c>
      <c r="Z454" s="3" t="s">
        <v>476</v>
      </c>
    </row>
    <row r="455" spans="1:26" x14ac:dyDescent="0.2">
      <c r="A455" s="3" t="str">
        <f t="shared" si="45"/>
        <v>TRIP-T-486</v>
      </c>
      <c r="B455" s="2">
        <v>45977</v>
      </c>
      <c r="C455" s="3"/>
      <c r="D455" s="3"/>
      <c r="E455" s="3"/>
      <c r="F455" s="3"/>
      <c r="G455" s="3"/>
      <c r="H455" s="3"/>
      <c r="I455" s="3"/>
      <c r="J455" s="3"/>
      <c r="K455" s="3"/>
      <c r="L455" s="26" t="s">
        <v>653</v>
      </c>
      <c r="M455" s="27">
        <v>22</v>
      </c>
      <c r="N455" s="3"/>
      <c r="O455" s="3"/>
      <c r="P455" s="3"/>
      <c r="Q455" s="3"/>
      <c r="R455" s="3"/>
      <c r="S455" s="3"/>
      <c r="T455" s="3">
        <f t="shared" si="46"/>
        <v>0</v>
      </c>
      <c r="U455" s="3" t="str">
        <f t="shared" si="47"/>
        <v>OK</v>
      </c>
      <c r="V455" s="21">
        <f t="shared" si="48"/>
        <v>0</v>
      </c>
      <c r="W455" s="3" t="str">
        <f t="shared" si="49"/>
        <v>OK</v>
      </c>
      <c r="X455" s="3" t="s">
        <v>647</v>
      </c>
      <c r="Y455" s="3" t="s">
        <v>29</v>
      </c>
      <c r="Z455" s="3" t="s">
        <v>476</v>
      </c>
    </row>
    <row r="456" spans="1:26" x14ac:dyDescent="0.2">
      <c r="A456" s="3" t="str">
        <f t="shared" si="45"/>
        <v>TRIP-T-487</v>
      </c>
      <c r="B456" s="2">
        <v>45977</v>
      </c>
      <c r="C456" s="3"/>
      <c r="D456" s="3"/>
      <c r="E456" s="3"/>
      <c r="F456" s="3"/>
      <c r="G456" s="3"/>
      <c r="H456" s="3"/>
      <c r="I456" s="3"/>
      <c r="J456" s="3"/>
      <c r="K456" s="3"/>
      <c r="L456" s="26" t="s">
        <v>653</v>
      </c>
      <c r="M456" s="27">
        <v>22</v>
      </c>
      <c r="N456" s="3"/>
      <c r="O456" s="3"/>
      <c r="P456" s="3"/>
      <c r="Q456" s="3"/>
      <c r="R456" s="3"/>
      <c r="S456" s="3"/>
      <c r="T456" s="3">
        <f t="shared" si="46"/>
        <v>0</v>
      </c>
      <c r="U456" s="3" t="str">
        <f t="shared" si="47"/>
        <v>OK</v>
      </c>
      <c r="V456" s="21">
        <f t="shared" si="48"/>
        <v>0</v>
      </c>
      <c r="W456" s="3" t="str">
        <f t="shared" si="49"/>
        <v>OK</v>
      </c>
      <c r="X456" s="3" t="s">
        <v>647</v>
      </c>
      <c r="Y456" s="3" t="s">
        <v>29</v>
      </c>
      <c r="Z456" s="3" t="s">
        <v>476</v>
      </c>
    </row>
    <row r="457" spans="1:26" x14ac:dyDescent="0.2">
      <c r="A457" s="3" t="str">
        <f t="shared" si="45"/>
        <v>TRIP-T-488</v>
      </c>
      <c r="B457" s="2">
        <v>45977</v>
      </c>
      <c r="C457" s="3"/>
      <c r="D457" s="3"/>
      <c r="E457" s="3"/>
      <c r="F457" s="3"/>
      <c r="G457" s="3"/>
      <c r="H457" s="3"/>
      <c r="I457" s="3"/>
      <c r="J457" s="3"/>
      <c r="K457" s="3"/>
      <c r="L457" s="26" t="s">
        <v>653</v>
      </c>
      <c r="M457" s="27">
        <v>15</v>
      </c>
      <c r="N457" s="3"/>
      <c r="O457" s="3"/>
      <c r="P457" s="3"/>
      <c r="Q457" s="3"/>
      <c r="R457" s="3"/>
      <c r="S457" s="3"/>
      <c r="T457" s="3">
        <f t="shared" si="46"/>
        <v>0</v>
      </c>
      <c r="U457" s="3" t="str">
        <f t="shared" si="47"/>
        <v>OK</v>
      </c>
      <c r="V457" s="21">
        <f t="shared" si="48"/>
        <v>0</v>
      </c>
      <c r="W457" s="3" t="str">
        <f t="shared" si="49"/>
        <v>OK</v>
      </c>
      <c r="X457" s="3" t="s">
        <v>647</v>
      </c>
      <c r="Y457" s="3" t="s">
        <v>29</v>
      </c>
      <c r="Z457" s="3" t="s">
        <v>476</v>
      </c>
    </row>
    <row r="458" spans="1:26" x14ac:dyDescent="0.2">
      <c r="A458" s="3" t="str">
        <f t="shared" si="45"/>
        <v>TRIP-T-489</v>
      </c>
      <c r="B458" s="2">
        <v>45977</v>
      </c>
      <c r="C458" s="3"/>
      <c r="D458" s="3"/>
      <c r="E458" s="3"/>
      <c r="F458" s="3"/>
      <c r="G458" s="3"/>
      <c r="H458" s="3"/>
      <c r="I458" s="3"/>
      <c r="J458" s="3"/>
      <c r="K458" s="3"/>
      <c r="L458" s="26" t="s">
        <v>655</v>
      </c>
      <c r="M458" s="27">
        <v>5</v>
      </c>
      <c r="N458" s="3"/>
      <c r="O458" s="3"/>
      <c r="P458" s="3"/>
      <c r="Q458" s="3"/>
      <c r="R458" s="3"/>
      <c r="S458" s="3"/>
      <c r="T458" s="3">
        <f t="shared" si="46"/>
        <v>0</v>
      </c>
      <c r="U458" s="3" t="str">
        <f t="shared" si="47"/>
        <v>OK</v>
      </c>
      <c r="V458" s="21">
        <f t="shared" si="48"/>
        <v>0</v>
      </c>
      <c r="W458" s="3" t="str">
        <f t="shared" si="49"/>
        <v>OK</v>
      </c>
      <c r="X458" s="3" t="s">
        <v>647</v>
      </c>
      <c r="Y458" s="3" t="s">
        <v>29</v>
      </c>
      <c r="Z458" s="3" t="s">
        <v>476</v>
      </c>
    </row>
    <row r="459" spans="1:26" x14ac:dyDescent="0.2">
      <c r="A459" s="3" t="str">
        <f t="shared" si="45"/>
        <v>TRIP-T-490</v>
      </c>
      <c r="B459" s="2">
        <v>45978</v>
      </c>
      <c r="C459" s="3"/>
      <c r="D459" s="3"/>
      <c r="E459" s="3"/>
      <c r="F459" s="3"/>
      <c r="G459" s="3"/>
      <c r="H459" s="3"/>
      <c r="I459" s="3"/>
      <c r="J459" s="3"/>
      <c r="K459" s="3"/>
      <c r="L459" s="26" t="s">
        <v>653</v>
      </c>
      <c r="M459" s="27">
        <v>18</v>
      </c>
      <c r="N459" s="3"/>
      <c r="O459" s="3"/>
      <c r="P459" s="3"/>
      <c r="Q459" s="3"/>
      <c r="R459" s="3"/>
      <c r="S459" s="3"/>
      <c r="T459" s="3">
        <f t="shared" si="46"/>
        <v>0</v>
      </c>
      <c r="U459" s="3" t="str">
        <f t="shared" si="47"/>
        <v>OK</v>
      </c>
      <c r="V459" s="21">
        <f t="shared" si="48"/>
        <v>0</v>
      </c>
      <c r="W459" s="3" t="str">
        <f t="shared" si="49"/>
        <v>OK</v>
      </c>
      <c r="X459" s="3" t="s">
        <v>647</v>
      </c>
      <c r="Y459" s="3" t="s">
        <v>29</v>
      </c>
      <c r="Z459" s="3" t="s">
        <v>476</v>
      </c>
    </row>
    <row r="460" spans="1:26" x14ac:dyDescent="0.2">
      <c r="A460" s="3" t="str">
        <f t="shared" si="45"/>
        <v>TRIP-T-491</v>
      </c>
      <c r="B460" s="2">
        <v>45978</v>
      </c>
      <c r="C460" s="3"/>
      <c r="D460" s="3"/>
      <c r="E460" s="3"/>
      <c r="F460" s="3"/>
      <c r="G460" s="3"/>
      <c r="H460" s="3"/>
      <c r="I460" s="3"/>
      <c r="J460" s="3"/>
      <c r="K460" s="3"/>
      <c r="L460" s="26" t="s">
        <v>653</v>
      </c>
      <c r="M460" s="27">
        <v>15</v>
      </c>
      <c r="N460" s="3"/>
      <c r="O460" s="3"/>
      <c r="P460" s="3"/>
      <c r="Q460" s="3"/>
      <c r="R460" s="3"/>
      <c r="S460" s="3"/>
      <c r="T460" s="3">
        <f t="shared" si="46"/>
        <v>0</v>
      </c>
      <c r="U460" s="3" t="str">
        <f t="shared" si="47"/>
        <v>OK</v>
      </c>
      <c r="V460" s="21">
        <f t="shared" si="48"/>
        <v>0</v>
      </c>
      <c r="W460" s="3" t="str">
        <f t="shared" si="49"/>
        <v>OK</v>
      </c>
      <c r="X460" s="3" t="s">
        <v>647</v>
      </c>
      <c r="Y460" s="3" t="s">
        <v>29</v>
      </c>
      <c r="Z460" s="3" t="s">
        <v>476</v>
      </c>
    </row>
    <row r="461" spans="1:26" x14ac:dyDescent="0.2">
      <c r="A461" s="3" t="str">
        <f t="shared" si="45"/>
        <v>TRIP-T-492</v>
      </c>
      <c r="B461" s="2">
        <v>45978</v>
      </c>
      <c r="C461" s="3"/>
      <c r="D461" s="3"/>
      <c r="E461" s="3"/>
      <c r="F461" s="3"/>
      <c r="G461" s="3"/>
      <c r="H461" s="3"/>
      <c r="I461" s="3"/>
      <c r="J461" s="3"/>
      <c r="K461" s="3"/>
      <c r="L461" s="26" t="s">
        <v>653</v>
      </c>
      <c r="M461" s="27">
        <v>19</v>
      </c>
      <c r="N461" s="3"/>
      <c r="O461" s="3"/>
      <c r="P461" s="3"/>
      <c r="Q461" s="3"/>
      <c r="R461" s="3"/>
      <c r="S461" s="3"/>
      <c r="T461" s="3">
        <f t="shared" si="46"/>
        <v>0</v>
      </c>
      <c r="U461" s="3" t="str">
        <f t="shared" si="47"/>
        <v>OK</v>
      </c>
      <c r="V461" s="21">
        <f t="shared" si="48"/>
        <v>0</v>
      </c>
      <c r="W461" s="3" t="str">
        <f t="shared" si="49"/>
        <v>OK</v>
      </c>
      <c r="X461" s="3" t="s">
        <v>647</v>
      </c>
      <c r="Y461" s="3" t="s">
        <v>29</v>
      </c>
      <c r="Z461" s="3" t="s">
        <v>476</v>
      </c>
    </row>
    <row r="462" spans="1:26" x14ac:dyDescent="0.2">
      <c r="A462" s="3" t="str">
        <f t="shared" si="45"/>
        <v>TRIP-T-493</v>
      </c>
      <c r="B462" s="2">
        <v>45978</v>
      </c>
      <c r="C462" s="3"/>
      <c r="D462" s="3"/>
      <c r="E462" s="3"/>
      <c r="F462" s="3"/>
      <c r="G462" s="3"/>
      <c r="H462" s="3"/>
      <c r="I462" s="3"/>
      <c r="J462" s="3"/>
      <c r="K462" s="3"/>
      <c r="L462" s="26" t="s">
        <v>653</v>
      </c>
      <c r="M462" s="27">
        <v>11</v>
      </c>
      <c r="N462" s="3"/>
      <c r="O462" s="3"/>
      <c r="P462" s="3"/>
      <c r="Q462" s="3"/>
      <c r="R462" s="3"/>
      <c r="S462" s="3"/>
      <c r="T462" s="3">
        <f t="shared" si="46"/>
        <v>0</v>
      </c>
      <c r="U462" s="3" t="str">
        <f t="shared" si="47"/>
        <v>OK</v>
      </c>
      <c r="V462" s="21">
        <f t="shared" si="48"/>
        <v>0</v>
      </c>
      <c r="W462" s="3" t="str">
        <f t="shared" si="49"/>
        <v>OK</v>
      </c>
      <c r="X462" s="3" t="s">
        <v>647</v>
      </c>
      <c r="Y462" s="3" t="s">
        <v>29</v>
      </c>
      <c r="Z462" s="3" t="s">
        <v>476</v>
      </c>
    </row>
    <row r="463" spans="1:26" x14ac:dyDescent="0.2">
      <c r="A463" s="3" t="str">
        <f t="shared" si="45"/>
        <v>TRIP-T-494</v>
      </c>
      <c r="B463" s="2">
        <v>45978</v>
      </c>
      <c r="C463" s="3"/>
      <c r="D463" s="3"/>
      <c r="E463" s="3"/>
      <c r="F463" s="3"/>
      <c r="G463" s="3"/>
      <c r="H463" s="3"/>
      <c r="I463" s="3"/>
      <c r="J463" s="3"/>
      <c r="K463" s="3"/>
      <c r="L463" s="26" t="s">
        <v>655</v>
      </c>
      <c r="M463" s="27">
        <v>1</v>
      </c>
      <c r="N463" s="3"/>
      <c r="O463" s="3"/>
      <c r="P463" s="3"/>
      <c r="Q463" s="3"/>
      <c r="R463" s="3"/>
      <c r="S463" s="3"/>
      <c r="T463" s="3">
        <f t="shared" si="46"/>
        <v>0</v>
      </c>
      <c r="U463" s="3" t="str">
        <f t="shared" si="47"/>
        <v>OK</v>
      </c>
      <c r="V463" s="21">
        <f t="shared" si="48"/>
        <v>0</v>
      </c>
      <c r="W463" s="3" t="str">
        <f t="shared" si="49"/>
        <v>OK</v>
      </c>
      <c r="X463" s="3" t="s">
        <v>647</v>
      </c>
      <c r="Y463" s="3" t="s">
        <v>29</v>
      </c>
      <c r="Z463" s="3" t="s">
        <v>476</v>
      </c>
    </row>
    <row r="464" spans="1:26" x14ac:dyDescent="0.2">
      <c r="A464" s="3" t="str">
        <f t="shared" si="45"/>
        <v>TRIP-T-495</v>
      </c>
      <c r="B464" s="2">
        <v>45979</v>
      </c>
      <c r="C464" s="3"/>
      <c r="D464" s="3"/>
      <c r="E464" s="3"/>
      <c r="F464" s="3"/>
      <c r="G464" s="3"/>
      <c r="H464" s="3"/>
      <c r="I464" s="3"/>
      <c r="J464" s="3"/>
      <c r="K464" s="3"/>
      <c r="L464" s="26" t="s">
        <v>655</v>
      </c>
      <c r="M464" s="27">
        <v>4</v>
      </c>
      <c r="N464" s="3"/>
      <c r="O464" s="3"/>
      <c r="P464" s="3"/>
      <c r="Q464" s="3"/>
      <c r="R464" s="3"/>
      <c r="S464" s="3"/>
      <c r="T464" s="3">
        <f t="shared" si="46"/>
        <v>0</v>
      </c>
      <c r="U464" s="3" t="str">
        <f t="shared" si="47"/>
        <v>OK</v>
      </c>
      <c r="V464" s="21">
        <f t="shared" si="48"/>
        <v>0</v>
      </c>
      <c r="W464" s="3" t="str">
        <f t="shared" si="49"/>
        <v>OK</v>
      </c>
      <c r="X464" s="3" t="s">
        <v>647</v>
      </c>
      <c r="Y464" s="3" t="s">
        <v>29</v>
      </c>
      <c r="Z464" s="3" t="s">
        <v>476</v>
      </c>
    </row>
    <row r="465" spans="1:26" x14ac:dyDescent="0.2">
      <c r="A465" s="3" t="str">
        <f t="shared" si="45"/>
        <v>TRIP-T-496</v>
      </c>
      <c r="B465" s="2">
        <v>45979</v>
      </c>
      <c r="C465" s="3"/>
      <c r="D465" s="3"/>
      <c r="E465" s="3"/>
      <c r="F465" s="3"/>
      <c r="G465" s="3"/>
      <c r="H465" s="3"/>
      <c r="I465" s="3"/>
      <c r="J465" s="3"/>
      <c r="K465" s="3"/>
      <c r="L465" s="26" t="s">
        <v>655</v>
      </c>
      <c r="M465" s="27">
        <v>5</v>
      </c>
      <c r="N465" s="3"/>
      <c r="O465" s="3"/>
      <c r="P465" s="3"/>
      <c r="Q465" s="3"/>
      <c r="R465" s="3"/>
      <c r="S465" s="3"/>
      <c r="T465" s="3">
        <f t="shared" si="46"/>
        <v>0</v>
      </c>
      <c r="U465" s="3" t="str">
        <f t="shared" si="47"/>
        <v>OK</v>
      </c>
      <c r="V465" s="21">
        <f t="shared" si="48"/>
        <v>0</v>
      </c>
      <c r="W465" s="3" t="str">
        <f t="shared" si="49"/>
        <v>OK</v>
      </c>
      <c r="X465" s="3" t="s">
        <v>647</v>
      </c>
      <c r="Y465" s="3" t="s">
        <v>29</v>
      </c>
      <c r="Z465" s="3" t="s">
        <v>476</v>
      </c>
    </row>
    <row r="466" spans="1:26" x14ac:dyDescent="0.2">
      <c r="A466" s="3" t="str">
        <f t="shared" si="45"/>
        <v>TRIP-T-497</v>
      </c>
      <c r="B466" s="2">
        <v>45979</v>
      </c>
      <c r="C466" s="3"/>
      <c r="D466" s="3"/>
      <c r="E466" s="3"/>
      <c r="F466" s="3"/>
      <c r="G466" s="3"/>
      <c r="H466" s="3"/>
      <c r="I466" s="3"/>
      <c r="J466" s="3"/>
      <c r="K466" s="3"/>
      <c r="L466" s="26" t="s">
        <v>653</v>
      </c>
      <c r="M466" s="27">
        <v>7</v>
      </c>
      <c r="N466" s="3"/>
      <c r="O466" s="3"/>
      <c r="P466" s="3"/>
      <c r="Q466" s="3"/>
      <c r="R466" s="3"/>
      <c r="S466" s="3"/>
      <c r="T466" s="3">
        <f t="shared" si="46"/>
        <v>0</v>
      </c>
      <c r="U466" s="3" t="str">
        <f t="shared" si="47"/>
        <v>OK</v>
      </c>
      <c r="V466" s="21">
        <f t="shared" si="48"/>
        <v>0</v>
      </c>
      <c r="W466" s="3" t="str">
        <f t="shared" si="49"/>
        <v>OK</v>
      </c>
      <c r="X466" s="3" t="s">
        <v>647</v>
      </c>
      <c r="Y466" s="3" t="s">
        <v>29</v>
      </c>
      <c r="Z466" s="3" t="s">
        <v>476</v>
      </c>
    </row>
    <row r="467" spans="1:26" x14ac:dyDescent="0.2">
      <c r="A467" s="3" t="str">
        <f t="shared" si="45"/>
        <v>TRIP-T-498</v>
      </c>
      <c r="B467" s="2">
        <v>45979</v>
      </c>
      <c r="C467" s="3"/>
      <c r="D467" s="3"/>
      <c r="E467" s="3"/>
      <c r="F467" s="3"/>
      <c r="G467" s="3"/>
      <c r="H467" s="3"/>
      <c r="I467" s="3"/>
      <c r="J467" s="3"/>
      <c r="K467" s="3"/>
      <c r="L467" s="26" t="s">
        <v>656</v>
      </c>
      <c r="M467" s="27">
        <v>5</v>
      </c>
      <c r="N467" s="3"/>
      <c r="O467" s="3"/>
      <c r="P467" s="3"/>
      <c r="Q467" s="3"/>
      <c r="R467" s="3"/>
      <c r="S467" s="3"/>
      <c r="T467" s="3">
        <f t="shared" si="46"/>
        <v>0</v>
      </c>
      <c r="U467" s="3" t="str">
        <f t="shared" si="47"/>
        <v>OK</v>
      </c>
      <c r="V467" s="21">
        <f t="shared" si="48"/>
        <v>0</v>
      </c>
      <c r="W467" s="3" t="str">
        <f t="shared" si="49"/>
        <v>OK</v>
      </c>
      <c r="X467" s="3" t="s">
        <v>647</v>
      </c>
      <c r="Y467" s="3" t="s">
        <v>29</v>
      </c>
      <c r="Z467" s="3" t="s">
        <v>476</v>
      </c>
    </row>
    <row r="468" spans="1:26" x14ac:dyDescent="0.2">
      <c r="A468" s="3" t="str">
        <f t="shared" si="45"/>
        <v>TRIP-T-499</v>
      </c>
      <c r="B468" s="2">
        <v>45980</v>
      </c>
      <c r="C468" s="3"/>
      <c r="D468" s="3"/>
      <c r="E468" s="3"/>
      <c r="F468" s="3"/>
      <c r="G468" s="3"/>
      <c r="H468" s="3"/>
      <c r="I468" s="3"/>
      <c r="J468" s="3"/>
      <c r="K468" s="3"/>
      <c r="L468" s="26" t="s">
        <v>653</v>
      </c>
      <c r="M468" s="27">
        <v>2</v>
      </c>
      <c r="N468" s="3"/>
      <c r="O468" s="3"/>
      <c r="P468" s="3"/>
      <c r="Q468" s="3"/>
      <c r="R468" s="3"/>
      <c r="S468" s="3"/>
      <c r="T468" s="3">
        <f t="shared" si="46"/>
        <v>0</v>
      </c>
      <c r="U468" s="3" t="str">
        <f t="shared" si="47"/>
        <v>OK</v>
      </c>
      <c r="V468" s="21">
        <f t="shared" si="48"/>
        <v>0</v>
      </c>
      <c r="W468" s="3" t="str">
        <f t="shared" si="49"/>
        <v>OK</v>
      </c>
      <c r="X468" s="3" t="s">
        <v>647</v>
      </c>
      <c r="Y468" s="3" t="s">
        <v>29</v>
      </c>
      <c r="Z468" s="3" t="s">
        <v>476</v>
      </c>
    </row>
    <row r="469" spans="1:26" x14ac:dyDescent="0.2">
      <c r="A469" s="3" t="str">
        <f t="shared" si="45"/>
        <v>TRIP-T-500</v>
      </c>
      <c r="B469" s="2">
        <v>45980</v>
      </c>
      <c r="C469" s="3"/>
      <c r="D469" s="3"/>
      <c r="E469" s="3"/>
      <c r="F469" s="3"/>
      <c r="G469" s="3"/>
      <c r="H469" s="3"/>
      <c r="I469" s="3"/>
      <c r="J469" s="3"/>
      <c r="K469" s="3"/>
      <c r="L469" s="26" t="s">
        <v>656</v>
      </c>
      <c r="M469" s="27">
        <v>5</v>
      </c>
      <c r="N469" s="3"/>
      <c r="O469" s="3"/>
      <c r="P469" s="3"/>
      <c r="Q469" s="3"/>
      <c r="R469" s="3"/>
      <c r="S469" s="3"/>
      <c r="T469" s="3">
        <f t="shared" si="46"/>
        <v>0</v>
      </c>
      <c r="U469" s="3" t="str">
        <f t="shared" si="47"/>
        <v>OK</v>
      </c>
      <c r="V469" s="21">
        <f t="shared" si="48"/>
        <v>0</v>
      </c>
      <c r="W469" s="3" t="str">
        <f t="shared" si="49"/>
        <v>OK</v>
      </c>
      <c r="X469" s="3" t="s">
        <v>647</v>
      </c>
      <c r="Y469" s="3" t="s">
        <v>29</v>
      </c>
      <c r="Z469" s="3" t="s">
        <v>476</v>
      </c>
    </row>
    <row r="470" spans="1:26" x14ac:dyDescent="0.2">
      <c r="A470" s="3" t="str">
        <f t="shared" si="45"/>
        <v>TRIP-T-501</v>
      </c>
      <c r="B470" s="2">
        <v>45980</v>
      </c>
      <c r="C470" s="3"/>
      <c r="D470" s="3"/>
      <c r="E470" s="3"/>
      <c r="F470" s="3"/>
      <c r="G470" s="3"/>
      <c r="H470" s="3"/>
      <c r="I470" s="3"/>
      <c r="J470" s="3"/>
      <c r="K470" s="3"/>
      <c r="L470" s="26" t="s">
        <v>653</v>
      </c>
      <c r="M470" s="27">
        <v>2</v>
      </c>
      <c r="N470" s="3"/>
      <c r="O470" s="3"/>
      <c r="P470" s="3"/>
      <c r="Q470" s="3"/>
      <c r="R470" s="3"/>
      <c r="S470" s="3"/>
      <c r="T470" s="3">
        <f t="shared" si="46"/>
        <v>0</v>
      </c>
      <c r="U470" s="3" t="str">
        <f t="shared" si="47"/>
        <v>OK</v>
      </c>
      <c r="V470" s="21">
        <f t="shared" si="48"/>
        <v>0</v>
      </c>
      <c r="W470" s="3" t="str">
        <f t="shared" si="49"/>
        <v>OK</v>
      </c>
      <c r="X470" s="3" t="s">
        <v>647</v>
      </c>
      <c r="Y470" s="3" t="s">
        <v>29</v>
      </c>
      <c r="Z470" s="3" t="s">
        <v>476</v>
      </c>
    </row>
    <row r="471" spans="1:26" x14ac:dyDescent="0.2">
      <c r="A471" s="3" t="str">
        <f t="shared" si="45"/>
        <v>TRIP-T-502</v>
      </c>
      <c r="B471" s="2">
        <v>45981</v>
      </c>
      <c r="C471" s="3"/>
      <c r="D471" s="3"/>
      <c r="E471" s="3"/>
      <c r="F471" s="3"/>
      <c r="G471" s="3"/>
      <c r="H471" s="3"/>
      <c r="I471" s="3"/>
      <c r="J471" s="3"/>
      <c r="K471" s="3"/>
      <c r="L471" s="26" t="s">
        <v>322</v>
      </c>
      <c r="M471" s="27">
        <v>1</v>
      </c>
      <c r="N471" s="3"/>
      <c r="O471" s="3"/>
      <c r="P471" s="3"/>
      <c r="Q471" s="3"/>
      <c r="R471" s="3"/>
      <c r="S471" s="3"/>
      <c r="T471" s="3">
        <f t="shared" si="46"/>
        <v>0</v>
      </c>
      <c r="U471" s="3" t="str">
        <f t="shared" si="47"/>
        <v>OK</v>
      </c>
      <c r="V471" s="21">
        <f t="shared" si="48"/>
        <v>0</v>
      </c>
      <c r="W471" s="3" t="str">
        <f t="shared" si="49"/>
        <v>OK</v>
      </c>
      <c r="X471" s="3" t="s">
        <v>647</v>
      </c>
      <c r="Y471" s="3" t="s">
        <v>29</v>
      </c>
      <c r="Z471" s="3" t="s">
        <v>476</v>
      </c>
    </row>
    <row r="472" spans="1:26" x14ac:dyDescent="0.2">
      <c r="A472" s="3" t="str">
        <f t="shared" si="45"/>
        <v>TRIP-T-503</v>
      </c>
      <c r="B472" s="2">
        <v>45981</v>
      </c>
      <c r="C472" s="3"/>
      <c r="D472" s="3"/>
      <c r="E472" s="3"/>
      <c r="F472" s="3"/>
      <c r="G472" s="3"/>
      <c r="H472" s="3"/>
      <c r="I472" s="3"/>
      <c r="J472" s="3"/>
      <c r="K472" s="3"/>
      <c r="L472" s="26" t="s">
        <v>322</v>
      </c>
      <c r="M472" s="27">
        <v>3</v>
      </c>
      <c r="N472" s="3"/>
      <c r="O472" s="3"/>
      <c r="P472" s="3"/>
      <c r="Q472" s="3"/>
      <c r="R472" s="3"/>
      <c r="S472" s="3"/>
      <c r="T472" s="3">
        <f t="shared" si="46"/>
        <v>0</v>
      </c>
      <c r="U472" s="3" t="str">
        <f t="shared" si="47"/>
        <v>OK</v>
      </c>
      <c r="V472" s="21">
        <f t="shared" si="48"/>
        <v>0</v>
      </c>
      <c r="W472" s="3" t="str">
        <f t="shared" si="49"/>
        <v>OK</v>
      </c>
      <c r="X472" s="3" t="s">
        <v>647</v>
      </c>
      <c r="Y472" s="3" t="s">
        <v>29</v>
      </c>
      <c r="Z472" s="3" t="s">
        <v>476</v>
      </c>
    </row>
    <row r="473" spans="1:26" x14ac:dyDescent="0.2">
      <c r="A473" s="3" t="str">
        <f t="shared" si="45"/>
        <v>TRIP-T-504</v>
      </c>
      <c r="B473" s="2">
        <v>45982</v>
      </c>
      <c r="C473" s="3"/>
      <c r="D473" s="3"/>
      <c r="E473" s="3"/>
      <c r="F473" s="3"/>
      <c r="G473" s="3"/>
      <c r="H473" s="3"/>
      <c r="I473" s="3"/>
      <c r="J473" s="3"/>
      <c r="K473" s="3"/>
      <c r="L473" s="26" t="s">
        <v>322</v>
      </c>
      <c r="M473" s="27">
        <v>1</v>
      </c>
      <c r="N473" s="3"/>
      <c r="O473" s="3"/>
      <c r="P473" s="3"/>
      <c r="Q473" s="3"/>
      <c r="R473" s="3"/>
      <c r="S473" s="3"/>
      <c r="T473" s="3">
        <f t="shared" si="46"/>
        <v>0</v>
      </c>
      <c r="U473" s="3" t="str">
        <f t="shared" si="47"/>
        <v>OK</v>
      </c>
      <c r="V473" s="21">
        <f t="shared" si="48"/>
        <v>0</v>
      </c>
      <c r="W473" s="3" t="str">
        <f t="shared" si="49"/>
        <v>OK</v>
      </c>
      <c r="X473" s="3" t="s">
        <v>647</v>
      </c>
      <c r="Y473" s="3" t="s">
        <v>29</v>
      </c>
      <c r="Z473" s="3" t="s">
        <v>476</v>
      </c>
    </row>
    <row r="474" spans="1:26" x14ac:dyDescent="0.2">
      <c r="A474" s="3" t="str">
        <f t="shared" si="45"/>
        <v>TRIP-T-505</v>
      </c>
      <c r="B474" s="2">
        <v>45982</v>
      </c>
      <c r="C474" s="3"/>
      <c r="D474" s="3"/>
      <c r="E474" s="3"/>
      <c r="F474" s="3"/>
      <c r="G474" s="3"/>
      <c r="H474" s="3"/>
      <c r="I474" s="3"/>
      <c r="J474" s="3"/>
      <c r="K474" s="3"/>
      <c r="L474" s="26" t="s">
        <v>652</v>
      </c>
      <c r="M474" s="27">
        <v>6</v>
      </c>
      <c r="N474" s="3"/>
      <c r="O474" s="3"/>
      <c r="P474" s="3"/>
      <c r="Q474" s="3"/>
      <c r="R474" s="3"/>
      <c r="S474" s="3"/>
      <c r="T474" s="3">
        <f t="shared" si="46"/>
        <v>0</v>
      </c>
      <c r="U474" s="3" t="str">
        <f t="shared" si="47"/>
        <v>OK</v>
      </c>
      <c r="V474" s="21">
        <f t="shared" si="48"/>
        <v>0</v>
      </c>
      <c r="W474" s="3" t="str">
        <f t="shared" si="49"/>
        <v>OK</v>
      </c>
      <c r="X474" s="3" t="s">
        <v>647</v>
      </c>
      <c r="Y474" s="3" t="s">
        <v>29</v>
      </c>
      <c r="Z474" s="3" t="s">
        <v>476</v>
      </c>
    </row>
    <row r="475" spans="1:26" x14ac:dyDescent="0.2">
      <c r="A475" s="3" t="str">
        <f t="shared" si="45"/>
        <v>TRIP-T-506</v>
      </c>
      <c r="B475" s="2">
        <v>45982</v>
      </c>
      <c r="C475" s="3"/>
      <c r="D475" s="3"/>
      <c r="E475" s="3"/>
      <c r="F475" s="3"/>
      <c r="G475" s="3"/>
      <c r="H475" s="3"/>
      <c r="I475" s="3"/>
      <c r="J475" s="3"/>
      <c r="K475" s="3"/>
      <c r="L475" s="26" t="s">
        <v>653</v>
      </c>
      <c r="M475" s="27">
        <v>7</v>
      </c>
      <c r="N475" s="3"/>
      <c r="O475" s="3"/>
      <c r="P475" s="3"/>
      <c r="Q475" s="3"/>
      <c r="R475" s="3"/>
      <c r="S475" s="3"/>
      <c r="T475" s="3">
        <f t="shared" si="46"/>
        <v>0</v>
      </c>
      <c r="U475" s="3" t="str">
        <f t="shared" si="47"/>
        <v>OK</v>
      </c>
      <c r="V475" s="21">
        <f t="shared" si="48"/>
        <v>0</v>
      </c>
      <c r="W475" s="3" t="str">
        <f t="shared" si="49"/>
        <v>OK</v>
      </c>
      <c r="X475" s="3" t="s">
        <v>647</v>
      </c>
      <c r="Y475" s="3" t="s">
        <v>29</v>
      </c>
      <c r="Z475" s="3" t="s">
        <v>476</v>
      </c>
    </row>
    <row r="476" spans="1:26" x14ac:dyDescent="0.2">
      <c r="A476" s="3" t="str">
        <f t="shared" si="45"/>
        <v>TRIP-T-507</v>
      </c>
      <c r="B476" s="2">
        <v>45982</v>
      </c>
      <c r="C476" s="3"/>
      <c r="D476" s="3"/>
      <c r="E476" s="3"/>
      <c r="F476" s="3"/>
      <c r="G476" s="3"/>
      <c r="H476" s="3"/>
      <c r="I476" s="3"/>
      <c r="J476" s="3"/>
      <c r="K476" s="3"/>
      <c r="L476" s="26" t="s">
        <v>652</v>
      </c>
      <c r="M476" s="27">
        <v>8</v>
      </c>
      <c r="N476" s="3"/>
      <c r="O476" s="3"/>
      <c r="P476" s="3"/>
      <c r="Q476" s="3"/>
      <c r="R476" s="3"/>
      <c r="S476" s="3"/>
      <c r="T476" s="3">
        <f t="shared" si="46"/>
        <v>0</v>
      </c>
      <c r="U476" s="3" t="str">
        <f t="shared" si="47"/>
        <v>OK</v>
      </c>
      <c r="V476" s="21">
        <f t="shared" si="48"/>
        <v>0</v>
      </c>
      <c r="W476" s="3" t="str">
        <f t="shared" si="49"/>
        <v>OK</v>
      </c>
      <c r="X476" s="3" t="s">
        <v>647</v>
      </c>
      <c r="Y476" s="3" t="s">
        <v>29</v>
      </c>
      <c r="Z476" s="3" t="s">
        <v>476</v>
      </c>
    </row>
    <row r="477" spans="1:26" x14ac:dyDescent="0.2">
      <c r="A477" s="3" t="str">
        <f t="shared" si="45"/>
        <v>TRIP-T-508</v>
      </c>
      <c r="B477" s="2">
        <v>45984</v>
      </c>
      <c r="C477" s="3"/>
      <c r="D477" s="3"/>
      <c r="E477" s="3"/>
      <c r="F477" s="3"/>
      <c r="G477" s="3"/>
      <c r="H477" s="3"/>
      <c r="I477" s="3"/>
      <c r="J477" s="3"/>
      <c r="K477" s="3"/>
      <c r="L477" s="26" t="s">
        <v>653</v>
      </c>
      <c r="M477" s="27">
        <v>8</v>
      </c>
      <c r="N477" s="3"/>
      <c r="O477" s="3"/>
      <c r="P477" s="3"/>
      <c r="Q477" s="3"/>
      <c r="R477" s="3"/>
      <c r="S477" s="3"/>
      <c r="T477" s="3">
        <f t="shared" si="46"/>
        <v>0</v>
      </c>
      <c r="U477" s="3" t="str">
        <f t="shared" si="47"/>
        <v>OK</v>
      </c>
      <c r="V477" s="21">
        <f t="shared" si="48"/>
        <v>0</v>
      </c>
      <c r="W477" s="3" t="str">
        <f t="shared" si="49"/>
        <v>OK</v>
      </c>
      <c r="X477" s="3" t="s">
        <v>647</v>
      </c>
      <c r="Y477" s="3" t="s">
        <v>29</v>
      </c>
      <c r="Z477" s="3" t="s">
        <v>476</v>
      </c>
    </row>
    <row r="478" spans="1:26" x14ac:dyDescent="0.2">
      <c r="A478" s="3" t="str">
        <f t="shared" si="45"/>
        <v>TRIP-T-509</v>
      </c>
      <c r="B478" s="2">
        <v>45984</v>
      </c>
      <c r="C478" s="3"/>
      <c r="D478" s="3"/>
      <c r="E478" s="3"/>
      <c r="F478" s="3"/>
      <c r="G478" s="3"/>
      <c r="H478" s="3"/>
      <c r="I478" s="3"/>
      <c r="J478" s="3"/>
      <c r="K478" s="3"/>
      <c r="L478" s="26" t="s">
        <v>652</v>
      </c>
      <c r="M478" s="27">
        <v>12</v>
      </c>
      <c r="N478" s="3"/>
      <c r="O478" s="3"/>
      <c r="P478" s="3"/>
      <c r="Q478" s="3"/>
      <c r="R478" s="3"/>
      <c r="S478" s="3"/>
      <c r="T478" s="3">
        <f t="shared" si="46"/>
        <v>0</v>
      </c>
      <c r="U478" s="3" t="str">
        <f t="shared" si="47"/>
        <v>OK</v>
      </c>
      <c r="V478" s="21">
        <f t="shared" si="48"/>
        <v>0</v>
      </c>
      <c r="W478" s="3" t="str">
        <f t="shared" si="49"/>
        <v>OK</v>
      </c>
      <c r="X478" s="3" t="s">
        <v>647</v>
      </c>
      <c r="Y478" s="3" t="s">
        <v>29</v>
      </c>
      <c r="Z478" s="3" t="s">
        <v>476</v>
      </c>
    </row>
    <row r="479" spans="1:26" x14ac:dyDescent="0.2">
      <c r="A479" s="3" t="str">
        <f t="shared" si="45"/>
        <v>TRIP-T-510</v>
      </c>
      <c r="B479" s="2">
        <v>45984</v>
      </c>
      <c r="C479" s="3"/>
      <c r="D479" s="3"/>
      <c r="E479" s="3"/>
      <c r="F479" s="3"/>
      <c r="G479" s="3"/>
      <c r="H479" s="3"/>
      <c r="I479" s="3"/>
      <c r="J479" s="3"/>
      <c r="K479" s="3"/>
      <c r="L479" s="26" t="s">
        <v>653</v>
      </c>
      <c r="M479" s="27">
        <v>8</v>
      </c>
      <c r="N479" s="3"/>
      <c r="O479" s="3"/>
      <c r="P479" s="3"/>
      <c r="Q479" s="3"/>
      <c r="R479" s="3"/>
      <c r="S479" s="3"/>
      <c r="T479" s="3">
        <f t="shared" si="46"/>
        <v>0</v>
      </c>
      <c r="U479" s="3" t="str">
        <f t="shared" si="47"/>
        <v>OK</v>
      </c>
      <c r="V479" s="21">
        <f t="shared" si="48"/>
        <v>0</v>
      </c>
      <c r="W479" s="3" t="str">
        <f t="shared" si="49"/>
        <v>OK</v>
      </c>
      <c r="X479" s="3" t="s">
        <v>647</v>
      </c>
      <c r="Y479" s="3" t="s">
        <v>29</v>
      </c>
      <c r="Z479" s="3" t="s">
        <v>476</v>
      </c>
    </row>
    <row r="480" spans="1:26" x14ac:dyDescent="0.2">
      <c r="A480" s="3" t="str">
        <f t="shared" si="45"/>
        <v>TRIP-T-511</v>
      </c>
      <c r="B480" s="2">
        <v>45984</v>
      </c>
      <c r="C480" s="3"/>
      <c r="D480" s="3"/>
      <c r="E480" s="3"/>
      <c r="F480" s="3"/>
      <c r="G480" s="3"/>
      <c r="H480" s="3"/>
      <c r="I480" s="3"/>
      <c r="J480" s="3"/>
      <c r="K480" s="3"/>
      <c r="L480" s="26" t="s">
        <v>652</v>
      </c>
      <c r="M480" s="27">
        <v>8</v>
      </c>
      <c r="N480" s="3"/>
      <c r="O480" s="3"/>
      <c r="P480" s="3"/>
      <c r="Q480" s="3"/>
      <c r="R480" s="3"/>
      <c r="S480" s="3"/>
      <c r="T480" s="3">
        <f t="shared" si="46"/>
        <v>0</v>
      </c>
      <c r="U480" s="3" t="str">
        <f t="shared" si="47"/>
        <v>OK</v>
      </c>
      <c r="V480" s="21">
        <f t="shared" si="48"/>
        <v>0</v>
      </c>
      <c r="W480" s="3" t="str">
        <f t="shared" si="49"/>
        <v>OK</v>
      </c>
      <c r="X480" s="3" t="s">
        <v>647</v>
      </c>
      <c r="Y480" s="3" t="s">
        <v>29</v>
      </c>
      <c r="Z480" s="3" t="s">
        <v>476</v>
      </c>
    </row>
    <row r="481" spans="1:26" x14ac:dyDescent="0.2">
      <c r="A481" s="3" t="str">
        <f t="shared" si="45"/>
        <v>TRIP-T-512</v>
      </c>
      <c r="B481" s="2">
        <v>45985</v>
      </c>
      <c r="C481" s="3"/>
      <c r="D481" s="3"/>
      <c r="E481" s="3"/>
      <c r="F481" s="3"/>
      <c r="G481" s="3"/>
      <c r="H481" s="3"/>
      <c r="I481" s="3"/>
      <c r="J481" s="3"/>
      <c r="K481" s="3"/>
      <c r="L481" s="26" t="s">
        <v>653</v>
      </c>
      <c r="M481" s="27">
        <v>8</v>
      </c>
      <c r="N481" s="3"/>
      <c r="O481" s="3"/>
      <c r="P481" s="3"/>
      <c r="Q481" s="3"/>
      <c r="R481" s="3"/>
      <c r="S481" s="3"/>
      <c r="T481" s="3">
        <f t="shared" si="46"/>
        <v>0</v>
      </c>
      <c r="U481" s="3" t="str">
        <f t="shared" si="47"/>
        <v>OK</v>
      </c>
      <c r="V481" s="21">
        <f t="shared" si="48"/>
        <v>0</v>
      </c>
      <c r="W481" s="3" t="str">
        <f t="shared" si="49"/>
        <v>OK</v>
      </c>
      <c r="X481" s="3" t="s">
        <v>647</v>
      </c>
      <c r="Y481" s="3" t="s">
        <v>29</v>
      </c>
      <c r="Z481" s="3" t="s">
        <v>476</v>
      </c>
    </row>
    <row r="482" spans="1:26" x14ac:dyDescent="0.2">
      <c r="A482" s="3" t="str">
        <f t="shared" si="45"/>
        <v>TRIP-T-513</v>
      </c>
      <c r="B482" s="2">
        <v>45985</v>
      </c>
      <c r="C482" s="3"/>
      <c r="D482" s="3"/>
      <c r="E482" s="3"/>
      <c r="F482" s="3"/>
      <c r="G482" s="3"/>
      <c r="H482" s="3"/>
      <c r="I482" s="3"/>
      <c r="J482" s="3"/>
      <c r="K482" s="3"/>
      <c r="L482" s="26" t="s">
        <v>322</v>
      </c>
      <c r="M482" s="27">
        <v>1</v>
      </c>
      <c r="N482" s="3"/>
      <c r="O482" s="3"/>
      <c r="P482" s="3"/>
      <c r="Q482" s="3"/>
      <c r="R482" s="3"/>
      <c r="S482" s="3"/>
      <c r="T482" s="3">
        <f t="shared" si="46"/>
        <v>0</v>
      </c>
      <c r="U482" s="3" t="str">
        <f t="shared" si="47"/>
        <v>OK</v>
      </c>
      <c r="V482" s="21">
        <f t="shared" si="48"/>
        <v>0</v>
      </c>
      <c r="W482" s="3" t="str">
        <f t="shared" si="49"/>
        <v>OK</v>
      </c>
      <c r="X482" s="3" t="s">
        <v>647</v>
      </c>
      <c r="Y482" s="3" t="s">
        <v>29</v>
      </c>
      <c r="Z482" s="3" t="s">
        <v>476</v>
      </c>
    </row>
    <row r="483" spans="1:26" x14ac:dyDescent="0.2">
      <c r="A483" s="3" t="str">
        <f t="shared" si="45"/>
        <v>TRIP-T-514</v>
      </c>
      <c r="B483" s="2">
        <v>45985</v>
      </c>
      <c r="C483" s="3"/>
      <c r="D483" s="3"/>
      <c r="E483" s="3"/>
      <c r="F483" s="3"/>
      <c r="G483" s="3"/>
      <c r="H483" s="3"/>
      <c r="I483" s="3"/>
      <c r="J483" s="3"/>
      <c r="K483" s="3"/>
      <c r="L483" s="26" t="s">
        <v>652</v>
      </c>
      <c r="M483" s="27">
        <v>6</v>
      </c>
      <c r="N483" s="3"/>
      <c r="O483" s="3"/>
      <c r="P483" s="3"/>
      <c r="Q483" s="3"/>
      <c r="R483" s="3"/>
      <c r="S483" s="3"/>
      <c r="T483" s="3">
        <f t="shared" si="46"/>
        <v>0</v>
      </c>
      <c r="U483" s="3" t="str">
        <f t="shared" si="47"/>
        <v>OK</v>
      </c>
      <c r="V483" s="21">
        <f t="shared" si="48"/>
        <v>0</v>
      </c>
      <c r="W483" s="3" t="str">
        <f t="shared" si="49"/>
        <v>OK</v>
      </c>
      <c r="X483" s="3" t="s">
        <v>647</v>
      </c>
      <c r="Y483" s="3" t="s">
        <v>29</v>
      </c>
      <c r="Z483" s="3" t="s">
        <v>476</v>
      </c>
    </row>
    <row r="484" spans="1:26" x14ac:dyDescent="0.2">
      <c r="A484" s="3" t="str">
        <f t="shared" si="45"/>
        <v>TRIP-T-515</v>
      </c>
      <c r="B484" s="2">
        <v>45985</v>
      </c>
      <c r="C484" s="3"/>
      <c r="D484" s="3"/>
      <c r="E484" s="3"/>
      <c r="F484" s="3"/>
      <c r="G484" s="3"/>
      <c r="H484" s="3"/>
      <c r="I484" s="3"/>
      <c r="J484" s="3"/>
      <c r="K484" s="3"/>
      <c r="L484" s="26" t="s">
        <v>653</v>
      </c>
      <c r="M484" s="27">
        <v>7</v>
      </c>
      <c r="N484" s="3"/>
      <c r="O484" s="3"/>
      <c r="P484" s="3"/>
      <c r="Q484" s="3"/>
      <c r="R484" s="3"/>
      <c r="S484" s="3"/>
      <c r="T484" s="3">
        <f t="shared" si="46"/>
        <v>0</v>
      </c>
      <c r="U484" s="3" t="str">
        <f t="shared" si="47"/>
        <v>OK</v>
      </c>
      <c r="V484" s="21">
        <f t="shared" si="48"/>
        <v>0</v>
      </c>
      <c r="W484" s="3" t="str">
        <f t="shared" si="49"/>
        <v>OK</v>
      </c>
      <c r="X484" s="3" t="s">
        <v>647</v>
      </c>
      <c r="Y484" s="3" t="s">
        <v>29</v>
      </c>
      <c r="Z484" s="3" t="s">
        <v>476</v>
      </c>
    </row>
    <row r="485" spans="1:26" x14ac:dyDescent="0.2">
      <c r="A485" s="3" t="str">
        <f t="shared" si="45"/>
        <v>TRIP-T-516</v>
      </c>
      <c r="B485" s="2">
        <v>45985</v>
      </c>
      <c r="C485" s="3"/>
      <c r="D485" s="3"/>
      <c r="E485" s="3"/>
      <c r="F485" s="3"/>
      <c r="G485" s="3"/>
      <c r="H485" s="3"/>
      <c r="I485" s="3"/>
      <c r="J485" s="3"/>
      <c r="K485" s="3"/>
      <c r="L485" s="26" t="s">
        <v>657</v>
      </c>
      <c r="M485" s="27">
        <v>5</v>
      </c>
      <c r="N485" s="3"/>
      <c r="O485" s="3"/>
      <c r="P485" s="3"/>
      <c r="Q485" s="3"/>
      <c r="R485" s="3"/>
      <c r="S485" s="3"/>
      <c r="T485" s="3">
        <f t="shared" si="46"/>
        <v>0</v>
      </c>
      <c r="U485" s="3" t="str">
        <f t="shared" si="47"/>
        <v>OK</v>
      </c>
      <c r="V485" s="21">
        <f t="shared" si="48"/>
        <v>0</v>
      </c>
      <c r="W485" s="3" t="str">
        <f t="shared" si="49"/>
        <v>OK</v>
      </c>
      <c r="X485" s="3" t="s">
        <v>647</v>
      </c>
      <c r="Y485" s="3" t="s">
        <v>29</v>
      </c>
      <c r="Z485" s="3" t="s">
        <v>476</v>
      </c>
    </row>
    <row r="486" spans="1:26" x14ac:dyDescent="0.2">
      <c r="A486" s="3" t="str">
        <f t="shared" si="45"/>
        <v>TRIP-T-517</v>
      </c>
      <c r="B486" s="2">
        <v>45986</v>
      </c>
      <c r="C486" s="3"/>
      <c r="D486" s="3"/>
      <c r="E486" s="3"/>
      <c r="F486" s="3"/>
      <c r="G486" s="3"/>
      <c r="H486" s="3"/>
      <c r="I486" s="3"/>
      <c r="J486" s="3"/>
      <c r="K486" s="3"/>
      <c r="L486" s="26" t="s">
        <v>653</v>
      </c>
      <c r="M486" s="27">
        <v>6</v>
      </c>
      <c r="N486" s="3"/>
      <c r="O486" s="3"/>
      <c r="P486" s="3"/>
      <c r="Q486" s="3"/>
      <c r="R486" s="3"/>
      <c r="S486" s="3"/>
      <c r="T486" s="3">
        <f t="shared" si="46"/>
        <v>0</v>
      </c>
      <c r="U486" s="3" t="str">
        <f t="shared" si="47"/>
        <v>OK</v>
      </c>
      <c r="V486" s="21">
        <f t="shared" si="48"/>
        <v>0</v>
      </c>
      <c r="W486" s="3" t="str">
        <f t="shared" si="49"/>
        <v>OK</v>
      </c>
      <c r="X486" s="3" t="s">
        <v>647</v>
      </c>
      <c r="Y486" s="3" t="s">
        <v>29</v>
      </c>
      <c r="Z486" s="3" t="s">
        <v>476</v>
      </c>
    </row>
    <row r="487" spans="1:26" x14ac:dyDescent="0.2">
      <c r="A487" s="3" t="str">
        <f t="shared" si="45"/>
        <v>TRIP-T-518</v>
      </c>
      <c r="B487" s="2">
        <v>45986</v>
      </c>
      <c r="C487" s="3"/>
      <c r="D487" s="3"/>
      <c r="E487" s="3"/>
      <c r="F487" s="3"/>
      <c r="G487" s="3"/>
      <c r="H487" s="3"/>
      <c r="I487" s="3"/>
      <c r="J487" s="3"/>
      <c r="K487" s="3"/>
      <c r="L487" s="26" t="s">
        <v>322</v>
      </c>
      <c r="M487" s="27">
        <v>1</v>
      </c>
      <c r="N487" s="3"/>
      <c r="O487" s="3"/>
      <c r="P487" s="3"/>
      <c r="Q487" s="3"/>
      <c r="R487" s="3"/>
      <c r="S487" s="3"/>
      <c r="T487" s="3">
        <f t="shared" si="46"/>
        <v>0</v>
      </c>
      <c r="U487" s="3" t="str">
        <f t="shared" si="47"/>
        <v>OK</v>
      </c>
      <c r="V487" s="21">
        <f t="shared" si="48"/>
        <v>0</v>
      </c>
      <c r="W487" s="3" t="str">
        <f t="shared" si="49"/>
        <v>OK</v>
      </c>
      <c r="X487" s="3" t="s">
        <v>647</v>
      </c>
      <c r="Y487" s="3" t="s">
        <v>29</v>
      </c>
      <c r="Z487" s="3" t="s">
        <v>476</v>
      </c>
    </row>
    <row r="488" spans="1:26" x14ac:dyDescent="0.2">
      <c r="A488" s="3" t="str">
        <f t="shared" si="45"/>
        <v>TRIP-T-519</v>
      </c>
      <c r="B488" s="2">
        <v>45986</v>
      </c>
      <c r="C488" s="3"/>
      <c r="D488" s="3"/>
      <c r="E488" s="3"/>
      <c r="F488" s="3"/>
      <c r="G488" s="3"/>
      <c r="H488" s="3"/>
      <c r="I488" s="3"/>
      <c r="J488" s="3"/>
      <c r="K488" s="3"/>
      <c r="L488" s="26" t="s">
        <v>657</v>
      </c>
      <c r="M488" s="27">
        <v>6</v>
      </c>
      <c r="N488" s="3"/>
      <c r="O488" s="3"/>
      <c r="P488" s="3"/>
      <c r="Q488" s="3"/>
      <c r="R488" s="3"/>
      <c r="S488" s="3"/>
      <c r="T488" s="3">
        <f t="shared" si="46"/>
        <v>0</v>
      </c>
      <c r="U488" s="3" t="str">
        <f t="shared" si="47"/>
        <v>OK</v>
      </c>
      <c r="V488" s="21">
        <f t="shared" si="48"/>
        <v>0</v>
      </c>
      <c r="W488" s="3" t="str">
        <f t="shared" si="49"/>
        <v>OK</v>
      </c>
      <c r="X488" s="3" t="s">
        <v>647</v>
      </c>
      <c r="Y488" s="3" t="s">
        <v>29</v>
      </c>
      <c r="Z488" s="3" t="s">
        <v>476</v>
      </c>
    </row>
    <row r="489" spans="1:26" x14ac:dyDescent="0.2">
      <c r="A489" s="3" t="str">
        <f t="shared" si="45"/>
        <v>TRIP-T-520</v>
      </c>
      <c r="B489" s="2">
        <v>45986</v>
      </c>
      <c r="C489" s="3"/>
      <c r="D489" s="3"/>
      <c r="E489" s="3"/>
      <c r="F489" s="3"/>
      <c r="G489" s="3"/>
      <c r="H489" s="3"/>
      <c r="I489" s="3"/>
      <c r="J489" s="3"/>
      <c r="K489" s="3"/>
      <c r="L489" s="26" t="s">
        <v>653</v>
      </c>
      <c r="M489" s="27">
        <v>7</v>
      </c>
      <c r="N489" s="3"/>
      <c r="O489" s="3"/>
      <c r="P489" s="3"/>
      <c r="Q489" s="3"/>
      <c r="R489" s="3"/>
      <c r="S489" s="3"/>
      <c r="T489" s="3">
        <f t="shared" si="46"/>
        <v>0</v>
      </c>
      <c r="U489" s="3" t="str">
        <f t="shared" si="47"/>
        <v>OK</v>
      </c>
      <c r="V489" s="21">
        <f t="shared" si="48"/>
        <v>0</v>
      </c>
      <c r="W489" s="3" t="str">
        <f t="shared" si="49"/>
        <v>OK</v>
      </c>
      <c r="X489" s="3" t="s">
        <v>647</v>
      </c>
      <c r="Y489" s="3" t="s">
        <v>29</v>
      </c>
      <c r="Z489" s="3" t="s">
        <v>476</v>
      </c>
    </row>
    <row r="490" spans="1:26" x14ac:dyDescent="0.2">
      <c r="A490" s="3" t="str">
        <f t="shared" si="45"/>
        <v>TRIP-T-521</v>
      </c>
      <c r="B490" s="2">
        <v>45986</v>
      </c>
      <c r="C490" s="3"/>
      <c r="D490" s="3"/>
      <c r="E490" s="3"/>
      <c r="F490" s="3"/>
      <c r="G490" s="3"/>
      <c r="H490" s="3"/>
      <c r="I490" s="3"/>
      <c r="J490" s="3"/>
      <c r="K490" s="3"/>
      <c r="L490" s="26" t="s">
        <v>657</v>
      </c>
      <c r="M490" s="27">
        <v>2</v>
      </c>
      <c r="N490" s="3"/>
      <c r="O490" s="3"/>
      <c r="P490" s="3"/>
      <c r="Q490" s="3"/>
      <c r="R490" s="3"/>
      <c r="S490" s="3"/>
      <c r="T490" s="3">
        <f t="shared" si="46"/>
        <v>0</v>
      </c>
      <c r="U490" s="3" t="str">
        <f t="shared" si="47"/>
        <v>OK</v>
      </c>
      <c r="V490" s="21">
        <f t="shared" si="48"/>
        <v>0</v>
      </c>
      <c r="W490" s="3" t="str">
        <f t="shared" si="49"/>
        <v>OK</v>
      </c>
      <c r="X490" s="3" t="s">
        <v>647</v>
      </c>
      <c r="Y490" s="3" t="s">
        <v>29</v>
      </c>
      <c r="Z490" s="3" t="s">
        <v>476</v>
      </c>
    </row>
    <row r="491" spans="1:26" x14ac:dyDescent="0.2">
      <c r="A491" s="3" t="str">
        <f t="shared" si="45"/>
        <v>TRIP-T-522</v>
      </c>
      <c r="B491" s="2">
        <v>45987</v>
      </c>
      <c r="C491" s="3"/>
      <c r="D491" s="3"/>
      <c r="E491" s="3"/>
      <c r="F491" s="3"/>
      <c r="G491" s="3"/>
      <c r="H491" s="3"/>
      <c r="I491" s="3"/>
      <c r="J491" s="3"/>
      <c r="K491" s="3"/>
      <c r="L491" s="26" t="s">
        <v>657</v>
      </c>
      <c r="M491" s="27">
        <v>5</v>
      </c>
      <c r="N491" s="3"/>
      <c r="O491" s="3"/>
      <c r="P491" s="3"/>
      <c r="Q491" s="3"/>
      <c r="R491" s="3"/>
      <c r="S491" s="3"/>
      <c r="T491" s="3">
        <f t="shared" si="46"/>
        <v>0</v>
      </c>
      <c r="U491" s="3" t="str">
        <f t="shared" si="47"/>
        <v>OK</v>
      </c>
      <c r="V491" s="21">
        <f t="shared" si="48"/>
        <v>0</v>
      </c>
      <c r="W491" s="3" t="str">
        <f t="shared" si="49"/>
        <v>OK</v>
      </c>
      <c r="X491" s="3" t="s">
        <v>647</v>
      </c>
      <c r="Y491" s="3" t="s">
        <v>29</v>
      </c>
      <c r="Z491" s="3" t="s">
        <v>476</v>
      </c>
    </row>
    <row r="492" spans="1:26" x14ac:dyDescent="0.2">
      <c r="A492" s="3" t="str">
        <f t="shared" si="45"/>
        <v>TRIP-T-523</v>
      </c>
      <c r="B492" s="2">
        <v>45987</v>
      </c>
      <c r="C492" s="3"/>
      <c r="D492" s="3"/>
      <c r="E492" s="3"/>
      <c r="F492" s="3"/>
      <c r="G492" s="3"/>
      <c r="H492" s="3"/>
      <c r="I492" s="3"/>
      <c r="J492" s="3"/>
      <c r="K492" s="3"/>
      <c r="L492" s="26" t="s">
        <v>653</v>
      </c>
      <c r="M492" s="27">
        <v>8</v>
      </c>
      <c r="N492" s="3"/>
      <c r="O492" s="3"/>
      <c r="P492" s="3"/>
      <c r="Q492" s="3"/>
      <c r="R492" s="3"/>
      <c r="S492" s="3"/>
      <c r="T492" s="3">
        <f t="shared" si="46"/>
        <v>0</v>
      </c>
      <c r="U492" s="3" t="str">
        <f t="shared" si="47"/>
        <v>OK</v>
      </c>
      <c r="V492" s="21">
        <f t="shared" si="48"/>
        <v>0</v>
      </c>
      <c r="W492" s="3" t="str">
        <f t="shared" si="49"/>
        <v>OK</v>
      </c>
      <c r="X492" s="3" t="s">
        <v>647</v>
      </c>
      <c r="Y492" s="3" t="s">
        <v>29</v>
      </c>
      <c r="Z492" s="3" t="s">
        <v>476</v>
      </c>
    </row>
    <row r="493" spans="1:26" x14ac:dyDescent="0.2">
      <c r="A493" s="3" t="str">
        <f t="shared" si="45"/>
        <v>TRIP-T-524</v>
      </c>
      <c r="B493" s="2">
        <v>45988</v>
      </c>
      <c r="C493" s="3"/>
      <c r="D493" s="3"/>
      <c r="E493" s="3"/>
      <c r="F493" s="3"/>
      <c r="G493" s="3"/>
      <c r="H493" s="3"/>
      <c r="I493" s="3"/>
      <c r="J493" s="3"/>
      <c r="K493" s="3"/>
      <c r="L493" s="26" t="s">
        <v>657</v>
      </c>
      <c r="M493" s="27">
        <v>5</v>
      </c>
      <c r="N493" s="3"/>
      <c r="O493" s="3"/>
      <c r="P493" s="3"/>
      <c r="Q493" s="3"/>
      <c r="R493" s="3"/>
      <c r="S493" s="3"/>
      <c r="T493" s="3">
        <f t="shared" si="46"/>
        <v>0</v>
      </c>
      <c r="U493" s="3" t="str">
        <f t="shared" si="47"/>
        <v>OK</v>
      </c>
      <c r="V493" s="21">
        <f t="shared" si="48"/>
        <v>0</v>
      </c>
      <c r="W493" s="3" t="str">
        <f t="shared" si="49"/>
        <v>OK</v>
      </c>
      <c r="X493" s="3" t="s">
        <v>647</v>
      </c>
      <c r="Y493" s="3" t="s">
        <v>29</v>
      </c>
      <c r="Z493" s="3" t="s">
        <v>476</v>
      </c>
    </row>
    <row r="494" spans="1:26" x14ac:dyDescent="0.2">
      <c r="A494" s="3" t="str">
        <f t="shared" si="45"/>
        <v>TRIP-T-525</v>
      </c>
      <c r="B494" s="2">
        <v>45988</v>
      </c>
      <c r="C494" s="3"/>
      <c r="D494" s="3"/>
      <c r="E494" s="3"/>
      <c r="F494" s="3"/>
      <c r="G494" s="3"/>
      <c r="H494" s="3"/>
      <c r="I494" s="3"/>
      <c r="J494" s="3"/>
      <c r="K494" s="3"/>
      <c r="L494" s="26" t="s">
        <v>653</v>
      </c>
      <c r="M494" s="27">
        <v>13</v>
      </c>
      <c r="N494" s="3"/>
      <c r="O494" s="3"/>
      <c r="P494" s="3"/>
      <c r="Q494" s="3"/>
      <c r="R494" s="3"/>
      <c r="S494" s="3"/>
      <c r="T494" s="3">
        <f t="shared" si="46"/>
        <v>0</v>
      </c>
      <c r="U494" s="3" t="str">
        <f t="shared" si="47"/>
        <v>OK</v>
      </c>
      <c r="V494" s="21">
        <f t="shared" si="48"/>
        <v>0</v>
      </c>
      <c r="W494" s="3" t="str">
        <f t="shared" si="49"/>
        <v>OK</v>
      </c>
      <c r="X494" s="3" t="s">
        <v>647</v>
      </c>
      <c r="Y494" s="3" t="s">
        <v>29</v>
      </c>
      <c r="Z494" s="3" t="s">
        <v>476</v>
      </c>
    </row>
    <row r="495" spans="1:26" x14ac:dyDescent="0.2">
      <c r="A495" s="3" t="str">
        <f t="shared" si="45"/>
        <v>TRIP-T-526</v>
      </c>
      <c r="B495" s="2">
        <v>45989</v>
      </c>
      <c r="C495" s="3"/>
      <c r="D495" s="3"/>
      <c r="E495" s="3"/>
      <c r="F495" s="3"/>
      <c r="G495" s="3"/>
      <c r="H495" s="3"/>
      <c r="I495" s="3"/>
      <c r="J495" s="3"/>
      <c r="K495" s="3"/>
      <c r="L495" s="26" t="s">
        <v>657</v>
      </c>
      <c r="M495" s="27">
        <v>2</v>
      </c>
      <c r="N495" s="3"/>
      <c r="O495" s="3"/>
      <c r="P495" s="3"/>
      <c r="Q495" s="3"/>
      <c r="R495" s="3"/>
      <c r="S495" s="3"/>
      <c r="T495" s="3">
        <f t="shared" si="46"/>
        <v>0</v>
      </c>
      <c r="U495" s="3" t="str">
        <f t="shared" si="47"/>
        <v>OK</v>
      </c>
      <c r="V495" s="21">
        <f t="shared" si="48"/>
        <v>0</v>
      </c>
      <c r="W495" s="3" t="str">
        <f t="shared" si="49"/>
        <v>OK</v>
      </c>
      <c r="X495" s="3" t="s">
        <v>647</v>
      </c>
      <c r="Y495" s="3" t="s">
        <v>29</v>
      </c>
      <c r="Z495" s="3" t="s">
        <v>476</v>
      </c>
    </row>
    <row r="496" spans="1:26" x14ac:dyDescent="0.2">
      <c r="A496" s="3" t="str">
        <f t="shared" si="45"/>
        <v>TRIP-T-527</v>
      </c>
      <c r="B496" s="2">
        <v>45990</v>
      </c>
      <c r="C496" s="3"/>
      <c r="D496" s="3"/>
      <c r="E496" s="3"/>
      <c r="F496" s="3"/>
      <c r="G496" s="3"/>
      <c r="H496" s="3"/>
      <c r="I496" s="3"/>
      <c r="J496" s="3"/>
      <c r="K496" s="3"/>
      <c r="L496" s="26" t="s">
        <v>657</v>
      </c>
      <c r="M496" s="27">
        <v>4</v>
      </c>
      <c r="N496" s="3"/>
      <c r="O496" s="3"/>
      <c r="P496" s="3"/>
      <c r="Q496" s="3"/>
      <c r="R496" s="3"/>
      <c r="S496" s="3"/>
      <c r="T496" s="3">
        <f t="shared" si="46"/>
        <v>0</v>
      </c>
      <c r="U496" s="3" t="str">
        <f t="shared" si="47"/>
        <v>OK</v>
      </c>
      <c r="V496" s="21">
        <f t="shared" si="48"/>
        <v>0</v>
      </c>
      <c r="W496" s="3" t="str">
        <f t="shared" si="49"/>
        <v>OK</v>
      </c>
      <c r="X496" s="3" t="s">
        <v>647</v>
      </c>
      <c r="Y496" s="3" t="s">
        <v>29</v>
      </c>
      <c r="Z496" s="3" t="s">
        <v>476</v>
      </c>
    </row>
    <row r="497" spans="1:26" x14ac:dyDescent="0.2">
      <c r="A497" s="3" t="str">
        <f t="shared" si="45"/>
        <v>TRIP-T-528</v>
      </c>
      <c r="B497" s="2">
        <v>45990</v>
      </c>
      <c r="C497" s="3"/>
      <c r="D497" s="3"/>
      <c r="E497" s="3"/>
      <c r="F497" s="3"/>
      <c r="G497" s="3"/>
      <c r="H497" s="3"/>
      <c r="I497" s="3"/>
      <c r="J497" s="3"/>
      <c r="K497" s="3"/>
      <c r="L497" s="26" t="s">
        <v>653</v>
      </c>
      <c r="M497" s="27">
        <v>10</v>
      </c>
      <c r="N497" s="3"/>
      <c r="O497" s="3"/>
      <c r="P497" s="3"/>
      <c r="Q497" s="3"/>
      <c r="R497" s="3"/>
      <c r="S497" s="3"/>
      <c r="T497" s="3">
        <f t="shared" si="46"/>
        <v>0</v>
      </c>
      <c r="U497" s="3" t="str">
        <f t="shared" si="47"/>
        <v>OK</v>
      </c>
      <c r="V497" s="21">
        <f t="shared" si="48"/>
        <v>0</v>
      </c>
      <c r="W497" s="3" t="str">
        <f t="shared" si="49"/>
        <v>OK</v>
      </c>
      <c r="X497" s="3" t="s">
        <v>647</v>
      </c>
      <c r="Y497" s="3" t="s">
        <v>29</v>
      </c>
      <c r="Z497" s="3" t="s">
        <v>476</v>
      </c>
    </row>
    <row r="498" spans="1:26" x14ac:dyDescent="0.2">
      <c r="A498" s="3" t="str">
        <f t="shared" si="45"/>
        <v>TRIP-T-529</v>
      </c>
      <c r="B498" s="2">
        <v>45991</v>
      </c>
      <c r="C498" s="3"/>
      <c r="D498" s="3"/>
      <c r="E498" s="3"/>
      <c r="F498" s="3"/>
      <c r="G498" s="3"/>
      <c r="H498" s="3"/>
      <c r="I498" s="3"/>
      <c r="J498" s="3"/>
      <c r="K498" s="3"/>
      <c r="L498" s="26" t="s">
        <v>657</v>
      </c>
      <c r="M498" s="27">
        <v>6</v>
      </c>
      <c r="N498" s="3"/>
      <c r="O498" s="3"/>
      <c r="P498" s="3"/>
      <c r="Q498" s="3"/>
      <c r="R498" s="3"/>
      <c r="S498" s="3"/>
      <c r="T498" s="3">
        <f t="shared" si="46"/>
        <v>0</v>
      </c>
      <c r="U498" s="3" t="str">
        <f t="shared" si="47"/>
        <v>OK</v>
      </c>
      <c r="V498" s="21">
        <f t="shared" si="48"/>
        <v>0</v>
      </c>
      <c r="W498" s="3" t="str">
        <f t="shared" si="49"/>
        <v>OK</v>
      </c>
      <c r="X498" s="3" t="s">
        <v>647</v>
      </c>
      <c r="Y498" s="3" t="s">
        <v>29</v>
      </c>
      <c r="Z498" s="3" t="s">
        <v>476</v>
      </c>
    </row>
    <row r="499" spans="1:26" x14ac:dyDescent="0.2">
      <c r="A499" s="3" t="str">
        <f t="shared" si="45"/>
        <v>TRIP-T-530</v>
      </c>
      <c r="B499" s="2">
        <v>45992</v>
      </c>
      <c r="C499" s="3"/>
      <c r="D499" s="3"/>
      <c r="E499" s="3"/>
      <c r="F499" s="3"/>
      <c r="G499" s="3"/>
      <c r="H499" s="3"/>
      <c r="I499" s="3"/>
      <c r="J499" s="3"/>
      <c r="K499" s="3"/>
      <c r="L499" s="26" t="s">
        <v>653</v>
      </c>
      <c r="M499" s="27">
        <v>16</v>
      </c>
      <c r="N499" s="3"/>
      <c r="O499" s="3"/>
      <c r="P499" s="3"/>
      <c r="Q499" s="3"/>
      <c r="R499" s="3"/>
      <c r="S499" s="3"/>
      <c r="T499" s="3">
        <f t="shared" si="46"/>
        <v>0</v>
      </c>
      <c r="U499" s="3" t="str">
        <f t="shared" si="47"/>
        <v>OK</v>
      </c>
      <c r="V499" s="21">
        <f t="shared" si="48"/>
        <v>0</v>
      </c>
      <c r="W499" s="3" t="str">
        <f t="shared" si="49"/>
        <v>OK</v>
      </c>
      <c r="X499" s="3" t="s">
        <v>647</v>
      </c>
      <c r="Y499" s="3" t="s">
        <v>29</v>
      </c>
      <c r="Z499" s="3" t="s">
        <v>476</v>
      </c>
    </row>
    <row r="500" spans="1:26" x14ac:dyDescent="0.2">
      <c r="A500" s="3" t="str">
        <f t="shared" si="45"/>
        <v>TRIP-T-531</v>
      </c>
      <c r="B500" s="2">
        <v>45992</v>
      </c>
      <c r="C500" s="3"/>
      <c r="D500" s="3"/>
      <c r="E500" s="3"/>
      <c r="F500" s="3"/>
      <c r="G500" s="3"/>
      <c r="H500" s="3"/>
      <c r="I500" s="3"/>
      <c r="J500" s="3"/>
      <c r="K500" s="3"/>
      <c r="L500" s="26" t="s">
        <v>322</v>
      </c>
      <c r="M500" s="27">
        <v>1</v>
      </c>
      <c r="N500" s="3"/>
      <c r="O500" s="3"/>
      <c r="P500" s="3"/>
      <c r="Q500" s="3"/>
      <c r="R500" s="3"/>
      <c r="S500" s="3"/>
      <c r="T500" s="3">
        <f t="shared" si="46"/>
        <v>0</v>
      </c>
      <c r="U500" s="3" t="str">
        <f t="shared" si="47"/>
        <v>OK</v>
      </c>
      <c r="V500" s="21">
        <f t="shared" si="48"/>
        <v>0</v>
      </c>
      <c r="W500" s="3" t="str">
        <f t="shared" si="49"/>
        <v>OK</v>
      </c>
      <c r="X500" s="3" t="s">
        <v>647</v>
      </c>
      <c r="Y500" s="3" t="s">
        <v>29</v>
      </c>
      <c r="Z500" s="3" t="s">
        <v>476</v>
      </c>
    </row>
    <row r="501" spans="1:26" x14ac:dyDescent="0.2">
      <c r="A501" s="3" t="str">
        <f t="shared" si="45"/>
        <v>TRIP-T-532</v>
      </c>
      <c r="B501" s="2">
        <v>45993</v>
      </c>
      <c r="C501" s="3"/>
      <c r="D501" s="3"/>
      <c r="E501" s="3"/>
      <c r="F501" s="3"/>
      <c r="G501" s="3"/>
      <c r="H501" s="3"/>
      <c r="I501" s="3"/>
      <c r="J501" s="3"/>
      <c r="K501" s="3"/>
      <c r="L501" s="26" t="s">
        <v>322</v>
      </c>
      <c r="M501" s="27">
        <v>1</v>
      </c>
      <c r="N501" s="3"/>
      <c r="O501" s="3"/>
      <c r="P501" s="3"/>
      <c r="Q501" s="3"/>
      <c r="R501" s="3"/>
      <c r="S501" s="3"/>
      <c r="T501" s="3">
        <f t="shared" si="46"/>
        <v>0</v>
      </c>
      <c r="U501" s="3" t="str">
        <f t="shared" si="47"/>
        <v>OK</v>
      </c>
      <c r="V501" s="21">
        <f t="shared" si="48"/>
        <v>0</v>
      </c>
      <c r="W501" s="3" t="str">
        <f t="shared" si="49"/>
        <v>OK</v>
      </c>
      <c r="X501" s="3" t="s">
        <v>647</v>
      </c>
      <c r="Y501" s="3" t="s">
        <v>29</v>
      </c>
      <c r="Z501" s="3" t="s">
        <v>476</v>
      </c>
    </row>
    <row r="502" spans="1:26" x14ac:dyDescent="0.2">
      <c r="A502" s="3" t="str">
        <f t="shared" si="45"/>
        <v>TRIP-T-533</v>
      </c>
      <c r="B502" s="2">
        <v>45993</v>
      </c>
      <c r="C502" s="3"/>
      <c r="D502" s="3"/>
      <c r="E502" s="3"/>
      <c r="F502" s="3"/>
      <c r="G502" s="3"/>
      <c r="H502" s="3"/>
      <c r="I502" s="3"/>
      <c r="J502" s="3"/>
      <c r="K502" s="3"/>
      <c r="L502" s="26" t="s">
        <v>657</v>
      </c>
      <c r="M502" s="27">
        <v>8</v>
      </c>
      <c r="N502" s="3"/>
      <c r="O502" s="3"/>
      <c r="P502" s="3"/>
      <c r="Q502" s="3"/>
      <c r="R502" s="3"/>
      <c r="S502" s="3"/>
      <c r="T502" s="3">
        <f t="shared" si="46"/>
        <v>0</v>
      </c>
      <c r="U502" s="3" t="str">
        <f t="shared" si="47"/>
        <v>OK</v>
      </c>
      <c r="V502" s="21">
        <f t="shared" si="48"/>
        <v>0</v>
      </c>
      <c r="W502" s="3" t="str">
        <f t="shared" si="49"/>
        <v>OK</v>
      </c>
      <c r="X502" s="3" t="s">
        <v>647</v>
      </c>
      <c r="Y502" s="3" t="s">
        <v>29</v>
      </c>
      <c r="Z502" s="3" t="s">
        <v>476</v>
      </c>
    </row>
    <row r="503" spans="1:26" x14ac:dyDescent="0.2">
      <c r="A503" s="3" t="str">
        <f t="shared" si="45"/>
        <v>TRIP-T-534</v>
      </c>
      <c r="B503" s="2">
        <v>45994</v>
      </c>
      <c r="C503" s="3"/>
      <c r="D503" s="3"/>
      <c r="E503" s="3"/>
      <c r="F503" s="3"/>
      <c r="G503" s="3"/>
      <c r="H503" s="3"/>
      <c r="I503" s="3"/>
      <c r="J503" s="3"/>
      <c r="K503" s="3"/>
      <c r="L503" s="26" t="s">
        <v>653</v>
      </c>
      <c r="M503" s="27">
        <v>7</v>
      </c>
      <c r="N503" s="3"/>
      <c r="O503" s="3"/>
      <c r="P503" s="3"/>
      <c r="Q503" s="3"/>
      <c r="R503" s="3"/>
      <c r="S503" s="3"/>
      <c r="T503" s="3">
        <f t="shared" si="46"/>
        <v>0</v>
      </c>
      <c r="U503" s="3" t="str">
        <f t="shared" si="47"/>
        <v>OK</v>
      </c>
      <c r="V503" s="21">
        <f t="shared" si="48"/>
        <v>0</v>
      </c>
      <c r="W503" s="3" t="str">
        <f t="shared" si="49"/>
        <v>OK</v>
      </c>
      <c r="X503" s="3" t="s">
        <v>647</v>
      </c>
      <c r="Y503" s="3" t="s">
        <v>29</v>
      </c>
      <c r="Z503" s="3" t="s">
        <v>476</v>
      </c>
    </row>
    <row r="504" spans="1:26" x14ac:dyDescent="0.2">
      <c r="A504" s="3" t="str">
        <f t="shared" si="45"/>
        <v>TRIP-T-535</v>
      </c>
      <c r="B504" s="2">
        <v>45994</v>
      </c>
      <c r="C504" s="3"/>
      <c r="D504" s="3"/>
      <c r="E504" s="3"/>
      <c r="F504" s="3"/>
      <c r="G504" s="3"/>
      <c r="H504" s="3"/>
      <c r="I504" s="3"/>
      <c r="J504" s="3"/>
      <c r="K504" s="3"/>
      <c r="L504" s="26" t="s">
        <v>657</v>
      </c>
      <c r="M504" s="27">
        <v>9</v>
      </c>
      <c r="N504" s="3"/>
      <c r="O504" s="3"/>
      <c r="P504" s="3"/>
      <c r="Q504" s="3"/>
      <c r="R504" s="3"/>
      <c r="S504" s="3"/>
      <c r="T504" s="3">
        <f t="shared" si="46"/>
        <v>0</v>
      </c>
      <c r="U504" s="3" t="str">
        <f t="shared" si="47"/>
        <v>OK</v>
      </c>
      <c r="V504" s="21">
        <f t="shared" si="48"/>
        <v>0</v>
      </c>
      <c r="W504" s="3" t="str">
        <f t="shared" si="49"/>
        <v>OK</v>
      </c>
      <c r="X504" s="3" t="s">
        <v>647</v>
      </c>
      <c r="Y504" s="3" t="s">
        <v>29</v>
      </c>
      <c r="Z504" s="3" t="s">
        <v>476</v>
      </c>
    </row>
    <row r="505" spans="1:26" x14ac:dyDescent="0.2">
      <c r="A505" s="3" t="str">
        <f t="shared" si="45"/>
        <v>TRIP-T-536</v>
      </c>
      <c r="B505" s="2">
        <v>45995</v>
      </c>
      <c r="C505" s="3"/>
      <c r="D505" s="3"/>
      <c r="E505" s="3"/>
      <c r="F505" s="3"/>
      <c r="G505" s="3"/>
      <c r="H505" s="3"/>
      <c r="I505" s="3"/>
      <c r="J505" s="3"/>
      <c r="K505" s="3"/>
      <c r="L505" s="26" t="s">
        <v>322</v>
      </c>
      <c r="M505" s="27">
        <v>1</v>
      </c>
      <c r="N505" s="3"/>
      <c r="O505" s="3"/>
      <c r="P505" s="3"/>
      <c r="Q505" s="3"/>
      <c r="R505" s="3"/>
      <c r="S505" s="3"/>
      <c r="T505" s="3">
        <f t="shared" si="46"/>
        <v>0</v>
      </c>
      <c r="U505" s="3" t="str">
        <f t="shared" si="47"/>
        <v>OK</v>
      </c>
      <c r="V505" s="21">
        <f t="shared" si="48"/>
        <v>0</v>
      </c>
      <c r="W505" s="3" t="str">
        <f t="shared" si="49"/>
        <v>OK</v>
      </c>
      <c r="X505" s="3" t="s">
        <v>647</v>
      </c>
      <c r="Y505" s="3" t="s">
        <v>29</v>
      </c>
      <c r="Z505" s="3" t="s">
        <v>476</v>
      </c>
    </row>
    <row r="506" spans="1:26" x14ac:dyDescent="0.2">
      <c r="A506" s="3" t="str">
        <f t="shared" si="45"/>
        <v>TRIP-T-537</v>
      </c>
      <c r="B506" s="2">
        <v>45996</v>
      </c>
      <c r="C506" s="3"/>
      <c r="D506" s="3"/>
      <c r="E506" s="3"/>
      <c r="F506" s="3"/>
      <c r="G506" s="3"/>
      <c r="H506" s="3"/>
      <c r="I506" s="3"/>
      <c r="J506" s="3"/>
      <c r="K506" s="3"/>
      <c r="L506" s="26" t="s">
        <v>653</v>
      </c>
      <c r="M506" s="27">
        <v>8</v>
      </c>
      <c r="N506" s="3"/>
      <c r="O506" s="3"/>
      <c r="P506" s="3"/>
      <c r="Q506" s="3"/>
      <c r="R506" s="3"/>
      <c r="S506" s="3"/>
      <c r="T506" s="3">
        <f t="shared" si="46"/>
        <v>0</v>
      </c>
      <c r="U506" s="3" t="str">
        <f t="shared" si="47"/>
        <v>OK</v>
      </c>
      <c r="V506" s="21">
        <f t="shared" si="48"/>
        <v>0</v>
      </c>
      <c r="W506" s="3" t="str">
        <f t="shared" si="49"/>
        <v>OK</v>
      </c>
      <c r="X506" s="3" t="s">
        <v>647</v>
      </c>
      <c r="Y506" s="3" t="s">
        <v>29</v>
      </c>
      <c r="Z506" s="3" t="s">
        <v>476</v>
      </c>
    </row>
    <row r="507" spans="1:26" x14ac:dyDescent="0.2">
      <c r="A507" s="3" t="str">
        <f t="shared" si="45"/>
        <v>TRIP-T-538</v>
      </c>
      <c r="B507" s="2">
        <v>45996</v>
      </c>
      <c r="C507" s="3"/>
      <c r="D507" s="3"/>
      <c r="E507" s="3"/>
      <c r="F507" s="3"/>
      <c r="G507" s="3"/>
      <c r="H507" s="3"/>
      <c r="I507" s="3"/>
      <c r="J507" s="3"/>
      <c r="K507" s="3"/>
      <c r="L507" s="26" t="s">
        <v>655</v>
      </c>
      <c r="M507" s="27">
        <v>12</v>
      </c>
      <c r="N507" s="3"/>
      <c r="O507" s="3"/>
      <c r="P507" s="3"/>
      <c r="Q507" s="3"/>
      <c r="R507" s="3"/>
      <c r="S507" s="3"/>
      <c r="T507" s="3">
        <f t="shared" si="46"/>
        <v>0</v>
      </c>
      <c r="U507" s="3" t="str">
        <f t="shared" si="47"/>
        <v>OK</v>
      </c>
      <c r="V507" s="21">
        <f t="shared" si="48"/>
        <v>0</v>
      </c>
      <c r="W507" s="3" t="str">
        <f t="shared" si="49"/>
        <v>OK</v>
      </c>
      <c r="X507" s="3" t="s">
        <v>647</v>
      </c>
      <c r="Y507" s="3" t="s">
        <v>29</v>
      </c>
      <c r="Z507" s="3" t="s">
        <v>476</v>
      </c>
    </row>
    <row r="508" spans="1:26" x14ac:dyDescent="0.2">
      <c r="A508" s="3" t="str">
        <f t="shared" si="45"/>
        <v>TRIP-T-539</v>
      </c>
      <c r="B508" s="2">
        <v>45996</v>
      </c>
      <c r="C508" s="3"/>
      <c r="D508" s="3"/>
      <c r="E508" s="3"/>
      <c r="F508" s="3"/>
      <c r="G508" s="3"/>
      <c r="H508" s="3"/>
      <c r="I508" s="3"/>
      <c r="J508" s="3"/>
      <c r="K508" s="3"/>
      <c r="L508" s="26" t="s">
        <v>322</v>
      </c>
      <c r="M508" s="27">
        <v>1</v>
      </c>
      <c r="N508" s="3"/>
      <c r="O508" s="3"/>
      <c r="P508" s="3"/>
      <c r="Q508" s="3"/>
      <c r="R508" s="3"/>
      <c r="S508" s="3"/>
      <c r="T508" s="3">
        <f t="shared" si="46"/>
        <v>0</v>
      </c>
      <c r="U508" s="3" t="str">
        <f t="shared" si="47"/>
        <v>OK</v>
      </c>
      <c r="V508" s="21">
        <f t="shared" si="48"/>
        <v>0</v>
      </c>
      <c r="W508" s="3" t="str">
        <f t="shared" si="49"/>
        <v>OK</v>
      </c>
      <c r="X508" s="3" t="s">
        <v>647</v>
      </c>
      <c r="Y508" s="3" t="s">
        <v>29</v>
      </c>
      <c r="Z508" s="3" t="s">
        <v>476</v>
      </c>
    </row>
    <row r="509" spans="1:26" x14ac:dyDescent="0.2">
      <c r="A509" s="3" t="str">
        <f t="shared" si="45"/>
        <v>TRIP-T-540</v>
      </c>
      <c r="B509" s="2">
        <v>45997</v>
      </c>
      <c r="C509" s="3"/>
      <c r="D509" s="3"/>
      <c r="E509" s="3"/>
      <c r="F509" s="3"/>
      <c r="G509" s="3"/>
      <c r="H509" s="3"/>
      <c r="I509" s="3"/>
      <c r="J509" s="3"/>
      <c r="K509" s="3"/>
      <c r="L509" s="26" t="s">
        <v>653</v>
      </c>
      <c r="M509" s="27">
        <v>8</v>
      </c>
      <c r="N509" s="3"/>
      <c r="O509" s="3"/>
      <c r="P509" s="3"/>
      <c r="Q509" s="3"/>
      <c r="R509" s="3"/>
      <c r="S509" s="3"/>
      <c r="T509" s="3">
        <f t="shared" si="46"/>
        <v>0</v>
      </c>
      <c r="U509" s="3" t="str">
        <f t="shared" si="47"/>
        <v>OK</v>
      </c>
      <c r="V509" s="21">
        <f t="shared" si="48"/>
        <v>0</v>
      </c>
      <c r="W509" s="3" t="str">
        <f t="shared" si="49"/>
        <v>OK</v>
      </c>
      <c r="X509" s="3" t="s">
        <v>647</v>
      </c>
      <c r="Y509" s="3" t="s">
        <v>29</v>
      </c>
      <c r="Z509" s="3" t="s">
        <v>476</v>
      </c>
    </row>
    <row r="510" spans="1:26" x14ac:dyDescent="0.2">
      <c r="A510" s="3" t="str">
        <f t="shared" si="45"/>
        <v>TRIP-T-541</v>
      </c>
      <c r="B510" s="2">
        <v>45997</v>
      </c>
      <c r="C510" s="3"/>
      <c r="D510" s="3"/>
      <c r="E510" s="3"/>
      <c r="F510" s="3"/>
      <c r="G510" s="3"/>
      <c r="H510" s="3"/>
      <c r="I510" s="3"/>
      <c r="J510" s="3"/>
      <c r="K510" s="3"/>
      <c r="L510" s="26" t="s">
        <v>655</v>
      </c>
      <c r="M510" s="27">
        <v>4</v>
      </c>
      <c r="N510" s="3"/>
      <c r="O510" s="3"/>
      <c r="P510" s="3"/>
      <c r="Q510" s="3"/>
      <c r="R510" s="3"/>
      <c r="S510" s="3"/>
      <c r="T510" s="3">
        <f t="shared" si="46"/>
        <v>0</v>
      </c>
      <c r="U510" s="3" t="str">
        <f t="shared" si="47"/>
        <v>OK</v>
      </c>
      <c r="V510" s="21">
        <f t="shared" si="48"/>
        <v>0</v>
      </c>
      <c r="W510" s="3" t="str">
        <f t="shared" si="49"/>
        <v>OK</v>
      </c>
      <c r="X510" s="3" t="s">
        <v>647</v>
      </c>
      <c r="Y510" s="3" t="s">
        <v>29</v>
      </c>
      <c r="Z510" s="3" t="s">
        <v>476</v>
      </c>
    </row>
    <row r="511" spans="1:26" x14ac:dyDescent="0.2">
      <c r="A511" s="3" t="str">
        <f t="shared" si="45"/>
        <v>TRIP-T-542</v>
      </c>
      <c r="B511" s="2">
        <v>45998</v>
      </c>
      <c r="C511" s="3"/>
      <c r="D511" s="3"/>
      <c r="E511" s="3"/>
      <c r="F511" s="3"/>
      <c r="G511" s="3"/>
      <c r="H511" s="3"/>
      <c r="I511" s="3"/>
      <c r="J511" s="3"/>
      <c r="K511" s="3"/>
      <c r="L511" s="26" t="s">
        <v>322</v>
      </c>
      <c r="M511" s="27">
        <v>1</v>
      </c>
      <c r="N511" s="3"/>
      <c r="O511" s="3"/>
      <c r="P511" s="3"/>
      <c r="Q511" s="3"/>
      <c r="R511" s="3"/>
      <c r="S511" s="3"/>
      <c r="T511" s="3">
        <f t="shared" si="46"/>
        <v>0</v>
      </c>
      <c r="U511" s="3" t="str">
        <f t="shared" si="47"/>
        <v>OK</v>
      </c>
      <c r="V511" s="21">
        <f t="shared" si="48"/>
        <v>0</v>
      </c>
      <c r="W511" s="3" t="str">
        <f t="shared" si="49"/>
        <v>OK</v>
      </c>
      <c r="X511" s="3" t="s">
        <v>647</v>
      </c>
      <c r="Y511" s="3" t="s">
        <v>29</v>
      </c>
      <c r="Z511" s="3" t="s">
        <v>476</v>
      </c>
    </row>
    <row r="512" spans="1:26" x14ac:dyDescent="0.2">
      <c r="A512" s="3" t="str">
        <f t="shared" si="45"/>
        <v>TRIP-T-543</v>
      </c>
      <c r="B512" s="2">
        <v>45999</v>
      </c>
      <c r="C512" s="3"/>
      <c r="D512" s="3"/>
      <c r="E512" s="3"/>
      <c r="F512" s="3"/>
      <c r="G512" s="3"/>
      <c r="H512" s="3"/>
      <c r="I512" s="3"/>
      <c r="J512" s="3"/>
      <c r="K512" s="3"/>
      <c r="L512" s="26" t="s">
        <v>653</v>
      </c>
      <c r="M512" s="27">
        <v>7</v>
      </c>
      <c r="N512" s="3"/>
      <c r="O512" s="3"/>
      <c r="P512" s="3"/>
      <c r="Q512" s="3"/>
      <c r="R512" s="3"/>
      <c r="S512" s="3"/>
      <c r="T512" s="3">
        <f t="shared" si="46"/>
        <v>0</v>
      </c>
      <c r="U512" s="3" t="str">
        <f t="shared" si="47"/>
        <v>OK</v>
      </c>
      <c r="V512" s="21">
        <f t="shared" si="48"/>
        <v>0</v>
      </c>
      <c r="W512" s="3" t="str">
        <f t="shared" si="49"/>
        <v>OK</v>
      </c>
      <c r="X512" s="3" t="s">
        <v>647</v>
      </c>
      <c r="Y512" s="3" t="s">
        <v>29</v>
      </c>
      <c r="Z512" s="3" t="s">
        <v>476</v>
      </c>
    </row>
    <row r="513" spans="1:26" x14ac:dyDescent="0.2">
      <c r="A513" s="3" t="str">
        <f t="shared" si="45"/>
        <v>TRIP-T-544</v>
      </c>
      <c r="B513" s="2">
        <v>45999</v>
      </c>
      <c r="C513" s="3"/>
      <c r="D513" s="3"/>
      <c r="E513" s="3"/>
      <c r="F513" s="3"/>
      <c r="G513" s="3"/>
      <c r="H513" s="3"/>
      <c r="I513" s="3"/>
      <c r="J513" s="3"/>
      <c r="K513" s="3"/>
      <c r="L513" s="26" t="s">
        <v>657</v>
      </c>
      <c r="M513" s="27">
        <v>4</v>
      </c>
      <c r="N513" s="3"/>
      <c r="O513" s="3"/>
      <c r="P513" s="3"/>
      <c r="Q513" s="3"/>
      <c r="R513" s="3"/>
      <c r="S513" s="3"/>
      <c r="T513" s="3">
        <f t="shared" si="46"/>
        <v>0</v>
      </c>
      <c r="U513" s="3" t="str">
        <f t="shared" si="47"/>
        <v>OK</v>
      </c>
      <c r="V513" s="21">
        <f t="shared" si="48"/>
        <v>0</v>
      </c>
      <c r="W513" s="3" t="str">
        <f t="shared" si="49"/>
        <v>OK</v>
      </c>
      <c r="X513" s="3" t="s">
        <v>647</v>
      </c>
      <c r="Y513" s="3" t="s">
        <v>29</v>
      </c>
      <c r="Z513" s="3" t="s">
        <v>476</v>
      </c>
    </row>
    <row r="514" spans="1:26" x14ac:dyDescent="0.2">
      <c r="A514" s="3" t="str">
        <f t="shared" ref="A514:A557" si="50">"TRIP-T-"&amp;TEXT(ROW()+31,"000")</f>
        <v>TRIP-T-545</v>
      </c>
      <c r="B514" s="2">
        <v>46000</v>
      </c>
      <c r="C514" s="3"/>
      <c r="D514" s="3"/>
      <c r="E514" s="3"/>
      <c r="F514" s="3"/>
      <c r="G514" s="3"/>
      <c r="H514" s="3"/>
      <c r="I514" s="3"/>
      <c r="J514" s="3"/>
      <c r="K514" s="3"/>
      <c r="L514" s="26" t="s">
        <v>653</v>
      </c>
      <c r="M514" s="27">
        <v>5</v>
      </c>
      <c r="N514" s="3"/>
      <c r="O514" s="3"/>
      <c r="P514" s="3"/>
      <c r="Q514" s="3"/>
      <c r="R514" s="3"/>
      <c r="S514" s="3"/>
      <c r="T514" s="3">
        <f t="shared" ref="T514:T557" si="51">M514*N514</f>
        <v>0</v>
      </c>
      <c r="U514" s="3" t="str">
        <f t="shared" ref="U514:U577" si="52">IF(ROUND(T514,2)=ROUND(O514,2),"OK","CHECK")</f>
        <v>OK</v>
      </c>
      <c r="V514" s="21">
        <f t="shared" ref="V514:V557" si="53">O514-P514</f>
        <v>0</v>
      </c>
      <c r="W514" s="3" t="str">
        <f t="shared" ref="W514:W577" si="54">IF(ROUND(V514,2)=ROUND(Q514,2),"OK","CHECK")</f>
        <v>OK</v>
      </c>
      <c r="X514" s="3" t="s">
        <v>647</v>
      </c>
      <c r="Y514" s="3" t="s">
        <v>29</v>
      </c>
      <c r="Z514" s="3" t="s">
        <v>476</v>
      </c>
    </row>
    <row r="515" spans="1:26" x14ac:dyDescent="0.2">
      <c r="A515" s="3" t="str">
        <f t="shared" si="50"/>
        <v>TRIP-T-546</v>
      </c>
      <c r="B515" s="2">
        <v>46001</v>
      </c>
      <c r="C515" s="3"/>
      <c r="D515" s="3"/>
      <c r="E515" s="3"/>
      <c r="F515" s="3"/>
      <c r="G515" s="3"/>
      <c r="H515" s="3"/>
      <c r="I515" s="3"/>
      <c r="J515" s="3"/>
      <c r="K515" s="3"/>
      <c r="L515" s="26" t="s">
        <v>655</v>
      </c>
      <c r="M515" s="27">
        <v>17</v>
      </c>
      <c r="N515" s="3"/>
      <c r="O515" s="3"/>
      <c r="P515" s="3"/>
      <c r="Q515" s="3"/>
      <c r="R515" s="3"/>
      <c r="S515" s="3"/>
      <c r="T515" s="3">
        <f t="shared" si="51"/>
        <v>0</v>
      </c>
      <c r="U515" s="3" t="str">
        <f t="shared" si="52"/>
        <v>OK</v>
      </c>
      <c r="V515" s="21">
        <f t="shared" si="53"/>
        <v>0</v>
      </c>
      <c r="W515" s="3" t="str">
        <f t="shared" si="54"/>
        <v>OK</v>
      </c>
      <c r="X515" s="3" t="s">
        <v>647</v>
      </c>
      <c r="Y515" s="3" t="s">
        <v>29</v>
      </c>
      <c r="Z515" s="3" t="s">
        <v>476</v>
      </c>
    </row>
    <row r="516" spans="1:26" x14ac:dyDescent="0.2">
      <c r="A516" s="3" t="str">
        <f t="shared" si="50"/>
        <v>TRIP-T-547</v>
      </c>
      <c r="B516" s="2">
        <v>46002</v>
      </c>
      <c r="C516" s="3"/>
      <c r="D516" s="3"/>
      <c r="E516" s="3"/>
      <c r="F516" s="3"/>
      <c r="G516" s="3"/>
      <c r="H516" s="3"/>
      <c r="I516" s="3"/>
      <c r="J516" s="3"/>
      <c r="K516" s="3"/>
      <c r="L516" s="26" t="s">
        <v>322</v>
      </c>
      <c r="M516" s="27">
        <v>1</v>
      </c>
      <c r="N516" s="3"/>
      <c r="O516" s="3"/>
      <c r="P516" s="3"/>
      <c r="Q516" s="3"/>
      <c r="R516" s="3"/>
      <c r="S516" s="3"/>
      <c r="T516" s="3">
        <f t="shared" si="51"/>
        <v>0</v>
      </c>
      <c r="U516" s="3" t="str">
        <f t="shared" si="52"/>
        <v>OK</v>
      </c>
      <c r="V516" s="21">
        <f t="shared" si="53"/>
        <v>0</v>
      </c>
      <c r="W516" s="3" t="str">
        <f t="shared" si="54"/>
        <v>OK</v>
      </c>
      <c r="X516" s="3" t="s">
        <v>647</v>
      </c>
      <c r="Y516" s="3" t="s">
        <v>29</v>
      </c>
      <c r="Z516" s="3" t="s">
        <v>476</v>
      </c>
    </row>
    <row r="517" spans="1:26" x14ac:dyDescent="0.2">
      <c r="A517" s="3" t="str">
        <f t="shared" si="50"/>
        <v>TRIP-T-548</v>
      </c>
      <c r="B517" s="2">
        <v>46002</v>
      </c>
      <c r="C517" s="3"/>
      <c r="D517" s="3"/>
      <c r="E517" s="3"/>
      <c r="F517" s="3"/>
      <c r="G517" s="3"/>
      <c r="H517" s="3"/>
      <c r="I517" s="3"/>
      <c r="J517" s="3"/>
      <c r="K517" s="3"/>
      <c r="L517" s="26" t="s">
        <v>655</v>
      </c>
      <c r="M517" s="27">
        <v>11</v>
      </c>
      <c r="N517" s="3"/>
      <c r="O517" s="3"/>
      <c r="P517" s="3"/>
      <c r="Q517" s="3"/>
      <c r="R517" s="3"/>
      <c r="S517" s="3"/>
      <c r="T517" s="3">
        <f t="shared" si="51"/>
        <v>0</v>
      </c>
      <c r="U517" s="3" t="str">
        <f t="shared" si="52"/>
        <v>OK</v>
      </c>
      <c r="V517" s="21">
        <f t="shared" si="53"/>
        <v>0</v>
      </c>
      <c r="W517" s="3" t="str">
        <f t="shared" si="54"/>
        <v>OK</v>
      </c>
      <c r="X517" s="3" t="s">
        <v>647</v>
      </c>
      <c r="Y517" s="3" t="s">
        <v>29</v>
      </c>
      <c r="Z517" s="3" t="s">
        <v>476</v>
      </c>
    </row>
    <row r="518" spans="1:26" x14ac:dyDescent="0.2">
      <c r="A518" s="3" t="str">
        <f t="shared" si="50"/>
        <v>TRIP-T-549</v>
      </c>
      <c r="B518" s="2">
        <v>46002</v>
      </c>
      <c r="C518" s="3"/>
      <c r="D518" s="3"/>
      <c r="E518" s="3"/>
      <c r="F518" s="3"/>
      <c r="G518" s="3"/>
      <c r="H518" s="3"/>
      <c r="I518" s="3"/>
      <c r="J518" s="3"/>
      <c r="K518" s="3"/>
      <c r="L518" s="26" t="s">
        <v>655</v>
      </c>
      <c r="M518" s="27">
        <v>11</v>
      </c>
      <c r="N518" s="3"/>
      <c r="O518" s="3"/>
      <c r="P518" s="3"/>
      <c r="Q518" s="3"/>
      <c r="R518" s="3"/>
      <c r="S518" s="3"/>
      <c r="T518" s="3">
        <f t="shared" si="51"/>
        <v>0</v>
      </c>
      <c r="U518" s="3" t="str">
        <f t="shared" si="52"/>
        <v>OK</v>
      </c>
      <c r="V518" s="21">
        <f t="shared" si="53"/>
        <v>0</v>
      </c>
      <c r="W518" s="3" t="str">
        <f t="shared" si="54"/>
        <v>OK</v>
      </c>
      <c r="X518" s="3" t="s">
        <v>647</v>
      </c>
      <c r="Y518" s="3" t="s">
        <v>29</v>
      </c>
      <c r="Z518" s="3" t="s">
        <v>476</v>
      </c>
    </row>
    <row r="519" spans="1:26" x14ac:dyDescent="0.2">
      <c r="A519" s="3" t="str">
        <f t="shared" si="50"/>
        <v>TRIP-T-550</v>
      </c>
      <c r="B519" s="2">
        <v>46003</v>
      </c>
      <c r="C519" s="3"/>
      <c r="D519" s="3"/>
      <c r="E519" s="3"/>
      <c r="F519" s="3"/>
      <c r="G519" s="3"/>
      <c r="H519" s="3"/>
      <c r="I519" s="3"/>
      <c r="J519" s="3"/>
      <c r="K519" s="3"/>
      <c r="L519" s="26" t="s">
        <v>655</v>
      </c>
      <c r="M519" s="27">
        <v>11</v>
      </c>
      <c r="N519" s="3"/>
      <c r="O519" s="3"/>
      <c r="P519" s="3"/>
      <c r="Q519" s="3"/>
      <c r="R519" s="3"/>
      <c r="S519" s="3"/>
      <c r="T519" s="3">
        <f t="shared" si="51"/>
        <v>0</v>
      </c>
      <c r="U519" s="3" t="str">
        <f t="shared" si="52"/>
        <v>OK</v>
      </c>
      <c r="V519" s="21">
        <f t="shared" si="53"/>
        <v>0</v>
      </c>
      <c r="W519" s="3" t="str">
        <f t="shared" si="54"/>
        <v>OK</v>
      </c>
      <c r="X519" s="3" t="s">
        <v>647</v>
      </c>
      <c r="Y519" s="3" t="s">
        <v>29</v>
      </c>
      <c r="Z519" s="3" t="s">
        <v>476</v>
      </c>
    </row>
    <row r="520" spans="1:26" x14ac:dyDescent="0.2">
      <c r="A520" s="3" t="str">
        <f t="shared" si="50"/>
        <v>TRIP-T-551</v>
      </c>
      <c r="B520" s="2">
        <v>46003</v>
      </c>
      <c r="C520" s="3"/>
      <c r="D520" s="3"/>
      <c r="E520" s="3"/>
      <c r="F520" s="3"/>
      <c r="G520" s="3"/>
      <c r="H520" s="3"/>
      <c r="I520" s="3"/>
      <c r="J520" s="3"/>
      <c r="K520" s="3"/>
      <c r="L520" s="26" t="s">
        <v>322</v>
      </c>
      <c r="M520" s="27">
        <v>1</v>
      </c>
      <c r="N520" s="3"/>
      <c r="O520" s="3"/>
      <c r="P520" s="3"/>
      <c r="Q520" s="3"/>
      <c r="R520" s="3"/>
      <c r="S520" s="3"/>
      <c r="T520" s="3">
        <f t="shared" si="51"/>
        <v>0</v>
      </c>
      <c r="U520" s="3" t="str">
        <f t="shared" si="52"/>
        <v>OK</v>
      </c>
      <c r="V520" s="21">
        <f t="shared" si="53"/>
        <v>0</v>
      </c>
      <c r="W520" s="3" t="str">
        <f t="shared" si="54"/>
        <v>OK</v>
      </c>
      <c r="X520" s="3" t="s">
        <v>647</v>
      </c>
      <c r="Y520" s="3" t="s">
        <v>29</v>
      </c>
      <c r="Z520" s="3" t="s">
        <v>476</v>
      </c>
    </row>
    <row r="521" spans="1:26" x14ac:dyDescent="0.2">
      <c r="A521" s="3" t="str">
        <f t="shared" si="50"/>
        <v>TRIP-T-552</v>
      </c>
      <c r="B521" s="2">
        <v>46003</v>
      </c>
      <c r="C521" s="3"/>
      <c r="D521" s="3"/>
      <c r="E521" s="3"/>
      <c r="F521" s="3"/>
      <c r="G521" s="3"/>
      <c r="H521" s="3"/>
      <c r="I521" s="3"/>
      <c r="J521" s="3"/>
      <c r="K521" s="3"/>
      <c r="L521" s="26" t="s">
        <v>655</v>
      </c>
      <c r="M521" s="27">
        <v>19</v>
      </c>
      <c r="N521" s="3"/>
      <c r="O521" s="3"/>
      <c r="P521" s="3"/>
      <c r="Q521" s="3"/>
      <c r="R521" s="3"/>
      <c r="S521" s="3"/>
      <c r="T521" s="3">
        <f t="shared" si="51"/>
        <v>0</v>
      </c>
      <c r="U521" s="3" t="str">
        <f t="shared" si="52"/>
        <v>OK</v>
      </c>
      <c r="V521" s="21">
        <f t="shared" si="53"/>
        <v>0</v>
      </c>
      <c r="W521" s="3" t="str">
        <f t="shared" si="54"/>
        <v>OK</v>
      </c>
      <c r="X521" s="3" t="s">
        <v>647</v>
      </c>
      <c r="Y521" s="3" t="s">
        <v>29</v>
      </c>
      <c r="Z521" s="3" t="s">
        <v>476</v>
      </c>
    </row>
    <row r="522" spans="1:26" x14ac:dyDescent="0.2">
      <c r="A522" s="3" t="str">
        <f t="shared" si="50"/>
        <v>TRIP-T-553</v>
      </c>
      <c r="B522" s="2">
        <v>46003</v>
      </c>
      <c r="C522" s="3"/>
      <c r="D522" s="3"/>
      <c r="E522" s="3"/>
      <c r="F522" s="3"/>
      <c r="G522" s="3"/>
      <c r="H522" s="3"/>
      <c r="I522" s="3"/>
      <c r="J522" s="3"/>
      <c r="K522" s="3"/>
      <c r="L522" s="26" t="s">
        <v>655</v>
      </c>
      <c r="M522" s="27">
        <v>11</v>
      </c>
      <c r="N522" s="3"/>
      <c r="O522" s="3"/>
      <c r="P522" s="3"/>
      <c r="Q522" s="3"/>
      <c r="R522" s="3"/>
      <c r="S522" s="3"/>
      <c r="T522" s="3">
        <f t="shared" si="51"/>
        <v>0</v>
      </c>
      <c r="U522" s="3" t="str">
        <f t="shared" si="52"/>
        <v>OK</v>
      </c>
      <c r="V522" s="21">
        <f t="shared" si="53"/>
        <v>0</v>
      </c>
      <c r="W522" s="3" t="str">
        <f t="shared" si="54"/>
        <v>OK</v>
      </c>
      <c r="X522" s="3" t="s">
        <v>647</v>
      </c>
      <c r="Y522" s="3" t="s">
        <v>29</v>
      </c>
      <c r="Z522" s="3" t="s">
        <v>476</v>
      </c>
    </row>
    <row r="523" spans="1:26" x14ac:dyDescent="0.2">
      <c r="A523" s="3" t="str">
        <f t="shared" si="50"/>
        <v>TRIP-T-554</v>
      </c>
      <c r="B523" s="2">
        <v>46004</v>
      </c>
      <c r="C523" s="3"/>
      <c r="D523" s="3"/>
      <c r="E523" s="3"/>
      <c r="F523" s="3"/>
      <c r="G523" s="3"/>
      <c r="H523" s="3"/>
      <c r="I523" s="3"/>
      <c r="J523" s="3"/>
      <c r="K523" s="3"/>
      <c r="L523" s="26" t="s">
        <v>653</v>
      </c>
      <c r="M523" s="27">
        <v>5</v>
      </c>
      <c r="N523" s="3"/>
      <c r="O523" s="3"/>
      <c r="P523" s="3"/>
      <c r="Q523" s="3"/>
      <c r="R523" s="3"/>
      <c r="S523" s="3"/>
      <c r="T523" s="3">
        <f t="shared" si="51"/>
        <v>0</v>
      </c>
      <c r="U523" s="3" t="str">
        <f t="shared" si="52"/>
        <v>OK</v>
      </c>
      <c r="V523" s="21">
        <f t="shared" si="53"/>
        <v>0</v>
      </c>
      <c r="W523" s="3" t="str">
        <f t="shared" si="54"/>
        <v>OK</v>
      </c>
      <c r="X523" s="3" t="s">
        <v>647</v>
      </c>
      <c r="Y523" s="3" t="s">
        <v>29</v>
      </c>
      <c r="Z523" s="3" t="s">
        <v>476</v>
      </c>
    </row>
    <row r="524" spans="1:26" x14ac:dyDescent="0.2">
      <c r="A524" s="3" t="str">
        <f t="shared" si="50"/>
        <v>TRIP-T-555</v>
      </c>
      <c r="B524" s="2">
        <v>46005</v>
      </c>
      <c r="C524" s="3"/>
      <c r="D524" s="3"/>
      <c r="E524" s="3"/>
      <c r="F524" s="3"/>
      <c r="G524" s="3"/>
      <c r="H524" s="3"/>
      <c r="I524" s="3"/>
      <c r="J524" s="3"/>
      <c r="K524" s="3"/>
      <c r="L524" s="26" t="s">
        <v>655</v>
      </c>
      <c r="M524" s="27">
        <v>17</v>
      </c>
      <c r="N524" s="3"/>
      <c r="O524" s="3"/>
      <c r="P524" s="3"/>
      <c r="Q524" s="3"/>
      <c r="R524" s="3"/>
      <c r="S524" s="3"/>
      <c r="T524" s="3">
        <f t="shared" si="51"/>
        <v>0</v>
      </c>
      <c r="U524" s="3" t="str">
        <f t="shared" si="52"/>
        <v>OK</v>
      </c>
      <c r="V524" s="21">
        <f t="shared" si="53"/>
        <v>0</v>
      </c>
      <c r="W524" s="3" t="str">
        <f t="shared" si="54"/>
        <v>OK</v>
      </c>
      <c r="X524" s="3" t="s">
        <v>647</v>
      </c>
      <c r="Y524" s="3" t="s">
        <v>29</v>
      </c>
      <c r="Z524" s="3" t="s">
        <v>476</v>
      </c>
    </row>
    <row r="525" spans="1:26" x14ac:dyDescent="0.2">
      <c r="A525" s="3" t="str">
        <f t="shared" si="50"/>
        <v>TRIP-T-556</v>
      </c>
      <c r="B525" s="2">
        <v>46005</v>
      </c>
      <c r="C525" s="3"/>
      <c r="D525" s="3"/>
      <c r="E525" s="3"/>
      <c r="F525" s="3"/>
      <c r="G525" s="3"/>
      <c r="H525" s="3"/>
      <c r="I525" s="3"/>
      <c r="J525" s="3"/>
      <c r="K525" s="3"/>
      <c r="L525" s="26" t="s">
        <v>655</v>
      </c>
      <c r="M525" s="27">
        <v>21</v>
      </c>
      <c r="N525" s="3"/>
      <c r="O525" s="3"/>
      <c r="P525" s="3"/>
      <c r="Q525" s="3"/>
      <c r="R525" s="3"/>
      <c r="S525" s="3"/>
      <c r="T525" s="3">
        <f t="shared" si="51"/>
        <v>0</v>
      </c>
      <c r="U525" s="3" t="str">
        <f t="shared" si="52"/>
        <v>OK</v>
      </c>
      <c r="V525" s="21">
        <f t="shared" si="53"/>
        <v>0</v>
      </c>
      <c r="W525" s="3" t="str">
        <f t="shared" si="54"/>
        <v>OK</v>
      </c>
      <c r="X525" s="3" t="s">
        <v>647</v>
      </c>
      <c r="Y525" s="3" t="s">
        <v>29</v>
      </c>
      <c r="Z525" s="3" t="s">
        <v>476</v>
      </c>
    </row>
    <row r="526" spans="1:26" x14ac:dyDescent="0.2">
      <c r="A526" s="3" t="str">
        <f t="shared" si="50"/>
        <v>TRIP-T-557</v>
      </c>
      <c r="B526" s="2">
        <v>46005</v>
      </c>
      <c r="C526" s="3"/>
      <c r="D526" s="3"/>
      <c r="E526" s="3"/>
      <c r="F526" s="3"/>
      <c r="G526" s="3"/>
      <c r="H526" s="3"/>
      <c r="I526" s="3"/>
      <c r="J526" s="3"/>
      <c r="K526" s="3"/>
      <c r="L526" s="26" t="s">
        <v>655</v>
      </c>
      <c r="M526" s="27">
        <v>20</v>
      </c>
      <c r="N526" s="3"/>
      <c r="O526" s="3"/>
      <c r="P526" s="3"/>
      <c r="Q526" s="3"/>
      <c r="R526" s="3"/>
      <c r="S526" s="3"/>
      <c r="T526" s="3">
        <f t="shared" si="51"/>
        <v>0</v>
      </c>
      <c r="U526" s="3" t="str">
        <f t="shared" si="52"/>
        <v>OK</v>
      </c>
      <c r="V526" s="21">
        <f t="shared" si="53"/>
        <v>0</v>
      </c>
      <c r="W526" s="3" t="str">
        <f t="shared" si="54"/>
        <v>OK</v>
      </c>
      <c r="X526" s="3" t="s">
        <v>647</v>
      </c>
      <c r="Y526" s="3" t="s">
        <v>29</v>
      </c>
      <c r="Z526" s="3" t="s">
        <v>476</v>
      </c>
    </row>
    <row r="527" spans="1:26" x14ac:dyDescent="0.2">
      <c r="A527" s="3" t="str">
        <f t="shared" si="50"/>
        <v>TRIP-T-558</v>
      </c>
      <c r="B527" s="2">
        <v>46006</v>
      </c>
      <c r="C527" s="3"/>
      <c r="D527" s="3"/>
      <c r="E527" s="3"/>
      <c r="F527" s="3"/>
      <c r="G527" s="3"/>
      <c r="H527" s="3"/>
      <c r="I527" s="3"/>
      <c r="J527" s="3"/>
      <c r="K527" s="3"/>
      <c r="L527" s="26" t="s">
        <v>655</v>
      </c>
      <c r="M527" s="27">
        <v>17</v>
      </c>
      <c r="N527" s="3"/>
      <c r="O527" s="3"/>
      <c r="P527" s="3"/>
      <c r="Q527" s="3"/>
      <c r="R527" s="3"/>
      <c r="S527" s="3"/>
      <c r="T527" s="3">
        <f t="shared" si="51"/>
        <v>0</v>
      </c>
      <c r="U527" s="3" t="str">
        <f t="shared" si="52"/>
        <v>OK</v>
      </c>
      <c r="V527" s="21">
        <f t="shared" si="53"/>
        <v>0</v>
      </c>
      <c r="W527" s="3" t="str">
        <f t="shared" si="54"/>
        <v>OK</v>
      </c>
      <c r="X527" s="3" t="s">
        <v>647</v>
      </c>
      <c r="Y527" s="3" t="s">
        <v>29</v>
      </c>
      <c r="Z527" s="3" t="s">
        <v>476</v>
      </c>
    </row>
    <row r="528" spans="1:26" x14ac:dyDescent="0.2">
      <c r="A528" s="3" t="str">
        <f t="shared" si="50"/>
        <v>TRIP-T-559</v>
      </c>
      <c r="B528" s="2">
        <v>46006</v>
      </c>
      <c r="C528" s="3"/>
      <c r="D528" s="3"/>
      <c r="E528" s="3"/>
      <c r="F528" s="3"/>
      <c r="G528" s="3"/>
      <c r="H528" s="3"/>
      <c r="I528" s="3"/>
      <c r="J528" s="3"/>
      <c r="K528" s="3"/>
      <c r="L528" s="26" t="s">
        <v>655</v>
      </c>
      <c r="M528" s="27">
        <v>18</v>
      </c>
      <c r="N528" s="3"/>
      <c r="O528" s="3"/>
      <c r="P528" s="3"/>
      <c r="Q528" s="3"/>
      <c r="R528" s="3"/>
      <c r="S528" s="3"/>
      <c r="T528" s="3">
        <f t="shared" si="51"/>
        <v>0</v>
      </c>
      <c r="U528" s="3" t="str">
        <f t="shared" si="52"/>
        <v>OK</v>
      </c>
      <c r="V528" s="21">
        <f t="shared" si="53"/>
        <v>0</v>
      </c>
      <c r="W528" s="3" t="str">
        <f t="shared" si="54"/>
        <v>OK</v>
      </c>
      <c r="X528" s="3" t="s">
        <v>647</v>
      </c>
      <c r="Y528" s="3" t="s">
        <v>29</v>
      </c>
      <c r="Z528" s="3" t="s">
        <v>476</v>
      </c>
    </row>
    <row r="529" spans="1:26" x14ac:dyDescent="0.2">
      <c r="A529" s="3" t="str">
        <f t="shared" si="50"/>
        <v>TRIP-T-560</v>
      </c>
      <c r="B529" s="2">
        <v>46006</v>
      </c>
      <c r="C529" s="3"/>
      <c r="D529" s="3"/>
      <c r="E529" s="3"/>
      <c r="F529" s="3"/>
      <c r="G529" s="3"/>
      <c r="H529" s="3"/>
      <c r="I529" s="3"/>
      <c r="J529" s="3"/>
      <c r="K529" s="3"/>
      <c r="L529" s="26" t="s">
        <v>655</v>
      </c>
      <c r="M529" s="27">
        <v>15</v>
      </c>
      <c r="N529" s="3"/>
      <c r="O529" s="3"/>
      <c r="P529" s="3"/>
      <c r="Q529" s="3"/>
      <c r="R529" s="3"/>
      <c r="S529" s="3"/>
      <c r="T529" s="3">
        <f t="shared" si="51"/>
        <v>0</v>
      </c>
      <c r="U529" s="3" t="str">
        <f t="shared" si="52"/>
        <v>OK</v>
      </c>
      <c r="V529" s="21">
        <f t="shared" si="53"/>
        <v>0</v>
      </c>
      <c r="W529" s="3" t="str">
        <f t="shared" si="54"/>
        <v>OK</v>
      </c>
      <c r="X529" s="3" t="s">
        <v>647</v>
      </c>
      <c r="Y529" s="3" t="s">
        <v>29</v>
      </c>
      <c r="Z529" s="3" t="s">
        <v>476</v>
      </c>
    </row>
    <row r="530" spans="1:26" x14ac:dyDescent="0.2">
      <c r="A530" s="3" t="str">
        <f t="shared" si="50"/>
        <v>TRIP-T-561</v>
      </c>
      <c r="B530" s="2">
        <v>46007</v>
      </c>
      <c r="C530" s="3"/>
      <c r="D530" s="3"/>
      <c r="E530" s="3"/>
      <c r="F530" s="3"/>
      <c r="G530" s="3"/>
      <c r="H530" s="3"/>
      <c r="I530" s="3"/>
      <c r="J530" s="3"/>
      <c r="K530" s="3"/>
      <c r="L530" s="26" t="s">
        <v>655</v>
      </c>
      <c r="M530" s="27">
        <v>13</v>
      </c>
      <c r="N530" s="3"/>
      <c r="O530" s="3"/>
      <c r="P530" s="3"/>
      <c r="Q530" s="3"/>
      <c r="R530" s="3"/>
      <c r="S530" s="3"/>
      <c r="T530" s="3">
        <f t="shared" si="51"/>
        <v>0</v>
      </c>
      <c r="U530" s="3" t="str">
        <f t="shared" si="52"/>
        <v>OK</v>
      </c>
      <c r="V530" s="21">
        <f t="shared" si="53"/>
        <v>0</v>
      </c>
      <c r="W530" s="3" t="str">
        <f t="shared" si="54"/>
        <v>OK</v>
      </c>
      <c r="X530" s="3" t="s">
        <v>647</v>
      </c>
      <c r="Y530" s="3" t="s">
        <v>29</v>
      </c>
      <c r="Z530" s="3" t="s">
        <v>476</v>
      </c>
    </row>
    <row r="531" spans="1:26" x14ac:dyDescent="0.2">
      <c r="A531" s="3" t="str">
        <f t="shared" si="50"/>
        <v>TRIP-T-562</v>
      </c>
      <c r="B531" s="2">
        <v>46007</v>
      </c>
      <c r="C531" s="3"/>
      <c r="D531" s="3"/>
      <c r="E531" s="3"/>
      <c r="F531" s="3"/>
      <c r="G531" s="3"/>
      <c r="H531" s="3"/>
      <c r="I531" s="3"/>
      <c r="J531" s="3"/>
      <c r="K531" s="3"/>
      <c r="L531" s="26" t="s">
        <v>655</v>
      </c>
      <c r="M531" s="27">
        <v>17</v>
      </c>
      <c r="N531" s="3"/>
      <c r="O531" s="3"/>
      <c r="P531" s="3"/>
      <c r="Q531" s="3"/>
      <c r="R531" s="3"/>
      <c r="S531" s="3"/>
      <c r="T531" s="3">
        <f t="shared" si="51"/>
        <v>0</v>
      </c>
      <c r="U531" s="3" t="str">
        <f t="shared" si="52"/>
        <v>OK</v>
      </c>
      <c r="V531" s="21">
        <f t="shared" si="53"/>
        <v>0</v>
      </c>
      <c r="W531" s="3" t="str">
        <f t="shared" si="54"/>
        <v>OK</v>
      </c>
      <c r="X531" s="3" t="s">
        <v>647</v>
      </c>
      <c r="Y531" s="3" t="s">
        <v>29</v>
      </c>
      <c r="Z531" s="3" t="s">
        <v>476</v>
      </c>
    </row>
    <row r="532" spans="1:26" x14ac:dyDescent="0.2">
      <c r="A532" s="3" t="str">
        <f t="shared" si="50"/>
        <v>TRIP-T-563</v>
      </c>
      <c r="B532" s="2">
        <v>46008</v>
      </c>
      <c r="C532" s="3"/>
      <c r="D532" s="3"/>
      <c r="E532" s="3"/>
      <c r="F532" s="3"/>
      <c r="G532" s="3"/>
      <c r="H532" s="3"/>
      <c r="I532" s="3"/>
      <c r="J532" s="3"/>
      <c r="K532" s="3"/>
      <c r="L532" s="26" t="s">
        <v>655</v>
      </c>
      <c r="M532" s="27">
        <v>28</v>
      </c>
      <c r="N532" s="3"/>
      <c r="O532" s="3"/>
      <c r="P532" s="3"/>
      <c r="Q532" s="3"/>
      <c r="R532" s="3"/>
      <c r="S532" s="3"/>
      <c r="T532" s="3">
        <f t="shared" si="51"/>
        <v>0</v>
      </c>
      <c r="U532" s="3" t="str">
        <f t="shared" si="52"/>
        <v>OK</v>
      </c>
      <c r="V532" s="21">
        <f t="shared" si="53"/>
        <v>0</v>
      </c>
      <c r="W532" s="3" t="str">
        <f t="shared" si="54"/>
        <v>OK</v>
      </c>
      <c r="X532" s="3" t="s">
        <v>647</v>
      </c>
      <c r="Y532" s="3" t="s">
        <v>29</v>
      </c>
      <c r="Z532" s="3" t="s">
        <v>476</v>
      </c>
    </row>
    <row r="533" spans="1:26" x14ac:dyDescent="0.2">
      <c r="A533" s="3" t="str">
        <f t="shared" si="50"/>
        <v>TRIP-T-564</v>
      </c>
      <c r="B533" s="2">
        <v>46009</v>
      </c>
      <c r="C533" s="3"/>
      <c r="D533" s="3"/>
      <c r="E533" s="3"/>
      <c r="F533" s="3"/>
      <c r="G533" s="3"/>
      <c r="H533" s="3"/>
      <c r="I533" s="3"/>
      <c r="J533" s="3"/>
      <c r="K533" s="3"/>
      <c r="L533" s="26" t="s">
        <v>655</v>
      </c>
      <c r="M533" s="27">
        <v>23</v>
      </c>
      <c r="N533" s="3"/>
      <c r="O533" s="3"/>
      <c r="P533" s="3"/>
      <c r="Q533" s="3"/>
      <c r="R533" s="3"/>
      <c r="S533" s="3"/>
      <c r="T533" s="3">
        <f t="shared" si="51"/>
        <v>0</v>
      </c>
      <c r="U533" s="3" t="str">
        <f t="shared" si="52"/>
        <v>OK</v>
      </c>
      <c r="V533" s="21">
        <f t="shared" si="53"/>
        <v>0</v>
      </c>
      <c r="W533" s="3" t="str">
        <f t="shared" si="54"/>
        <v>OK</v>
      </c>
      <c r="X533" s="3" t="s">
        <v>647</v>
      </c>
      <c r="Y533" s="3" t="s">
        <v>29</v>
      </c>
      <c r="Z533" s="3" t="s">
        <v>476</v>
      </c>
    </row>
    <row r="534" spans="1:26" x14ac:dyDescent="0.2">
      <c r="A534" s="3" t="str">
        <f t="shared" si="50"/>
        <v>TRIP-T-565</v>
      </c>
      <c r="B534" s="2">
        <v>46010</v>
      </c>
      <c r="C534" s="3"/>
      <c r="D534" s="3"/>
      <c r="E534" s="3"/>
      <c r="F534" s="3"/>
      <c r="G534" s="3"/>
      <c r="H534" s="3"/>
      <c r="I534" s="3"/>
      <c r="J534" s="3"/>
      <c r="K534" s="3"/>
      <c r="L534" s="26" t="s">
        <v>655</v>
      </c>
      <c r="M534" s="27">
        <v>28</v>
      </c>
      <c r="N534" s="3"/>
      <c r="O534" s="3"/>
      <c r="P534" s="3"/>
      <c r="Q534" s="3"/>
      <c r="R534" s="3"/>
      <c r="S534" s="3"/>
      <c r="T534" s="3">
        <f t="shared" si="51"/>
        <v>0</v>
      </c>
      <c r="U534" s="3" t="str">
        <f t="shared" si="52"/>
        <v>OK</v>
      </c>
      <c r="V534" s="21">
        <f t="shared" si="53"/>
        <v>0</v>
      </c>
      <c r="W534" s="3" t="str">
        <f t="shared" si="54"/>
        <v>OK</v>
      </c>
      <c r="X534" s="3" t="s">
        <v>647</v>
      </c>
      <c r="Y534" s="3" t="s">
        <v>29</v>
      </c>
      <c r="Z534" s="3" t="s">
        <v>476</v>
      </c>
    </row>
    <row r="535" spans="1:26" x14ac:dyDescent="0.2">
      <c r="A535" s="3" t="str">
        <f t="shared" si="50"/>
        <v>TRIP-T-566</v>
      </c>
      <c r="B535" s="2">
        <v>46010</v>
      </c>
      <c r="C535" s="3"/>
      <c r="D535" s="3"/>
      <c r="E535" s="3"/>
      <c r="F535" s="3"/>
      <c r="G535" s="3"/>
      <c r="H535" s="3"/>
      <c r="I535" s="3"/>
      <c r="J535" s="3"/>
      <c r="K535" s="3"/>
      <c r="L535" s="26" t="s">
        <v>658</v>
      </c>
      <c r="M535" s="27">
        <v>2</v>
      </c>
      <c r="N535" s="3"/>
      <c r="O535" s="3"/>
      <c r="P535" s="3"/>
      <c r="Q535" s="3"/>
      <c r="R535" s="3"/>
      <c r="S535" s="3"/>
      <c r="T535" s="3">
        <f t="shared" si="51"/>
        <v>0</v>
      </c>
      <c r="U535" s="3" t="str">
        <f t="shared" si="52"/>
        <v>OK</v>
      </c>
      <c r="V535" s="21">
        <f t="shared" si="53"/>
        <v>0</v>
      </c>
      <c r="W535" s="3" t="str">
        <f t="shared" si="54"/>
        <v>OK</v>
      </c>
      <c r="X535" s="3" t="s">
        <v>647</v>
      </c>
      <c r="Y535" s="3" t="s">
        <v>29</v>
      </c>
      <c r="Z535" s="3" t="s">
        <v>476</v>
      </c>
    </row>
    <row r="536" spans="1:26" x14ac:dyDescent="0.2">
      <c r="A536" s="3" t="str">
        <f t="shared" si="50"/>
        <v>TRIP-T-567</v>
      </c>
      <c r="B536" s="2">
        <v>46011</v>
      </c>
      <c r="C536" s="3"/>
      <c r="D536" s="3"/>
      <c r="E536" s="3"/>
      <c r="F536" s="3"/>
      <c r="G536" s="3"/>
      <c r="H536" s="3"/>
      <c r="I536" s="3"/>
      <c r="J536" s="3"/>
      <c r="K536" s="3"/>
      <c r="L536" s="26" t="s">
        <v>655</v>
      </c>
      <c r="M536" s="27">
        <v>30</v>
      </c>
      <c r="N536" s="3"/>
      <c r="O536" s="3"/>
      <c r="P536" s="3"/>
      <c r="Q536" s="3"/>
      <c r="R536" s="3"/>
      <c r="S536" s="3"/>
      <c r="T536" s="3">
        <f t="shared" si="51"/>
        <v>0</v>
      </c>
      <c r="U536" s="3" t="str">
        <f t="shared" si="52"/>
        <v>OK</v>
      </c>
      <c r="V536" s="21">
        <f t="shared" si="53"/>
        <v>0</v>
      </c>
      <c r="W536" s="3" t="str">
        <f t="shared" si="54"/>
        <v>OK</v>
      </c>
      <c r="X536" s="3" t="s">
        <v>647</v>
      </c>
      <c r="Y536" s="3" t="s">
        <v>29</v>
      </c>
      <c r="Z536" s="3" t="s">
        <v>476</v>
      </c>
    </row>
    <row r="537" spans="1:26" x14ac:dyDescent="0.2">
      <c r="A537" s="3" t="str">
        <f t="shared" si="50"/>
        <v>TRIP-T-568</v>
      </c>
      <c r="B537" s="2">
        <v>46011</v>
      </c>
      <c r="C537" s="3"/>
      <c r="D537" s="3"/>
      <c r="E537" s="3"/>
      <c r="F537" s="3"/>
      <c r="G537" s="3"/>
      <c r="H537" s="3"/>
      <c r="I537" s="3"/>
      <c r="J537" s="3"/>
      <c r="K537" s="3"/>
      <c r="L537" s="26" t="s">
        <v>655</v>
      </c>
      <c r="M537" s="27">
        <v>25</v>
      </c>
      <c r="N537" s="3"/>
      <c r="O537" s="3"/>
      <c r="P537" s="3"/>
      <c r="Q537" s="3"/>
      <c r="R537" s="3"/>
      <c r="S537" s="3"/>
      <c r="T537" s="3">
        <f t="shared" si="51"/>
        <v>0</v>
      </c>
      <c r="U537" s="3" t="str">
        <f t="shared" si="52"/>
        <v>OK</v>
      </c>
      <c r="V537" s="21">
        <f t="shared" si="53"/>
        <v>0</v>
      </c>
      <c r="W537" s="3" t="str">
        <f t="shared" si="54"/>
        <v>OK</v>
      </c>
      <c r="X537" s="3" t="s">
        <v>647</v>
      </c>
      <c r="Y537" s="3" t="s">
        <v>29</v>
      </c>
      <c r="Z537" s="3" t="s">
        <v>476</v>
      </c>
    </row>
    <row r="538" spans="1:26" x14ac:dyDescent="0.2">
      <c r="A538" s="3" t="str">
        <f t="shared" si="50"/>
        <v>TRIP-T-569</v>
      </c>
      <c r="B538" s="2">
        <v>46011</v>
      </c>
      <c r="C538" s="3"/>
      <c r="D538" s="3"/>
      <c r="E538" s="3"/>
      <c r="F538" s="3"/>
      <c r="G538" s="3"/>
      <c r="H538" s="3"/>
      <c r="I538" s="3"/>
      <c r="J538" s="3"/>
      <c r="K538" s="3"/>
      <c r="L538" s="26" t="s">
        <v>659</v>
      </c>
      <c r="M538" s="27">
        <v>1</v>
      </c>
      <c r="N538" s="3"/>
      <c r="O538" s="3"/>
      <c r="P538" s="3"/>
      <c r="Q538" s="3"/>
      <c r="R538" s="3"/>
      <c r="S538" s="3"/>
      <c r="T538" s="3">
        <f t="shared" si="51"/>
        <v>0</v>
      </c>
      <c r="U538" s="3" t="str">
        <f t="shared" si="52"/>
        <v>OK</v>
      </c>
      <c r="V538" s="21">
        <f t="shared" si="53"/>
        <v>0</v>
      </c>
      <c r="W538" s="3" t="str">
        <f t="shared" si="54"/>
        <v>OK</v>
      </c>
      <c r="X538" s="3" t="s">
        <v>647</v>
      </c>
      <c r="Y538" s="3" t="s">
        <v>29</v>
      </c>
      <c r="Z538" s="3" t="s">
        <v>476</v>
      </c>
    </row>
    <row r="539" spans="1:26" x14ac:dyDescent="0.2">
      <c r="A539" s="3" t="str">
        <f t="shared" si="50"/>
        <v>TRIP-T-570</v>
      </c>
      <c r="B539" s="2">
        <v>46012</v>
      </c>
      <c r="C539" s="3"/>
      <c r="D539" s="3"/>
      <c r="E539" s="3"/>
      <c r="F539" s="3"/>
      <c r="G539" s="3"/>
      <c r="H539" s="3"/>
      <c r="I539" s="3"/>
      <c r="J539" s="3"/>
      <c r="K539" s="3"/>
      <c r="L539" s="26" t="s">
        <v>655</v>
      </c>
      <c r="M539" s="27">
        <v>28</v>
      </c>
      <c r="N539" s="3"/>
      <c r="O539" s="3"/>
      <c r="P539" s="3"/>
      <c r="Q539" s="3"/>
      <c r="R539" s="3"/>
      <c r="S539" s="3"/>
      <c r="T539" s="3">
        <f t="shared" si="51"/>
        <v>0</v>
      </c>
      <c r="U539" s="3" t="str">
        <f t="shared" si="52"/>
        <v>OK</v>
      </c>
      <c r="V539" s="21">
        <f t="shared" si="53"/>
        <v>0</v>
      </c>
      <c r="W539" s="3" t="str">
        <f t="shared" si="54"/>
        <v>OK</v>
      </c>
      <c r="X539" s="3" t="s">
        <v>647</v>
      </c>
      <c r="Y539" s="3" t="s">
        <v>29</v>
      </c>
      <c r="Z539" s="3" t="s">
        <v>476</v>
      </c>
    </row>
    <row r="540" spans="1:26" x14ac:dyDescent="0.2">
      <c r="A540" s="3" t="str">
        <f t="shared" si="50"/>
        <v>TRIP-T-571</v>
      </c>
      <c r="B540" s="2">
        <v>46013</v>
      </c>
      <c r="C540" s="3"/>
      <c r="D540" s="3"/>
      <c r="E540" s="3"/>
      <c r="F540" s="3"/>
      <c r="G540" s="3"/>
      <c r="H540" s="3"/>
      <c r="I540" s="3"/>
      <c r="J540" s="3"/>
      <c r="K540" s="3"/>
      <c r="L540" s="26" t="s">
        <v>655</v>
      </c>
      <c r="M540" s="27">
        <v>16</v>
      </c>
      <c r="N540" s="3"/>
      <c r="O540" s="3"/>
      <c r="P540" s="3"/>
      <c r="Q540" s="3"/>
      <c r="R540" s="3"/>
      <c r="S540" s="3"/>
      <c r="T540" s="3">
        <f t="shared" si="51"/>
        <v>0</v>
      </c>
      <c r="U540" s="3" t="str">
        <f t="shared" si="52"/>
        <v>OK</v>
      </c>
      <c r="V540" s="21">
        <f t="shared" si="53"/>
        <v>0</v>
      </c>
      <c r="W540" s="3" t="str">
        <f t="shared" si="54"/>
        <v>OK</v>
      </c>
      <c r="X540" s="3" t="s">
        <v>647</v>
      </c>
      <c r="Y540" s="3" t="s">
        <v>29</v>
      </c>
      <c r="Z540" s="3" t="s">
        <v>476</v>
      </c>
    </row>
    <row r="541" spans="1:26" x14ac:dyDescent="0.2">
      <c r="A541" s="3" t="str">
        <f t="shared" si="50"/>
        <v>TRIP-T-572</v>
      </c>
      <c r="B541" s="2">
        <v>46013</v>
      </c>
      <c r="C541" s="3"/>
      <c r="D541" s="3"/>
      <c r="E541" s="3"/>
      <c r="F541" s="3"/>
      <c r="G541" s="3"/>
      <c r="H541" s="3"/>
      <c r="I541" s="3"/>
      <c r="J541" s="3"/>
      <c r="K541" s="3"/>
      <c r="L541" s="26" t="s">
        <v>657</v>
      </c>
      <c r="M541" s="27">
        <v>7</v>
      </c>
      <c r="N541" s="3"/>
      <c r="O541" s="3"/>
      <c r="P541" s="3"/>
      <c r="Q541" s="3"/>
      <c r="R541" s="3"/>
      <c r="S541" s="3"/>
      <c r="T541" s="3">
        <f t="shared" si="51"/>
        <v>0</v>
      </c>
      <c r="U541" s="3" t="str">
        <f t="shared" si="52"/>
        <v>OK</v>
      </c>
      <c r="V541" s="21">
        <f t="shared" si="53"/>
        <v>0</v>
      </c>
      <c r="W541" s="3" t="str">
        <f t="shared" si="54"/>
        <v>OK</v>
      </c>
      <c r="X541" s="3" t="s">
        <v>647</v>
      </c>
      <c r="Y541" s="3" t="s">
        <v>29</v>
      </c>
      <c r="Z541" s="3" t="s">
        <v>476</v>
      </c>
    </row>
    <row r="542" spans="1:26" x14ac:dyDescent="0.2">
      <c r="A542" s="3" t="str">
        <f t="shared" si="50"/>
        <v>TRIP-T-573</v>
      </c>
      <c r="B542" s="2">
        <v>46013</v>
      </c>
      <c r="C542" s="3"/>
      <c r="D542" s="3"/>
      <c r="E542" s="3"/>
      <c r="F542" s="3"/>
      <c r="G542" s="3"/>
      <c r="H542" s="3"/>
      <c r="I542" s="3"/>
      <c r="J542" s="3"/>
      <c r="K542" s="3"/>
      <c r="L542" s="26" t="s">
        <v>655</v>
      </c>
      <c r="M542" s="27">
        <v>22</v>
      </c>
      <c r="N542" s="3"/>
      <c r="O542" s="3"/>
      <c r="P542" s="3"/>
      <c r="Q542" s="3"/>
      <c r="R542" s="3"/>
      <c r="S542" s="3"/>
      <c r="T542" s="3">
        <f t="shared" si="51"/>
        <v>0</v>
      </c>
      <c r="U542" s="3" t="str">
        <f t="shared" si="52"/>
        <v>OK</v>
      </c>
      <c r="V542" s="21">
        <f t="shared" si="53"/>
        <v>0</v>
      </c>
      <c r="W542" s="3" t="str">
        <f t="shared" si="54"/>
        <v>OK</v>
      </c>
      <c r="X542" s="3" t="s">
        <v>647</v>
      </c>
      <c r="Y542" s="3" t="s">
        <v>29</v>
      </c>
      <c r="Z542" s="3" t="s">
        <v>476</v>
      </c>
    </row>
    <row r="543" spans="1:26" x14ac:dyDescent="0.2">
      <c r="A543" s="3" t="str">
        <f t="shared" si="50"/>
        <v>TRIP-T-574</v>
      </c>
      <c r="B543" s="2">
        <v>46014</v>
      </c>
      <c r="C543" s="3"/>
      <c r="D543" s="3"/>
      <c r="E543" s="3"/>
      <c r="F543" s="3"/>
      <c r="G543" s="3"/>
      <c r="H543" s="3"/>
      <c r="I543" s="3"/>
      <c r="J543" s="3"/>
      <c r="K543" s="3"/>
      <c r="L543" s="26" t="s">
        <v>655</v>
      </c>
      <c r="M543" s="27">
        <v>24</v>
      </c>
      <c r="N543" s="3"/>
      <c r="O543" s="3"/>
      <c r="P543" s="3"/>
      <c r="Q543" s="3"/>
      <c r="R543" s="3"/>
      <c r="S543" s="3"/>
      <c r="T543" s="3">
        <f t="shared" si="51"/>
        <v>0</v>
      </c>
      <c r="U543" s="3" t="str">
        <f t="shared" si="52"/>
        <v>OK</v>
      </c>
      <c r="V543" s="21">
        <f t="shared" si="53"/>
        <v>0</v>
      </c>
      <c r="W543" s="3" t="str">
        <f t="shared" si="54"/>
        <v>OK</v>
      </c>
      <c r="X543" s="3" t="s">
        <v>647</v>
      </c>
      <c r="Y543" s="3" t="s">
        <v>29</v>
      </c>
      <c r="Z543" s="3" t="s">
        <v>476</v>
      </c>
    </row>
    <row r="544" spans="1:26" x14ac:dyDescent="0.2">
      <c r="A544" s="3" t="str">
        <f t="shared" si="50"/>
        <v>TRIP-T-575</v>
      </c>
      <c r="B544" s="2">
        <v>46014</v>
      </c>
      <c r="C544" s="3"/>
      <c r="D544" s="3"/>
      <c r="E544" s="3"/>
      <c r="F544" s="3"/>
      <c r="G544" s="3"/>
      <c r="H544" s="3"/>
      <c r="I544" s="3"/>
      <c r="J544" s="3"/>
      <c r="K544" s="3"/>
      <c r="L544" s="26" t="s">
        <v>659</v>
      </c>
      <c r="M544" s="27">
        <v>1</v>
      </c>
      <c r="N544" s="3"/>
      <c r="O544" s="3"/>
      <c r="P544" s="3"/>
      <c r="Q544" s="3"/>
      <c r="R544" s="3"/>
      <c r="S544" s="3"/>
      <c r="T544" s="3">
        <f t="shared" si="51"/>
        <v>0</v>
      </c>
      <c r="U544" s="3" t="str">
        <f t="shared" si="52"/>
        <v>OK</v>
      </c>
      <c r="V544" s="21">
        <f t="shared" si="53"/>
        <v>0</v>
      </c>
      <c r="W544" s="3" t="str">
        <f t="shared" si="54"/>
        <v>OK</v>
      </c>
      <c r="X544" s="3" t="s">
        <v>647</v>
      </c>
      <c r="Y544" s="3" t="s">
        <v>29</v>
      </c>
      <c r="Z544" s="3" t="s">
        <v>476</v>
      </c>
    </row>
    <row r="545" spans="1:26" x14ac:dyDescent="0.2">
      <c r="A545" s="3" t="str">
        <f t="shared" si="50"/>
        <v>TRIP-T-576</v>
      </c>
      <c r="B545" s="2">
        <v>46015</v>
      </c>
      <c r="C545" s="3"/>
      <c r="D545" s="3"/>
      <c r="E545" s="3"/>
      <c r="F545" s="3"/>
      <c r="G545" s="3"/>
      <c r="H545" s="3"/>
      <c r="I545" s="3"/>
      <c r="J545" s="3"/>
      <c r="K545" s="3"/>
      <c r="L545" s="26" t="s">
        <v>655</v>
      </c>
      <c r="M545" s="27">
        <v>21</v>
      </c>
      <c r="N545" s="3"/>
      <c r="O545" s="3"/>
      <c r="P545" s="3"/>
      <c r="Q545" s="3"/>
      <c r="R545" s="3"/>
      <c r="S545" s="3"/>
      <c r="T545" s="3">
        <f t="shared" si="51"/>
        <v>0</v>
      </c>
      <c r="U545" s="3" t="str">
        <f t="shared" si="52"/>
        <v>OK</v>
      </c>
      <c r="V545" s="21">
        <f t="shared" si="53"/>
        <v>0</v>
      </c>
      <c r="W545" s="3" t="str">
        <f t="shared" si="54"/>
        <v>OK</v>
      </c>
      <c r="X545" s="3" t="s">
        <v>647</v>
      </c>
      <c r="Y545" s="3" t="s">
        <v>29</v>
      </c>
      <c r="Z545" s="3" t="s">
        <v>476</v>
      </c>
    </row>
    <row r="546" spans="1:26" x14ac:dyDescent="0.2">
      <c r="A546" s="3" t="str">
        <f t="shared" si="50"/>
        <v>TRIP-T-577</v>
      </c>
      <c r="B546" s="2">
        <v>46015</v>
      </c>
      <c r="C546" s="3"/>
      <c r="D546" s="3"/>
      <c r="E546" s="3"/>
      <c r="F546" s="3"/>
      <c r="G546" s="3"/>
      <c r="H546" s="3"/>
      <c r="I546" s="3"/>
      <c r="J546" s="3"/>
      <c r="K546" s="3"/>
      <c r="L546" s="26" t="s">
        <v>655</v>
      </c>
      <c r="M546" s="27">
        <v>23</v>
      </c>
      <c r="N546" s="3"/>
      <c r="O546" s="3"/>
      <c r="P546" s="3"/>
      <c r="Q546" s="3"/>
      <c r="R546" s="3"/>
      <c r="S546" s="3"/>
      <c r="T546" s="3">
        <f t="shared" si="51"/>
        <v>0</v>
      </c>
      <c r="U546" s="3" t="str">
        <f t="shared" si="52"/>
        <v>OK</v>
      </c>
      <c r="V546" s="21">
        <f t="shared" si="53"/>
        <v>0</v>
      </c>
      <c r="W546" s="3" t="str">
        <f t="shared" si="54"/>
        <v>OK</v>
      </c>
      <c r="X546" s="3" t="s">
        <v>647</v>
      </c>
      <c r="Y546" s="3" t="s">
        <v>29</v>
      </c>
      <c r="Z546" s="3" t="s">
        <v>476</v>
      </c>
    </row>
    <row r="547" spans="1:26" x14ac:dyDescent="0.2">
      <c r="A547" s="3" t="str">
        <f t="shared" si="50"/>
        <v>TRIP-T-578</v>
      </c>
      <c r="B547" s="2">
        <v>46015</v>
      </c>
      <c r="C547" s="3"/>
      <c r="D547" s="3"/>
      <c r="E547" s="3"/>
      <c r="F547" s="3"/>
      <c r="G547" s="3"/>
      <c r="H547" s="3"/>
      <c r="I547" s="3"/>
      <c r="J547" s="3"/>
      <c r="K547" s="3"/>
      <c r="L547" s="26" t="s">
        <v>655</v>
      </c>
      <c r="M547" s="27">
        <v>26</v>
      </c>
      <c r="N547" s="3"/>
      <c r="O547" s="3"/>
      <c r="P547" s="3"/>
      <c r="Q547" s="3"/>
      <c r="R547" s="3"/>
      <c r="S547" s="3"/>
      <c r="T547" s="3">
        <f t="shared" si="51"/>
        <v>0</v>
      </c>
      <c r="U547" s="3" t="str">
        <f t="shared" si="52"/>
        <v>OK</v>
      </c>
      <c r="V547" s="21">
        <f t="shared" si="53"/>
        <v>0</v>
      </c>
      <c r="W547" s="3" t="str">
        <f t="shared" si="54"/>
        <v>OK</v>
      </c>
      <c r="X547" s="3" t="s">
        <v>647</v>
      </c>
      <c r="Y547" s="3" t="s">
        <v>29</v>
      </c>
      <c r="Z547" s="3" t="s">
        <v>476</v>
      </c>
    </row>
    <row r="548" spans="1:26" x14ac:dyDescent="0.2">
      <c r="A548" s="3" t="str">
        <f t="shared" si="50"/>
        <v>TRIP-T-579</v>
      </c>
      <c r="B548" s="2">
        <v>46016</v>
      </c>
      <c r="C548" s="3"/>
      <c r="D548" s="3"/>
      <c r="E548" s="3"/>
      <c r="F548" s="3"/>
      <c r="G548" s="3"/>
      <c r="H548" s="3"/>
      <c r="I548" s="3"/>
      <c r="J548" s="3"/>
      <c r="K548" s="3"/>
      <c r="L548" s="26" t="s">
        <v>655</v>
      </c>
      <c r="M548" s="27">
        <v>25</v>
      </c>
      <c r="N548" s="3"/>
      <c r="O548" s="3"/>
      <c r="P548" s="3"/>
      <c r="Q548" s="3"/>
      <c r="R548" s="3"/>
      <c r="S548" s="3"/>
      <c r="T548" s="3">
        <f t="shared" si="51"/>
        <v>0</v>
      </c>
      <c r="U548" s="3" t="str">
        <f t="shared" si="52"/>
        <v>OK</v>
      </c>
      <c r="V548" s="21">
        <f t="shared" si="53"/>
        <v>0</v>
      </c>
      <c r="W548" s="3" t="str">
        <f t="shared" si="54"/>
        <v>OK</v>
      </c>
      <c r="X548" s="3" t="s">
        <v>647</v>
      </c>
      <c r="Y548" s="3" t="s">
        <v>29</v>
      </c>
      <c r="Z548" s="3" t="s">
        <v>476</v>
      </c>
    </row>
    <row r="549" spans="1:26" x14ac:dyDescent="0.2">
      <c r="A549" s="3" t="str">
        <f t="shared" si="50"/>
        <v>TRIP-T-580</v>
      </c>
      <c r="B549" s="2">
        <v>46017</v>
      </c>
      <c r="C549" s="3"/>
      <c r="D549" s="3"/>
      <c r="E549" s="3"/>
      <c r="F549" s="3"/>
      <c r="G549" s="3"/>
      <c r="H549" s="3"/>
      <c r="I549" s="3"/>
      <c r="J549" s="3"/>
      <c r="K549" s="3"/>
      <c r="L549" s="26" t="s">
        <v>655</v>
      </c>
      <c r="M549" s="27">
        <v>26</v>
      </c>
      <c r="N549" s="3"/>
      <c r="O549" s="3"/>
      <c r="P549" s="3"/>
      <c r="Q549" s="3"/>
      <c r="R549" s="3"/>
      <c r="S549" s="3"/>
      <c r="T549" s="3">
        <f t="shared" si="51"/>
        <v>0</v>
      </c>
      <c r="U549" s="3" t="str">
        <f t="shared" si="52"/>
        <v>OK</v>
      </c>
      <c r="V549" s="21">
        <f t="shared" si="53"/>
        <v>0</v>
      </c>
      <c r="W549" s="3" t="str">
        <f t="shared" si="54"/>
        <v>OK</v>
      </c>
      <c r="X549" s="3" t="s">
        <v>647</v>
      </c>
      <c r="Y549" s="3" t="s">
        <v>29</v>
      </c>
      <c r="Z549" s="3" t="s">
        <v>476</v>
      </c>
    </row>
    <row r="550" spans="1:26" x14ac:dyDescent="0.2">
      <c r="A550" s="3" t="str">
        <f t="shared" si="50"/>
        <v>TRIP-T-581</v>
      </c>
      <c r="B550" s="2">
        <v>46018</v>
      </c>
      <c r="C550" s="3"/>
      <c r="D550" s="3"/>
      <c r="E550" s="3"/>
      <c r="F550" s="3"/>
      <c r="G550" s="3"/>
      <c r="H550" s="3"/>
      <c r="I550" s="3"/>
      <c r="J550" s="3"/>
      <c r="K550" s="3"/>
      <c r="L550" s="26" t="s">
        <v>655</v>
      </c>
      <c r="M550" s="27">
        <v>25</v>
      </c>
      <c r="N550" s="3"/>
      <c r="O550" s="3"/>
      <c r="P550" s="3"/>
      <c r="Q550" s="3"/>
      <c r="R550" s="3"/>
      <c r="S550" s="3"/>
      <c r="T550" s="3">
        <f t="shared" si="51"/>
        <v>0</v>
      </c>
      <c r="U550" s="3" t="str">
        <f t="shared" si="52"/>
        <v>OK</v>
      </c>
      <c r="V550" s="21">
        <f t="shared" si="53"/>
        <v>0</v>
      </c>
      <c r="W550" s="3" t="str">
        <f t="shared" si="54"/>
        <v>OK</v>
      </c>
      <c r="X550" s="3" t="s">
        <v>647</v>
      </c>
      <c r="Y550" s="3" t="s">
        <v>29</v>
      </c>
      <c r="Z550" s="3" t="s">
        <v>476</v>
      </c>
    </row>
    <row r="551" spans="1:26" x14ac:dyDescent="0.2">
      <c r="A551" s="3" t="str">
        <f t="shared" si="50"/>
        <v>TRIP-T-582</v>
      </c>
      <c r="B551" s="2">
        <v>46018</v>
      </c>
      <c r="C551" s="3"/>
      <c r="D551" s="3"/>
      <c r="E551" s="3"/>
      <c r="F551" s="3"/>
      <c r="G551" s="3"/>
      <c r="H551" s="3"/>
      <c r="I551" s="3"/>
      <c r="J551" s="3"/>
      <c r="K551" s="3"/>
      <c r="L551" s="26" t="s">
        <v>655</v>
      </c>
      <c r="M551" s="27">
        <v>14</v>
      </c>
      <c r="N551" s="3"/>
      <c r="O551" s="3"/>
      <c r="P551" s="3"/>
      <c r="Q551" s="3"/>
      <c r="R551" s="3"/>
      <c r="S551" s="3"/>
      <c r="T551" s="3">
        <f t="shared" si="51"/>
        <v>0</v>
      </c>
      <c r="U551" s="3" t="str">
        <f t="shared" si="52"/>
        <v>OK</v>
      </c>
      <c r="V551" s="21">
        <f t="shared" si="53"/>
        <v>0</v>
      </c>
      <c r="W551" s="3" t="str">
        <f t="shared" si="54"/>
        <v>OK</v>
      </c>
      <c r="X551" s="3" t="s">
        <v>647</v>
      </c>
      <c r="Y551" s="3" t="s">
        <v>29</v>
      </c>
      <c r="Z551" s="3" t="s">
        <v>476</v>
      </c>
    </row>
    <row r="552" spans="1:26" x14ac:dyDescent="0.2">
      <c r="A552" s="3" t="str">
        <f t="shared" si="50"/>
        <v>TRIP-T-583</v>
      </c>
      <c r="B552" s="2">
        <v>46019</v>
      </c>
      <c r="C552" s="3"/>
      <c r="D552" s="3"/>
      <c r="E552" s="3"/>
      <c r="F552" s="3"/>
      <c r="G552" s="3"/>
      <c r="H552" s="3"/>
      <c r="I552" s="3"/>
      <c r="J552" s="3"/>
      <c r="K552" s="3"/>
      <c r="L552" s="26" t="s">
        <v>655</v>
      </c>
      <c r="M552" s="27">
        <v>23</v>
      </c>
      <c r="N552" s="3"/>
      <c r="O552" s="3"/>
      <c r="P552" s="3"/>
      <c r="Q552" s="3"/>
      <c r="R552" s="3"/>
      <c r="S552" s="3"/>
      <c r="T552" s="3">
        <f t="shared" si="51"/>
        <v>0</v>
      </c>
      <c r="U552" s="3" t="str">
        <f t="shared" si="52"/>
        <v>OK</v>
      </c>
      <c r="V552" s="21">
        <f t="shared" si="53"/>
        <v>0</v>
      </c>
      <c r="W552" s="3" t="str">
        <f t="shared" si="54"/>
        <v>OK</v>
      </c>
      <c r="X552" s="3" t="s">
        <v>647</v>
      </c>
      <c r="Y552" s="3" t="s">
        <v>29</v>
      </c>
      <c r="Z552" s="3" t="s">
        <v>476</v>
      </c>
    </row>
    <row r="553" spans="1:26" x14ac:dyDescent="0.2">
      <c r="A553" s="3" t="str">
        <f t="shared" si="50"/>
        <v>TRIP-T-584</v>
      </c>
      <c r="B553" s="2">
        <v>46019</v>
      </c>
      <c r="C553" s="3"/>
      <c r="D553" s="3"/>
      <c r="E553" s="3"/>
      <c r="F553" s="3"/>
      <c r="G553" s="3"/>
      <c r="H553" s="3"/>
      <c r="I553" s="3"/>
      <c r="J553" s="3"/>
      <c r="K553" s="3"/>
      <c r="L553" s="26" t="s">
        <v>659</v>
      </c>
      <c r="M553" s="27">
        <v>1</v>
      </c>
      <c r="N553" s="3"/>
      <c r="O553" s="3"/>
      <c r="P553" s="3"/>
      <c r="Q553" s="3"/>
      <c r="R553" s="3"/>
      <c r="S553" s="3"/>
      <c r="T553" s="3">
        <f t="shared" si="51"/>
        <v>0</v>
      </c>
      <c r="U553" s="3" t="str">
        <f t="shared" si="52"/>
        <v>OK</v>
      </c>
      <c r="V553" s="21">
        <f t="shared" si="53"/>
        <v>0</v>
      </c>
      <c r="W553" s="3" t="str">
        <f t="shared" si="54"/>
        <v>OK</v>
      </c>
      <c r="X553" s="3" t="s">
        <v>647</v>
      </c>
      <c r="Y553" s="3" t="s">
        <v>29</v>
      </c>
      <c r="Z553" s="3" t="s">
        <v>476</v>
      </c>
    </row>
    <row r="554" spans="1:26" x14ac:dyDescent="0.2">
      <c r="A554" s="3" t="str">
        <f t="shared" si="50"/>
        <v>TRIP-T-585</v>
      </c>
      <c r="B554" s="2">
        <v>46020</v>
      </c>
      <c r="C554" s="3"/>
      <c r="D554" s="3"/>
      <c r="E554" s="3"/>
      <c r="F554" s="3"/>
      <c r="G554" s="3"/>
      <c r="H554" s="3"/>
      <c r="I554" s="3"/>
      <c r="J554" s="3"/>
      <c r="K554" s="3"/>
      <c r="L554" s="26" t="s">
        <v>655</v>
      </c>
      <c r="M554" s="27">
        <v>22</v>
      </c>
      <c r="N554" s="3"/>
      <c r="O554" s="3"/>
      <c r="P554" s="3"/>
      <c r="Q554" s="3"/>
      <c r="R554" s="3"/>
      <c r="S554" s="3"/>
      <c r="T554" s="3">
        <f t="shared" si="51"/>
        <v>0</v>
      </c>
      <c r="U554" s="3" t="str">
        <f t="shared" si="52"/>
        <v>OK</v>
      </c>
      <c r="V554" s="21">
        <f t="shared" si="53"/>
        <v>0</v>
      </c>
      <c r="W554" s="3" t="str">
        <f t="shared" si="54"/>
        <v>OK</v>
      </c>
      <c r="X554" s="3" t="s">
        <v>647</v>
      </c>
      <c r="Y554" s="3" t="s">
        <v>29</v>
      </c>
      <c r="Z554" s="3" t="s">
        <v>476</v>
      </c>
    </row>
    <row r="555" spans="1:26" x14ac:dyDescent="0.2">
      <c r="A555" s="3" t="str">
        <f t="shared" si="50"/>
        <v>TRIP-T-586</v>
      </c>
      <c r="B555" s="2">
        <v>46021</v>
      </c>
      <c r="C555" s="3"/>
      <c r="D555" s="3"/>
      <c r="E555" s="3"/>
      <c r="F555" s="3"/>
      <c r="G555" s="3"/>
      <c r="H555" s="3"/>
      <c r="I555" s="3"/>
      <c r="J555" s="3"/>
      <c r="K555" s="3"/>
      <c r="L555" s="26" t="s">
        <v>655</v>
      </c>
      <c r="M555" s="27">
        <v>18</v>
      </c>
      <c r="N555" s="3"/>
      <c r="O555" s="3"/>
      <c r="P555" s="3"/>
      <c r="Q555" s="3"/>
      <c r="R555" s="3"/>
      <c r="S555" s="3"/>
      <c r="T555" s="3">
        <f t="shared" si="51"/>
        <v>0</v>
      </c>
      <c r="U555" s="3" t="str">
        <f t="shared" si="52"/>
        <v>OK</v>
      </c>
      <c r="V555" s="21">
        <f t="shared" si="53"/>
        <v>0</v>
      </c>
      <c r="W555" s="3" t="str">
        <f t="shared" si="54"/>
        <v>OK</v>
      </c>
      <c r="X555" s="3" t="s">
        <v>647</v>
      </c>
      <c r="Y555" s="3" t="s">
        <v>29</v>
      </c>
      <c r="Z555" s="3" t="s">
        <v>476</v>
      </c>
    </row>
    <row r="556" spans="1:26" x14ac:dyDescent="0.2">
      <c r="A556" s="3" t="str">
        <f t="shared" si="50"/>
        <v>TRIP-T-587</v>
      </c>
      <c r="B556" s="2">
        <v>46021</v>
      </c>
      <c r="C556" s="3"/>
      <c r="D556" s="3"/>
      <c r="E556" s="3"/>
      <c r="F556" s="3"/>
      <c r="G556" s="3"/>
      <c r="H556" s="3"/>
      <c r="I556" s="3"/>
      <c r="J556" s="3"/>
      <c r="K556" s="3"/>
      <c r="L556" s="26" t="s">
        <v>655</v>
      </c>
      <c r="M556" s="27">
        <v>24</v>
      </c>
      <c r="N556" s="3"/>
      <c r="O556" s="3"/>
      <c r="P556" s="3"/>
      <c r="Q556" s="3"/>
      <c r="R556" s="3"/>
      <c r="S556" s="3"/>
      <c r="T556" s="3">
        <f t="shared" si="51"/>
        <v>0</v>
      </c>
      <c r="U556" s="3" t="str">
        <f t="shared" si="52"/>
        <v>OK</v>
      </c>
      <c r="V556" s="21">
        <f t="shared" si="53"/>
        <v>0</v>
      </c>
      <c r="W556" s="3" t="str">
        <f t="shared" si="54"/>
        <v>OK</v>
      </c>
      <c r="X556" s="3" t="s">
        <v>647</v>
      </c>
      <c r="Y556" s="3" t="s">
        <v>29</v>
      </c>
      <c r="Z556" s="3" t="s">
        <v>476</v>
      </c>
    </row>
    <row r="557" spans="1:26" x14ac:dyDescent="0.2">
      <c r="A557" s="3" t="str">
        <f t="shared" si="50"/>
        <v>TRIP-T-588</v>
      </c>
      <c r="B557" s="2">
        <v>46022</v>
      </c>
      <c r="C557" s="3"/>
      <c r="D557" s="3"/>
      <c r="E557" s="3"/>
      <c r="F557" s="3"/>
      <c r="G557" s="3"/>
      <c r="H557" s="3"/>
      <c r="I557" s="3"/>
      <c r="J557" s="3"/>
      <c r="K557" s="3"/>
      <c r="L557" s="26" t="s">
        <v>655</v>
      </c>
      <c r="M557" s="27">
        <v>16</v>
      </c>
      <c r="N557" s="3"/>
      <c r="O557" s="3"/>
      <c r="P557" s="3"/>
      <c r="Q557" s="3"/>
      <c r="R557" s="3"/>
      <c r="S557" s="3"/>
      <c r="T557" s="3">
        <f t="shared" si="51"/>
        <v>0</v>
      </c>
      <c r="U557" s="3" t="str">
        <f t="shared" si="52"/>
        <v>OK</v>
      </c>
      <c r="V557" s="21">
        <f t="shared" si="53"/>
        <v>0</v>
      </c>
      <c r="W557" s="3" t="str">
        <f t="shared" si="54"/>
        <v>OK</v>
      </c>
      <c r="X557" s="3" t="s">
        <v>647</v>
      </c>
      <c r="Y557" s="3" t="s">
        <v>29</v>
      </c>
      <c r="Z557" s="3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 To Dec Hyva White Sand Trip</vt:lpstr>
      <vt:lpstr>Feb To Dec Hyva Fly Ash Trip</vt:lpstr>
      <vt:lpstr>Feb To Dec Halfton White Sand T</vt:lpstr>
      <vt:lpstr>Feb To Dec Tractor White Sand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2026-08-15T07:12:00Z</dcterms:created>
  <dcterms:modified xsi:type="dcterms:W3CDTF">2026-08-16T04:57:54Z</dcterms:modified>
</cp:coreProperties>
</file>