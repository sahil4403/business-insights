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Feb To Dec Trips/"/>
    </mc:Choice>
  </mc:AlternateContent>
  <xr:revisionPtr revIDLastSave="0" documentId="13_ncr:1_{8D6726A6-C7D4-5644-A387-F2B028E8C671}" xr6:coauthVersionLast="47" xr6:coauthVersionMax="47" xr10:uidLastSave="{00000000-0000-0000-0000-000000000000}"/>
  <bookViews>
    <workbookView xWindow="0" yWindow="780" windowWidth="36000" windowHeight="22600" xr2:uid="{72663F32-90D5-0046-8695-2728A8209FD6}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Sheet1!$C$1:$C$104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T14" i="1"/>
  <c r="O14" i="1"/>
  <c r="V14" i="1" s="1"/>
  <c r="F14" i="1"/>
  <c r="I14" i="1" s="1"/>
  <c r="C14" i="1"/>
  <c r="A14" i="1"/>
  <c r="T13" i="1"/>
  <c r="U13" i="1" s="1"/>
  <c r="O13" i="1"/>
  <c r="Q13" i="1" s="1"/>
  <c r="R13" i="1" s="1"/>
  <c r="F13" i="1"/>
  <c r="I13" i="1" s="1"/>
  <c r="C13" i="1"/>
  <c r="A13" i="1"/>
  <c r="T12" i="1"/>
  <c r="O12" i="1"/>
  <c r="Q12" i="1" s="1"/>
  <c r="R12" i="1" s="1"/>
  <c r="F12" i="1"/>
  <c r="I12" i="1" s="1"/>
  <c r="C12" i="1"/>
  <c r="A12" i="1"/>
  <c r="T11" i="1"/>
  <c r="O11" i="1"/>
  <c r="V11" i="1" s="1"/>
  <c r="F11" i="1"/>
  <c r="I11" i="1" s="1"/>
  <c r="C11" i="1"/>
  <c r="A11" i="1"/>
  <c r="T10" i="1"/>
  <c r="O10" i="1"/>
  <c r="V10" i="1" s="1"/>
  <c r="F10" i="1"/>
  <c r="I10" i="1" s="1"/>
  <c r="C10" i="1"/>
  <c r="A10" i="1"/>
  <c r="T9" i="1"/>
  <c r="O9" i="1"/>
  <c r="Q9" i="1" s="1"/>
  <c r="R9" i="1" s="1"/>
  <c r="F9" i="1"/>
  <c r="I9" i="1" s="1"/>
  <c r="C9" i="1"/>
  <c r="A9" i="1"/>
  <c r="T8" i="1"/>
  <c r="O8" i="1"/>
  <c r="Q8" i="1" s="1"/>
  <c r="R8" i="1" s="1"/>
  <c r="F8" i="1"/>
  <c r="I8" i="1" s="1"/>
  <c r="C8" i="1"/>
  <c r="A8" i="1"/>
  <c r="T7" i="1"/>
  <c r="U7" i="1" s="1"/>
  <c r="O7" i="1"/>
  <c r="V7" i="1" s="1"/>
  <c r="F7" i="1"/>
  <c r="I7" i="1" s="1"/>
  <c r="C7" i="1"/>
  <c r="A7" i="1"/>
  <c r="T6" i="1"/>
  <c r="O6" i="1"/>
  <c r="Q6" i="1" s="1"/>
  <c r="R6" i="1" s="1"/>
  <c r="F6" i="1"/>
  <c r="I6" i="1" s="1"/>
  <c r="C6" i="1"/>
  <c r="A6" i="1"/>
  <c r="T5" i="1"/>
  <c r="U5" i="1" s="1"/>
  <c r="O5" i="1"/>
  <c r="V5" i="1" s="1"/>
  <c r="F5" i="1"/>
  <c r="I5" i="1" s="1"/>
  <c r="C5" i="1"/>
  <c r="A5" i="1"/>
  <c r="T4" i="1"/>
  <c r="O4" i="1"/>
  <c r="V4" i="1" s="1"/>
  <c r="F4" i="1"/>
  <c r="I4" i="1" s="1"/>
  <c r="C4" i="1"/>
  <c r="A4" i="1"/>
  <c r="T3" i="1"/>
  <c r="U3" i="1" s="1"/>
  <c r="O3" i="1"/>
  <c r="Q3" i="1" s="1"/>
  <c r="R3" i="1" s="1"/>
  <c r="F3" i="1"/>
  <c r="I3" i="1" s="1"/>
  <c r="C3" i="1"/>
  <c r="A3" i="1"/>
  <c r="T2" i="1"/>
  <c r="O2" i="1"/>
  <c r="Q2" i="1" s="1"/>
  <c r="R2" i="1" s="1"/>
  <c r="F2" i="1"/>
  <c r="I2" i="1" s="1"/>
  <c r="C2" i="1"/>
  <c r="A2" i="1"/>
  <c r="U9" i="1" l="1"/>
  <c r="U11" i="1"/>
  <c r="U4" i="1"/>
  <c r="U10" i="1"/>
  <c r="U14" i="1"/>
  <c r="U2" i="1"/>
  <c r="U6" i="1"/>
  <c r="U8" i="1"/>
  <c r="U12" i="1"/>
  <c r="Q4" i="1"/>
  <c r="Q7" i="1"/>
  <c r="Q11" i="1"/>
  <c r="Q14" i="1"/>
  <c r="Q5" i="1"/>
  <c r="Q10" i="1"/>
  <c r="V2" i="1"/>
  <c r="W2" i="1" s="1"/>
  <c r="V3" i="1"/>
  <c r="W3" i="1" s="1"/>
  <c r="V6" i="1"/>
  <c r="W6" i="1" s="1"/>
  <c r="V8" i="1"/>
  <c r="W8" i="1" s="1"/>
  <c r="V9" i="1"/>
  <c r="W9" i="1" s="1"/>
  <c r="V12" i="1"/>
  <c r="W12" i="1" s="1"/>
  <c r="V13" i="1"/>
  <c r="W13" i="1" s="1"/>
  <c r="W11" i="1" l="1"/>
  <c r="R11" i="1"/>
  <c r="W7" i="1"/>
  <c r="R7" i="1"/>
  <c r="W4" i="1"/>
  <c r="R4" i="1"/>
  <c r="W10" i="1"/>
  <c r="R10" i="1"/>
  <c r="W5" i="1"/>
  <c r="R5" i="1"/>
  <c r="W14" i="1"/>
  <c r="R14" i="1"/>
  <c r="T103" i="1" l="1"/>
  <c r="O103" i="1"/>
  <c r="V103" i="1" s="1"/>
  <c r="H103" i="1"/>
  <c r="G103" i="1"/>
  <c r="J103" i="1" s="1"/>
  <c r="F103" i="1"/>
  <c r="I103" i="1" s="1"/>
  <c r="C103" i="1"/>
  <c r="T102" i="1"/>
  <c r="O102" i="1"/>
  <c r="V102" i="1" s="1"/>
  <c r="H102" i="1"/>
  <c r="G102" i="1"/>
  <c r="J102" i="1" s="1"/>
  <c r="F102" i="1"/>
  <c r="I102" i="1" s="1"/>
  <c r="C102" i="1"/>
  <c r="T101" i="1"/>
  <c r="O101" i="1"/>
  <c r="Q101" i="1" s="1"/>
  <c r="R101" i="1" s="1"/>
  <c r="H101" i="1"/>
  <c r="G101" i="1"/>
  <c r="J101" i="1" s="1"/>
  <c r="F101" i="1"/>
  <c r="I101" i="1" s="1"/>
  <c r="C101" i="1"/>
  <c r="T100" i="1"/>
  <c r="O100" i="1"/>
  <c r="V100" i="1" s="1"/>
  <c r="H100" i="1"/>
  <c r="G100" i="1"/>
  <c r="J100" i="1" s="1"/>
  <c r="F100" i="1"/>
  <c r="I100" i="1" s="1"/>
  <c r="C100" i="1"/>
  <c r="T99" i="1"/>
  <c r="O99" i="1"/>
  <c r="V99" i="1" s="1"/>
  <c r="H99" i="1"/>
  <c r="G99" i="1"/>
  <c r="J99" i="1" s="1"/>
  <c r="F99" i="1"/>
  <c r="I99" i="1" s="1"/>
  <c r="C99" i="1"/>
  <c r="T98" i="1"/>
  <c r="O98" i="1"/>
  <c r="V98" i="1" s="1"/>
  <c r="H98" i="1"/>
  <c r="G98" i="1"/>
  <c r="J98" i="1" s="1"/>
  <c r="F98" i="1"/>
  <c r="I98" i="1" s="1"/>
  <c r="C98" i="1"/>
  <c r="T97" i="1"/>
  <c r="O97" i="1"/>
  <c r="V97" i="1" s="1"/>
  <c r="H97" i="1"/>
  <c r="G97" i="1"/>
  <c r="J97" i="1" s="1"/>
  <c r="F97" i="1"/>
  <c r="I97" i="1" s="1"/>
  <c r="C97" i="1"/>
  <c r="T96" i="1"/>
  <c r="O96" i="1"/>
  <c r="Q96" i="1" s="1"/>
  <c r="R96" i="1" s="1"/>
  <c r="H96" i="1"/>
  <c r="G96" i="1"/>
  <c r="J96" i="1" s="1"/>
  <c r="F96" i="1"/>
  <c r="I96" i="1" s="1"/>
  <c r="C96" i="1"/>
  <c r="T95" i="1"/>
  <c r="O95" i="1"/>
  <c r="V95" i="1" s="1"/>
  <c r="H95" i="1"/>
  <c r="G95" i="1"/>
  <c r="J95" i="1" s="1"/>
  <c r="F95" i="1"/>
  <c r="I95" i="1" s="1"/>
  <c r="C95" i="1"/>
  <c r="T94" i="1"/>
  <c r="O94" i="1"/>
  <c r="V94" i="1" s="1"/>
  <c r="H94" i="1"/>
  <c r="G94" i="1"/>
  <c r="J94" i="1" s="1"/>
  <c r="F94" i="1"/>
  <c r="I94" i="1" s="1"/>
  <c r="C94" i="1"/>
  <c r="T93" i="1"/>
  <c r="O93" i="1"/>
  <c r="V93" i="1" s="1"/>
  <c r="H93" i="1"/>
  <c r="G93" i="1"/>
  <c r="J93" i="1" s="1"/>
  <c r="F93" i="1"/>
  <c r="I93" i="1" s="1"/>
  <c r="C93" i="1"/>
  <c r="T92" i="1"/>
  <c r="O92" i="1"/>
  <c r="V92" i="1" s="1"/>
  <c r="H92" i="1"/>
  <c r="G92" i="1"/>
  <c r="J92" i="1" s="1"/>
  <c r="F92" i="1"/>
  <c r="I92" i="1" s="1"/>
  <c r="C92" i="1"/>
  <c r="T91" i="1"/>
  <c r="O91" i="1"/>
  <c r="Q91" i="1" s="1"/>
  <c r="R91" i="1" s="1"/>
  <c r="H91" i="1"/>
  <c r="G91" i="1"/>
  <c r="J91" i="1" s="1"/>
  <c r="F91" i="1"/>
  <c r="I91" i="1" s="1"/>
  <c r="C91" i="1"/>
  <c r="T90" i="1"/>
  <c r="O90" i="1"/>
  <c r="V90" i="1" s="1"/>
  <c r="H90" i="1"/>
  <c r="G90" i="1"/>
  <c r="J90" i="1" s="1"/>
  <c r="F90" i="1"/>
  <c r="I90" i="1" s="1"/>
  <c r="C90" i="1"/>
  <c r="T89" i="1"/>
  <c r="O89" i="1"/>
  <c r="Q89" i="1" s="1"/>
  <c r="R89" i="1" s="1"/>
  <c r="H89" i="1"/>
  <c r="G89" i="1"/>
  <c r="J89" i="1" s="1"/>
  <c r="F89" i="1"/>
  <c r="I89" i="1" s="1"/>
  <c r="C89" i="1"/>
  <c r="T88" i="1"/>
  <c r="O88" i="1"/>
  <c r="V88" i="1" s="1"/>
  <c r="H88" i="1"/>
  <c r="G88" i="1"/>
  <c r="J88" i="1" s="1"/>
  <c r="F88" i="1"/>
  <c r="I88" i="1" s="1"/>
  <c r="C88" i="1"/>
  <c r="T87" i="1"/>
  <c r="O87" i="1"/>
  <c r="V87" i="1" s="1"/>
  <c r="H87" i="1"/>
  <c r="G87" i="1"/>
  <c r="J87" i="1" s="1"/>
  <c r="F87" i="1"/>
  <c r="I87" i="1" s="1"/>
  <c r="C87" i="1"/>
  <c r="T86" i="1"/>
  <c r="O86" i="1"/>
  <c r="Q86" i="1" s="1"/>
  <c r="R86" i="1" s="1"/>
  <c r="H86" i="1"/>
  <c r="G86" i="1"/>
  <c r="J86" i="1" s="1"/>
  <c r="F86" i="1"/>
  <c r="I86" i="1" s="1"/>
  <c r="C86" i="1"/>
  <c r="T85" i="1"/>
  <c r="O85" i="1"/>
  <c r="V85" i="1" s="1"/>
  <c r="H85" i="1"/>
  <c r="G85" i="1"/>
  <c r="J85" i="1" s="1"/>
  <c r="F85" i="1"/>
  <c r="I85" i="1" s="1"/>
  <c r="C85" i="1"/>
  <c r="T84" i="1"/>
  <c r="O84" i="1"/>
  <c r="V84" i="1" s="1"/>
  <c r="H84" i="1"/>
  <c r="G84" i="1"/>
  <c r="J84" i="1" s="1"/>
  <c r="F84" i="1"/>
  <c r="I84" i="1" s="1"/>
  <c r="C84" i="1"/>
  <c r="T83" i="1"/>
  <c r="O83" i="1"/>
  <c r="V83" i="1" s="1"/>
  <c r="H83" i="1"/>
  <c r="G83" i="1"/>
  <c r="J83" i="1" s="1"/>
  <c r="F83" i="1"/>
  <c r="I83" i="1" s="1"/>
  <c r="C83" i="1"/>
  <c r="T82" i="1"/>
  <c r="O82" i="1"/>
  <c r="V82" i="1" s="1"/>
  <c r="H82" i="1"/>
  <c r="G82" i="1"/>
  <c r="J82" i="1" s="1"/>
  <c r="F82" i="1"/>
  <c r="I82" i="1" s="1"/>
  <c r="C82" i="1"/>
  <c r="T81" i="1"/>
  <c r="O81" i="1"/>
  <c r="Q81" i="1" s="1"/>
  <c r="R81" i="1" s="1"/>
  <c r="H81" i="1"/>
  <c r="G81" i="1"/>
  <c r="J81" i="1" s="1"/>
  <c r="F81" i="1"/>
  <c r="I81" i="1" s="1"/>
  <c r="C81" i="1"/>
  <c r="T80" i="1"/>
  <c r="O80" i="1"/>
  <c r="V80" i="1" s="1"/>
  <c r="H80" i="1"/>
  <c r="G80" i="1"/>
  <c r="J80" i="1" s="1"/>
  <c r="F80" i="1"/>
  <c r="I80" i="1" s="1"/>
  <c r="C80" i="1"/>
  <c r="T79" i="1"/>
  <c r="O79" i="1"/>
  <c r="V79" i="1" s="1"/>
  <c r="H79" i="1"/>
  <c r="G79" i="1"/>
  <c r="J79" i="1" s="1"/>
  <c r="F79" i="1"/>
  <c r="I79" i="1" s="1"/>
  <c r="C79" i="1"/>
  <c r="T78" i="1"/>
  <c r="O78" i="1"/>
  <c r="V78" i="1" s="1"/>
  <c r="H78" i="1"/>
  <c r="G78" i="1"/>
  <c r="J78" i="1" s="1"/>
  <c r="F78" i="1"/>
  <c r="I78" i="1" s="1"/>
  <c r="C78" i="1"/>
  <c r="T77" i="1"/>
  <c r="O77" i="1"/>
  <c r="V77" i="1" s="1"/>
  <c r="H77" i="1"/>
  <c r="G77" i="1"/>
  <c r="J77" i="1" s="1"/>
  <c r="F77" i="1"/>
  <c r="I77" i="1" s="1"/>
  <c r="C77" i="1"/>
  <c r="T76" i="1"/>
  <c r="O76" i="1"/>
  <c r="Q76" i="1" s="1"/>
  <c r="R76" i="1" s="1"/>
  <c r="H76" i="1"/>
  <c r="G76" i="1"/>
  <c r="J76" i="1" s="1"/>
  <c r="F76" i="1"/>
  <c r="I76" i="1" s="1"/>
  <c r="C76" i="1"/>
  <c r="T75" i="1"/>
  <c r="O75" i="1"/>
  <c r="V75" i="1" s="1"/>
  <c r="H75" i="1"/>
  <c r="G75" i="1"/>
  <c r="J75" i="1" s="1"/>
  <c r="F75" i="1"/>
  <c r="I75" i="1" s="1"/>
  <c r="C75" i="1"/>
  <c r="T74" i="1"/>
  <c r="O74" i="1"/>
  <c r="V74" i="1" s="1"/>
  <c r="H74" i="1"/>
  <c r="G74" i="1"/>
  <c r="J74" i="1" s="1"/>
  <c r="F74" i="1"/>
  <c r="I74" i="1" s="1"/>
  <c r="C74" i="1"/>
  <c r="T73" i="1"/>
  <c r="O73" i="1"/>
  <c r="V73" i="1" s="1"/>
  <c r="H73" i="1"/>
  <c r="G73" i="1"/>
  <c r="J73" i="1" s="1"/>
  <c r="F73" i="1"/>
  <c r="I73" i="1" s="1"/>
  <c r="C73" i="1"/>
  <c r="T72" i="1"/>
  <c r="O72" i="1"/>
  <c r="V72" i="1" s="1"/>
  <c r="H72" i="1"/>
  <c r="G72" i="1"/>
  <c r="J72" i="1" s="1"/>
  <c r="F72" i="1"/>
  <c r="I72" i="1" s="1"/>
  <c r="C72" i="1"/>
  <c r="T71" i="1"/>
  <c r="O71" i="1"/>
  <c r="Q71" i="1" s="1"/>
  <c r="R71" i="1" s="1"/>
  <c r="H71" i="1"/>
  <c r="G71" i="1"/>
  <c r="J71" i="1" s="1"/>
  <c r="F71" i="1"/>
  <c r="I71" i="1" s="1"/>
  <c r="C71" i="1"/>
  <c r="T70" i="1"/>
  <c r="O70" i="1"/>
  <c r="V70" i="1" s="1"/>
  <c r="H70" i="1"/>
  <c r="G70" i="1"/>
  <c r="J70" i="1" s="1"/>
  <c r="F70" i="1"/>
  <c r="I70" i="1" s="1"/>
  <c r="C70" i="1"/>
  <c r="T69" i="1"/>
  <c r="O69" i="1"/>
  <c r="Q69" i="1" s="1"/>
  <c r="R69" i="1" s="1"/>
  <c r="H69" i="1"/>
  <c r="G69" i="1"/>
  <c r="J69" i="1" s="1"/>
  <c r="F69" i="1"/>
  <c r="I69" i="1" s="1"/>
  <c r="C69" i="1"/>
  <c r="T68" i="1"/>
  <c r="O68" i="1"/>
  <c r="V68" i="1" s="1"/>
  <c r="H68" i="1"/>
  <c r="G68" i="1"/>
  <c r="J68" i="1" s="1"/>
  <c r="F68" i="1"/>
  <c r="I68" i="1" s="1"/>
  <c r="C68" i="1"/>
  <c r="T67" i="1"/>
  <c r="O67" i="1"/>
  <c r="V67" i="1" s="1"/>
  <c r="H67" i="1"/>
  <c r="G67" i="1"/>
  <c r="J67" i="1" s="1"/>
  <c r="F67" i="1"/>
  <c r="I67" i="1" s="1"/>
  <c r="C67" i="1"/>
  <c r="T66" i="1"/>
  <c r="O66" i="1"/>
  <c r="Q66" i="1" s="1"/>
  <c r="R66" i="1" s="1"/>
  <c r="H66" i="1"/>
  <c r="G66" i="1"/>
  <c r="J66" i="1" s="1"/>
  <c r="F66" i="1"/>
  <c r="I66" i="1" s="1"/>
  <c r="C66" i="1"/>
  <c r="T65" i="1"/>
  <c r="O65" i="1"/>
  <c r="V65" i="1" s="1"/>
  <c r="H65" i="1"/>
  <c r="G65" i="1"/>
  <c r="J65" i="1" s="1"/>
  <c r="F65" i="1"/>
  <c r="I65" i="1" s="1"/>
  <c r="C65" i="1"/>
  <c r="T64" i="1"/>
  <c r="O64" i="1"/>
  <c r="Q64" i="1" s="1"/>
  <c r="H64" i="1"/>
  <c r="G64" i="1"/>
  <c r="J64" i="1" s="1"/>
  <c r="F64" i="1"/>
  <c r="I64" i="1" s="1"/>
  <c r="C64" i="1"/>
  <c r="T63" i="1"/>
  <c r="O63" i="1"/>
  <c r="V63" i="1" s="1"/>
  <c r="H63" i="1"/>
  <c r="G63" i="1"/>
  <c r="J63" i="1" s="1"/>
  <c r="F63" i="1"/>
  <c r="I63" i="1" s="1"/>
  <c r="C63" i="1"/>
  <c r="T62" i="1"/>
  <c r="O62" i="1"/>
  <c r="V62" i="1" s="1"/>
  <c r="H62" i="1"/>
  <c r="G62" i="1"/>
  <c r="J62" i="1" s="1"/>
  <c r="F62" i="1"/>
  <c r="I62" i="1" s="1"/>
  <c r="C62" i="1"/>
  <c r="T61" i="1"/>
  <c r="O61" i="1"/>
  <c r="Q61" i="1" s="1"/>
  <c r="R61" i="1" s="1"/>
  <c r="H61" i="1"/>
  <c r="G61" i="1"/>
  <c r="J61" i="1" s="1"/>
  <c r="F61" i="1"/>
  <c r="I61" i="1" s="1"/>
  <c r="C61" i="1"/>
  <c r="T60" i="1"/>
  <c r="O60" i="1"/>
  <c r="V60" i="1" s="1"/>
  <c r="H60" i="1"/>
  <c r="G60" i="1"/>
  <c r="J60" i="1" s="1"/>
  <c r="F60" i="1"/>
  <c r="I60" i="1" s="1"/>
  <c r="C60" i="1"/>
  <c r="T59" i="1"/>
  <c r="O59" i="1"/>
  <c r="Q59" i="1" s="1"/>
  <c r="H59" i="1"/>
  <c r="G59" i="1"/>
  <c r="J59" i="1" s="1"/>
  <c r="F59" i="1"/>
  <c r="I59" i="1" s="1"/>
  <c r="C59" i="1"/>
  <c r="T58" i="1"/>
  <c r="O58" i="1"/>
  <c r="V58" i="1" s="1"/>
  <c r="H58" i="1"/>
  <c r="G58" i="1"/>
  <c r="J58" i="1" s="1"/>
  <c r="F58" i="1"/>
  <c r="I58" i="1" s="1"/>
  <c r="C58" i="1"/>
  <c r="T57" i="1"/>
  <c r="O57" i="1"/>
  <c r="V57" i="1" s="1"/>
  <c r="H57" i="1"/>
  <c r="G57" i="1"/>
  <c r="J57" i="1" s="1"/>
  <c r="F57" i="1"/>
  <c r="I57" i="1" s="1"/>
  <c r="C57" i="1"/>
  <c r="T56" i="1"/>
  <c r="O56" i="1"/>
  <c r="H56" i="1"/>
  <c r="G56" i="1"/>
  <c r="J56" i="1" s="1"/>
  <c r="F56" i="1"/>
  <c r="I56" i="1" s="1"/>
  <c r="C56" i="1"/>
  <c r="T55" i="1"/>
  <c r="O55" i="1"/>
  <c r="V55" i="1" s="1"/>
  <c r="H55" i="1"/>
  <c r="G55" i="1"/>
  <c r="J55" i="1" s="1"/>
  <c r="F55" i="1"/>
  <c r="I55" i="1" s="1"/>
  <c r="C55" i="1"/>
  <c r="T54" i="1"/>
  <c r="O54" i="1"/>
  <c r="Q54" i="1" s="1"/>
  <c r="H54" i="1"/>
  <c r="G54" i="1"/>
  <c r="J54" i="1" s="1"/>
  <c r="F54" i="1"/>
  <c r="I54" i="1" s="1"/>
  <c r="C54" i="1"/>
  <c r="T53" i="1"/>
  <c r="O53" i="1"/>
  <c r="V53" i="1" s="1"/>
  <c r="H53" i="1"/>
  <c r="G53" i="1"/>
  <c r="J53" i="1" s="1"/>
  <c r="F53" i="1"/>
  <c r="I53" i="1" s="1"/>
  <c r="C53" i="1"/>
  <c r="T52" i="1"/>
  <c r="O52" i="1"/>
  <c r="V52" i="1" s="1"/>
  <c r="H52" i="1"/>
  <c r="G52" i="1"/>
  <c r="J52" i="1" s="1"/>
  <c r="F52" i="1"/>
  <c r="I52" i="1" s="1"/>
  <c r="C52" i="1"/>
  <c r="T51" i="1"/>
  <c r="O51" i="1"/>
  <c r="H51" i="1"/>
  <c r="G51" i="1"/>
  <c r="J51" i="1" s="1"/>
  <c r="F51" i="1"/>
  <c r="I51" i="1" s="1"/>
  <c r="C51" i="1"/>
  <c r="T50" i="1"/>
  <c r="O50" i="1"/>
  <c r="V50" i="1" s="1"/>
  <c r="H50" i="1"/>
  <c r="G50" i="1"/>
  <c r="J50" i="1" s="1"/>
  <c r="F50" i="1"/>
  <c r="I50" i="1" s="1"/>
  <c r="C50" i="1"/>
  <c r="T49" i="1"/>
  <c r="O49" i="1"/>
  <c r="Q49" i="1" s="1"/>
  <c r="H49" i="1"/>
  <c r="G49" i="1"/>
  <c r="J49" i="1" s="1"/>
  <c r="F49" i="1"/>
  <c r="I49" i="1" s="1"/>
  <c r="C49" i="1"/>
  <c r="T48" i="1"/>
  <c r="O48" i="1"/>
  <c r="V48" i="1" s="1"/>
  <c r="H48" i="1"/>
  <c r="G48" i="1"/>
  <c r="J48" i="1" s="1"/>
  <c r="F48" i="1"/>
  <c r="I48" i="1" s="1"/>
  <c r="C48" i="1"/>
  <c r="T47" i="1"/>
  <c r="O47" i="1"/>
  <c r="V47" i="1" s="1"/>
  <c r="H47" i="1"/>
  <c r="G47" i="1"/>
  <c r="J47" i="1" s="1"/>
  <c r="F47" i="1"/>
  <c r="I47" i="1" s="1"/>
  <c r="C47" i="1"/>
  <c r="T46" i="1"/>
  <c r="O46" i="1"/>
  <c r="U46" i="1" s="1"/>
  <c r="H46" i="1"/>
  <c r="G46" i="1"/>
  <c r="J46" i="1" s="1"/>
  <c r="F46" i="1"/>
  <c r="I46" i="1" s="1"/>
  <c r="C46" i="1"/>
  <c r="T45" i="1"/>
  <c r="O45" i="1"/>
  <c r="V45" i="1" s="1"/>
  <c r="H45" i="1"/>
  <c r="G45" i="1"/>
  <c r="J45" i="1" s="1"/>
  <c r="F45" i="1"/>
  <c r="I45" i="1" s="1"/>
  <c r="C45" i="1"/>
  <c r="T44" i="1"/>
  <c r="O44" i="1"/>
  <c r="Q44" i="1" s="1"/>
  <c r="H44" i="1"/>
  <c r="G44" i="1"/>
  <c r="J44" i="1" s="1"/>
  <c r="F44" i="1"/>
  <c r="I44" i="1" s="1"/>
  <c r="C44" i="1"/>
  <c r="T43" i="1"/>
  <c r="O43" i="1"/>
  <c r="V43" i="1" s="1"/>
  <c r="H43" i="1"/>
  <c r="G43" i="1"/>
  <c r="J43" i="1" s="1"/>
  <c r="F43" i="1"/>
  <c r="I43" i="1" s="1"/>
  <c r="C43" i="1"/>
  <c r="T42" i="1"/>
  <c r="O42" i="1"/>
  <c r="V42" i="1" s="1"/>
  <c r="H42" i="1"/>
  <c r="G42" i="1"/>
  <c r="J42" i="1" s="1"/>
  <c r="F42" i="1"/>
  <c r="I42" i="1" s="1"/>
  <c r="C42" i="1"/>
  <c r="T41" i="1"/>
  <c r="O41" i="1"/>
  <c r="H41" i="1"/>
  <c r="G41" i="1"/>
  <c r="J41" i="1" s="1"/>
  <c r="F41" i="1"/>
  <c r="I41" i="1" s="1"/>
  <c r="C41" i="1"/>
  <c r="T40" i="1"/>
  <c r="O40" i="1"/>
  <c r="V40" i="1" s="1"/>
  <c r="H40" i="1"/>
  <c r="G40" i="1"/>
  <c r="J40" i="1" s="1"/>
  <c r="F40" i="1"/>
  <c r="I40" i="1" s="1"/>
  <c r="C40" i="1"/>
  <c r="T39" i="1"/>
  <c r="O39" i="1"/>
  <c r="Q39" i="1" s="1"/>
  <c r="H39" i="1"/>
  <c r="G39" i="1"/>
  <c r="J39" i="1" s="1"/>
  <c r="F39" i="1"/>
  <c r="I39" i="1" s="1"/>
  <c r="C39" i="1"/>
  <c r="T38" i="1"/>
  <c r="O38" i="1"/>
  <c r="V38" i="1" s="1"/>
  <c r="H38" i="1"/>
  <c r="G38" i="1"/>
  <c r="J38" i="1" s="1"/>
  <c r="F38" i="1"/>
  <c r="I38" i="1" s="1"/>
  <c r="C38" i="1"/>
  <c r="T37" i="1"/>
  <c r="O37" i="1"/>
  <c r="V37" i="1" s="1"/>
  <c r="H37" i="1"/>
  <c r="G37" i="1"/>
  <c r="J37" i="1" s="1"/>
  <c r="F37" i="1"/>
  <c r="I37" i="1" s="1"/>
  <c r="C37" i="1"/>
  <c r="T36" i="1"/>
  <c r="O36" i="1"/>
  <c r="H36" i="1"/>
  <c r="G36" i="1"/>
  <c r="J36" i="1" s="1"/>
  <c r="F36" i="1"/>
  <c r="I36" i="1" s="1"/>
  <c r="C36" i="1"/>
  <c r="T35" i="1"/>
  <c r="O35" i="1"/>
  <c r="V35" i="1" s="1"/>
  <c r="H35" i="1"/>
  <c r="G35" i="1"/>
  <c r="J35" i="1" s="1"/>
  <c r="F35" i="1"/>
  <c r="I35" i="1" s="1"/>
  <c r="C35" i="1"/>
  <c r="T34" i="1"/>
  <c r="O34" i="1"/>
  <c r="Q34" i="1" s="1"/>
  <c r="H34" i="1"/>
  <c r="G34" i="1"/>
  <c r="J34" i="1" s="1"/>
  <c r="F34" i="1"/>
  <c r="I34" i="1" s="1"/>
  <c r="C34" i="1"/>
  <c r="T33" i="1"/>
  <c r="O33" i="1"/>
  <c r="V33" i="1" s="1"/>
  <c r="H33" i="1"/>
  <c r="G33" i="1"/>
  <c r="J33" i="1" s="1"/>
  <c r="F33" i="1"/>
  <c r="I33" i="1" s="1"/>
  <c r="C33" i="1"/>
  <c r="T32" i="1"/>
  <c r="O32" i="1"/>
  <c r="V32" i="1" s="1"/>
  <c r="H32" i="1"/>
  <c r="G32" i="1"/>
  <c r="J32" i="1" s="1"/>
  <c r="F32" i="1"/>
  <c r="I32" i="1" s="1"/>
  <c r="C32" i="1"/>
  <c r="T31" i="1"/>
  <c r="O31" i="1"/>
  <c r="H31" i="1"/>
  <c r="G31" i="1"/>
  <c r="J31" i="1" s="1"/>
  <c r="F31" i="1"/>
  <c r="I31" i="1" s="1"/>
  <c r="C31" i="1"/>
  <c r="T30" i="1"/>
  <c r="O30" i="1"/>
  <c r="V30" i="1" s="1"/>
  <c r="H30" i="1"/>
  <c r="G30" i="1"/>
  <c r="J30" i="1" s="1"/>
  <c r="F30" i="1"/>
  <c r="I30" i="1" s="1"/>
  <c r="C30" i="1"/>
  <c r="T29" i="1"/>
  <c r="O29" i="1"/>
  <c r="Q29" i="1" s="1"/>
  <c r="R29" i="1" s="1"/>
  <c r="H29" i="1"/>
  <c r="G29" i="1"/>
  <c r="J29" i="1" s="1"/>
  <c r="F29" i="1"/>
  <c r="I29" i="1" s="1"/>
  <c r="C29" i="1"/>
  <c r="T28" i="1"/>
  <c r="O28" i="1"/>
  <c r="V28" i="1" s="1"/>
  <c r="H28" i="1"/>
  <c r="G28" i="1"/>
  <c r="J28" i="1" s="1"/>
  <c r="F28" i="1"/>
  <c r="I28" i="1" s="1"/>
  <c r="C28" i="1"/>
  <c r="T27" i="1"/>
  <c r="O27" i="1"/>
  <c r="V27" i="1" s="1"/>
  <c r="H27" i="1"/>
  <c r="G27" i="1"/>
  <c r="J27" i="1" s="1"/>
  <c r="F27" i="1"/>
  <c r="I27" i="1" s="1"/>
  <c r="C27" i="1"/>
  <c r="T26" i="1"/>
  <c r="O26" i="1"/>
  <c r="H26" i="1"/>
  <c r="G26" i="1"/>
  <c r="J26" i="1" s="1"/>
  <c r="F26" i="1"/>
  <c r="I26" i="1" s="1"/>
  <c r="C26" i="1"/>
  <c r="T25" i="1"/>
  <c r="O25" i="1"/>
  <c r="V25" i="1" s="1"/>
  <c r="H25" i="1"/>
  <c r="G25" i="1"/>
  <c r="J25" i="1" s="1"/>
  <c r="F25" i="1"/>
  <c r="I25" i="1" s="1"/>
  <c r="C25" i="1"/>
  <c r="T24" i="1"/>
  <c r="O24" i="1"/>
  <c r="Q24" i="1" s="1"/>
  <c r="R24" i="1" s="1"/>
  <c r="H24" i="1"/>
  <c r="G24" i="1"/>
  <c r="J24" i="1" s="1"/>
  <c r="F24" i="1"/>
  <c r="I24" i="1" s="1"/>
  <c r="C24" i="1"/>
  <c r="T23" i="1"/>
  <c r="O23" i="1"/>
  <c r="V23" i="1" s="1"/>
  <c r="H23" i="1"/>
  <c r="G23" i="1"/>
  <c r="J23" i="1" s="1"/>
  <c r="F23" i="1"/>
  <c r="I23" i="1" s="1"/>
  <c r="C23" i="1"/>
  <c r="T22" i="1"/>
  <c r="O22" i="1"/>
  <c r="V22" i="1" s="1"/>
  <c r="H22" i="1"/>
  <c r="G22" i="1"/>
  <c r="J22" i="1" s="1"/>
  <c r="F22" i="1"/>
  <c r="I22" i="1" s="1"/>
  <c r="C22" i="1"/>
  <c r="T21" i="1"/>
  <c r="O21" i="1"/>
  <c r="H21" i="1"/>
  <c r="G21" i="1"/>
  <c r="J21" i="1" s="1"/>
  <c r="F21" i="1"/>
  <c r="I21" i="1" s="1"/>
  <c r="C21" i="1"/>
  <c r="T20" i="1"/>
  <c r="O20" i="1"/>
  <c r="V20" i="1" s="1"/>
  <c r="H20" i="1"/>
  <c r="G20" i="1"/>
  <c r="J20" i="1" s="1"/>
  <c r="F20" i="1"/>
  <c r="I20" i="1" s="1"/>
  <c r="C20" i="1"/>
  <c r="T19" i="1"/>
  <c r="O19" i="1"/>
  <c r="Q19" i="1" s="1"/>
  <c r="R19" i="1" s="1"/>
  <c r="H19" i="1"/>
  <c r="G19" i="1"/>
  <c r="J19" i="1" s="1"/>
  <c r="F19" i="1"/>
  <c r="I19" i="1" s="1"/>
  <c r="C19" i="1"/>
  <c r="T18" i="1"/>
  <c r="O18" i="1"/>
  <c r="V18" i="1" s="1"/>
  <c r="H18" i="1"/>
  <c r="G18" i="1"/>
  <c r="J18" i="1" s="1"/>
  <c r="F18" i="1"/>
  <c r="I18" i="1" s="1"/>
  <c r="C18" i="1"/>
  <c r="T17" i="1"/>
  <c r="O17" i="1"/>
  <c r="V17" i="1" s="1"/>
  <c r="H17" i="1"/>
  <c r="G17" i="1"/>
  <c r="J17" i="1" s="1"/>
  <c r="F17" i="1"/>
  <c r="I17" i="1" s="1"/>
  <c r="C17" i="1"/>
  <c r="T16" i="1"/>
  <c r="O16" i="1"/>
  <c r="H16" i="1"/>
  <c r="G16" i="1"/>
  <c r="J16" i="1" s="1"/>
  <c r="F16" i="1"/>
  <c r="I16" i="1" s="1"/>
  <c r="C16" i="1"/>
  <c r="T15" i="1"/>
  <c r="O15" i="1"/>
  <c r="V15" i="1" s="1"/>
  <c r="H15" i="1"/>
  <c r="G15" i="1"/>
  <c r="J15" i="1" s="1"/>
  <c r="F15" i="1"/>
  <c r="I15" i="1" s="1"/>
  <c r="C15" i="1"/>
  <c r="U103" i="1" l="1"/>
  <c r="Q99" i="1"/>
  <c r="R99" i="1" s="1"/>
  <c r="U102" i="1"/>
  <c r="U99" i="1"/>
  <c r="U28" i="1"/>
  <c r="U65" i="1"/>
  <c r="U60" i="1"/>
  <c r="U70" i="1"/>
  <c r="Q77" i="1"/>
  <c r="R77" i="1" s="1"/>
  <c r="U32" i="1"/>
  <c r="U77" i="1"/>
  <c r="U101" i="1"/>
  <c r="U37" i="1"/>
  <c r="U23" i="1"/>
  <c r="U16" i="1"/>
  <c r="U55" i="1"/>
  <c r="U62" i="1"/>
  <c r="U72" i="1"/>
  <c r="U87" i="1"/>
  <c r="Q102" i="1"/>
  <c r="R102" i="1" s="1"/>
  <c r="U22" i="1"/>
  <c r="U42" i="1"/>
  <c r="U86" i="1"/>
  <c r="U57" i="1"/>
  <c r="U67" i="1"/>
  <c r="U80" i="1"/>
  <c r="Q87" i="1"/>
  <c r="R87" i="1" s="1"/>
  <c r="U91" i="1"/>
  <c r="U95" i="1"/>
  <c r="U36" i="1"/>
  <c r="U47" i="1"/>
  <c r="V89" i="1"/>
  <c r="W89" i="1" s="1"/>
  <c r="U15" i="1"/>
  <c r="U20" i="1"/>
  <c r="U56" i="1"/>
  <c r="U76" i="1"/>
  <c r="U25" i="1"/>
  <c r="U96" i="1"/>
  <c r="U18" i="1"/>
  <c r="U35" i="1"/>
  <c r="U40" i="1"/>
  <c r="U17" i="1"/>
  <c r="U34" i="1"/>
  <c r="U45" i="1"/>
  <c r="U50" i="1"/>
  <c r="Q74" i="1"/>
  <c r="R74" i="1" s="1"/>
  <c r="U75" i="1"/>
  <c r="U30" i="1"/>
  <c r="U74" i="1"/>
  <c r="U27" i="1"/>
  <c r="Q84" i="1"/>
  <c r="R84" i="1" s="1"/>
  <c r="W99" i="1"/>
  <c r="U100" i="1"/>
  <c r="U52" i="1"/>
  <c r="U26" i="1"/>
  <c r="V69" i="1"/>
  <c r="W69" i="1" s="1"/>
  <c r="U84" i="1"/>
  <c r="U90" i="1"/>
  <c r="U89" i="1"/>
  <c r="U21" i="1"/>
  <c r="U31" i="1"/>
  <c r="U41" i="1"/>
  <c r="U51" i="1"/>
  <c r="U92" i="1"/>
  <c r="U61" i="1"/>
  <c r="Q72" i="1"/>
  <c r="R72" i="1" s="1"/>
  <c r="W87" i="1"/>
  <c r="Q90" i="1"/>
  <c r="R90" i="1" s="1"/>
  <c r="Q100" i="1"/>
  <c r="R100" i="1" s="1"/>
  <c r="U39" i="1"/>
  <c r="U49" i="1"/>
  <c r="U59" i="1"/>
  <c r="U71" i="1"/>
  <c r="Q17" i="1"/>
  <c r="R17" i="1" s="1"/>
  <c r="U19" i="1"/>
  <c r="Q27" i="1"/>
  <c r="R27" i="1" s="1"/>
  <c r="U29" i="1"/>
  <c r="Q37" i="1"/>
  <c r="R37" i="1" s="1"/>
  <c r="V39" i="1"/>
  <c r="W39" i="1" s="1"/>
  <c r="Q47" i="1"/>
  <c r="R47" i="1" s="1"/>
  <c r="V49" i="1"/>
  <c r="W49" i="1" s="1"/>
  <c r="Q57" i="1"/>
  <c r="R57" i="1" s="1"/>
  <c r="V59" i="1"/>
  <c r="Q67" i="1"/>
  <c r="R67" i="1" s="1"/>
  <c r="U69" i="1"/>
  <c r="Q97" i="1"/>
  <c r="R97" i="1" s="1"/>
  <c r="U98" i="1"/>
  <c r="U97" i="1"/>
  <c r="Q79" i="1"/>
  <c r="R79" i="1" s="1"/>
  <c r="Q82" i="1"/>
  <c r="R82" i="1" s="1"/>
  <c r="Q94" i="1"/>
  <c r="R94" i="1" s="1"/>
  <c r="Q95" i="1"/>
  <c r="R95" i="1" s="1"/>
  <c r="U66" i="1"/>
  <c r="Q85" i="1"/>
  <c r="R85" i="1" s="1"/>
  <c r="U44" i="1"/>
  <c r="U54" i="1"/>
  <c r="U64" i="1"/>
  <c r="U79" i="1"/>
  <c r="U82" i="1"/>
  <c r="U85" i="1"/>
  <c r="U94" i="1"/>
  <c r="Q22" i="1"/>
  <c r="R22" i="1" s="1"/>
  <c r="U24" i="1"/>
  <c r="Q32" i="1"/>
  <c r="R32" i="1" s="1"/>
  <c r="V34" i="1"/>
  <c r="W34" i="1" s="1"/>
  <c r="Q42" i="1"/>
  <c r="R42" i="1" s="1"/>
  <c r="V44" i="1"/>
  <c r="W44" i="1" s="1"/>
  <c r="Q52" i="1"/>
  <c r="R52" i="1" s="1"/>
  <c r="V54" i="1"/>
  <c r="W54" i="1" s="1"/>
  <c r="Q62" i="1"/>
  <c r="R62" i="1" s="1"/>
  <c r="V64" i="1"/>
  <c r="W64" i="1" s="1"/>
  <c r="Q80" i="1"/>
  <c r="R80" i="1" s="1"/>
  <c r="U81" i="1"/>
  <c r="Q92" i="1"/>
  <c r="R92" i="1" s="1"/>
  <c r="U93" i="1"/>
  <c r="R39" i="1"/>
  <c r="R49" i="1"/>
  <c r="R59" i="1"/>
  <c r="W59" i="1"/>
  <c r="R34" i="1"/>
  <c r="R44" i="1"/>
  <c r="R54" i="1"/>
  <c r="R64" i="1"/>
  <c r="V21" i="1"/>
  <c r="V26" i="1"/>
  <c r="V31" i="1"/>
  <c r="V41" i="1"/>
  <c r="V46" i="1"/>
  <c r="V51" i="1"/>
  <c r="V56" i="1"/>
  <c r="V61" i="1"/>
  <c r="W61" i="1" s="1"/>
  <c r="V66" i="1"/>
  <c r="W66" i="1" s="1"/>
  <c r="V71" i="1"/>
  <c r="W71" i="1" s="1"/>
  <c r="V76" i="1"/>
  <c r="W76" i="1" s="1"/>
  <c r="V81" i="1"/>
  <c r="W81" i="1" s="1"/>
  <c r="V86" i="1"/>
  <c r="W86" i="1" s="1"/>
  <c r="V91" i="1"/>
  <c r="W91" i="1" s="1"/>
  <c r="V96" i="1"/>
  <c r="W96" i="1" s="1"/>
  <c r="V101" i="1"/>
  <c r="W101" i="1" s="1"/>
  <c r="V16" i="1"/>
  <c r="V36" i="1"/>
  <c r="Q15" i="1"/>
  <c r="R15" i="1" s="1"/>
  <c r="V19" i="1"/>
  <c r="W19" i="1" s="1"/>
  <c r="Q20" i="1"/>
  <c r="R20" i="1" s="1"/>
  <c r="V24" i="1"/>
  <c r="W24" i="1" s="1"/>
  <c r="Q25" i="1"/>
  <c r="R25" i="1" s="1"/>
  <c r="V29" i="1"/>
  <c r="W29" i="1" s="1"/>
  <c r="Q30" i="1"/>
  <c r="R30" i="1" s="1"/>
  <c r="Q35" i="1"/>
  <c r="R35" i="1" s="1"/>
  <c r="Q40" i="1"/>
  <c r="R40" i="1" s="1"/>
  <c r="Q45" i="1"/>
  <c r="R45" i="1" s="1"/>
  <c r="Q50" i="1"/>
  <c r="R50" i="1" s="1"/>
  <c r="Q55" i="1"/>
  <c r="R55" i="1" s="1"/>
  <c r="Q60" i="1"/>
  <c r="R60" i="1" s="1"/>
  <c r="Q65" i="1"/>
  <c r="R65" i="1" s="1"/>
  <c r="Q70" i="1"/>
  <c r="R70" i="1" s="1"/>
  <c r="Q75" i="1"/>
  <c r="R75" i="1" s="1"/>
  <c r="Q18" i="1"/>
  <c r="R18" i="1" s="1"/>
  <c r="Q23" i="1"/>
  <c r="R23" i="1" s="1"/>
  <c r="Q28" i="1"/>
  <c r="R28" i="1" s="1"/>
  <c r="Q33" i="1"/>
  <c r="R33" i="1" s="1"/>
  <c r="Q38" i="1"/>
  <c r="R38" i="1" s="1"/>
  <c r="Q43" i="1"/>
  <c r="R43" i="1" s="1"/>
  <c r="Q48" i="1"/>
  <c r="R48" i="1" s="1"/>
  <c r="Q53" i="1"/>
  <c r="R53" i="1" s="1"/>
  <c r="Q58" i="1"/>
  <c r="R58" i="1" s="1"/>
  <c r="Q63" i="1"/>
  <c r="R63" i="1" s="1"/>
  <c r="Q68" i="1"/>
  <c r="R68" i="1" s="1"/>
  <c r="Q73" i="1"/>
  <c r="R73" i="1" s="1"/>
  <c r="Q78" i="1"/>
  <c r="R78" i="1" s="1"/>
  <c r="Q83" i="1"/>
  <c r="R83" i="1" s="1"/>
  <c r="Q88" i="1"/>
  <c r="R88" i="1" s="1"/>
  <c r="Q93" i="1"/>
  <c r="R93" i="1" s="1"/>
  <c r="Q98" i="1"/>
  <c r="R98" i="1" s="1"/>
  <c r="Q103" i="1"/>
  <c r="R103" i="1" s="1"/>
  <c r="Q16" i="1"/>
  <c r="R16" i="1" s="1"/>
  <c r="Q21" i="1"/>
  <c r="R21" i="1" s="1"/>
  <c r="Q26" i="1"/>
  <c r="R26" i="1" s="1"/>
  <c r="Q31" i="1"/>
  <c r="R31" i="1" s="1"/>
  <c r="Q36" i="1"/>
  <c r="R36" i="1" s="1"/>
  <c r="Q41" i="1"/>
  <c r="R41" i="1" s="1"/>
  <c r="Q46" i="1"/>
  <c r="R46" i="1" s="1"/>
  <c r="Q51" i="1"/>
  <c r="R51" i="1" s="1"/>
  <c r="Q56" i="1"/>
  <c r="R56" i="1" s="1"/>
  <c r="U33" i="1"/>
  <c r="U38" i="1"/>
  <c r="U43" i="1"/>
  <c r="U48" i="1"/>
  <c r="U53" i="1"/>
  <c r="U58" i="1"/>
  <c r="U63" i="1"/>
  <c r="U68" i="1"/>
  <c r="U73" i="1"/>
  <c r="U78" i="1"/>
  <c r="U83" i="1"/>
  <c r="U88" i="1"/>
  <c r="W37" i="1" l="1"/>
  <c r="W72" i="1"/>
  <c r="W77" i="1"/>
  <c r="W52" i="1"/>
  <c r="W62" i="1"/>
  <c r="W102" i="1"/>
  <c r="W90" i="1"/>
  <c r="W42" i="1"/>
  <c r="W84" i="1"/>
  <c r="W47" i="1"/>
  <c r="W40" i="1"/>
  <c r="W74" i="1"/>
  <c r="W18" i="1"/>
  <c r="W22" i="1"/>
  <c r="W35" i="1"/>
  <c r="W63" i="1"/>
  <c r="W33" i="1"/>
  <c r="W80" i="1"/>
  <c r="W17" i="1"/>
  <c r="W67" i="1"/>
  <c r="W94" i="1"/>
  <c r="W31" i="1"/>
  <c r="W92" i="1"/>
  <c r="W97" i="1"/>
  <c r="W95" i="1"/>
  <c r="W78" i="1"/>
  <c r="W38" i="1"/>
  <c r="W30" i="1"/>
  <c r="W26" i="1"/>
  <c r="W21" i="1"/>
  <c r="W27" i="1"/>
  <c r="W82" i="1"/>
  <c r="W28" i="1"/>
  <c r="W32" i="1"/>
  <c r="W85" i="1"/>
  <c r="W57" i="1"/>
  <c r="W100" i="1"/>
  <c r="W79" i="1"/>
  <c r="W65" i="1"/>
  <c r="W98" i="1"/>
  <c r="W46" i="1"/>
  <c r="W103" i="1"/>
  <c r="W58" i="1"/>
  <c r="W50" i="1"/>
  <c r="W41" i="1"/>
  <c r="W93" i="1"/>
  <c r="W48" i="1"/>
  <c r="W36" i="1"/>
  <c r="W43" i="1"/>
  <c r="W83" i="1"/>
  <c r="W60" i="1"/>
  <c r="W20" i="1"/>
  <c r="W25" i="1"/>
  <c r="W55" i="1"/>
  <c r="W16" i="1"/>
  <c r="W56" i="1"/>
  <c r="W70" i="1"/>
  <c r="W75" i="1"/>
  <c r="W53" i="1"/>
  <c r="W15" i="1"/>
  <c r="W88" i="1"/>
  <c r="W51" i="1"/>
  <c r="W23" i="1"/>
  <c r="W45" i="1"/>
  <c r="W68" i="1"/>
  <c r="W73" i="1"/>
</calcChain>
</file>

<file path=xl/sharedStrings.xml><?xml version="1.0" encoding="utf-8"?>
<sst xmlns="http://schemas.openxmlformats.org/spreadsheetml/2006/main" count="844" uniqueCount="128">
  <si>
    <t>Trip Code</t>
  </si>
  <si>
    <t>Trip Date</t>
  </si>
  <si>
    <t>Customer Code</t>
  </si>
  <si>
    <t>Customer Name</t>
  </si>
  <si>
    <t>Driver Raw</t>
  </si>
  <si>
    <t>Driver 1</t>
  </si>
  <si>
    <t>Driver 2</t>
  </si>
  <si>
    <t>Driver 3</t>
  </si>
  <si>
    <t>Driver 1 Code</t>
  </si>
  <si>
    <t>Driver 2 Code</t>
  </si>
  <si>
    <t>Driver 3 Code</t>
  </si>
  <si>
    <t>Destination</t>
  </si>
  <si>
    <t>Quantity</t>
  </si>
  <si>
    <t>Rate</t>
  </si>
  <si>
    <t>Total Amount</t>
  </si>
  <si>
    <t>Received</t>
  </si>
  <si>
    <t>Balance</t>
  </si>
  <si>
    <t>Payment Status</t>
  </si>
  <si>
    <t>Notes</t>
  </si>
  <si>
    <t>Calculated Total</t>
  </si>
  <si>
    <t>Amount Check</t>
  </si>
  <si>
    <t>Calculated Balance</t>
  </si>
  <si>
    <t>Balance Check</t>
  </si>
  <si>
    <t>Vechile Type</t>
  </si>
  <si>
    <t>Material Type</t>
  </si>
  <si>
    <t>Toyota</t>
  </si>
  <si>
    <t>Anshu</t>
  </si>
  <si>
    <t>Morwa</t>
  </si>
  <si>
    <t>Halfton</t>
  </si>
  <si>
    <t>White Sand</t>
  </si>
  <si>
    <t>Shubham</t>
  </si>
  <si>
    <t>Vichoda</t>
  </si>
  <si>
    <t>Nacika Kaka</t>
  </si>
  <si>
    <t>Gaju Bhau</t>
  </si>
  <si>
    <t>Shubham Sakarkar</t>
  </si>
  <si>
    <t>Gurjit Saini</t>
  </si>
  <si>
    <t>Ravi</t>
  </si>
  <si>
    <t>Datada</t>
  </si>
  <si>
    <t>MIDC</t>
  </si>
  <si>
    <t>Sharma Chowk</t>
  </si>
  <si>
    <t xml:space="preserve">Pachare Stock </t>
  </si>
  <si>
    <t>Bobby Bhaiya</t>
  </si>
  <si>
    <t>Haveli Garden</t>
  </si>
  <si>
    <t>Sheshrao Zhilte</t>
  </si>
  <si>
    <t>Juni Padoli</t>
  </si>
  <si>
    <t>Saurabh Vidhate</t>
  </si>
  <si>
    <t>Ravi / Anshu</t>
  </si>
  <si>
    <t>Ghodpet</t>
  </si>
  <si>
    <t>Rundawan</t>
  </si>
  <si>
    <t>Tadali</t>
  </si>
  <si>
    <t>Padoli</t>
  </si>
  <si>
    <t>Jilte</t>
  </si>
  <si>
    <t>Sakarwahi</t>
  </si>
  <si>
    <t>Hanuman Mandir Lakhmapur</t>
  </si>
  <si>
    <t>Datta Nagar</t>
  </si>
  <si>
    <t>Ghodpet ( Samarth )</t>
  </si>
  <si>
    <t>Ghodpet ( Jani )</t>
  </si>
  <si>
    <t>Tadali ( Thekedar )</t>
  </si>
  <si>
    <t>Shegaon</t>
  </si>
  <si>
    <t>Ghodpet ( Thekedar )</t>
  </si>
  <si>
    <t>Tadali( Thekedar )</t>
  </si>
  <si>
    <t>Saurabh</t>
  </si>
  <si>
    <t>Tadali ( Aadbale )</t>
  </si>
  <si>
    <t>Guru</t>
  </si>
  <si>
    <t>Sachin K</t>
  </si>
  <si>
    <t>Rundawan  ( Rakad )</t>
  </si>
  <si>
    <t>Jagdish Yadav</t>
  </si>
  <si>
    <t>Salam Kalam</t>
  </si>
  <si>
    <t>Kosara ( Bharran )</t>
  </si>
  <si>
    <t>haveli Garden ( Arbaz )</t>
  </si>
  <si>
    <t>Tadali ( Topii Thekedar )</t>
  </si>
  <si>
    <t>Bappya Mama</t>
  </si>
  <si>
    <t>Lalita Sangarti</t>
  </si>
  <si>
    <t>Mada Colony</t>
  </si>
  <si>
    <t>Gaju  Bhau</t>
  </si>
  <si>
    <t>Mahendra Order</t>
  </si>
  <si>
    <t>Mental School</t>
  </si>
  <si>
    <t>Saivan</t>
  </si>
  <si>
    <t xml:space="preserve">Guru </t>
  </si>
  <si>
    <t>Atul Aatram</t>
  </si>
  <si>
    <t>Faizan Bhaiya</t>
  </si>
  <si>
    <t>Shri Talkies City</t>
  </si>
  <si>
    <t>Ghodpet ( Thekedar Takla )</t>
  </si>
  <si>
    <t>Tadali ( Deva )</t>
  </si>
  <si>
    <t>Sharif Mistri</t>
  </si>
  <si>
    <t>Naresh Kaka</t>
  </si>
  <si>
    <t xml:space="preserve">Suraj Sasra </t>
  </si>
  <si>
    <t>Chalbardi ( Ghodpet )</t>
  </si>
  <si>
    <t>Yerur</t>
  </si>
  <si>
    <t>Vivek Tankar</t>
  </si>
  <si>
    <t>Bawane</t>
  </si>
  <si>
    <t>Chalbardi</t>
  </si>
  <si>
    <t>Bimba Gate</t>
  </si>
  <si>
    <t>Sandeep</t>
  </si>
  <si>
    <t>Akash</t>
  </si>
  <si>
    <t>Yashwant Nagar ( Rakad )</t>
  </si>
  <si>
    <t>Santosh</t>
  </si>
  <si>
    <t>Ashish Nagpure</t>
  </si>
  <si>
    <t>Aalam Bhaiya</t>
  </si>
  <si>
    <t>Babupeth</t>
  </si>
  <si>
    <t>Mitra Nagar ( Lanchu )</t>
  </si>
  <si>
    <t>Bablu Bhaiya</t>
  </si>
  <si>
    <t>Dhanraj</t>
  </si>
  <si>
    <t>Manish Raykunde</t>
  </si>
  <si>
    <t xml:space="preserve">Naryana School </t>
  </si>
  <si>
    <t>Chal Bardi</t>
  </si>
  <si>
    <t>Khanda Nagri</t>
  </si>
  <si>
    <t>Satsang</t>
  </si>
  <si>
    <t>Aupadhya</t>
  </si>
  <si>
    <t>Bharan / Kosara</t>
  </si>
  <si>
    <t>T-Point</t>
  </si>
  <si>
    <t>Robby</t>
  </si>
  <si>
    <t xml:space="preserve">Tadali ( Rahul Dhaba ) </t>
  </si>
  <si>
    <t>Gormade</t>
  </si>
  <si>
    <t>SakarWahi</t>
  </si>
  <si>
    <t>Kosara</t>
  </si>
  <si>
    <t>Santkurpa Hotel</t>
  </si>
  <si>
    <t xml:space="preserve">Vehicle Number </t>
  </si>
  <si>
    <t>Payment Method</t>
  </si>
  <si>
    <t>Payment Date</t>
  </si>
  <si>
    <t>N/A</t>
  </si>
  <si>
    <t>Shubham Dada</t>
  </si>
  <si>
    <t>Lalit Nimkar</t>
  </si>
  <si>
    <t>Kiran</t>
  </si>
  <si>
    <t>Raj Owned</t>
  </si>
  <si>
    <t>Akshu</t>
  </si>
  <si>
    <t>Sanjay Wagade</t>
  </si>
  <si>
    <t>Jadish Morey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</si>
</sst>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&quot;₹&quot;\ #,##0.00"/>
    <numFmt numFmtId="166" formatCode="[$₹-4009]\ #,##0.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5" fontId="3" fillId="0" borderId="0" xfId="0" applyNumberFormat="1" applyFont="1"/>
    <xf numFmtId="166" fontId="3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3" fillId="0" borderId="0" xfId="1" applyFon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165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E09043CD-720A-D547-A69F-75BC4C382F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usiness%20Data%20Cleaned.xlsx" TargetMode="External"/><Relationship Id="rId2" Type="http://schemas.openxmlformats.org/officeDocument/2006/relationships/externalLinkPath" Target="/Users/sahilwaghmare/Desktop/Data%20Transfer%202024%20Raj%20Construction/Business%20Data%20Cleaned.xlsx" TargetMode="External"/><Relationship Id="rId1" Type="http://schemas.openxmlformats.org/officeDocument/2006/relationships/externalLinkPath" Target="/Users/sahilwaghmare/Desktop/Data%20Transfer%202024%20Raj%20Construction/Business%20Data%20Clean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o%20Driver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d%20Driver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 Customer Duplicate Hyva"/>
      <sheetName val="Sheet1"/>
      <sheetName val="Vechle master"/>
      <sheetName val="Payment Method Master"/>
      <sheetName val="Jan Labour Nd Drivers Hyva"/>
      <sheetName val="Sheet13"/>
    </sheetNames>
    <sheetDataSet>
      <sheetData sheetId="0">
        <row r="1">
          <cell r="A1" t="str">
            <v xml:space="preserve">Customer Code </v>
          </cell>
          <cell r="B1" t="str">
            <v>Customer Name</v>
          </cell>
        </row>
        <row r="2">
          <cell r="A2" t="str">
            <v>CUST-001</v>
          </cell>
          <cell r="B2" t="str">
            <v>Aakash</v>
          </cell>
        </row>
        <row r="3">
          <cell r="A3" t="str">
            <v>CUST-002</v>
          </cell>
          <cell r="B3" t="str">
            <v>Aalam Bhaiya</v>
          </cell>
        </row>
        <row r="4">
          <cell r="A4" t="str">
            <v>CUST-003</v>
          </cell>
          <cell r="B4" t="str">
            <v>Aanya</v>
          </cell>
        </row>
        <row r="5">
          <cell r="A5" t="str">
            <v>CUST-004</v>
          </cell>
          <cell r="B5" t="str">
            <v>Aaro Water Filter</v>
          </cell>
        </row>
        <row r="6">
          <cell r="A6" t="str">
            <v>CUST-005</v>
          </cell>
          <cell r="B6" t="str">
            <v>Aashay</v>
          </cell>
        </row>
        <row r="7">
          <cell r="A7" t="str">
            <v>CUST-006</v>
          </cell>
          <cell r="B7" t="str">
            <v>Aashish</v>
          </cell>
        </row>
        <row r="8">
          <cell r="A8" t="str">
            <v>CUST-007</v>
          </cell>
          <cell r="B8" t="str">
            <v>Aatram</v>
          </cell>
        </row>
        <row r="9">
          <cell r="A9" t="str">
            <v>CUST-008</v>
          </cell>
          <cell r="B9" t="str">
            <v>Aau</v>
          </cell>
        </row>
        <row r="10">
          <cell r="A10" t="str">
            <v>CUST-009</v>
          </cell>
          <cell r="B10" t="str">
            <v>Aawari</v>
          </cell>
        </row>
        <row r="11">
          <cell r="A11" t="str">
            <v>CUST-010</v>
          </cell>
          <cell r="B11" t="str">
            <v>Aawde</v>
          </cell>
        </row>
        <row r="12">
          <cell r="A12" t="str">
            <v>CUST-011</v>
          </cell>
          <cell r="B12" t="str">
            <v>Abhay Adgurwar</v>
          </cell>
        </row>
        <row r="13">
          <cell r="A13" t="str">
            <v>CUST-012</v>
          </cell>
          <cell r="B13" t="str">
            <v>Abhay Adgurwar ( Parmar )</v>
          </cell>
        </row>
        <row r="14">
          <cell r="A14" t="str">
            <v>CUST-013</v>
          </cell>
          <cell r="B14" t="str">
            <v>Aggrawal</v>
          </cell>
        </row>
        <row r="15">
          <cell r="A15" t="str">
            <v>CUST-014</v>
          </cell>
          <cell r="B15" t="str">
            <v>Ajay Mobile Shop</v>
          </cell>
        </row>
        <row r="16">
          <cell r="A16" t="str">
            <v>CUST-015</v>
          </cell>
          <cell r="B16" t="str">
            <v>Ajgar Bhaiya</v>
          </cell>
        </row>
        <row r="17">
          <cell r="A17" t="str">
            <v>CUST-016</v>
          </cell>
          <cell r="B17" t="str">
            <v>Ajju Balki</v>
          </cell>
        </row>
        <row r="18">
          <cell r="A18" t="str">
            <v>CUST-017</v>
          </cell>
          <cell r="B18" t="str">
            <v>Akash</v>
          </cell>
        </row>
        <row r="19">
          <cell r="A19" t="str">
            <v>CUST-018</v>
          </cell>
          <cell r="B19" t="str">
            <v xml:space="preserve">Akash </v>
          </cell>
        </row>
        <row r="20">
          <cell r="A20" t="str">
            <v>CUST-019</v>
          </cell>
          <cell r="B20" t="str">
            <v>Akram Shiek</v>
          </cell>
        </row>
        <row r="21">
          <cell r="A21" t="str">
            <v>CUST-020</v>
          </cell>
          <cell r="B21" t="str">
            <v>Akshay</v>
          </cell>
        </row>
        <row r="22">
          <cell r="A22" t="str">
            <v>CUST-021</v>
          </cell>
          <cell r="B22" t="str">
            <v>Akshu</v>
          </cell>
        </row>
        <row r="23">
          <cell r="A23" t="str">
            <v>CUST-022</v>
          </cell>
          <cell r="B23" t="str">
            <v>Ali Bhaiya</v>
          </cell>
        </row>
        <row r="24">
          <cell r="A24" t="str">
            <v>CUST-023</v>
          </cell>
          <cell r="B24" t="str">
            <v>Amar Avde</v>
          </cell>
        </row>
        <row r="25">
          <cell r="A25" t="str">
            <v>CUST-024</v>
          </cell>
          <cell r="B25" t="str">
            <v>Amit G</v>
          </cell>
        </row>
        <row r="26">
          <cell r="A26" t="str">
            <v>CUST-025</v>
          </cell>
          <cell r="B26" t="str">
            <v>Amit Matthe</v>
          </cell>
        </row>
        <row r="27">
          <cell r="A27" t="str">
            <v>CUST-026</v>
          </cell>
          <cell r="B27" t="str">
            <v>Amit Sherke</v>
          </cell>
        </row>
        <row r="28">
          <cell r="A28" t="str">
            <v>CUST-027</v>
          </cell>
          <cell r="B28" t="str">
            <v>Amol Thekedar</v>
          </cell>
        </row>
        <row r="29">
          <cell r="A29" t="str">
            <v>CUST-028</v>
          </cell>
          <cell r="B29" t="str">
            <v>Amtha</v>
          </cell>
        </row>
        <row r="30">
          <cell r="A30" t="str">
            <v>CUST-029</v>
          </cell>
          <cell r="B30" t="str">
            <v>Aniket Chaudhary</v>
          </cell>
        </row>
        <row r="31">
          <cell r="A31" t="str">
            <v>CUST-030</v>
          </cell>
          <cell r="B31" t="str">
            <v>Anil Bhoyar</v>
          </cell>
        </row>
        <row r="32">
          <cell r="A32" t="str">
            <v>CUST-031</v>
          </cell>
          <cell r="B32" t="str">
            <v>Anil Khokle</v>
          </cell>
        </row>
        <row r="33">
          <cell r="A33" t="str">
            <v>CUST-032</v>
          </cell>
          <cell r="B33" t="str">
            <v>Anil Narule</v>
          </cell>
        </row>
        <row r="34">
          <cell r="A34" t="str">
            <v>CUST-033</v>
          </cell>
          <cell r="B34" t="str">
            <v>Anil Shukdev</v>
          </cell>
        </row>
        <row r="35">
          <cell r="A35" t="str">
            <v>CUST-034</v>
          </cell>
          <cell r="B35" t="str">
            <v>Ankit Ghutke</v>
          </cell>
        </row>
        <row r="36">
          <cell r="A36" t="str">
            <v>CUST-035</v>
          </cell>
          <cell r="B36" t="str">
            <v>Ankit Milmile</v>
          </cell>
        </row>
        <row r="37">
          <cell r="A37" t="str">
            <v>CUST-036</v>
          </cell>
          <cell r="B37" t="str">
            <v>Ankush Bhau</v>
          </cell>
        </row>
        <row r="38">
          <cell r="A38" t="str">
            <v>CUST-037</v>
          </cell>
          <cell r="B38" t="str">
            <v>Ankush P</v>
          </cell>
        </row>
        <row r="39">
          <cell r="A39" t="str">
            <v>CUST-038</v>
          </cell>
          <cell r="B39" t="str">
            <v>Anurag ( Golu)</v>
          </cell>
        </row>
        <row r="40">
          <cell r="A40" t="str">
            <v>CUST-039</v>
          </cell>
          <cell r="B40" t="str">
            <v>Arbaz</v>
          </cell>
        </row>
        <row r="41">
          <cell r="A41" t="str">
            <v>CUST-040</v>
          </cell>
          <cell r="B41" t="str">
            <v>Arjun Chinchurwar</v>
          </cell>
        </row>
        <row r="42">
          <cell r="A42" t="str">
            <v>CUST-041</v>
          </cell>
          <cell r="B42" t="str">
            <v>Arnav</v>
          </cell>
        </row>
        <row r="43">
          <cell r="A43" t="str">
            <v>CUST-042</v>
          </cell>
          <cell r="B43" t="str">
            <v>Arvind Gupta</v>
          </cell>
        </row>
        <row r="44">
          <cell r="A44" t="str">
            <v>CUST-043</v>
          </cell>
          <cell r="B44" t="str">
            <v>Arvind Rohankar</v>
          </cell>
        </row>
        <row r="45">
          <cell r="A45" t="str">
            <v>CUST-044</v>
          </cell>
          <cell r="B45" t="str">
            <v>Ashok</v>
          </cell>
        </row>
        <row r="46">
          <cell r="A46" t="str">
            <v>CUST-045</v>
          </cell>
          <cell r="B46" t="str">
            <v>Ashwin</v>
          </cell>
        </row>
        <row r="47">
          <cell r="A47" t="str">
            <v>CUST-046</v>
          </cell>
          <cell r="B47" t="str">
            <v xml:space="preserve">Ashwin </v>
          </cell>
        </row>
        <row r="48">
          <cell r="A48" t="str">
            <v>CUST-047</v>
          </cell>
          <cell r="B48" t="str">
            <v xml:space="preserve">Aszar </v>
          </cell>
        </row>
        <row r="49">
          <cell r="A49" t="str">
            <v>CUST-048</v>
          </cell>
          <cell r="B49" t="str">
            <v>Ataullah</v>
          </cell>
        </row>
        <row r="50">
          <cell r="A50" t="str">
            <v>CUST-049</v>
          </cell>
          <cell r="B50" t="str">
            <v xml:space="preserve">Ataullah </v>
          </cell>
        </row>
        <row r="51">
          <cell r="A51" t="str">
            <v>CUST-050</v>
          </cell>
          <cell r="B51" t="str">
            <v>Atul Bhaiya</v>
          </cell>
        </row>
        <row r="52">
          <cell r="A52" t="str">
            <v>CUST-051</v>
          </cell>
          <cell r="B52" t="str">
            <v>Atul Ukade</v>
          </cell>
        </row>
        <row r="53">
          <cell r="A53" t="str">
            <v>CUST-052</v>
          </cell>
          <cell r="B53" t="str">
            <v>Azad Transport</v>
          </cell>
        </row>
        <row r="54">
          <cell r="A54" t="str">
            <v>CUST-053</v>
          </cell>
          <cell r="B54" t="str">
            <v>Baburao Weilding</v>
          </cell>
        </row>
        <row r="55">
          <cell r="A55" t="str">
            <v>CUST-054</v>
          </cell>
          <cell r="B55" t="str">
            <v>Balaji Kaka</v>
          </cell>
        </row>
        <row r="56">
          <cell r="A56" t="str">
            <v>CUST-055</v>
          </cell>
          <cell r="B56" t="str">
            <v>Balki</v>
          </cell>
        </row>
        <row r="57">
          <cell r="A57" t="str">
            <v>CUST-056</v>
          </cell>
          <cell r="B57" t="str">
            <v xml:space="preserve">Balki </v>
          </cell>
        </row>
        <row r="58">
          <cell r="A58" t="str">
            <v>CUST-057</v>
          </cell>
          <cell r="B58" t="str">
            <v>Balu Khokle</v>
          </cell>
        </row>
        <row r="59">
          <cell r="A59" t="str">
            <v>CUST-058</v>
          </cell>
          <cell r="B59" t="str">
            <v>Bandu</v>
          </cell>
        </row>
        <row r="60">
          <cell r="A60" t="str">
            <v>CUST-059</v>
          </cell>
          <cell r="B60" t="str">
            <v>Bappya Mama</v>
          </cell>
        </row>
        <row r="61">
          <cell r="A61" t="str">
            <v>CUST-060</v>
          </cell>
          <cell r="B61" t="str">
            <v>Bhadke</v>
          </cell>
        </row>
        <row r="62">
          <cell r="A62" t="str">
            <v>CUST-061</v>
          </cell>
          <cell r="B62" t="str">
            <v>Bhai Miya</v>
          </cell>
        </row>
        <row r="63">
          <cell r="A63" t="str">
            <v>CUST-062</v>
          </cell>
          <cell r="B63" t="str">
            <v>Bhandare</v>
          </cell>
        </row>
        <row r="64">
          <cell r="A64" t="str">
            <v>CUST-063</v>
          </cell>
          <cell r="B64" t="str">
            <v>Bharat Rone</v>
          </cell>
        </row>
        <row r="65">
          <cell r="A65" t="str">
            <v>CUST-064</v>
          </cell>
          <cell r="B65" t="str">
            <v>Bhimrao Padwekar</v>
          </cell>
        </row>
        <row r="66">
          <cell r="A66" t="str">
            <v>CUST-065</v>
          </cell>
          <cell r="B66" t="str">
            <v>Bondhare</v>
          </cell>
        </row>
        <row r="67">
          <cell r="A67" t="str">
            <v>CUST-066</v>
          </cell>
          <cell r="B67" t="str">
            <v>Borkute</v>
          </cell>
        </row>
        <row r="68">
          <cell r="A68" t="str">
            <v>CUST-067</v>
          </cell>
          <cell r="B68" t="str">
            <v>Cement Pipe ( Raj Order )</v>
          </cell>
        </row>
        <row r="69">
          <cell r="A69" t="str">
            <v>CUST-068</v>
          </cell>
          <cell r="B69" t="str">
            <v>Chaada Transport</v>
          </cell>
        </row>
        <row r="70">
          <cell r="A70" t="str">
            <v>CUST-069</v>
          </cell>
          <cell r="B70" t="str">
            <v>Chabu Sahare ( Raj Dad )</v>
          </cell>
        </row>
        <row r="71">
          <cell r="A71" t="str">
            <v>CUST-070</v>
          </cell>
          <cell r="B71" t="str">
            <v>Chambhare</v>
          </cell>
        </row>
        <row r="72">
          <cell r="A72" t="str">
            <v>CUST-071</v>
          </cell>
          <cell r="B72" t="str">
            <v>Chandraban</v>
          </cell>
        </row>
        <row r="73">
          <cell r="A73" t="str">
            <v>CUST-072</v>
          </cell>
          <cell r="B73" t="str">
            <v>Chaudhary</v>
          </cell>
        </row>
        <row r="74">
          <cell r="A74" t="str">
            <v>CUST-073</v>
          </cell>
          <cell r="B74" t="str">
            <v>Chauhan</v>
          </cell>
        </row>
        <row r="75">
          <cell r="A75" t="str">
            <v>CUST-074</v>
          </cell>
          <cell r="B75" t="str">
            <v xml:space="preserve">Chaure Welder </v>
          </cell>
        </row>
        <row r="76">
          <cell r="A76" t="str">
            <v>CUST-075</v>
          </cell>
          <cell r="B76" t="str">
            <v>Chetan</v>
          </cell>
        </row>
        <row r="77">
          <cell r="A77" t="str">
            <v>CUST-076</v>
          </cell>
          <cell r="B77" t="str">
            <v>Chetan Bhobde</v>
          </cell>
        </row>
        <row r="78">
          <cell r="A78" t="str">
            <v>CUST-077</v>
          </cell>
          <cell r="B78" t="str">
            <v>Chetan U</v>
          </cell>
        </row>
        <row r="79">
          <cell r="A79" t="str">
            <v>CUST-078</v>
          </cell>
          <cell r="B79" t="str">
            <v>Chhabu Sahare ( Raj Dad )</v>
          </cell>
        </row>
        <row r="80">
          <cell r="A80" t="str">
            <v>CUST-079</v>
          </cell>
          <cell r="B80" t="str">
            <v>Chips Wala</v>
          </cell>
        </row>
        <row r="81">
          <cell r="A81" t="str">
            <v>CUST-080</v>
          </cell>
          <cell r="B81" t="str">
            <v>Chiwande</v>
          </cell>
        </row>
        <row r="82">
          <cell r="A82" t="str">
            <v>CUST-081</v>
          </cell>
          <cell r="B82" t="str">
            <v>Daru Ramtake</v>
          </cell>
        </row>
        <row r="83">
          <cell r="A83" t="str">
            <v>CUST-082</v>
          </cell>
          <cell r="B83" t="str">
            <v>Dayakar ( Raj Dad )</v>
          </cell>
        </row>
        <row r="84">
          <cell r="A84" t="str">
            <v>CUST-083</v>
          </cell>
          <cell r="B84" t="str">
            <v>Dayaram Thekedar</v>
          </cell>
        </row>
        <row r="85">
          <cell r="A85" t="str">
            <v>CUST-084</v>
          </cell>
          <cell r="B85" t="str">
            <v>Dayarkar ( Raj Dad )</v>
          </cell>
        </row>
        <row r="86">
          <cell r="A86" t="str">
            <v>CUST-085</v>
          </cell>
          <cell r="B86" t="str">
            <v>Deepanshu Thackrey</v>
          </cell>
        </row>
        <row r="87">
          <cell r="A87" t="str">
            <v>CUST-086</v>
          </cell>
          <cell r="B87" t="str">
            <v>Deshkar ( Raj Dad )</v>
          </cell>
        </row>
        <row r="88">
          <cell r="A88" t="str">
            <v>CUST-087</v>
          </cell>
          <cell r="B88" t="str">
            <v>Desi Ramteke ( Roshan Order )</v>
          </cell>
        </row>
        <row r="89">
          <cell r="A89" t="str">
            <v>CUST-088</v>
          </cell>
          <cell r="B89" t="str">
            <v>Dev Kumar</v>
          </cell>
        </row>
        <row r="90">
          <cell r="A90" t="str">
            <v>CUST-089</v>
          </cell>
          <cell r="B90" t="str">
            <v>Devanand Sao</v>
          </cell>
        </row>
        <row r="91">
          <cell r="A91" t="str">
            <v>CUST-090</v>
          </cell>
          <cell r="B91" t="str">
            <v>Devrao ( Raj Dad )</v>
          </cell>
        </row>
        <row r="92">
          <cell r="A92" t="str">
            <v>CUST-091</v>
          </cell>
          <cell r="B92" t="str">
            <v>Dewagan</v>
          </cell>
        </row>
        <row r="93">
          <cell r="A93" t="str">
            <v>CUST-092</v>
          </cell>
          <cell r="B93" t="str">
            <v>Dhote</v>
          </cell>
        </row>
        <row r="94">
          <cell r="A94" t="str">
            <v>CUST-093</v>
          </cell>
          <cell r="B94" t="str">
            <v>Dodlani</v>
          </cell>
        </row>
        <row r="95">
          <cell r="A95" t="str">
            <v>CUST-094</v>
          </cell>
          <cell r="B95" t="str">
            <v>Dump</v>
          </cell>
        </row>
        <row r="96">
          <cell r="A96" t="str">
            <v>CUST-095</v>
          </cell>
          <cell r="B96" t="str">
            <v>Durge</v>
          </cell>
        </row>
        <row r="97">
          <cell r="A97" t="str">
            <v>CUST-096</v>
          </cell>
          <cell r="B97" t="str">
            <v>Dyaneshwar Sau</v>
          </cell>
        </row>
        <row r="98">
          <cell r="A98" t="str">
            <v>CUST-097</v>
          </cell>
          <cell r="B98" t="str">
            <v>Fasate</v>
          </cell>
        </row>
        <row r="99">
          <cell r="A99" t="str">
            <v>CUST-098</v>
          </cell>
          <cell r="B99" t="str">
            <v>Fish Wala</v>
          </cell>
        </row>
        <row r="100">
          <cell r="A100" t="str">
            <v>CUST-099</v>
          </cell>
          <cell r="B100" t="str">
            <v>Gajanan</v>
          </cell>
        </row>
        <row r="101">
          <cell r="A101" t="str">
            <v>CUST-100</v>
          </cell>
          <cell r="B101" t="str">
            <v>Gajendra</v>
          </cell>
        </row>
        <row r="102">
          <cell r="A102" t="str">
            <v>CUST-101</v>
          </cell>
          <cell r="B102" t="str">
            <v>Gaju Mandavkar</v>
          </cell>
        </row>
        <row r="103">
          <cell r="A103" t="str">
            <v>CUST-102</v>
          </cell>
          <cell r="B103" t="str">
            <v xml:space="preserve">Gaju Panthela </v>
          </cell>
        </row>
        <row r="104">
          <cell r="A104" t="str">
            <v>CUST-103</v>
          </cell>
          <cell r="B104" t="str">
            <v>Gandfade</v>
          </cell>
        </row>
        <row r="105">
          <cell r="A105" t="str">
            <v>CUST-104</v>
          </cell>
          <cell r="B105" t="str">
            <v>Ganesh LCB. ( Raj Order</v>
          </cell>
        </row>
        <row r="106">
          <cell r="A106" t="str">
            <v>CUST-105</v>
          </cell>
          <cell r="B106" t="str">
            <v>Ganesh Surje</v>
          </cell>
        </row>
        <row r="107">
          <cell r="A107" t="str">
            <v>CUST-106</v>
          </cell>
          <cell r="B107" t="str">
            <v>Gaurav</v>
          </cell>
        </row>
        <row r="108">
          <cell r="A108" t="str">
            <v>CUST-107</v>
          </cell>
          <cell r="B108" t="str">
            <v>Gautre</v>
          </cell>
        </row>
        <row r="109">
          <cell r="A109" t="str">
            <v>CUST-108</v>
          </cell>
          <cell r="B109" t="str">
            <v>Gautre ( Raj Dad )</v>
          </cell>
        </row>
        <row r="110">
          <cell r="A110" t="str">
            <v>CUST-109</v>
          </cell>
          <cell r="B110" t="str">
            <v>Gedam Raj</v>
          </cell>
        </row>
        <row r="111">
          <cell r="A111" t="str">
            <v>CUST-110</v>
          </cell>
          <cell r="B111" t="str">
            <v>Ghopal ( Mahendra )</v>
          </cell>
        </row>
        <row r="112">
          <cell r="A112" t="str">
            <v>CUST-111</v>
          </cell>
          <cell r="B112" t="str">
            <v>Ghorpade ( Roshan )</v>
          </cell>
        </row>
        <row r="113">
          <cell r="A113" t="str">
            <v>CUST-112</v>
          </cell>
          <cell r="B113" t="str">
            <v>Giratkar</v>
          </cell>
        </row>
        <row r="114">
          <cell r="A114" t="str">
            <v>CUST-113</v>
          </cell>
          <cell r="B114" t="str">
            <v>Githe Saheb</v>
          </cell>
        </row>
        <row r="115">
          <cell r="A115" t="str">
            <v>CUST-114</v>
          </cell>
          <cell r="B115" t="str">
            <v>Golu</v>
          </cell>
        </row>
        <row r="116">
          <cell r="A116" t="str">
            <v>CUST-115</v>
          </cell>
          <cell r="B116" t="str">
            <v xml:space="preserve">Golu </v>
          </cell>
        </row>
        <row r="117">
          <cell r="A117" t="str">
            <v>CUST-116</v>
          </cell>
          <cell r="B117" t="str">
            <v>Golu Operator</v>
          </cell>
        </row>
        <row r="118">
          <cell r="A118" t="str">
            <v>CUST-117</v>
          </cell>
          <cell r="B118" t="str">
            <v>Gurjit Saini</v>
          </cell>
        </row>
        <row r="119">
          <cell r="A119" t="str">
            <v>CUST-118</v>
          </cell>
          <cell r="B119" t="str">
            <v>Guru</v>
          </cell>
        </row>
        <row r="120">
          <cell r="A120" t="str">
            <v>CUST-119</v>
          </cell>
          <cell r="B120" t="str">
            <v xml:space="preserve">Guru </v>
          </cell>
        </row>
        <row r="121">
          <cell r="A121" t="str">
            <v>CUST-120</v>
          </cell>
          <cell r="B121" t="str">
            <v>Hari Bhau</v>
          </cell>
        </row>
        <row r="122">
          <cell r="A122" t="str">
            <v>CUST-121</v>
          </cell>
          <cell r="B122" t="str">
            <v>Harshal Murgane</v>
          </cell>
        </row>
        <row r="123">
          <cell r="A123" t="str">
            <v>CUST-122</v>
          </cell>
          <cell r="B123" t="str">
            <v>Hemendra</v>
          </cell>
        </row>
        <row r="124">
          <cell r="A124" t="str">
            <v>CUST-123</v>
          </cell>
          <cell r="B124" t="str">
            <v>Hitesh Zamare</v>
          </cell>
        </row>
        <row r="125">
          <cell r="A125" t="str">
            <v>CUST-124</v>
          </cell>
          <cell r="B125" t="str">
            <v>hiwakar</v>
          </cell>
        </row>
        <row r="126">
          <cell r="A126" t="str">
            <v>CUST-125</v>
          </cell>
          <cell r="B126" t="str">
            <v xml:space="preserve">Hiwakar </v>
          </cell>
        </row>
        <row r="127">
          <cell r="A127" t="str">
            <v>CUST-126</v>
          </cell>
          <cell r="B127" t="str">
            <v>HP Gas ( Mahendra )</v>
          </cell>
        </row>
        <row r="128">
          <cell r="A128" t="str">
            <v>CUST-127</v>
          </cell>
          <cell r="B128" t="str">
            <v>Irfan</v>
          </cell>
        </row>
        <row r="129">
          <cell r="A129" t="str">
            <v>CUST-128</v>
          </cell>
          <cell r="B129" t="str">
            <v>Izhar</v>
          </cell>
        </row>
        <row r="130">
          <cell r="A130" t="str">
            <v>CUST-129</v>
          </cell>
          <cell r="B130" t="str">
            <v>Jadish Yadav</v>
          </cell>
        </row>
        <row r="131">
          <cell r="A131" t="str">
            <v>CUST-130</v>
          </cell>
          <cell r="B131" t="str">
            <v>Jagannath Chukre ( Mahendra )</v>
          </cell>
        </row>
        <row r="132">
          <cell r="A132" t="str">
            <v>CUST-131</v>
          </cell>
          <cell r="B132" t="str">
            <v>Jaiswal</v>
          </cell>
        </row>
        <row r="133">
          <cell r="A133" t="str">
            <v>CUST-132</v>
          </cell>
          <cell r="B133" t="str">
            <v>Jannya Bhau</v>
          </cell>
        </row>
        <row r="134">
          <cell r="A134" t="str">
            <v>CUST-133</v>
          </cell>
          <cell r="B134" t="str">
            <v>Jay Amte</v>
          </cell>
        </row>
        <row r="135">
          <cell r="A135" t="str">
            <v>CUST-134</v>
          </cell>
          <cell r="B135" t="str">
            <v>Jay Mishra</v>
          </cell>
        </row>
        <row r="136">
          <cell r="A136" t="str">
            <v>CUST-135</v>
          </cell>
          <cell r="B136" t="str">
            <v>jhangid</v>
          </cell>
        </row>
        <row r="137">
          <cell r="A137" t="str">
            <v>CUST-136</v>
          </cell>
          <cell r="B137" t="str">
            <v>Jhenthe</v>
          </cell>
        </row>
        <row r="138">
          <cell r="A138" t="str">
            <v>CUST-137</v>
          </cell>
          <cell r="B138" t="str">
            <v>JI Sav ( Roshan )</v>
          </cell>
        </row>
        <row r="139">
          <cell r="A139" t="str">
            <v>CUST-138</v>
          </cell>
          <cell r="B139" t="str">
            <v>Jivan Sao ( Roshan )</v>
          </cell>
        </row>
        <row r="140">
          <cell r="A140" t="str">
            <v>CUST-139</v>
          </cell>
          <cell r="B140" t="str">
            <v>Joyti Bai</v>
          </cell>
        </row>
        <row r="141">
          <cell r="A141" t="str">
            <v>CUST-140</v>
          </cell>
          <cell r="B141" t="str">
            <v xml:space="preserve">Joyti Dhote ( Raj Dad) </v>
          </cell>
        </row>
        <row r="142">
          <cell r="A142" t="str">
            <v>CUST-141</v>
          </cell>
          <cell r="B142" t="str">
            <v>Kade</v>
          </cell>
        </row>
        <row r="143">
          <cell r="A143" t="str">
            <v>CUST-142</v>
          </cell>
          <cell r="B143" t="str">
            <v>Kailash Bhaiya</v>
          </cell>
        </row>
        <row r="144">
          <cell r="A144" t="str">
            <v>CUST-143</v>
          </cell>
          <cell r="B144" t="str">
            <v>Kakaji</v>
          </cell>
        </row>
        <row r="145">
          <cell r="A145" t="str">
            <v>CUST-144</v>
          </cell>
          <cell r="B145" t="str">
            <v>Kakaji ( Papa Order )</v>
          </cell>
        </row>
        <row r="146">
          <cell r="A146" t="str">
            <v>CUST-145</v>
          </cell>
          <cell r="B146" t="str">
            <v>Kalam ( Raj Dad )</v>
          </cell>
        </row>
        <row r="147">
          <cell r="A147" t="str">
            <v>CUST-146</v>
          </cell>
          <cell r="B147" t="str">
            <v>Kale</v>
          </cell>
        </row>
        <row r="148">
          <cell r="A148" t="str">
            <v>CUST-147</v>
          </cell>
          <cell r="B148" t="str">
            <v>Kamalar Ramteke</v>
          </cell>
        </row>
        <row r="149">
          <cell r="A149" t="str">
            <v>CUST-148</v>
          </cell>
          <cell r="B149" t="str">
            <v>Kamlesh Chidate ( Raj Dad )</v>
          </cell>
        </row>
        <row r="150">
          <cell r="A150" t="str">
            <v>CUST-149</v>
          </cell>
          <cell r="B150" t="str">
            <v>Karan</v>
          </cell>
        </row>
        <row r="151">
          <cell r="A151" t="str">
            <v>CUST-150</v>
          </cell>
          <cell r="B151" t="str">
            <v>Khare Uncle ( Raj Dad )</v>
          </cell>
        </row>
        <row r="152">
          <cell r="A152" t="str">
            <v>CUST-151</v>
          </cell>
          <cell r="B152" t="str">
            <v xml:space="preserve">Khobragade </v>
          </cell>
        </row>
        <row r="153">
          <cell r="A153" t="str">
            <v>CUST-152</v>
          </cell>
          <cell r="B153" t="str">
            <v>Kiran</v>
          </cell>
        </row>
        <row r="154">
          <cell r="A154" t="str">
            <v>CUST-153</v>
          </cell>
          <cell r="B154" t="str">
            <v>Kirmire ( Raj Dad )</v>
          </cell>
        </row>
        <row r="155">
          <cell r="A155" t="str">
            <v>CUST-154</v>
          </cell>
          <cell r="B155" t="str">
            <v>Kishor Buratkar</v>
          </cell>
        </row>
        <row r="156">
          <cell r="A156" t="str">
            <v>CUST-155</v>
          </cell>
          <cell r="B156" t="str">
            <v>Komal Bhaiya</v>
          </cell>
        </row>
        <row r="157">
          <cell r="A157" t="str">
            <v>CUST-156</v>
          </cell>
          <cell r="B157" t="str">
            <v>Kotkar</v>
          </cell>
        </row>
        <row r="158">
          <cell r="A158" t="str">
            <v>CUST-157</v>
          </cell>
          <cell r="B158" t="str">
            <v>Krishna United</v>
          </cell>
        </row>
        <row r="159">
          <cell r="A159" t="str">
            <v>CUST-158</v>
          </cell>
          <cell r="B159" t="str">
            <v xml:space="preserve">Kunal ( Roshan Order </v>
          </cell>
        </row>
        <row r="160">
          <cell r="A160" t="str">
            <v>CUST-159</v>
          </cell>
          <cell r="B160" t="str">
            <v>Kunal Dhole</v>
          </cell>
        </row>
        <row r="161">
          <cell r="A161" t="str">
            <v>CUST-160</v>
          </cell>
          <cell r="B161" t="str">
            <v>Lakhan</v>
          </cell>
        </row>
        <row r="162">
          <cell r="A162" t="str">
            <v>CUST-161</v>
          </cell>
          <cell r="B162" t="str">
            <v>Lalit Nimkar</v>
          </cell>
        </row>
        <row r="163">
          <cell r="A163" t="str">
            <v>CUST-162</v>
          </cell>
          <cell r="B163" t="str">
            <v>Langda ( Mahendra )</v>
          </cell>
        </row>
        <row r="164">
          <cell r="A164" t="str">
            <v>CUST-163</v>
          </cell>
          <cell r="B164" t="str">
            <v>Lemon Sao</v>
          </cell>
        </row>
        <row r="165">
          <cell r="A165" t="str">
            <v>CUST-164</v>
          </cell>
          <cell r="B165" t="str">
            <v>Lokhande</v>
          </cell>
        </row>
        <row r="166">
          <cell r="A166" t="str">
            <v>CUST-165</v>
          </cell>
          <cell r="B166" t="str">
            <v>Lonbole</v>
          </cell>
        </row>
        <row r="167">
          <cell r="A167" t="str">
            <v>CUST-166</v>
          </cell>
          <cell r="B167" t="str">
            <v>Maane</v>
          </cell>
        </row>
        <row r="168">
          <cell r="A168" t="str">
            <v>CUST-167</v>
          </cell>
          <cell r="B168" t="str">
            <v>Madhu Zanke ( Papa Order )</v>
          </cell>
        </row>
        <row r="169">
          <cell r="A169" t="str">
            <v>CUST-168</v>
          </cell>
          <cell r="B169" t="str">
            <v>Mahendra  CCTV</v>
          </cell>
        </row>
        <row r="170">
          <cell r="A170" t="str">
            <v>CUST-169</v>
          </cell>
          <cell r="B170" t="str">
            <v>Mahendra Order</v>
          </cell>
        </row>
        <row r="171">
          <cell r="A171" t="str">
            <v>CUST-170</v>
          </cell>
          <cell r="B171" t="str">
            <v>Mahesh P</v>
          </cell>
        </row>
        <row r="172">
          <cell r="A172" t="str">
            <v>CUST-171</v>
          </cell>
          <cell r="B172" t="str">
            <v>Mahesh Thekedar</v>
          </cell>
        </row>
        <row r="173">
          <cell r="A173" t="str">
            <v>CUST-172</v>
          </cell>
          <cell r="B173" t="str">
            <v>Malli Bhaiya</v>
          </cell>
        </row>
        <row r="174">
          <cell r="A174" t="str">
            <v>CUST-173</v>
          </cell>
          <cell r="B174" t="str">
            <v>Mandir</v>
          </cell>
        </row>
        <row r="175">
          <cell r="A175" t="str">
            <v>CUST-174</v>
          </cell>
          <cell r="B175" t="str">
            <v>Manish Ramteke</v>
          </cell>
        </row>
        <row r="176">
          <cell r="A176" t="str">
            <v>CUST-175</v>
          </cell>
          <cell r="B176" t="str">
            <v>Manish Raykunde</v>
          </cell>
        </row>
        <row r="177">
          <cell r="A177" t="str">
            <v>CUST-176</v>
          </cell>
          <cell r="B177" t="str">
            <v>Manoj Khokle</v>
          </cell>
        </row>
        <row r="178">
          <cell r="A178" t="str">
            <v>CUST-177</v>
          </cell>
          <cell r="B178" t="str">
            <v>Masirkar</v>
          </cell>
        </row>
        <row r="179">
          <cell r="A179" t="str">
            <v>CUST-178</v>
          </cell>
          <cell r="B179" t="str">
            <v>Matthe</v>
          </cell>
        </row>
        <row r="180">
          <cell r="A180" t="str">
            <v>CUST-179</v>
          </cell>
          <cell r="B180" t="str">
            <v xml:space="preserve">MD </v>
          </cell>
        </row>
        <row r="181">
          <cell r="A181" t="str">
            <v>CUST-180</v>
          </cell>
          <cell r="B181" t="str">
            <v>Mehul Bhaiya</v>
          </cell>
        </row>
        <row r="182">
          <cell r="A182" t="str">
            <v>CUST-181</v>
          </cell>
          <cell r="B182" t="str">
            <v>Meshram</v>
          </cell>
        </row>
        <row r="183">
          <cell r="A183" t="str">
            <v>CUST-182</v>
          </cell>
          <cell r="B183" t="str">
            <v>Mohan Lonbole</v>
          </cell>
        </row>
        <row r="184">
          <cell r="A184" t="str">
            <v>CUST-183</v>
          </cell>
          <cell r="B184" t="str">
            <v>Morey Cycle</v>
          </cell>
        </row>
        <row r="185">
          <cell r="A185" t="str">
            <v>CUST-184</v>
          </cell>
          <cell r="B185" t="str">
            <v>Mukesh</v>
          </cell>
        </row>
        <row r="186">
          <cell r="A186" t="str">
            <v>CUST-185</v>
          </cell>
          <cell r="B186" t="str">
            <v>Naeem Bhaiya</v>
          </cell>
        </row>
        <row r="187">
          <cell r="A187" t="str">
            <v>CUST-186</v>
          </cell>
          <cell r="B187" t="str">
            <v>Nagapure</v>
          </cell>
        </row>
        <row r="188">
          <cell r="A188" t="str">
            <v>CUST-187</v>
          </cell>
          <cell r="B188" t="str">
            <v>Nagendra Gadge</v>
          </cell>
        </row>
        <row r="189">
          <cell r="A189" t="str">
            <v>CUST-188</v>
          </cell>
          <cell r="B189" t="str">
            <v>Naitam</v>
          </cell>
        </row>
        <row r="190">
          <cell r="A190" t="str">
            <v>CUST-189</v>
          </cell>
          <cell r="B190" t="str">
            <v>Nana ( Raj Dad )</v>
          </cell>
        </row>
        <row r="191">
          <cell r="A191" t="str">
            <v>CUST-190</v>
          </cell>
          <cell r="B191" t="str">
            <v>Narayan Tiles</v>
          </cell>
        </row>
        <row r="192">
          <cell r="A192" t="str">
            <v>CUST-191</v>
          </cell>
          <cell r="B192" t="str">
            <v>Narayana Kakaji</v>
          </cell>
        </row>
        <row r="193">
          <cell r="A193" t="str">
            <v>CUST-192</v>
          </cell>
          <cell r="B193" t="str">
            <v>Narendra Chiwande ( Roshan )</v>
          </cell>
        </row>
        <row r="194">
          <cell r="A194" t="str">
            <v>CUST-193</v>
          </cell>
          <cell r="B194" t="str">
            <v>Naresh Gaware</v>
          </cell>
        </row>
        <row r="195">
          <cell r="A195" t="str">
            <v>CUST-194</v>
          </cell>
          <cell r="B195" t="str">
            <v>Naresh Kaka</v>
          </cell>
        </row>
        <row r="196">
          <cell r="A196" t="str">
            <v>CUST-195</v>
          </cell>
          <cell r="B196" t="str">
            <v>Naryana Uncle Friend</v>
          </cell>
        </row>
        <row r="197">
          <cell r="A197" t="str">
            <v>CUST-196</v>
          </cell>
          <cell r="B197" t="str">
            <v>National</v>
          </cell>
        </row>
        <row r="198">
          <cell r="A198" t="str">
            <v>CUST-197</v>
          </cell>
          <cell r="B198" t="str">
            <v>Nattu Meshram</v>
          </cell>
        </row>
        <row r="199">
          <cell r="A199" t="str">
            <v>CUST-198</v>
          </cell>
          <cell r="B199" t="str">
            <v>Navel Bhaiya</v>
          </cell>
        </row>
        <row r="200">
          <cell r="A200" t="str">
            <v>CUST-199</v>
          </cell>
          <cell r="B200" t="str">
            <v xml:space="preserve">Near Yenurkar House </v>
          </cell>
        </row>
        <row r="201">
          <cell r="A201" t="str">
            <v>CUST-200</v>
          </cell>
          <cell r="B201" t="str">
            <v>Nidhi Dhodhare</v>
          </cell>
        </row>
        <row r="202">
          <cell r="A202" t="str">
            <v>CUST-201</v>
          </cell>
          <cell r="B202" t="str">
            <v>Nikhil Aaglave</v>
          </cell>
        </row>
        <row r="203">
          <cell r="A203" t="str">
            <v>CUST-202</v>
          </cell>
          <cell r="B203" t="str">
            <v>Nishan Bhattar</v>
          </cell>
        </row>
        <row r="204">
          <cell r="A204" t="str">
            <v>CUST-203</v>
          </cell>
          <cell r="B204" t="str">
            <v>Nishu Bhaiya</v>
          </cell>
        </row>
        <row r="205">
          <cell r="A205" t="str">
            <v>CUST-204</v>
          </cell>
          <cell r="B205" t="str">
            <v>Nitesh</v>
          </cell>
        </row>
        <row r="206">
          <cell r="A206" t="str">
            <v>CUST-205</v>
          </cell>
          <cell r="B206" t="str">
            <v>Nitesh Khandarkar ( Mahendra )</v>
          </cell>
        </row>
        <row r="207">
          <cell r="A207" t="str">
            <v>CUST-206</v>
          </cell>
          <cell r="B207" t="str">
            <v>Nitin Bhoyar</v>
          </cell>
        </row>
        <row r="208">
          <cell r="A208" t="str">
            <v>CUST-207</v>
          </cell>
          <cell r="B208" t="str">
            <v>Nitin Prasad</v>
          </cell>
        </row>
        <row r="209">
          <cell r="A209" t="str">
            <v>CUST-208</v>
          </cell>
          <cell r="B209" t="str">
            <v xml:space="preserve">Nitin Prasad </v>
          </cell>
        </row>
        <row r="210">
          <cell r="A210" t="str">
            <v>CUST-209</v>
          </cell>
          <cell r="B210" t="str">
            <v>Nitin Prasad ( Gandhare )</v>
          </cell>
        </row>
        <row r="211">
          <cell r="A211" t="str">
            <v>CUST-210</v>
          </cell>
          <cell r="B211" t="str">
            <v>Noor ( Lak Wala )</v>
          </cell>
        </row>
        <row r="212">
          <cell r="A212" t="str">
            <v>CUST-211</v>
          </cell>
          <cell r="B212" t="str">
            <v>Noor Garage ( Mahendra )</v>
          </cell>
        </row>
        <row r="213">
          <cell r="A213" t="str">
            <v>CUST-212</v>
          </cell>
          <cell r="B213" t="str">
            <v>Omdas</v>
          </cell>
        </row>
        <row r="214">
          <cell r="A214" t="str">
            <v>CUST-213</v>
          </cell>
          <cell r="B214" t="str">
            <v>Papa Order</v>
          </cell>
        </row>
        <row r="215">
          <cell r="A215" t="str">
            <v>CUST-214</v>
          </cell>
          <cell r="B215" t="str">
            <v xml:space="preserve">Papa Order </v>
          </cell>
        </row>
        <row r="216">
          <cell r="A216" t="str">
            <v>CUST-215</v>
          </cell>
          <cell r="B216" t="str">
            <v>Paranav Bobade</v>
          </cell>
        </row>
        <row r="217">
          <cell r="A217" t="str">
            <v>CUST-216</v>
          </cell>
          <cell r="B217" t="str">
            <v>Parchake</v>
          </cell>
        </row>
        <row r="218">
          <cell r="A218" t="str">
            <v>CUST-217</v>
          </cell>
          <cell r="B218" t="str">
            <v>Pari Doctor</v>
          </cell>
        </row>
        <row r="219">
          <cell r="A219" t="str">
            <v>CUST-218</v>
          </cell>
          <cell r="B219" t="str">
            <v>Patel</v>
          </cell>
        </row>
        <row r="220">
          <cell r="A220" t="str">
            <v>CUST-219</v>
          </cell>
          <cell r="B220" t="str">
            <v>Pawan (Friend)</v>
          </cell>
        </row>
        <row r="221">
          <cell r="A221" t="str">
            <v>CUST-220</v>
          </cell>
          <cell r="B221" t="str">
            <v>Pawan Order</v>
          </cell>
        </row>
        <row r="222">
          <cell r="A222" t="str">
            <v>CUST-221</v>
          </cell>
          <cell r="B222" t="str">
            <v>Pawar</v>
          </cell>
        </row>
        <row r="223">
          <cell r="A223" t="str">
            <v>CUST-222</v>
          </cell>
          <cell r="B223" t="str">
            <v>Pinge</v>
          </cell>
        </row>
        <row r="224">
          <cell r="A224" t="str">
            <v>CUST-223</v>
          </cell>
          <cell r="B224" t="str">
            <v>Piyush</v>
          </cell>
        </row>
        <row r="225">
          <cell r="A225" t="str">
            <v>CUST-224</v>
          </cell>
          <cell r="B225" t="str">
            <v>Poilice Gaju</v>
          </cell>
        </row>
        <row r="226">
          <cell r="A226" t="str">
            <v>CUST-225</v>
          </cell>
          <cell r="B226" t="str">
            <v>Police Station</v>
          </cell>
        </row>
        <row r="227">
          <cell r="A227" t="str">
            <v>CUST-226</v>
          </cell>
          <cell r="B227" t="str">
            <v>Police Wala Saheb</v>
          </cell>
        </row>
        <row r="228">
          <cell r="A228" t="str">
            <v>CUST-227</v>
          </cell>
          <cell r="B228" t="str">
            <v>Pradip Chitade</v>
          </cell>
        </row>
        <row r="229">
          <cell r="A229" t="str">
            <v>CUST-228</v>
          </cell>
          <cell r="B229" t="str">
            <v>Prajwal Kasaute (Ashay Jal )</v>
          </cell>
        </row>
        <row r="230">
          <cell r="A230" t="str">
            <v>CUST-229</v>
          </cell>
          <cell r="B230" t="str">
            <v>Prakash kale</v>
          </cell>
        </row>
        <row r="231">
          <cell r="A231" t="str">
            <v>CUST-230</v>
          </cell>
          <cell r="B231" t="str">
            <v>Prakash Nagarkar</v>
          </cell>
        </row>
        <row r="232">
          <cell r="A232" t="str">
            <v>CUST-231</v>
          </cell>
          <cell r="B232" t="str">
            <v>Pramod Mistri</v>
          </cell>
        </row>
        <row r="233">
          <cell r="A233" t="str">
            <v>CUST-232</v>
          </cell>
          <cell r="B233" t="str">
            <v>Pranav Bhobde</v>
          </cell>
        </row>
        <row r="234">
          <cell r="A234" t="str">
            <v>CUST-233</v>
          </cell>
          <cell r="B234" t="str">
            <v>Prasahant</v>
          </cell>
        </row>
        <row r="235">
          <cell r="A235" t="str">
            <v>CUST-234</v>
          </cell>
          <cell r="B235" t="str">
            <v>Pratap Yard ( Raj Dad )</v>
          </cell>
        </row>
        <row r="236">
          <cell r="A236" t="str">
            <v>CUST-235</v>
          </cell>
          <cell r="B236" t="str">
            <v>Pravin Singh</v>
          </cell>
        </row>
        <row r="237">
          <cell r="A237" t="str">
            <v>CUST-236</v>
          </cell>
          <cell r="B237" t="str">
            <v>Preet Bhaiya</v>
          </cell>
        </row>
        <row r="238">
          <cell r="A238" t="str">
            <v>CUST-237</v>
          </cell>
          <cell r="B238" t="str">
            <v>Preet Friend</v>
          </cell>
        </row>
        <row r="239">
          <cell r="A239" t="str">
            <v>CUST-238</v>
          </cell>
          <cell r="B239" t="str">
            <v>Prem Meshram</v>
          </cell>
        </row>
        <row r="240">
          <cell r="A240" t="str">
            <v>CUST-239</v>
          </cell>
          <cell r="B240" t="str">
            <v>Punay Pawar</v>
          </cell>
        </row>
        <row r="241">
          <cell r="A241" t="str">
            <v>CUST-240</v>
          </cell>
          <cell r="B241" t="str">
            <v>Puncture Wala</v>
          </cell>
        </row>
        <row r="242">
          <cell r="A242" t="str">
            <v>CUST-241</v>
          </cell>
          <cell r="B242" t="str">
            <v>Rachna Ramteke</v>
          </cell>
        </row>
        <row r="243">
          <cell r="A243" t="str">
            <v>CUST-242</v>
          </cell>
          <cell r="B243" t="str">
            <v>Rafik Thekedar</v>
          </cell>
        </row>
        <row r="244">
          <cell r="A244" t="str">
            <v>CUST-243</v>
          </cell>
          <cell r="B244" t="str">
            <v>Rahim Bhaiya</v>
          </cell>
        </row>
        <row r="245">
          <cell r="A245" t="str">
            <v>CUST-244</v>
          </cell>
          <cell r="B245" t="str">
            <v>Rahish ( Mahendra )</v>
          </cell>
        </row>
        <row r="246">
          <cell r="A246" t="str">
            <v>CUST-245</v>
          </cell>
          <cell r="B246" t="str">
            <v>Rahul</v>
          </cell>
        </row>
        <row r="247">
          <cell r="A247" t="str">
            <v>CUST-246</v>
          </cell>
          <cell r="B247" t="str">
            <v>Rahul Borkute</v>
          </cell>
        </row>
        <row r="248">
          <cell r="A248" t="str">
            <v>CUST-247</v>
          </cell>
          <cell r="B248" t="str">
            <v>Rahul Dada</v>
          </cell>
        </row>
        <row r="249">
          <cell r="A249" t="str">
            <v>CUST-248</v>
          </cell>
          <cell r="B249" t="str">
            <v>Rahul Dhaba</v>
          </cell>
        </row>
        <row r="250">
          <cell r="A250" t="str">
            <v>CUST-249</v>
          </cell>
          <cell r="B250" t="str">
            <v>Rahul Kode</v>
          </cell>
        </row>
        <row r="251">
          <cell r="A251" t="str">
            <v>CUST-250</v>
          </cell>
          <cell r="B251" t="str">
            <v>Railway</v>
          </cell>
        </row>
        <row r="252">
          <cell r="A252" t="str">
            <v>CUST-251</v>
          </cell>
          <cell r="B252" t="str">
            <v>Railway Bridge</v>
          </cell>
        </row>
        <row r="253">
          <cell r="A253" t="str">
            <v>CUST-252</v>
          </cell>
          <cell r="B253" t="str">
            <v>Raj Dad Order</v>
          </cell>
        </row>
        <row r="254">
          <cell r="A254" t="str">
            <v>CUST-253</v>
          </cell>
          <cell r="B254" t="str">
            <v>Raj Order</v>
          </cell>
        </row>
        <row r="255">
          <cell r="A255" t="str">
            <v>CUST-254</v>
          </cell>
          <cell r="B255" t="str">
            <v>Raj Owned</v>
          </cell>
        </row>
        <row r="256">
          <cell r="A256" t="str">
            <v>CUST-255</v>
          </cell>
          <cell r="B256" t="str">
            <v>Raj Sir</v>
          </cell>
        </row>
        <row r="257">
          <cell r="A257" t="str">
            <v>CUST-256</v>
          </cell>
          <cell r="B257" t="str">
            <v>Raj Traders</v>
          </cell>
        </row>
        <row r="258">
          <cell r="A258" t="str">
            <v>CUST-257</v>
          </cell>
          <cell r="B258" t="str">
            <v xml:space="preserve">Rajesh ( Ravi Mama </v>
          </cell>
        </row>
        <row r="259">
          <cell r="A259" t="str">
            <v>CUST-258</v>
          </cell>
          <cell r="B259" t="str">
            <v>Rajesh Kade</v>
          </cell>
        </row>
        <row r="260">
          <cell r="A260" t="str">
            <v>CUST-259</v>
          </cell>
          <cell r="B260" t="str">
            <v>Rajesh Singh</v>
          </cell>
        </row>
        <row r="261">
          <cell r="A261" t="str">
            <v>CUST-260</v>
          </cell>
          <cell r="B261" t="str">
            <v>Rajesh Thakur</v>
          </cell>
        </row>
        <row r="262">
          <cell r="A262" t="str">
            <v>CUST-261</v>
          </cell>
          <cell r="B262" t="str">
            <v>Raju Bala ( Raj Dad )</v>
          </cell>
        </row>
        <row r="263">
          <cell r="A263" t="str">
            <v>CUST-262</v>
          </cell>
          <cell r="B263" t="str">
            <v>Raju Manusmare</v>
          </cell>
        </row>
        <row r="264">
          <cell r="A264" t="str">
            <v>CUST-263</v>
          </cell>
          <cell r="B264" t="str">
            <v>Raju Mistri ( Mahendra )</v>
          </cell>
        </row>
        <row r="265">
          <cell r="A265" t="str">
            <v>CUST-264</v>
          </cell>
          <cell r="B265" t="str">
            <v>Raju Sangarthi</v>
          </cell>
        </row>
        <row r="266">
          <cell r="A266" t="str">
            <v>CUST-265</v>
          </cell>
          <cell r="B266" t="str">
            <v>Rajura Thekedar</v>
          </cell>
        </row>
        <row r="267">
          <cell r="A267" t="str">
            <v>CUST-266</v>
          </cell>
          <cell r="B267" t="str">
            <v>Rakesh</v>
          </cell>
        </row>
        <row r="268">
          <cell r="A268" t="str">
            <v>CUST-267</v>
          </cell>
          <cell r="B268" t="str">
            <v>Rakesh Aagat ( Raj )</v>
          </cell>
        </row>
        <row r="269">
          <cell r="A269" t="str">
            <v>CUST-268</v>
          </cell>
          <cell r="B269" t="str">
            <v>Rakesh Ramteke</v>
          </cell>
        </row>
        <row r="270">
          <cell r="A270" t="str">
            <v>CUST-269</v>
          </cell>
          <cell r="B270" t="str">
            <v>Ramchandra Dongre</v>
          </cell>
        </row>
        <row r="271">
          <cell r="A271" t="str">
            <v>CUST-270</v>
          </cell>
          <cell r="B271" t="str">
            <v>Ramteke</v>
          </cell>
        </row>
        <row r="272">
          <cell r="A272" t="str">
            <v>CUST-271</v>
          </cell>
          <cell r="B272" t="str">
            <v>Rasees</v>
          </cell>
        </row>
        <row r="273">
          <cell r="A273" t="str">
            <v>CUST-272</v>
          </cell>
          <cell r="B273" t="str">
            <v>Rashtrawadi ( Raj )</v>
          </cell>
        </row>
        <row r="274">
          <cell r="A274" t="str">
            <v>CUST-273</v>
          </cell>
          <cell r="B274" t="str">
            <v>Rasses Order</v>
          </cell>
        </row>
        <row r="275">
          <cell r="A275" t="str">
            <v>CUST-274</v>
          </cell>
          <cell r="B275" t="str">
            <v>Raut</v>
          </cell>
        </row>
        <row r="276">
          <cell r="A276" t="str">
            <v>CUST-275</v>
          </cell>
          <cell r="B276" t="str">
            <v>Ravi Electrician</v>
          </cell>
        </row>
        <row r="277">
          <cell r="A277" t="str">
            <v>CUST-276</v>
          </cell>
          <cell r="B277" t="str">
            <v>Ravi Mama</v>
          </cell>
        </row>
        <row r="278">
          <cell r="A278" t="str">
            <v>CUST-277</v>
          </cell>
          <cell r="B278" t="str">
            <v>Ravi Morey</v>
          </cell>
        </row>
        <row r="279">
          <cell r="A279" t="str">
            <v>CUST-278</v>
          </cell>
          <cell r="B279" t="str">
            <v>Ravi Wandare</v>
          </cell>
        </row>
        <row r="280">
          <cell r="A280" t="str">
            <v>CUST-279</v>
          </cell>
          <cell r="B280" t="str">
            <v>Rawal Bhaiya</v>
          </cell>
        </row>
        <row r="281">
          <cell r="A281" t="str">
            <v>CUST-280</v>
          </cell>
          <cell r="B281" t="str">
            <v>Rishab Dupare</v>
          </cell>
        </row>
        <row r="282">
          <cell r="A282" t="str">
            <v>CUST-281</v>
          </cell>
          <cell r="B282" t="str">
            <v>Road ( Raj Dad )</v>
          </cell>
        </row>
        <row r="283">
          <cell r="A283" t="str">
            <v>CUST-282</v>
          </cell>
          <cell r="B283" t="str">
            <v>Rohan</v>
          </cell>
        </row>
        <row r="284">
          <cell r="A284" t="str">
            <v>CUST-283</v>
          </cell>
          <cell r="B284" t="str">
            <v>Rohan Nagarkar</v>
          </cell>
        </row>
        <row r="285">
          <cell r="A285" t="str">
            <v>CUST-284</v>
          </cell>
          <cell r="B285" t="str">
            <v>Rohankar ( Raj Dad )</v>
          </cell>
        </row>
        <row r="286">
          <cell r="A286" t="str">
            <v>CUST-285</v>
          </cell>
          <cell r="B286" t="str">
            <v>Rohit Jograna</v>
          </cell>
        </row>
        <row r="287">
          <cell r="A287" t="str">
            <v>CUST-286</v>
          </cell>
          <cell r="B287" t="str">
            <v>Rohit Prasad</v>
          </cell>
        </row>
        <row r="288">
          <cell r="A288" t="str">
            <v>CUST-287</v>
          </cell>
          <cell r="B288" t="str">
            <v>Roshan</v>
          </cell>
        </row>
        <row r="289">
          <cell r="A289" t="str">
            <v>CUST-288</v>
          </cell>
          <cell r="B289" t="str">
            <v>Roshan Order</v>
          </cell>
        </row>
        <row r="290">
          <cell r="A290" t="str">
            <v>CUST-289</v>
          </cell>
          <cell r="B290" t="str">
            <v>Roshan Raj Dad</v>
          </cell>
        </row>
        <row r="291">
          <cell r="A291" t="str">
            <v>CUST-290</v>
          </cell>
          <cell r="B291" t="str">
            <v>RTO</v>
          </cell>
        </row>
        <row r="292">
          <cell r="A292" t="str">
            <v>CUST-291</v>
          </cell>
          <cell r="B292" t="str">
            <v>Rupesh Regundewar</v>
          </cell>
        </row>
        <row r="293">
          <cell r="A293" t="str">
            <v>CUST-292</v>
          </cell>
          <cell r="B293" t="str">
            <v>RVF Railway</v>
          </cell>
        </row>
        <row r="294">
          <cell r="A294" t="str">
            <v>CUST-293</v>
          </cell>
          <cell r="B294" t="str">
            <v>Sachin</v>
          </cell>
        </row>
        <row r="295">
          <cell r="A295" t="str">
            <v>CUST-294</v>
          </cell>
          <cell r="B295" t="str">
            <v>Sachin Gawande</v>
          </cell>
        </row>
        <row r="296">
          <cell r="A296" t="str">
            <v>CUST-295</v>
          </cell>
          <cell r="B296" t="str">
            <v>Sachin K</v>
          </cell>
        </row>
        <row r="297">
          <cell r="A297" t="str">
            <v>CUST-296</v>
          </cell>
          <cell r="B297" t="str">
            <v>Sadwe Hardware</v>
          </cell>
        </row>
        <row r="298">
          <cell r="A298" t="str">
            <v>CUST-297</v>
          </cell>
          <cell r="B298" t="str">
            <v>Sagar Ghorade</v>
          </cell>
        </row>
        <row r="299">
          <cell r="A299" t="str">
            <v>CUST-298</v>
          </cell>
          <cell r="B299" t="str">
            <v>Sagar Morey ( Mahendra )</v>
          </cell>
        </row>
        <row r="300">
          <cell r="A300" t="str">
            <v>CUST-299</v>
          </cell>
          <cell r="B300" t="str">
            <v>Sahil Derkar</v>
          </cell>
        </row>
        <row r="301">
          <cell r="A301" t="str">
            <v>CUST-300</v>
          </cell>
          <cell r="B301" t="str">
            <v xml:space="preserve">Saija Bai </v>
          </cell>
        </row>
        <row r="302">
          <cell r="A302" t="str">
            <v>CUST-301</v>
          </cell>
          <cell r="B302" t="str">
            <v>Sainaith Jungure</v>
          </cell>
        </row>
        <row r="303">
          <cell r="A303" t="str">
            <v>CUST-302</v>
          </cell>
          <cell r="B303" t="str">
            <v>Sakdev</v>
          </cell>
        </row>
        <row r="304">
          <cell r="A304" t="str">
            <v>CUST-303</v>
          </cell>
          <cell r="B304" t="str">
            <v>Salam Kalam</v>
          </cell>
        </row>
        <row r="305">
          <cell r="A305" t="str">
            <v>CUST-304</v>
          </cell>
          <cell r="B305" t="str">
            <v>Salim</v>
          </cell>
        </row>
        <row r="306">
          <cell r="A306" t="str">
            <v>CUST-305</v>
          </cell>
          <cell r="B306" t="str">
            <v>Sammer Ingole</v>
          </cell>
        </row>
        <row r="307">
          <cell r="A307" t="str">
            <v>CUST-306</v>
          </cell>
          <cell r="B307" t="str">
            <v>Sandeep Borkhute</v>
          </cell>
        </row>
        <row r="308">
          <cell r="A308" t="str">
            <v>CUST-307</v>
          </cell>
          <cell r="B308" t="str">
            <v>Sanjeet Police</v>
          </cell>
        </row>
        <row r="309">
          <cell r="A309" t="str">
            <v>CUST-308</v>
          </cell>
          <cell r="B309" t="str">
            <v>Sanju</v>
          </cell>
        </row>
        <row r="310">
          <cell r="A310" t="str">
            <v>CUST-309</v>
          </cell>
          <cell r="B310" t="str">
            <v>Sanju Ghate</v>
          </cell>
        </row>
        <row r="311">
          <cell r="A311" t="str">
            <v>CUST-310</v>
          </cell>
          <cell r="B311" t="str">
            <v>Sanju Sonwane ( Mahendra )</v>
          </cell>
        </row>
        <row r="312">
          <cell r="A312" t="str">
            <v>CUST-311</v>
          </cell>
          <cell r="B312" t="str">
            <v>Santosh</v>
          </cell>
        </row>
        <row r="313">
          <cell r="A313" t="str">
            <v>CUST-312</v>
          </cell>
          <cell r="B313" t="str">
            <v>Santosh Bhaiya</v>
          </cell>
        </row>
        <row r="314">
          <cell r="A314" t="str">
            <v>CUST-313</v>
          </cell>
          <cell r="B314" t="str">
            <v>Santosh Bhaiya Order</v>
          </cell>
        </row>
        <row r="315">
          <cell r="A315" t="str">
            <v>CUST-314</v>
          </cell>
          <cell r="B315" t="str">
            <v>Santosh Bonwar</v>
          </cell>
        </row>
        <row r="316">
          <cell r="A316" t="str">
            <v>CUST-315</v>
          </cell>
          <cell r="B316" t="str">
            <v>Santosh Order</v>
          </cell>
        </row>
        <row r="317">
          <cell r="A317" t="str">
            <v>CUST-316</v>
          </cell>
          <cell r="B317" t="str">
            <v>Santosh Parde ( Raj Dad )</v>
          </cell>
        </row>
        <row r="318">
          <cell r="A318" t="str">
            <v>CUST-317</v>
          </cell>
          <cell r="B318" t="str">
            <v>Santosh Sinha</v>
          </cell>
        </row>
        <row r="319">
          <cell r="A319" t="str">
            <v>CUST-318</v>
          </cell>
          <cell r="B319" t="str">
            <v>Sarda Angency ( Raj Dad )</v>
          </cell>
        </row>
        <row r="320">
          <cell r="A320" t="str">
            <v>CUST-319</v>
          </cell>
          <cell r="B320" t="str">
            <v>Sashikant ( Raj )</v>
          </cell>
        </row>
        <row r="321">
          <cell r="A321" t="str">
            <v>CUST-320</v>
          </cell>
          <cell r="B321" t="str">
            <v>Sau</v>
          </cell>
        </row>
        <row r="322">
          <cell r="A322" t="str">
            <v>CUST-321</v>
          </cell>
          <cell r="B322" t="str">
            <v>Sau Thekedar</v>
          </cell>
        </row>
        <row r="323">
          <cell r="A323" t="str">
            <v>CUST-322</v>
          </cell>
          <cell r="B323" t="str">
            <v>Saurabh Meshram</v>
          </cell>
        </row>
        <row r="324">
          <cell r="A324" t="str">
            <v>CUST-323</v>
          </cell>
          <cell r="B324" t="str">
            <v>Saurabh Vidhate</v>
          </cell>
        </row>
        <row r="325">
          <cell r="A325" t="str">
            <v>CUST-324</v>
          </cell>
          <cell r="B325" t="str">
            <v>Seat Wala</v>
          </cell>
        </row>
        <row r="326">
          <cell r="A326" t="str">
            <v>CUST-325</v>
          </cell>
          <cell r="B326" t="str">
            <v>Shailja Enterprise</v>
          </cell>
        </row>
        <row r="327">
          <cell r="A327" t="str">
            <v>CUST-326</v>
          </cell>
          <cell r="B327" t="str">
            <v xml:space="preserve">Sham Builder </v>
          </cell>
        </row>
        <row r="328">
          <cell r="A328" t="str">
            <v>CUST-327</v>
          </cell>
          <cell r="B328" t="str">
            <v>Shardur</v>
          </cell>
        </row>
        <row r="329">
          <cell r="A329" t="str">
            <v>CUST-328</v>
          </cell>
          <cell r="B329" t="str">
            <v>Sharif Mistri</v>
          </cell>
        </row>
        <row r="330">
          <cell r="A330" t="str">
            <v>CUST-329</v>
          </cell>
          <cell r="B330" t="str">
            <v>Sharik</v>
          </cell>
        </row>
        <row r="331">
          <cell r="A331" t="str">
            <v>CUST-330</v>
          </cell>
          <cell r="B331" t="str">
            <v xml:space="preserve">Sharik </v>
          </cell>
        </row>
        <row r="332">
          <cell r="A332" t="str">
            <v>CUST-331</v>
          </cell>
          <cell r="B332" t="str">
            <v>Sharik thekedar</v>
          </cell>
        </row>
        <row r="333">
          <cell r="A333" t="str">
            <v>CUST-332</v>
          </cell>
          <cell r="B333" t="str">
            <v>Sharukh Bhaiya</v>
          </cell>
        </row>
        <row r="334">
          <cell r="A334" t="str">
            <v>CUST-333</v>
          </cell>
          <cell r="B334" t="str">
            <v>Shende</v>
          </cell>
        </row>
        <row r="335">
          <cell r="A335" t="str">
            <v>CUST-334</v>
          </cell>
          <cell r="B335" t="str">
            <v>Shera Bhaiya</v>
          </cell>
        </row>
        <row r="336">
          <cell r="A336" t="str">
            <v>CUST-335</v>
          </cell>
          <cell r="B336" t="str">
            <v>Shiv Mandir</v>
          </cell>
        </row>
        <row r="337">
          <cell r="A337" t="str">
            <v>CUST-336</v>
          </cell>
          <cell r="B337" t="str">
            <v>Shiva Korewar</v>
          </cell>
        </row>
        <row r="338">
          <cell r="A338" t="str">
            <v>CUST-337</v>
          </cell>
          <cell r="B338" t="str">
            <v>Shri Sai ( Raj Dad )</v>
          </cell>
        </row>
        <row r="339">
          <cell r="A339" t="str">
            <v>CUST-338</v>
          </cell>
          <cell r="B339" t="str">
            <v>Shrisagar</v>
          </cell>
        </row>
        <row r="340">
          <cell r="A340" t="str">
            <v>CUST-339</v>
          </cell>
          <cell r="B340" t="str">
            <v>Shubham Bondare</v>
          </cell>
        </row>
        <row r="341">
          <cell r="A341" t="str">
            <v>CUST-340</v>
          </cell>
          <cell r="B341" t="str">
            <v>Shubham Dada</v>
          </cell>
        </row>
        <row r="342">
          <cell r="A342" t="str">
            <v>CUST-341</v>
          </cell>
          <cell r="B342" t="str">
            <v>Shubham Sakarkar</v>
          </cell>
        </row>
        <row r="343">
          <cell r="A343" t="str">
            <v>CUST-342</v>
          </cell>
          <cell r="B343" t="str">
            <v>Shubhash Mistri</v>
          </cell>
        </row>
        <row r="344">
          <cell r="A344" t="str">
            <v>CUST-343</v>
          </cell>
          <cell r="B344" t="str">
            <v>Shyam Kulmete</v>
          </cell>
        </row>
        <row r="345">
          <cell r="A345" t="str">
            <v>CUST-344</v>
          </cell>
          <cell r="B345" t="str">
            <v>Sina Thekedar</v>
          </cell>
        </row>
        <row r="346">
          <cell r="A346" t="str">
            <v>CUST-345</v>
          </cell>
          <cell r="B346" t="str">
            <v>Sonalika Ramtake ( Raj Order )</v>
          </cell>
        </row>
        <row r="347">
          <cell r="A347" t="str">
            <v>CUST-346</v>
          </cell>
          <cell r="B347" t="str">
            <v>Sonaware</v>
          </cell>
        </row>
        <row r="348">
          <cell r="A348" t="str">
            <v>CUST-347</v>
          </cell>
          <cell r="B348" t="str">
            <v>Sontake</v>
          </cell>
        </row>
        <row r="349">
          <cell r="A349" t="str">
            <v>CUST-348</v>
          </cell>
          <cell r="B349" t="str">
            <v>Sonware</v>
          </cell>
        </row>
        <row r="350">
          <cell r="A350" t="str">
            <v>CUST-349</v>
          </cell>
          <cell r="B350" t="str">
            <v>Stock -  Ramp</v>
          </cell>
        </row>
        <row r="351">
          <cell r="A351" t="str">
            <v>CUST-350</v>
          </cell>
          <cell r="B351" t="str">
            <v>Sudha Hotel</v>
          </cell>
        </row>
        <row r="352">
          <cell r="A352" t="str">
            <v>CUST-351</v>
          </cell>
          <cell r="B352" t="str">
            <v>Sukhdev</v>
          </cell>
        </row>
        <row r="353">
          <cell r="A353" t="str">
            <v>CUST-352</v>
          </cell>
          <cell r="B353" t="str">
            <v>Sumit Meshram</v>
          </cell>
        </row>
        <row r="354">
          <cell r="A354" t="str">
            <v>CUST-353</v>
          </cell>
          <cell r="B354" t="str">
            <v>Sunil Balki</v>
          </cell>
        </row>
        <row r="355">
          <cell r="A355" t="str">
            <v>CUST-354</v>
          </cell>
          <cell r="B355" t="str">
            <v xml:space="preserve">Sunil Balki </v>
          </cell>
        </row>
        <row r="356">
          <cell r="A356" t="str">
            <v>CUST-355</v>
          </cell>
          <cell r="B356" t="str">
            <v>Sunny Dad</v>
          </cell>
        </row>
        <row r="357">
          <cell r="A357" t="str">
            <v>CUST-356</v>
          </cell>
          <cell r="B357" t="str">
            <v>Suraj</v>
          </cell>
        </row>
        <row r="358">
          <cell r="A358" t="str">
            <v>CUST-357</v>
          </cell>
          <cell r="B358" t="str">
            <v xml:space="preserve">Surana </v>
          </cell>
        </row>
        <row r="359">
          <cell r="A359" t="str">
            <v>CUST-358</v>
          </cell>
          <cell r="B359" t="str">
            <v>Suresh Pachare</v>
          </cell>
        </row>
        <row r="360">
          <cell r="A360" t="str">
            <v>CUST-359</v>
          </cell>
          <cell r="B360" t="str">
            <v>Surr</v>
          </cell>
        </row>
        <row r="361">
          <cell r="A361" t="str">
            <v>CUST-360</v>
          </cell>
          <cell r="B361" t="str">
            <v>Tejas Pawar</v>
          </cell>
        </row>
        <row r="362">
          <cell r="A362" t="str">
            <v>CUST-361</v>
          </cell>
          <cell r="B362" t="str">
            <v>Thackery ( Raj )</v>
          </cell>
        </row>
        <row r="363">
          <cell r="A363" t="str">
            <v>CUST-362</v>
          </cell>
          <cell r="B363" t="str">
            <v>Tiushal Chawda</v>
          </cell>
        </row>
        <row r="364">
          <cell r="A364" t="str">
            <v>CUST-363</v>
          </cell>
          <cell r="B364" t="str">
            <v>Toyota</v>
          </cell>
        </row>
        <row r="365">
          <cell r="A365" t="str">
            <v>CUST-364</v>
          </cell>
          <cell r="B365" t="str">
            <v>Tukum</v>
          </cell>
        </row>
        <row r="366">
          <cell r="A366" t="str">
            <v>CUST-365</v>
          </cell>
          <cell r="B366" t="str">
            <v>Turankar ( Raj )</v>
          </cell>
        </row>
        <row r="367">
          <cell r="A367" t="str">
            <v>CUST-366</v>
          </cell>
          <cell r="B367" t="str">
            <v>Tyre Wala</v>
          </cell>
        </row>
        <row r="368">
          <cell r="A368" t="str">
            <v>CUST-367</v>
          </cell>
          <cell r="B368" t="str">
            <v>Ujjawala Marketing</v>
          </cell>
        </row>
        <row r="369">
          <cell r="A369" t="str">
            <v>CUST-368</v>
          </cell>
          <cell r="B369" t="str">
            <v>Unknown ( Raj )</v>
          </cell>
        </row>
        <row r="370">
          <cell r="A370" t="str">
            <v>CUST-369</v>
          </cell>
          <cell r="B370" t="str">
            <v>Upadya</v>
          </cell>
        </row>
        <row r="371">
          <cell r="A371" t="str">
            <v>CUST-370</v>
          </cell>
          <cell r="B371" t="str">
            <v>vaman Shende</v>
          </cell>
        </row>
        <row r="372">
          <cell r="A372" t="str">
            <v>CUST-371</v>
          </cell>
          <cell r="B372" t="str">
            <v>Vansh Nikose</v>
          </cell>
        </row>
        <row r="373">
          <cell r="A373" t="str">
            <v>CUST-372</v>
          </cell>
          <cell r="B373" t="str">
            <v>Vasanda</v>
          </cell>
        </row>
        <row r="374">
          <cell r="A374" t="str">
            <v>CUST-373</v>
          </cell>
          <cell r="B374" t="str">
            <v>Vedant Wargane</v>
          </cell>
        </row>
        <row r="375">
          <cell r="A375" t="str">
            <v>CUST-374</v>
          </cell>
          <cell r="B375" t="str">
            <v>Vicky ( Padoli Sarpanch )</v>
          </cell>
        </row>
        <row r="376">
          <cell r="A376" t="str">
            <v>CUST-375</v>
          </cell>
          <cell r="B376" t="str">
            <v>Vijayendra Selokar</v>
          </cell>
        </row>
        <row r="377">
          <cell r="A377" t="str">
            <v>CUST-376</v>
          </cell>
          <cell r="B377" t="str">
            <v>Vilas Tonge</v>
          </cell>
        </row>
        <row r="378">
          <cell r="A378" t="str">
            <v>CUST-377</v>
          </cell>
          <cell r="B378" t="str">
            <v>Vineet Ramteke</v>
          </cell>
        </row>
        <row r="379">
          <cell r="A379" t="str">
            <v>CUST-378</v>
          </cell>
          <cell r="B379" t="str">
            <v>Vishal Chaware</v>
          </cell>
        </row>
        <row r="380">
          <cell r="A380" t="str">
            <v>CUST-379</v>
          </cell>
          <cell r="B380" t="str">
            <v>Vishal Patil</v>
          </cell>
        </row>
        <row r="381">
          <cell r="A381" t="str">
            <v>CUST-380</v>
          </cell>
          <cell r="B381" t="str">
            <v>Vishal Prasad</v>
          </cell>
        </row>
        <row r="382">
          <cell r="A382" t="str">
            <v>CUST-381</v>
          </cell>
          <cell r="B382" t="str">
            <v>Vishal Prasad ( Vinod Side )</v>
          </cell>
        </row>
        <row r="383">
          <cell r="A383" t="str">
            <v>CUST-382</v>
          </cell>
          <cell r="B383" t="str">
            <v>Vishal Singh</v>
          </cell>
        </row>
        <row r="384">
          <cell r="A384" t="str">
            <v>CUST-383</v>
          </cell>
          <cell r="B384" t="str">
            <v>Vishwakarma</v>
          </cell>
        </row>
        <row r="385">
          <cell r="A385" t="str">
            <v>CUST-384</v>
          </cell>
          <cell r="B385" t="str">
            <v>Wandhare</v>
          </cell>
        </row>
        <row r="386">
          <cell r="A386" t="str">
            <v>CUST-385</v>
          </cell>
          <cell r="B386" t="str">
            <v>Washing Center</v>
          </cell>
        </row>
        <row r="387">
          <cell r="A387" t="str">
            <v>CUST-386</v>
          </cell>
          <cell r="B387" t="str">
            <v>Yadav</v>
          </cell>
        </row>
        <row r="388">
          <cell r="A388" t="str">
            <v>CUST-387</v>
          </cell>
          <cell r="B388" t="str">
            <v>Yash Bhaiya</v>
          </cell>
        </row>
        <row r="389">
          <cell r="A389" t="str">
            <v>CUST-388</v>
          </cell>
          <cell r="B389" t="str">
            <v>Yash Thipe</v>
          </cell>
        </row>
        <row r="390">
          <cell r="A390" t="str">
            <v>CUST-389</v>
          </cell>
          <cell r="B390" t="str">
            <v>Yergude</v>
          </cell>
        </row>
        <row r="391">
          <cell r="A391" t="str">
            <v>CUST-390</v>
          </cell>
          <cell r="B391" t="str">
            <v>Yete</v>
          </cell>
        </row>
        <row r="392">
          <cell r="A392" t="str">
            <v>CUST-391</v>
          </cell>
          <cell r="B392" t="str">
            <v>Yogesh Bhandare</v>
          </cell>
        </row>
        <row r="393">
          <cell r="A393" t="str">
            <v>CUST-392</v>
          </cell>
          <cell r="B393" t="str">
            <v>Yuvraj Thakur</v>
          </cell>
        </row>
        <row r="394">
          <cell r="A394" t="str">
            <v>CUST-393</v>
          </cell>
          <cell r="B394" t="str">
            <v>Zamare</v>
          </cell>
        </row>
        <row r="395">
          <cell r="A395" t="str">
            <v>CUST-394</v>
          </cell>
          <cell r="B395" t="str">
            <v>N/A</v>
          </cell>
        </row>
        <row r="396">
          <cell r="A396" t="str">
            <v>CUST-395</v>
          </cell>
          <cell r="B396" t="str">
            <v>Ankush Topase</v>
          </cell>
        </row>
        <row r="397">
          <cell r="A397" t="str">
            <v>CUST-396</v>
          </cell>
          <cell r="B397" t="str">
            <v>Anuraj  ( Golu )</v>
          </cell>
        </row>
        <row r="398">
          <cell r="A398" t="str">
            <v>CUST-397</v>
          </cell>
          <cell r="B398" t="str">
            <v>Ashish Nagpure</v>
          </cell>
        </row>
        <row r="399">
          <cell r="A399" t="str">
            <v>CUST-398</v>
          </cell>
          <cell r="B399" t="str">
            <v>Atul Aatram</v>
          </cell>
        </row>
        <row r="400">
          <cell r="A400" t="str">
            <v>CUST-399</v>
          </cell>
          <cell r="B400" t="str">
            <v>Aupadhya</v>
          </cell>
        </row>
        <row r="401">
          <cell r="A401" t="str">
            <v>CUST-400</v>
          </cell>
          <cell r="B401" t="str">
            <v>Bablu Bhaiya</v>
          </cell>
        </row>
        <row r="402">
          <cell r="A402" t="str">
            <v>CUST-401</v>
          </cell>
          <cell r="B402" t="str">
            <v>Bawane</v>
          </cell>
        </row>
        <row r="403">
          <cell r="A403" t="str">
            <v>CUST-402</v>
          </cell>
          <cell r="B403" t="str">
            <v>Bobby Bhaiya</v>
          </cell>
        </row>
        <row r="404">
          <cell r="A404" t="str">
            <v>CUST-403</v>
          </cell>
          <cell r="B404" t="str">
            <v>Faizan Bhaiya</v>
          </cell>
        </row>
        <row r="405">
          <cell r="A405" t="str">
            <v>CUST-404</v>
          </cell>
          <cell r="B405" t="str">
            <v>Fateing ( Mamaji )</v>
          </cell>
        </row>
        <row r="406">
          <cell r="A406" t="str">
            <v>CUST-405</v>
          </cell>
          <cell r="B406" t="str">
            <v>Gorkar</v>
          </cell>
        </row>
        <row r="407">
          <cell r="A407" t="str">
            <v>CUST-406</v>
          </cell>
          <cell r="B407" t="str">
            <v>Gormade</v>
          </cell>
        </row>
        <row r="408">
          <cell r="A408" t="str">
            <v>CUST-407</v>
          </cell>
          <cell r="B408" t="str">
            <v>Jadish Morey</v>
          </cell>
        </row>
        <row r="409">
          <cell r="A409" t="str">
            <v>CUST-408</v>
          </cell>
          <cell r="B409" t="str">
            <v>Jagdish Yadav</v>
          </cell>
        </row>
        <row r="410">
          <cell r="A410" t="str">
            <v>CUST-409</v>
          </cell>
          <cell r="B410" t="str">
            <v>Jilte</v>
          </cell>
        </row>
        <row r="411">
          <cell r="A411" t="str">
            <v>CUST-410</v>
          </cell>
          <cell r="B411" t="str">
            <v>Lalita</v>
          </cell>
        </row>
        <row r="412">
          <cell r="A412" t="str">
            <v>CUST-411</v>
          </cell>
          <cell r="B412" t="str">
            <v>Lalita Sangarti</v>
          </cell>
        </row>
        <row r="413">
          <cell r="A413" t="str">
            <v>CUST-412</v>
          </cell>
          <cell r="B413" t="str">
            <v>Lanchu</v>
          </cell>
        </row>
        <row r="414">
          <cell r="A414" t="str">
            <v>CUST-413</v>
          </cell>
          <cell r="B414" t="str">
            <v>Manthan</v>
          </cell>
        </row>
        <row r="415">
          <cell r="A415" t="str">
            <v>CUST-414</v>
          </cell>
          <cell r="B415" t="str">
            <v>Maroti Gotkar</v>
          </cell>
        </row>
        <row r="416">
          <cell r="A416" t="str">
            <v>CUST-415</v>
          </cell>
          <cell r="B416" t="str">
            <v>Nacika Kaka</v>
          </cell>
        </row>
        <row r="417">
          <cell r="A417" t="str">
            <v>CUST-416</v>
          </cell>
          <cell r="B417" t="str">
            <v>Naresh Kaka. Order</v>
          </cell>
        </row>
        <row r="418">
          <cell r="A418" t="str">
            <v>CUST-417</v>
          </cell>
          <cell r="B418" t="str">
            <v>Pani Puri Wala</v>
          </cell>
        </row>
        <row r="419">
          <cell r="A419" t="str">
            <v>CUST-418</v>
          </cell>
          <cell r="B419" t="str">
            <v xml:space="preserve">Railway </v>
          </cell>
        </row>
        <row r="420">
          <cell r="A420" t="str">
            <v>CUST-419</v>
          </cell>
          <cell r="B420" t="str">
            <v>Raj Patil</v>
          </cell>
        </row>
        <row r="421">
          <cell r="A421" t="str">
            <v>CUST-420</v>
          </cell>
          <cell r="B421" t="str">
            <v>Robby</v>
          </cell>
        </row>
        <row r="422">
          <cell r="A422" t="str">
            <v>CUST-421</v>
          </cell>
          <cell r="B422" t="str">
            <v>Sandeep</v>
          </cell>
        </row>
        <row r="423">
          <cell r="A423" t="str">
            <v>CUST-422</v>
          </cell>
          <cell r="B423" t="str">
            <v>Sangham Palliwar</v>
          </cell>
        </row>
        <row r="424">
          <cell r="A424" t="str">
            <v>CUST-423</v>
          </cell>
          <cell r="B424" t="str">
            <v>Sanjay Wagade</v>
          </cell>
        </row>
        <row r="425">
          <cell r="A425" t="str">
            <v>CUST-424</v>
          </cell>
          <cell r="B425" t="str">
            <v>Sardarji</v>
          </cell>
        </row>
        <row r="426">
          <cell r="A426" t="str">
            <v>CUST-425</v>
          </cell>
          <cell r="B426" t="str">
            <v>Sheshrao Zhilte</v>
          </cell>
        </row>
        <row r="427">
          <cell r="A427" t="str">
            <v>CUST-426</v>
          </cell>
          <cell r="B427" t="str">
            <v>Shukla</v>
          </cell>
        </row>
        <row r="428">
          <cell r="A428" t="str">
            <v>CUST-427</v>
          </cell>
          <cell r="B428" t="str">
            <v xml:space="preserve">Suraj Sasra </v>
          </cell>
        </row>
        <row r="429">
          <cell r="A429" t="str">
            <v>CUST-428</v>
          </cell>
          <cell r="B429" t="str">
            <v>Surendra magar</v>
          </cell>
        </row>
        <row r="430">
          <cell r="A430" t="str">
            <v>CUST-429</v>
          </cell>
          <cell r="B430" t="str">
            <v>Vishal</v>
          </cell>
        </row>
        <row r="431">
          <cell r="A431" t="str">
            <v>CUST-430</v>
          </cell>
          <cell r="B431" t="str">
            <v>Vivek Tankar</v>
          </cell>
        </row>
      </sheetData>
      <sheetData sheetId="1"/>
      <sheetData sheetId="2"/>
      <sheetData sheetId="3"/>
      <sheetData sheetId="4">
        <row r="1">
          <cell r="A1" t="str">
            <v>Labour Code</v>
          </cell>
          <cell r="B1" t="str">
            <v>Labour Name</v>
          </cell>
        </row>
        <row r="2">
          <cell r="A2" t="str">
            <v>LAB-001</v>
          </cell>
          <cell r="B2" t="str">
            <v>Gaju Bhau</v>
          </cell>
        </row>
        <row r="3">
          <cell r="A3" t="str">
            <v>LAB-002</v>
          </cell>
          <cell r="B3" t="str">
            <v>Anshu</v>
          </cell>
        </row>
        <row r="4">
          <cell r="A4" t="str">
            <v>LAB-003</v>
          </cell>
          <cell r="B4" t="str">
            <v>Ravi</v>
          </cell>
        </row>
        <row r="5">
          <cell r="A5" t="str">
            <v>LAB-004</v>
          </cell>
          <cell r="B5" t="str">
            <v>Anna</v>
          </cell>
        </row>
        <row r="6">
          <cell r="A6" t="str">
            <v>LAB-005</v>
          </cell>
          <cell r="B6" t="str">
            <v>Vithal Bhau</v>
          </cell>
        </row>
        <row r="7">
          <cell r="A7" t="str">
            <v>LAB-006</v>
          </cell>
          <cell r="B7" t="str">
            <v>Shiva Driver</v>
          </cell>
        </row>
        <row r="8">
          <cell r="A8" t="str">
            <v>LAB-007</v>
          </cell>
          <cell r="B8" t="str">
            <v>Krishna</v>
          </cell>
        </row>
        <row r="9">
          <cell r="A9" t="str">
            <v>LAB-008</v>
          </cell>
          <cell r="B9" t="str">
            <v>Pravin Sapate</v>
          </cell>
        </row>
        <row r="10">
          <cell r="A10" t="str">
            <v>LAB-009</v>
          </cell>
          <cell r="B10" t="str">
            <v>Santosh</v>
          </cell>
        </row>
        <row r="11">
          <cell r="A11" t="str">
            <v>LAB-010</v>
          </cell>
          <cell r="B11" t="str">
            <v>Dhanraj</v>
          </cell>
        </row>
        <row r="12">
          <cell r="A12" t="str">
            <v>LAB-011</v>
          </cell>
          <cell r="B12" t="str">
            <v>Mangesh</v>
          </cell>
        </row>
        <row r="13">
          <cell r="A13" t="str">
            <v>LAB-012</v>
          </cell>
          <cell r="B13" t="str">
            <v>Rishab Driver</v>
          </cell>
        </row>
        <row r="14">
          <cell r="A14" t="str">
            <v>LAB-013</v>
          </cell>
          <cell r="B14" t="str">
            <v>Saurabh</v>
          </cell>
        </row>
        <row r="15">
          <cell r="A15" t="str">
            <v>LAB-014</v>
          </cell>
          <cell r="B15" t="str">
            <v>Shubham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  <sheetName val="Sheet14"/>
      <sheetName val="Jan Labour Nd Drivers"/>
    </sheetNames>
    <sheetDataSet>
      <sheetData sheetId="0"/>
      <sheetData sheetId="1"/>
      <sheetData sheetId="2"/>
      <sheetData sheetId="3">
        <row r="1">
          <cell r="A1" t="str">
            <v>Labour Code</v>
          </cell>
        </row>
        <row r="2">
          <cell r="A2" t="str">
            <v>LAB-001</v>
          </cell>
        </row>
        <row r="3">
          <cell r="A3" t="str">
            <v>LAB-002</v>
          </cell>
        </row>
        <row r="4">
          <cell r="A4" t="str">
            <v>LAB-003</v>
          </cell>
        </row>
        <row r="5">
          <cell r="A5" t="str">
            <v>LAB-004</v>
          </cell>
        </row>
        <row r="6">
          <cell r="A6" t="str">
            <v>LAB-005</v>
          </cell>
        </row>
        <row r="7">
          <cell r="A7" t="str">
            <v>LAB-006</v>
          </cell>
        </row>
        <row r="8">
          <cell r="A8" t="str">
            <v>LAB-007</v>
          </cell>
        </row>
        <row r="9">
          <cell r="A9" t="str">
            <v>LAB-008</v>
          </cell>
        </row>
        <row r="10">
          <cell r="A10" t="str">
            <v>LAB-009</v>
          </cell>
        </row>
        <row r="11">
          <cell r="A11" t="str">
            <v>LAB-010</v>
          </cell>
        </row>
        <row r="12">
          <cell r="A12" t="str">
            <v>LAB-011</v>
          </cell>
        </row>
        <row r="13">
          <cell r="A13" t="str">
            <v>LAB-012</v>
          </cell>
        </row>
        <row r="14">
          <cell r="A14" t="str">
            <v>LAB-013</v>
          </cell>
        </row>
        <row r="15">
          <cell r="A15" t="str">
            <v>LAB-014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52E9-A27B-8344-983E-7A560D2321E4}">
  <dimension ref="A1:AB103"/>
  <sheetViews>
    <sheetView tabSelected="1" topLeftCell="N1" zoomScale="125" workbookViewId="0">
      <selection activeCell="W18" sqref="W18"/>
    </sheetView>
  </sheetViews>
  <sheetFormatPr baseColWidth="10" defaultRowHeight="16" x14ac:dyDescent="0.2"/>
  <cols>
    <col min="2" max="2" width="36.83203125" customWidth="1"/>
    <col min="3" max="3" width="21.6640625" customWidth="1"/>
    <col min="4" max="5" width="25.6640625" customWidth="1"/>
    <col min="9" max="9" width="18.33203125" customWidth="1"/>
    <col min="10" max="10" width="24.33203125" customWidth="1"/>
    <col min="12" max="12" width="22.5" customWidth="1"/>
    <col min="13" max="13" width="10.83203125" style="15"/>
    <col min="20" max="20" width="19" customWidth="1"/>
    <col min="22" max="23" width="20.6640625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8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117</v>
      </c>
      <c r="AA1" s="1" t="s">
        <v>118</v>
      </c>
      <c r="AB1" s="1" t="s">
        <v>119</v>
      </c>
    </row>
    <row r="2" spans="1:28" x14ac:dyDescent="0.2">
      <c r="A2" t="str">
        <f>"TRIP-HF-"&amp;TEXT(ROW()-1,"000")</f>
        <v>TRIP-HF-001</v>
      </c>
      <c r="B2" s="13">
        <v>45669</v>
      </c>
      <c r="C2" t="str">
        <f>_xlfn.XLOOKUP(D2,'[1]Jan Customer Duplicate Hyva'!$B:$B,'[1]Jan Customer Duplicate Hyva'!$A:$A,"NOT FOUND")</f>
        <v>CUST-117</v>
      </c>
      <c r="D2" s="14" t="s">
        <v>35</v>
      </c>
      <c r="E2" s="14" t="s">
        <v>33</v>
      </c>
      <c r="F2" t="str">
        <f>E2</f>
        <v>Gaju Bhau</v>
      </c>
      <c r="I2" t="str">
        <f>_xlfn.XLOOKUP(F2,'[1]Jan Labour Nd Drivers Hyva'!$B:$B,'[1]Jan Labour Nd Drivers Hyva'!$A:$A,"NOT FOUND")</f>
        <v>LAB-001</v>
      </c>
      <c r="L2" s="14" t="s">
        <v>49</v>
      </c>
      <c r="M2" s="15">
        <v>1</v>
      </c>
      <c r="N2" s="16">
        <v>12000</v>
      </c>
      <c r="O2" s="16">
        <f t="shared" ref="O2:O14" si="0">N2*M2</f>
        <v>12000</v>
      </c>
      <c r="P2" s="16">
        <v>12000</v>
      </c>
      <c r="Q2" s="16">
        <f t="shared" ref="Q2:Q14" si="1">O2-P2</f>
        <v>0</v>
      </c>
      <c r="R2" s="2" t="str">
        <f t="shared" ref="R2:R14" si="2">IF(Q2=0,"PAID",IF(P2=0,"UNPAID","PARTIAL"))</f>
        <v>PAID</v>
      </c>
      <c r="T2">
        <f>M2*N2</f>
        <v>12000</v>
      </c>
      <c r="U2" t="str">
        <f>IF(ROUND(T2,2)=ROUND(O2,2),"OK","CHECK")</f>
        <v>OK</v>
      </c>
      <c r="V2" s="17">
        <f>O2-P2</f>
        <v>0</v>
      </c>
      <c r="W2" t="str">
        <f>IF(ROUND(V2,2)=ROUND(Q2,2),"OK","CHECK")</f>
        <v>OK</v>
      </c>
      <c r="X2" s="2" t="s">
        <v>28</v>
      </c>
      <c r="Y2" s="2" t="s">
        <v>29</v>
      </c>
      <c r="Z2" t="s">
        <v>120</v>
      </c>
      <c r="AA2" t="s">
        <v>120</v>
      </c>
      <c r="AB2" t="s">
        <v>120</v>
      </c>
    </row>
    <row r="3" spans="1:28" x14ac:dyDescent="0.2">
      <c r="A3" t="str">
        <f t="shared" ref="A3:A66" si="3">"TRIP-HF-"&amp;TEXT(ROW()-1,"000")</f>
        <v>TRIP-HF-002</v>
      </c>
      <c r="B3" s="13">
        <v>45670</v>
      </c>
      <c r="C3" t="str">
        <f>_xlfn.XLOOKUP(D3,'[1]Jan Customer Duplicate Hyva'!$B:$B,'[1]Jan Customer Duplicate Hyva'!$A:$A,"NOT FOUND")</f>
        <v>CUST-340</v>
      </c>
      <c r="D3" s="14" t="s">
        <v>121</v>
      </c>
      <c r="E3" s="14" t="s">
        <v>33</v>
      </c>
      <c r="F3" t="str">
        <f t="shared" ref="F3:F14" si="4">E3</f>
        <v>Gaju Bhau</v>
      </c>
      <c r="I3" t="str">
        <f>_xlfn.XLOOKUP(F3,'[1]Jan Labour Nd Drivers Hyva'!$B:$B,'[1]Jan Labour Nd Drivers Hyva'!$A:$A,"NOT FOUND")</f>
        <v>LAB-001</v>
      </c>
      <c r="L3" s="14" t="s">
        <v>106</v>
      </c>
      <c r="M3" s="15">
        <v>1</v>
      </c>
      <c r="N3" s="16">
        <v>10000</v>
      </c>
      <c r="O3" s="16">
        <f t="shared" si="0"/>
        <v>10000</v>
      </c>
      <c r="P3" s="16"/>
      <c r="Q3" s="16">
        <f t="shared" si="1"/>
        <v>10000</v>
      </c>
      <c r="R3" s="2" t="str">
        <f t="shared" si="2"/>
        <v>UNPAID</v>
      </c>
      <c r="T3">
        <f t="shared" ref="T3:T14" si="5">M3*N3</f>
        <v>10000</v>
      </c>
      <c r="U3" t="str">
        <f t="shared" ref="U3:U14" si="6">IF(ROUND(T3,2)=ROUND(O3,2),"OK","CHECK")</f>
        <v>OK</v>
      </c>
      <c r="V3" s="17">
        <f t="shared" ref="V3:V14" si="7">O3-P3</f>
        <v>10000</v>
      </c>
      <c r="W3" t="str">
        <f t="shared" ref="W3:W14" si="8">IF(ROUND(V3,2)=ROUND(Q3,2),"OK","CHECK")</f>
        <v>OK</v>
      </c>
      <c r="X3" s="2" t="s">
        <v>28</v>
      </c>
      <c r="Y3" s="2" t="s">
        <v>29</v>
      </c>
      <c r="Z3" t="s">
        <v>120</v>
      </c>
      <c r="AA3" t="s">
        <v>120</v>
      </c>
      <c r="AB3" t="s">
        <v>120</v>
      </c>
    </row>
    <row r="4" spans="1:28" x14ac:dyDescent="0.2">
      <c r="A4" t="str">
        <f t="shared" si="3"/>
        <v>TRIP-HF-003</v>
      </c>
      <c r="B4" s="13">
        <v>45670</v>
      </c>
      <c r="C4" t="str">
        <f>_xlfn.XLOOKUP(D4,'[1]Jan Customer Duplicate Hyva'!$B:$B,'[1]Jan Customer Duplicate Hyva'!$A:$A,"NOT FOUND")</f>
        <v>CUST-402</v>
      </c>
      <c r="D4" s="14" t="s">
        <v>41</v>
      </c>
      <c r="E4" s="14" t="s">
        <v>33</v>
      </c>
      <c r="F4" t="str">
        <f t="shared" si="4"/>
        <v>Gaju Bhau</v>
      </c>
      <c r="I4" t="str">
        <f>_xlfn.XLOOKUP(F4,'[1]Jan Labour Nd Drivers Hyva'!$B:$B,'[1]Jan Labour Nd Drivers Hyva'!$A:$A,"NOT FOUND")</f>
        <v>LAB-001</v>
      </c>
      <c r="L4" s="14" t="s">
        <v>42</v>
      </c>
      <c r="M4" s="15">
        <v>1</v>
      </c>
      <c r="N4" s="16">
        <v>10000</v>
      </c>
      <c r="O4" s="16">
        <f t="shared" si="0"/>
        <v>10000</v>
      </c>
      <c r="P4" s="16">
        <v>10000</v>
      </c>
      <c r="Q4" s="16">
        <f t="shared" si="1"/>
        <v>0</v>
      </c>
      <c r="R4" s="2" t="str">
        <f t="shared" si="2"/>
        <v>PAID</v>
      </c>
      <c r="T4">
        <f t="shared" si="5"/>
        <v>10000</v>
      </c>
      <c r="U4" t="str">
        <f t="shared" si="6"/>
        <v>OK</v>
      </c>
      <c r="V4" s="17">
        <f t="shared" si="7"/>
        <v>0</v>
      </c>
      <c r="W4" t="str">
        <f t="shared" si="8"/>
        <v>OK</v>
      </c>
      <c r="X4" s="2" t="s">
        <v>28</v>
      </c>
      <c r="Y4" s="2" t="s">
        <v>29</v>
      </c>
      <c r="Z4" t="s">
        <v>120</v>
      </c>
      <c r="AA4" t="s">
        <v>120</v>
      </c>
      <c r="AB4" t="s">
        <v>120</v>
      </c>
    </row>
    <row r="5" spans="1:28" x14ac:dyDescent="0.2">
      <c r="A5" t="str">
        <f t="shared" si="3"/>
        <v>TRIP-HF-004</v>
      </c>
      <c r="B5" s="13">
        <v>45670</v>
      </c>
      <c r="C5" t="str">
        <f>_xlfn.XLOOKUP(D5,'[1]Jan Customer Duplicate Hyva'!$B:$B,'[1]Jan Customer Duplicate Hyva'!$A:$A,"NOT FOUND")</f>
        <v>CUST-340</v>
      </c>
      <c r="D5" s="14" t="s">
        <v>121</v>
      </c>
      <c r="E5" s="14" t="s">
        <v>26</v>
      </c>
      <c r="F5" t="str">
        <f t="shared" si="4"/>
        <v>Anshu</v>
      </c>
      <c r="I5" t="str">
        <f>_xlfn.XLOOKUP(F5,'[1]Jan Labour Nd Drivers Hyva'!$B:$B,'[1]Jan Labour Nd Drivers Hyva'!$A:$A,"NOT FOUND")</f>
        <v>LAB-002</v>
      </c>
      <c r="L5" s="14" t="s">
        <v>107</v>
      </c>
      <c r="M5" s="15">
        <v>1</v>
      </c>
      <c r="N5" s="16">
        <v>9500</v>
      </c>
      <c r="O5" s="16">
        <f t="shared" si="0"/>
        <v>9500</v>
      </c>
      <c r="P5" s="16">
        <v>9500</v>
      </c>
      <c r="Q5" s="16">
        <f t="shared" si="1"/>
        <v>0</v>
      </c>
      <c r="R5" s="2" t="str">
        <f t="shared" si="2"/>
        <v>PAID</v>
      </c>
      <c r="T5">
        <f t="shared" si="5"/>
        <v>9500</v>
      </c>
      <c r="U5" t="str">
        <f t="shared" si="6"/>
        <v>OK</v>
      </c>
      <c r="V5" s="17">
        <f t="shared" si="7"/>
        <v>0</v>
      </c>
      <c r="W5" t="str">
        <f t="shared" si="8"/>
        <v>OK</v>
      </c>
      <c r="X5" s="2" t="s">
        <v>28</v>
      </c>
      <c r="Y5" s="2" t="s">
        <v>29</v>
      </c>
      <c r="Z5" t="s">
        <v>120</v>
      </c>
      <c r="AA5" t="s">
        <v>120</v>
      </c>
      <c r="AB5" t="s">
        <v>120</v>
      </c>
    </row>
    <row r="6" spans="1:28" x14ac:dyDescent="0.2">
      <c r="A6" t="str">
        <f t="shared" si="3"/>
        <v>TRIP-HF-005</v>
      </c>
      <c r="B6" s="13">
        <v>45670</v>
      </c>
      <c r="C6" t="str">
        <f>_xlfn.XLOOKUP(D6,'[1]Jan Customer Duplicate Hyva'!$B:$B,'[1]Jan Customer Duplicate Hyva'!$A:$A,"NOT FOUND")</f>
        <v>CUST-399</v>
      </c>
      <c r="D6" s="14" t="s">
        <v>108</v>
      </c>
      <c r="E6" s="14" t="s">
        <v>26</v>
      </c>
      <c r="F6" t="str">
        <f t="shared" si="4"/>
        <v>Anshu</v>
      </c>
      <c r="I6" t="str">
        <f>_xlfn.XLOOKUP(F6,'[1]Jan Labour Nd Drivers Hyva'!$B:$B,'[1]Jan Labour Nd Drivers Hyva'!$A:$A,"NOT FOUND")</f>
        <v>LAB-002</v>
      </c>
      <c r="L6" s="14" t="s">
        <v>109</v>
      </c>
      <c r="M6" s="15">
        <v>1</v>
      </c>
      <c r="N6" s="16">
        <v>2000</v>
      </c>
      <c r="O6" s="16">
        <f t="shared" si="0"/>
        <v>2000</v>
      </c>
      <c r="P6" s="16">
        <v>2000</v>
      </c>
      <c r="Q6" s="16">
        <f t="shared" si="1"/>
        <v>0</v>
      </c>
      <c r="R6" s="2" t="str">
        <f t="shared" si="2"/>
        <v>PAID</v>
      </c>
      <c r="T6">
        <f t="shared" si="5"/>
        <v>2000</v>
      </c>
      <c r="U6" t="str">
        <f t="shared" si="6"/>
        <v>OK</v>
      </c>
      <c r="V6" s="17">
        <f t="shared" si="7"/>
        <v>0</v>
      </c>
      <c r="W6" t="str">
        <f t="shared" si="8"/>
        <v>OK</v>
      </c>
      <c r="X6" s="2" t="s">
        <v>28</v>
      </c>
      <c r="Y6" s="2" t="s">
        <v>29</v>
      </c>
      <c r="Z6" t="s">
        <v>120</v>
      </c>
      <c r="AA6" t="s">
        <v>120</v>
      </c>
      <c r="AB6" t="s">
        <v>120</v>
      </c>
    </row>
    <row r="7" spans="1:28" x14ac:dyDescent="0.2">
      <c r="A7" t="str">
        <f t="shared" si="3"/>
        <v>TRIP-HF-006</v>
      </c>
      <c r="B7" s="13">
        <v>45672</v>
      </c>
      <c r="C7" t="str">
        <f>_xlfn.XLOOKUP(D7,'[1]Jan Customer Duplicate Hyva'!$B:$B,'[1]Jan Customer Duplicate Hyva'!$A:$A,"NOT FOUND")</f>
        <v>CUST-394</v>
      </c>
      <c r="D7" s="14" t="s">
        <v>120</v>
      </c>
      <c r="E7" s="14" t="s">
        <v>26</v>
      </c>
      <c r="F7" t="str">
        <f t="shared" si="4"/>
        <v>Anshu</v>
      </c>
      <c r="I7" t="str">
        <f>_xlfn.XLOOKUP(F7,'[1]Jan Labour Nd Drivers Hyva'!$B:$B,'[1]Jan Labour Nd Drivers Hyva'!$A:$A,"NOT FOUND")</f>
        <v>LAB-002</v>
      </c>
      <c r="L7" s="14" t="s">
        <v>110</v>
      </c>
      <c r="M7" s="15">
        <v>1</v>
      </c>
      <c r="N7" s="16">
        <v>10000</v>
      </c>
      <c r="O7" s="16">
        <f t="shared" si="0"/>
        <v>10000</v>
      </c>
      <c r="P7" s="16">
        <v>10000</v>
      </c>
      <c r="Q7" s="16">
        <f t="shared" si="1"/>
        <v>0</v>
      </c>
      <c r="R7" s="2" t="str">
        <f t="shared" si="2"/>
        <v>PAID</v>
      </c>
      <c r="T7">
        <f t="shared" si="5"/>
        <v>10000</v>
      </c>
      <c r="U7" t="str">
        <f t="shared" si="6"/>
        <v>OK</v>
      </c>
      <c r="V7" s="17">
        <f t="shared" si="7"/>
        <v>0</v>
      </c>
      <c r="W7" t="str">
        <f t="shared" si="8"/>
        <v>OK</v>
      </c>
      <c r="X7" s="2" t="s">
        <v>28</v>
      </c>
      <c r="Y7" s="2" t="s">
        <v>29</v>
      </c>
      <c r="Z7" t="s">
        <v>120</v>
      </c>
      <c r="AA7" t="s">
        <v>120</v>
      </c>
      <c r="AB7" t="s">
        <v>120</v>
      </c>
    </row>
    <row r="8" spans="1:28" x14ac:dyDescent="0.2">
      <c r="A8" t="str">
        <f t="shared" si="3"/>
        <v>TRIP-HF-007</v>
      </c>
      <c r="B8" s="13">
        <v>45675</v>
      </c>
      <c r="C8" t="str">
        <f>_xlfn.XLOOKUP(D8,'[1]Jan Customer Duplicate Hyva'!$B:$B,'[1]Jan Customer Duplicate Hyva'!$A:$A,"NOT FOUND")</f>
        <v>CUST-420</v>
      </c>
      <c r="D8" s="14" t="s">
        <v>111</v>
      </c>
      <c r="E8" s="14" t="s">
        <v>26</v>
      </c>
      <c r="F8" t="str">
        <f t="shared" si="4"/>
        <v>Anshu</v>
      </c>
      <c r="I8" t="str">
        <f>_xlfn.XLOOKUP(F8,'[1]Jan Labour Nd Drivers Hyva'!$B:$B,'[1]Jan Labour Nd Drivers Hyva'!$A:$A,"NOT FOUND")</f>
        <v>LAB-002</v>
      </c>
      <c r="L8" s="14" t="s">
        <v>112</v>
      </c>
      <c r="M8" s="15">
        <v>1</v>
      </c>
      <c r="N8" s="16">
        <v>10000</v>
      </c>
      <c r="O8" s="16">
        <f t="shared" si="0"/>
        <v>10000</v>
      </c>
      <c r="P8" s="16"/>
      <c r="Q8" s="16">
        <f t="shared" si="1"/>
        <v>10000</v>
      </c>
      <c r="R8" s="2" t="str">
        <f t="shared" si="2"/>
        <v>UNPAID</v>
      </c>
      <c r="T8">
        <f t="shared" si="5"/>
        <v>10000</v>
      </c>
      <c r="U8" t="str">
        <f t="shared" si="6"/>
        <v>OK</v>
      </c>
      <c r="V8" s="17">
        <f t="shared" si="7"/>
        <v>10000</v>
      </c>
      <c r="W8" t="str">
        <f t="shared" si="8"/>
        <v>OK</v>
      </c>
      <c r="X8" s="2" t="s">
        <v>28</v>
      </c>
      <c r="Y8" s="2" t="s">
        <v>29</v>
      </c>
      <c r="Z8" t="s">
        <v>120</v>
      </c>
      <c r="AA8" t="s">
        <v>120</v>
      </c>
      <c r="AB8" t="s">
        <v>120</v>
      </c>
    </row>
    <row r="9" spans="1:28" x14ac:dyDescent="0.2">
      <c r="A9" t="str">
        <f t="shared" si="3"/>
        <v>TRIP-HF-008</v>
      </c>
      <c r="B9" s="13">
        <v>45679</v>
      </c>
      <c r="C9" t="str">
        <f>_xlfn.XLOOKUP(D9,'[1]Jan Customer Duplicate Hyva'!$B:$B,'[1]Jan Customer Duplicate Hyva'!$A:$A,"NOT FOUND")</f>
        <v>CUST-406</v>
      </c>
      <c r="D9" s="14" t="s">
        <v>113</v>
      </c>
      <c r="E9" s="14" t="s">
        <v>26</v>
      </c>
      <c r="F9" t="str">
        <f t="shared" si="4"/>
        <v>Anshu</v>
      </c>
      <c r="I9" t="str">
        <f>_xlfn.XLOOKUP(F9,'[1]Jan Labour Nd Drivers Hyva'!$B:$B,'[1]Jan Labour Nd Drivers Hyva'!$A:$A,"NOT FOUND")</f>
        <v>LAB-002</v>
      </c>
      <c r="L9" s="14" t="s">
        <v>50</v>
      </c>
      <c r="M9" s="15">
        <v>1</v>
      </c>
      <c r="N9" s="16">
        <v>10000</v>
      </c>
      <c r="O9" s="16">
        <f t="shared" si="0"/>
        <v>10000</v>
      </c>
      <c r="P9" s="16">
        <v>10000</v>
      </c>
      <c r="Q9" s="16">
        <f t="shared" si="1"/>
        <v>0</v>
      </c>
      <c r="R9" s="2" t="str">
        <f t="shared" si="2"/>
        <v>PAID</v>
      </c>
      <c r="T9">
        <f t="shared" si="5"/>
        <v>10000</v>
      </c>
      <c r="U9" t="str">
        <f t="shared" si="6"/>
        <v>OK</v>
      </c>
      <c r="V9" s="17">
        <f t="shared" si="7"/>
        <v>0</v>
      </c>
      <c r="W9" t="str">
        <f t="shared" si="8"/>
        <v>OK</v>
      </c>
      <c r="X9" s="2" t="s">
        <v>28</v>
      </c>
      <c r="Y9" s="2" t="s">
        <v>29</v>
      </c>
      <c r="Z9" t="s">
        <v>120</v>
      </c>
      <c r="AA9" t="s">
        <v>120</v>
      </c>
      <c r="AB9" t="s">
        <v>120</v>
      </c>
    </row>
    <row r="10" spans="1:28" x14ac:dyDescent="0.2">
      <c r="A10" t="str">
        <f t="shared" si="3"/>
        <v>TRIP-HF-009</v>
      </c>
      <c r="B10" s="13">
        <v>45679</v>
      </c>
      <c r="C10" t="str">
        <f>_xlfn.XLOOKUP(D10,'[1]Jan Customer Duplicate Hyva'!$B:$B,'[1]Jan Customer Duplicate Hyva'!$A:$A,"NOT FOUND")</f>
        <v>CUST-328</v>
      </c>
      <c r="D10" s="14" t="s">
        <v>84</v>
      </c>
      <c r="E10" s="14" t="s">
        <v>26</v>
      </c>
      <c r="F10" t="str">
        <f t="shared" si="4"/>
        <v>Anshu</v>
      </c>
      <c r="I10" t="str">
        <f>_xlfn.XLOOKUP(F10,'[1]Jan Labour Nd Drivers Hyva'!$B:$B,'[1]Jan Labour Nd Drivers Hyva'!$A:$A,"NOT FOUND")</f>
        <v>LAB-002</v>
      </c>
      <c r="L10" s="14" t="s">
        <v>114</v>
      </c>
      <c r="M10" s="15">
        <v>1</v>
      </c>
      <c r="N10" s="16">
        <v>10000</v>
      </c>
      <c r="O10" s="16">
        <f t="shared" si="0"/>
        <v>10000</v>
      </c>
      <c r="P10" s="16">
        <v>10000</v>
      </c>
      <c r="Q10" s="16">
        <f t="shared" si="1"/>
        <v>0</v>
      </c>
      <c r="R10" s="2" t="str">
        <f t="shared" si="2"/>
        <v>PAID</v>
      </c>
      <c r="T10">
        <f t="shared" si="5"/>
        <v>10000</v>
      </c>
      <c r="U10" t="str">
        <f t="shared" si="6"/>
        <v>OK</v>
      </c>
      <c r="V10" s="17">
        <f t="shared" si="7"/>
        <v>0</v>
      </c>
      <c r="W10" t="str">
        <f t="shared" si="8"/>
        <v>OK</v>
      </c>
      <c r="X10" s="2" t="s">
        <v>28</v>
      </c>
      <c r="Y10" s="2" t="s">
        <v>29</v>
      </c>
      <c r="Z10" t="s">
        <v>120</v>
      </c>
      <c r="AA10" t="s">
        <v>120</v>
      </c>
      <c r="AB10" t="s">
        <v>120</v>
      </c>
    </row>
    <row r="11" spans="1:28" x14ac:dyDescent="0.2">
      <c r="A11" t="str">
        <f t="shared" si="3"/>
        <v>TRIP-HF-010</v>
      </c>
      <c r="B11" s="13">
        <v>45680</v>
      </c>
      <c r="C11" t="str">
        <f>_xlfn.XLOOKUP(D11,'[1]Jan Customer Duplicate Hyva'!$B:$B,'[1]Jan Customer Duplicate Hyva'!$A:$A,"NOT FOUND")</f>
        <v>CUST-402</v>
      </c>
      <c r="D11" s="14" t="s">
        <v>41</v>
      </c>
      <c r="E11" s="14" t="s">
        <v>26</v>
      </c>
      <c r="F11" t="str">
        <f t="shared" si="4"/>
        <v>Anshu</v>
      </c>
      <c r="I11" t="str">
        <f>_xlfn.XLOOKUP(F11,'[1]Jan Labour Nd Drivers Hyva'!$B:$B,'[1]Jan Labour Nd Drivers Hyva'!$A:$A,"NOT FOUND")</f>
        <v>LAB-002</v>
      </c>
      <c r="L11" s="14" t="s">
        <v>42</v>
      </c>
      <c r="M11" s="15">
        <v>1</v>
      </c>
      <c r="N11" s="16">
        <v>10000</v>
      </c>
      <c r="O11" s="16">
        <f t="shared" si="0"/>
        <v>10000</v>
      </c>
      <c r="P11" s="16">
        <v>10000</v>
      </c>
      <c r="Q11" s="16">
        <f t="shared" si="1"/>
        <v>0</v>
      </c>
      <c r="R11" s="2" t="str">
        <f t="shared" si="2"/>
        <v>PAID</v>
      </c>
      <c r="T11">
        <f t="shared" si="5"/>
        <v>10000</v>
      </c>
      <c r="U11" t="str">
        <f t="shared" si="6"/>
        <v>OK</v>
      </c>
      <c r="V11" s="17">
        <f t="shared" si="7"/>
        <v>0</v>
      </c>
      <c r="W11" t="str">
        <f t="shared" si="8"/>
        <v>OK</v>
      </c>
      <c r="X11" s="2" t="s">
        <v>28</v>
      </c>
      <c r="Y11" s="2" t="s">
        <v>29</v>
      </c>
      <c r="Z11" t="s">
        <v>120</v>
      </c>
      <c r="AA11" t="s">
        <v>120</v>
      </c>
      <c r="AB11" t="s">
        <v>120</v>
      </c>
    </row>
    <row r="12" spans="1:28" x14ac:dyDescent="0.2">
      <c r="A12" t="str">
        <f t="shared" si="3"/>
        <v>TRIP-HF-011</v>
      </c>
      <c r="B12" s="13">
        <v>45681</v>
      </c>
      <c r="C12" t="str">
        <f>_xlfn.XLOOKUP(D12,'[1]Jan Customer Duplicate Hyva'!$B:$B,'[1]Jan Customer Duplicate Hyva'!$A:$A,"NOT FOUND")</f>
        <v>CUST-399</v>
      </c>
      <c r="D12" s="14" t="s">
        <v>108</v>
      </c>
      <c r="E12" s="14" t="s">
        <v>26</v>
      </c>
      <c r="F12" t="str">
        <f t="shared" si="4"/>
        <v>Anshu</v>
      </c>
      <c r="I12" t="str">
        <f>_xlfn.XLOOKUP(F12,'[1]Jan Labour Nd Drivers Hyva'!$B:$B,'[1]Jan Labour Nd Drivers Hyva'!$A:$A,"NOT FOUND")</f>
        <v>LAB-002</v>
      </c>
      <c r="L12" s="14" t="s">
        <v>115</v>
      </c>
      <c r="M12" s="15">
        <v>1</v>
      </c>
      <c r="N12" s="16">
        <v>10000</v>
      </c>
      <c r="O12" s="16">
        <f t="shared" si="0"/>
        <v>10000</v>
      </c>
      <c r="P12" s="16">
        <v>10000</v>
      </c>
      <c r="Q12" s="16">
        <f t="shared" si="1"/>
        <v>0</v>
      </c>
      <c r="R12" s="2" t="str">
        <f t="shared" si="2"/>
        <v>PAID</v>
      </c>
      <c r="T12">
        <f t="shared" si="5"/>
        <v>10000</v>
      </c>
      <c r="U12" t="str">
        <f t="shared" si="6"/>
        <v>OK</v>
      </c>
      <c r="V12" s="17">
        <f t="shared" si="7"/>
        <v>0</v>
      </c>
      <c r="W12" t="str">
        <f t="shared" si="8"/>
        <v>OK</v>
      </c>
      <c r="X12" s="2" t="s">
        <v>28</v>
      </c>
      <c r="Y12" s="2" t="s">
        <v>29</v>
      </c>
      <c r="Z12" t="s">
        <v>120</v>
      </c>
      <c r="AA12" t="s">
        <v>120</v>
      </c>
      <c r="AB12" t="s">
        <v>120</v>
      </c>
    </row>
    <row r="13" spans="1:28" x14ac:dyDescent="0.2">
      <c r="A13" t="str">
        <f t="shared" si="3"/>
        <v>TRIP-HF-012</v>
      </c>
      <c r="B13" s="13">
        <v>45682</v>
      </c>
      <c r="C13" t="str">
        <f>_xlfn.XLOOKUP(D13,'[1]Jan Customer Duplicate Hyva'!$B:$B,'[1]Jan Customer Duplicate Hyva'!$A:$A,"NOT FOUND")</f>
        <v>CUST-152</v>
      </c>
      <c r="D13" s="14" t="s">
        <v>123</v>
      </c>
      <c r="E13" s="14" t="s">
        <v>26</v>
      </c>
      <c r="F13" t="str">
        <f t="shared" si="4"/>
        <v>Anshu</v>
      </c>
      <c r="I13" t="str">
        <f>_xlfn.XLOOKUP(F13,'[1]Jan Labour Nd Drivers Hyva'!$B:$B,'[1]Jan Labour Nd Drivers Hyva'!$A:$A,"NOT FOUND")</f>
        <v>LAB-002</v>
      </c>
      <c r="L13" s="14" t="s">
        <v>116</v>
      </c>
      <c r="M13" s="15">
        <v>1</v>
      </c>
      <c r="N13" s="16">
        <v>10000</v>
      </c>
      <c r="O13" s="16">
        <f t="shared" si="0"/>
        <v>10000</v>
      </c>
      <c r="P13" s="16">
        <v>10000</v>
      </c>
      <c r="Q13" s="16">
        <f t="shared" si="1"/>
        <v>0</v>
      </c>
      <c r="R13" s="2" t="str">
        <f t="shared" si="2"/>
        <v>PAID</v>
      </c>
      <c r="T13">
        <f t="shared" si="5"/>
        <v>10000</v>
      </c>
      <c r="U13" t="str">
        <f t="shared" si="6"/>
        <v>OK</v>
      </c>
      <c r="V13" s="17">
        <f t="shared" si="7"/>
        <v>0</v>
      </c>
      <c r="W13" t="str">
        <f t="shared" si="8"/>
        <v>OK</v>
      </c>
      <c r="X13" s="2" t="s">
        <v>28</v>
      </c>
      <c r="Y13" s="2" t="s">
        <v>29</v>
      </c>
      <c r="Z13" t="s">
        <v>120</v>
      </c>
      <c r="AA13" t="s">
        <v>120</v>
      </c>
      <c r="AB13" t="s">
        <v>120</v>
      </c>
    </row>
    <row r="14" spans="1:28" x14ac:dyDescent="0.2">
      <c r="A14" t="str">
        <f t="shared" si="3"/>
        <v>TRIP-HF-013</v>
      </c>
      <c r="B14" s="13">
        <v>45688</v>
      </c>
      <c r="C14" t="str">
        <f>_xlfn.XLOOKUP(D14,'[1]Jan Customer Duplicate Hyva'!$B:$B,'[1]Jan Customer Duplicate Hyva'!$A:$A,"NOT FOUND")</f>
        <v>CUST-402</v>
      </c>
      <c r="D14" s="14" t="s">
        <v>41</v>
      </c>
      <c r="E14" s="14" t="s">
        <v>26</v>
      </c>
      <c r="F14" t="str">
        <f t="shared" si="4"/>
        <v>Anshu</v>
      </c>
      <c r="I14" t="str">
        <f>_xlfn.XLOOKUP(F14,'[1]Jan Labour Nd Drivers Hyva'!$B:$B,'[1]Jan Labour Nd Drivers Hyva'!$A:$A,"NOT FOUND")</f>
        <v>LAB-002</v>
      </c>
      <c r="L14" s="14" t="s">
        <v>42</v>
      </c>
      <c r="M14" s="15">
        <v>1</v>
      </c>
      <c r="N14" s="16">
        <v>10000</v>
      </c>
      <c r="O14" s="16">
        <f t="shared" si="0"/>
        <v>10000</v>
      </c>
      <c r="P14" s="16">
        <v>10000</v>
      </c>
      <c r="Q14" s="16">
        <f t="shared" si="1"/>
        <v>0</v>
      </c>
      <c r="R14" s="2" t="str">
        <f t="shared" si="2"/>
        <v>PAID</v>
      </c>
      <c r="T14">
        <f t="shared" si="5"/>
        <v>10000</v>
      </c>
      <c r="U14" t="str">
        <f t="shared" si="6"/>
        <v>OK</v>
      </c>
      <c r="V14" s="17">
        <f t="shared" si="7"/>
        <v>0</v>
      </c>
      <c r="W14" t="str">
        <f t="shared" si="8"/>
        <v>OK</v>
      </c>
      <c r="X14" s="2" t="s">
        <v>28</v>
      </c>
      <c r="Y14" s="2" t="s">
        <v>29</v>
      </c>
      <c r="Z14" t="s">
        <v>120</v>
      </c>
      <c r="AA14" t="s">
        <v>120</v>
      </c>
      <c r="AB14" t="s">
        <v>120</v>
      </c>
    </row>
    <row r="15" spans="1:28" x14ac:dyDescent="0.2">
      <c r="A15" t="str">
        <f t="shared" si="3"/>
        <v>TRIP-HF-014</v>
      </c>
      <c r="B15" s="3">
        <v>45693</v>
      </c>
      <c r="C15" s="2" t="str">
        <f>_xlfn.XLOOKUP(D15,'[1]Jan Customer Duplicate Hyva'!$B:$B,'[1]Jan Customer Duplicate Hyva'!$A:$A,"NOT FOUND")</f>
        <v>CUST-363</v>
      </c>
      <c r="D15" s="4" t="s">
        <v>25</v>
      </c>
      <c r="E15" s="4" t="s">
        <v>26</v>
      </c>
      <c r="F15" s="5" t="str">
        <f>TRIM(_xlfn.TEXTBEFORE(E15&amp;" / "," / "))</f>
        <v>Anshu</v>
      </c>
      <c r="G15" s="5" t="str">
        <f>IFERROR(TRIM(_xlfn.TEXTBEFORE(_xlfn.TEXTAFTER(E15," / ")&amp;" / "," / ")),"")</f>
        <v/>
      </c>
      <c r="H15" s="5" t="str">
        <f>IFERROR(TRIM(_xlfn.TEXTAFTER(E15," / ","2")),"")</f>
        <v/>
      </c>
      <c r="I15" s="5" t="str">
        <f>_xlfn.XLOOKUP(F15,'[1]Jan Labour Nd Drivers Hyva'!$B:$B,'[2]Jan Labour Nd Drivers Hyva'!$A:$A,"NOT FOUND")</f>
        <v>LAB-002</v>
      </c>
      <c r="J15" s="5" t="str">
        <f>IF(G15="","",_xlfn.XLOOKUP(G15,'[3]Jan Labour Nd Drivers Hyva'!$B:$B,'[2]Jan Labour Nd Drivers Hyva'!$A:$A,"NOT FOUND"))</f>
        <v/>
      </c>
      <c r="K15" s="2"/>
      <c r="L15" s="4" t="s">
        <v>27</v>
      </c>
      <c r="M15" s="19">
        <v>1</v>
      </c>
      <c r="N15" s="6">
        <v>10000</v>
      </c>
      <c r="O15" s="6">
        <f>N15*M15</f>
        <v>10000</v>
      </c>
      <c r="P15" s="6">
        <v>10000</v>
      </c>
      <c r="Q15" s="6">
        <f>O15-P15</f>
        <v>0</v>
      </c>
      <c r="R15" s="2" t="str">
        <f t="shared" ref="R15:R46" si="9">IF(Q15=0,"PAID",IF(P15=0,"UNPAID","PARTIAL"))</f>
        <v>PAID</v>
      </c>
      <c r="S15" s="2"/>
      <c r="T15" s="2">
        <f>M15*N15</f>
        <v>10000</v>
      </c>
      <c r="U15" s="2" t="str">
        <f>IF(ROUND(T15,2)=ROUND(O15,2),"OK","CHECK")</f>
        <v>OK</v>
      </c>
      <c r="V15" s="7">
        <f>O15-P15</f>
        <v>0</v>
      </c>
      <c r="W15" s="2" t="str">
        <f>IF(ROUND(V15,2)=ROUND(Q15,2),"OK","CHECK")</f>
        <v>OK</v>
      </c>
      <c r="X15" s="2" t="s">
        <v>28</v>
      </c>
      <c r="Y15" s="2" t="s">
        <v>29</v>
      </c>
      <c r="Z15" t="s">
        <v>120</v>
      </c>
      <c r="AA15" t="s">
        <v>120</v>
      </c>
      <c r="AB15" t="s">
        <v>120</v>
      </c>
    </row>
    <row r="16" spans="1:28" x14ac:dyDescent="0.2">
      <c r="A16" t="str">
        <f t="shared" si="3"/>
        <v>TRIP-HF-015</v>
      </c>
      <c r="B16" s="3">
        <v>45693</v>
      </c>
      <c r="C16" s="2" t="str">
        <f>_xlfn.XLOOKUP(D16,'[1]Jan Customer Duplicate Hyva'!$B:$B,'[1]Jan Customer Duplicate Hyva'!$A:$A,"NOT FOUND")</f>
        <v>CUST-340</v>
      </c>
      <c r="D16" s="4" t="s">
        <v>121</v>
      </c>
      <c r="E16" s="4" t="s">
        <v>26</v>
      </c>
      <c r="F16" s="5" t="str">
        <f t="shared" ref="F16:F79" si="10">TRIM(_xlfn.TEXTBEFORE(E16&amp;" / "," / "))</f>
        <v>Anshu</v>
      </c>
      <c r="G16" s="5" t="str">
        <f t="shared" ref="G16:G79" si="11">IFERROR(TRIM(_xlfn.TEXTBEFORE(_xlfn.TEXTAFTER(E16," / ")&amp;" / "," / ")),"")</f>
        <v/>
      </c>
      <c r="H16" s="5" t="str">
        <f t="shared" ref="H16:H79" si="12">IFERROR(TRIM(_xlfn.TEXTAFTER(E16," / ","2")),"")</f>
        <v/>
      </c>
      <c r="I16" s="5" t="str">
        <f>_xlfn.XLOOKUP(F16,'[1]Jan Labour Nd Drivers Hyva'!$B:$B,'[2]Jan Labour Nd Drivers Hyva'!$A:$A,"NOT FOUND")</f>
        <v>LAB-002</v>
      </c>
      <c r="J16" s="5" t="str">
        <f>IF(G16="","",_xlfn.XLOOKUP(G16,'[3]Jan Labour Nd Drivers Hyva'!$B:$B,'[2]Jan Labour Nd Drivers Hyva'!$A:$A,"NOT FOUND"))</f>
        <v/>
      </c>
      <c r="K16" s="2"/>
      <c r="L16" s="4" t="s">
        <v>31</v>
      </c>
      <c r="M16" s="19">
        <v>1</v>
      </c>
      <c r="N16" s="8">
        <v>9500</v>
      </c>
      <c r="O16" s="6">
        <f t="shared" ref="O16:O79" si="13">N16*M16</f>
        <v>9500</v>
      </c>
      <c r="P16" s="8">
        <v>9500</v>
      </c>
      <c r="Q16" s="6">
        <f t="shared" ref="Q16:Q37" si="14">O16-P16</f>
        <v>0</v>
      </c>
      <c r="R16" s="2" t="str">
        <f t="shared" si="9"/>
        <v>PAID</v>
      </c>
      <c r="S16" s="2"/>
      <c r="T16" s="2">
        <f t="shared" ref="T16:T79" si="15">M16*N16</f>
        <v>9500</v>
      </c>
      <c r="U16" s="2" t="str">
        <f t="shared" ref="U16:U79" si="16">IF(ROUND(T16,2)=ROUND(O16,2),"OK","CHECK")</f>
        <v>OK</v>
      </c>
      <c r="V16" s="7">
        <f t="shared" ref="V16:V79" si="17">O16-P16</f>
        <v>0</v>
      </c>
      <c r="W16" s="2" t="str">
        <f t="shared" ref="W16:W79" si="18">IF(ROUND(V16,2)=ROUND(Q16,2),"OK","CHECK")</f>
        <v>OK</v>
      </c>
      <c r="X16" s="2" t="s">
        <v>28</v>
      </c>
      <c r="Y16" s="2" t="s">
        <v>29</v>
      </c>
      <c r="Z16" t="s">
        <v>120</v>
      </c>
      <c r="AA16" t="s">
        <v>120</v>
      </c>
      <c r="AB16" t="s">
        <v>120</v>
      </c>
    </row>
    <row r="17" spans="1:28" x14ac:dyDescent="0.2">
      <c r="A17" t="str">
        <f t="shared" si="3"/>
        <v>TRIP-HF-016</v>
      </c>
      <c r="B17" s="3">
        <v>45697</v>
      </c>
      <c r="C17" s="2" t="str">
        <f>_xlfn.XLOOKUP(D17,'[1]Jan Customer Duplicate Hyva'!$B:$B,'[1]Jan Customer Duplicate Hyva'!$A:$A,"NOT FOUND")</f>
        <v>CUST-363</v>
      </c>
      <c r="D17" s="4" t="s">
        <v>25</v>
      </c>
      <c r="E17" s="4" t="s">
        <v>26</v>
      </c>
      <c r="F17" s="5" t="str">
        <f t="shared" si="10"/>
        <v>Anshu</v>
      </c>
      <c r="G17" s="5" t="str">
        <f t="shared" si="11"/>
        <v/>
      </c>
      <c r="H17" s="5" t="str">
        <f t="shared" si="12"/>
        <v/>
      </c>
      <c r="I17" s="5" t="str">
        <f>_xlfn.XLOOKUP(F17,'[1]Jan Labour Nd Drivers Hyva'!$B:$B,'[2]Jan Labour Nd Drivers Hyva'!$A:$A,"NOT FOUND")</f>
        <v>LAB-002</v>
      </c>
      <c r="J17" s="5" t="str">
        <f>IF(G17="","",_xlfn.XLOOKUP(G17,'[3]Jan Labour Nd Drivers Hyva'!$B:$B,'[2]Jan Labour Nd Drivers Hyva'!$A:$A,"NOT FOUND"))</f>
        <v/>
      </c>
      <c r="K17" s="2"/>
      <c r="L17" s="4" t="s">
        <v>27</v>
      </c>
      <c r="M17" s="19">
        <v>1</v>
      </c>
      <c r="N17" s="8">
        <v>10000</v>
      </c>
      <c r="O17" s="6">
        <f t="shared" si="13"/>
        <v>10000</v>
      </c>
      <c r="P17" s="8">
        <v>10000</v>
      </c>
      <c r="Q17" s="6">
        <f t="shared" si="14"/>
        <v>0</v>
      </c>
      <c r="R17" s="2" t="str">
        <f t="shared" si="9"/>
        <v>PAID</v>
      </c>
      <c r="S17" s="2"/>
      <c r="T17" s="2">
        <f t="shared" si="15"/>
        <v>10000</v>
      </c>
      <c r="U17" s="2" t="str">
        <f t="shared" si="16"/>
        <v>OK</v>
      </c>
      <c r="V17" s="7">
        <f t="shared" si="17"/>
        <v>0</v>
      </c>
      <c r="W17" s="2" t="str">
        <f t="shared" si="18"/>
        <v>OK</v>
      </c>
      <c r="X17" s="2" t="s">
        <v>28</v>
      </c>
      <c r="Y17" s="2" t="s">
        <v>29</v>
      </c>
      <c r="Z17" t="s">
        <v>120</v>
      </c>
      <c r="AA17" t="s">
        <v>120</v>
      </c>
      <c r="AB17" t="s">
        <v>120</v>
      </c>
    </row>
    <row r="18" spans="1:28" x14ac:dyDescent="0.2">
      <c r="A18" t="str">
        <f t="shared" si="3"/>
        <v>TRIP-HF-017</v>
      </c>
      <c r="B18" s="9">
        <v>45721</v>
      </c>
      <c r="C18" s="2" t="str">
        <f>_xlfn.XLOOKUP(D18,'[1]Jan Customer Duplicate Hyva'!$B:$B,'[1]Jan Customer Duplicate Hyva'!$A:$A,"NOT FOUND")</f>
        <v>CUST-415</v>
      </c>
      <c r="D18" s="10" t="s">
        <v>32</v>
      </c>
      <c r="E18" s="10" t="s">
        <v>33</v>
      </c>
      <c r="F18" s="5" t="str">
        <f t="shared" si="10"/>
        <v>Gaju Bhau</v>
      </c>
      <c r="G18" s="5" t="str">
        <f t="shared" si="11"/>
        <v/>
      </c>
      <c r="H18" s="5" t="str">
        <f t="shared" si="12"/>
        <v/>
      </c>
      <c r="I18" s="5" t="str">
        <f>_xlfn.XLOOKUP(F18,'[1]Jan Labour Nd Drivers Hyva'!$B:$B,'[2]Jan Labour Nd Drivers Hyva'!$A:$A,"NOT FOUND")</f>
        <v>LAB-001</v>
      </c>
      <c r="J18" s="5" t="str">
        <f>IF(G18="","",_xlfn.XLOOKUP(G18,'[3]Jan Labour Nd Drivers Hyva'!$B:$B,'[2]Jan Labour Nd Drivers Hyva'!$A:$A,"NOT FOUND"))</f>
        <v/>
      </c>
      <c r="K18" s="2"/>
      <c r="L18" s="10" t="s">
        <v>27</v>
      </c>
      <c r="M18" s="20">
        <v>1</v>
      </c>
      <c r="N18" s="11">
        <v>11500</v>
      </c>
      <c r="O18" s="6">
        <f t="shared" si="13"/>
        <v>11500</v>
      </c>
      <c r="P18" s="11">
        <v>11500</v>
      </c>
      <c r="Q18" s="6">
        <f t="shared" si="14"/>
        <v>0</v>
      </c>
      <c r="R18" s="2" t="str">
        <f t="shared" si="9"/>
        <v>PAID</v>
      </c>
      <c r="S18" s="2"/>
      <c r="T18" s="2">
        <f t="shared" si="15"/>
        <v>11500</v>
      </c>
      <c r="U18" s="2" t="str">
        <f t="shared" si="16"/>
        <v>OK</v>
      </c>
      <c r="V18" s="7">
        <f t="shared" si="17"/>
        <v>0</v>
      </c>
      <c r="W18" s="2" t="str">
        <f t="shared" si="18"/>
        <v>OK</v>
      </c>
      <c r="X18" s="2" t="s">
        <v>28</v>
      </c>
      <c r="Y18" s="2" t="s">
        <v>29</v>
      </c>
      <c r="Z18" t="s">
        <v>120</v>
      </c>
      <c r="AA18" t="s">
        <v>120</v>
      </c>
      <c r="AB18" t="s">
        <v>120</v>
      </c>
    </row>
    <row r="19" spans="1:28" x14ac:dyDescent="0.2">
      <c r="A19" t="str">
        <f t="shared" si="3"/>
        <v>TRIP-HF-018</v>
      </c>
      <c r="B19" s="9">
        <v>45721</v>
      </c>
      <c r="C19" s="2" t="str">
        <f>_xlfn.XLOOKUP(D19,'[1]Jan Customer Duplicate Hyva'!$B:$B,'[1]Jan Customer Duplicate Hyva'!$A:$A,"NOT FOUND")</f>
        <v>CUST-341</v>
      </c>
      <c r="D19" s="4" t="s">
        <v>34</v>
      </c>
      <c r="E19" s="4" t="s">
        <v>26</v>
      </c>
      <c r="F19" s="5" t="str">
        <f t="shared" si="10"/>
        <v>Anshu</v>
      </c>
      <c r="G19" s="5" t="str">
        <f t="shared" si="11"/>
        <v/>
      </c>
      <c r="H19" s="5" t="str">
        <f t="shared" si="12"/>
        <v/>
      </c>
      <c r="I19" s="5" t="str">
        <f>_xlfn.XLOOKUP(F19,'[1]Jan Labour Nd Drivers Hyva'!$B:$B,'[2]Jan Labour Nd Drivers Hyva'!$A:$A,"NOT FOUND")</f>
        <v>LAB-002</v>
      </c>
      <c r="J19" s="5" t="str">
        <f>IF(G19="","",_xlfn.XLOOKUP(G19,'[3]Jan Labour Nd Drivers Hyva'!$B:$B,'[2]Jan Labour Nd Drivers Hyva'!$A:$A,"NOT FOUND"))</f>
        <v/>
      </c>
      <c r="K19" s="2"/>
      <c r="L19" s="4" t="s">
        <v>31</v>
      </c>
      <c r="M19" s="19">
        <v>1</v>
      </c>
      <c r="N19" s="8">
        <v>9500</v>
      </c>
      <c r="O19" s="6">
        <f t="shared" si="13"/>
        <v>9500</v>
      </c>
      <c r="P19" s="8">
        <v>9500</v>
      </c>
      <c r="Q19" s="6">
        <f t="shared" si="14"/>
        <v>0</v>
      </c>
      <c r="R19" s="2" t="str">
        <f t="shared" si="9"/>
        <v>PAID</v>
      </c>
      <c r="S19" s="2"/>
      <c r="T19" s="2">
        <f t="shared" si="15"/>
        <v>9500</v>
      </c>
      <c r="U19" s="2" t="str">
        <f t="shared" si="16"/>
        <v>OK</v>
      </c>
      <c r="V19" s="7">
        <f t="shared" si="17"/>
        <v>0</v>
      </c>
      <c r="W19" s="2" t="str">
        <f t="shared" si="18"/>
        <v>OK</v>
      </c>
      <c r="X19" s="2" t="s">
        <v>28</v>
      </c>
      <c r="Y19" s="2" t="s">
        <v>29</v>
      </c>
      <c r="Z19" t="s">
        <v>120</v>
      </c>
      <c r="AA19" t="s">
        <v>120</v>
      </c>
      <c r="AB19" t="s">
        <v>120</v>
      </c>
    </row>
    <row r="20" spans="1:28" x14ac:dyDescent="0.2">
      <c r="A20" t="str">
        <f t="shared" si="3"/>
        <v>TRIP-HF-019</v>
      </c>
      <c r="B20" s="9">
        <v>45722</v>
      </c>
      <c r="C20" s="2" t="str">
        <f>_xlfn.XLOOKUP(D20,'[1]Jan Customer Duplicate Hyva'!$B:$B,'[1]Jan Customer Duplicate Hyva'!$A:$A,"NOT FOUND")</f>
        <v>CUST-117</v>
      </c>
      <c r="D20" s="4" t="s">
        <v>35</v>
      </c>
      <c r="E20" s="4" t="s">
        <v>36</v>
      </c>
      <c r="F20" s="5" t="str">
        <f t="shared" si="10"/>
        <v>Ravi</v>
      </c>
      <c r="G20" s="5" t="str">
        <f t="shared" si="11"/>
        <v/>
      </c>
      <c r="H20" s="5" t="str">
        <f t="shared" si="12"/>
        <v/>
      </c>
      <c r="I20" s="5" t="str">
        <f>_xlfn.XLOOKUP(F20,'[1]Jan Labour Nd Drivers Hyva'!$B:$B,'[2]Jan Labour Nd Drivers Hyva'!$A:$A,"NOT FOUND")</f>
        <v>LAB-003</v>
      </c>
      <c r="J20" s="5" t="str">
        <f>IF(G20="","",_xlfn.XLOOKUP(G20,'[3]Jan Labour Nd Drivers Hyva'!$B:$B,'[2]Jan Labour Nd Drivers Hyva'!$A:$A,"NOT FOUND"))</f>
        <v/>
      </c>
      <c r="K20" s="2"/>
      <c r="L20" s="4" t="s">
        <v>37</v>
      </c>
      <c r="M20" s="19">
        <v>1</v>
      </c>
      <c r="N20" s="8">
        <v>12000</v>
      </c>
      <c r="O20" s="6">
        <f t="shared" si="13"/>
        <v>12000</v>
      </c>
      <c r="P20" s="8">
        <v>12000</v>
      </c>
      <c r="Q20" s="6">
        <f t="shared" si="14"/>
        <v>0</v>
      </c>
      <c r="R20" s="2" t="str">
        <f t="shared" si="9"/>
        <v>PAID</v>
      </c>
      <c r="S20" s="2"/>
      <c r="T20" s="2">
        <f t="shared" si="15"/>
        <v>12000</v>
      </c>
      <c r="U20" s="2" t="str">
        <f t="shared" si="16"/>
        <v>OK</v>
      </c>
      <c r="V20" s="7">
        <f t="shared" si="17"/>
        <v>0</v>
      </c>
      <c r="W20" s="2" t="str">
        <f t="shared" si="18"/>
        <v>OK</v>
      </c>
      <c r="X20" s="2" t="s">
        <v>28</v>
      </c>
      <c r="Y20" s="2" t="s">
        <v>29</v>
      </c>
      <c r="Z20" t="s">
        <v>120</v>
      </c>
      <c r="AA20" t="s">
        <v>120</v>
      </c>
      <c r="AB20" t="s">
        <v>120</v>
      </c>
    </row>
    <row r="21" spans="1:28" x14ac:dyDescent="0.2">
      <c r="A21" t="str">
        <f t="shared" si="3"/>
        <v>TRIP-HF-020</v>
      </c>
      <c r="B21" s="9">
        <v>45723</v>
      </c>
      <c r="C21" s="2" t="str">
        <f>_xlfn.XLOOKUP(D21,'[1]Jan Customer Duplicate Hyva'!$B:$B,'[1]Jan Customer Duplicate Hyva'!$A:$A,"NOT FOUND")</f>
        <v>CUST-161</v>
      </c>
      <c r="D21" s="4" t="s">
        <v>122</v>
      </c>
      <c r="E21" s="4" t="s">
        <v>26</v>
      </c>
      <c r="F21" s="5" t="str">
        <f t="shared" si="10"/>
        <v>Anshu</v>
      </c>
      <c r="G21" s="5" t="str">
        <f t="shared" si="11"/>
        <v/>
      </c>
      <c r="H21" s="5" t="str">
        <f t="shared" si="12"/>
        <v/>
      </c>
      <c r="I21" s="5" t="str">
        <f>_xlfn.XLOOKUP(F21,'[1]Jan Labour Nd Drivers Hyva'!$B:$B,'[2]Jan Labour Nd Drivers Hyva'!$A:$A,"NOT FOUND")</f>
        <v>LAB-002</v>
      </c>
      <c r="J21" s="5" t="str">
        <f>IF(G21="","",_xlfn.XLOOKUP(G21,'[3]Jan Labour Nd Drivers Hyva'!$B:$B,'[2]Jan Labour Nd Drivers Hyva'!$A:$A,"NOT FOUND"))</f>
        <v/>
      </c>
      <c r="K21" s="2"/>
      <c r="L21" s="4" t="s">
        <v>38</v>
      </c>
      <c r="M21" s="19">
        <v>1</v>
      </c>
      <c r="N21" s="8">
        <v>10000</v>
      </c>
      <c r="O21" s="6">
        <f t="shared" si="13"/>
        <v>10000</v>
      </c>
      <c r="P21" s="8">
        <v>10000</v>
      </c>
      <c r="Q21" s="6">
        <f t="shared" si="14"/>
        <v>0</v>
      </c>
      <c r="R21" s="2" t="str">
        <f t="shared" si="9"/>
        <v>PAID</v>
      </c>
      <c r="S21" s="2"/>
      <c r="T21" s="2">
        <f t="shared" si="15"/>
        <v>10000</v>
      </c>
      <c r="U21" s="2" t="str">
        <f t="shared" si="16"/>
        <v>OK</v>
      </c>
      <c r="V21" s="7">
        <f t="shared" si="17"/>
        <v>0</v>
      </c>
      <c r="W21" s="2" t="str">
        <f t="shared" si="18"/>
        <v>OK</v>
      </c>
      <c r="X21" s="2" t="s">
        <v>28</v>
      </c>
      <c r="Y21" s="2" t="s">
        <v>29</v>
      </c>
      <c r="Z21" t="s">
        <v>120</v>
      </c>
      <c r="AA21" t="s">
        <v>120</v>
      </c>
      <c r="AB21" t="s">
        <v>120</v>
      </c>
    </row>
    <row r="22" spans="1:28" x14ac:dyDescent="0.2">
      <c r="A22" t="str">
        <f t="shared" si="3"/>
        <v>TRIP-HF-021</v>
      </c>
      <c r="B22" s="9">
        <v>45727</v>
      </c>
      <c r="C22" s="2" t="str">
        <f>_xlfn.XLOOKUP(D22,'[1]Jan Customer Duplicate Hyva'!$B:$B,'[1]Jan Customer Duplicate Hyva'!$A:$A,"NOT FOUND")</f>
        <v>CUST-394</v>
      </c>
      <c r="D22" s="4" t="s">
        <v>120</v>
      </c>
      <c r="E22" s="4" t="s">
        <v>26</v>
      </c>
      <c r="F22" s="5" t="str">
        <f t="shared" si="10"/>
        <v>Anshu</v>
      </c>
      <c r="G22" s="5" t="str">
        <f t="shared" si="11"/>
        <v/>
      </c>
      <c r="H22" s="5" t="str">
        <f t="shared" si="12"/>
        <v/>
      </c>
      <c r="I22" s="5" t="str">
        <f>_xlfn.XLOOKUP(F22,'[1]Jan Labour Nd Drivers Hyva'!$B:$B,'[2]Jan Labour Nd Drivers Hyva'!$A:$A,"NOT FOUND")</f>
        <v>LAB-002</v>
      </c>
      <c r="J22" s="5" t="str">
        <f>IF(G22="","",_xlfn.XLOOKUP(G22,'[3]Jan Labour Nd Drivers Hyva'!$B:$B,'[2]Jan Labour Nd Drivers Hyva'!$A:$A,"NOT FOUND"))</f>
        <v/>
      </c>
      <c r="K22" s="2"/>
      <c r="L22" s="4" t="s">
        <v>39</v>
      </c>
      <c r="M22" s="19">
        <v>1</v>
      </c>
      <c r="N22" s="8">
        <v>10000</v>
      </c>
      <c r="O22" s="6">
        <f t="shared" si="13"/>
        <v>10000</v>
      </c>
      <c r="P22" s="8">
        <v>10000</v>
      </c>
      <c r="Q22" s="6">
        <f t="shared" si="14"/>
        <v>0</v>
      </c>
      <c r="R22" s="2" t="str">
        <f t="shared" si="9"/>
        <v>PAID</v>
      </c>
      <c r="S22" s="2"/>
      <c r="T22" s="2">
        <f t="shared" si="15"/>
        <v>10000</v>
      </c>
      <c r="U22" s="2" t="str">
        <f t="shared" si="16"/>
        <v>OK</v>
      </c>
      <c r="V22" s="7">
        <f t="shared" si="17"/>
        <v>0</v>
      </c>
      <c r="W22" s="2" t="str">
        <f t="shared" si="18"/>
        <v>OK</v>
      </c>
      <c r="X22" s="2" t="s">
        <v>28</v>
      </c>
      <c r="Y22" s="2" t="s">
        <v>29</v>
      </c>
      <c r="Z22" t="s">
        <v>120</v>
      </c>
      <c r="AA22" t="s">
        <v>120</v>
      </c>
      <c r="AB22" t="s">
        <v>120</v>
      </c>
    </row>
    <row r="23" spans="1:28" x14ac:dyDescent="0.2">
      <c r="A23" t="str">
        <f t="shared" si="3"/>
        <v>TRIP-HF-022</v>
      </c>
      <c r="B23" s="9">
        <v>45727</v>
      </c>
      <c r="C23" s="2" t="str">
        <f>_xlfn.XLOOKUP(D23,'[1]Jan Customer Duplicate Hyva'!$B:$B,'[1]Jan Customer Duplicate Hyva'!$A:$A,"NOT FOUND")</f>
        <v>CUST-254</v>
      </c>
      <c r="D23" s="4" t="s">
        <v>124</v>
      </c>
      <c r="E23" s="4" t="s">
        <v>26</v>
      </c>
      <c r="F23" s="5" t="str">
        <f t="shared" si="10"/>
        <v>Anshu</v>
      </c>
      <c r="G23" s="5" t="str">
        <f t="shared" si="11"/>
        <v/>
      </c>
      <c r="H23" s="5" t="str">
        <f t="shared" si="12"/>
        <v/>
      </c>
      <c r="I23" s="5" t="str">
        <f>_xlfn.XLOOKUP(F23,'[1]Jan Labour Nd Drivers Hyva'!$B:$B,'[2]Jan Labour Nd Drivers Hyva'!$A:$A,"NOT FOUND")</f>
        <v>LAB-002</v>
      </c>
      <c r="J23" s="5" t="str">
        <f>IF(G23="","",_xlfn.XLOOKUP(G23,'[3]Jan Labour Nd Drivers Hyva'!$B:$B,'[2]Jan Labour Nd Drivers Hyva'!$A:$A,"NOT FOUND"))</f>
        <v/>
      </c>
      <c r="K23" s="2"/>
      <c r="L23" s="12" t="s">
        <v>40</v>
      </c>
      <c r="M23" s="19">
        <v>5</v>
      </c>
      <c r="N23" s="8">
        <v>0</v>
      </c>
      <c r="O23" s="6">
        <f t="shared" si="13"/>
        <v>0</v>
      </c>
      <c r="P23" s="8">
        <v>0</v>
      </c>
      <c r="Q23" s="6">
        <f t="shared" si="14"/>
        <v>0</v>
      </c>
      <c r="R23" s="2" t="str">
        <f t="shared" si="9"/>
        <v>PAID</v>
      </c>
      <c r="S23" s="2"/>
      <c r="T23" s="2">
        <f t="shared" si="15"/>
        <v>0</v>
      </c>
      <c r="U23" s="2" t="str">
        <f t="shared" si="16"/>
        <v>OK</v>
      </c>
      <c r="V23" s="7">
        <f t="shared" si="17"/>
        <v>0</v>
      </c>
      <c r="W23" s="2" t="str">
        <f t="shared" si="18"/>
        <v>OK</v>
      </c>
      <c r="X23" s="2" t="s">
        <v>28</v>
      </c>
      <c r="Y23" s="2" t="s">
        <v>29</v>
      </c>
      <c r="Z23" t="s">
        <v>120</v>
      </c>
      <c r="AA23" t="s">
        <v>120</v>
      </c>
      <c r="AB23" t="s">
        <v>120</v>
      </c>
    </row>
    <row r="24" spans="1:28" x14ac:dyDescent="0.2">
      <c r="A24" t="str">
        <f t="shared" si="3"/>
        <v>TRIP-HF-023</v>
      </c>
      <c r="B24" s="9">
        <v>45729</v>
      </c>
      <c r="C24" s="2" t="str">
        <f>_xlfn.XLOOKUP(D24,'[1]Jan Customer Duplicate Hyva'!$B:$B,'[1]Jan Customer Duplicate Hyva'!$A:$A,"NOT FOUND")</f>
        <v>CUST-402</v>
      </c>
      <c r="D24" s="4" t="s">
        <v>41</v>
      </c>
      <c r="E24" s="4" t="s">
        <v>26</v>
      </c>
      <c r="F24" s="5" t="str">
        <f t="shared" si="10"/>
        <v>Anshu</v>
      </c>
      <c r="G24" s="5" t="str">
        <f t="shared" si="11"/>
        <v/>
      </c>
      <c r="H24" s="5" t="str">
        <f t="shared" si="12"/>
        <v/>
      </c>
      <c r="I24" s="5" t="str">
        <f>_xlfn.XLOOKUP(F24,'[1]Jan Labour Nd Drivers Hyva'!$B:$B,'[2]Jan Labour Nd Drivers Hyva'!$A:$A,"NOT FOUND")</f>
        <v>LAB-002</v>
      </c>
      <c r="J24" s="5" t="str">
        <f>IF(G24="","",_xlfn.XLOOKUP(G24,'[3]Jan Labour Nd Drivers Hyva'!$B:$B,'[2]Jan Labour Nd Drivers Hyva'!$A:$A,"NOT FOUND"))</f>
        <v/>
      </c>
      <c r="K24" s="2"/>
      <c r="L24" s="4" t="s">
        <v>42</v>
      </c>
      <c r="M24" s="19">
        <v>1</v>
      </c>
      <c r="N24" s="8">
        <v>10000</v>
      </c>
      <c r="O24" s="6">
        <f t="shared" si="13"/>
        <v>10000</v>
      </c>
      <c r="P24" s="8">
        <v>10000</v>
      </c>
      <c r="Q24" s="6">
        <f t="shared" si="14"/>
        <v>0</v>
      </c>
      <c r="R24" s="2" t="str">
        <f t="shared" si="9"/>
        <v>PAID</v>
      </c>
      <c r="S24" s="2"/>
      <c r="T24" s="2">
        <f t="shared" si="15"/>
        <v>10000</v>
      </c>
      <c r="U24" s="2" t="str">
        <f t="shared" si="16"/>
        <v>OK</v>
      </c>
      <c r="V24" s="7">
        <f t="shared" si="17"/>
        <v>0</v>
      </c>
      <c r="W24" s="2" t="str">
        <f t="shared" si="18"/>
        <v>OK</v>
      </c>
      <c r="X24" s="2" t="s">
        <v>28</v>
      </c>
      <c r="Y24" s="2" t="s">
        <v>29</v>
      </c>
      <c r="Z24" t="s">
        <v>120</v>
      </c>
      <c r="AA24" t="s">
        <v>120</v>
      </c>
      <c r="AB24" t="s">
        <v>120</v>
      </c>
    </row>
    <row r="25" spans="1:28" x14ac:dyDescent="0.2">
      <c r="A25" t="str">
        <f t="shared" si="3"/>
        <v>TRIP-HF-024</v>
      </c>
      <c r="B25" s="9">
        <v>45741</v>
      </c>
      <c r="C25" s="2" t="str">
        <f>_xlfn.XLOOKUP(D25,'[1]Jan Customer Duplicate Hyva'!$B:$B,'[1]Jan Customer Duplicate Hyva'!$A:$A,"NOT FOUND")</f>
        <v>CUST-425</v>
      </c>
      <c r="D25" s="4" t="s">
        <v>43</v>
      </c>
      <c r="E25" s="4" t="s">
        <v>26</v>
      </c>
      <c r="F25" s="5" t="str">
        <f t="shared" si="10"/>
        <v>Anshu</v>
      </c>
      <c r="G25" s="5" t="str">
        <f t="shared" si="11"/>
        <v/>
      </c>
      <c r="H25" s="5" t="str">
        <f t="shared" si="12"/>
        <v/>
      </c>
      <c r="I25" s="5" t="str">
        <f>_xlfn.XLOOKUP(F25,'[1]Jan Labour Nd Drivers Hyva'!$B:$B,'[2]Jan Labour Nd Drivers Hyva'!$A:$A,"NOT FOUND")</f>
        <v>LAB-002</v>
      </c>
      <c r="J25" s="5" t="str">
        <f>IF(G25="","",_xlfn.XLOOKUP(G25,'[3]Jan Labour Nd Drivers Hyva'!$B:$B,'[2]Jan Labour Nd Drivers Hyva'!$A:$A,"NOT FOUND"))</f>
        <v/>
      </c>
      <c r="K25" s="2"/>
      <c r="L25" s="4" t="s">
        <v>44</v>
      </c>
      <c r="M25" s="19">
        <v>1</v>
      </c>
      <c r="N25" s="8">
        <v>10000</v>
      </c>
      <c r="O25" s="6">
        <f t="shared" si="13"/>
        <v>10000</v>
      </c>
      <c r="P25" s="8">
        <v>10000</v>
      </c>
      <c r="Q25" s="6">
        <f t="shared" si="14"/>
        <v>0</v>
      </c>
      <c r="R25" s="2" t="str">
        <f t="shared" si="9"/>
        <v>PAID</v>
      </c>
      <c r="S25" s="2"/>
      <c r="T25" s="2">
        <f t="shared" si="15"/>
        <v>10000</v>
      </c>
      <c r="U25" s="2" t="str">
        <f t="shared" si="16"/>
        <v>OK</v>
      </c>
      <c r="V25" s="7">
        <f t="shared" si="17"/>
        <v>0</v>
      </c>
      <c r="W25" s="2" t="str">
        <f t="shared" si="18"/>
        <v>OK</v>
      </c>
      <c r="X25" s="2" t="s">
        <v>28</v>
      </c>
      <c r="Y25" s="2" t="s">
        <v>29</v>
      </c>
      <c r="Z25" t="s">
        <v>120</v>
      </c>
      <c r="AA25" t="s">
        <v>120</v>
      </c>
      <c r="AB25" t="s">
        <v>120</v>
      </c>
    </row>
    <row r="26" spans="1:28" x14ac:dyDescent="0.2">
      <c r="A26" t="str">
        <f t="shared" si="3"/>
        <v>TRIP-HF-025</v>
      </c>
      <c r="B26" s="9">
        <v>45742</v>
      </c>
      <c r="C26" s="2" t="str">
        <f>_xlfn.XLOOKUP(D26,'[1]Jan Customer Duplicate Hyva'!$B:$B,'[1]Jan Customer Duplicate Hyva'!$A:$A,"NOT FOUND")</f>
        <v>CUST-323</v>
      </c>
      <c r="D26" s="4" t="s">
        <v>45</v>
      </c>
      <c r="E26" s="4" t="s">
        <v>46</v>
      </c>
      <c r="F26" s="5" t="str">
        <f t="shared" si="10"/>
        <v>Ravi</v>
      </c>
      <c r="G26" s="5" t="str">
        <f t="shared" si="11"/>
        <v>Anshu</v>
      </c>
      <c r="H26" s="5" t="str">
        <f t="shared" si="12"/>
        <v/>
      </c>
      <c r="I26" s="5" t="str">
        <f>_xlfn.XLOOKUP(F26,'[1]Jan Labour Nd Drivers Hyva'!$B:$B,'[2]Jan Labour Nd Drivers Hyva'!$A:$A,"NOT FOUND")</f>
        <v>LAB-003</v>
      </c>
      <c r="J26" s="5" t="str">
        <f>IF(G26="","",_xlfn.XLOOKUP(G26,'[3]Jan Labour Nd Drivers Hyva'!$B:$B,'[2]Jan Labour Nd Drivers Hyva'!$A:$A,"NOT FOUND"))</f>
        <v>LAB-002</v>
      </c>
      <c r="K26" s="2"/>
      <c r="L26" s="4" t="s">
        <v>47</v>
      </c>
      <c r="M26" s="19">
        <v>2</v>
      </c>
      <c r="N26" s="8">
        <v>12000</v>
      </c>
      <c r="O26" s="6">
        <f t="shared" si="13"/>
        <v>24000</v>
      </c>
      <c r="P26" s="8">
        <v>24000</v>
      </c>
      <c r="Q26" s="6">
        <f t="shared" si="14"/>
        <v>0</v>
      </c>
      <c r="R26" s="2" t="str">
        <f t="shared" si="9"/>
        <v>PAID</v>
      </c>
      <c r="S26" s="2"/>
      <c r="T26" s="2">
        <f t="shared" si="15"/>
        <v>24000</v>
      </c>
      <c r="U26" s="2" t="str">
        <f t="shared" si="16"/>
        <v>OK</v>
      </c>
      <c r="V26" s="7">
        <f t="shared" si="17"/>
        <v>0</v>
      </c>
      <c r="W26" s="2" t="str">
        <f t="shared" si="18"/>
        <v>OK</v>
      </c>
      <c r="X26" s="2" t="s">
        <v>28</v>
      </c>
      <c r="Y26" s="2" t="s">
        <v>29</v>
      </c>
      <c r="Z26" t="s">
        <v>120</v>
      </c>
      <c r="AA26" t="s">
        <v>120</v>
      </c>
      <c r="AB26" t="s">
        <v>120</v>
      </c>
    </row>
    <row r="27" spans="1:28" x14ac:dyDescent="0.2">
      <c r="A27" t="str">
        <f t="shared" si="3"/>
        <v>TRIP-HF-026</v>
      </c>
      <c r="B27" s="9">
        <v>45742</v>
      </c>
      <c r="C27" s="2" t="str">
        <f>_xlfn.XLOOKUP(D27,'[1]Jan Customer Duplicate Hyva'!$B:$B,'[1]Jan Customer Duplicate Hyva'!$A:$A,"NOT FOUND")</f>
        <v>CUST-323</v>
      </c>
      <c r="D27" s="4" t="s">
        <v>45</v>
      </c>
      <c r="E27" s="4" t="s">
        <v>26</v>
      </c>
      <c r="F27" s="5" t="str">
        <f t="shared" si="10"/>
        <v>Anshu</v>
      </c>
      <c r="G27" s="5" t="str">
        <f t="shared" si="11"/>
        <v/>
      </c>
      <c r="H27" s="5" t="str">
        <f t="shared" si="12"/>
        <v/>
      </c>
      <c r="I27" s="5" t="str">
        <f>_xlfn.XLOOKUP(F27,'[1]Jan Labour Nd Drivers Hyva'!$B:$B,'[2]Jan Labour Nd Drivers Hyva'!$A:$A,"NOT FOUND")</f>
        <v>LAB-002</v>
      </c>
      <c r="J27" s="5" t="str">
        <f>IF(G27="","",_xlfn.XLOOKUP(G27,'[3]Jan Labour Nd Drivers Hyva'!$B:$B,'[2]Jan Labour Nd Drivers Hyva'!$A:$A,"NOT FOUND"))</f>
        <v/>
      </c>
      <c r="K27" s="2"/>
      <c r="L27" s="4" t="s">
        <v>48</v>
      </c>
      <c r="M27" s="19">
        <v>1</v>
      </c>
      <c r="N27" s="8">
        <v>12000</v>
      </c>
      <c r="O27" s="6">
        <f t="shared" si="13"/>
        <v>12000</v>
      </c>
      <c r="P27" s="8">
        <v>12000</v>
      </c>
      <c r="Q27" s="6">
        <f t="shared" si="14"/>
        <v>0</v>
      </c>
      <c r="R27" s="2" t="str">
        <f t="shared" si="9"/>
        <v>PAID</v>
      </c>
      <c r="S27" s="2"/>
      <c r="T27" s="2">
        <f t="shared" si="15"/>
        <v>12000</v>
      </c>
      <c r="U27" s="2" t="str">
        <f t="shared" si="16"/>
        <v>OK</v>
      </c>
      <c r="V27" s="7">
        <f t="shared" si="17"/>
        <v>0</v>
      </c>
      <c r="W27" s="2" t="str">
        <f t="shared" si="18"/>
        <v>OK</v>
      </c>
      <c r="X27" s="2" t="s">
        <v>28</v>
      </c>
      <c r="Y27" s="2" t="s">
        <v>29</v>
      </c>
      <c r="Z27" t="s">
        <v>120</v>
      </c>
      <c r="AA27" t="s">
        <v>120</v>
      </c>
      <c r="AB27" t="s">
        <v>120</v>
      </c>
    </row>
    <row r="28" spans="1:28" x14ac:dyDescent="0.2">
      <c r="A28" t="str">
        <f t="shared" si="3"/>
        <v>TRIP-HF-027</v>
      </c>
      <c r="B28" s="9">
        <v>45742</v>
      </c>
      <c r="C28" s="2" t="str">
        <f>_xlfn.XLOOKUP(D28,'[1]Jan Customer Duplicate Hyva'!$B:$B,'[1]Jan Customer Duplicate Hyva'!$A:$A,"NOT FOUND")</f>
        <v>CUST-323</v>
      </c>
      <c r="D28" s="4" t="s">
        <v>45</v>
      </c>
      <c r="E28" s="4" t="s">
        <v>26</v>
      </c>
      <c r="F28" s="5" t="str">
        <f t="shared" si="10"/>
        <v>Anshu</v>
      </c>
      <c r="G28" s="5" t="str">
        <f t="shared" si="11"/>
        <v/>
      </c>
      <c r="H28" s="5" t="str">
        <f t="shared" si="12"/>
        <v/>
      </c>
      <c r="I28" s="5" t="str">
        <f>_xlfn.XLOOKUP(F28,'[1]Jan Labour Nd Drivers Hyva'!$B:$B,'[2]Jan Labour Nd Drivers Hyva'!$A:$A,"NOT FOUND")</f>
        <v>LAB-002</v>
      </c>
      <c r="J28" s="5" t="str">
        <f>IF(G28="","",_xlfn.XLOOKUP(G28,'[3]Jan Labour Nd Drivers Hyva'!$B:$B,'[2]Jan Labour Nd Drivers Hyva'!$A:$A,"NOT FOUND"))</f>
        <v/>
      </c>
      <c r="K28" s="2"/>
      <c r="L28" s="4" t="s">
        <v>49</v>
      </c>
      <c r="M28" s="19">
        <v>1</v>
      </c>
      <c r="N28" s="8">
        <v>12000</v>
      </c>
      <c r="O28" s="6">
        <f t="shared" si="13"/>
        <v>12000</v>
      </c>
      <c r="P28" s="8">
        <v>12000</v>
      </c>
      <c r="Q28" s="6">
        <f t="shared" si="14"/>
        <v>0</v>
      </c>
      <c r="R28" s="2" t="str">
        <f t="shared" si="9"/>
        <v>PAID</v>
      </c>
      <c r="S28" s="2"/>
      <c r="T28" s="2">
        <f t="shared" si="15"/>
        <v>12000</v>
      </c>
      <c r="U28" s="2" t="str">
        <f t="shared" si="16"/>
        <v>OK</v>
      </c>
      <c r="V28" s="7">
        <f t="shared" si="17"/>
        <v>0</v>
      </c>
      <c r="W28" s="2" t="str">
        <f t="shared" si="18"/>
        <v>OK</v>
      </c>
      <c r="X28" s="2" t="s">
        <v>28</v>
      </c>
      <c r="Y28" s="2" t="s">
        <v>29</v>
      </c>
      <c r="Z28" t="s">
        <v>120</v>
      </c>
      <c r="AA28" t="s">
        <v>120</v>
      </c>
      <c r="AB28" t="s">
        <v>120</v>
      </c>
    </row>
    <row r="29" spans="1:28" x14ac:dyDescent="0.2">
      <c r="A29" t="str">
        <f t="shared" si="3"/>
        <v>TRIP-HF-028</v>
      </c>
      <c r="B29" s="9">
        <v>45744</v>
      </c>
      <c r="C29" s="2" t="str">
        <f>_xlfn.XLOOKUP(D29,'[1]Jan Customer Duplicate Hyva'!$B:$B,'[1]Jan Customer Duplicate Hyva'!$A:$A,"NOT FOUND")</f>
        <v>CUST-323</v>
      </c>
      <c r="D29" s="4" t="s">
        <v>45</v>
      </c>
      <c r="E29" s="4" t="s">
        <v>36</v>
      </c>
      <c r="F29" s="5" t="str">
        <f t="shared" si="10"/>
        <v>Ravi</v>
      </c>
      <c r="G29" s="5" t="str">
        <f t="shared" si="11"/>
        <v/>
      </c>
      <c r="H29" s="5" t="str">
        <f t="shared" si="12"/>
        <v/>
      </c>
      <c r="I29" s="5" t="str">
        <f>_xlfn.XLOOKUP(F29,'[1]Jan Labour Nd Drivers Hyva'!$B:$B,'[2]Jan Labour Nd Drivers Hyva'!$A:$A,"NOT FOUND")</f>
        <v>LAB-003</v>
      </c>
      <c r="J29" s="5" t="str">
        <f>IF(G29="","",_xlfn.XLOOKUP(G29,'[3]Jan Labour Nd Drivers Hyva'!$B:$B,'[2]Jan Labour Nd Drivers Hyva'!$A:$A,"NOT FOUND"))</f>
        <v/>
      </c>
      <c r="K29" s="2"/>
      <c r="L29" s="4" t="s">
        <v>50</v>
      </c>
      <c r="M29" s="19">
        <v>1</v>
      </c>
      <c r="N29" s="8">
        <v>12000</v>
      </c>
      <c r="O29" s="6">
        <f t="shared" si="13"/>
        <v>12000</v>
      </c>
      <c r="P29" s="8">
        <v>12000</v>
      </c>
      <c r="Q29" s="6">
        <f t="shared" si="14"/>
        <v>0</v>
      </c>
      <c r="R29" s="2" t="str">
        <f t="shared" si="9"/>
        <v>PAID</v>
      </c>
      <c r="S29" s="2"/>
      <c r="T29" s="2">
        <f t="shared" si="15"/>
        <v>12000</v>
      </c>
      <c r="U29" s="2" t="str">
        <f t="shared" si="16"/>
        <v>OK</v>
      </c>
      <c r="V29" s="7">
        <f t="shared" si="17"/>
        <v>0</v>
      </c>
      <c r="W29" s="2" t="str">
        <f t="shared" si="18"/>
        <v>OK</v>
      </c>
      <c r="X29" s="2" t="s">
        <v>28</v>
      </c>
      <c r="Y29" s="2" t="s">
        <v>29</v>
      </c>
      <c r="Z29" t="s">
        <v>120</v>
      </c>
      <c r="AA29" t="s">
        <v>120</v>
      </c>
      <c r="AB29" t="s">
        <v>120</v>
      </c>
    </row>
    <row r="30" spans="1:28" x14ac:dyDescent="0.2">
      <c r="A30" t="str">
        <f t="shared" si="3"/>
        <v>TRIP-HF-029</v>
      </c>
      <c r="B30" s="3">
        <v>45748</v>
      </c>
      <c r="C30" s="2" t="str">
        <f>_xlfn.XLOOKUP(D30,'[1]Jan Customer Duplicate Hyva'!$B:$B,'[1]Jan Customer Duplicate Hyva'!$A:$A,"NOT FOUND")</f>
        <v>CUST-323</v>
      </c>
      <c r="D30" s="4" t="s">
        <v>45</v>
      </c>
      <c r="E30" s="4" t="s">
        <v>33</v>
      </c>
      <c r="F30" s="5" t="str">
        <f t="shared" si="10"/>
        <v>Gaju Bhau</v>
      </c>
      <c r="G30" s="5" t="str">
        <f t="shared" si="11"/>
        <v/>
      </c>
      <c r="H30" s="5" t="str">
        <f t="shared" si="12"/>
        <v/>
      </c>
      <c r="I30" s="5" t="str">
        <f>_xlfn.XLOOKUP(F30,'[1]Jan Labour Nd Drivers Hyva'!$B:$B,'[2]Jan Labour Nd Drivers Hyva'!$A:$A,"NOT FOUND")</f>
        <v>LAB-001</v>
      </c>
      <c r="J30" s="5" t="str">
        <f>IF(G30="","",_xlfn.XLOOKUP(G30,'[3]Jan Labour Nd Drivers Hyva'!$B:$B,'[2]Jan Labour Nd Drivers Hyva'!$A:$A,"NOT FOUND"))</f>
        <v/>
      </c>
      <c r="K30" s="2"/>
      <c r="L30" s="4" t="s">
        <v>47</v>
      </c>
      <c r="M30" s="19">
        <v>1</v>
      </c>
      <c r="N30" s="6">
        <v>12000</v>
      </c>
      <c r="O30" s="6">
        <f t="shared" si="13"/>
        <v>12000</v>
      </c>
      <c r="P30" s="6">
        <v>12000</v>
      </c>
      <c r="Q30" s="6">
        <f t="shared" si="14"/>
        <v>0</v>
      </c>
      <c r="R30" s="2" t="str">
        <f t="shared" si="9"/>
        <v>PAID</v>
      </c>
      <c r="S30" s="2"/>
      <c r="T30" s="2">
        <f t="shared" si="15"/>
        <v>12000</v>
      </c>
      <c r="U30" s="2" t="str">
        <f t="shared" si="16"/>
        <v>OK</v>
      </c>
      <c r="V30" s="7">
        <f t="shared" si="17"/>
        <v>0</v>
      </c>
      <c r="W30" s="2" t="str">
        <f t="shared" si="18"/>
        <v>OK</v>
      </c>
      <c r="X30" s="2" t="s">
        <v>28</v>
      </c>
      <c r="Y30" s="2" t="s">
        <v>29</v>
      </c>
      <c r="Z30" t="s">
        <v>120</v>
      </c>
      <c r="AA30" t="s">
        <v>120</v>
      </c>
      <c r="AB30" t="s">
        <v>120</v>
      </c>
    </row>
    <row r="31" spans="1:28" x14ac:dyDescent="0.2">
      <c r="A31" t="str">
        <f t="shared" si="3"/>
        <v>TRIP-HF-030</v>
      </c>
      <c r="B31" s="3">
        <v>45751</v>
      </c>
      <c r="C31" s="2" t="str">
        <f>_xlfn.XLOOKUP(D31,'[1]Jan Customer Duplicate Hyva'!$B:$B,'[1]Jan Customer Duplicate Hyva'!$A:$A,"NOT FOUND")</f>
        <v>CUST-323</v>
      </c>
      <c r="D31" s="4" t="s">
        <v>45</v>
      </c>
      <c r="E31" s="4" t="s">
        <v>36</v>
      </c>
      <c r="F31" s="5" t="str">
        <f t="shared" si="10"/>
        <v>Ravi</v>
      </c>
      <c r="G31" s="5" t="str">
        <f t="shared" si="11"/>
        <v/>
      </c>
      <c r="H31" s="5" t="str">
        <f t="shared" si="12"/>
        <v/>
      </c>
      <c r="I31" s="5" t="str">
        <f>_xlfn.XLOOKUP(F31,'[1]Jan Labour Nd Drivers Hyva'!$B:$B,'[2]Jan Labour Nd Drivers Hyva'!$A:$A,"NOT FOUND")</f>
        <v>LAB-003</v>
      </c>
      <c r="J31" s="5" t="str">
        <f>IF(G31="","",_xlfn.XLOOKUP(G31,'[3]Jan Labour Nd Drivers Hyva'!$B:$B,'[2]Jan Labour Nd Drivers Hyva'!$A:$A,"NOT FOUND"))</f>
        <v/>
      </c>
      <c r="K31" s="2"/>
      <c r="L31" s="4" t="s">
        <v>47</v>
      </c>
      <c r="M31" s="19">
        <v>1</v>
      </c>
      <c r="N31" s="8">
        <v>13000</v>
      </c>
      <c r="O31" s="6">
        <f t="shared" si="13"/>
        <v>13000</v>
      </c>
      <c r="P31" s="8">
        <v>13000</v>
      </c>
      <c r="Q31" s="6">
        <f t="shared" si="14"/>
        <v>0</v>
      </c>
      <c r="R31" s="2" t="str">
        <f t="shared" si="9"/>
        <v>PAID</v>
      </c>
      <c r="S31" s="2"/>
      <c r="T31" s="2">
        <f t="shared" si="15"/>
        <v>13000</v>
      </c>
      <c r="U31" s="2" t="str">
        <f t="shared" si="16"/>
        <v>OK</v>
      </c>
      <c r="V31" s="7">
        <f t="shared" si="17"/>
        <v>0</v>
      </c>
      <c r="W31" s="2" t="str">
        <f t="shared" si="18"/>
        <v>OK</v>
      </c>
      <c r="X31" s="2" t="s">
        <v>28</v>
      </c>
      <c r="Y31" s="2" t="s">
        <v>29</v>
      </c>
      <c r="Z31" t="s">
        <v>120</v>
      </c>
      <c r="AA31" t="s">
        <v>120</v>
      </c>
      <c r="AB31" t="s">
        <v>120</v>
      </c>
    </row>
    <row r="32" spans="1:28" x14ac:dyDescent="0.2">
      <c r="A32" t="str">
        <f t="shared" si="3"/>
        <v>TRIP-HF-031</v>
      </c>
      <c r="B32" s="3">
        <v>45751</v>
      </c>
      <c r="C32" s="2" t="str">
        <f>_xlfn.XLOOKUP(D32,'[1]Jan Customer Duplicate Hyva'!$B:$B,'[1]Jan Customer Duplicate Hyva'!$A:$A,"NOT FOUND")</f>
        <v>CUST-117</v>
      </c>
      <c r="D32" s="4" t="s">
        <v>35</v>
      </c>
      <c r="E32" s="4" t="s">
        <v>36</v>
      </c>
      <c r="F32" s="5" t="str">
        <f t="shared" si="10"/>
        <v>Ravi</v>
      </c>
      <c r="G32" s="5" t="str">
        <f t="shared" si="11"/>
        <v/>
      </c>
      <c r="H32" s="5" t="str">
        <f t="shared" si="12"/>
        <v/>
      </c>
      <c r="I32" s="5" t="str">
        <f>_xlfn.XLOOKUP(F32,'[1]Jan Labour Nd Drivers Hyva'!$B:$B,'[2]Jan Labour Nd Drivers Hyva'!$A:$A,"NOT FOUND")</f>
        <v>LAB-003</v>
      </c>
      <c r="J32" s="5" t="str">
        <f>IF(G32="","",_xlfn.XLOOKUP(G32,'[3]Jan Labour Nd Drivers Hyva'!$B:$B,'[2]Jan Labour Nd Drivers Hyva'!$A:$A,"NOT FOUND"))</f>
        <v/>
      </c>
      <c r="K32" s="2"/>
      <c r="L32" s="4" t="s">
        <v>47</v>
      </c>
      <c r="M32" s="19">
        <v>1</v>
      </c>
      <c r="N32" s="8">
        <v>12000</v>
      </c>
      <c r="O32" s="6">
        <f t="shared" si="13"/>
        <v>12000</v>
      </c>
      <c r="P32" s="8">
        <v>12000</v>
      </c>
      <c r="Q32" s="6">
        <f t="shared" si="14"/>
        <v>0</v>
      </c>
      <c r="R32" s="2" t="str">
        <f t="shared" si="9"/>
        <v>PAID</v>
      </c>
      <c r="S32" s="2"/>
      <c r="T32" s="2">
        <f t="shared" si="15"/>
        <v>12000</v>
      </c>
      <c r="U32" s="2" t="str">
        <f t="shared" si="16"/>
        <v>OK</v>
      </c>
      <c r="V32" s="7">
        <f t="shared" si="17"/>
        <v>0</v>
      </c>
      <c r="W32" s="2" t="str">
        <f t="shared" si="18"/>
        <v>OK</v>
      </c>
      <c r="X32" s="2" t="s">
        <v>28</v>
      </c>
      <c r="Y32" s="2" t="s">
        <v>29</v>
      </c>
      <c r="Z32" t="s">
        <v>120</v>
      </c>
      <c r="AA32" t="s">
        <v>120</v>
      </c>
      <c r="AB32" t="s">
        <v>120</v>
      </c>
    </row>
    <row r="33" spans="1:28" x14ac:dyDescent="0.2">
      <c r="A33" t="str">
        <f t="shared" si="3"/>
        <v>TRIP-HF-032</v>
      </c>
      <c r="B33" s="3">
        <v>45751</v>
      </c>
      <c r="C33" s="2" t="str">
        <f>_xlfn.XLOOKUP(D33,'[1]Jan Customer Duplicate Hyva'!$B:$B,'[1]Jan Customer Duplicate Hyva'!$A:$A,"NOT FOUND")</f>
        <v>CUST-409</v>
      </c>
      <c r="D33" s="4" t="s">
        <v>51</v>
      </c>
      <c r="E33" s="4" t="s">
        <v>36</v>
      </c>
      <c r="F33" s="5" t="str">
        <f t="shared" si="10"/>
        <v>Ravi</v>
      </c>
      <c r="G33" s="5" t="str">
        <f t="shared" si="11"/>
        <v/>
      </c>
      <c r="H33" s="5" t="str">
        <f t="shared" si="12"/>
        <v/>
      </c>
      <c r="I33" s="5" t="str">
        <f>_xlfn.XLOOKUP(F33,'[1]Jan Labour Nd Drivers Hyva'!$B:$B,'[2]Jan Labour Nd Drivers Hyva'!$A:$A,"NOT FOUND")</f>
        <v>LAB-003</v>
      </c>
      <c r="J33" s="5" t="str">
        <f>IF(G33="","",_xlfn.XLOOKUP(G33,'[3]Jan Labour Nd Drivers Hyva'!$B:$B,'[2]Jan Labour Nd Drivers Hyva'!$A:$A,"NOT FOUND"))</f>
        <v/>
      </c>
      <c r="K33" s="2"/>
      <c r="L33" s="4" t="s">
        <v>50</v>
      </c>
      <c r="M33" s="19">
        <v>1</v>
      </c>
      <c r="N33" s="8">
        <v>10000</v>
      </c>
      <c r="O33" s="6">
        <f t="shared" si="13"/>
        <v>10000</v>
      </c>
      <c r="P33" s="8">
        <v>10000</v>
      </c>
      <c r="Q33" s="6">
        <f t="shared" si="14"/>
        <v>0</v>
      </c>
      <c r="R33" s="2" t="str">
        <f t="shared" si="9"/>
        <v>PAID</v>
      </c>
      <c r="S33" s="2"/>
      <c r="T33" s="2">
        <f t="shared" si="15"/>
        <v>10000</v>
      </c>
      <c r="U33" s="2" t="str">
        <f t="shared" si="16"/>
        <v>OK</v>
      </c>
      <c r="V33" s="7">
        <f t="shared" si="17"/>
        <v>0</v>
      </c>
      <c r="W33" s="2" t="str">
        <f t="shared" si="18"/>
        <v>OK</v>
      </c>
      <c r="X33" s="2" t="s">
        <v>28</v>
      </c>
      <c r="Y33" s="2" t="s">
        <v>29</v>
      </c>
      <c r="Z33" t="s">
        <v>120</v>
      </c>
      <c r="AA33" t="s">
        <v>120</v>
      </c>
      <c r="AB33" t="s">
        <v>120</v>
      </c>
    </row>
    <row r="34" spans="1:28" x14ac:dyDescent="0.2">
      <c r="A34" t="str">
        <f t="shared" si="3"/>
        <v>TRIP-HF-033</v>
      </c>
      <c r="B34" s="3">
        <v>45766</v>
      </c>
      <c r="C34" s="2" t="str">
        <f>_xlfn.XLOOKUP(D34,'[1]Jan Customer Duplicate Hyva'!$B:$B,'[1]Jan Customer Duplicate Hyva'!$A:$A,"NOT FOUND")</f>
        <v>CUST-323</v>
      </c>
      <c r="D34" s="4" t="s">
        <v>45</v>
      </c>
      <c r="E34" s="4" t="s">
        <v>36</v>
      </c>
      <c r="F34" s="5" t="str">
        <f t="shared" si="10"/>
        <v>Ravi</v>
      </c>
      <c r="G34" s="5" t="str">
        <f t="shared" si="11"/>
        <v/>
      </c>
      <c r="H34" s="5" t="str">
        <f t="shared" si="12"/>
        <v/>
      </c>
      <c r="I34" s="5" t="str">
        <f>_xlfn.XLOOKUP(F34,'[1]Jan Labour Nd Drivers Hyva'!$B:$B,'[2]Jan Labour Nd Drivers Hyva'!$A:$A,"NOT FOUND")</f>
        <v>LAB-003</v>
      </c>
      <c r="J34" s="5" t="str">
        <f>IF(G34="","",_xlfn.XLOOKUP(G34,'[3]Jan Labour Nd Drivers Hyva'!$B:$B,'[2]Jan Labour Nd Drivers Hyva'!$A:$A,"NOT FOUND"))</f>
        <v/>
      </c>
      <c r="K34" s="2"/>
      <c r="L34" s="4" t="s">
        <v>49</v>
      </c>
      <c r="M34" s="19">
        <v>3</v>
      </c>
      <c r="N34" s="8">
        <v>10000</v>
      </c>
      <c r="O34" s="6">
        <f t="shared" si="13"/>
        <v>30000</v>
      </c>
      <c r="P34" s="8">
        <v>20000</v>
      </c>
      <c r="Q34" s="6">
        <f t="shared" si="14"/>
        <v>10000</v>
      </c>
      <c r="R34" s="2" t="str">
        <f t="shared" si="9"/>
        <v>PARTIAL</v>
      </c>
      <c r="S34" s="2"/>
      <c r="T34" s="2">
        <f t="shared" si="15"/>
        <v>30000</v>
      </c>
      <c r="U34" s="2" t="str">
        <f t="shared" si="16"/>
        <v>OK</v>
      </c>
      <c r="V34" s="7">
        <f t="shared" si="17"/>
        <v>10000</v>
      </c>
      <c r="W34" s="2" t="str">
        <f t="shared" si="18"/>
        <v>OK</v>
      </c>
      <c r="X34" s="2" t="s">
        <v>28</v>
      </c>
      <c r="Y34" s="2" t="s">
        <v>29</v>
      </c>
      <c r="Z34" t="s">
        <v>120</v>
      </c>
      <c r="AA34" t="s">
        <v>120</v>
      </c>
      <c r="AB34" t="s">
        <v>120</v>
      </c>
    </row>
    <row r="35" spans="1:28" x14ac:dyDescent="0.2">
      <c r="A35" t="str">
        <f t="shared" si="3"/>
        <v>TRIP-HF-034</v>
      </c>
      <c r="B35" s="3">
        <v>45767</v>
      </c>
      <c r="C35" s="2" t="str">
        <f>_xlfn.XLOOKUP(D35,'[1]Jan Customer Duplicate Hyva'!$B:$B,'[1]Jan Customer Duplicate Hyva'!$A:$A,"NOT FOUND")</f>
        <v>CUST-323</v>
      </c>
      <c r="D35" s="4" t="s">
        <v>45</v>
      </c>
      <c r="E35" s="4" t="s">
        <v>36</v>
      </c>
      <c r="F35" s="5" t="str">
        <f t="shared" si="10"/>
        <v>Ravi</v>
      </c>
      <c r="G35" s="5" t="str">
        <f t="shared" si="11"/>
        <v/>
      </c>
      <c r="H35" s="5" t="str">
        <f t="shared" si="12"/>
        <v/>
      </c>
      <c r="I35" s="5" t="str">
        <f>_xlfn.XLOOKUP(F35,'[1]Jan Labour Nd Drivers Hyva'!$B:$B,'[2]Jan Labour Nd Drivers Hyva'!$A:$A,"NOT FOUND")</f>
        <v>LAB-003</v>
      </c>
      <c r="J35" s="5" t="str">
        <f>IF(G35="","",_xlfn.XLOOKUP(G35,'[3]Jan Labour Nd Drivers Hyva'!$B:$B,'[2]Jan Labour Nd Drivers Hyva'!$A:$A,"NOT FOUND"))</f>
        <v/>
      </c>
      <c r="K35" s="2"/>
      <c r="L35" s="4" t="s">
        <v>52</v>
      </c>
      <c r="M35" s="19">
        <v>1</v>
      </c>
      <c r="N35" s="8">
        <v>11000</v>
      </c>
      <c r="O35" s="6">
        <f t="shared" si="13"/>
        <v>11000</v>
      </c>
      <c r="P35" s="8">
        <v>11000</v>
      </c>
      <c r="Q35" s="6">
        <f t="shared" si="14"/>
        <v>0</v>
      </c>
      <c r="R35" s="2" t="str">
        <f t="shared" si="9"/>
        <v>PAID</v>
      </c>
      <c r="S35" s="2"/>
      <c r="T35" s="2">
        <f t="shared" si="15"/>
        <v>11000</v>
      </c>
      <c r="U35" s="2" t="str">
        <f t="shared" si="16"/>
        <v>OK</v>
      </c>
      <c r="V35" s="7">
        <f t="shared" si="17"/>
        <v>0</v>
      </c>
      <c r="W35" s="2" t="str">
        <f t="shared" si="18"/>
        <v>OK</v>
      </c>
      <c r="X35" s="2" t="s">
        <v>28</v>
      </c>
      <c r="Y35" s="2" t="s">
        <v>29</v>
      </c>
      <c r="Z35" t="s">
        <v>120</v>
      </c>
      <c r="AA35" t="s">
        <v>120</v>
      </c>
      <c r="AB35" t="s">
        <v>120</v>
      </c>
    </row>
    <row r="36" spans="1:28" x14ac:dyDescent="0.2">
      <c r="A36" t="str">
        <f t="shared" si="3"/>
        <v>TRIP-HF-035</v>
      </c>
      <c r="B36" s="3">
        <v>45767</v>
      </c>
      <c r="C36" s="2" t="str">
        <f>_xlfn.XLOOKUP(D36,'[1]Jan Customer Duplicate Hyva'!$B:$B,'[1]Jan Customer Duplicate Hyva'!$A:$A,"NOT FOUND")</f>
        <v>CUST-323</v>
      </c>
      <c r="D36" s="4" t="s">
        <v>45</v>
      </c>
      <c r="E36" s="4" t="s">
        <v>36</v>
      </c>
      <c r="F36" s="5" t="str">
        <f t="shared" si="10"/>
        <v>Ravi</v>
      </c>
      <c r="G36" s="5" t="str">
        <f t="shared" si="11"/>
        <v/>
      </c>
      <c r="H36" s="5" t="str">
        <f t="shared" si="12"/>
        <v/>
      </c>
      <c r="I36" s="5" t="str">
        <f>_xlfn.XLOOKUP(F36,'[1]Jan Labour Nd Drivers Hyva'!$B:$B,'[2]Jan Labour Nd Drivers Hyva'!$A:$A,"NOT FOUND")</f>
        <v>LAB-003</v>
      </c>
      <c r="J36" s="5" t="str">
        <f>IF(G36="","",_xlfn.XLOOKUP(G36,'[3]Jan Labour Nd Drivers Hyva'!$B:$B,'[2]Jan Labour Nd Drivers Hyva'!$A:$A,"NOT FOUND"))</f>
        <v/>
      </c>
      <c r="K36" s="2"/>
      <c r="L36" s="4" t="s">
        <v>49</v>
      </c>
      <c r="M36" s="19">
        <v>1</v>
      </c>
      <c r="N36" s="8">
        <v>10000</v>
      </c>
      <c r="O36" s="6">
        <f t="shared" si="13"/>
        <v>10000</v>
      </c>
      <c r="P36" s="8">
        <v>10000</v>
      </c>
      <c r="Q36" s="6">
        <f t="shared" si="14"/>
        <v>0</v>
      </c>
      <c r="R36" s="2" t="str">
        <f t="shared" si="9"/>
        <v>PAID</v>
      </c>
      <c r="S36" s="2"/>
      <c r="T36" s="2">
        <f t="shared" si="15"/>
        <v>10000</v>
      </c>
      <c r="U36" s="2" t="str">
        <f t="shared" si="16"/>
        <v>OK</v>
      </c>
      <c r="V36" s="7">
        <f t="shared" si="17"/>
        <v>0</v>
      </c>
      <c r="W36" s="2" t="str">
        <f t="shared" si="18"/>
        <v>OK</v>
      </c>
      <c r="X36" s="2" t="s">
        <v>28</v>
      </c>
      <c r="Y36" s="2" t="s">
        <v>29</v>
      </c>
      <c r="Z36" t="s">
        <v>120</v>
      </c>
      <c r="AA36" t="s">
        <v>120</v>
      </c>
      <c r="AB36" t="s">
        <v>120</v>
      </c>
    </row>
    <row r="37" spans="1:28" x14ac:dyDescent="0.2">
      <c r="A37" t="str">
        <f t="shared" si="3"/>
        <v>TRIP-HF-036</v>
      </c>
      <c r="B37" s="3">
        <v>45770</v>
      </c>
      <c r="C37" s="2" t="str">
        <f>_xlfn.XLOOKUP(D37,'[1]Jan Customer Duplicate Hyva'!$B:$B,'[1]Jan Customer Duplicate Hyva'!$A:$A,"NOT FOUND")</f>
        <v>CUST-407</v>
      </c>
      <c r="D37" s="4" t="s">
        <v>127</v>
      </c>
      <c r="E37" s="4" t="s">
        <v>36</v>
      </c>
      <c r="F37" s="5" t="str">
        <f t="shared" si="10"/>
        <v>Ravi</v>
      </c>
      <c r="G37" s="5" t="str">
        <f t="shared" si="11"/>
        <v/>
      </c>
      <c r="H37" s="5" t="str">
        <f t="shared" si="12"/>
        <v/>
      </c>
      <c r="I37" s="5" t="str">
        <f>_xlfn.XLOOKUP(F37,'[1]Jan Labour Nd Drivers Hyva'!$B:$B,'[2]Jan Labour Nd Drivers Hyva'!$A:$A,"NOT FOUND")</f>
        <v>LAB-003</v>
      </c>
      <c r="J37" s="5" t="str">
        <f>IF(G37="","",_xlfn.XLOOKUP(G37,'[3]Jan Labour Nd Drivers Hyva'!$B:$B,'[2]Jan Labour Nd Drivers Hyva'!$A:$A,"NOT FOUND"))</f>
        <v/>
      </c>
      <c r="K37" s="2"/>
      <c r="L37" s="4" t="s">
        <v>53</v>
      </c>
      <c r="M37" s="19">
        <v>1</v>
      </c>
      <c r="N37" s="8">
        <v>10000</v>
      </c>
      <c r="O37" s="6">
        <f t="shared" si="13"/>
        <v>10000</v>
      </c>
      <c r="P37" s="8">
        <v>10000</v>
      </c>
      <c r="Q37" s="6">
        <f t="shared" si="14"/>
        <v>0</v>
      </c>
      <c r="R37" s="2" t="str">
        <f t="shared" si="9"/>
        <v>PAID</v>
      </c>
      <c r="S37" s="2"/>
      <c r="T37" s="2">
        <f t="shared" si="15"/>
        <v>10000</v>
      </c>
      <c r="U37" s="2" t="str">
        <f t="shared" si="16"/>
        <v>OK</v>
      </c>
      <c r="V37" s="7">
        <f t="shared" si="17"/>
        <v>0</v>
      </c>
      <c r="W37" s="2" t="str">
        <f t="shared" si="18"/>
        <v>OK</v>
      </c>
      <c r="X37" s="2" t="s">
        <v>28</v>
      </c>
      <c r="Y37" s="2" t="s">
        <v>29</v>
      </c>
      <c r="Z37" t="s">
        <v>120</v>
      </c>
      <c r="AA37" t="s">
        <v>120</v>
      </c>
      <c r="AB37" t="s">
        <v>120</v>
      </c>
    </row>
    <row r="38" spans="1:28" x14ac:dyDescent="0.2">
      <c r="A38" t="str">
        <f t="shared" si="3"/>
        <v>TRIP-HF-037</v>
      </c>
      <c r="B38" s="3">
        <v>45770</v>
      </c>
      <c r="C38" s="2" t="str">
        <f>_xlfn.XLOOKUP(D38,'[1]Jan Customer Duplicate Hyva'!$B:$B,'[1]Jan Customer Duplicate Hyva'!$A:$A,"NOT FOUND")</f>
        <v>CUST-021</v>
      </c>
      <c r="D38" s="4" t="s">
        <v>125</v>
      </c>
      <c r="E38" s="4" t="s">
        <v>36</v>
      </c>
      <c r="F38" s="5" t="str">
        <f t="shared" si="10"/>
        <v>Ravi</v>
      </c>
      <c r="G38" s="5" t="str">
        <f t="shared" si="11"/>
        <v/>
      </c>
      <c r="H38" s="5" t="str">
        <f t="shared" si="12"/>
        <v/>
      </c>
      <c r="I38" s="5" t="str">
        <f>_xlfn.XLOOKUP(F38,'[1]Jan Labour Nd Drivers Hyva'!$B:$B,'[2]Jan Labour Nd Drivers Hyva'!$A:$A,"NOT FOUND")</f>
        <v>LAB-003</v>
      </c>
      <c r="J38" s="5" t="str">
        <f>IF(G38="","",_xlfn.XLOOKUP(G38,'[3]Jan Labour Nd Drivers Hyva'!$B:$B,'[2]Jan Labour Nd Drivers Hyva'!$A:$A,"NOT FOUND"))</f>
        <v/>
      </c>
      <c r="K38" s="2"/>
      <c r="L38" s="4" t="s">
        <v>54</v>
      </c>
      <c r="M38" s="19">
        <v>1</v>
      </c>
      <c r="N38" s="8">
        <v>0</v>
      </c>
      <c r="O38" s="6">
        <f t="shared" si="13"/>
        <v>0</v>
      </c>
      <c r="P38" s="8"/>
      <c r="Q38" s="6">
        <f>O38-P38</f>
        <v>0</v>
      </c>
      <c r="R38" s="2" t="str">
        <f t="shared" si="9"/>
        <v>PAID</v>
      </c>
      <c r="S38" s="2"/>
      <c r="T38" s="2">
        <f t="shared" si="15"/>
        <v>0</v>
      </c>
      <c r="U38" s="2" t="str">
        <f t="shared" si="16"/>
        <v>OK</v>
      </c>
      <c r="V38" s="7">
        <f t="shared" si="17"/>
        <v>0</v>
      </c>
      <c r="W38" s="2" t="str">
        <f t="shared" si="18"/>
        <v>OK</v>
      </c>
      <c r="X38" s="2" t="s">
        <v>28</v>
      </c>
      <c r="Y38" s="2" t="s">
        <v>29</v>
      </c>
      <c r="Z38" t="s">
        <v>120</v>
      </c>
      <c r="AA38" t="s">
        <v>120</v>
      </c>
      <c r="AB38" t="s">
        <v>120</v>
      </c>
    </row>
    <row r="39" spans="1:28" x14ac:dyDescent="0.2">
      <c r="A39" t="str">
        <f t="shared" si="3"/>
        <v>TRIP-HF-038</v>
      </c>
      <c r="B39" s="3">
        <v>45775</v>
      </c>
      <c r="C39" s="2" t="str">
        <f>_xlfn.XLOOKUP(D39,'[1]Jan Customer Duplicate Hyva'!$B:$B,'[1]Jan Customer Duplicate Hyva'!$A:$A,"NOT FOUND")</f>
        <v>CUST-323</v>
      </c>
      <c r="D39" s="4" t="s">
        <v>45</v>
      </c>
      <c r="E39" s="4" t="s">
        <v>36</v>
      </c>
      <c r="F39" s="5" t="str">
        <f t="shared" si="10"/>
        <v>Ravi</v>
      </c>
      <c r="G39" s="5" t="str">
        <f t="shared" si="11"/>
        <v/>
      </c>
      <c r="H39" s="5" t="str">
        <f t="shared" si="12"/>
        <v/>
      </c>
      <c r="I39" s="5" t="str">
        <f>_xlfn.XLOOKUP(F39,'[1]Jan Labour Nd Drivers Hyva'!$B:$B,'[2]Jan Labour Nd Drivers Hyva'!$A:$A,"NOT FOUND")</f>
        <v>LAB-003</v>
      </c>
      <c r="J39" s="5" t="str">
        <f>IF(G39="","",_xlfn.XLOOKUP(G39,'[3]Jan Labour Nd Drivers Hyva'!$B:$B,'[2]Jan Labour Nd Drivers Hyva'!$A:$A,"NOT FOUND"))</f>
        <v/>
      </c>
      <c r="K39" s="2"/>
      <c r="L39" s="4" t="s">
        <v>49</v>
      </c>
      <c r="M39" s="19">
        <v>1</v>
      </c>
      <c r="N39" s="8">
        <v>10000</v>
      </c>
      <c r="O39" s="6">
        <f t="shared" si="13"/>
        <v>10000</v>
      </c>
      <c r="P39" s="8">
        <v>10000</v>
      </c>
      <c r="Q39" s="6">
        <f t="shared" ref="Q39:Q102" si="19">O39-P39</f>
        <v>0</v>
      </c>
      <c r="R39" s="2" t="str">
        <f t="shared" si="9"/>
        <v>PAID</v>
      </c>
      <c r="S39" s="2"/>
      <c r="T39" s="2">
        <f t="shared" si="15"/>
        <v>10000</v>
      </c>
      <c r="U39" s="2" t="str">
        <f t="shared" si="16"/>
        <v>OK</v>
      </c>
      <c r="V39" s="7">
        <f t="shared" si="17"/>
        <v>0</v>
      </c>
      <c r="W39" s="2" t="str">
        <f t="shared" si="18"/>
        <v>OK</v>
      </c>
      <c r="X39" s="2" t="s">
        <v>28</v>
      </c>
      <c r="Y39" s="2" t="s">
        <v>29</v>
      </c>
      <c r="Z39" t="s">
        <v>120</v>
      </c>
      <c r="AA39" t="s">
        <v>120</v>
      </c>
      <c r="AB39" t="s">
        <v>120</v>
      </c>
    </row>
    <row r="40" spans="1:28" x14ac:dyDescent="0.2">
      <c r="A40" t="str">
        <f t="shared" si="3"/>
        <v>TRIP-HF-039</v>
      </c>
      <c r="B40" s="3">
        <v>45780</v>
      </c>
      <c r="C40" s="2" t="str">
        <f>_xlfn.XLOOKUP(D40,'[1]Jan Customer Duplicate Hyva'!$B:$B,'[1]Jan Customer Duplicate Hyva'!$A:$A,"NOT FOUND")</f>
        <v>CUST-323</v>
      </c>
      <c r="D40" s="4" t="s">
        <v>45</v>
      </c>
      <c r="E40" s="4" t="s">
        <v>33</v>
      </c>
      <c r="F40" s="5" t="str">
        <f t="shared" si="10"/>
        <v>Gaju Bhau</v>
      </c>
      <c r="G40" s="5" t="str">
        <f t="shared" si="11"/>
        <v/>
      </c>
      <c r="H40" s="5" t="str">
        <f t="shared" si="12"/>
        <v/>
      </c>
      <c r="I40" s="5" t="str">
        <f>_xlfn.XLOOKUP(F40,'[1]Jan Labour Nd Drivers Hyva'!$B:$B,'[2]Jan Labour Nd Drivers Hyva'!$A:$A,"NOT FOUND")</f>
        <v>LAB-001</v>
      </c>
      <c r="J40" s="5" t="str">
        <f>IF(G40="","",_xlfn.XLOOKUP(G40,'[3]Jan Labour Nd Drivers Hyva'!$B:$B,'[2]Jan Labour Nd Drivers Hyva'!$A:$A,"NOT FOUND"))</f>
        <v/>
      </c>
      <c r="K40" s="2"/>
      <c r="L40" s="4" t="s">
        <v>49</v>
      </c>
      <c r="M40" s="19">
        <v>1</v>
      </c>
      <c r="N40" s="6">
        <v>10000</v>
      </c>
      <c r="O40" s="6">
        <f t="shared" si="13"/>
        <v>10000</v>
      </c>
      <c r="P40" s="6">
        <v>10000</v>
      </c>
      <c r="Q40" s="6">
        <f t="shared" si="19"/>
        <v>0</v>
      </c>
      <c r="R40" s="2" t="str">
        <f t="shared" si="9"/>
        <v>PAID</v>
      </c>
      <c r="S40" s="2"/>
      <c r="T40" s="2">
        <f t="shared" si="15"/>
        <v>10000</v>
      </c>
      <c r="U40" s="2" t="str">
        <f t="shared" si="16"/>
        <v>OK</v>
      </c>
      <c r="V40" s="7">
        <f t="shared" si="17"/>
        <v>0</v>
      </c>
      <c r="W40" s="2" t="str">
        <f t="shared" si="18"/>
        <v>OK</v>
      </c>
      <c r="X40" s="2" t="s">
        <v>28</v>
      </c>
      <c r="Y40" s="2" t="s">
        <v>29</v>
      </c>
      <c r="Z40" t="s">
        <v>120</v>
      </c>
      <c r="AA40" t="s">
        <v>120</v>
      </c>
      <c r="AB40" t="s">
        <v>120</v>
      </c>
    </row>
    <row r="41" spans="1:28" x14ac:dyDescent="0.2">
      <c r="A41" t="str">
        <f t="shared" si="3"/>
        <v>TRIP-HF-040</v>
      </c>
      <c r="B41" s="3">
        <v>45786</v>
      </c>
      <c r="C41" s="2" t="str">
        <f>_xlfn.XLOOKUP(D41,'[1]Jan Customer Duplicate Hyva'!$B:$B,'[1]Jan Customer Duplicate Hyva'!$A:$A,"NOT FOUND")</f>
        <v>CUST-402</v>
      </c>
      <c r="D41" s="4" t="s">
        <v>41</v>
      </c>
      <c r="E41" s="4" t="s">
        <v>36</v>
      </c>
      <c r="F41" s="5" t="str">
        <f t="shared" si="10"/>
        <v>Ravi</v>
      </c>
      <c r="G41" s="5" t="str">
        <f t="shared" si="11"/>
        <v/>
      </c>
      <c r="H41" s="5" t="str">
        <f t="shared" si="12"/>
        <v/>
      </c>
      <c r="I41" s="5" t="str">
        <f>_xlfn.XLOOKUP(F41,'[1]Jan Labour Nd Drivers Hyva'!$B:$B,'[2]Jan Labour Nd Drivers Hyva'!$A:$A,"NOT FOUND")</f>
        <v>LAB-003</v>
      </c>
      <c r="J41" s="5" t="str">
        <f>IF(G41="","",_xlfn.XLOOKUP(G41,'[3]Jan Labour Nd Drivers Hyva'!$B:$B,'[2]Jan Labour Nd Drivers Hyva'!$A:$A,"NOT FOUND"))</f>
        <v/>
      </c>
      <c r="K41" s="2"/>
      <c r="L41" s="4" t="s">
        <v>42</v>
      </c>
      <c r="M41" s="19">
        <v>1</v>
      </c>
      <c r="N41" s="8">
        <v>10000</v>
      </c>
      <c r="O41" s="6">
        <f t="shared" si="13"/>
        <v>10000</v>
      </c>
      <c r="P41" s="8">
        <v>10000</v>
      </c>
      <c r="Q41" s="6">
        <f t="shared" si="19"/>
        <v>0</v>
      </c>
      <c r="R41" s="2" t="str">
        <f t="shared" si="9"/>
        <v>PAID</v>
      </c>
      <c r="S41" s="2"/>
      <c r="T41" s="2">
        <f t="shared" si="15"/>
        <v>10000</v>
      </c>
      <c r="U41" s="2" t="str">
        <f t="shared" si="16"/>
        <v>OK</v>
      </c>
      <c r="V41" s="7">
        <f t="shared" si="17"/>
        <v>0</v>
      </c>
      <c r="W41" s="2" t="str">
        <f t="shared" si="18"/>
        <v>OK</v>
      </c>
      <c r="X41" s="2" t="s">
        <v>28</v>
      </c>
      <c r="Y41" s="2" t="s">
        <v>29</v>
      </c>
      <c r="Z41" t="s">
        <v>120</v>
      </c>
      <c r="AA41" t="s">
        <v>120</v>
      </c>
      <c r="AB41" t="s">
        <v>120</v>
      </c>
    </row>
    <row r="42" spans="1:28" x14ac:dyDescent="0.2">
      <c r="A42" t="str">
        <f t="shared" si="3"/>
        <v>TRIP-HF-041</v>
      </c>
      <c r="B42" s="3">
        <v>45787</v>
      </c>
      <c r="C42" s="2" t="str">
        <f>_xlfn.XLOOKUP(D42,'[1]Jan Customer Duplicate Hyva'!$B:$B,'[1]Jan Customer Duplicate Hyva'!$A:$A,"NOT FOUND")</f>
        <v>CUST-323</v>
      </c>
      <c r="D42" s="4" t="s">
        <v>45</v>
      </c>
      <c r="E42" s="4" t="s">
        <v>26</v>
      </c>
      <c r="F42" s="5" t="str">
        <f t="shared" si="10"/>
        <v>Anshu</v>
      </c>
      <c r="G42" s="5" t="str">
        <f t="shared" si="11"/>
        <v/>
      </c>
      <c r="H42" s="5" t="str">
        <f t="shared" si="12"/>
        <v/>
      </c>
      <c r="I42" s="5" t="str">
        <f>_xlfn.XLOOKUP(F42,'[1]Jan Labour Nd Drivers Hyva'!$B:$B,'[2]Jan Labour Nd Drivers Hyva'!$A:$A,"NOT FOUND")</f>
        <v>LAB-002</v>
      </c>
      <c r="J42" s="5" t="str">
        <f>IF(G42="","",_xlfn.XLOOKUP(G42,'[3]Jan Labour Nd Drivers Hyva'!$B:$B,'[2]Jan Labour Nd Drivers Hyva'!$A:$A,"NOT FOUND"))</f>
        <v/>
      </c>
      <c r="K42" s="2"/>
      <c r="L42" s="4" t="s">
        <v>49</v>
      </c>
      <c r="M42" s="19">
        <v>1</v>
      </c>
      <c r="N42" s="8">
        <v>11000</v>
      </c>
      <c r="O42" s="6">
        <f t="shared" si="13"/>
        <v>11000</v>
      </c>
      <c r="P42" s="8">
        <v>11000</v>
      </c>
      <c r="Q42" s="6">
        <f t="shared" si="19"/>
        <v>0</v>
      </c>
      <c r="R42" s="2" t="str">
        <f t="shared" si="9"/>
        <v>PAID</v>
      </c>
      <c r="S42" s="2"/>
      <c r="T42" s="2">
        <f t="shared" si="15"/>
        <v>11000</v>
      </c>
      <c r="U42" s="2" t="str">
        <f t="shared" si="16"/>
        <v>OK</v>
      </c>
      <c r="V42" s="7">
        <f t="shared" si="17"/>
        <v>0</v>
      </c>
      <c r="W42" s="2" t="str">
        <f t="shared" si="18"/>
        <v>OK</v>
      </c>
      <c r="X42" s="2" t="s">
        <v>28</v>
      </c>
      <c r="Y42" s="2" t="s">
        <v>29</v>
      </c>
      <c r="Z42" t="s">
        <v>120</v>
      </c>
      <c r="AA42" t="s">
        <v>120</v>
      </c>
      <c r="AB42" t="s">
        <v>120</v>
      </c>
    </row>
    <row r="43" spans="1:28" x14ac:dyDescent="0.2">
      <c r="A43" t="str">
        <f t="shared" si="3"/>
        <v>TRIP-HF-042</v>
      </c>
      <c r="B43" s="3">
        <v>45807</v>
      </c>
      <c r="C43" s="2" t="str">
        <f>_xlfn.XLOOKUP(D43,'[1]Jan Customer Duplicate Hyva'!$B:$B,'[1]Jan Customer Duplicate Hyva'!$A:$A,"NOT FOUND")</f>
        <v>CUST-323</v>
      </c>
      <c r="D43" s="4" t="s">
        <v>45</v>
      </c>
      <c r="E43" s="4" t="s">
        <v>36</v>
      </c>
      <c r="F43" s="5" t="str">
        <f t="shared" si="10"/>
        <v>Ravi</v>
      </c>
      <c r="G43" s="5" t="str">
        <f t="shared" si="11"/>
        <v/>
      </c>
      <c r="H43" s="5" t="str">
        <f t="shared" si="12"/>
        <v/>
      </c>
      <c r="I43" s="5" t="str">
        <f>_xlfn.XLOOKUP(F43,'[1]Jan Labour Nd Drivers Hyva'!$B:$B,'[2]Jan Labour Nd Drivers Hyva'!$A:$A,"NOT FOUND")</f>
        <v>LAB-003</v>
      </c>
      <c r="J43" s="5" t="str">
        <f>IF(G43="","",_xlfn.XLOOKUP(G43,'[3]Jan Labour Nd Drivers Hyva'!$B:$B,'[2]Jan Labour Nd Drivers Hyva'!$A:$A,"NOT FOUND"))</f>
        <v/>
      </c>
      <c r="K43" s="2"/>
      <c r="L43" s="4" t="s">
        <v>55</v>
      </c>
      <c r="M43" s="19">
        <v>1</v>
      </c>
      <c r="N43" s="8">
        <v>10000</v>
      </c>
      <c r="O43" s="6">
        <f t="shared" si="13"/>
        <v>10000</v>
      </c>
      <c r="P43" s="8"/>
      <c r="Q43" s="6">
        <f t="shared" si="19"/>
        <v>10000</v>
      </c>
      <c r="R43" s="2" t="str">
        <f t="shared" si="9"/>
        <v>UNPAID</v>
      </c>
      <c r="S43" s="2"/>
      <c r="T43" s="2">
        <f t="shared" si="15"/>
        <v>10000</v>
      </c>
      <c r="U43" s="2" t="str">
        <f t="shared" si="16"/>
        <v>OK</v>
      </c>
      <c r="V43" s="7">
        <f t="shared" si="17"/>
        <v>10000</v>
      </c>
      <c r="W43" s="2" t="str">
        <f t="shared" si="18"/>
        <v>OK</v>
      </c>
      <c r="X43" s="2" t="s">
        <v>28</v>
      </c>
      <c r="Y43" s="2" t="s">
        <v>29</v>
      </c>
      <c r="Z43" t="s">
        <v>120</v>
      </c>
      <c r="AA43" t="s">
        <v>120</v>
      </c>
      <c r="AB43" t="s">
        <v>120</v>
      </c>
    </row>
    <row r="44" spans="1:28" x14ac:dyDescent="0.2">
      <c r="A44" t="str">
        <f t="shared" si="3"/>
        <v>TRIP-HF-043</v>
      </c>
      <c r="B44" s="3">
        <v>45807</v>
      </c>
      <c r="C44" s="2" t="str">
        <f>_xlfn.XLOOKUP(D44,'[1]Jan Customer Duplicate Hyva'!$B:$B,'[1]Jan Customer Duplicate Hyva'!$A:$A,"NOT FOUND")</f>
        <v>CUST-323</v>
      </c>
      <c r="D44" s="4" t="s">
        <v>45</v>
      </c>
      <c r="E44" s="4" t="s">
        <v>36</v>
      </c>
      <c r="F44" s="5" t="str">
        <f t="shared" si="10"/>
        <v>Ravi</v>
      </c>
      <c r="G44" s="5" t="str">
        <f t="shared" si="11"/>
        <v/>
      </c>
      <c r="H44" s="5" t="str">
        <f t="shared" si="12"/>
        <v/>
      </c>
      <c r="I44" s="5" t="str">
        <f>_xlfn.XLOOKUP(F44,'[1]Jan Labour Nd Drivers Hyva'!$B:$B,'[2]Jan Labour Nd Drivers Hyva'!$A:$A,"NOT FOUND")</f>
        <v>LAB-003</v>
      </c>
      <c r="J44" s="5" t="str">
        <f>IF(G44="","",_xlfn.XLOOKUP(G44,'[3]Jan Labour Nd Drivers Hyva'!$B:$B,'[2]Jan Labour Nd Drivers Hyva'!$A:$A,"NOT FOUND"))</f>
        <v/>
      </c>
      <c r="K44" s="2"/>
      <c r="L44" s="4" t="s">
        <v>56</v>
      </c>
      <c r="M44" s="19">
        <v>1</v>
      </c>
      <c r="N44" s="8">
        <v>10000</v>
      </c>
      <c r="O44" s="6">
        <f t="shared" si="13"/>
        <v>10000</v>
      </c>
      <c r="P44" s="8"/>
      <c r="Q44" s="6">
        <f t="shared" si="19"/>
        <v>10000</v>
      </c>
      <c r="R44" s="2" t="str">
        <f t="shared" si="9"/>
        <v>UNPAID</v>
      </c>
      <c r="S44" s="2"/>
      <c r="T44" s="2">
        <f t="shared" si="15"/>
        <v>10000</v>
      </c>
      <c r="U44" s="2" t="str">
        <f t="shared" si="16"/>
        <v>OK</v>
      </c>
      <c r="V44" s="7">
        <f t="shared" si="17"/>
        <v>10000</v>
      </c>
      <c r="W44" s="2" t="str">
        <f t="shared" si="18"/>
        <v>OK</v>
      </c>
      <c r="X44" s="2" t="s">
        <v>28</v>
      </c>
      <c r="Y44" s="2" t="s">
        <v>29</v>
      </c>
      <c r="Z44" t="s">
        <v>120</v>
      </c>
      <c r="AA44" t="s">
        <v>120</v>
      </c>
      <c r="AB44" t="s">
        <v>120</v>
      </c>
    </row>
    <row r="45" spans="1:28" x14ac:dyDescent="0.2">
      <c r="A45" t="str">
        <f t="shared" si="3"/>
        <v>TRIP-HF-044</v>
      </c>
      <c r="B45" s="3">
        <v>45808</v>
      </c>
      <c r="C45" s="2" t="str">
        <f>_xlfn.XLOOKUP(D45,'[1]Jan Customer Duplicate Hyva'!$B:$B,'[1]Jan Customer Duplicate Hyva'!$A:$A,"NOT FOUND")</f>
        <v>CUST-323</v>
      </c>
      <c r="D45" s="4" t="s">
        <v>45</v>
      </c>
      <c r="E45" s="4" t="s">
        <v>26</v>
      </c>
      <c r="F45" s="5" t="str">
        <f t="shared" si="10"/>
        <v>Anshu</v>
      </c>
      <c r="G45" s="5" t="str">
        <f t="shared" si="11"/>
        <v/>
      </c>
      <c r="H45" s="5" t="str">
        <f t="shared" si="12"/>
        <v/>
      </c>
      <c r="I45" s="5" t="str">
        <f>_xlfn.XLOOKUP(F45,'[1]Jan Labour Nd Drivers Hyva'!$B:$B,'[2]Jan Labour Nd Drivers Hyva'!$A:$A,"NOT FOUND")</f>
        <v>LAB-002</v>
      </c>
      <c r="J45" s="5" t="str">
        <f>IF(G45="","",_xlfn.XLOOKUP(G45,'[3]Jan Labour Nd Drivers Hyva'!$B:$B,'[2]Jan Labour Nd Drivers Hyva'!$A:$A,"NOT FOUND"))</f>
        <v/>
      </c>
      <c r="K45" s="2"/>
      <c r="L45" s="4" t="s">
        <v>57</v>
      </c>
      <c r="M45" s="19">
        <v>1</v>
      </c>
      <c r="N45" s="8">
        <v>10000</v>
      </c>
      <c r="O45" s="6">
        <f t="shared" si="13"/>
        <v>10000</v>
      </c>
      <c r="P45" s="8"/>
      <c r="Q45" s="6">
        <f t="shared" si="19"/>
        <v>10000</v>
      </c>
      <c r="R45" s="2" t="str">
        <f t="shared" si="9"/>
        <v>UNPAID</v>
      </c>
      <c r="S45" s="2"/>
      <c r="T45" s="2">
        <f t="shared" si="15"/>
        <v>10000</v>
      </c>
      <c r="U45" s="2" t="str">
        <f t="shared" si="16"/>
        <v>OK</v>
      </c>
      <c r="V45" s="7">
        <f t="shared" si="17"/>
        <v>10000</v>
      </c>
      <c r="W45" s="2" t="str">
        <f t="shared" si="18"/>
        <v>OK</v>
      </c>
      <c r="X45" s="2" t="s">
        <v>28</v>
      </c>
      <c r="Y45" s="2" t="s">
        <v>29</v>
      </c>
      <c r="Z45" t="s">
        <v>120</v>
      </c>
      <c r="AA45" t="s">
        <v>120</v>
      </c>
      <c r="AB45" t="s">
        <v>120</v>
      </c>
    </row>
    <row r="46" spans="1:28" x14ac:dyDescent="0.2">
      <c r="A46" t="str">
        <f t="shared" si="3"/>
        <v>TRIP-HF-045</v>
      </c>
      <c r="B46" s="3">
        <v>45808</v>
      </c>
      <c r="C46" s="2" t="str">
        <f>_xlfn.XLOOKUP(D46,'[1]Jan Customer Duplicate Hyva'!$B:$B,'[1]Jan Customer Duplicate Hyva'!$A:$A,"NOT FOUND")</f>
        <v>CUST-323</v>
      </c>
      <c r="D46" s="4" t="s">
        <v>45</v>
      </c>
      <c r="E46" s="4" t="s">
        <v>26</v>
      </c>
      <c r="F46" s="5" t="str">
        <f t="shared" si="10"/>
        <v>Anshu</v>
      </c>
      <c r="G46" s="5" t="str">
        <f t="shared" si="11"/>
        <v/>
      </c>
      <c r="H46" s="5" t="str">
        <f t="shared" si="12"/>
        <v/>
      </c>
      <c r="I46" s="5" t="str">
        <f>_xlfn.XLOOKUP(F46,'[1]Jan Labour Nd Drivers Hyva'!$B:$B,'[2]Jan Labour Nd Drivers Hyva'!$A:$A,"NOT FOUND")</f>
        <v>LAB-002</v>
      </c>
      <c r="J46" s="5" t="str">
        <f>IF(G46="","",_xlfn.XLOOKUP(G46,'[3]Jan Labour Nd Drivers Hyva'!$B:$B,'[2]Jan Labour Nd Drivers Hyva'!$A:$A,"NOT FOUND"))</f>
        <v/>
      </c>
      <c r="K46" s="2"/>
      <c r="L46" s="4" t="s">
        <v>58</v>
      </c>
      <c r="M46" s="19">
        <v>1</v>
      </c>
      <c r="N46" s="8">
        <v>10000</v>
      </c>
      <c r="O46" s="6">
        <f t="shared" si="13"/>
        <v>10000</v>
      </c>
      <c r="P46" s="8"/>
      <c r="Q46" s="6">
        <f t="shared" si="19"/>
        <v>10000</v>
      </c>
      <c r="R46" s="2" t="str">
        <f t="shared" si="9"/>
        <v>UNPAID</v>
      </c>
      <c r="S46" s="2"/>
      <c r="T46" s="2">
        <f t="shared" si="15"/>
        <v>10000</v>
      </c>
      <c r="U46" s="2" t="str">
        <f t="shared" si="16"/>
        <v>OK</v>
      </c>
      <c r="V46" s="7">
        <f t="shared" si="17"/>
        <v>10000</v>
      </c>
      <c r="W46" s="2" t="str">
        <f t="shared" si="18"/>
        <v>OK</v>
      </c>
      <c r="X46" s="2" t="s">
        <v>28</v>
      </c>
      <c r="Y46" s="2" t="s">
        <v>29</v>
      </c>
      <c r="Z46" t="s">
        <v>120</v>
      </c>
      <c r="AA46" t="s">
        <v>120</v>
      </c>
      <c r="AB46" t="s">
        <v>120</v>
      </c>
    </row>
    <row r="47" spans="1:28" x14ac:dyDescent="0.2">
      <c r="A47" t="str">
        <f t="shared" si="3"/>
        <v>TRIP-HF-046</v>
      </c>
      <c r="B47" s="9">
        <v>45814</v>
      </c>
      <c r="C47" s="2" t="str">
        <f>_xlfn.XLOOKUP(D47,'[1]Jan Customer Duplicate Hyva'!$B:$B,'[1]Jan Customer Duplicate Hyva'!$A:$A,"NOT FOUND")</f>
        <v>CUST-323</v>
      </c>
      <c r="D47" s="4" t="s">
        <v>45</v>
      </c>
      <c r="E47" s="10" t="s">
        <v>36</v>
      </c>
      <c r="F47" s="5" t="str">
        <f t="shared" si="10"/>
        <v>Ravi</v>
      </c>
      <c r="G47" s="5" t="str">
        <f t="shared" si="11"/>
        <v/>
      </c>
      <c r="H47" s="5" t="str">
        <f t="shared" si="12"/>
        <v/>
      </c>
      <c r="I47" s="5" t="str">
        <f>_xlfn.XLOOKUP(F47,'[1]Jan Labour Nd Drivers Hyva'!$B:$B,'[2]Jan Labour Nd Drivers Hyva'!$A:$A,"NOT FOUND")</f>
        <v>LAB-003</v>
      </c>
      <c r="J47" s="5" t="str">
        <f>IF(G47="","",_xlfn.XLOOKUP(G47,'[3]Jan Labour Nd Drivers Hyva'!$B:$B,'[2]Jan Labour Nd Drivers Hyva'!$A:$A,"NOT FOUND"))</f>
        <v/>
      </c>
      <c r="K47" s="2"/>
      <c r="L47" s="10" t="s">
        <v>59</v>
      </c>
      <c r="M47" s="20">
        <v>1</v>
      </c>
      <c r="N47" s="11">
        <v>9000</v>
      </c>
      <c r="O47" s="6">
        <f t="shared" si="13"/>
        <v>9000</v>
      </c>
      <c r="P47" s="11"/>
      <c r="Q47" s="6">
        <f t="shared" si="19"/>
        <v>9000</v>
      </c>
      <c r="R47" s="2" t="str">
        <f t="shared" ref="R47:R78" si="20">IF(Q47=0,"PAID",IF(P47=0,"UNPAID","PARTIAL"))</f>
        <v>UNPAID</v>
      </c>
      <c r="S47" s="2"/>
      <c r="T47" s="2">
        <f t="shared" si="15"/>
        <v>9000</v>
      </c>
      <c r="U47" s="2" t="str">
        <f t="shared" si="16"/>
        <v>OK</v>
      </c>
      <c r="V47" s="7">
        <f t="shared" si="17"/>
        <v>9000</v>
      </c>
      <c r="W47" s="2" t="str">
        <f t="shared" si="18"/>
        <v>OK</v>
      </c>
      <c r="X47" s="2" t="s">
        <v>28</v>
      </c>
      <c r="Y47" s="2" t="s">
        <v>29</v>
      </c>
      <c r="Z47" t="s">
        <v>120</v>
      </c>
      <c r="AA47" t="s">
        <v>120</v>
      </c>
      <c r="AB47" t="s">
        <v>120</v>
      </c>
    </row>
    <row r="48" spans="1:28" x14ac:dyDescent="0.2">
      <c r="A48" t="str">
        <f t="shared" si="3"/>
        <v>TRIP-HF-047</v>
      </c>
      <c r="B48" s="9">
        <v>45815</v>
      </c>
      <c r="C48" s="2" t="str">
        <f>_xlfn.XLOOKUP(D48,'[1]Jan Customer Duplicate Hyva'!$B:$B,'[1]Jan Customer Duplicate Hyva'!$A:$A,"NOT FOUND")</f>
        <v>CUST-323</v>
      </c>
      <c r="D48" s="4" t="s">
        <v>45</v>
      </c>
      <c r="E48" s="4" t="s">
        <v>36</v>
      </c>
      <c r="F48" s="5" t="str">
        <f t="shared" si="10"/>
        <v>Ravi</v>
      </c>
      <c r="G48" s="5" t="str">
        <f t="shared" si="11"/>
        <v/>
      </c>
      <c r="H48" s="5" t="str">
        <f t="shared" si="12"/>
        <v/>
      </c>
      <c r="I48" s="5" t="str">
        <f>_xlfn.XLOOKUP(F48,'[1]Jan Labour Nd Drivers Hyva'!$B:$B,'[2]Jan Labour Nd Drivers Hyva'!$A:$A,"NOT FOUND")</f>
        <v>LAB-003</v>
      </c>
      <c r="J48" s="5" t="str">
        <f>IF(G48="","",_xlfn.XLOOKUP(G48,'[3]Jan Labour Nd Drivers Hyva'!$B:$B,'[2]Jan Labour Nd Drivers Hyva'!$A:$A,"NOT FOUND"))</f>
        <v/>
      </c>
      <c r="K48" s="2"/>
      <c r="L48" s="4" t="s">
        <v>60</v>
      </c>
      <c r="M48" s="19">
        <v>1</v>
      </c>
      <c r="N48" s="8">
        <v>9000</v>
      </c>
      <c r="O48" s="6">
        <f t="shared" si="13"/>
        <v>9000</v>
      </c>
      <c r="P48" s="8">
        <v>9000</v>
      </c>
      <c r="Q48" s="6">
        <f t="shared" si="19"/>
        <v>0</v>
      </c>
      <c r="R48" s="2" t="str">
        <f t="shared" si="20"/>
        <v>PAID</v>
      </c>
      <c r="S48" s="2"/>
      <c r="T48" s="2">
        <f t="shared" si="15"/>
        <v>9000</v>
      </c>
      <c r="U48" s="2" t="str">
        <f t="shared" si="16"/>
        <v>OK</v>
      </c>
      <c r="V48" s="7">
        <f t="shared" si="17"/>
        <v>0</v>
      </c>
      <c r="W48" s="2" t="str">
        <f t="shared" si="18"/>
        <v>OK</v>
      </c>
      <c r="X48" s="2" t="s">
        <v>28</v>
      </c>
      <c r="Y48" s="2" t="s">
        <v>29</v>
      </c>
      <c r="Z48" t="s">
        <v>120</v>
      </c>
      <c r="AA48" t="s">
        <v>120</v>
      </c>
      <c r="AB48" t="s">
        <v>120</v>
      </c>
    </row>
    <row r="49" spans="1:28" x14ac:dyDescent="0.2">
      <c r="A49" t="str">
        <f t="shared" si="3"/>
        <v>TRIP-HF-048</v>
      </c>
      <c r="B49" s="9">
        <v>45820</v>
      </c>
      <c r="C49" s="2" t="str">
        <f>_xlfn.XLOOKUP(D49,'[1]Jan Customer Duplicate Hyva'!$B:$B,'[1]Jan Customer Duplicate Hyva'!$A:$A,"NOT FOUND")</f>
        <v>CUST-323</v>
      </c>
      <c r="D49" s="4" t="s">
        <v>45</v>
      </c>
      <c r="E49" s="4" t="s">
        <v>61</v>
      </c>
      <c r="F49" s="5" t="str">
        <f>TRIM(_xlfn.TEXTBEFORE(E49&amp;" / "," / "))</f>
        <v>Saurabh</v>
      </c>
      <c r="G49" s="5" t="str">
        <f t="shared" si="11"/>
        <v/>
      </c>
      <c r="H49" s="5" t="str">
        <f t="shared" si="12"/>
        <v/>
      </c>
      <c r="I49" s="5" t="str">
        <f>_xlfn.XLOOKUP(F49,'[1]Jan Labour Nd Drivers Hyva'!$B:$B,'[2]Jan Labour Nd Drivers Hyva'!$A:$A,"NOT FOUND")</f>
        <v>LAB-013</v>
      </c>
      <c r="J49" s="5" t="str">
        <f>IF(G49="","",_xlfn.XLOOKUP(G49,'[3]Jan Labour Nd Drivers Hyva'!$B:$B,'[2]Jan Labour Nd Drivers Hyva'!$A:$A,"NOT FOUND"))</f>
        <v/>
      </c>
      <c r="K49" s="2"/>
      <c r="L49" s="4" t="s">
        <v>49</v>
      </c>
      <c r="M49" s="19">
        <v>1</v>
      </c>
      <c r="N49" s="8">
        <v>9000</v>
      </c>
      <c r="O49" s="6">
        <f t="shared" si="13"/>
        <v>9000</v>
      </c>
      <c r="P49" s="8">
        <v>9000</v>
      </c>
      <c r="Q49" s="6">
        <f t="shared" si="19"/>
        <v>0</v>
      </c>
      <c r="R49" s="2" t="str">
        <f t="shared" si="20"/>
        <v>PAID</v>
      </c>
      <c r="S49" s="2"/>
      <c r="T49" s="2">
        <f t="shared" si="15"/>
        <v>9000</v>
      </c>
      <c r="U49" s="2" t="str">
        <f t="shared" si="16"/>
        <v>OK</v>
      </c>
      <c r="V49" s="7">
        <f t="shared" si="17"/>
        <v>0</v>
      </c>
      <c r="W49" s="2" t="str">
        <f t="shared" si="18"/>
        <v>OK</v>
      </c>
      <c r="X49" s="2" t="s">
        <v>28</v>
      </c>
      <c r="Y49" s="2" t="s">
        <v>29</v>
      </c>
      <c r="Z49" t="s">
        <v>120</v>
      </c>
      <c r="AA49" t="s">
        <v>120</v>
      </c>
      <c r="AB49" t="s">
        <v>120</v>
      </c>
    </row>
    <row r="50" spans="1:28" x14ac:dyDescent="0.2">
      <c r="A50" t="str">
        <f t="shared" si="3"/>
        <v>TRIP-HF-049</v>
      </c>
      <c r="B50" s="9">
        <v>45823</v>
      </c>
      <c r="C50" s="2" t="str">
        <f>_xlfn.XLOOKUP(D50,'[1]Jan Customer Duplicate Hyva'!$B:$B,'[1]Jan Customer Duplicate Hyva'!$A:$A,"NOT FOUND")</f>
        <v>CUST-323</v>
      </c>
      <c r="D50" s="4" t="s">
        <v>45</v>
      </c>
      <c r="E50" s="4" t="s">
        <v>36</v>
      </c>
      <c r="F50" s="5" t="str">
        <f t="shared" si="10"/>
        <v>Ravi</v>
      </c>
      <c r="G50" s="5" t="str">
        <f t="shared" si="11"/>
        <v/>
      </c>
      <c r="H50" s="5" t="str">
        <f t="shared" si="12"/>
        <v/>
      </c>
      <c r="I50" s="5" t="str">
        <f>_xlfn.XLOOKUP(F50,'[1]Jan Labour Nd Drivers Hyva'!$B:$B,'[2]Jan Labour Nd Drivers Hyva'!$A:$A,"NOT FOUND")</f>
        <v>LAB-003</v>
      </c>
      <c r="J50" s="5" t="str">
        <f>IF(G50="","",_xlfn.XLOOKUP(G50,'[3]Jan Labour Nd Drivers Hyva'!$B:$B,'[2]Jan Labour Nd Drivers Hyva'!$A:$A,"NOT FOUND"))</f>
        <v/>
      </c>
      <c r="K50" s="2"/>
      <c r="L50" s="4" t="s">
        <v>62</v>
      </c>
      <c r="M50" s="19">
        <v>2</v>
      </c>
      <c r="N50" s="8">
        <v>9000</v>
      </c>
      <c r="O50" s="6">
        <f t="shared" si="13"/>
        <v>18000</v>
      </c>
      <c r="P50" s="8">
        <v>18000</v>
      </c>
      <c r="Q50" s="6">
        <f t="shared" si="19"/>
        <v>0</v>
      </c>
      <c r="R50" s="2" t="str">
        <f t="shared" si="20"/>
        <v>PAID</v>
      </c>
      <c r="S50" s="2"/>
      <c r="T50" s="2">
        <f t="shared" si="15"/>
        <v>18000</v>
      </c>
      <c r="U50" s="2" t="str">
        <f t="shared" si="16"/>
        <v>OK</v>
      </c>
      <c r="V50" s="7">
        <f t="shared" si="17"/>
        <v>0</v>
      </c>
      <c r="W50" s="2" t="str">
        <f t="shared" si="18"/>
        <v>OK</v>
      </c>
      <c r="X50" s="2" t="s">
        <v>28</v>
      </c>
      <c r="Y50" s="2" t="s">
        <v>29</v>
      </c>
      <c r="Z50" t="s">
        <v>120</v>
      </c>
      <c r="AA50" t="s">
        <v>120</v>
      </c>
      <c r="AB50" t="s">
        <v>120</v>
      </c>
    </row>
    <row r="51" spans="1:28" x14ac:dyDescent="0.2">
      <c r="A51" t="str">
        <f t="shared" si="3"/>
        <v>TRIP-HF-050</v>
      </c>
      <c r="B51" s="9">
        <v>45829</v>
      </c>
      <c r="C51" s="2" t="str">
        <f>_xlfn.XLOOKUP(D51,'[1]Jan Customer Duplicate Hyva'!$B:$B,'[1]Jan Customer Duplicate Hyva'!$A:$A,"NOT FOUND")</f>
        <v>CUST-323</v>
      </c>
      <c r="D51" s="4" t="s">
        <v>45</v>
      </c>
      <c r="E51" s="4" t="s">
        <v>61</v>
      </c>
      <c r="F51" s="5" t="str">
        <f t="shared" si="10"/>
        <v>Saurabh</v>
      </c>
      <c r="G51" s="5" t="str">
        <f t="shared" si="11"/>
        <v/>
      </c>
      <c r="H51" s="5" t="str">
        <f t="shared" si="12"/>
        <v/>
      </c>
      <c r="I51" s="5" t="str">
        <f>_xlfn.XLOOKUP(F51,'[1]Jan Labour Nd Drivers Hyva'!$B:$B,'[2]Jan Labour Nd Drivers Hyva'!$A:$A,"NOT FOUND")</f>
        <v>LAB-013</v>
      </c>
      <c r="J51" s="5" t="str">
        <f>IF(G51="","",_xlfn.XLOOKUP(G51,'[3]Jan Labour Nd Drivers Hyva'!$B:$B,'[2]Jan Labour Nd Drivers Hyva'!$A:$A,"NOT FOUND"))</f>
        <v/>
      </c>
      <c r="K51" s="2"/>
      <c r="L51" s="4" t="s">
        <v>49</v>
      </c>
      <c r="M51" s="19">
        <v>1</v>
      </c>
      <c r="N51" s="8">
        <v>9000</v>
      </c>
      <c r="O51" s="6">
        <f t="shared" si="13"/>
        <v>9000</v>
      </c>
      <c r="P51" s="8">
        <v>9000</v>
      </c>
      <c r="Q51" s="6">
        <f t="shared" si="19"/>
        <v>0</v>
      </c>
      <c r="R51" s="2" t="str">
        <f t="shared" si="20"/>
        <v>PAID</v>
      </c>
      <c r="S51" s="2"/>
      <c r="T51" s="2">
        <f t="shared" si="15"/>
        <v>9000</v>
      </c>
      <c r="U51" s="2" t="str">
        <f t="shared" si="16"/>
        <v>OK</v>
      </c>
      <c r="V51" s="7">
        <f t="shared" si="17"/>
        <v>0</v>
      </c>
      <c r="W51" s="2" t="str">
        <f t="shared" si="18"/>
        <v>OK</v>
      </c>
      <c r="X51" s="2" t="s">
        <v>28</v>
      </c>
      <c r="Y51" s="2" t="s">
        <v>29</v>
      </c>
      <c r="Z51" t="s">
        <v>120</v>
      </c>
      <c r="AA51" t="s">
        <v>120</v>
      </c>
      <c r="AB51" t="s">
        <v>120</v>
      </c>
    </row>
    <row r="52" spans="1:28" x14ac:dyDescent="0.2">
      <c r="A52" t="str">
        <f t="shared" si="3"/>
        <v>TRIP-HF-051</v>
      </c>
      <c r="B52" s="3">
        <v>45857</v>
      </c>
      <c r="C52" s="2" t="str">
        <f>_xlfn.XLOOKUP(D52,'[1]Jan Customer Duplicate Hyva'!$B:$B,'[1]Jan Customer Duplicate Hyva'!$A:$A,"NOT FOUND")</f>
        <v>CUST-118</v>
      </c>
      <c r="D52" s="4" t="s">
        <v>63</v>
      </c>
      <c r="E52" s="4" t="s">
        <v>61</v>
      </c>
      <c r="F52" s="5" t="str">
        <f t="shared" si="10"/>
        <v>Saurabh</v>
      </c>
      <c r="G52" s="5" t="str">
        <f t="shared" si="11"/>
        <v/>
      </c>
      <c r="H52" s="5" t="str">
        <f t="shared" si="12"/>
        <v/>
      </c>
      <c r="I52" s="5" t="str">
        <f>_xlfn.XLOOKUP(F52,'[1]Jan Labour Nd Drivers Hyva'!$B:$B,'[2]Jan Labour Nd Drivers Hyva'!$A:$A,"NOT FOUND")</f>
        <v>LAB-013</v>
      </c>
      <c r="J52" s="5" t="str">
        <f>IF(G52="","",_xlfn.XLOOKUP(G52,'[3]Jan Labour Nd Drivers Hyva'!$B:$B,'[2]Jan Labour Nd Drivers Hyva'!$A:$A,"NOT FOUND"))</f>
        <v/>
      </c>
      <c r="K52" s="2"/>
      <c r="L52" s="4" t="s">
        <v>47</v>
      </c>
      <c r="M52" s="19">
        <v>1</v>
      </c>
      <c r="N52" s="6">
        <v>10000</v>
      </c>
      <c r="O52" s="6">
        <f t="shared" si="13"/>
        <v>10000</v>
      </c>
      <c r="P52" s="6"/>
      <c r="Q52" s="6">
        <f t="shared" si="19"/>
        <v>10000</v>
      </c>
      <c r="R52" s="2" t="str">
        <f t="shared" si="20"/>
        <v>UNPAID</v>
      </c>
      <c r="S52" s="2"/>
      <c r="T52" s="2">
        <f t="shared" si="15"/>
        <v>10000</v>
      </c>
      <c r="U52" s="2" t="str">
        <f t="shared" si="16"/>
        <v>OK</v>
      </c>
      <c r="V52" s="7">
        <f t="shared" si="17"/>
        <v>10000</v>
      </c>
      <c r="W52" s="2" t="str">
        <f t="shared" si="18"/>
        <v>OK</v>
      </c>
      <c r="X52" s="2" t="s">
        <v>28</v>
      </c>
      <c r="Y52" s="2" t="s">
        <v>29</v>
      </c>
      <c r="Z52" t="s">
        <v>120</v>
      </c>
      <c r="AA52" t="s">
        <v>120</v>
      </c>
      <c r="AB52" t="s">
        <v>120</v>
      </c>
    </row>
    <row r="53" spans="1:28" x14ac:dyDescent="0.2">
      <c r="A53" t="str">
        <f t="shared" si="3"/>
        <v>TRIP-HF-052</v>
      </c>
      <c r="B53" s="3">
        <v>45858</v>
      </c>
      <c r="C53" s="2" t="str">
        <f>_xlfn.XLOOKUP(D53,'[1]Jan Customer Duplicate Hyva'!$B:$B,'[1]Jan Customer Duplicate Hyva'!$A:$A,"NOT FOUND")</f>
        <v>CUST-323</v>
      </c>
      <c r="D53" s="4" t="s">
        <v>45</v>
      </c>
      <c r="E53" s="4" t="s">
        <v>30</v>
      </c>
      <c r="F53" s="5" t="str">
        <f t="shared" si="10"/>
        <v>Shubham</v>
      </c>
      <c r="G53" s="5" t="str">
        <f t="shared" si="11"/>
        <v/>
      </c>
      <c r="H53" s="5" t="str">
        <f t="shared" si="12"/>
        <v/>
      </c>
      <c r="I53" s="5" t="str">
        <f>_xlfn.XLOOKUP(F53,'[1]Jan Labour Nd Drivers Hyva'!$B:$B,'[2]Jan Labour Nd Drivers Hyva'!$A:$A,"NOT FOUND")</f>
        <v>LAB-014</v>
      </c>
      <c r="J53" s="5" t="str">
        <f>IF(G53="","",_xlfn.XLOOKUP(G53,'[3]Jan Labour Nd Drivers Hyva'!$B:$B,'[2]Jan Labour Nd Drivers Hyva'!$A:$A,"NOT FOUND"))</f>
        <v/>
      </c>
      <c r="K53" s="2"/>
      <c r="L53" s="4" t="s">
        <v>49</v>
      </c>
      <c r="M53" s="19">
        <v>1</v>
      </c>
      <c r="N53" s="8">
        <v>9000</v>
      </c>
      <c r="O53" s="6">
        <f t="shared" si="13"/>
        <v>9000</v>
      </c>
      <c r="P53" s="8">
        <v>9000</v>
      </c>
      <c r="Q53" s="6">
        <f t="shared" si="19"/>
        <v>0</v>
      </c>
      <c r="R53" s="2" t="str">
        <f t="shared" si="20"/>
        <v>PAID</v>
      </c>
      <c r="S53" s="2"/>
      <c r="T53" s="2">
        <f t="shared" si="15"/>
        <v>9000</v>
      </c>
      <c r="U53" s="2" t="str">
        <f t="shared" si="16"/>
        <v>OK</v>
      </c>
      <c r="V53" s="7">
        <f t="shared" si="17"/>
        <v>0</v>
      </c>
      <c r="W53" s="2" t="str">
        <f t="shared" si="18"/>
        <v>OK</v>
      </c>
      <c r="X53" s="2" t="s">
        <v>28</v>
      </c>
      <c r="Y53" s="2" t="s">
        <v>29</v>
      </c>
      <c r="Z53" t="s">
        <v>120</v>
      </c>
      <c r="AA53" t="s">
        <v>120</v>
      </c>
      <c r="AB53" t="s">
        <v>120</v>
      </c>
    </row>
    <row r="54" spans="1:28" x14ac:dyDescent="0.2">
      <c r="A54" t="str">
        <f t="shared" si="3"/>
        <v>TRIP-HF-053</v>
      </c>
      <c r="B54" s="3">
        <v>45877</v>
      </c>
      <c r="C54" s="2" t="str">
        <f>_xlfn.XLOOKUP(D54,'[1]Jan Customer Duplicate Hyva'!$B:$B,'[1]Jan Customer Duplicate Hyva'!$A:$A,"NOT FOUND")</f>
        <v>CUST-295</v>
      </c>
      <c r="D54" s="4" t="s">
        <v>64</v>
      </c>
      <c r="E54" s="4" t="s">
        <v>33</v>
      </c>
      <c r="F54" s="5" t="str">
        <f t="shared" si="10"/>
        <v>Gaju Bhau</v>
      </c>
      <c r="G54" s="5" t="str">
        <f t="shared" si="11"/>
        <v/>
      </c>
      <c r="H54" s="5" t="str">
        <f t="shared" si="12"/>
        <v/>
      </c>
      <c r="I54" s="5" t="str">
        <f>_xlfn.XLOOKUP(F54,'[1]Jan Labour Nd Drivers Hyva'!$B:$B,'[2]Jan Labour Nd Drivers Hyva'!$A:$A,"NOT FOUND")</f>
        <v>LAB-001</v>
      </c>
      <c r="J54" s="5" t="str">
        <f>IF(G54="","",_xlfn.XLOOKUP(G54,'[3]Jan Labour Nd Drivers Hyva'!$B:$B,'[2]Jan Labour Nd Drivers Hyva'!$A:$A,"NOT FOUND"))</f>
        <v/>
      </c>
      <c r="K54" s="2"/>
      <c r="L54" s="4" t="s">
        <v>65</v>
      </c>
      <c r="M54" s="19">
        <v>2</v>
      </c>
      <c r="N54" s="6">
        <v>2000</v>
      </c>
      <c r="O54" s="6">
        <f t="shared" si="13"/>
        <v>4000</v>
      </c>
      <c r="P54" s="6">
        <v>4000</v>
      </c>
      <c r="Q54" s="6">
        <f t="shared" si="19"/>
        <v>0</v>
      </c>
      <c r="R54" s="2" t="str">
        <f t="shared" si="20"/>
        <v>PAID</v>
      </c>
      <c r="S54" s="2"/>
      <c r="T54" s="2">
        <f t="shared" si="15"/>
        <v>4000</v>
      </c>
      <c r="U54" s="2" t="str">
        <f t="shared" si="16"/>
        <v>OK</v>
      </c>
      <c r="V54" s="7">
        <f t="shared" si="17"/>
        <v>0</v>
      </c>
      <c r="W54" s="2" t="str">
        <f t="shared" si="18"/>
        <v>OK</v>
      </c>
      <c r="X54" s="2" t="s">
        <v>28</v>
      </c>
      <c r="Y54" s="2" t="s">
        <v>29</v>
      </c>
      <c r="Z54" t="s">
        <v>120</v>
      </c>
      <c r="AA54" t="s">
        <v>120</v>
      </c>
      <c r="AB54" t="s">
        <v>120</v>
      </c>
    </row>
    <row r="55" spans="1:28" x14ac:dyDescent="0.2">
      <c r="A55" t="str">
        <f t="shared" si="3"/>
        <v>TRIP-HF-054</v>
      </c>
      <c r="B55" s="3">
        <v>45878</v>
      </c>
      <c r="C55" s="2" t="str">
        <f>_xlfn.XLOOKUP(D55,'[1]Jan Customer Duplicate Hyva'!$B:$B,'[1]Jan Customer Duplicate Hyva'!$A:$A,"NOT FOUND")</f>
        <v>CUST-408</v>
      </c>
      <c r="D55" s="4" t="s">
        <v>66</v>
      </c>
      <c r="E55" s="4" t="s">
        <v>33</v>
      </c>
      <c r="F55" s="5" t="str">
        <f t="shared" si="10"/>
        <v>Gaju Bhau</v>
      </c>
      <c r="G55" s="5" t="str">
        <f t="shared" si="11"/>
        <v/>
      </c>
      <c r="H55" s="5" t="str">
        <f t="shared" si="12"/>
        <v/>
      </c>
      <c r="I55" s="5" t="str">
        <f>_xlfn.XLOOKUP(F55,'[1]Jan Labour Nd Drivers Hyva'!$B:$B,'[2]Jan Labour Nd Drivers Hyva'!$A:$A,"NOT FOUND")</f>
        <v>LAB-001</v>
      </c>
      <c r="J55" s="5" t="str">
        <f>IF(G55="","",_xlfn.XLOOKUP(G55,'[3]Jan Labour Nd Drivers Hyva'!$B:$B,'[2]Jan Labour Nd Drivers Hyva'!$A:$A,"NOT FOUND"))</f>
        <v/>
      </c>
      <c r="K55" s="2"/>
      <c r="L55" s="4" t="s">
        <v>47</v>
      </c>
      <c r="M55" s="19">
        <v>1</v>
      </c>
      <c r="N55" s="6">
        <v>10000</v>
      </c>
      <c r="O55" s="6">
        <f t="shared" si="13"/>
        <v>10000</v>
      </c>
      <c r="P55" s="6">
        <v>10000</v>
      </c>
      <c r="Q55" s="6">
        <f t="shared" si="19"/>
        <v>0</v>
      </c>
      <c r="R55" s="2" t="str">
        <f t="shared" si="20"/>
        <v>PAID</v>
      </c>
      <c r="S55" s="2"/>
      <c r="T55" s="2">
        <f t="shared" si="15"/>
        <v>10000</v>
      </c>
      <c r="U55" s="2" t="str">
        <f t="shared" si="16"/>
        <v>OK</v>
      </c>
      <c r="V55" s="7">
        <f t="shared" si="17"/>
        <v>0</v>
      </c>
      <c r="W55" s="2" t="str">
        <f t="shared" si="18"/>
        <v>OK</v>
      </c>
      <c r="X55" s="2" t="s">
        <v>28</v>
      </c>
      <c r="Y55" s="2" t="s">
        <v>29</v>
      </c>
      <c r="Z55" t="s">
        <v>120</v>
      </c>
      <c r="AA55" t="s">
        <v>120</v>
      </c>
      <c r="AB55" t="s">
        <v>120</v>
      </c>
    </row>
    <row r="56" spans="1:28" x14ac:dyDescent="0.2">
      <c r="A56" t="str">
        <f t="shared" si="3"/>
        <v>TRIP-HF-055</v>
      </c>
      <c r="B56" s="3">
        <v>45878</v>
      </c>
      <c r="C56" s="2" t="str">
        <f>_xlfn.XLOOKUP(D56,'[1]Jan Customer Duplicate Hyva'!$B:$B,'[1]Jan Customer Duplicate Hyva'!$A:$A,"NOT FOUND")</f>
        <v>CUST-303</v>
      </c>
      <c r="D56" s="4" t="s">
        <v>67</v>
      </c>
      <c r="E56" s="4" t="s">
        <v>33</v>
      </c>
      <c r="F56" s="5" t="str">
        <f t="shared" si="10"/>
        <v>Gaju Bhau</v>
      </c>
      <c r="G56" s="5" t="str">
        <f t="shared" si="11"/>
        <v/>
      </c>
      <c r="H56" s="5" t="str">
        <f t="shared" si="12"/>
        <v/>
      </c>
      <c r="I56" s="5" t="str">
        <f>_xlfn.XLOOKUP(F56,'[1]Jan Labour Nd Drivers Hyva'!$B:$B,'[2]Jan Labour Nd Drivers Hyva'!$A:$A,"NOT FOUND")</f>
        <v>LAB-001</v>
      </c>
      <c r="J56" s="5" t="str">
        <f>IF(G56="","",_xlfn.XLOOKUP(G56,'[3]Jan Labour Nd Drivers Hyva'!$B:$B,'[2]Jan Labour Nd Drivers Hyva'!$A:$A,"NOT FOUND"))</f>
        <v/>
      </c>
      <c r="K56" s="2"/>
      <c r="L56" s="4" t="s">
        <v>68</v>
      </c>
      <c r="M56" s="19">
        <v>1</v>
      </c>
      <c r="N56" s="8">
        <v>2000</v>
      </c>
      <c r="O56" s="6">
        <f t="shared" si="13"/>
        <v>2000</v>
      </c>
      <c r="P56" s="8">
        <v>2000</v>
      </c>
      <c r="Q56" s="6">
        <f t="shared" si="19"/>
        <v>0</v>
      </c>
      <c r="R56" s="2" t="str">
        <f t="shared" si="20"/>
        <v>PAID</v>
      </c>
      <c r="S56" s="2"/>
      <c r="T56" s="2">
        <f t="shared" si="15"/>
        <v>2000</v>
      </c>
      <c r="U56" s="2" t="str">
        <f t="shared" si="16"/>
        <v>OK</v>
      </c>
      <c r="V56" s="7">
        <f t="shared" si="17"/>
        <v>0</v>
      </c>
      <c r="W56" s="2" t="str">
        <f t="shared" si="18"/>
        <v>OK</v>
      </c>
      <c r="X56" s="2" t="s">
        <v>28</v>
      </c>
      <c r="Y56" s="2" t="s">
        <v>29</v>
      </c>
      <c r="Z56" t="s">
        <v>120</v>
      </c>
      <c r="AA56" t="s">
        <v>120</v>
      </c>
      <c r="AB56" t="s">
        <v>120</v>
      </c>
    </row>
    <row r="57" spans="1:28" x14ac:dyDescent="0.2">
      <c r="A57" t="str">
        <f t="shared" si="3"/>
        <v>TRIP-HF-056</v>
      </c>
      <c r="B57" s="3">
        <v>45883</v>
      </c>
      <c r="C57" s="2" t="str">
        <f>_xlfn.XLOOKUP(D57,'[1]Jan Customer Duplicate Hyva'!$B:$B,'[1]Jan Customer Duplicate Hyva'!$A:$A,"NOT FOUND")</f>
        <v>CUST-323</v>
      </c>
      <c r="D57" s="4" t="s">
        <v>45</v>
      </c>
      <c r="E57" s="4" t="s">
        <v>33</v>
      </c>
      <c r="F57" s="5" t="str">
        <f t="shared" si="10"/>
        <v>Gaju Bhau</v>
      </c>
      <c r="G57" s="5" t="str">
        <f t="shared" si="11"/>
        <v/>
      </c>
      <c r="H57" s="5" t="str">
        <f t="shared" si="12"/>
        <v/>
      </c>
      <c r="I57" s="5" t="str">
        <f>_xlfn.XLOOKUP(F57,'[1]Jan Labour Nd Drivers Hyva'!$B:$B,'[2]Jan Labour Nd Drivers Hyva'!$A:$A,"NOT FOUND")</f>
        <v>LAB-001</v>
      </c>
      <c r="J57" s="5" t="str">
        <f>IF(G57="","",_xlfn.XLOOKUP(G57,'[3]Jan Labour Nd Drivers Hyva'!$B:$B,'[2]Jan Labour Nd Drivers Hyva'!$A:$A,"NOT FOUND"))</f>
        <v/>
      </c>
      <c r="K57" s="2"/>
      <c r="L57" s="4" t="s">
        <v>69</v>
      </c>
      <c r="M57" s="19">
        <v>1</v>
      </c>
      <c r="N57" s="8">
        <v>10000</v>
      </c>
      <c r="O57" s="6">
        <f t="shared" si="13"/>
        <v>10000</v>
      </c>
      <c r="P57" s="8">
        <v>5000</v>
      </c>
      <c r="Q57" s="6">
        <f t="shared" si="19"/>
        <v>5000</v>
      </c>
      <c r="R57" s="2" t="str">
        <f t="shared" si="20"/>
        <v>PARTIAL</v>
      </c>
      <c r="S57" s="2"/>
      <c r="T57" s="2">
        <f t="shared" si="15"/>
        <v>10000</v>
      </c>
      <c r="U57" s="2" t="str">
        <f t="shared" si="16"/>
        <v>OK</v>
      </c>
      <c r="V57" s="7">
        <f t="shared" si="17"/>
        <v>5000</v>
      </c>
      <c r="W57" s="2" t="str">
        <f t="shared" si="18"/>
        <v>OK</v>
      </c>
      <c r="X57" s="2" t="s">
        <v>28</v>
      </c>
      <c r="Y57" s="2" t="s">
        <v>29</v>
      </c>
      <c r="Z57" t="s">
        <v>120</v>
      </c>
      <c r="AA57" t="s">
        <v>120</v>
      </c>
      <c r="AB57" t="s">
        <v>120</v>
      </c>
    </row>
    <row r="58" spans="1:28" x14ac:dyDescent="0.2">
      <c r="A58" t="str">
        <f t="shared" si="3"/>
        <v>TRIP-HF-057</v>
      </c>
      <c r="B58" s="3">
        <v>45883</v>
      </c>
      <c r="C58" s="2" t="str">
        <f>_xlfn.XLOOKUP(D58,'[1]Jan Customer Duplicate Hyva'!$B:$B,'[1]Jan Customer Duplicate Hyva'!$A:$A,"NOT FOUND")</f>
        <v>CUST-323</v>
      </c>
      <c r="D58" s="4" t="s">
        <v>45</v>
      </c>
      <c r="E58" s="4" t="s">
        <v>33</v>
      </c>
      <c r="F58" s="5" t="str">
        <f t="shared" si="10"/>
        <v>Gaju Bhau</v>
      </c>
      <c r="G58" s="5" t="str">
        <f t="shared" si="11"/>
        <v/>
      </c>
      <c r="H58" s="5" t="str">
        <f t="shared" si="12"/>
        <v/>
      </c>
      <c r="I58" s="5" t="str">
        <f>_xlfn.XLOOKUP(F58,'[1]Jan Labour Nd Drivers Hyva'!$B:$B,'[2]Jan Labour Nd Drivers Hyva'!$A:$A,"NOT FOUND")</f>
        <v>LAB-001</v>
      </c>
      <c r="J58" s="5" t="str">
        <f>IF(G58="","",_xlfn.XLOOKUP(G58,'[3]Jan Labour Nd Drivers Hyva'!$B:$B,'[2]Jan Labour Nd Drivers Hyva'!$A:$A,"NOT FOUND"))</f>
        <v/>
      </c>
      <c r="K58" s="2"/>
      <c r="L58" s="4" t="s">
        <v>70</v>
      </c>
      <c r="M58" s="19">
        <v>1</v>
      </c>
      <c r="N58" s="8">
        <v>10000</v>
      </c>
      <c r="O58" s="6">
        <f t="shared" si="13"/>
        <v>10000</v>
      </c>
      <c r="P58" s="8"/>
      <c r="Q58" s="6">
        <f t="shared" si="19"/>
        <v>10000</v>
      </c>
      <c r="R58" s="2" t="str">
        <f t="shared" si="20"/>
        <v>UNPAID</v>
      </c>
      <c r="S58" s="2"/>
      <c r="T58" s="2">
        <f t="shared" si="15"/>
        <v>10000</v>
      </c>
      <c r="U58" s="2" t="str">
        <f t="shared" si="16"/>
        <v>OK</v>
      </c>
      <c r="V58" s="7">
        <f t="shared" si="17"/>
        <v>10000</v>
      </c>
      <c r="W58" s="2" t="str">
        <f t="shared" si="18"/>
        <v>OK</v>
      </c>
      <c r="X58" s="2" t="s">
        <v>28</v>
      </c>
      <c r="Y58" s="2" t="s">
        <v>29</v>
      </c>
      <c r="Z58" t="s">
        <v>120</v>
      </c>
      <c r="AA58" t="s">
        <v>120</v>
      </c>
      <c r="AB58" t="s">
        <v>120</v>
      </c>
    </row>
    <row r="59" spans="1:28" x14ac:dyDescent="0.2">
      <c r="A59" t="str">
        <f t="shared" si="3"/>
        <v>TRIP-HF-058</v>
      </c>
      <c r="B59" s="3">
        <v>45886</v>
      </c>
      <c r="C59" s="2" t="str">
        <f>_xlfn.XLOOKUP(D59,'[1]Jan Customer Duplicate Hyva'!$B:$B,'[1]Jan Customer Duplicate Hyva'!$A:$A,"NOT FOUND")</f>
        <v>CUST-059</v>
      </c>
      <c r="D59" s="4" t="s">
        <v>71</v>
      </c>
      <c r="E59" s="4" t="s">
        <v>33</v>
      </c>
      <c r="F59" s="5" t="str">
        <f t="shared" si="10"/>
        <v>Gaju Bhau</v>
      </c>
      <c r="G59" s="5" t="str">
        <f t="shared" si="11"/>
        <v/>
      </c>
      <c r="H59" s="5" t="str">
        <f t="shared" si="12"/>
        <v/>
      </c>
      <c r="I59" s="5" t="str">
        <f>_xlfn.XLOOKUP(F59,'[1]Jan Labour Nd Drivers Hyva'!$B:$B,'[2]Jan Labour Nd Drivers Hyva'!$A:$A,"NOT FOUND")</f>
        <v>LAB-001</v>
      </c>
      <c r="J59" s="5" t="str">
        <f>IF(G59="","",_xlfn.XLOOKUP(G59,'[3]Jan Labour Nd Drivers Hyva'!$B:$B,'[2]Jan Labour Nd Drivers Hyva'!$A:$A,"NOT FOUND"))</f>
        <v/>
      </c>
      <c r="K59" s="2"/>
      <c r="L59" s="4" t="s">
        <v>49</v>
      </c>
      <c r="M59" s="19">
        <v>1</v>
      </c>
      <c r="N59" s="8">
        <v>10000</v>
      </c>
      <c r="O59" s="6">
        <f t="shared" si="13"/>
        <v>10000</v>
      </c>
      <c r="P59" s="8">
        <v>10000</v>
      </c>
      <c r="Q59" s="6">
        <f t="shared" si="19"/>
        <v>0</v>
      </c>
      <c r="R59" s="2" t="str">
        <f t="shared" si="20"/>
        <v>PAID</v>
      </c>
      <c r="S59" s="2"/>
      <c r="T59" s="2">
        <f t="shared" si="15"/>
        <v>10000</v>
      </c>
      <c r="U59" s="2" t="str">
        <f t="shared" si="16"/>
        <v>OK</v>
      </c>
      <c r="V59" s="7">
        <f t="shared" si="17"/>
        <v>0</v>
      </c>
      <c r="W59" s="2" t="str">
        <f t="shared" si="18"/>
        <v>OK</v>
      </c>
      <c r="X59" s="2" t="s">
        <v>28</v>
      </c>
      <c r="Y59" s="2" t="s">
        <v>29</v>
      </c>
      <c r="Z59" t="s">
        <v>120</v>
      </c>
      <c r="AA59" t="s">
        <v>120</v>
      </c>
      <c r="AB59" t="s">
        <v>120</v>
      </c>
    </row>
    <row r="60" spans="1:28" x14ac:dyDescent="0.2">
      <c r="A60" t="str">
        <f t="shared" si="3"/>
        <v>TRIP-HF-059</v>
      </c>
      <c r="B60" s="3">
        <v>45886</v>
      </c>
      <c r="C60" s="2" t="str">
        <f>_xlfn.XLOOKUP(D60,'[1]Jan Customer Duplicate Hyva'!$B:$B,'[1]Jan Customer Duplicate Hyva'!$A:$A,"NOT FOUND")</f>
        <v>CUST-411</v>
      </c>
      <c r="D60" s="4" t="s">
        <v>72</v>
      </c>
      <c r="E60" s="4" t="s">
        <v>33</v>
      </c>
      <c r="F60" s="5" t="str">
        <f t="shared" si="10"/>
        <v>Gaju Bhau</v>
      </c>
      <c r="G60" s="5" t="str">
        <f t="shared" si="11"/>
        <v/>
      </c>
      <c r="H60" s="5" t="str">
        <f t="shared" si="12"/>
        <v/>
      </c>
      <c r="I60" s="5" t="str">
        <f>_xlfn.XLOOKUP(F60,'[1]Jan Labour Nd Drivers Hyva'!$B:$B,'[2]Jan Labour Nd Drivers Hyva'!$A:$A,"NOT FOUND")</f>
        <v>LAB-001</v>
      </c>
      <c r="J60" s="5" t="str">
        <f>IF(G60="","",_xlfn.XLOOKUP(G60,'[3]Jan Labour Nd Drivers Hyva'!$B:$B,'[2]Jan Labour Nd Drivers Hyva'!$A:$A,"NOT FOUND"))</f>
        <v/>
      </c>
      <c r="K60" s="2"/>
      <c r="L60" s="4" t="s">
        <v>73</v>
      </c>
      <c r="M60" s="19">
        <v>2</v>
      </c>
      <c r="N60" s="8">
        <v>9000</v>
      </c>
      <c r="O60" s="6">
        <f t="shared" si="13"/>
        <v>18000</v>
      </c>
      <c r="P60" s="8">
        <v>18000</v>
      </c>
      <c r="Q60" s="6">
        <f t="shared" si="19"/>
        <v>0</v>
      </c>
      <c r="R60" s="2" t="str">
        <f t="shared" si="20"/>
        <v>PAID</v>
      </c>
      <c r="S60" s="2"/>
      <c r="T60" s="2">
        <f t="shared" si="15"/>
        <v>18000</v>
      </c>
      <c r="U60" s="2" t="str">
        <f t="shared" si="16"/>
        <v>OK</v>
      </c>
      <c r="V60" s="7">
        <f t="shared" si="17"/>
        <v>0</v>
      </c>
      <c r="W60" s="2" t="str">
        <f t="shared" si="18"/>
        <v>OK</v>
      </c>
      <c r="X60" s="2" t="s">
        <v>28</v>
      </c>
      <c r="Y60" s="2" t="s">
        <v>29</v>
      </c>
      <c r="Z60" t="s">
        <v>120</v>
      </c>
      <c r="AA60" t="s">
        <v>120</v>
      </c>
      <c r="AB60" t="s">
        <v>120</v>
      </c>
    </row>
    <row r="61" spans="1:28" x14ac:dyDescent="0.2">
      <c r="A61" t="str">
        <f t="shared" si="3"/>
        <v>TRIP-HF-060</v>
      </c>
      <c r="B61" s="3">
        <v>45887</v>
      </c>
      <c r="C61" s="2" t="str">
        <f>_xlfn.XLOOKUP(D61,'[1]Jan Customer Duplicate Hyva'!$B:$B,'[1]Jan Customer Duplicate Hyva'!$A:$A,"NOT FOUND")</f>
        <v>CUST-118</v>
      </c>
      <c r="D61" s="4" t="s">
        <v>63</v>
      </c>
      <c r="E61" s="4" t="s">
        <v>33</v>
      </c>
      <c r="F61" s="5" t="str">
        <f t="shared" si="10"/>
        <v>Gaju Bhau</v>
      </c>
      <c r="G61" s="5" t="str">
        <f t="shared" si="11"/>
        <v/>
      </c>
      <c r="H61" s="5" t="str">
        <f t="shared" si="12"/>
        <v/>
      </c>
      <c r="I61" s="5" t="str">
        <f>_xlfn.XLOOKUP(F61,'[1]Jan Labour Nd Drivers Hyva'!$B:$B,'[2]Jan Labour Nd Drivers Hyva'!$A:$A,"NOT FOUND")</f>
        <v>LAB-001</v>
      </c>
      <c r="J61" s="5" t="str">
        <f>IF(G61="","",_xlfn.XLOOKUP(G61,'[3]Jan Labour Nd Drivers Hyva'!$B:$B,'[2]Jan Labour Nd Drivers Hyva'!$A:$A,"NOT FOUND"))</f>
        <v/>
      </c>
      <c r="K61" s="2"/>
      <c r="L61" s="4" t="s">
        <v>47</v>
      </c>
      <c r="M61" s="19">
        <v>1</v>
      </c>
      <c r="N61" s="8">
        <v>10500</v>
      </c>
      <c r="O61" s="6">
        <f t="shared" si="13"/>
        <v>10500</v>
      </c>
      <c r="P61" s="8">
        <v>10500</v>
      </c>
      <c r="Q61" s="6">
        <f t="shared" si="19"/>
        <v>0</v>
      </c>
      <c r="R61" s="2" t="str">
        <f t="shared" si="20"/>
        <v>PAID</v>
      </c>
      <c r="S61" s="2"/>
      <c r="T61" s="2">
        <f t="shared" si="15"/>
        <v>10500</v>
      </c>
      <c r="U61" s="2" t="str">
        <f t="shared" si="16"/>
        <v>OK</v>
      </c>
      <c r="V61" s="7">
        <f t="shared" si="17"/>
        <v>0</v>
      </c>
      <c r="W61" s="2" t="str">
        <f t="shared" si="18"/>
        <v>OK</v>
      </c>
      <c r="X61" s="2" t="s">
        <v>28</v>
      </c>
      <c r="Y61" s="2" t="s">
        <v>29</v>
      </c>
      <c r="Z61" t="s">
        <v>120</v>
      </c>
      <c r="AA61" t="s">
        <v>120</v>
      </c>
      <c r="AB61" t="s">
        <v>120</v>
      </c>
    </row>
    <row r="62" spans="1:28" x14ac:dyDescent="0.2">
      <c r="A62" t="str">
        <f t="shared" si="3"/>
        <v>TRIP-HF-061</v>
      </c>
      <c r="B62" s="3">
        <v>45889</v>
      </c>
      <c r="C62" s="2" t="str">
        <f>_xlfn.XLOOKUP(D62,'[1]Jan Customer Duplicate Hyva'!$B:$B,'[1]Jan Customer Duplicate Hyva'!$A:$A,"NOT FOUND")</f>
        <v>CUST-323</v>
      </c>
      <c r="D62" s="4" t="s">
        <v>45</v>
      </c>
      <c r="E62" s="4" t="s">
        <v>33</v>
      </c>
      <c r="F62" s="5" t="str">
        <f t="shared" si="10"/>
        <v>Gaju Bhau</v>
      </c>
      <c r="G62" s="5" t="str">
        <f t="shared" si="11"/>
        <v/>
      </c>
      <c r="H62" s="5" t="str">
        <f t="shared" si="12"/>
        <v/>
      </c>
      <c r="I62" s="5" t="str">
        <f>_xlfn.XLOOKUP(F62,'[1]Jan Labour Nd Drivers Hyva'!$B:$B,'[2]Jan Labour Nd Drivers Hyva'!$A:$A,"NOT FOUND")</f>
        <v>LAB-001</v>
      </c>
      <c r="J62" s="5" t="str">
        <f>IF(G62="","",_xlfn.XLOOKUP(G62,'[3]Jan Labour Nd Drivers Hyva'!$B:$B,'[2]Jan Labour Nd Drivers Hyva'!$A:$A,"NOT FOUND"))</f>
        <v/>
      </c>
      <c r="K62" s="2"/>
      <c r="L62" s="4" t="s">
        <v>49</v>
      </c>
      <c r="M62" s="19">
        <v>1</v>
      </c>
      <c r="N62" s="8">
        <v>10000</v>
      </c>
      <c r="O62" s="6">
        <f t="shared" si="13"/>
        <v>10000</v>
      </c>
      <c r="P62" s="8">
        <v>10000</v>
      </c>
      <c r="Q62" s="6">
        <f t="shared" si="19"/>
        <v>0</v>
      </c>
      <c r="R62" s="2" t="str">
        <f t="shared" si="20"/>
        <v>PAID</v>
      </c>
      <c r="S62" s="2"/>
      <c r="T62" s="2">
        <f t="shared" si="15"/>
        <v>10000</v>
      </c>
      <c r="U62" s="2" t="str">
        <f t="shared" si="16"/>
        <v>OK</v>
      </c>
      <c r="V62" s="7">
        <f t="shared" si="17"/>
        <v>0</v>
      </c>
      <c r="W62" s="2" t="str">
        <f t="shared" si="18"/>
        <v>OK</v>
      </c>
      <c r="X62" s="2" t="s">
        <v>28</v>
      </c>
      <c r="Y62" s="2" t="s">
        <v>29</v>
      </c>
      <c r="Z62" t="s">
        <v>120</v>
      </c>
      <c r="AA62" t="s">
        <v>120</v>
      </c>
      <c r="AB62" t="s">
        <v>120</v>
      </c>
    </row>
    <row r="63" spans="1:28" x14ac:dyDescent="0.2">
      <c r="A63" t="str">
        <f t="shared" si="3"/>
        <v>TRIP-HF-062</v>
      </c>
      <c r="B63" s="3">
        <v>45890</v>
      </c>
      <c r="C63" s="2" t="str">
        <f>_xlfn.XLOOKUP(D63,'[1]Jan Customer Duplicate Hyva'!$B:$B,'[1]Jan Customer Duplicate Hyva'!$A:$A,"NOT FOUND")</f>
        <v>CUST-118</v>
      </c>
      <c r="D63" s="4" t="s">
        <v>63</v>
      </c>
      <c r="E63" s="4" t="s">
        <v>74</v>
      </c>
      <c r="F63" s="5" t="str">
        <f t="shared" si="10"/>
        <v>Gaju Bhau</v>
      </c>
      <c r="G63" s="5" t="str">
        <f t="shared" si="11"/>
        <v/>
      </c>
      <c r="H63" s="5" t="str">
        <f t="shared" si="12"/>
        <v/>
      </c>
      <c r="I63" s="5" t="str">
        <f>_xlfn.XLOOKUP(F63,'[1]Jan Labour Nd Drivers Hyva'!$B:$B,'[2]Jan Labour Nd Drivers Hyva'!$A:$A,"NOT FOUND")</f>
        <v>LAB-001</v>
      </c>
      <c r="J63" s="5" t="str">
        <f>IF(G63="","",_xlfn.XLOOKUP(G63,'[3]Jan Labour Nd Drivers Hyva'!$B:$B,'[2]Jan Labour Nd Drivers Hyva'!$A:$A,"NOT FOUND"))</f>
        <v/>
      </c>
      <c r="K63" s="2"/>
      <c r="L63" s="4" t="s">
        <v>47</v>
      </c>
      <c r="M63" s="19">
        <v>1</v>
      </c>
      <c r="N63" s="8">
        <v>11000</v>
      </c>
      <c r="O63" s="6">
        <f t="shared" si="13"/>
        <v>11000</v>
      </c>
      <c r="P63" s="8">
        <v>11000</v>
      </c>
      <c r="Q63" s="6">
        <f t="shared" si="19"/>
        <v>0</v>
      </c>
      <c r="R63" s="2" t="str">
        <f t="shared" si="20"/>
        <v>PAID</v>
      </c>
      <c r="S63" s="2"/>
      <c r="T63" s="2">
        <f t="shared" si="15"/>
        <v>11000</v>
      </c>
      <c r="U63" s="2" t="str">
        <f t="shared" si="16"/>
        <v>OK</v>
      </c>
      <c r="V63" s="7">
        <f t="shared" si="17"/>
        <v>0</v>
      </c>
      <c r="W63" s="2" t="str">
        <f t="shared" si="18"/>
        <v>OK</v>
      </c>
      <c r="X63" s="2" t="s">
        <v>28</v>
      </c>
      <c r="Y63" s="2" t="s">
        <v>29</v>
      </c>
      <c r="Z63" t="s">
        <v>120</v>
      </c>
      <c r="AA63" t="s">
        <v>120</v>
      </c>
      <c r="AB63" t="s">
        <v>120</v>
      </c>
    </row>
    <row r="64" spans="1:28" x14ac:dyDescent="0.2">
      <c r="A64" t="str">
        <f t="shared" si="3"/>
        <v>TRIP-HF-063</v>
      </c>
      <c r="B64" s="3">
        <v>45899</v>
      </c>
      <c r="C64" s="2" t="str">
        <f>_xlfn.XLOOKUP(D64,'[1]Jan Customer Duplicate Hyva'!$B:$B,'[1]Jan Customer Duplicate Hyva'!$A:$A,"NOT FOUND")</f>
        <v>CUST-169</v>
      </c>
      <c r="D64" s="4" t="s">
        <v>75</v>
      </c>
      <c r="E64" s="4" t="s">
        <v>33</v>
      </c>
      <c r="F64" s="5" t="str">
        <f t="shared" si="10"/>
        <v>Gaju Bhau</v>
      </c>
      <c r="G64" s="5" t="str">
        <f t="shared" si="11"/>
        <v/>
      </c>
      <c r="H64" s="5" t="str">
        <f t="shared" si="12"/>
        <v/>
      </c>
      <c r="I64" s="5" t="str">
        <f>_xlfn.XLOOKUP(F64,'[1]Jan Labour Nd Drivers Hyva'!$B:$B,'[2]Jan Labour Nd Drivers Hyva'!$A:$A,"NOT FOUND")</f>
        <v>LAB-001</v>
      </c>
      <c r="J64" s="5" t="str">
        <f>IF(G64="","",_xlfn.XLOOKUP(G64,'[3]Jan Labour Nd Drivers Hyva'!$B:$B,'[2]Jan Labour Nd Drivers Hyva'!$A:$A,"NOT FOUND"))</f>
        <v/>
      </c>
      <c r="K64" s="2"/>
      <c r="L64" s="4" t="s">
        <v>76</v>
      </c>
      <c r="M64" s="19">
        <v>1</v>
      </c>
      <c r="N64" s="8">
        <v>9500</v>
      </c>
      <c r="O64" s="6">
        <f t="shared" si="13"/>
        <v>9500</v>
      </c>
      <c r="P64" s="8">
        <v>9500</v>
      </c>
      <c r="Q64" s="6">
        <f t="shared" si="19"/>
        <v>0</v>
      </c>
      <c r="R64" s="2" t="str">
        <f t="shared" si="20"/>
        <v>PAID</v>
      </c>
      <c r="S64" s="2"/>
      <c r="T64" s="2">
        <f t="shared" si="15"/>
        <v>9500</v>
      </c>
      <c r="U64" s="2" t="str">
        <f t="shared" si="16"/>
        <v>OK</v>
      </c>
      <c r="V64" s="7">
        <f t="shared" si="17"/>
        <v>0</v>
      </c>
      <c r="W64" s="2" t="str">
        <f t="shared" si="18"/>
        <v>OK</v>
      </c>
      <c r="X64" s="2" t="s">
        <v>28</v>
      </c>
      <c r="Y64" s="2" t="s">
        <v>29</v>
      </c>
      <c r="Z64" t="s">
        <v>120</v>
      </c>
      <c r="AA64" t="s">
        <v>120</v>
      </c>
      <c r="AB64" t="s">
        <v>120</v>
      </c>
    </row>
    <row r="65" spans="1:28" x14ac:dyDescent="0.2">
      <c r="A65" t="str">
        <f t="shared" si="3"/>
        <v>TRIP-HF-064</v>
      </c>
      <c r="B65" s="3">
        <v>45901</v>
      </c>
      <c r="C65" s="2" t="str">
        <f>_xlfn.XLOOKUP(D65,'[1]Jan Customer Duplicate Hyva'!$B:$B,'[1]Jan Customer Duplicate Hyva'!$A:$A,"NOT FOUND")</f>
        <v>CUST-117</v>
      </c>
      <c r="D65" s="4" t="s">
        <v>35</v>
      </c>
      <c r="E65" s="4" t="s">
        <v>33</v>
      </c>
      <c r="F65" s="5" t="str">
        <f t="shared" si="10"/>
        <v>Gaju Bhau</v>
      </c>
      <c r="G65" s="5" t="str">
        <f t="shared" si="11"/>
        <v/>
      </c>
      <c r="H65" s="5" t="str">
        <f t="shared" si="12"/>
        <v/>
      </c>
      <c r="I65" s="5" t="str">
        <f>_xlfn.XLOOKUP(F65,'[1]Jan Labour Nd Drivers Hyva'!$B:$B,'[2]Jan Labour Nd Drivers Hyva'!$A:$A,"NOT FOUND")</f>
        <v>LAB-001</v>
      </c>
      <c r="J65" s="5" t="str">
        <f>IF(G65="","",_xlfn.XLOOKUP(G65,'[3]Jan Labour Nd Drivers Hyva'!$B:$B,'[2]Jan Labour Nd Drivers Hyva'!$A:$A,"NOT FOUND"))</f>
        <v/>
      </c>
      <c r="K65" s="2"/>
      <c r="L65" s="4" t="s">
        <v>49</v>
      </c>
      <c r="M65" s="19">
        <v>3</v>
      </c>
      <c r="N65" s="6">
        <v>9800</v>
      </c>
      <c r="O65" s="6">
        <f t="shared" si="13"/>
        <v>29400</v>
      </c>
      <c r="P65" s="6">
        <v>29400</v>
      </c>
      <c r="Q65" s="6">
        <f t="shared" si="19"/>
        <v>0</v>
      </c>
      <c r="R65" s="2" t="str">
        <f t="shared" si="20"/>
        <v>PAID</v>
      </c>
      <c r="S65" s="2"/>
      <c r="T65" s="2">
        <f t="shared" si="15"/>
        <v>29400</v>
      </c>
      <c r="U65" s="2" t="str">
        <f t="shared" si="16"/>
        <v>OK</v>
      </c>
      <c r="V65" s="7">
        <f t="shared" si="17"/>
        <v>0</v>
      </c>
      <c r="W65" s="2" t="str">
        <f t="shared" si="18"/>
        <v>OK</v>
      </c>
      <c r="X65" s="2" t="s">
        <v>28</v>
      </c>
      <c r="Y65" s="2" t="s">
        <v>29</v>
      </c>
      <c r="Z65" t="s">
        <v>120</v>
      </c>
      <c r="AA65" t="s">
        <v>120</v>
      </c>
      <c r="AB65" t="s">
        <v>120</v>
      </c>
    </row>
    <row r="66" spans="1:28" x14ac:dyDescent="0.2">
      <c r="A66" t="str">
        <f t="shared" si="3"/>
        <v>TRIP-HF-065</v>
      </c>
      <c r="B66" s="3">
        <v>45901</v>
      </c>
      <c r="C66" s="2" t="str">
        <f>_xlfn.XLOOKUP(D66,'[1]Jan Customer Duplicate Hyva'!$B:$B,'[1]Jan Customer Duplicate Hyva'!$A:$A,"NOT FOUND")</f>
        <v>CUST-117</v>
      </c>
      <c r="D66" s="4" t="s">
        <v>35</v>
      </c>
      <c r="E66" s="4" t="s">
        <v>33</v>
      </c>
      <c r="F66" s="5" t="str">
        <f t="shared" si="10"/>
        <v>Gaju Bhau</v>
      </c>
      <c r="G66" s="5" t="str">
        <f t="shared" si="11"/>
        <v/>
      </c>
      <c r="H66" s="5" t="str">
        <f t="shared" si="12"/>
        <v/>
      </c>
      <c r="I66" s="5" t="str">
        <f>_xlfn.XLOOKUP(F66,'[1]Jan Labour Nd Drivers Hyva'!$B:$B,'[2]Jan Labour Nd Drivers Hyva'!$A:$A,"NOT FOUND")</f>
        <v>LAB-001</v>
      </c>
      <c r="J66" s="5" t="str">
        <f>IF(G66="","",_xlfn.XLOOKUP(G66,'[3]Jan Labour Nd Drivers Hyva'!$B:$B,'[2]Jan Labour Nd Drivers Hyva'!$A:$A,"NOT FOUND"))</f>
        <v/>
      </c>
      <c r="K66" s="2"/>
      <c r="L66" s="4" t="s">
        <v>77</v>
      </c>
      <c r="M66" s="19">
        <v>1</v>
      </c>
      <c r="N66" s="6">
        <v>10000</v>
      </c>
      <c r="O66" s="6">
        <f t="shared" si="13"/>
        <v>10000</v>
      </c>
      <c r="P66" s="6">
        <v>10000</v>
      </c>
      <c r="Q66" s="6">
        <f t="shared" si="19"/>
        <v>0</v>
      </c>
      <c r="R66" s="2" t="str">
        <f t="shared" si="20"/>
        <v>PAID</v>
      </c>
      <c r="S66" s="2"/>
      <c r="T66" s="2">
        <f t="shared" si="15"/>
        <v>10000</v>
      </c>
      <c r="U66" s="2" t="str">
        <f t="shared" si="16"/>
        <v>OK</v>
      </c>
      <c r="V66" s="7">
        <f t="shared" si="17"/>
        <v>0</v>
      </c>
      <c r="W66" s="2" t="str">
        <f t="shared" si="18"/>
        <v>OK</v>
      </c>
      <c r="X66" s="2" t="s">
        <v>28</v>
      </c>
      <c r="Y66" s="2" t="s">
        <v>29</v>
      </c>
      <c r="Z66" t="s">
        <v>120</v>
      </c>
      <c r="AA66" t="s">
        <v>120</v>
      </c>
      <c r="AB66" t="s">
        <v>120</v>
      </c>
    </row>
    <row r="67" spans="1:28" x14ac:dyDescent="0.2">
      <c r="A67" t="str">
        <f t="shared" ref="A67:A103" si="21">"TRIP-HF-"&amp;TEXT(ROW()-1,"000")</f>
        <v>TRIP-HF-066</v>
      </c>
      <c r="B67" s="3">
        <v>45915</v>
      </c>
      <c r="C67" s="2" t="str">
        <f>_xlfn.XLOOKUP(D67,'[1]Jan Customer Duplicate Hyva'!$B:$B,'[1]Jan Customer Duplicate Hyva'!$A:$A,"NOT FOUND")</f>
        <v>CUST-119</v>
      </c>
      <c r="D67" s="4" t="s">
        <v>78</v>
      </c>
      <c r="E67" s="4" t="s">
        <v>33</v>
      </c>
      <c r="F67" s="5" t="str">
        <f t="shared" si="10"/>
        <v>Gaju Bhau</v>
      </c>
      <c r="G67" s="5" t="str">
        <f t="shared" si="11"/>
        <v/>
      </c>
      <c r="H67" s="5" t="str">
        <f t="shared" si="12"/>
        <v/>
      </c>
      <c r="I67" s="5" t="str">
        <f>_xlfn.XLOOKUP(F67,'[1]Jan Labour Nd Drivers Hyva'!$B:$B,'[2]Jan Labour Nd Drivers Hyva'!$A:$A,"NOT FOUND")</f>
        <v>LAB-001</v>
      </c>
      <c r="J67" s="5" t="str">
        <f>IF(G67="","",_xlfn.XLOOKUP(G67,'[3]Jan Labour Nd Drivers Hyva'!$B:$B,'[2]Jan Labour Nd Drivers Hyva'!$A:$A,"NOT FOUND"))</f>
        <v/>
      </c>
      <c r="K67" s="2"/>
      <c r="L67" s="4" t="s">
        <v>47</v>
      </c>
      <c r="M67" s="19">
        <v>1</v>
      </c>
      <c r="N67" s="8">
        <v>11000</v>
      </c>
      <c r="O67" s="6">
        <f t="shared" si="13"/>
        <v>11000</v>
      </c>
      <c r="P67" s="8">
        <v>11000</v>
      </c>
      <c r="Q67" s="6">
        <f t="shared" si="19"/>
        <v>0</v>
      </c>
      <c r="R67" s="2" t="str">
        <f t="shared" si="20"/>
        <v>PAID</v>
      </c>
      <c r="S67" s="2"/>
      <c r="T67" s="2">
        <f t="shared" si="15"/>
        <v>11000</v>
      </c>
      <c r="U67" s="2" t="str">
        <f t="shared" si="16"/>
        <v>OK</v>
      </c>
      <c r="V67" s="7">
        <f t="shared" si="17"/>
        <v>0</v>
      </c>
      <c r="W67" s="2" t="str">
        <f t="shared" si="18"/>
        <v>OK</v>
      </c>
      <c r="X67" s="2" t="s">
        <v>28</v>
      </c>
      <c r="Y67" s="2" t="s">
        <v>29</v>
      </c>
      <c r="Z67" t="s">
        <v>120</v>
      </c>
      <c r="AA67" t="s">
        <v>120</v>
      </c>
      <c r="AB67" t="s">
        <v>120</v>
      </c>
    </row>
    <row r="68" spans="1:28" x14ac:dyDescent="0.2">
      <c r="A68" t="str">
        <f t="shared" si="21"/>
        <v>TRIP-HF-067</v>
      </c>
      <c r="B68" s="3">
        <v>45915</v>
      </c>
      <c r="C68" s="2" t="str">
        <f>_xlfn.XLOOKUP(D68,'[1]Jan Customer Duplicate Hyva'!$B:$B,'[1]Jan Customer Duplicate Hyva'!$A:$A,"NOT FOUND")</f>
        <v>CUST-398</v>
      </c>
      <c r="D68" s="4" t="s">
        <v>79</v>
      </c>
      <c r="E68" s="4" t="s">
        <v>33</v>
      </c>
      <c r="F68" s="5" t="str">
        <f t="shared" si="10"/>
        <v>Gaju Bhau</v>
      </c>
      <c r="G68" s="5" t="str">
        <f t="shared" si="11"/>
        <v/>
      </c>
      <c r="H68" s="5" t="str">
        <f t="shared" si="12"/>
        <v/>
      </c>
      <c r="I68" s="5" t="str">
        <f>_xlfn.XLOOKUP(F68,'[1]Jan Labour Nd Drivers Hyva'!$B:$B,'[2]Jan Labour Nd Drivers Hyva'!$A:$A,"NOT FOUND")</f>
        <v>LAB-001</v>
      </c>
      <c r="J68" s="5" t="str">
        <f>IF(G68="","",_xlfn.XLOOKUP(G68,'[3]Jan Labour Nd Drivers Hyva'!$B:$B,'[2]Jan Labour Nd Drivers Hyva'!$A:$A,"NOT FOUND"))</f>
        <v/>
      </c>
      <c r="K68" s="2"/>
      <c r="L68" s="4" t="s">
        <v>38</v>
      </c>
      <c r="M68" s="19">
        <v>1</v>
      </c>
      <c r="N68" s="8">
        <v>9500</v>
      </c>
      <c r="O68" s="6">
        <f t="shared" si="13"/>
        <v>9500</v>
      </c>
      <c r="P68" s="8">
        <v>9500</v>
      </c>
      <c r="Q68" s="6">
        <f t="shared" si="19"/>
        <v>0</v>
      </c>
      <c r="R68" s="2" t="str">
        <f t="shared" si="20"/>
        <v>PAID</v>
      </c>
      <c r="S68" s="2"/>
      <c r="T68" s="2">
        <f t="shared" si="15"/>
        <v>9500</v>
      </c>
      <c r="U68" s="2" t="str">
        <f t="shared" si="16"/>
        <v>OK</v>
      </c>
      <c r="V68" s="7">
        <f t="shared" si="17"/>
        <v>0</v>
      </c>
      <c r="W68" s="2" t="str">
        <f t="shared" si="18"/>
        <v>OK</v>
      </c>
      <c r="X68" s="2" t="s">
        <v>28</v>
      </c>
      <c r="Y68" s="2" t="s">
        <v>29</v>
      </c>
      <c r="Z68" t="s">
        <v>120</v>
      </c>
      <c r="AA68" t="s">
        <v>120</v>
      </c>
      <c r="AB68" t="s">
        <v>120</v>
      </c>
    </row>
    <row r="69" spans="1:28" x14ac:dyDescent="0.2">
      <c r="A69" t="str">
        <f t="shared" si="21"/>
        <v>TRIP-HF-068</v>
      </c>
      <c r="B69" s="3">
        <v>45915</v>
      </c>
      <c r="C69" s="2" t="str">
        <f>_xlfn.XLOOKUP(D69,'[1]Jan Customer Duplicate Hyva'!$B:$B,'[1]Jan Customer Duplicate Hyva'!$A:$A,"NOT FOUND")</f>
        <v>CUST-403</v>
      </c>
      <c r="D69" s="4" t="s">
        <v>80</v>
      </c>
      <c r="E69" s="4" t="s">
        <v>33</v>
      </c>
      <c r="F69" s="5" t="str">
        <f t="shared" si="10"/>
        <v>Gaju Bhau</v>
      </c>
      <c r="G69" s="5" t="str">
        <f t="shared" si="11"/>
        <v/>
      </c>
      <c r="H69" s="5" t="str">
        <f t="shared" si="12"/>
        <v/>
      </c>
      <c r="I69" s="5" t="str">
        <f>_xlfn.XLOOKUP(F69,'[1]Jan Labour Nd Drivers Hyva'!$B:$B,'[2]Jan Labour Nd Drivers Hyva'!$A:$A,"NOT FOUND")</f>
        <v>LAB-001</v>
      </c>
      <c r="J69" s="5" t="str">
        <f>IF(G69="","",_xlfn.XLOOKUP(G69,'[3]Jan Labour Nd Drivers Hyva'!$B:$B,'[2]Jan Labour Nd Drivers Hyva'!$A:$A,"NOT FOUND"))</f>
        <v/>
      </c>
      <c r="K69" s="2"/>
      <c r="L69" s="4" t="s">
        <v>81</v>
      </c>
      <c r="M69" s="19">
        <v>1</v>
      </c>
      <c r="N69" s="8">
        <v>0</v>
      </c>
      <c r="O69" s="6">
        <f t="shared" si="13"/>
        <v>0</v>
      </c>
      <c r="P69" s="8"/>
      <c r="Q69" s="6">
        <f t="shared" si="19"/>
        <v>0</v>
      </c>
      <c r="R69" s="2" t="str">
        <f t="shared" si="20"/>
        <v>PAID</v>
      </c>
      <c r="S69" s="2"/>
      <c r="T69" s="2">
        <f t="shared" si="15"/>
        <v>0</v>
      </c>
      <c r="U69" s="2" t="str">
        <f t="shared" si="16"/>
        <v>OK</v>
      </c>
      <c r="V69" s="7">
        <f t="shared" si="17"/>
        <v>0</v>
      </c>
      <c r="W69" s="2" t="str">
        <f t="shared" si="18"/>
        <v>OK</v>
      </c>
      <c r="X69" s="2" t="s">
        <v>28</v>
      </c>
      <c r="Y69" s="2" t="s">
        <v>29</v>
      </c>
      <c r="Z69" t="s">
        <v>120</v>
      </c>
      <c r="AA69" t="s">
        <v>120</v>
      </c>
      <c r="AB69" t="s">
        <v>120</v>
      </c>
    </row>
    <row r="70" spans="1:28" x14ac:dyDescent="0.2">
      <c r="A70" t="str">
        <f t="shared" si="21"/>
        <v>TRIP-HF-069</v>
      </c>
      <c r="B70" s="3">
        <v>45916</v>
      </c>
      <c r="C70" s="2" t="str">
        <f>_xlfn.XLOOKUP(D70,'[1]Jan Customer Duplicate Hyva'!$B:$B,'[1]Jan Customer Duplicate Hyva'!$A:$A,"NOT FOUND")</f>
        <v>CUST-323</v>
      </c>
      <c r="D70" s="4" t="s">
        <v>45</v>
      </c>
      <c r="E70" s="4" t="s">
        <v>33</v>
      </c>
      <c r="F70" s="5" t="str">
        <f t="shared" si="10"/>
        <v>Gaju Bhau</v>
      </c>
      <c r="G70" s="5" t="str">
        <f t="shared" si="11"/>
        <v/>
      </c>
      <c r="H70" s="5" t="str">
        <f t="shared" si="12"/>
        <v/>
      </c>
      <c r="I70" s="5" t="str">
        <f>_xlfn.XLOOKUP(F70,'[1]Jan Labour Nd Drivers Hyva'!$B:$B,'[2]Jan Labour Nd Drivers Hyva'!$A:$A,"NOT FOUND")</f>
        <v>LAB-001</v>
      </c>
      <c r="J70" s="5" t="str">
        <f>IF(G70="","",_xlfn.XLOOKUP(G70,'[3]Jan Labour Nd Drivers Hyva'!$B:$B,'[2]Jan Labour Nd Drivers Hyva'!$A:$A,"NOT FOUND"))</f>
        <v/>
      </c>
      <c r="K70" s="2"/>
      <c r="L70" s="4" t="s">
        <v>82</v>
      </c>
      <c r="M70" s="19">
        <v>1</v>
      </c>
      <c r="N70" s="8">
        <v>11000</v>
      </c>
      <c r="O70" s="6">
        <f t="shared" si="13"/>
        <v>11000</v>
      </c>
      <c r="P70" s="8">
        <v>11000</v>
      </c>
      <c r="Q70" s="6">
        <f t="shared" si="19"/>
        <v>0</v>
      </c>
      <c r="R70" s="2" t="str">
        <f t="shared" si="20"/>
        <v>PAID</v>
      </c>
      <c r="S70" s="2"/>
      <c r="T70" s="2">
        <f t="shared" si="15"/>
        <v>11000</v>
      </c>
      <c r="U70" s="2" t="str">
        <f t="shared" si="16"/>
        <v>OK</v>
      </c>
      <c r="V70" s="7">
        <f t="shared" si="17"/>
        <v>0</v>
      </c>
      <c r="W70" s="2" t="str">
        <f t="shared" si="18"/>
        <v>OK</v>
      </c>
      <c r="X70" s="2" t="s">
        <v>28</v>
      </c>
      <c r="Y70" s="2" t="s">
        <v>29</v>
      </c>
      <c r="Z70" t="s">
        <v>120</v>
      </c>
      <c r="AA70" t="s">
        <v>120</v>
      </c>
      <c r="AB70" t="s">
        <v>120</v>
      </c>
    </row>
    <row r="71" spans="1:28" x14ac:dyDescent="0.2">
      <c r="A71" t="str">
        <f t="shared" si="21"/>
        <v>TRIP-HF-070</v>
      </c>
      <c r="B71" s="3">
        <v>45916</v>
      </c>
      <c r="C71" s="2" t="str">
        <f>_xlfn.XLOOKUP(D71,'[1]Jan Customer Duplicate Hyva'!$B:$B,'[1]Jan Customer Duplicate Hyva'!$A:$A,"NOT FOUND")</f>
        <v>CUST-323</v>
      </c>
      <c r="D71" s="4" t="s">
        <v>45</v>
      </c>
      <c r="E71" s="4" t="s">
        <v>33</v>
      </c>
      <c r="F71" s="5" t="str">
        <f t="shared" si="10"/>
        <v>Gaju Bhau</v>
      </c>
      <c r="G71" s="5" t="str">
        <f t="shared" si="11"/>
        <v/>
      </c>
      <c r="H71" s="5" t="str">
        <f t="shared" si="12"/>
        <v/>
      </c>
      <c r="I71" s="5" t="str">
        <f>_xlfn.XLOOKUP(F71,'[1]Jan Labour Nd Drivers Hyva'!$B:$B,'[2]Jan Labour Nd Drivers Hyva'!$A:$A,"NOT FOUND")</f>
        <v>LAB-001</v>
      </c>
      <c r="J71" s="5" t="str">
        <f>IF(G71="","",_xlfn.XLOOKUP(G71,'[3]Jan Labour Nd Drivers Hyva'!$B:$B,'[2]Jan Labour Nd Drivers Hyva'!$A:$A,"NOT FOUND"))</f>
        <v/>
      </c>
      <c r="K71" s="2"/>
      <c r="L71" s="4" t="s">
        <v>83</v>
      </c>
      <c r="M71" s="19">
        <v>1</v>
      </c>
      <c r="N71" s="8">
        <v>10000</v>
      </c>
      <c r="O71" s="6">
        <f t="shared" si="13"/>
        <v>10000</v>
      </c>
      <c r="P71" s="8">
        <v>8000</v>
      </c>
      <c r="Q71" s="6">
        <f t="shared" si="19"/>
        <v>2000</v>
      </c>
      <c r="R71" s="2" t="str">
        <f t="shared" si="20"/>
        <v>PARTIAL</v>
      </c>
      <c r="S71" s="2"/>
      <c r="T71" s="2">
        <f t="shared" si="15"/>
        <v>10000</v>
      </c>
      <c r="U71" s="2" t="str">
        <f t="shared" si="16"/>
        <v>OK</v>
      </c>
      <c r="V71" s="7">
        <f t="shared" si="17"/>
        <v>2000</v>
      </c>
      <c r="W71" s="2" t="str">
        <f t="shared" si="18"/>
        <v>OK</v>
      </c>
      <c r="X71" s="2" t="s">
        <v>28</v>
      </c>
      <c r="Y71" s="2" t="s">
        <v>29</v>
      </c>
      <c r="Z71" t="s">
        <v>120</v>
      </c>
      <c r="AA71" t="s">
        <v>120</v>
      </c>
      <c r="AB71" t="s">
        <v>120</v>
      </c>
    </row>
    <row r="72" spans="1:28" x14ac:dyDescent="0.2">
      <c r="A72" t="str">
        <f t="shared" si="21"/>
        <v>TRIP-HF-071</v>
      </c>
      <c r="B72" s="3">
        <v>45917</v>
      </c>
      <c r="C72" s="2" t="str">
        <f>_xlfn.XLOOKUP(D72,'[1]Jan Customer Duplicate Hyva'!$B:$B,'[1]Jan Customer Duplicate Hyva'!$A:$A,"NOT FOUND")</f>
        <v>CUST-117</v>
      </c>
      <c r="D72" s="4" t="s">
        <v>35</v>
      </c>
      <c r="E72" s="4" t="s">
        <v>33</v>
      </c>
      <c r="F72" s="5" t="str">
        <f t="shared" si="10"/>
        <v>Gaju Bhau</v>
      </c>
      <c r="G72" s="5" t="str">
        <f t="shared" si="11"/>
        <v/>
      </c>
      <c r="H72" s="5" t="str">
        <f t="shared" si="12"/>
        <v/>
      </c>
      <c r="I72" s="5" t="str">
        <f>_xlfn.XLOOKUP(F72,'[1]Jan Labour Nd Drivers Hyva'!$B:$B,'[2]Jan Labour Nd Drivers Hyva'!$A:$A,"NOT FOUND")</f>
        <v>LAB-001</v>
      </c>
      <c r="J72" s="5" t="str">
        <f>IF(G72="","",_xlfn.XLOOKUP(G72,'[3]Jan Labour Nd Drivers Hyva'!$B:$B,'[2]Jan Labour Nd Drivers Hyva'!$A:$A,"NOT FOUND"))</f>
        <v/>
      </c>
      <c r="K72" s="2"/>
      <c r="L72" s="4" t="s">
        <v>77</v>
      </c>
      <c r="M72" s="19">
        <v>1</v>
      </c>
      <c r="N72" s="8">
        <v>10800</v>
      </c>
      <c r="O72" s="6">
        <f t="shared" si="13"/>
        <v>10800</v>
      </c>
      <c r="P72" s="8">
        <v>10800</v>
      </c>
      <c r="Q72" s="6">
        <f t="shared" si="19"/>
        <v>0</v>
      </c>
      <c r="R72" s="2" t="str">
        <f t="shared" si="20"/>
        <v>PAID</v>
      </c>
      <c r="S72" s="2"/>
      <c r="T72" s="2">
        <f t="shared" si="15"/>
        <v>10800</v>
      </c>
      <c r="U72" s="2" t="str">
        <f t="shared" si="16"/>
        <v>OK</v>
      </c>
      <c r="V72" s="7">
        <f t="shared" si="17"/>
        <v>0</v>
      </c>
      <c r="W72" s="2" t="str">
        <f t="shared" si="18"/>
        <v>OK</v>
      </c>
      <c r="X72" s="2" t="s">
        <v>28</v>
      </c>
      <c r="Y72" s="2" t="s">
        <v>29</v>
      </c>
      <c r="Z72" t="s">
        <v>120</v>
      </c>
      <c r="AA72" t="s">
        <v>120</v>
      </c>
      <c r="AB72" t="s">
        <v>120</v>
      </c>
    </row>
    <row r="73" spans="1:28" x14ac:dyDescent="0.2">
      <c r="A73" t="str">
        <f t="shared" si="21"/>
        <v>TRIP-HF-072</v>
      </c>
      <c r="B73" s="3">
        <v>45917</v>
      </c>
      <c r="C73" s="2" t="str">
        <f>_xlfn.XLOOKUP(D73,'[1]Jan Customer Duplicate Hyva'!$B:$B,'[1]Jan Customer Duplicate Hyva'!$A:$A,"NOT FOUND")</f>
        <v>CUST-328</v>
      </c>
      <c r="D73" s="4" t="s">
        <v>84</v>
      </c>
      <c r="E73" s="4" t="s">
        <v>33</v>
      </c>
      <c r="F73" s="5" t="str">
        <f t="shared" si="10"/>
        <v>Gaju Bhau</v>
      </c>
      <c r="G73" s="5" t="str">
        <f t="shared" si="11"/>
        <v/>
      </c>
      <c r="H73" s="5" t="str">
        <f t="shared" si="12"/>
        <v/>
      </c>
      <c r="I73" s="5" t="str">
        <f>_xlfn.XLOOKUP(F73,'[1]Jan Labour Nd Drivers Hyva'!$B:$B,'[2]Jan Labour Nd Drivers Hyva'!$A:$A,"NOT FOUND")</f>
        <v>LAB-001</v>
      </c>
      <c r="J73" s="5" t="str">
        <f>IF(G73="","",_xlfn.XLOOKUP(G73,'[3]Jan Labour Nd Drivers Hyva'!$B:$B,'[2]Jan Labour Nd Drivers Hyva'!$A:$A,"NOT FOUND"))</f>
        <v/>
      </c>
      <c r="K73" s="2"/>
      <c r="L73" s="4" t="s">
        <v>49</v>
      </c>
      <c r="M73" s="19">
        <v>1</v>
      </c>
      <c r="N73" s="8">
        <v>10000</v>
      </c>
      <c r="O73" s="6">
        <f t="shared" si="13"/>
        <v>10000</v>
      </c>
      <c r="P73" s="8">
        <v>10000</v>
      </c>
      <c r="Q73" s="6">
        <f t="shared" si="19"/>
        <v>0</v>
      </c>
      <c r="R73" s="2" t="str">
        <f t="shared" si="20"/>
        <v>PAID</v>
      </c>
      <c r="S73" s="2"/>
      <c r="T73" s="2">
        <f t="shared" si="15"/>
        <v>10000</v>
      </c>
      <c r="U73" s="2" t="str">
        <f t="shared" si="16"/>
        <v>OK</v>
      </c>
      <c r="V73" s="7">
        <f t="shared" si="17"/>
        <v>0</v>
      </c>
      <c r="W73" s="2" t="str">
        <f t="shared" si="18"/>
        <v>OK</v>
      </c>
      <c r="X73" s="2" t="s">
        <v>28</v>
      </c>
      <c r="Y73" s="2" t="s">
        <v>29</v>
      </c>
      <c r="Z73" t="s">
        <v>120</v>
      </c>
      <c r="AA73" t="s">
        <v>120</v>
      </c>
      <c r="AB73" t="s">
        <v>120</v>
      </c>
    </row>
    <row r="74" spans="1:28" x14ac:dyDescent="0.2">
      <c r="A74" t="str">
        <f t="shared" si="21"/>
        <v>TRIP-HF-073</v>
      </c>
      <c r="B74" s="3">
        <v>45919</v>
      </c>
      <c r="C74" s="2" t="str">
        <f>_xlfn.XLOOKUP(D74,'[1]Jan Customer Duplicate Hyva'!$B:$B,'[1]Jan Customer Duplicate Hyva'!$A:$A,"NOT FOUND")</f>
        <v>CUST-194</v>
      </c>
      <c r="D74" s="4" t="s">
        <v>85</v>
      </c>
      <c r="E74" s="4" t="s">
        <v>33</v>
      </c>
      <c r="F74" s="5" t="str">
        <f t="shared" si="10"/>
        <v>Gaju Bhau</v>
      </c>
      <c r="G74" s="5" t="str">
        <f t="shared" si="11"/>
        <v/>
      </c>
      <c r="H74" s="5" t="str">
        <f t="shared" si="12"/>
        <v/>
      </c>
      <c r="I74" s="5" t="str">
        <f>_xlfn.XLOOKUP(F74,'[1]Jan Labour Nd Drivers Hyva'!$B:$B,'[2]Jan Labour Nd Drivers Hyva'!$A:$A,"NOT FOUND")</f>
        <v>LAB-001</v>
      </c>
      <c r="J74" s="5" t="str">
        <f>IF(G74="","",_xlfn.XLOOKUP(G74,'[3]Jan Labour Nd Drivers Hyva'!$B:$B,'[2]Jan Labour Nd Drivers Hyva'!$A:$A,"NOT FOUND"))</f>
        <v/>
      </c>
      <c r="K74" s="2"/>
      <c r="L74" s="4" t="s">
        <v>47</v>
      </c>
      <c r="M74" s="19">
        <v>1</v>
      </c>
      <c r="N74" s="8">
        <v>11000</v>
      </c>
      <c r="O74" s="6">
        <f t="shared" si="13"/>
        <v>11000</v>
      </c>
      <c r="P74" s="8">
        <v>11000</v>
      </c>
      <c r="Q74" s="6">
        <f t="shared" si="19"/>
        <v>0</v>
      </c>
      <c r="R74" s="2" t="str">
        <f t="shared" si="20"/>
        <v>PAID</v>
      </c>
      <c r="S74" s="2"/>
      <c r="T74" s="2">
        <f t="shared" si="15"/>
        <v>11000</v>
      </c>
      <c r="U74" s="2" t="str">
        <f t="shared" si="16"/>
        <v>OK</v>
      </c>
      <c r="V74" s="7">
        <f t="shared" si="17"/>
        <v>0</v>
      </c>
      <c r="W74" s="2" t="str">
        <f t="shared" si="18"/>
        <v>OK</v>
      </c>
      <c r="X74" s="2" t="s">
        <v>28</v>
      </c>
      <c r="Y74" s="2" t="s">
        <v>29</v>
      </c>
      <c r="Z74" t="s">
        <v>120</v>
      </c>
      <c r="AA74" t="s">
        <v>120</v>
      </c>
      <c r="AB74" t="s">
        <v>120</v>
      </c>
    </row>
    <row r="75" spans="1:28" x14ac:dyDescent="0.2">
      <c r="A75" t="str">
        <f t="shared" si="21"/>
        <v>TRIP-HF-074</v>
      </c>
      <c r="B75" s="3">
        <v>45921</v>
      </c>
      <c r="C75" s="2" t="str">
        <f>_xlfn.XLOOKUP(D75,'[1]Jan Customer Duplicate Hyva'!$B:$B,'[1]Jan Customer Duplicate Hyva'!$A:$A,"NOT FOUND")</f>
        <v>CUST-427</v>
      </c>
      <c r="D75" s="4" t="s">
        <v>86</v>
      </c>
      <c r="E75" s="4" t="s">
        <v>33</v>
      </c>
      <c r="F75" s="5" t="str">
        <f t="shared" si="10"/>
        <v>Gaju Bhau</v>
      </c>
      <c r="G75" s="5" t="str">
        <f t="shared" si="11"/>
        <v/>
      </c>
      <c r="H75" s="5" t="str">
        <f t="shared" si="12"/>
        <v/>
      </c>
      <c r="I75" s="5" t="str">
        <f>_xlfn.XLOOKUP(F75,'[1]Jan Labour Nd Drivers Hyva'!$B:$B,'[2]Jan Labour Nd Drivers Hyva'!$A:$A,"NOT FOUND")</f>
        <v>LAB-001</v>
      </c>
      <c r="J75" s="5" t="str">
        <f>IF(G75="","",_xlfn.XLOOKUP(G75,'[3]Jan Labour Nd Drivers Hyva'!$B:$B,'[2]Jan Labour Nd Drivers Hyva'!$A:$A,"NOT FOUND"))</f>
        <v/>
      </c>
      <c r="K75" s="2"/>
      <c r="L75" s="4" t="s">
        <v>87</v>
      </c>
      <c r="M75" s="19">
        <v>2</v>
      </c>
      <c r="N75" s="8">
        <v>12000</v>
      </c>
      <c r="O75" s="6">
        <f t="shared" si="13"/>
        <v>24000</v>
      </c>
      <c r="P75" s="8">
        <v>24000</v>
      </c>
      <c r="Q75" s="6">
        <f t="shared" si="19"/>
        <v>0</v>
      </c>
      <c r="R75" s="2" t="str">
        <f t="shared" si="20"/>
        <v>PAID</v>
      </c>
      <c r="S75" s="2"/>
      <c r="T75" s="2">
        <f t="shared" si="15"/>
        <v>24000</v>
      </c>
      <c r="U75" s="2" t="str">
        <f t="shared" si="16"/>
        <v>OK</v>
      </c>
      <c r="V75" s="7">
        <f t="shared" si="17"/>
        <v>0</v>
      </c>
      <c r="W75" s="2" t="str">
        <f t="shared" si="18"/>
        <v>OK</v>
      </c>
      <c r="X75" s="2" t="s">
        <v>28</v>
      </c>
      <c r="Y75" s="2" t="s">
        <v>29</v>
      </c>
      <c r="Z75" t="s">
        <v>120</v>
      </c>
      <c r="AA75" t="s">
        <v>120</v>
      </c>
      <c r="AB75" t="s">
        <v>120</v>
      </c>
    </row>
    <row r="76" spans="1:28" x14ac:dyDescent="0.2">
      <c r="A76" t="str">
        <f t="shared" si="21"/>
        <v>TRIP-HF-075</v>
      </c>
      <c r="B76" s="3">
        <v>45921</v>
      </c>
      <c r="C76" s="2" t="str">
        <f>_xlfn.XLOOKUP(D76,'[1]Jan Customer Duplicate Hyva'!$B:$B,'[1]Jan Customer Duplicate Hyva'!$A:$A,"NOT FOUND")</f>
        <v>CUST-194</v>
      </c>
      <c r="D76" s="4" t="s">
        <v>85</v>
      </c>
      <c r="E76" s="4" t="s">
        <v>33</v>
      </c>
      <c r="F76" s="5" t="str">
        <f t="shared" si="10"/>
        <v>Gaju Bhau</v>
      </c>
      <c r="G76" s="5" t="str">
        <f t="shared" si="11"/>
        <v/>
      </c>
      <c r="H76" s="5" t="str">
        <f t="shared" si="12"/>
        <v/>
      </c>
      <c r="I76" s="5" t="str">
        <f>_xlfn.XLOOKUP(F76,'[1]Jan Labour Nd Drivers Hyva'!$B:$B,'[2]Jan Labour Nd Drivers Hyva'!$A:$A,"NOT FOUND")</f>
        <v>LAB-001</v>
      </c>
      <c r="J76" s="5" t="str">
        <f>IF(G76="","",_xlfn.XLOOKUP(G76,'[3]Jan Labour Nd Drivers Hyva'!$B:$B,'[2]Jan Labour Nd Drivers Hyva'!$A:$A,"NOT FOUND"))</f>
        <v/>
      </c>
      <c r="K76" s="2"/>
      <c r="L76" s="4" t="s">
        <v>88</v>
      </c>
      <c r="M76" s="19">
        <v>1</v>
      </c>
      <c r="N76" s="8">
        <v>11000</v>
      </c>
      <c r="O76" s="6">
        <f t="shared" si="13"/>
        <v>11000</v>
      </c>
      <c r="P76" s="8">
        <v>11000</v>
      </c>
      <c r="Q76" s="6">
        <f t="shared" si="19"/>
        <v>0</v>
      </c>
      <c r="R76" s="2" t="str">
        <f t="shared" si="20"/>
        <v>PAID</v>
      </c>
      <c r="S76" s="2"/>
      <c r="T76" s="2">
        <f t="shared" si="15"/>
        <v>11000</v>
      </c>
      <c r="U76" s="2" t="str">
        <f t="shared" si="16"/>
        <v>OK</v>
      </c>
      <c r="V76" s="7">
        <f t="shared" si="17"/>
        <v>0</v>
      </c>
      <c r="W76" s="2" t="str">
        <f t="shared" si="18"/>
        <v>OK</v>
      </c>
      <c r="X76" s="2" t="s">
        <v>28</v>
      </c>
      <c r="Y76" s="2" t="s">
        <v>29</v>
      </c>
      <c r="Z76" t="s">
        <v>120</v>
      </c>
      <c r="AA76" t="s">
        <v>120</v>
      </c>
      <c r="AB76" t="s">
        <v>120</v>
      </c>
    </row>
    <row r="77" spans="1:28" x14ac:dyDescent="0.2">
      <c r="A77" t="str">
        <f t="shared" si="21"/>
        <v>TRIP-HF-076</v>
      </c>
      <c r="B77" s="3">
        <v>45922</v>
      </c>
      <c r="C77" s="2" t="str">
        <f>_xlfn.XLOOKUP(D77,'[1]Jan Customer Duplicate Hyva'!$B:$B,'[1]Jan Customer Duplicate Hyva'!$A:$A,"NOT FOUND")</f>
        <v>CUST-430</v>
      </c>
      <c r="D77" s="4" t="s">
        <v>89</v>
      </c>
      <c r="E77" s="4" t="s">
        <v>33</v>
      </c>
      <c r="F77" s="5" t="str">
        <f t="shared" si="10"/>
        <v>Gaju Bhau</v>
      </c>
      <c r="G77" s="5" t="str">
        <f t="shared" si="11"/>
        <v/>
      </c>
      <c r="H77" s="5" t="str">
        <f t="shared" si="12"/>
        <v/>
      </c>
      <c r="I77" s="5" t="str">
        <f>_xlfn.XLOOKUP(F77,'[1]Jan Labour Nd Drivers Hyva'!$B:$B,'[2]Jan Labour Nd Drivers Hyva'!$A:$A,"NOT FOUND")</f>
        <v>LAB-001</v>
      </c>
      <c r="J77" s="5" t="str">
        <f>IF(G77="","",_xlfn.XLOOKUP(G77,'[3]Jan Labour Nd Drivers Hyva'!$B:$B,'[2]Jan Labour Nd Drivers Hyva'!$A:$A,"NOT FOUND"))</f>
        <v/>
      </c>
      <c r="K77" s="2"/>
      <c r="L77" s="4" t="s">
        <v>52</v>
      </c>
      <c r="M77" s="19">
        <v>1</v>
      </c>
      <c r="N77" s="8">
        <v>11000</v>
      </c>
      <c r="O77" s="6">
        <f t="shared" si="13"/>
        <v>11000</v>
      </c>
      <c r="P77" s="8">
        <v>11000</v>
      </c>
      <c r="Q77" s="6">
        <f t="shared" si="19"/>
        <v>0</v>
      </c>
      <c r="R77" s="2" t="str">
        <f t="shared" si="20"/>
        <v>PAID</v>
      </c>
      <c r="S77" s="2"/>
      <c r="T77" s="2">
        <f t="shared" si="15"/>
        <v>11000</v>
      </c>
      <c r="U77" s="2" t="str">
        <f t="shared" si="16"/>
        <v>OK</v>
      </c>
      <c r="V77" s="7">
        <f t="shared" si="17"/>
        <v>0</v>
      </c>
      <c r="W77" s="2" t="str">
        <f t="shared" si="18"/>
        <v>OK</v>
      </c>
      <c r="X77" s="2" t="s">
        <v>28</v>
      </c>
      <c r="Y77" s="2" t="s">
        <v>29</v>
      </c>
      <c r="Z77" t="s">
        <v>120</v>
      </c>
      <c r="AA77" t="s">
        <v>120</v>
      </c>
      <c r="AB77" t="s">
        <v>120</v>
      </c>
    </row>
    <row r="78" spans="1:28" x14ac:dyDescent="0.2">
      <c r="A78" t="str">
        <f t="shared" si="21"/>
        <v>TRIP-HF-077</v>
      </c>
      <c r="B78" s="3">
        <v>45929</v>
      </c>
      <c r="C78" s="2" t="str">
        <f>_xlfn.XLOOKUP(D78,'[1]Jan Customer Duplicate Hyva'!$B:$B,'[1]Jan Customer Duplicate Hyva'!$A:$A,"NOT FOUND")</f>
        <v>CUST-117</v>
      </c>
      <c r="D78" s="4" t="s">
        <v>35</v>
      </c>
      <c r="E78" s="4" t="s">
        <v>33</v>
      </c>
      <c r="F78" s="5" t="str">
        <f t="shared" si="10"/>
        <v>Gaju Bhau</v>
      </c>
      <c r="G78" s="5" t="str">
        <f t="shared" si="11"/>
        <v/>
      </c>
      <c r="H78" s="5" t="str">
        <f t="shared" si="12"/>
        <v/>
      </c>
      <c r="I78" s="5" t="str">
        <f>_xlfn.XLOOKUP(F78,'[1]Jan Labour Nd Drivers Hyva'!$B:$B,'[2]Jan Labour Nd Drivers Hyva'!$A:$A,"NOT FOUND")</f>
        <v>LAB-001</v>
      </c>
      <c r="J78" s="5" t="str">
        <f>IF(G78="","",_xlfn.XLOOKUP(G78,'[3]Jan Labour Nd Drivers Hyva'!$B:$B,'[2]Jan Labour Nd Drivers Hyva'!$A:$A,"NOT FOUND"))</f>
        <v/>
      </c>
      <c r="K78" s="2"/>
      <c r="L78" s="4" t="s">
        <v>77</v>
      </c>
      <c r="M78" s="19">
        <v>1</v>
      </c>
      <c r="N78" s="8">
        <v>10000</v>
      </c>
      <c r="O78" s="6">
        <f t="shared" si="13"/>
        <v>10000</v>
      </c>
      <c r="P78" s="8">
        <v>10000</v>
      </c>
      <c r="Q78" s="6">
        <f t="shared" si="19"/>
        <v>0</v>
      </c>
      <c r="R78" s="2" t="str">
        <f t="shared" si="20"/>
        <v>PAID</v>
      </c>
      <c r="S78" s="2"/>
      <c r="T78" s="2">
        <f t="shared" si="15"/>
        <v>10000</v>
      </c>
      <c r="U78" s="2" t="str">
        <f t="shared" si="16"/>
        <v>OK</v>
      </c>
      <c r="V78" s="7">
        <f t="shared" si="17"/>
        <v>0</v>
      </c>
      <c r="W78" s="2" t="str">
        <f t="shared" si="18"/>
        <v>OK</v>
      </c>
      <c r="X78" s="2" t="s">
        <v>28</v>
      </c>
      <c r="Y78" s="2" t="s">
        <v>29</v>
      </c>
      <c r="Z78" t="s">
        <v>120</v>
      </c>
      <c r="AA78" t="s">
        <v>120</v>
      </c>
      <c r="AB78" t="s">
        <v>120</v>
      </c>
    </row>
    <row r="79" spans="1:28" x14ac:dyDescent="0.2">
      <c r="A79" t="str">
        <f t="shared" si="21"/>
        <v>TRIP-HF-078</v>
      </c>
      <c r="B79" s="3">
        <v>45929</v>
      </c>
      <c r="C79" s="2" t="str">
        <f>_xlfn.XLOOKUP(D79,'[1]Jan Customer Duplicate Hyva'!$B:$B,'[1]Jan Customer Duplicate Hyva'!$A:$A,"NOT FOUND")</f>
        <v>CUST-401</v>
      </c>
      <c r="D79" s="4" t="s">
        <v>90</v>
      </c>
      <c r="E79" s="4" t="s">
        <v>33</v>
      </c>
      <c r="F79" s="5" t="str">
        <f t="shared" si="10"/>
        <v>Gaju Bhau</v>
      </c>
      <c r="G79" s="5" t="str">
        <f t="shared" si="11"/>
        <v/>
      </c>
      <c r="H79" s="5" t="str">
        <f t="shared" si="12"/>
        <v/>
      </c>
      <c r="I79" s="5" t="str">
        <f>_xlfn.XLOOKUP(F79,'[1]Jan Labour Nd Drivers Hyva'!$B:$B,'[2]Jan Labour Nd Drivers Hyva'!$A:$A,"NOT FOUND")</f>
        <v>LAB-001</v>
      </c>
      <c r="J79" s="5" t="str">
        <f>IF(G79="","",_xlfn.XLOOKUP(G79,'[3]Jan Labour Nd Drivers Hyva'!$B:$B,'[2]Jan Labour Nd Drivers Hyva'!$A:$A,"NOT FOUND"))</f>
        <v/>
      </c>
      <c r="K79" s="2"/>
      <c r="L79" s="4" t="s">
        <v>87</v>
      </c>
      <c r="M79" s="19">
        <v>1</v>
      </c>
      <c r="N79" s="8">
        <v>12000</v>
      </c>
      <c r="O79" s="6">
        <f t="shared" si="13"/>
        <v>12000</v>
      </c>
      <c r="P79" s="8">
        <v>12000</v>
      </c>
      <c r="Q79" s="6">
        <f t="shared" si="19"/>
        <v>0</v>
      </c>
      <c r="R79" s="2" t="str">
        <f t="shared" ref="R79:R110" si="22">IF(Q79=0,"PAID",IF(P79=0,"UNPAID","PARTIAL"))</f>
        <v>PAID</v>
      </c>
      <c r="S79" s="2"/>
      <c r="T79" s="2">
        <f t="shared" si="15"/>
        <v>12000</v>
      </c>
      <c r="U79" s="2" t="str">
        <f t="shared" si="16"/>
        <v>OK</v>
      </c>
      <c r="V79" s="7">
        <f t="shared" si="17"/>
        <v>0</v>
      </c>
      <c r="W79" s="2" t="str">
        <f t="shared" si="18"/>
        <v>OK</v>
      </c>
      <c r="X79" s="2" t="s">
        <v>28</v>
      </c>
      <c r="Y79" s="2" t="s">
        <v>29</v>
      </c>
      <c r="Z79" t="s">
        <v>120</v>
      </c>
      <c r="AA79" t="s">
        <v>120</v>
      </c>
      <c r="AB79" t="s">
        <v>120</v>
      </c>
    </row>
    <row r="80" spans="1:28" x14ac:dyDescent="0.2">
      <c r="A80" t="str">
        <f t="shared" si="21"/>
        <v>TRIP-HF-079</v>
      </c>
      <c r="B80" s="3">
        <v>45939</v>
      </c>
      <c r="C80" s="2" t="str">
        <f>_xlfn.XLOOKUP(D80,'[1]Jan Customer Duplicate Hyva'!$B:$B,'[1]Jan Customer Duplicate Hyva'!$A:$A,"NOT FOUND")</f>
        <v>CUST-401</v>
      </c>
      <c r="D80" s="4" t="s">
        <v>90</v>
      </c>
      <c r="E80" s="4" t="s">
        <v>36</v>
      </c>
      <c r="F80" s="5" t="str">
        <f t="shared" ref="F80:F103" si="23">TRIM(_xlfn.TEXTBEFORE(E80&amp;" / "," / "))</f>
        <v>Ravi</v>
      </c>
      <c r="G80" s="5" t="str">
        <f t="shared" ref="G80:G103" si="24">IFERROR(TRIM(_xlfn.TEXTBEFORE(_xlfn.TEXTAFTER(E80," / ")&amp;" / "," / ")),"")</f>
        <v/>
      </c>
      <c r="H80" s="5" t="str">
        <f t="shared" ref="H80:H103" si="25">IFERROR(TRIM(_xlfn.TEXTAFTER(E80," / ","2")),"")</f>
        <v/>
      </c>
      <c r="I80" s="5" t="str">
        <f>_xlfn.XLOOKUP(F80,'[1]Jan Labour Nd Drivers Hyva'!$B:$B,'[2]Jan Labour Nd Drivers Hyva'!$A:$A,"NOT FOUND")</f>
        <v>LAB-003</v>
      </c>
      <c r="J80" s="5" t="str">
        <f>IF(G80="","",_xlfn.XLOOKUP(G80,'[3]Jan Labour Nd Drivers Hyva'!$B:$B,'[2]Jan Labour Nd Drivers Hyva'!$A:$A,"NOT FOUND"))</f>
        <v/>
      </c>
      <c r="K80" s="2"/>
      <c r="L80" s="4" t="s">
        <v>91</v>
      </c>
      <c r="M80" s="19">
        <v>1</v>
      </c>
      <c r="N80" s="8">
        <v>12000</v>
      </c>
      <c r="O80" s="6">
        <f t="shared" ref="O80:O103" si="26">N80*M80</f>
        <v>12000</v>
      </c>
      <c r="P80" s="8">
        <v>12000</v>
      </c>
      <c r="Q80" s="6">
        <f t="shared" si="19"/>
        <v>0</v>
      </c>
      <c r="R80" s="2" t="str">
        <f t="shared" si="22"/>
        <v>PAID</v>
      </c>
      <c r="S80" s="2"/>
      <c r="T80" s="2">
        <f t="shared" ref="T80:T103" si="27">M80*N80</f>
        <v>12000</v>
      </c>
      <c r="U80" s="2" t="str">
        <f t="shared" ref="U80:U103" si="28">IF(ROUND(T80,2)=ROUND(O80,2),"OK","CHECK")</f>
        <v>OK</v>
      </c>
      <c r="V80" s="7">
        <f t="shared" ref="V80:V103" si="29">O80-P80</f>
        <v>0</v>
      </c>
      <c r="W80" s="2" t="str">
        <f t="shared" ref="W80:W103" si="30">IF(ROUND(V80,2)=ROUND(Q80,2),"OK","CHECK")</f>
        <v>OK</v>
      </c>
      <c r="X80" s="2" t="s">
        <v>28</v>
      </c>
      <c r="Y80" s="2" t="s">
        <v>29</v>
      </c>
      <c r="Z80" t="s">
        <v>120</v>
      </c>
      <c r="AA80" t="s">
        <v>120</v>
      </c>
      <c r="AB80" t="s">
        <v>120</v>
      </c>
    </row>
    <row r="81" spans="1:28" x14ac:dyDescent="0.2">
      <c r="A81" t="str">
        <f t="shared" si="21"/>
        <v>TRIP-HF-080</v>
      </c>
      <c r="B81" s="3">
        <v>45940</v>
      </c>
      <c r="C81" s="2" t="str">
        <f>_xlfn.XLOOKUP(D81,'[1]Jan Customer Duplicate Hyva'!$B:$B,'[1]Jan Customer Duplicate Hyva'!$A:$A,"NOT FOUND")</f>
        <v>CUST-117</v>
      </c>
      <c r="D81" s="10" t="s">
        <v>35</v>
      </c>
      <c r="E81" s="4" t="s">
        <v>36</v>
      </c>
      <c r="F81" s="5" t="str">
        <f t="shared" si="23"/>
        <v>Ravi</v>
      </c>
      <c r="G81" s="5" t="str">
        <f t="shared" si="24"/>
        <v/>
      </c>
      <c r="H81" s="5" t="str">
        <f t="shared" si="25"/>
        <v/>
      </c>
      <c r="I81" s="5" t="str">
        <f>_xlfn.XLOOKUP(F81,'[1]Jan Labour Nd Drivers Hyva'!$B:$B,'[2]Jan Labour Nd Drivers Hyva'!$A:$A,"NOT FOUND")</f>
        <v>LAB-003</v>
      </c>
      <c r="J81" s="5" t="str">
        <f>IF(G81="","",_xlfn.XLOOKUP(G81,'[3]Jan Labour Nd Drivers Hyva'!$B:$B,'[2]Jan Labour Nd Drivers Hyva'!$A:$A,"NOT FOUND"))</f>
        <v/>
      </c>
      <c r="K81" s="2"/>
      <c r="L81" s="4" t="s">
        <v>52</v>
      </c>
      <c r="M81" s="19">
        <v>1</v>
      </c>
      <c r="N81" s="8">
        <v>11000</v>
      </c>
      <c r="O81" s="6">
        <f t="shared" si="26"/>
        <v>11000</v>
      </c>
      <c r="P81" s="8">
        <v>11000</v>
      </c>
      <c r="Q81" s="6">
        <f t="shared" si="19"/>
        <v>0</v>
      </c>
      <c r="R81" s="2" t="str">
        <f t="shared" si="22"/>
        <v>PAID</v>
      </c>
      <c r="S81" s="2"/>
      <c r="T81" s="2">
        <f t="shared" si="27"/>
        <v>11000</v>
      </c>
      <c r="U81" s="2" t="str">
        <f t="shared" si="28"/>
        <v>OK</v>
      </c>
      <c r="V81" s="7">
        <f t="shared" si="29"/>
        <v>0</v>
      </c>
      <c r="W81" s="2" t="str">
        <f t="shared" si="30"/>
        <v>OK</v>
      </c>
      <c r="X81" s="2" t="s">
        <v>28</v>
      </c>
      <c r="Y81" s="2" t="s">
        <v>29</v>
      </c>
      <c r="Z81" t="s">
        <v>120</v>
      </c>
      <c r="AA81" t="s">
        <v>120</v>
      </c>
      <c r="AB81" t="s">
        <v>120</v>
      </c>
    </row>
    <row r="82" spans="1:28" x14ac:dyDescent="0.2">
      <c r="A82" t="str">
        <f t="shared" si="21"/>
        <v>TRIP-HF-081</v>
      </c>
      <c r="B82" s="3">
        <v>45941</v>
      </c>
      <c r="C82" s="2" t="str">
        <f>_xlfn.XLOOKUP(D82,'[1]Jan Customer Duplicate Hyva'!$B:$B,'[1]Jan Customer Duplicate Hyva'!$A:$A,"NOT FOUND")</f>
        <v>CUST-194</v>
      </c>
      <c r="D82" s="10" t="s">
        <v>85</v>
      </c>
      <c r="E82" s="4" t="s">
        <v>36</v>
      </c>
      <c r="F82" s="5" t="str">
        <f t="shared" si="23"/>
        <v>Ravi</v>
      </c>
      <c r="G82" s="5" t="str">
        <f t="shared" si="24"/>
        <v/>
      </c>
      <c r="H82" s="5" t="str">
        <f t="shared" si="25"/>
        <v/>
      </c>
      <c r="I82" s="5" t="str">
        <f>_xlfn.XLOOKUP(F82,'[1]Jan Labour Nd Drivers Hyva'!$B:$B,'[2]Jan Labour Nd Drivers Hyva'!$A:$A,"NOT FOUND")</f>
        <v>LAB-003</v>
      </c>
      <c r="J82" s="5" t="str">
        <f>IF(G82="","",_xlfn.XLOOKUP(G82,'[3]Jan Labour Nd Drivers Hyva'!$B:$B,'[2]Jan Labour Nd Drivers Hyva'!$A:$A,"NOT FOUND"))</f>
        <v/>
      </c>
      <c r="K82" s="2"/>
      <c r="L82" s="4" t="s">
        <v>47</v>
      </c>
      <c r="M82" s="19">
        <v>1</v>
      </c>
      <c r="N82" s="8">
        <v>11000</v>
      </c>
      <c r="O82" s="6">
        <f t="shared" si="26"/>
        <v>11000</v>
      </c>
      <c r="P82" s="8">
        <v>11000</v>
      </c>
      <c r="Q82" s="6">
        <f t="shared" si="19"/>
        <v>0</v>
      </c>
      <c r="R82" s="2" t="str">
        <f t="shared" si="22"/>
        <v>PAID</v>
      </c>
      <c r="S82" s="2"/>
      <c r="T82" s="2">
        <f t="shared" si="27"/>
        <v>11000</v>
      </c>
      <c r="U82" s="2" t="str">
        <f t="shared" si="28"/>
        <v>OK</v>
      </c>
      <c r="V82" s="7">
        <f t="shared" si="29"/>
        <v>0</v>
      </c>
      <c r="W82" s="2" t="str">
        <f t="shared" si="30"/>
        <v>OK</v>
      </c>
      <c r="X82" s="2" t="s">
        <v>28</v>
      </c>
      <c r="Y82" s="2" t="s">
        <v>29</v>
      </c>
      <c r="Z82" t="s">
        <v>120</v>
      </c>
      <c r="AA82" t="s">
        <v>120</v>
      </c>
      <c r="AB82" t="s">
        <v>120</v>
      </c>
    </row>
    <row r="83" spans="1:28" x14ac:dyDescent="0.2">
      <c r="A83" t="str">
        <f t="shared" si="21"/>
        <v>TRIP-HF-082</v>
      </c>
      <c r="B83" s="3">
        <v>45941</v>
      </c>
      <c r="C83" s="2" t="str">
        <f>_xlfn.XLOOKUP(D83,'[1]Jan Customer Duplicate Hyva'!$B:$B,'[1]Jan Customer Duplicate Hyva'!$A:$A,"NOT FOUND")</f>
        <v>CUST-403</v>
      </c>
      <c r="D83" s="10" t="s">
        <v>80</v>
      </c>
      <c r="E83" s="4" t="s">
        <v>36</v>
      </c>
      <c r="F83" s="5" t="str">
        <f t="shared" si="23"/>
        <v>Ravi</v>
      </c>
      <c r="G83" s="5" t="str">
        <f t="shared" si="24"/>
        <v/>
      </c>
      <c r="H83" s="5" t="str">
        <f t="shared" si="25"/>
        <v/>
      </c>
      <c r="I83" s="5" t="str">
        <f>_xlfn.XLOOKUP(F83,'[1]Jan Labour Nd Drivers Hyva'!$B:$B,'[2]Jan Labour Nd Drivers Hyva'!$A:$A,"NOT FOUND")</f>
        <v>LAB-003</v>
      </c>
      <c r="J83" s="5" t="str">
        <f>IF(G83="","",_xlfn.XLOOKUP(G83,'[3]Jan Labour Nd Drivers Hyva'!$B:$B,'[2]Jan Labour Nd Drivers Hyva'!$A:$A,"NOT FOUND"))</f>
        <v/>
      </c>
      <c r="K83" s="2"/>
      <c r="L83" s="4" t="s">
        <v>81</v>
      </c>
      <c r="M83" s="19">
        <v>1</v>
      </c>
      <c r="N83" s="8">
        <v>0</v>
      </c>
      <c r="O83" s="6">
        <f t="shared" si="26"/>
        <v>0</v>
      </c>
      <c r="P83" s="8"/>
      <c r="Q83" s="6">
        <f t="shared" si="19"/>
        <v>0</v>
      </c>
      <c r="R83" s="2" t="str">
        <f t="shared" si="22"/>
        <v>PAID</v>
      </c>
      <c r="S83" s="2"/>
      <c r="T83" s="2">
        <f t="shared" si="27"/>
        <v>0</v>
      </c>
      <c r="U83" s="2" t="str">
        <f t="shared" si="28"/>
        <v>OK</v>
      </c>
      <c r="V83" s="7">
        <f t="shared" si="29"/>
        <v>0</v>
      </c>
      <c r="W83" s="2" t="str">
        <f t="shared" si="30"/>
        <v>OK</v>
      </c>
      <c r="X83" s="2" t="s">
        <v>28</v>
      </c>
      <c r="Y83" s="2" t="s">
        <v>29</v>
      </c>
      <c r="Z83" t="s">
        <v>120</v>
      </c>
      <c r="AA83" t="s">
        <v>120</v>
      </c>
      <c r="AB83" t="s">
        <v>120</v>
      </c>
    </row>
    <row r="84" spans="1:28" x14ac:dyDescent="0.2">
      <c r="A84" t="str">
        <f t="shared" si="21"/>
        <v>TRIP-HF-083</v>
      </c>
      <c r="B84" s="3">
        <v>45941</v>
      </c>
      <c r="C84" s="2" t="str">
        <f>_xlfn.XLOOKUP(D84,'[1]Jan Customer Duplicate Hyva'!$B:$B,'[1]Jan Customer Duplicate Hyva'!$A:$A,"NOT FOUND")</f>
        <v>CUST-323</v>
      </c>
      <c r="D84" s="4" t="s">
        <v>45</v>
      </c>
      <c r="E84" s="4" t="s">
        <v>36</v>
      </c>
      <c r="F84" s="5" t="str">
        <f t="shared" si="23"/>
        <v>Ravi</v>
      </c>
      <c r="G84" s="5" t="str">
        <f t="shared" si="24"/>
        <v/>
      </c>
      <c r="H84" s="5" t="str">
        <f t="shared" si="25"/>
        <v/>
      </c>
      <c r="I84" s="5" t="str">
        <f>_xlfn.XLOOKUP(F84,'[1]Jan Labour Nd Drivers Hyva'!$B:$B,'[2]Jan Labour Nd Drivers Hyva'!$A:$A,"NOT FOUND")</f>
        <v>LAB-003</v>
      </c>
      <c r="J84" s="5" t="str">
        <f>IF(G84="","",_xlfn.XLOOKUP(G84,'[3]Jan Labour Nd Drivers Hyva'!$B:$B,'[2]Jan Labour Nd Drivers Hyva'!$A:$A,"NOT FOUND"))</f>
        <v/>
      </c>
      <c r="K84" s="2"/>
      <c r="L84" s="4" t="s">
        <v>55</v>
      </c>
      <c r="M84" s="19">
        <v>1</v>
      </c>
      <c r="N84" s="8">
        <v>10000</v>
      </c>
      <c r="O84" s="6">
        <f t="shared" si="26"/>
        <v>10000</v>
      </c>
      <c r="P84" s="8"/>
      <c r="Q84" s="6">
        <f t="shared" si="19"/>
        <v>10000</v>
      </c>
      <c r="R84" s="2" t="str">
        <f t="shared" si="22"/>
        <v>UNPAID</v>
      </c>
      <c r="S84" s="2"/>
      <c r="T84" s="2">
        <f t="shared" si="27"/>
        <v>10000</v>
      </c>
      <c r="U84" s="2" t="str">
        <f t="shared" si="28"/>
        <v>OK</v>
      </c>
      <c r="V84" s="7">
        <f t="shared" si="29"/>
        <v>10000</v>
      </c>
      <c r="W84" s="2" t="str">
        <f t="shared" si="30"/>
        <v>OK</v>
      </c>
      <c r="X84" s="2" t="s">
        <v>28</v>
      </c>
      <c r="Y84" s="2" t="s">
        <v>29</v>
      </c>
      <c r="Z84" t="s">
        <v>120</v>
      </c>
      <c r="AA84" t="s">
        <v>120</v>
      </c>
      <c r="AB84" t="s">
        <v>120</v>
      </c>
    </row>
    <row r="85" spans="1:28" x14ac:dyDescent="0.2">
      <c r="A85" t="str">
        <f t="shared" si="21"/>
        <v>TRIP-HF-084</v>
      </c>
      <c r="B85" s="3">
        <v>45942</v>
      </c>
      <c r="C85" s="2" t="str">
        <f>_xlfn.XLOOKUP(D85,'[1]Jan Customer Duplicate Hyva'!$B:$B,'[1]Jan Customer Duplicate Hyva'!$A:$A,"NOT FOUND")</f>
        <v>CUST-117</v>
      </c>
      <c r="D85" s="10" t="s">
        <v>35</v>
      </c>
      <c r="E85" s="4" t="s">
        <v>36</v>
      </c>
      <c r="F85" s="5" t="str">
        <f t="shared" si="23"/>
        <v>Ravi</v>
      </c>
      <c r="G85" s="5" t="str">
        <f t="shared" si="24"/>
        <v/>
      </c>
      <c r="H85" s="5" t="str">
        <f t="shared" si="25"/>
        <v/>
      </c>
      <c r="I85" s="5" t="str">
        <f>_xlfn.XLOOKUP(F85,'[1]Jan Labour Nd Drivers Hyva'!$B:$B,'[2]Jan Labour Nd Drivers Hyva'!$A:$A,"NOT FOUND")</f>
        <v>LAB-003</v>
      </c>
      <c r="J85" s="5" t="str">
        <f>IF(G85="","",_xlfn.XLOOKUP(G85,'[3]Jan Labour Nd Drivers Hyva'!$B:$B,'[2]Jan Labour Nd Drivers Hyva'!$A:$A,"NOT FOUND"))</f>
        <v/>
      </c>
      <c r="K85" s="2"/>
      <c r="L85" s="4" t="s">
        <v>92</v>
      </c>
      <c r="M85" s="19">
        <v>1</v>
      </c>
      <c r="N85" s="8">
        <v>10000</v>
      </c>
      <c r="O85" s="6">
        <f t="shared" si="26"/>
        <v>10000</v>
      </c>
      <c r="P85" s="8">
        <v>10000</v>
      </c>
      <c r="Q85" s="6">
        <f t="shared" si="19"/>
        <v>0</v>
      </c>
      <c r="R85" s="2" t="str">
        <f t="shared" si="22"/>
        <v>PAID</v>
      </c>
      <c r="S85" s="2"/>
      <c r="T85" s="2">
        <f t="shared" si="27"/>
        <v>10000</v>
      </c>
      <c r="U85" s="2" t="str">
        <f t="shared" si="28"/>
        <v>OK</v>
      </c>
      <c r="V85" s="7">
        <f t="shared" si="29"/>
        <v>0</v>
      </c>
      <c r="W85" s="2" t="str">
        <f t="shared" si="30"/>
        <v>OK</v>
      </c>
      <c r="X85" s="2" t="s">
        <v>28</v>
      </c>
      <c r="Y85" s="2" t="s">
        <v>29</v>
      </c>
      <c r="Z85" t="s">
        <v>120</v>
      </c>
      <c r="AA85" t="s">
        <v>120</v>
      </c>
      <c r="AB85" t="s">
        <v>120</v>
      </c>
    </row>
    <row r="86" spans="1:28" x14ac:dyDescent="0.2">
      <c r="A86" t="str">
        <f t="shared" si="21"/>
        <v>TRIP-HF-085</v>
      </c>
      <c r="B86" s="3">
        <v>45947</v>
      </c>
      <c r="C86" s="2" t="str">
        <f>_xlfn.XLOOKUP(D86,'[1]Jan Customer Duplicate Hyva'!$B:$B,'[1]Jan Customer Duplicate Hyva'!$A:$A,"NOT FOUND")</f>
        <v>CUST-423</v>
      </c>
      <c r="D86" s="10" t="s">
        <v>126</v>
      </c>
      <c r="E86" s="4" t="s">
        <v>36</v>
      </c>
      <c r="F86" s="5" t="str">
        <f t="shared" si="23"/>
        <v>Ravi</v>
      </c>
      <c r="G86" s="5" t="str">
        <f t="shared" si="24"/>
        <v/>
      </c>
      <c r="H86" s="5" t="str">
        <f t="shared" si="25"/>
        <v/>
      </c>
      <c r="I86" s="5" t="str">
        <f>_xlfn.XLOOKUP(F86,'[1]Jan Labour Nd Drivers Hyva'!$B:$B,'[2]Jan Labour Nd Drivers Hyva'!$A:$A,"NOT FOUND")</f>
        <v>LAB-003</v>
      </c>
      <c r="J86" s="5" t="str">
        <f>IF(G86="","",_xlfn.XLOOKUP(G86,'[3]Jan Labour Nd Drivers Hyva'!$B:$B,'[2]Jan Labour Nd Drivers Hyva'!$A:$A,"NOT FOUND"))</f>
        <v/>
      </c>
      <c r="K86" s="2"/>
      <c r="L86" s="4" t="s">
        <v>91</v>
      </c>
      <c r="M86" s="19">
        <v>1</v>
      </c>
      <c r="N86" s="8">
        <v>12000</v>
      </c>
      <c r="O86" s="6">
        <f t="shared" si="26"/>
        <v>12000</v>
      </c>
      <c r="P86" s="8">
        <v>12000</v>
      </c>
      <c r="Q86" s="6">
        <f t="shared" si="19"/>
        <v>0</v>
      </c>
      <c r="R86" s="2" t="str">
        <f t="shared" si="22"/>
        <v>PAID</v>
      </c>
      <c r="S86" s="2"/>
      <c r="T86" s="2">
        <f t="shared" si="27"/>
        <v>12000</v>
      </c>
      <c r="U86" s="2" t="str">
        <f t="shared" si="28"/>
        <v>OK</v>
      </c>
      <c r="V86" s="7">
        <f t="shared" si="29"/>
        <v>0</v>
      </c>
      <c r="W86" s="2" t="str">
        <f t="shared" si="30"/>
        <v>OK</v>
      </c>
      <c r="X86" s="2" t="s">
        <v>28</v>
      </c>
      <c r="Y86" s="2" t="s">
        <v>29</v>
      </c>
      <c r="Z86" t="s">
        <v>120</v>
      </c>
      <c r="AA86" t="s">
        <v>120</v>
      </c>
      <c r="AB86" t="s">
        <v>120</v>
      </c>
    </row>
    <row r="87" spans="1:28" x14ac:dyDescent="0.2">
      <c r="A87" t="str">
        <f t="shared" si="21"/>
        <v>TRIP-HF-086</v>
      </c>
      <c r="B87" s="3">
        <v>45959</v>
      </c>
      <c r="C87" s="2" t="str">
        <f>_xlfn.XLOOKUP(D87,'[1]Jan Customer Duplicate Hyva'!$B:$B,'[1]Jan Customer Duplicate Hyva'!$A:$A,"NOT FOUND")</f>
        <v>CUST-117</v>
      </c>
      <c r="D87" s="10" t="s">
        <v>35</v>
      </c>
      <c r="E87" s="4" t="s">
        <v>36</v>
      </c>
      <c r="F87" s="5" t="str">
        <f t="shared" si="23"/>
        <v>Ravi</v>
      </c>
      <c r="G87" s="5" t="str">
        <f t="shared" si="24"/>
        <v/>
      </c>
      <c r="H87" s="5" t="str">
        <f t="shared" si="25"/>
        <v/>
      </c>
      <c r="I87" s="5" t="str">
        <f>_xlfn.XLOOKUP(F87,'[1]Jan Labour Nd Drivers Hyva'!$B:$B,'[2]Jan Labour Nd Drivers Hyva'!$A:$A,"NOT FOUND")</f>
        <v>LAB-003</v>
      </c>
      <c r="J87" s="5" t="str">
        <f>IF(G87="","",_xlfn.XLOOKUP(G87,'[3]Jan Labour Nd Drivers Hyva'!$B:$B,'[2]Jan Labour Nd Drivers Hyva'!$A:$A,"NOT FOUND"))</f>
        <v/>
      </c>
      <c r="K87" s="2"/>
      <c r="L87" s="4" t="s">
        <v>77</v>
      </c>
      <c r="M87" s="19">
        <v>1</v>
      </c>
      <c r="N87" s="8">
        <v>11000</v>
      </c>
      <c r="O87" s="6">
        <f t="shared" si="26"/>
        <v>11000</v>
      </c>
      <c r="P87" s="8">
        <v>11000</v>
      </c>
      <c r="Q87" s="6">
        <f t="shared" si="19"/>
        <v>0</v>
      </c>
      <c r="R87" s="2" t="str">
        <f t="shared" si="22"/>
        <v>PAID</v>
      </c>
      <c r="S87" s="2"/>
      <c r="T87" s="2">
        <f t="shared" si="27"/>
        <v>11000</v>
      </c>
      <c r="U87" s="2" t="str">
        <f t="shared" si="28"/>
        <v>OK</v>
      </c>
      <c r="V87" s="7">
        <f t="shared" si="29"/>
        <v>0</v>
      </c>
      <c r="W87" s="2" t="str">
        <f t="shared" si="30"/>
        <v>OK</v>
      </c>
      <c r="X87" s="2" t="s">
        <v>28</v>
      </c>
      <c r="Y87" s="2" t="s">
        <v>29</v>
      </c>
      <c r="Z87" t="s">
        <v>120</v>
      </c>
      <c r="AA87" t="s">
        <v>120</v>
      </c>
      <c r="AB87" t="s">
        <v>120</v>
      </c>
    </row>
    <row r="88" spans="1:28" x14ac:dyDescent="0.2">
      <c r="A88" t="str">
        <f t="shared" si="21"/>
        <v>TRIP-HF-087</v>
      </c>
      <c r="B88" s="9">
        <v>45972</v>
      </c>
      <c r="C88" s="2" t="str">
        <f>_xlfn.XLOOKUP(D88,'[1]Jan Customer Duplicate Hyva'!$B:$B,'[1]Jan Customer Duplicate Hyva'!$A:$A,"NOT FOUND")</f>
        <v>CUST-423</v>
      </c>
      <c r="D88" s="10" t="s">
        <v>126</v>
      </c>
      <c r="E88" s="4" t="s">
        <v>36</v>
      </c>
      <c r="F88" s="5" t="str">
        <f t="shared" si="23"/>
        <v>Ravi</v>
      </c>
      <c r="G88" s="5" t="str">
        <f t="shared" si="24"/>
        <v/>
      </c>
      <c r="H88" s="5" t="str">
        <f t="shared" si="25"/>
        <v/>
      </c>
      <c r="I88" s="5" t="str">
        <f>_xlfn.XLOOKUP(F88,'[1]Jan Labour Nd Drivers Hyva'!$B:$B,'[2]Jan Labour Nd Drivers Hyva'!$A:$A,"NOT FOUND")</f>
        <v>LAB-003</v>
      </c>
      <c r="J88" s="5" t="str">
        <f>IF(G88="","",_xlfn.XLOOKUP(G88,'[3]Jan Labour Nd Drivers Hyva'!$B:$B,'[2]Jan Labour Nd Drivers Hyva'!$A:$A,"NOT FOUND"))</f>
        <v/>
      </c>
      <c r="K88" s="2"/>
      <c r="L88" s="4" t="s">
        <v>91</v>
      </c>
      <c r="M88" s="19">
        <v>1</v>
      </c>
      <c r="N88" s="8">
        <v>12000</v>
      </c>
      <c r="O88" s="6">
        <f t="shared" si="26"/>
        <v>12000</v>
      </c>
      <c r="P88" s="8">
        <v>12000</v>
      </c>
      <c r="Q88" s="6">
        <f t="shared" si="19"/>
        <v>0</v>
      </c>
      <c r="R88" s="2" t="str">
        <f t="shared" si="22"/>
        <v>PAID</v>
      </c>
      <c r="S88" s="2"/>
      <c r="T88" s="2">
        <f t="shared" si="27"/>
        <v>12000</v>
      </c>
      <c r="U88" s="2" t="str">
        <f t="shared" si="28"/>
        <v>OK</v>
      </c>
      <c r="V88" s="7">
        <f t="shared" si="29"/>
        <v>0</v>
      </c>
      <c r="W88" s="2" t="str">
        <f t="shared" si="30"/>
        <v>OK</v>
      </c>
      <c r="X88" s="2" t="s">
        <v>28</v>
      </c>
      <c r="Y88" s="2" t="s">
        <v>29</v>
      </c>
      <c r="Z88" t="s">
        <v>120</v>
      </c>
      <c r="AA88" t="s">
        <v>120</v>
      </c>
      <c r="AB88" t="s">
        <v>120</v>
      </c>
    </row>
    <row r="89" spans="1:28" x14ac:dyDescent="0.2">
      <c r="A89" t="str">
        <f t="shared" si="21"/>
        <v>TRIP-HF-088</v>
      </c>
      <c r="B89" s="9">
        <v>45973</v>
      </c>
      <c r="C89" s="2" t="str">
        <f>_xlfn.XLOOKUP(D89,'[1]Jan Customer Duplicate Hyva'!$B:$B,'[1]Jan Customer Duplicate Hyva'!$A:$A,"NOT FOUND")</f>
        <v>CUST-169</v>
      </c>
      <c r="D89" s="4" t="s">
        <v>75</v>
      </c>
      <c r="E89" s="4" t="s">
        <v>36</v>
      </c>
      <c r="F89" s="5" t="str">
        <f t="shared" si="23"/>
        <v>Ravi</v>
      </c>
      <c r="G89" s="5" t="str">
        <f t="shared" si="24"/>
        <v/>
      </c>
      <c r="H89" s="5" t="str">
        <f t="shared" si="25"/>
        <v/>
      </c>
      <c r="I89" s="5" t="str">
        <f>_xlfn.XLOOKUP(F89,'[1]Jan Labour Nd Drivers Hyva'!$B:$B,'[2]Jan Labour Nd Drivers Hyva'!$A:$A,"NOT FOUND")</f>
        <v>LAB-003</v>
      </c>
      <c r="J89" s="5" t="str">
        <f>IF(G89="","",_xlfn.XLOOKUP(G89,'[3]Jan Labour Nd Drivers Hyva'!$B:$B,'[2]Jan Labour Nd Drivers Hyva'!$A:$A,"NOT FOUND"))</f>
        <v/>
      </c>
      <c r="K89" s="2"/>
      <c r="L89" s="4" t="s">
        <v>48</v>
      </c>
      <c r="M89" s="19">
        <v>1</v>
      </c>
      <c r="N89" s="8">
        <v>10000</v>
      </c>
      <c r="O89" s="6">
        <f t="shared" si="26"/>
        <v>10000</v>
      </c>
      <c r="P89" s="8">
        <v>10000</v>
      </c>
      <c r="Q89" s="6">
        <f t="shared" si="19"/>
        <v>0</v>
      </c>
      <c r="R89" s="2" t="str">
        <f t="shared" si="22"/>
        <v>PAID</v>
      </c>
      <c r="S89" s="2"/>
      <c r="T89" s="2">
        <f t="shared" si="27"/>
        <v>10000</v>
      </c>
      <c r="U89" s="2" t="str">
        <f t="shared" si="28"/>
        <v>OK</v>
      </c>
      <c r="V89" s="7">
        <f t="shared" si="29"/>
        <v>0</v>
      </c>
      <c r="W89" s="2" t="str">
        <f t="shared" si="30"/>
        <v>OK</v>
      </c>
      <c r="X89" s="2" t="s">
        <v>28</v>
      </c>
      <c r="Y89" s="2" t="s">
        <v>29</v>
      </c>
      <c r="Z89" t="s">
        <v>120</v>
      </c>
      <c r="AA89" t="s">
        <v>120</v>
      </c>
      <c r="AB89" t="s">
        <v>120</v>
      </c>
    </row>
    <row r="90" spans="1:28" x14ac:dyDescent="0.2">
      <c r="A90" t="str">
        <f t="shared" si="21"/>
        <v>TRIP-HF-089</v>
      </c>
      <c r="B90" s="9">
        <v>45973</v>
      </c>
      <c r="C90" s="2" t="str">
        <f>_xlfn.XLOOKUP(D90,'[1]Jan Customer Duplicate Hyva'!$B:$B,'[1]Jan Customer Duplicate Hyva'!$A:$A,"NOT FOUND")</f>
        <v>CUST-421</v>
      </c>
      <c r="D90" s="10" t="s">
        <v>93</v>
      </c>
      <c r="E90" s="4" t="s">
        <v>36</v>
      </c>
      <c r="F90" s="5" t="str">
        <f t="shared" si="23"/>
        <v>Ravi</v>
      </c>
      <c r="G90" s="5" t="str">
        <f t="shared" si="24"/>
        <v/>
      </c>
      <c r="H90" s="5" t="str">
        <f t="shared" si="25"/>
        <v/>
      </c>
      <c r="I90" s="5" t="str">
        <f>_xlfn.XLOOKUP(F90,'[1]Jan Labour Nd Drivers Hyva'!$B:$B,'[2]Jan Labour Nd Drivers Hyva'!$A:$A,"NOT FOUND")</f>
        <v>LAB-003</v>
      </c>
      <c r="J90" s="5" t="str">
        <f>IF(G90="","",_xlfn.XLOOKUP(G90,'[3]Jan Labour Nd Drivers Hyva'!$B:$B,'[2]Jan Labour Nd Drivers Hyva'!$A:$A,"NOT FOUND"))</f>
        <v/>
      </c>
      <c r="K90" s="2"/>
      <c r="L90" s="4" t="s">
        <v>52</v>
      </c>
      <c r="M90" s="19">
        <v>1</v>
      </c>
      <c r="N90" s="8">
        <v>9500</v>
      </c>
      <c r="O90" s="6">
        <f t="shared" si="26"/>
        <v>9500</v>
      </c>
      <c r="P90" s="8">
        <v>9500</v>
      </c>
      <c r="Q90" s="6">
        <f t="shared" si="19"/>
        <v>0</v>
      </c>
      <c r="R90" s="2" t="str">
        <f t="shared" si="22"/>
        <v>PAID</v>
      </c>
      <c r="S90" s="2"/>
      <c r="T90" s="2">
        <f t="shared" si="27"/>
        <v>9500</v>
      </c>
      <c r="U90" s="2" t="str">
        <f t="shared" si="28"/>
        <v>OK</v>
      </c>
      <c r="V90" s="7">
        <f t="shared" si="29"/>
        <v>0</v>
      </c>
      <c r="W90" s="2" t="str">
        <f t="shared" si="30"/>
        <v>OK</v>
      </c>
      <c r="X90" s="2" t="s">
        <v>28</v>
      </c>
      <c r="Y90" s="2" t="s">
        <v>29</v>
      </c>
      <c r="Z90" t="s">
        <v>120</v>
      </c>
      <c r="AA90" t="s">
        <v>120</v>
      </c>
      <c r="AB90" t="s">
        <v>120</v>
      </c>
    </row>
    <row r="91" spans="1:28" x14ac:dyDescent="0.2">
      <c r="A91" t="str">
        <f t="shared" si="21"/>
        <v>TRIP-HF-090</v>
      </c>
      <c r="B91" s="9">
        <v>45974</v>
      </c>
      <c r="C91" s="2" t="str">
        <f>_xlfn.XLOOKUP(D91,'[1]Jan Customer Duplicate Hyva'!$B:$B,'[1]Jan Customer Duplicate Hyva'!$A:$A,"NOT FOUND")</f>
        <v>CUST-421</v>
      </c>
      <c r="D91" s="10" t="s">
        <v>93</v>
      </c>
      <c r="E91" s="4" t="s">
        <v>36</v>
      </c>
      <c r="F91" s="5" t="str">
        <f t="shared" si="23"/>
        <v>Ravi</v>
      </c>
      <c r="G91" s="5" t="str">
        <f t="shared" si="24"/>
        <v/>
      </c>
      <c r="H91" s="5" t="str">
        <f t="shared" si="25"/>
        <v/>
      </c>
      <c r="I91" s="5" t="str">
        <f>_xlfn.XLOOKUP(F91,'[1]Jan Labour Nd Drivers Hyva'!$B:$B,'[2]Jan Labour Nd Drivers Hyva'!$A:$A,"NOT FOUND")</f>
        <v>LAB-003</v>
      </c>
      <c r="J91" s="5" t="str">
        <f>IF(G91="","",_xlfn.XLOOKUP(G91,'[3]Jan Labour Nd Drivers Hyva'!$B:$B,'[2]Jan Labour Nd Drivers Hyva'!$A:$A,"NOT FOUND"))</f>
        <v/>
      </c>
      <c r="K91" s="2"/>
      <c r="L91" s="4" t="s">
        <v>52</v>
      </c>
      <c r="M91" s="19">
        <v>2</v>
      </c>
      <c r="N91" s="8">
        <v>9000</v>
      </c>
      <c r="O91" s="6">
        <f t="shared" si="26"/>
        <v>18000</v>
      </c>
      <c r="P91" s="8"/>
      <c r="Q91" s="6">
        <f t="shared" si="19"/>
        <v>18000</v>
      </c>
      <c r="R91" s="2" t="str">
        <f t="shared" si="22"/>
        <v>UNPAID</v>
      </c>
      <c r="S91" s="2"/>
      <c r="T91" s="2">
        <f t="shared" si="27"/>
        <v>18000</v>
      </c>
      <c r="U91" s="2" t="str">
        <f t="shared" si="28"/>
        <v>OK</v>
      </c>
      <c r="V91" s="7">
        <f t="shared" si="29"/>
        <v>18000</v>
      </c>
      <c r="W91" s="2" t="str">
        <f t="shared" si="30"/>
        <v>OK</v>
      </c>
      <c r="X91" s="2" t="s">
        <v>28</v>
      </c>
      <c r="Y91" s="2" t="s">
        <v>29</v>
      </c>
      <c r="Z91" t="s">
        <v>120</v>
      </c>
      <c r="AA91" t="s">
        <v>120</v>
      </c>
      <c r="AB91" t="s">
        <v>120</v>
      </c>
    </row>
    <row r="92" spans="1:28" x14ac:dyDescent="0.2">
      <c r="A92" t="str">
        <f t="shared" si="21"/>
        <v>TRIP-HF-091</v>
      </c>
      <c r="B92" s="9">
        <v>45975</v>
      </c>
      <c r="C92" s="2" t="str">
        <f>_xlfn.XLOOKUP(D92,'[1]Jan Customer Duplicate Hyva'!$B:$B,'[1]Jan Customer Duplicate Hyva'!$A:$A,"NOT FOUND")</f>
        <v>CUST-421</v>
      </c>
      <c r="D92" s="10" t="s">
        <v>93</v>
      </c>
      <c r="E92" s="4" t="s">
        <v>26</v>
      </c>
      <c r="F92" s="5" t="str">
        <f t="shared" si="23"/>
        <v>Anshu</v>
      </c>
      <c r="G92" s="5" t="str">
        <f t="shared" si="24"/>
        <v/>
      </c>
      <c r="H92" s="5" t="str">
        <f t="shared" si="25"/>
        <v/>
      </c>
      <c r="I92" s="5" t="str">
        <f>_xlfn.XLOOKUP(F92,'[1]Jan Labour Nd Drivers Hyva'!$B:$B,'[2]Jan Labour Nd Drivers Hyva'!$A:$A,"NOT FOUND")</f>
        <v>LAB-002</v>
      </c>
      <c r="J92" s="5" t="str">
        <f>IF(G92="","",_xlfn.XLOOKUP(G92,'[3]Jan Labour Nd Drivers Hyva'!$B:$B,'[2]Jan Labour Nd Drivers Hyva'!$A:$A,"NOT FOUND"))</f>
        <v/>
      </c>
      <c r="K92" s="2"/>
      <c r="L92" s="4" t="s">
        <v>52</v>
      </c>
      <c r="M92" s="19">
        <v>1</v>
      </c>
      <c r="N92" s="8">
        <v>9000</v>
      </c>
      <c r="O92" s="6">
        <f t="shared" si="26"/>
        <v>9000</v>
      </c>
      <c r="P92" s="8">
        <v>9000</v>
      </c>
      <c r="Q92" s="6">
        <f t="shared" si="19"/>
        <v>0</v>
      </c>
      <c r="R92" s="2" t="str">
        <f t="shared" si="22"/>
        <v>PAID</v>
      </c>
      <c r="S92" s="2"/>
      <c r="T92" s="2">
        <f t="shared" si="27"/>
        <v>9000</v>
      </c>
      <c r="U92" s="2" t="str">
        <f t="shared" si="28"/>
        <v>OK</v>
      </c>
      <c r="V92" s="7">
        <f t="shared" si="29"/>
        <v>0</v>
      </c>
      <c r="W92" s="2" t="str">
        <f t="shared" si="30"/>
        <v>OK</v>
      </c>
      <c r="X92" s="2" t="s">
        <v>28</v>
      </c>
      <c r="Y92" s="2" t="s">
        <v>29</v>
      </c>
      <c r="Z92" t="s">
        <v>120</v>
      </c>
      <c r="AA92" t="s">
        <v>120</v>
      </c>
      <c r="AB92" t="s">
        <v>120</v>
      </c>
    </row>
    <row r="93" spans="1:28" x14ac:dyDescent="0.2">
      <c r="A93" t="str">
        <f t="shared" si="21"/>
        <v>TRIP-HF-092</v>
      </c>
      <c r="B93" s="9">
        <v>45976</v>
      </c>
      <c r="C93" s="2" t="str">
        <f>_xlfn.XLOOKUP(D93,'[1]Jan Customer Duplicate Hyva'!$B:$B,'[1]Jan Customer Duplicate Hyva'!$A:$A,"NOT FOUND")</f>
        <v>CUST-017</v>
      </c>
      <c r="D93" s="10" t="s">
        <v>94</v>
      </c>
      <c r="E93" s="4" t="s">
        <v>36</v>
      </c>
      <c r="F93" s="5" t="str">
        <f t="shared" si="23"/>
        <v>Ravi</v>
      </c>
      <c r="G93" s="5" t="str">
        <f t="shared" si="24"/>
        <v/>
      </c>
      <c r="H93" s="5" t="str">
        <f t="shared" si="25"/>
        <v/>
      </c>
      <c r="I93" s="5" t="str">
        <f>_xlfn.XLOOKUP(F93,'[1]Jan Labour Nd Drivers Hyva'!$B:$B,'[2]Jan Labour Nd Drivers Hyva'!$A:$A,"NOT FOUND")</f>
        <v>LAB-003</v>
      </c>
      <c r="J93" s="5" t="str">
        <f>IF(G93="","",_xlfn.XLOOKUP(G93,'[3]Jan Labour Nd Drivers Hyva'!$B:$B,'[2]Jan Labour Nd Drivers Hyva'!$A:$A,"NOT FOUND"))</f>
        <v/>
      </c>
      <c r="K93" s="2"/>
      <c r="L93" s="4" t="s">
        <v>95</v>
      </c>
      <c r="M93" s="19">
        <v>2</v>
      </c>
      <c r="N93" s="8">
        <v>1800</v>
      </c>
      <c r="O93" s="6">
        <f t="shared" si="26"/>
        <v>3600</v>
      </c>
      <c r="P93" s="8">
        <v>3600</v>
      </c>
      <c r="Q93" s="6">
        <f t="shared" si="19"/>
        <v>0</v>
      </c>
      <c r="R93" s="2" t="str">
        <f t="shared" si="22"/>
        <v>PAID</v>
      </c>
      <c r="S93" s="2"/>
      <c r="T93" s="2">
        <f t="shared" si="27"/>
        <v>3600</v>
      </c>
      <c r="U93" s="2" t="str">
        <f t="shared" si="28"/>
        <v>OK</v>
      </c>
      <c r="V93" s="7">
        <f t="shared" si="29"/>
        <v>0</v>
      </c>
      <c r="W93" s="2" t="str">
        <f t="shared" si="30"/>
        <v>OK</v>
      </c>
      <c r="X93" s="2" t="s">
        <v>28</v>
      </c>
      <c r="Y93" s="2" t="s">
        <v>29</v>
      </c>
      <c r="Z93" t="s">
        <v>120</v>
      </c>
      <c r="AA93" t="s">
        <v>120</v>
      </c>
      <c r="AB93" t="s">
        <v>120</v>
      </c>
    </row>
    <row r="94" spans="1:28" x14ac:dyDescent="0.2">
      <c r="A94" t="str">
        <f t="shared" si="21"/>
        <v>TRIP-HF-093</v>
      </c>
      <c r="B94" s="9">
        <v>45979</v>
      </c>
      <c r="C94" s="2" t="str">
        <f>_xlfn.XLOOKUP(D94,'[1]Jan Customer Duplicate Hyva'!$B:$B,'[1]Jan Customer Duplicate Hyva'!$A:$A,"NOT FOUND")</f>
        <v>CUST-017</v>
      </c>
      <c r="D94" s="10" t="s">
        <v>94</v>
      </c>
      <c r="E94" s="4" t="s">
        <v>96</v>
      </c>
      <c r="F94" s="5" t="str">
        <f t="shared" si="23"/>
        <v>Santosh</v>
      </c>
      <c r="G94" s="5" t="str">
        <f t="shared" si="24"/>
        <v/>
      </c>
      <c r="H94" s="5" t="str">
        <f t="shared" si="25"/>
        <v/>
      </c>
      <c r="I94" s="5" t="str">
        <f>_xlfn.XLOOKUP(F94,'[1]Jan Labour Nd Drivers Hyva'!$B:$B,'[2]Jan Labour Nd Drivers Hyva'!$A:$A,"NOT FOUND")</f>
        <v>LAB-009</v>
      </c>
      <c r="J94" s="5" t="str">
        <f>IF(G94="","",_xlfn.XLOOKUP(G94,'[3]Jan Labour Nd Drivers Hyva'!$B:$B,'[2]Jan Labour Nd Drivers Hyva'!$A:$A,"NOT FOUND"))</f>
        <v/>
      </c>
      <c r="K94" s="2"/>
      <c r="L94" s="4" t="s">
        <v>95</v>
      </c>
      <c r="M94" s="19">
        <v>2</v>
      </c>
      <c r="N94" s="8">
        <v>1800</v>
      </c>
      <c r="O94" s="6">
        <f t="shared" si="26"/>
        <v>3600</v>
      </c>
      <c r="P94" s="8">
        <v>3600</v>
      </c>
      <c r="Q94" s="6">
        <f t="shared" si="19"/>
        <v>0</v>
      </c>
      <c r="R94" s="2" t="str">
        <f t="shared" si="22"/>
        <v>PAID</v>
      </c>
      <c r="S94" s="2"/>
      <c r="T94" s="2">
        <f t="shared" si="27"/>
        <v>3600</v>
      </c>
      <c r="U94" s="2" t="str">
        <f t="shared" si="28"/>
        <v>OK</v>
      </c>
      <c r="V94" s="7">
        <f t="shared" si="29"/>
        <v>0</v>
      </c>
      <c r="W94" s="2" t="str">
        <f t="shared" si="30"/>
        <v>OK</v>
      </c>
      <c r="X94" s="2" t="s">
        <v>28</v>
      </c>
      <c r="Y94" s="2" t="s">
        <v>29</v>
      </c>
      <c r="Z94" t="s">
        <v>120</v>
      </c>
      <c r="AA94" t="s">
        <v>120</v>
      </c>
      <c r="AB94" t="s">
        <v>120</v>
      </c>
    </row>
    <row r="95" spans="1:28" x14ac:dyDescent="0.2">
      <c r="A95" t="str">
        <f t="shared" si="21"/>
        <v>TRIP-HF-094</v>
      </c>
      <c r="B95" s="9">
        <v>45981</v>
      </c>
      <c r="C95" s="2" t="str">
        <f>_xlfn.XLOOKUP(D95,'[1]Jan Customer Duplicate Hyva'!$B:$B,'[1]Jan Customer Duplicate Hyva'!$A:$A,"NOT FOUND")</f>
        <v>CUST-397</v>
      </c>
      <c r="D95" s="10" t="s">
        <v>97</v>
      </c>
      <c r="E95" s="4" t="s">
        <v>36</v>
      </c>
      <c r="F95" s="5" t="str">
        <f t="shared" si="23"/>
        <v>Ravi</v>
      </c>
      <c r="G95" s="5" t="str">
        <f t="shared" si="24"/>
        <v/>
      </c>
      <c r="H95" s="5" t="str">
        <f t="shared" si="25"/>
        <v/>
      </c>
      <c r="I95" s="5" t="str">
        <f>_xlfn.XLOOKUP(F95,'[1]Jan Labour Nd Drivers Hyva'!$B:$B,'[2]Jan Labour Nd Drivers Hyva'!$A:$A,"NOT FOUND")</f>
        <v>LAB-003</v>
      </c>
      <c r="J95" s="5" t="str">
        <f>IF(G95="","",_xlfn.XLOOKUP(G95,'[3]Jan Labour Nd Drivers Hyva'!$B:$B,'[2]Jan Labour Nd Drivers Hyva'!$A:$A,"NOT FOUND"))</f>
        <v/>
      </c>
      <c r="K95" s="2"/>
      <c r="L95" s="4" t="s">
        <v>91</v>
      </c>
      <c r="M95" s="19">
        <v>1</v>
      </c>
      <c r="N95" s="8">
        <v>12000</v>
      </c>
      <c r="O95" s="6">
        <f t="shared" si="26"/>
        <v>12000</v>
      </c>
      <c r="P95" s="8">
        <v>12000</v>
      </c>
      <c r="Q95" s="6">
        <f t="shared" si="19"/>
        <v>0</v>
      </c>
      <c r="R95" s="2" t="str">
        <f t="shared" si="22"/>
        <v>PAID</v>
      </c>
      <c r="S95" s="2"/>
      <c r="T95" s="2">
        <f t="shared" si="27"/>
        <v>12000</v>
      </c>
      <c r="U95" s="2" t="str">
        <f t="shared" si="28"/>
        <v>OK</v>
      </c>
      <c r="V95" s="7">
        <f t="shared" si="29"/>
        <v>0</v>
      </c>
      <c r="W95" s="2" t="str">
        <f t="shared" si="30"/>
        <v>OK</v>
      </c>
      <c r="X95" s="2" t="s">
        <v>28</v>
      </c>
      <c r="Y95" s="2" t="s">
        <v>29</v>
      </c>
      <c r="Z95" t="s">
        <v>120</v>
      </c>
      <c r="AA95" t="s">
        <v>120</v>
      </c>
      <c r="AB95" t="s">
        <v>120</v>
      </c>
    </row>
    <row r="96" spans="1:28" x14ac:dyDescent="0.2">
      <c r="A96" t="str">
        <f t="shared" si="21"/>
        <v>TRIP-HF-095</v>
      </c>
      <c r="B96" s="9">
        <v>45989</v>
      </c>
      <c r="C96" s="2" t="str">
        <f>_xlfn.XLOOKUP(D96,'[1]Jan Customer Duplicate Hyva'!$B:$B,'[1]Jan Customer Duplicate Hyva'!$A:$A,"NOT FOUND")</f>
        <v>CUST-002</v>
      </c>
      <c r="D96" s="10" t="s">
        <v>98</v>
      </c>
      <c r="E96" s="4" t="s">
        <v>36</v>
      </c>
      <c r="F96" s="5" t="str">
        <f t="shared" si="23"/>
        <v>Ravi</v>
      </c>
      <c r="G96" s="5" t="str">
        <f t="shared" si="24"/>
        <v/>
      </c>
      <c r="H96" s="5" t="str">
        <f t="shared" si="25"/>
        <v/>
      </c>
      <c r="I96" s="5" t="str">
        <f>_xlfn.XLOOKUP(F96,'[1]Jan Labour Nd Drivers Hyva'!$B:$B,'[2]Jan Labour Nd Drivers Hyva'!$A:$A,"NOT FOUND")</f>
        <v>LAB-003</v>
      </c>
      <c r="J96" s="5" t="str">
        <f>IF(G96="","",_xlfn.XLOOKUP(G96,'[3]Jan Labour Nd Drivers Hyva'!$B:$B,'[2]Jan Labour Nd Drivers Hyva'!$A:$A,"NOT FOUND"))</f>
        <v/>
      </c>
      <c r="K96" s="2"/>
      <c r="L96" s="4" t="s">
        <v>99</v>
      </c>
      <c r="M96" s="19">
        <v>2</v>
      </c>
      <c r="N96" s="8">
        <v>10000</v>
      </c>
      <c r="O96" s="6">
        <f t="shared" si="26"/>
        <v>20000</v>
      </c>
      <c r="P96" s="8">
        <v>20000</v>
      </c>
      <c r="Q96" s="6">
        <f t="shared" si="19"/>
        <v>0</v>
      </c>
      <c r="R96" s="2" t="str">
        <f t="shared" si="22"/>
        <v>PAID</v>
      </c>
      <c r="S96" s="2"/>
      <c r="T96" s="2">
        <f t="shared" si="27"/>
        <v>20000</v>
      </c>
      <c r="U96" s="2" t="str">
        <f t="shared" si="28"/>
        <v>OK</v>
      </c>
      <c r="V96" s="7">
        <f t="shared" si="29"/>
        <v>0</v>
      </c>
      <c r="W96" s="2" t="str">
        <f t="shared" si="30"/>
        <v>OK</v>
      </c>
      <c r="X96" s="2" t="s">
        <v>28</v>
      </c>
      <c r="Y96" s="2" t="s">
        <v>29</v>
      </c>
      <c r="Z96" t="s">
        <v>120</v>
      </c>
      <c r="AA96" t="s">
        <v>120</v>
      </c>
      <c r="AB96" t="s">
        <v>120</v>
      </c>
    </row>
    <row r="97" spans="1:28" x14ac:dyDescent="0.2">
      <c r="A97" t="str">
        <f t="shared" si="21"/>
        <v>TRIP-HF-096</v>
      </c>
      <c r="B97" s="9">
        <v>45991</v>
      </c>
      <c r="C97" s="2" t="str">
        <f>_xlfn.XLOOKUP(D97,'[1]Jan Customer Duplicate Hyva'!$B:$B,'[1]Jan Customer Duplicate Hyva'!$A:$A,"NOT FOUND")</f>
        <v>CUST-403</v>
      </c>
      <c r="D97" s="10" t="s">
        <v>80</v>
      </c>
      <c r="E97" s="4" t="s">
        <v>36</v>
      </c>
      <c r="F97" s="5" t="str">
        <f t="shared" si="23"/>
        <v>Ravi</v>
      </c>
      <c r="G97" s="5" t="str">
        <f t="shared" si="24"/>
        <v/>
      </c>
      <c r="H97" s="5" t="str">
        <f t="shared" si="25"/>
        <v/>
      </c>
      <c r="I97" s="5" t="str">
        <f>_xlfn.XLOOKUP(F97,'[1]Jan Labour Nd Drivers Hyva'!$B:$B,'[2]Jan Labour Nd Drivers Hyva'!$A:$A,"NOT FOUND")</f>
        <v>LAB-003</v>
      </c>
      <c r="J97" s="5" t="str">
        <f>IF(G97="","",_xlfn.XLOOKUP(G97,'[3]Jan Labour Nd Drivers Hyva'!$B:$B,'[2]Jan Labour Nd Drivers Hyva'!$A:$A,"NOT FOUND"))</f>
        <v/>
      </c>
      <c r="K97" s="2"/>
      <c r="L97" s="4" t="s">
        <v>81</v>
      </c>
      <c r="M97" s="19">
        <v>1</v>
      </c>
      <c r="N97" s="8">
        <v>0</v>
      </c>
      <c r="O97" s="6">
        <f t="shared" si="26"/>
        <v>0</v>
      </c>
      <c r="P97" s="8"/>
      <c r="Q97" s="6">
        <f t="shared" si="19"/>
        <v>0</v>
      </c>
      <c r="R97" s="2" t="str">
        <f t="shared" si="22"/>
        <v>PAID</v>
      </c>
      <c r="S97" s="2"/>
      <c r="T97" s="2">
        <f t="shared" si="27"/>
        <v>0</v>
      </c>
      <c r="U97" s="2" t="str">
        <f t="shared" si="28"/>
        <v>OK</v>
      </c>
      <c r="V97" s="7">
        <f t="shared" si="29"/>
        <v>0</v>
      </c>
      <c r="W97" s="2" t="str">
        <f t="shared" si="30"/>
        <v>OK</v>
      </c>
      <c r="X97" s="2" t="s">
        <v>28</v>
      </c>
      <c r="Y97" s="2" t="s">
        <v>29</v>
      </c>
      <c r="Z97" t="s">
        <v>120</v>
      </c>
      <c r="AA97" t="s">
        <v>120</v>
      </c>
      <c r="AB97" t="s">
        <v>120</v>
      </c>
    </row>
    <row r="98" spans="1:28" x14ac:dyDescent="0.2">
      <c r="A98" t="str">
        <f t="shared" si="21"/>
        <v>TRIP-HF-097</v>
      </c>
      <c r="B98" s="9">
        <v>46000</v>
      </c>
      <c r="C98" s="2" t="str">
        <f>_xlfn.XLOOKUP(D98,'[1]Jan Customer Duplicate Hyva'!$B:$B,'[1]Jan Customer Duplicate Hyva'!$A:$A,"NOT FOUND")</f>
        <v>CUST-169</v>
      </c>
      <c r="D98" s="10" t="s">
        <v>75</v>
      </c>
      <c r="E98" s="4" t="s">
        <v>36</v>
      </c>
      <c r="F98" s="5" t="str">
        <f t="shared" si="23"/>
        <v>Ravi</v>
      </c>
      <c r="G98" s="5" t="str">
        <f t="shared" si="24"/>
        <v/>
      </c>
      <c r="H98" s="5" t="str">
        <f t="shared" si="25"/>
        <v/>
      </c>
      <c r="I98" s="5" t="str">
        <f>_xlfn.XLOOKUP(F98,'[1]Jan Labour Nd Drivers Hyva'!$B:$B,'[2]Jan Labour Nd Drivers Hyva'!$A:$A,"NOT FOUND")</f>
        <v>LAB-003</v>
      </c>
      <c r="J98" s="5" t="str">
        <f>IF(G98="","",_xlfn.XLOOKUP(G98,'[3]Jan Labour Nd Drivers Hyva'!$B:$B,'[2]Jan Labour Nd Drivers Hyva'!$A:$A,"NOT FOUND"))</f>
        <v/>
      </c>
      <c r="K98" s="2"/>
      <c r="L98" s="4" t="s">
        <v>100</v>
      </c>
      <c r="M98" s="19">
        <v>1</v>
      </c>
      <c r="N98" s="8">
        <v>6500</v>
      </c>
      <c r="O98" s="6">
        <f t="shared" si="26"/>
        <v>6500</v>
      </c>
      <c r="P98" s="8">
        <v>6500</v>
      </c>
      <c r="Q98" s="6">
        <f t="shared" si="19"/>
        <v>0</v>
      </c>
      <c r="R98" s="2" t="str">
        <f t="shared" si="22"/>
        <v>PAID</v>
      </c>
      <c r="S98" s="2"/>
      <c r="T98" s="2">
        <f t="shared" si="27"/>
        <v>6500</v>
      </c>
      <c r="U98" s="2" t="str">
        <f t="shared" si="28"/>
        <v>OK</v>
      </c>
      <c r="V98" s="7">
        <f t="shared" si="29"/>
        <v>0</v>
      </c>
      <c r="W98" s="2" t="str">
        <f t="shared" si="30"/>
        <v>OK</v>
      </c>
      <c r="X98" s="2" t="s">
        <v>28</v>
      </c>
      <c r="Y98" s="2" t="s">
        <v>29</v>
      </c>
      <c r="Z98" t="s">
        <v>120</v>
      </c>
      <c r="AA98" t="s">
        <v>120</v>
      </c>
      <c r="AB98" t="s">
        <v>120</v>
      </c>
    </row>
    <row r="99" spans="1:28" x14ac:dyDescent="0.2">
      <c r="A99" t="str">
        <f t="shared" si="21"/>
        <v>TRIP-HF-098</v>
      </c>
      <c r="B99" s="9">
        <v>46008</v>
      </c>
      <c r="C99" s="2" t="str">
        <f>_xlfn.XLOOKUP(D99,'[1]Jan Customer Duplicate Hyva'!$B:$B,'[1]Jan Customer Duplicate Hyva'!$A:$A,"NOT FOUND")</f>
        <v>CUST-169</v>
      </c>
      <c r="D99" s="10" t="s">
        <v>75</v>
      </c>
      <c r="E99" s="4" t="s">
        <v>36</v>
      </c>
      <c r="F99" s="5" t="str">
        <f t="shared" si="23"/>
        <v>Ravi</v>
      </c>
      <c r="G99" s="5" t="str">
        <f t="shared" si="24"/>
        <v/>
      </c>
      <c r="H99" s="5" t="str">
        <f t="shared" si="25"/>
        <v/>
      </c>
      <c r="I99" s="5" t="str">
        <f>_xlfn.XLOOKUP(F99,'[1]Jan Labour Nd Drivers Hyva'!$B:$B,'[2]Jan Labour Nd Drivers Hyva'!$A:$A,"NOT FOUND")</f>
        <v>LAB-003</v>
      </c>
      <c r="J99" s="5" t="str">
        <f>IF(G99="","",_xlfn.XLOOKUP(G99,'[3]Jan Labour Nd Drivers Hyva'!$B:$B,'[2]Jan Labour Nd Drivers Hyva'!$A:$A,"NOT FOUND"))</f>
        <v/>
      </c>
      <c r="K99" s="2"/>
      <c r="L99" s="4" t="s">
        <v>100</v>
      </c>
      <c r="M99" s="19">
        <v>1</v>
      </c>
      <c r="N99" s="8">
        <v>6500</v>
      </c>
      <c r="O99" s="6">
        <f t="shared" si="26"/>
        <v>6500</v>
      </c>
      <c r="P99" s="8">
        <v>6500</v>
      </c>
      <c r="Q99" s="6">
        <f t="shared" si="19"/>
        <v>0</v>
      </c>
      <c r="R99" s="2" t="str">
        <f t="shared" si="22"/>
        <v>PAID</v>
      </c>
      <c r="S99" s="2"/>
      <c r="T99" s="2">
        <f t="shared" si="27"/>
        <v>6500</v>
      </c>
      <c r="U99" s="2" t="str">
        <f t="shared" si="28"/>
        <v>OK</v>
      </c>
      <c r="V99" s="7">
        <f t="shared" si="29"/>
        <v>0</v>
      </c>
      <c r="W99" s="2" t="str">
        <f t="shared" si="30"/>
        <v>OK</v>
      </c>
      <c r="X99" s="2" t="s">
        <v>28</v>
      </c>
      <c r="Y99" s="2" t="s">
        <v>29</v>
      </c>
      <c r="Z99" t="s">
        <v>120</v>
      </c>
      <c r="AA99" t="s">
        <v>120</v>
      </c>
      <c r="AB99" t="s">
        <v>120</v>
      </c>
    </row>
    <row r="100" spans="1:28" x14ac:dyDescent="0.2">
      <c r="A100" t="str">
        <f t="shared" si="21"/>
        <v>TRIP-HF-099</v>
      </c>
      <c r="B100" s="9">
        <v>46010</v>
      </c>
      <c r="C100" s="2" t="str">
        <f>_xlfn.XLOOKUP(D100,'[1]Jan Customer Duplicate Hyva'!$B:$B,'[1]Jan Customer Duplicate Hyva'!$A:$A,"NOT FOUND")</f>
        <v>CUST-400</v>
      </c>
      <c r="D100" s="10" t="s">
        <v>101</v>
      </c>
      <c r="E100" s="4" t="s">
        <v>102</v>
      </c>
      <c r="F100" s="5" t="str">
        <f t="shared" si="23"/>
        <v>Dhanraj</v>
      </c>
      <c r="G100" s="5" t="str">
        <f t="shared" si="24"/>
        <v/>
      </c>
      <c r="H100" s="5" t="str">
        <f t="shared" si="25"/>
        <v/>
      </c>
      <c r="I100" s="5" t="str">
        <f>_xlfn.XLOOKUP(F100,'[1]Jan Labour Nd Drivers Hyva'!$B:$B,'[2]Jan Labour Nd Drivers Hyva'!$A:$A,"NOT FOUND")</f>
        <v>LAB-010</v>
      </c>
      <c r="J100" s="5" t="str">
        <f>IF(G100="","",_xlfn.XLOOKUP(G100,'[3]Jan Labour Nd Drivers Hyva'!$B:$B,'[2]Jan Labour Nd Drivers Hyva'!$A:$A,"NOT FOUND"))</f>
        <v/>
      </c>
      <c r="K100" s="2"/>
      <c r="L100" s="4" t="s">
        <v>50</v>
      </c>
      <c r="M100" s="19">
        <v>1</v>
      </c>
      <c r="N100" s="8">
        <v>8000</v>
      </c>
      <c r="O100" s="6">
        <f t="shared" si="26"/>
        <v>8000</v>
      </c>
      <c r="P100" s="8"/>
      <c r="Q100" s="6">
        <f t="shared" si="19"/>
        <v>8000</v>
      </c>
      <c r="R100" s="2" t="str">
        <f t="shared" si="22"/>
        <v>UNPAID</v>
      </c>
      <c r="S100" s="2"/>
      <c r="T100" s="2">
        <f t="shared" si="27"/>
        <v>8000</v>
      </c>
      <c r="U100" s="2" t="str">
        <f t="shared" si="28"/>
        <v>OK</v>
      </c>
      <c r="V100" s="7">
        <f t="shared" si="29"/>
        <v>8000</v>
      </c>
      <c r="W100" s="2" t="str">
        <f t="shared" si="30"/>
        <v>OK</v>
      </c>
      <c r="X100" s="2" t="s">
        <v>28</v>
      </c>
      <c r="Y100" s="2" t="s">
        <v>29</v>
      </c>
      <c r="Z100" t="s">
        <v>120</v>
      </c>
      <c r="AA100" t="s">
        <v>120</v>
      </c>
      <c r="AB100" t="s">
        <v>120</v>
      </c>
    </row>
    <row r="101" spans="1:28" x14ac:dyDescent="0.2">
      <c r="A101" t="str">
        <f t="shared" si="21"/>
        <v>TRIP-HF-100</v>
      </c>
      <c r="B101" s="9">
        <v>46011</v>
      </c>
      <c r="C101" s="2" t="str">
        <f>_xlfn.XLOOKUP(D101,'[1]Jan Customer Duplicate Hyva'!$B:$B,'[1]Jan Customer Duplicate Hyva'!$A:$A,"NOT FOUND")</f>
        <v>CUST-175</v>
      </c>
      <c r="D101" s="10" t="s">
        <v>103</v>
      </c>
      <c r="E101" s="4" t="s">
        <v>102</v>
      </c>
      <c r="F101" s="5" t="str">
        <f t="shared" si="23"/>
        <v>Dhanraj</v>
      </c>
      <c r="G101" s="5" t="str">
        <f t="shared" si="24"/>
        <v/>
      </c>
      <c r="H101" s="5" t="str">
        <f t="shared" si="25"/>
        <v/>
      </c>
      <c r="I101" s="5" t="str">
        <f>_xlfn.XLOOKUP(F101,'[1]Jan Labour Nd Drivers Hyva'!$B:$B,'[2]Jan Labour Nd Drivers Hyva'!$A:$A,"NOT FOUND")</f>
        <v>LAB-010</v>
      </c>
      <c r="J101" s="5" t="str">
        <f>IF(G101="","",_xlfn.XLOOKUP(G101,'[3]Jan Labour Nd Drivers Hyva'!$B:$B,'[2]Jan Labour Nd Drivers Hyva'!$A:$A,"NOT FOUND"))</f>
        <v/>
      </c>
      <c r="K101" s="2"/>
      <c r="L101" s="4" t="s">
        <v>104</v>
      </c>
      <c r="M101" s="19">
        <v>1</v>
      </c>
      <c r="N101" s="8">
        <v>7000</v>
      </c>
      <c r="O101" s="6">
        <f t="shared" si="26"/>
        <v>7000</v>
      </c>
      <c r="P101" s="8">
        <v>7000</v>
      </c>
      <c r="Q101" s="6">
        <f t="shared" si="19"/>
        <v>0</v>
      </c>
      <c r="R101" s="2" t="str">
        <f t="shared" si="22"/>
        <v>PAID</v>
      </c>
      <c r="S101" s="2"/>
      <c r="T101" s="2">
        <f t="shared" si="27"/>
        <v>7000</v>
      </c>
      <c r="U101" s="2" t="str">
        <f t="shared" si="28"/>
        <v>OK</v>
      </c>
      <c r="V101" s="7">
        <f t="shared" si="29"/>
        <v>0</v>
      </c>
      <c r="W101" s="2" t="str">
        <f t="shared" si="30"/>
        <v>OK</v>
      </c>
      <c r="X101" s="2" t="s">
        <v>28</v>
      </c>
      <c r="Y101" s="2" t="s">
        <v>29</v>
      </c>
      <c r="Z101" t="s">
        <v>120</v>
      </c>
      <c r="AA101" t="s">
        <v>120</v>
      </c>
      <c r="AB101" t="s">
        <v>120</v>
      </c>
    </row>
    <row r="102" spans="1:28" x14ac:dyDescent="0.2">
      <c r="A102" t="str">
        <f t="shared" si="21"/>
        <v>TRIP-HF-101</v>
      </c>
      <c r="B102" s="9">
        <v>46018</v>
      </c>
      <c r="C102" s="2" t="str">
        <f>_xlfn.XLOOKUP(D102,'[1]Jan Customer Duplicate Hyva'!$B:$B,'[1]Jan Customer Duplicate Hyva'!$A:$A,"NOT FOUND")</f>
        <v>CUST-423</v>
      </c>
      <c r="D102" s="10" t="s">
        <v>126</v>
      </c>
      <c r="E102" s="4" t="s">
        <v>36</v>
      </c>
      <c r="F102" s="5" t="str">
        <f t="shared" si="23"/>
        <v>Ravi</v>
      </c>
      <c r="G102" s="5" t="str">
        <f t="shared" si="24"/>
        <v/>
      </c>
      <c r="H102" s="5" t="str">
        <f t="shared" si="25"/>
        <v/>
      </c>
      <c r="I102" s="5" t="str">
        <f>_xlfn.XLOOKUP(F102,'[1]Jan Labour Nd Drivers Hyva'!$B:$B,'[2]Jan Labour Nd Drivers Hyva'!$A:$A,"NOT FOUND")</f>
        <v>LAB-003</v>
      </c>
      <c r="J102" s="5" t="str">
        <f>IF(G102="","",_xlfn.XLOOKUP(G102,'[3]Jan Labour Nd Drivers Hyva'!$B:$B,'[2]Jan Labour Nd Drivers Hyva'!$A:$A,"NOT FOUND"))</f>
        <v/>
      </c>
      <c r="K102" s="2"/>
      <c r="L102" s="4" t="s">
        <v>105</v>
      </c>
      <c r="M102" s="19">
        <v>1</v>
      </c>
      <c r="N102" s="8">
        <v>12000</v>
      </c>
      <c r="O102" s="6">
        <f t="shared" si="26"/>
        <v>12000</v>
      </c>
      <c r="P102" s="8">
        <v>12000</v>
      </c>
      <c r="Q102" s="6">
        <f t="shared" si="19"/>
        <v>0</v>
      </c>
      <c r="R102" s="2" t="str">
        <f t="shared" si="22"/>
        <v>PAID</v>
      </c>
      <c r="S102" s="2"/>
      <c r="T102" s="2">
        <f t="shared" si="27"/>
        <v>12000</v>
      </c>
      <c r="U102" s="2" t="str">
        <f t="shared" si="28"/>
        <v>OK</v>
      </c>
      <c r="V102" s="7">
        <f t="shared" si="29"/>
        <v>0</v>
      </c>
      <c r="W102" s="2" t="str">
        <f t="shared" si="30"/>
        <v>OK</v>
      </c>
      <c r="X102" s="2" t="s">
        <v>28</v>
      </c>
      <c r="Y102" s="2" t="s">
        <v>29</v>
      </c>
      <c r="Z102" t="s">
        <v>120</v>
      </c>
      <c r="AA102" t="s">
        <v>120</v>
      </c>
      <c r="AB102" t="s">
        <v>120</v>
      </c>
    </row>
    <row r="103" spans="1:28" x14ac:dyDescent="0.2">
      <c r="A103" t="str">
        <f t="shared" si="21"/>
        <v>TRIP-HF-102</v>
      </c>
      <c r="B103" s="9">
        <v>46022</v>
      </c>
      <c r="C103" s="2" t="str">
        <f>_xlfn.XLOOKUP(D103,'[1]Jan Customer Duplicate Hyva'!$B:$B,'[1]Jan Customer Duplicate Hyva'!$A:$A,"NOT FOUND")</f>
        <v>CUST-169</v>
      </c>
      <c r="D103" s="10" t="s">
        <v>75</v>
      </c>
      <c r="E103" s="4" t="s">
        <v>36</v>
      </c>
      <c r="F103" s="5" t="str">
        <f t="shared" si="23"/>
        <v>Ravi</v>
      </c>
      <c r="G103" s="5" t="str">
        <f t="shared" si="24"/>
        <v/>
      </c>
      <c r="H103" s="5" t="str">
        <f t="shared" si="25"/>
        <v/>
      </c>
      <c r="I103" s="5" t="str">
        <f>_xlfn.XLOOKUP(F103,'[1]Jan Labour Nd Drivers Hyva'!$B:$B,'[2]Jan Labour Nd Drivers Hyva'!$A:$A,"NOT FOUND")</f>
        <v>LAB-003</v>
      </c>
      <c r="J103" s="5" t="str">
        <f>IF(G103="","",_xlfn.XLOOKUP(G103,'[3]Jan Labour Nd Drivers Hyva'!$B:$B,'[2]Jan Labour Nd Drivers Hyva'!$A:$A,"NOT FOUND"))</f>
        <v/>
      </c>
      <c r="K103" s="2"/>
      <c r="L103" s="4" t="s">
        <v>100</v>
      </c>
      <c r="M103" s="19">
        <v>1</v>
      </c>
      <c r="N103" s="8">
        <v>6500</v>
      </c>
      <c r="O103" s="6">
        <f t="shared" si="26"/>
        <v>6500</v>
      </c>
      <c r="P103" s="8">
        <v>6500</v>
      </c>
      <c r="Q103" s="6">
        <f t="shared" ref="Q103" si="31">O103-P103</f>
        <v>0</v>
      </c>
      <c r="R103" s="2" t="str">
        <f t="shared" si="22"/>
        <v>PAID</v>
      </c>
      <c r="S103" s="2"/>
      <c r="T103" s="2">
        <f t="shared" si="27"/>
        <v>6500</v>
      </c>
      <c r="U103" s="2" t="str">
        <f t="shared" si="28"/>
        <v>OK</v>
      </c>
      <c r="V103" s="7">
        <f t="shared" si="29"/>
        <v>0</v>
      </c>
      <c r="W103" s="2" t="str">
        <f t="shared" si="30"/>
        <v>OK</v>
      </c>
      <c r="X103" s="2" t="s">
        <v>28</v>
      </c>
      <c r="Y103" s="2" t="s">
        <v>29</v>
      </c>
      <c r="Z103" t="s">
        <v>120</v>
      </c>
      <c r="AA103" t="s">
        <v>120</v>
      </c>
      <c r="AB103" t="s">
        <v>120</v>
      </c>
    </row>
  </sheetData>
  <autoFilter ref="C1:C104" xr:uid="{641C52E9-A27B-8344-983E-7A560D2321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2026-08-15T11:12:46Z</dcterms:created>
  <dcterms:modified xsi:type="dcterms:W3CDTF">2026-08-16T06:19:47Z</dcterms:modified>
</cp:coreProperties>
</file>