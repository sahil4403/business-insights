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hilwaghmare/Desktop/Data Transfer 2024 Raj Construction/Feb To Dec Trips/"/>
    </mc:Choice>
  </mc:AlternateContent>
  <xr:revisionPtr revIDLastSave="0" documentId="13_ncr:1_{346AEC02-399C-D64B-82A2-031B8F97B352}" xr6:coauthVersionLast="47" xr6:coauthVersionMax="47" xr10:uidLastSave="{00000000-0000-0000-0000-000000000000}"/>
  <bookViews>
    <workbookView xWindow="0" yWindow="780" windowWidth="36000" windowHeight="22600" xr2:uid="{D474264A-62BC-CB47-AAAA-3BA6EBD11FC0}"/>
  </bookViews>
  <sheets>
    <sheet name="Sheet1" sheetId="1" r:id="rId1"/>
  </sheets>
  <externalReferences>
    <externalReference r:id="rId2"/>
  </externalReferences>
  <definedNames>
    <definedName name="_xlnm._FilterDatabase" localSheetId="0" hidden="1">Sheet1!$D$1:$D$614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65" i="1" l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2" i="1"/>
  <c r="C283" i="1"/>
  <c r="C284" i="1"/>
  <c r="C285" i="1"/>
  <c r="C286" i="1"/>
  <c r="C287" i="1"/>
  <c r="C288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4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5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81" i="1"/>
  <c r="C582" i="1"/>
  <c r="C583" i="1"/>
  <c r="C584" i="1"/>
  <c r="C585" i="1"/>
  <c r="C586" i="1"/>
  <c r="C587" i="1"/>
  <c r="C588" i="1"/>
  <c r="C589" i="1"/>
  <c r="V589" i="1"/>
  <c r="W589" i="1" s="1"/>
  <c r="T589" i="1"/>
  <c r="U589" i="1" s="1"/>
  <c r="V588" i="1"/>
  <c r="W588" i="1" s="1"/>
  <c r="T588" i="1"/>
  <c r="U588" i="1" s="1"/>
  <c r="V587" i="1"/>
  <c r="W587" i="1" s="1"/>
  <c r="T587" i="1"/>
  <c r="U587" i="1" s="1"/>
  <c r="V586" i="1"/>
  <c r="W586" i="1" s="1"/>
  <c r="T586" i="1"/>
  <c r="U586" i="1" s="1"/>
  <c r="V585" i="1"/>
  <c r="W585" i="1" s="1"/>
  <c r="T585" i="1"/>
  <c r="U585" i="1" s="1"/>
  <c r="V584" i="1"/>
  <c r="W584" i="1" s="1"/>
  <c r="T584" i="1"/>
  <c r="U584" i="1" s="1"/>
  <c r="V583" i="1"/>
  <c r="W583" i="1" s="1"/>
  <c r="T583" i="1"/>
  <c r="U583" i="1" s="1"/>
  <c r="V582" i="1"/>
  <c r="W582" i="1" s="1"/>
  <c r="T582" i="1"/>
  <c r="U582" i="1" s="1"/>
  <c r="V581" i="1"/>
  <c r="W581" i="1" s="1"/>
  <c r="T581" i="1"/>
  <c r="U581" i="1" s="1"/>
  <c r="V580" i="1"/>
  <c r="W580" i="1" s="1"/>
  <c r="T580" i="1"/>
  <c r="U580" i="1" s="1"/>
  <c r="V579" i="1"/>
  <c r="W579" i="1" s="1"/>
  <c r="T579" i="1"/>
  <c r="U579" i="1" s="1"/>
  <c r="V578" i="1"/>
  <c r="W578" i="1" s="1"/>
  <c r="T578" i="1"/>
  <c r="U578" i="1" s="1"/>
  <c r="V577" i="1"/>
  <c r="W577" i="1" s="1"/>
  <c r="T577" i="1"/>
  <c r="U577" i="1" s="1"/>
  <c r="V576" i="1"/>
  <c r="W576" i="1" s="1"/>
  <c r="T576" i="1"/>
  <c r="U576" i="1" s="1"/>
  <c r="V575" i="1"/>
  <c r="W575" i="1" s="1"/>
  <c r="T575" i="1"/>
  <c r="U575" i="1" s="1"/>
  <c r="V574" i="1"/>
  <c r="W574" i="1" s="1"/>
  <c r="T574" i="1"/>
  <c r="U574" i="1" s="1"/>
  <c r="V573" i="1"/>
  <c r="W573" i="1" s="1"/>
  <c r="T573" i="1"/>
  <c r="U573" i="1" s="1"/>
  <c r="V572" i="1"/>
  <c r="W572" i="1" s="1"/>
  <c r="T572" i="1"/>
  <c r="U572" i="1" s="1"/>
  <c r="V571" i="1"/>
  <c r="W571" i="1" s="1"/>
  <c r="T571" i="1"/>
  <c r="U571" i="1" s="1"/>
  <c r="V570" i="1"/>
  <c r="W570" i="1" s="1"/>
  <c r="T570" i="1"/>
  <c r="U570" i="1" s="1"/>
  <c r="V569" i="1"/>
  <c r="W569" i="1" s="1"/>
  <c r="T569" i="1"/>
  <c r="U569" i="1" s="1"/>
  <c r="V568" i="1"/>
  <c r="W568" i="1" s="1"/>
  <c r="T568" i="1"/>
  <c r="U568" i="1" s="1"/>
  <c r="V567" i="1"/>
  <c r="W567" i="1" s="1"/>
  <c r="T567" i="1"/>
  <c r="U567" i="1" s="1"/>
  <c r="V566" i="1"/>
  <c r="W566" i="1" s="1"/>
  <c r="T566" i="1"/>
  <c r="U566" i="1" s="1"/>
  <c r="T565" i="1"/>
  <c r="O565" i="1"/>
  <c r="V565" i="1" s="1"/>
  <c r="W565" i="1" s="1"/>
  <c r="T8" i="1"/>
  <c r="O8" i="1"/>
  <c r="V8" i="1" s="1"/>
  <c r="W8" i="1" s="1"/>
  <c r="T7" i="1"/>
  <c r="O7" i="1"/>
  <c r="V7" i="1" s="1"/>
  <c r="W7" i="1" s="1"/>
  <c r="T6" i="1"/>
  <c r="O6" i="1"/>
  <c r="V6" i="1" s="1"/>
  <c r="W6" i="1" s="1"/>
  <c r="T5" i="1"/>
  <c r="O5" i="1"/>
  <c r="V5" i="1" s="1"/>
  <c r="W5" i="1" s="1"/>
  <c r="T4" i="1"/>
  <c r="O4" i="1"/>
  <c r="T3" i="1"/>
  <c r="O3" i="1"/>
  <c r="V3" i="1" s="1"/>
  <c r="W3" i="1" s="1"/>
  <c r="T2" i="1"/>
  <c r="O2" i="1"/>
  <c r="V2" i="1" s="1"/>
  <c r="W2" i="1" s="1"/>
  <c r="C2" i="1"/>
  <c r="U7" i="1" l="1"/>
  <c r="U565" i="1"/>
  <c r="U4" i="1"/>
  <c r="U3" i="1"/>
  <c r="V4" i="1"/>
  <c r="W4" i="1" s="1"/>
  <c r="U5" i="1"/>
  <c r="U6" i="1"/>
  <c r="U2" i="1"/>
  <c r="U8" i="1"/>
  <c r="V564" i="1" l="1"/>
  <c r="W564" i="1" s="1"/>
  <c r="T564" i="1"/>
  <c r="U564" i="1" s="1"/>
  <c r="R564" i="1"/>
  <c r="V563" i="1"/>
  <c r="W563" i="1" s="1"/>
  <c r="T563" i="1"/>
  <c r="U563" i="1" s="1"/>
  <c r="R563" i="1"/>
  <c r="V562" i="1"/>
  <c r="W562" i="1" s="1"/>
  <c r="T562" i="1"/>
  <c r="U562" i="1" s="1"/>
  <c r="R562" i="1"/>
  <c r="V561" i="1"/>
  <c r="W561" i="1" s="1"/>
  <c r="T561" i="1"/>
  <c r="U561" i="1" s="1"/>
  <c r="R561" i="1"/>
  <c r="V560" i="1"/>
  <c r="W560" i="1" s="1"/>
  <c r="T560" i="1"/>
  <c r="U560" i="1" s="1"/>
  <c r="R560" i="1"/>
  <c r="V559" i="1"/>
  <c r="W559" i="1" s="1"/>
  <c r="T559" i="1"/>
  <c r="U559" i="1" s="1"/>
  <c r="R559" i="1"/>
  <c r="V558" i="1"/>
  <c r="W558" i="1" s="1"/>
  <c r="T558" i="1"/>
  <c r="U558" i="1" s="1"/>
  <c r="R558" i="1"/>
  <c r="V557" i="1"/>
  <c r="W557" i="1" s="1"/>
  <c r="T557" i="1"/>
  <c r="U557" i="1" s="1"/>
  <c r="R557" i="1"/>
  <c r="V556" i="1"/>
  <c r="W556" i="1" s="1"/>
  <c r="T556" i="1"/>
  <c r="U556" i="1" s="1"/>
  <c r="R556" i="1"/>
  <c r="V555" i="1"/>
  <c r="W555" i="1" s="1"/>
  <c r="T555" i="1"/>
  <c r="U555" i="1" s="1"/>
  <c r="R555" i="1"/>
  <c r="V554" i="1"/>
  <c r="W554" i="1" s="1"/>
  <c r="T554" i="1"/>
  <c r="U554" i="1" s="1"/>
  <c r="R554" i="1"/>
  <c r="V553" i="1"/>
  <c r="W553" i="1" s="1"/>
  <c r="T553" i="1"/>
  <c r="U553" i="1" s="1"/>
  <c r="R553" i="1"/>
  <c r="V552" i="1"/>
  <c r="W552" i="1" s="1"/>
  <c r="T552" i="1"/>
  <c r="U552" i="1" s="1"/>
  <c r="R552" i="1"/>
  <c r="V551" i="1"/>
  <c r="W551" i="1" s="1"/>
  <c r="T551" i="1"/>
  <c r="U551" i="1" s="1"/>
  <c r="R551" i="1"/>
  <c r="V550" i="1"/>
  <c r="W550" i="1" s="1"/>
  <c r="T550" i="1"/>
  <c r="U550" i="1" s="1"/>
  <c r="R550" i="1"/>
  <c r="V549" i="1"/>
  <c r="W549" i="1" s="1"/>
  <c r="T549" i="1"/>
  <c r="U549" i="1" s="1"/>
  <c r="R549" i="1"/>
  <c r="V548" i="1"/>
  <c r="W548" i="1" s="1"/>
  <c r="T548" i="1"/>
  <c r="U548" i="1" s="1"/>
  <c r="R548" i="1"/>
  <c r="V547" i="1"/>
  <c r="W547" i="1" s="1"/>
  <c r="T547" i="1"/>
  <c r="U547" i="1" s="1"/>
  <c r="R547" i="1"/>
  <c r="V546" i="1"/>
  <c r="W546" i="1" s="1"/>
  <c r="T546" i="1"/>
  <c r="U546" i="1" s="1"/>
  <c r="R546" i="1"/>
  <c r="V545" i="1"/>
  <c r="W545" i="1" s="1"/>
  <c r="T545" i="1"/>
  <c r="U545" i="1" s="1"/>
  <c r="R545" i="1"/>
  <c r="V544" i="1"/>
  <c r="W544" i="1" s="1"/>
  <c r="T544" i="1"/>
  <c r="U544" i="1" s="1"/>
  <c r="R544" i="1"/>
  <c r="V543" i="1"/>
  <c r="W543" i="1" s="1"/>
  <c r="T543" i="1"/>
  <c r="U543" i="1" s="1"/>
  <c r="R543" i="1"/>
  <c r="V542" i="1"/>
  <c r="W542" i="1" s="1"/>
  <c r="T542" i="1"/>
  <c r="U542" i="1" s="1"/>
  <c r="R542" i="1"/>
  <c r="V541" i="1"/>
  <c r="W541" i="1" s="1"/>
  <c r="T541" i="1"/>
  <c r="U541" i="1" s="1"/>
  <c r="R541" i="1"/>
  <c r="V540" i="1"/>
  <c r="W540" i="1" s="1"/>
  <c r="T540" i="1"/>
  <c r="U540" i="1" s="1"/>
  <c r="R540" i="1"/>
  <c r="V539" i="1"/>
  <c r="W539" i="1" s="1"/>
  <c r="T539" i="1"/>
  <c r="U539" i="1" s="1"/>
  <c r="R539" i="1"/>
  <c r="V538" i="1"/>
  <c r="W538" i="1" s="1"/>
  <c r="T538" i="1"/>
  <c r="U538" i="1" s="1"/>
  <c r="R538" i="1"/>
  <c r="V537" i="1"/>
  <c r="W537" i="1" s="1"/>
  <c r="T537" i="1"/>
  <c r="U537" i="1" s="1"/>
  <c r="R537" i="1"/>
  <c r="V536" i="1"/>
  <c r="W536" i="1" s="1"/>
  <c r="T536" i="1"/>
  <c r="U536" i="1" s="1"/>
  <c r="R536" i="1"/>
  <c r="V535" i="1"/>
  <c r="W535" i="1" s="1"/>
  <c r="T535" i="1"/>
  <c r="U535" i="1" s="1"/>
  <c r="R535" i="1"/>
  <c r="V534" i="1"/>
  <c r="W534" i="1" s="1"/>
  <c r="T534" i="1"/>
  <c r="U534" i="1" s="1"/>
  <c r="R534" i="1"/>
  <c r="V533" i="1"/>
  <c r="W533" i="1" s="1"/>
  <c r="T533" i="1"/>
  <c r="U533" i="1" s="1"/>
  <c r="R533" i="1"/>
  <c r="V532" i="1"/>
  <c r="W532" i="1" s="1"/>
  <c r="T532" i="1"/>
  <c r="U532" i="1" s="1"/>
  <c r="R532" i="1"/>
  <c r="V531" i="1"/>
  <c r="W531" i="1" s="1"/>
  <c r="T531" i="1"/>
  <c r="U531" i="1" s="1"/>
  <c r="R531" i="1"/>
  <c r="V530" i="1"/>
  <c r="W530" i="1" s="1"/>
  <c r="T530" i="1"/>
  <c r="U530" i="1" s="1"/>
  <c r="R530" i="1"/>
  <c r="V529" i="1"/>
  <c r="W529" i="1" s="1"/>
  <c r="T529" i="1"/>
  <c r="U529" i="1" s="1"/>
  <c r="R529" i="1"/>
  <c r="V528" i="1"/>
  <c r="W528" i="1" s="1"/>
  <c r="T528" i="1"/>
  <c r="U528" i="1" s="1"/>
  <c r="R528" i="1"/>
  <c r="V527" i="1"/>
  <c r="W527" i="1" s="1"/>
  <c r="T527" i="1"/>
  <c r="U527" i="1" s="1"/>
  <c r="R527" i="1"/>
  <c r="V526" i="1"/>
  <c r="W526" i="1" s="1"/>
  <c r="T526" i="1"/>
  <c r="U526" i="1" s="1"/>
  <c r="R526" i="1"/>
  <c r="V525" i="1"/>
  <c r="W525" i="1" s="1"/>
  <c r="T525" i="1"/>
  <c r="U525" i="1" s="1"/>
  <c r="R525" i="1"/>
  <c r="V524" i="1"/>
  <c r="W524" i="1" s="1"/>
  <c r="T524" i="1"/>
  <c r="U524" i="1" s="1"/>
  <c r="R524" i="1"/>
  <c r="V523" i="1"/>
  <c r="W523" i="1" s="1"/>
  <c r="T523" i="1"/>
  <c r="U523" i="1" s="1"/>
  <c r="R523" i="1"/>
  <c r="V522" i="1"/>
  <c r="W522" i="1" s="1"/>
  <c r="T522" i="1"/>
  <c r="U522" i="1" s="1"/>
  <c r="R522" i="1"/>
  <c r="V521" i="1"/>
  <c r="W521" i="1" s="1"/>
  <c r="T521" i="1"/>
  <c r="U521" i="1" s="1"/>
  <c r="R521" i="1"/>
  <c r="V520" i="1"/>
  <c r="W520" i="1" s="1"/>
  <c r="T520" i="1"/>
  <c r="U520" i="1" s="1"/>
  <c r="R520" i="1"/>
  <c r="V519" i="1"/>
  <c r="W519" i="1" s="1"/>
  <c r="T519" i="1"/>
  <c r="U519" i="1" s="1"/>
  <c r="R519" i="1"/>
  <c r="V518" i="1"/>
  <c r="W518" i="1" s="1"/>
  <c r="T518" i="1"/>
  <c r="U518" i="1" s="1"/>
  <c r="R518" i="1"/>
  <c r="V517" i="1"/>
  <c r="W517" i="1" s="1"/>
  <c r="T517" i="1"/>
  <c r="U517" i="1" s="1"/>
  <c r="R517" i="1"/>
  <c r="V516" i="1"/>
  <c r="W516" i="1" s="1"/>
  <c r="T516" i="1"/>
  <c r="U516" i="1" s="1"/>
  <c r="R516" i="1"/>
  <c r="V515" i="1"/>
  <c r="W515" i="1" s="1"/>
  <c r="T515" i="1"/>
  <c r="U515" i="1" s="1"/>
  <c r="R515" i="1"/>
  <c r="V514" i="1"/>
  <c r="W514" i="1" s="1"/>
  <c r="T514" i="1"/>
  <c r="U514" i="1" s="1"/>
  <c r="R514" i="1"/>
  <c r="V513" i="1"/>
  <c r="W513" i="1" s="1"/>
  <c r="T513" i="1"/>
  <c r="U513" i="1" s="1"/>
  <c r="R513" i="1"/>
  <c r="V512" i="1"/>
  <c r="W512" i="1" s="1"/>
  <c r="T512" i="1"/>
  <c r="U512" i="1" s="1"/>
  <c r="R512" i="1"/>
  <c r="V511" i="1"/>
  <c r="W511" i="1" s="1"/>
  <c r="T511" i="1"/>
  <c r="U511" i="1" s="1"/>
  <c r="R511" i="1"/>
  <c r="V510" i="1"/>
  <c r="W510" i="1" s="1"/>
  <c r="T510" i="1"/>
  <c r="U510" i="1" s="1"/>
  <c r="R510" i="1"/>
  <c r="V509" i="1"/>
  <c r="W509" i="1" s="1"/>
  <c r="T509" i="1"/>
  <c r="U509" i="1" s="1"/>
  <c r="R509" i="1"/>
  <c r="V508" i="1"/>
  <c r="W508" i="1" s="1"/>
  <c r="T508" i="1"/>
  <c r="U508" i="1" s="1"/>
  <c r="R508" i="1"/>
  <c r="V507" i="1"/>
  <c r="W507" i="1" s="1"/>
  <c r="T507" i="1"/>
  <c r="U507" i="1" s="1"/>
  <c r="R507" i="1"/>
  <c r="V506" i="1"/>
  <c r="W506" i="1" s="1"/>
  <c r="T506" i="1"/>
  <c r="U506" i="1" s="1"/>
  <c r="R506" i="1"/>
  <c r="V505" i="1"/>
  <c r="W505" i="1" s="1"/>
  <c r="T505" i="1"/>
  <c r="U505" i="1" s="1"/>
  <c r="R505" i="1"/>
  <c r="V504" i="1"/>
  <c r="W504" i="1" s="1"/>
  <c r="T504" i="1"/>
  <c r="U504" i="1" s="1"/>
  <c r="R504" i="1"/>
  <c r="V503" i="1"/>
  <c r="W503" i="1" s="1"/>
  <c r="T503" i="1"/>
  <c r="U503" i="1" s="1"/>
  <c r="R503" i="1"/>
  <c r="V502" i="1"/>
  <c r="W502" i="1" s="1"/>
  <c r="T502" i="1"/>
  <c r="U502" i="1" s="1"/>
  <c r="R502" i="1"/>
  <c r="V501" i="1"/>
  <c r="W501" i="1" s="1"/>
  <c r="T501" i="1"/>
  <c r="U501" i="1" s="1"/>
  <c r="R501" i="1"/>
  <c r="V500" i="1"/>
  <c r="W500" i="1" s="1"/>
  <c r="T500" i="1"/>
  <c r="U500" i="1" s="1"/>
  <c r="R500" i="1"/>
  <c r="V499" i="1"/>
  <c r="W499" i="1" s="1"/>
  <c r="T499" i="1"/>
  <c r="U499" i="1" s="1"/>
  <c r="R499" i="1"/>
  <c r="V498" i="1"/>
  <c r="W498" i="1" s="1"/>
  <c r="T498" i="1"/>
  <c r="U498" i="1" s="1"/>
  <c r="R498" i="1"/>
  <c r="V497" i="1"/>
  <c r="W497" i="1" s="1"/>
  <c r="T497" i="1"/>
  <c r="U497" i="1" s="1"/>
  <c r="R497" i="1"/>
  <c r="V496" i="1"/>
  <c r="W496" i="1" s="1"/>
  <c r="T496" i="1"/>
  <c r="U496" i="1" s="1"/>
  <c r="R496" i="1"/>
  <c r="V495" i="1"/>
  <c r="W495" i="1" s="1"/>
  <c r="T495" i="1"/>
  <c r="U495" i="1" s="1"/>
  <c r="R495" i="1"/>
  <c r="V494" i="1"/>
  <c r="W494" i="1" s="1"/>
  <c r="T494" i="1"/>
  <c r="U494" i="1" s="1"/>
  <c r="R494" i="1"/>
  <c r="V493" i="1"/>
  <c r="W493" i="1" s="1"/>
  <c r="T493" i="1"/>
  <c r="U493" i="1" s="1"/>
  <c r="R493" i="1"/>
  <c r="V492" i="1"/>
  <c r="W492" i="1" s="1"/>
  <c r="T492" i="1"/>
  <c r="U492" i="1" s="1"/>
  <c r="R492" i="1"/>
  <c r="V491" i="1"/>
  <c r="W491" i="1" s="1"/>
  <c r="T491" i="1"/>
  <c r="U491" i="1" s="1"/>
  <c r="R491" i="1"/>
  <c r="V490" i="1"/>
  <c r="W490" i="1" s="1"/>
  <c r="T490" i="1"/>
  <c r="U490" i="1" s="1"/>
  <c r="R490" i="1"/>
  <c r="V489" i="1"/>
  <c r="W489" i="1" s="1"/>
  <c r="T489" i="1"/>
  <c r="U489" i="1" s="1"/>
  <c r="R489" i="1"/>
  <c r="V488" i="1"/>
  <c r="W488" i="1" s="1"/>
  <c r="T488" i="1"/>
  <c r="U488" i="1" s="1"/>
  <c r="R488" i="1"/>
  <c r="V487" i="1"/>
  <c r="W487" i="1" s="1"/>
  <c r="T487" i="1"/>
  <c r="U487" i="1" s="1"/>
  <c r="R487" i="1"/>
  <c r="V486" i="1"/>
  <c r="W486" i="1" s="1"/>
  <c r="T486" i="1"/>
  <c r="U486" i="1" s="1"/>
  <c r="R486" i="1"/>
  <c r="V485" i="1"/>
  <c r="W485" i="1" s="1"/>
  <c r="T485" i="1"/>
  <c r="U485" i="1" s="1"/>
  <c r="R485" i="1"/>
  <c r="V484" i="1"/>
  <c r="W484" i="1" s="1"/>
  <c r="T484" i="1"/>
  <c r="U484" i="1" s="1"/>
  <c r="R484" i="1"/>
  <c r="V483" i="1"/>
  <c r="W483" i="1" s="1"/>
  <c r="T483" i="1"/>
  <c r="U483" i="1" s="1"/>
  <c r="R483" i="1"/>
  <c r="V482" i="1"/>
  <c r="W482" i="1" s="1"/>
  <c r="T482" i="1"/>
  <c r="U482" i="1" s="1"/>
  <c r="R482" i="1"/>
  <c r="V481" i="1"/>
  <c r="W481" i="1" s="1"/>
  <c r="T481" i="1"/>
  <c r="U481" i="1" s="1"/>
  <c r="R481" i="1"/>
  <c r="V480" i="1"/>
  <c r="W480" i="1" s="1"/>
  <c r="T480" i="1"/>
  <c r="U480" i="1" s="1"/>
  <c r="R480" i="1"/>
  <c r="V479" i="1"/>
  <c r="W479" i="1" s="1"/>
  <c r="T479" i="1"/>
  <c r="U479" i="1" s="1"/>
  <c r="R479" i="1"/>
  <c r="V478" i="1"/>
  <c r="W478" i="1" s="1"/>
  <c r="T478" i="1"/>
  <c r="U478" i="1" s="1"/>
  <c r="R478" i="1"/>
  <c r="V477" i="1"/>
  <c r="W477" i="1" s="1"/>
  <c r="T477" i="1"/>
  <c r="U477" i="1" s="1"/>
  <c r="R477" i="1"/>
  <c r="V476" i="1"/>
  <c r="W476" i="1" s="1"/>
  <c r="T476" i="1"/>
  <c r="U476" i="1" s="1"/>
  <c r="R476" i="1"/>
  <c r="V475" i="1"/>
  <c r="W475" i="1" s="1"/>
  <c r="T475" i="1"/>
  <c r="U475" i="1" s="1"/>
  <c r="R475" i="1"/>
  <c r="V474" i="1"/>
  <c r="W474" i="1" s="1"/>
  <c r="T474" i="1"/>
  <c r="U474" i="1" s="1"/>
  <c r="R474" i="1"/>
  <c r="V473" i="1"/>
  <c r="W473" i="1" s="1"/>
  <c r="T473" i="1"/>
  <c r="U473" i="1" s="1"/>
  <c r="R473" i="1"/>
  <c r="V472" i="1"/>
  <c r="W472" i="1" s="1"/>
  <c r="T472" i="1"/>
  <c r="U472" i="1" s="1"/>
  <c r="R472" i="1"/>
  <c r="V471" i="1"/>
  <c r="W471" i="1" s="1"/>
  <c r="T471" i="1"/>
  <c r="U471" i="1" s="1"/>
  <c r="R471" i="1"/>
  <c r="V470" i="1"/>
  <c r="W470" i="1" s="1"/>
  <c r="T470" i="1"/>
  <c r="U470" i="1" s="1"/>
  <c r="R470" i="1"/>
  <c r="V469" i="1"/>
  <c r="W469" i="1" s="1"/>
  <c r="T469" i="1"/>
  <c r="U469" i="1" s="1"/>
  <c r="R469" i="1"/>
  <c r="V468" i="1"/>
  <c r="W468" i="1" s="1"/>
  <c r="T468" i="1"/>
  <c r="U468" i="1" s="1"/>
  <c r="R468" i="1"/>
  <c r="V467" i="1"/>
  <c r="W467" i="1" s="1"/>
  <c r="T467" i="1"/>
  <c r="U467" i="1" s="1"/>
  <c r="R467" i="1"/>
  <c r="V466" i="1"/>
  <c r="W466" i="1" s="1"/>
  <c r="T466" i="1"/>
  <c r="U466" i="1" s="1"/>
  <c r="R466" i="1"/>
  <c r="V465" i="1"/>
  <c r="W465" i="1" s="1"/>
  <c r="T465" i="1"/>
  <c r="U465" i="1" s="1"/>
  <c r="R465" i="1"/>
  <c r="V464" i="1"/>
  <c r="W464" i="1" s="1"/>
  <c r="T464" i="1"/>
  <c r="U464" i="1" s="1"/>
  <c r="R464" i="1"/>
  <c r="V463" i="1"/>
  <c r="W463" i="1" s="1"/>
  <c r="T463" i="1"/>
  <c r="U463" i="1" s="1"/>
  <c r="R463" i="1"/>
  <c r="V462" i="1"/>
  <c r="W462" i="1" s="1"/>
  <c r="T462" i="1"/>
  <c r="U462" i="1" s="1"/>
  <c r="R462" i="1"/>
  <c r="V461" i="1"/>
  <c r="W461" i="1" s="1"/>
  <c r="T461" i="1"/>
  <c r="U461" i="1" s="1"/>
  <c r="R461" i="1"/>
  <c r="V460" i="1"/>
  <c r="W460" i="1" s="1"/>
  <c r="T460" i="1"/>
  <c r="U460" i="1" s="1"/>
  <c r="R460" i="1"/>
  <c r="V459" i="1"/>
  <c r="W459" i="1" s="1"/>
  <c r="T459" i="1"/>
  <c r="U459" i="1" s="1"/>
  <c r="R459" i="1"/>
  <c r="V458" i="1"/>
  <c r="W458" i="1" s="1"/>
  <c r="T458" i="1"/>
  <c r="U458" i="1" s="1"/>
  <c r="R458" i="1"/>
  <c r="V457" i="1"/>
  <c r="W457" i="1" s="1"/>
  <c r="T457" i="1"/>
  <c r="U457" i="1" s="1"/>
  <c r="R457" i="1"/>
  <c r="V456" i="1"/>
  <c r="W456" i="1" s="1"/>
  <c r="T456" i="1"/>
  <c r="U456" i="1" s="1"/>
  <c r="R456" i="1"/>
  <c r="V455" i="1"/>
  <c r="W455" i="1" s="1"/>
  <c r="T455" i="1"/>
  <c r="U455" i="1" s="1"/>
  <c r="R455" i="1"/>
  <c r="V454" i="1"/>
  <c r="W454" i="1" s="1"/>
  <c r="T454" i="1"/>
  <c r="U454" i="1" s="1"/>
  <c r="R454" i="1"/>
  <c r="V453" i="1"/>
  <c r="W453" i="1" s="1"/>
  <c r="T453" i="1"/>
  <c r="U453" i="1" s="1"/>
  <c r="R453" i="1"/>
  <c r="V452" i="1"/>
  <c r="W452" i="1" s="1"/>
  <c r="T452" i="1"/>
  <c r="U452" i="1" s="1"/>
  <c r="R452" i="1"/>
  <c r="V451" i="1"/>
  <c r="W451" i="1" s="1"/>
  <c r="T451" i="1"/>
  <c r="U451" i="1" s="1"/>
  <c r="R451" i="1"/>
  <c r="V450" i="1"/>
  <c r="W450" i="1" s="1"/>
  <c r="T450" i="1"/>
  <c r="U450" i="1" s="1"/>
  <c r="R450" i="1"/>
  <c r="V449" i="1"/>
  <c r="W449" i="1" s="1"/>
  <c r="T449" i="1"/>
  <c r="U449" i="1" s="1"/>
  <c r="R449" i="1"/>
  <c r="V448" i="1"/>
  <c r="W448" i="1" s="1"/>
  <c r="T448" i="1"/>
  <c r="U448" i="1" s="1"/>
  <c r="R448" i="1"/>
  <c r="V447" i="1"/>
  <c r="W447" i="1" s="1"/>
  <c r="T447" i="1"/>
  <c r="U447" i="1" s="1"/>
  <c r="R447" i="1"/>
  <c r="V446" i="1"/>
  <c r="W446" i="1" s="1"/>
  <c r="T446" i="1"/>
  <c r="U446" i="1" s="1"/>
  <c r="R446" i="1"/>
  <c r="V445" i="1"/>
  <c r="W445" i="1" s="1"/>
  <c r="T445" i="1"/>
  <c r="U445" i="1" s="1"/>
  <c r="R445" i="1"/>
  <c r="V444" i="1"/>
  <c r="W444" i="1" s="1"/>
  <c r="T444" i="1"/>
  <c r="U444" i="1" s="1"/>
  <c r="R444" i="1"/>
  <c r="V443" i="1"/>
  <c r="W443" i="1" s="1"/>
  <c r="T443" i="1"/>
  <c r="U443" i="1" s="1"/>
  <c r="R443" i="1"/>
  <c r="V442" i="1"/>
  <c r="W442" i="1" s="1"/>
  <c r="T442" i="1"/>
  <c r="U442" i="1" s="1"/>
  <c r="R442" i="1"/>
  <c r="V441" i="1"/>
  <c r="W441" i="1" s="1"/>
  <c r="T441" i="1"/>
  <c r="U441" i="1" s="1"/>
  <c r="R441" i="1"/>
  <c r="V440" i="1"/>
  <c r="W440" i="1" s="1"/>
  <c r="T440" i="1"/>
  <c r="U440" i="1" s="1"/>
  <c r="R440" i="1"/>
  <c r="V439" i="1"/>
  <c r="W439" i="1" s="1"/>
  <c r="T439" i="1"/>
  <c r="U439" i="1" s="1"/>
  <c r="R439" i="1"/>
  <c r="V438" i="1"/>
  <c r="W438" i="1" s="1"/>
  <c r="T438" i="1"/>
  <c r="U438" i="1" s="1"/>
  <c r="R438" i="1"/>
  <c r="V437" i="1"/>
  <c r="W437" i="1" s="1"/>
  <c r="T437" i="1"/>
  <c r="U437" i="1" s="1"/>
  <c r="R437" i="1"/>
  <c r="V436" i="1"/>
  <c r="W436" i="1" s="1"/>
  <c r="T436" i="1"/>
  <c r="U436" i="1" s="1"/>
  <c r="R436" i="1"/>
  <c r="V435" i="1"/>
  <c r="W435" i="1" s="1"/>
  <c r="T435" i="1"/>
  <c r="U435" i="1" s="1"/>
  <c r="R435" i="1"/>
  <c r="V434" i="1"/>
  <c r="W434" i="1" s="1"/>
  <c r="T434" i="1"/>
  <c r="U434" i="1" s="1"/>
  <c r="R434" i="1"/>
  <c r="V433" i="1"/>
  <c r="W433" i="1" s="1"/>
  <c r="T433" i="1"/>
  <c r="U433" i="1" s="1"/>
  <c r="R433" i="1"/>
  <c r="V432" i="1"/>
  <c r="W432" i="1" s="1"/>
  <c r="T432" i="1"/>
  <c r="U432" i="1" s="1"/>
  <c r="R432" i="1"/>
  <c r="V431" i="1"/>
  <c r="W431" i="1" s="1"/>
  <c r="T431" i="1"/>
  <c r="U431" i="1" s="1"/>
  <c r="R431" i="1"/>
  <c r="V430" i="1"/>
  <c r="W430" i="1" s="1"/>
  <c r="T430" i="1"/>
  <c r="U430" i="1" s="1"/>
  <c r="R430" i="1"/>
  <c r="V429" i="1"/>
  <c r="W429" i="1" s="1"/>
  <c r="T429" i="1"/>
  <c r="U429" i="1" s="1"/>
  <c r="R429" i="1"/>
  <c r="V428" i="1"/>
  <c r="W428" i="1" s="1"/>
  <c r="T428" i="1"/>
  <c r="U428" i="1" s="1"/>
  <c r="R428" i="1"/>
  <c r="V427" i="1"/>
  <c r="W427" i="1" s="1"/>
  <c r="T427" i="1"/>
  <c r="U427" i="1" s="1"/>
  <c r="R427" i="1"/>
  <c r="V426" i="1"/>
  <c r="W426" i="1" s="1"/>
  <c r="T426" i="1"/>
  <c r="U426" i="1" s="1"/>
  <c r="R426" i="1"/>
  <c r="V425" i="1"/>
  <c r="W425" i="1" s="1"/>
  <c r="T425" i="1"/>
  <c r="U425" i="1" s="1"/>
  <c r="R425" i="1"/>
  <c r="V424" i="1"/>
  <c r="W424" i="1" s="1"/>
  <c r="T424" i="1"/>
  <c r="U424" i="1" s="1"/>
  <c r="R424" i="1"/>
  <c r="V423" i="1"/>
  <c r="W423" i="1" s="1"/>
  <c r="T423" i="1"/>
  <c r="U423" i="1" s="1"/>
  <c r="R423" i="1"/>
  <c r="V422" i="1"/>
  <c r="W422" i="1" s="1"/>
  <c r="T422" i="1"/>
  <c r="U422" i="1" s="1"/>
  <c r="R422" i="1"/>
  <c r="V421" i="1"/>
  <c r="W421" i="1" s="1"/>
  <c r="T421" i="1"/>
  <c r="U421" i="1" s="1"/>
  <c r="R421" i="1"/>
  <c r="V420" i="1"/>
  <c r="W420" i="1" s="1"/>
  <c r="T420" i="1"/>
  <c r="U420" i="1" s="1"/>
  <c r="R420" i="1"/>
  <c r="V419" i="1"/>
  <c r="W419" i="1" s="1"/>
  <c r="T419" i="1"/>
  <c r="U419" i="1" s="1"/>
  <c r="R419" i="1"/>
  <c r="V418" i="1"/>
  <c r="W418" i="1" s="1"/>
  <c r="T418" i="1"/>
  <c r="U418" i="1" s="1"/>
  <c r="R418" i="1"/>
  <c r="V417" i="1"/>
  <c r="W417" i="1" s="1"/>
  <c r="T417" i="1"/>
  <c r="U417" i="1" s="1"/>
  <c r="R417" i="1"/>
  <c r="V416" i="1"/>
  <c r="W416" i="1" s="1"/>
  <c r="T416" i="1"/>
  <c r="U416" i="1" s="1"/>
  <c r="R416" i="1"/>
  <c r="V415" i="1"/>
  <c r="W415" i="1" s="1"/>
  <c r="T415" i="1"/>
  <c r="U415" i="1" s="1"/>
  <c r="R415" i="1"/>
  <c r="V414" i="1"/>
  <c r="W414" i="1" s="1"/>
  <c r="T414" i="1"/>
  <c r="U414" i="1" s="1"/>
  <c r="R414" i="1"/>
  <c r="V413" i="1"/>
  <c r="W413" i="1" s="1"/>
  <c r="T413" i="1"/>
  <c r="U413" i="1" s="1"/>
  <c r="R413" i="1"/>
  <c r="V412" i="1"/>
  <c r="W412" i="1" s="1"/>
  <c r="T412" i="1"/>
  <c r="U412" i="1" s="1"/>
  <c r="R412" i="1"/>
  <c r="V411" i="1"/>
  <c r="W411" i="1" s="1"/>
  <c r="T411" i="1"/>
  <c r="U411" i="1" s="1"/>
  <c r="R411" i="1"/>
  <c r="V410" i="1"/>
  <c r="W410" i="1" s="1"/>
  <c r="T410" i="1"/>
  <c r="U410" i="1" s="1"/>
  <c r="R410" i="1"/>
  <c r="V409" i="1"/>
  <c r="W409" i="1" s="1"/>
  <c r="T409" i="1"/>
  <c r="U409" i="1" s="1"/>
  <c r="R409" i="1"/>
  <c r="V408" i="1"/>
  <c r="W408" i="1" s="1"/>
  <c r="T408" i="1"/>
  <c r="U408" i="1" s="1"/>
  <c r="R408" i="1"/>
  <c r="V407" i="1"/>
  <c r="W407" i="1" s="1"/>
  <c r="T407" i="1"/>
  <c r="U407" i="1" s="1"/>
  <c r="R407" i="1"/>
  <c r="V406" i="1"/>
  <c r="W406" i="1" s="1"/>
  <c r="T406" i="1"/>
  <c r="U406" i="1" s="1"/>
  <c r="R406" i="1"/>
  <c r="V405" i="1"/>
  <c r="W405" i="1" s="1"/>
  <c r="T405" i="1"/>
  <c r="U405" i="1" s="1"/>
  <c r="R405" i="1"/>
  <c r="V404" i="1"/>
  <c r="W404" i="1" s="1"/>
  <c r="T404" i="1"/>
  <c r="U404" i="1" s="1"/>
  <c r="R404" i="1"/>
  <c r="V403" i="1"/>
  <c r="W403" i="1" s="1"/>
  <c r="T403" i="1"/>
  <c r="U403" i="1" s="1"/>
  <c r="R403" i="1"/>
  <c r="V402" i="1"/>
  <c r="W402" i="1" s="1"/>
  <c r="T402" i="1"/>
  <c r="U402" i="1" s="1"/>
  <c r="R402" i="1"/>
  <c r="V401" i="1"/>
  <c r="W401" i="1" s="1"/>
  <c r="T401" i="1"/>
  <c r="U401" i="1" s="1"/>
  <c r="R401" i="1"/>
  <c r="V400" i="1"/>
  <c r="W400" i="1" s="1"/>
  <c r="T400" i="1"/>
  <c r="U400" i="1" s="1"/>
  <c r="R400" i="1"/>
  <c r="V399" i="1"/>
  <c r="W399" i="1" s="1"/>
  <c r="T399" i="1"/>
  <c r="U399" i="1" s="1"/>
  <c r="R399" i="1"/>
  <c r="V398" i="1"/>
  <c r="W398" i="1" s="1"/>
  <c r="T398" i="1"/>
  <c r="U398" i="1" s="1"/>
  <c r="R398" i="1"/>
  <c r="V397" i="1"/>
  <c r="W397" i="1" s="1"/>
  <c r="T397" i="1"/>
  <c r="U397" i="1" s="1"/>
  <c r="R397" i="1"/>
  <c r="V396" i="1"/>
  <c r="W396" i="1" s="1"/>
  <c r="T396" i="1"/>
  <c r="U396" i="1" s="1"/>
  <c r="R396" i="1"/>
  <c r="V395" i="1"/>
  <c r="W395" i="1" s="1"/>
  <c r="T395" i="1"/>
  <c r="U395" i="1" s="1"/>
  <c r="R395" i="1"/>
  <c r="V394" i="1"/>
  <c r="W394" i="1" s="1"/>
  <c r="T394" i="1"/>
  <c r="U394" i="1" s="1"/>
  <c r="R394" i="1"/>
  <c r="V393" i="1"/>
  <c r="W393" i="1" s="1"/>
  <c r="T393" i="1"/>
  <c r="U393" i="1" s="1"/>
  <c r="R393" i="1"/>
  <c r="V392" i="1"/>
  <c r="W392" i="1" s="1"/>
  <c r="T392" i="1"/>
  <c r="U392" i="1" s="1"/>
  <c r="R392" i="1"/>
  <c r="V391" i="1"/>
  <c r="W391" i="1" s="1"/>
  <c r="T391" i="1"/>
  <c r="U391" i="1" s="1"/>
  <c r="R391" i="1"/>
  <c r="V390" i="1"/>
  <c r="W390" i="1" s="1"/>
  <c r="T390" i="1"/>
  <c r="U390" i="1" s="1"/>
  <c r="R390" i="1"/>
  <c r="V389" i="1"/>
  <c r="W389" i="1" s="1"/>
  <c r="T389" i="1"/>
  <c r="U389" i="1" s="1"/>
  <c r="R389" i="1"/>
  <c r="V388" i="1"/>
  <c r="W388" i="1" s="1"/>
  <c r="T388" i="1"/>
  <c r="U388" i="1" s="1"/>
  <c r="R388" i="1"/>
  <c r="V387" i="1"/>
  <c r="W387" i="1" s="1"/>
  <c r="T387" i="1"/>
  <c r="U387" i="1" s="1"/>
  <c r="R387" i="1"/>
  <c r="V386" i="1"/>
  <c r="W386" i="1" s="1"/>
  <c r="T386" i="1"/>
  <c r="U386" i="1" s="1"/>
  <c r="R386" i="1"/>
  <c r="V385" i="1"/>
  <c r="W385" i="1" s="1"/>
  <c r="T385" i="1"/>
  <c r="U385" i="1" s="1"/>
  <c r="R385" i="1"/>
  <c r="V384" i="1"/>
  <c r="W384" i="1" s="1"/>
  <c r="T384" i="1"/>
  <c r="U384" i="1" s="1"/>
  <c r="R384" i="1"/>
  <c r="V383" i="1"/>
  <c r="W383" i="1" s="1"/>
  <c r="T383" i="1"/>
  <c r="U383" i="1" s="1"/>
  <c r="R383" i="1"/>
  <c r="V382" i="1"/>
  <c r="W382" i="1" s="1"/>
  <c r="T382" i="1"/>
  <c r="U382" i="1" s="1"/>
  <c r="R382" i="1"/>
  <c r="V381" i="1"/>
  <c r="W381" i="1" s="1"/>
  <c r="T381" i="1"/>
  <c r="U381" i="1" s="1"/>
  <c r="R381" i="1"/>
  <c r="V380" i="1"/>
  <c r="W380" i="1" s="1"/>
  <c r="T380" i="1"/>
  <c r="U380" i="1" s="1"/>
  <c r="R380" i="1"/>
  <c r="V379" i="1"/>
  <c r="W379" i="1" s="1"/>
  <c r="T379" i="1"/>
  <c r="U379" i="1" s="1"/>
  <c r="R379" i="1"/>
  <c r="V378" i="1"/>
  <c r="W378" i="1" s="1"/>
  <c r="T378" i="1"/>
  <c r="U378" i="1" s="1"/>
  <c r="R378" i="1"/>
  <c r="V377" i="1"/>
  <c r="W377" i="1" s="1"/>
  <c r="T377" i="1"/>
  <c r="U377" i="1" s="1"/>
  <c r="R377" i="1"/>
  <c r="V376" i="1"/>
  <c r="W376" i="1" s="1"/>
  <c r="T376" i="1"/>
  <c r="U376" i="1" s="1"/>
  <c r="R376" i="1"/>
  <c r="V375" i="1"/>
  <c r="W375" i="1" s="1"/>
  <c r="T375" i="1"/>
  <c r="U375" i="1" s="1"/>
  <c r="R375" i="1"/>
  <c r="V374" i="1"/>
  <c r="W374" i="1" s="1"/>
  <c r="T374" i="1"/>
  <c r="U374" i="1" s="1"/>
  <c r="R374" i="1"/>
  <c r="V373" i="1"/>
  <c r="W373" i="1" s="1"/>
  <c r="T373" i="1"/>
  <c r="U373" i="1" s="1"/>
  <c r="R373" i="1"/>
  <c r="V372" i="1"/>
  <c r="W372" i="1" s="1"/>
  <c r="T372" i="1"/>
  <c r="U372" i="1" s="1"/>
  <c r="R372" i="1"/>
  <c r="V371" i="1"/>
  <c r="W371" i="1" s="1"/>
  <c r="T371" i="1"/>
  <c r="U371" i="1" s="1"/>
  <c r="R371" i="1"/>
  <c r="V370" i="1"/>
  <c r="W370" i="1" s="1"/>
  <c r="T370" i="1"/>
  <c r="U370" i="1" s="1"/>
  <c r="R370" i="1"/>
  <c r="V369" i="1"/>
  <c r="W369" i="1" s="1"/>
  <c r="T369" i="1"/>
  <c r="U369" i="1" s="1"/>
  <c r="R369" i="1"/>
  <c r="V368" i="1"/>
  <c r="W368" i="1" s="1"/>
  <c r="T368" i="1"/>
  <c r="U368" i="1" s="1"/>
  <c r="R368" i="1"/>
  <c r="V367" i="1"/>
  <c r="W367" i="1" s="1"/>
  <c r="T367" i="1"/>
  <c r="U367" i="1" s="1"/>
  <c r="R367" i="1"/>
  <c r="V366" i="1"/>
  <c r="W366" i="1" s="1"/>
  <c r="T366" i="1"/>
  <c r="U366" i="1" s="1"/>
  <c r="R366" i="1"/>
  <c r="V365" i="1"/>
  <c r="W365" i="1" s="1"/>
  <c r="T365" i="1"/>
  <c r="U365" i="1" s="1"/>
  <c r="R365" i="1"/>
  <c r="V364" i="1"/>
  <c r="W364" i="1" s="1"/>
  <c r="T364" i="1"/>
  <c r="U364" i="1" s="1"/>
  <c r="R364" i="1"/>
  <c r="V363" i="1"/>
  <c r="W363" i="1" s="1"/>
  <c r="T363" i="1"/>
  <c r="U363" i="1" s="1"/>
  <c r="R363" i="1"/>
  <c r="V362" i="1"/>
  <c r="W362" i="1" s="1"/>
  <c r="T362" i="1"/>
  <c r="U362" i="1" s="1"/>
  <c r="R362" i="1"/>
  <c r="V361" i="1"/>
  <c r="W361" i="1" s="1"/>
  <c r="T361" i="1"/>
  <c r="U361" i="1" s="1"/>
  <c r="R361" i="1"/>
  <c r="V360" i="1"/>
  <c r="W360" i="1" s="1"/>
  <c r="T360" i="1"/>
  <c r="U360" i="1" s="1"/>
  <c r="R360" i="1"/>
  <c r="V359" i="1"/>
  <c r="W359" i="1" s="1"/>
  <c r="T359" i="1"/>
  <c r="U359" i="1" s="1"/>
  <c r="R359" i="1"/>
  <c r="V358" i="1"/>
  <c r="W358" i="1" s="1"/>
  <c r="T358" i="1"/>
  <c r="U358" i="1" s="1"/>
  <c r="R358" i="1"/>
  <c r="V357" i="1"/>
  <c r="W357" i="1" s="1"/>
  <c r="T357" i="1"/>
  <c r="U357" i="1" s="1"/>
  <c r="R357" i="1"/>
  <c r="V356" i="1"/>
  <c r="W356" i="1" s="1"/>
  <c r="T356" i="1"/>
  <c r="U356" i="1" s="1"/>
  <c r="R356" i="1"/>
  <c r="V355" i="1"/>
  <c r="W355" i="1" s="1"/>
  <c r="T355" i="1"/>
  <c r="U355" i="1" s="1"/>
  <c r="R355" i="1"/>
  <c r="V354" i="1"/>
  <c r="W354" i="1" s="1"/>
  <c r="T354" i="1"/>
  <c r="U354" i="1" s="1"/>
  <c r="R354" i="1"/>
  <c r="V353" i="1"/>
  <c r="W353" i="1" s="1"/>
  <c r="T353" i="1"/>
  <c r="U353" i="1" s="1"/>
  <c r="R353" i="1"/>
  <c r="V352" i="1"/>
  <c r="W352" i="1" s="1"/>
  <c r="T352" i="1"/>
  <c r="U352" i="1" s="1"/>
  <c r="R352" i="1"/>
  <c r="V351" i="1"/>
  <c r="W351" i="1" s="1"/>
  <c r="T351" i="1"/>
  <c r="U351" i="1" s="1"/>
  <c r="R351" i="1"/>
  <c r="V350" i="1"/>
  <c r="W350" i="1" s="1"/>
  <c r="T350" i="1"/>
  <c r="U350" i="1" s="1"/>
  <c r="R350" i="1"/>
  <c r="V349" i="1"/>
  <c r="W349" i="1" s="1"/>
  <c r="T349" i="1"/>
  <c r="U349" i="1" s="1"/>
  <c r="R349" i="1"/>
  <c r="V348" i="1"/>
  <c r="W348" i="1" s="1"/>
  <c r="T348" i="1"/>
  <c r="U348" i="1" s="1"/>
  <c r="R348" i="1"/>
  <c r="V347" i="1"/>
  <c r="W347" i="1" s="1"/>
  <c r="T347" i="1"/>
  <c r="U347" i="1" s="1"/>
  <c r="R347" i="1"/>
  <c r="V346" i="1"/>
  <c r="W346" i="1" s="1"/>
  <c r="T346" i="1"/>
  <c r="U346" i="1" s="1"/>
  <c r="R346" i="1"/>
  <c r="V345" i="1"/>
  <c r="W345" i="1" s="1"/>
  <c r="T345" i="1"/>
  <c r="U345" i="1" s="1"/>
  <c r="R345" i="1"/>
  <c r="V344" i="1"/>
  <c r="W344" i="1" s="1"/>
  <c r="T344" i="1"/>
  <c r="U344" i="1" s="1"/>
  <c r="R344" i="1"/>
  <c r="V343" i="1"/>
  <c r="W343" i="1" s="1"/>
  <c r="T343" i="1"/>
  <c r="U343" i="1" s="1"/>
  <c r="R343" i="1"/>
  <c r="V342" i="1"/>
  <c r="W342" i="1" s="1"/>
  <c r="T342" i="1"/>
  <c r="U342" i="1" s="1"/>
  <c r="R342" i="1"/>
  <c r="V341" i="1"/>
  <c r="W341" i="1" s="1"/>
  <c r="T341" i="1"/>
  <c r="U341" i="1" s="1"/>
  <c r="R341" i="1"/>
  <c r="V340" i="1"/>
  <c r="W340" i="1" s="1"/>
  <c r="T340" i="1"/>
  <c r="U340" i="1" s="1"/>
  <c r="R340" i="1"/>
  <c r="V339" i="1"/>
  <c r="W339" i="1" s="1"/>
  <c r="T339" i="1"/>
  <c r="U339" i="1" s="1"/>
  <c r="R339" i="1"/>
  <c r="V338" i="1"/>
  <c r="W338" i="1" s="1"/>
  <c r="T338" i="1"/>
  <c r="U338" i="1" s="1"/>
  <c r="R338" i="1"/>
  <c r="V337" i="1"/>
  <c r="W337" i="1" s="1"/>
  <c r="T337" i="1"/>
  <c r="U337" i="1" s="1"/>
  <c r="R337" i="1"/>
  <c r="V336" i="1"/>
  <c r="W336" i="1" s="1"/>
  <c r="T336" i="1"/>
  <c r="U336" i="1" s="1"/>
  <c r="R336" i="1"/>
  <c r="V335" i="1"/>
  <c r="W335" i="1" s="1"/>
  <c r="T335" i="1"/>
  <c r="U335" i="1" s="1"/>
  <c r="R335" i="1"/>
  <c r="V334" i="1"/>
  <c r="W334" i="1" s="1"/>
  <c r="T334" i="1"/>
  <c r="U334" i="1" s="1"/>
  <c r="R334" i="1"/>
  <c r="V333" i="1"/>
  <c r="W333" i="1" s="1"/>
  <c r="T333" i="1"/>
  <c r="U333" i="1" s="1"/>
  <c r="R333" i="1"/>
  <c r="V332" i="1"/>
  <c r="W332" i="1" s="1"/>
  <c r="T332" i="1"/>
  <c r="U332" i="1" s="1"/>
  <c r="R332" i="1"/>
  <c r="V331" i="1"/>
  <c r="W331" i="1" s="1"/>
  <c r="T331" i="1"/>
  <c r="U331" i="1" s="1"/>
  <c r="R331" i="1"/>
  <c r="V330" i="1"/>
  <c r="W330" i="1" s="1"/>
  <c r="T330" i="1"/>
  <c r="U330" i="1" s="1"/>
  <c r="R330" i="1"/>
  <c r="V329" i="1"/>
  <c r="W329" i="1" s="1"/>
  <c r="T329" i="1"/>
  <c r="U329" i="1" s="1"/>
  <c r="R329" i="1"/>
  <c r="V328" i="1"/>
  <c r="W328" i="1" s="1"/>
  <c r="T328" i="1"/>
  <c r="U328" i="1" s="1"/>
  <c r="R328" i="1"/>
  <c r="V327" i="1"/>
  <c r="W327" i="1" s="1"/>
  <c r="T327" i="1"/>
  <c r="U327" i="1" s="1"/>
  <c r="R327" i="1"/>
  <c r="V326" i="1"/>
  <c r="W326" i="1" s="1"/>
  <c r="T326" i="1"/>
  <c r="U326" i="1" s="1"/>
  <c r="R326" i="1"/>
  <c r="V325" i="1"/>
  <c r="W325" i="1" s="1"/>
  <c r="T325" i="1"/>
  <c r="U325" i="1" s="1"/>
  <c r="R325" i="1"/>
  <c r="V324" i="1"/>
  <c r="W324" i="1" s="1"/>
  <c r="T324" i="1"/>
  <c r="U324" i="1" s="1"/>
  <c r="R324" i="1"/>
  <c r="V323" i="1"/>
  <c r="W323" i="1" s="1"/>
  <c r="T323" i="1"/>
  <c r="U323" i="1" s="1"/>
  <c r="R323" i="1"/>
  <c r="V322" i="1"/>
  <c r="W322" i="1" s="1"/>
  <c r="T322" i="1"/>
  <c r="U322" i="1" s="1"/>
  <c r="R322" i="1"/>
  <c r="V321" i="1"/>
  <c r="W321" i="1" s="1"/>
  <c r="T321" i="1"/>
  <c r="U321" i="1" s="1"/>
  <c r="R321" i="1"/>
  <c r="V320" i="1"/>
  <c r="W320" i="1" s="1"/>
  <c r="T320" i="1"/>
  <c r="U320" i="1" s="1"/>
  <c r="R320" i="1"/>
  <c r="V319" i="1"/>
  <c r="W319" i="1" s="1"/>
  <c r="T319" i="1"/>
  <c r="U319" i="1" s="1"/>
  <c r="R319" i="1"/>
  <c r="V318" i="1"/>
  <c r="W318" i="1" s="1"/>
  <c r="T318" i="1"/>
  <c r="U318" i="1" s="1"/>
  <c r="R318" i="1"/>
  <c r="V317" i="1"/>
  <c r="W317" i="1" s="1"/>
  <c r="T317" i="1"/>
  <c r="U317" i="1" s="1"/>
  <c r="R317" i="1"/>
  <c r="V316" i="1"/>
  <c r="W316" i="1" s="1"/>
  <c r="T316" i="1"/>
  <c r="U316" i="1" s="1"/>
  <c r="R316" i="1"/>
  <c r="V315" i="1"/>
  <c r="W315" i="1" s="1"/>
  <c r="T315" i="1"/>
  <c r="U315" i="1" s="1"/>
  <c r="R315" i="1"/>
  <c r="V314" i="1"/>
  <c r="W314" i="1" s="1"/>
  <c r="T314" i="1"/>
  <c r="U314" i="1" s="1"/>
  <c r="R314" i="1"/>
  <c r="V313" i="1"/>
  <c r="W313" i="1" s="1"/>
  <c r="T313" i="1"/>
  <c r="U313" i="1" s="1"/>
  <c r="R313" i="1"/>
  <c r="V312" i="1"/>
  <c r="W312" i="1" s="1"/>
  <c r="T312" i="1"/>
  <c r="U312" i="1" s="1"/>
  <c r="R312" i="1"/>
  <c r="V311" i="1"/>
  <c r="W311" i="1" s="1"/>
  <c r="T311" i="1"/>
  <c r="U311" i="1" s="1"/>
  <c r="R311" i="1"/>
  <c r="V310" i="1"/>
  <c r="W310" i="1" s="1"/>
  <c r="T310" i="1"/>
  <c r="U310" i="1" s="1"/>
  <c r="R310" i="1"/>
  <c r="V309" i="1"/>
  <c r="W309" i="1" s="1"/>
  <c r="T309" i="1"/>
  <c r="U309" i="1" s="1"/>
  <c r="R309" i="1"/>
  <c r="V308" i="1"/>
  <c r="W308" i="1" s="1"/>
  <c r="T308" i="1"/>
  <c r="U308" i="1" s="1"/>
  <c r="R308" i="1"/>
  <c r="V307" i="1"/>
  <c r="W307" i="1" s="1"/>
  <c r="T307" i="1"/>
  <c r="U307" i="1" s="1"/>
  <c r="R307" i="1"/>
  <c r="V306" i="1"/>
  <c r="W306" i="1" s="1"/>
  <c r="T306" i="1"/>
  <c r="U306" i="1" s="1"/>
  <c r="R306" i="1"/>
  <c r="V305" i="1"/>
  <c r="W305" i="1" s="1"/>
  <c r="T305" i="1"/>
  <c r="U305" i="1" s="1"/>
  <c r="R305" i="1"/>
  <c r="V304" i="1"/>
  <c r="W304" i="1" s="1"/>
  <c r="T304" i="1"/>
  <c r="U304" i="1" s="1"/>
  <c r="R304" i="1"/>
  <c r="V303" i="1"/>
  <c r="W303" i="1" s="1"/>
  <c r="T303" i="1"/>
  <c r="U303" i="1" s="1"/>
  <c r="R303" i="1"/>
  <c r="V302" i="1"/>
  <c r="W302" i="1" s="1"/>
  <c r="T302" i="1"/>
  <c r="U302" i="1" s="1"/>
  <c r="R302" i="1"/>
  <c r="V301" i="1"/>
  <c r="W301" i="1" s="1"/>
  <c r="T301" i="1"/>
  <c r="U301" i="1" s="1"/>
  <c r="R301" i="1"/>
  <c r="V300" i="1"/>
  <c r="W300" i="1" s="1"/>
  <c r="T300" i="1"/>
  <c r="U300" i="1" s="1"/>
  <c r="R300" i="1"/>
  <c r="V299" i="1"/>
  <c r="W299" i="1" s="1"/>
  <c r="T299" i="1"/>
  <c r="U299" i="1" s="1"/>
  <c r="R299" i="1"/>
  <c r="V298" i="1"/>
  <c r="W298" i="1" s="1"/>
  <c r="T298" i="1"/>
  <c r="U298" i="1" s="1"/>
  <c r="R298" i="1"/>
  <c r="V297" i="1"/>
  <c r="W297" i="1" s="1"/>
  <c r="T297" i="1"/>
  <c r="U297" i="1" s="1"/>
  <c r="R297" i="1"/>
  <c r="V296" i="1"/>
  <c r="W296" i="1" s="1"/>
  <c r="T296" i="1"/>
  <c r="U296" i="1" s="1"/>
  <c r="R296" i="1"/>
  <c r="V295" i="1"/>
  <c r="W295" i="1" s="1"/>
  <c r="T295" i="1"/>
  <c r="U295" i="1" s="1"/>
  <c r="R295" i="1"/>
  <c r="V294" i="1"/>
  <c r="W294" i="1" s="1"/>
  <c r="T294" i="1"/>
  <c r="U294" i="1" s="1"/>
  <c r="R294" i="1"/>
  <c r="V293" i="1"/>
  <c r="W293" i="1" s="1"/>
  <c r="T293" i="1"/>
  <c r="U293" i="1" s="1"/>
  <c r="R293" i="1"/>
  <c r="V292" i="1"/>
  <c r="W292" i="1" s="1"/>
  <c r="T292" i="1"/>
  <c r="U292" i="1" s="1"/>
  <c r="R292" i="1"/>
  <c r="V291" i="1"/>
  <c r="W291" i="1" s="1"/>
  <c r="T291" i="1"/>
  <c r="U291" i="1" s="1"/>
  <c r="R291" i="1"/>
  <c r="V290" i="1"/>
  <c r="W290" i="1" s="1"/>
  <c r="T290" i="1"/>
  <c r="U290" i="1" s="1"/>
  <c r="R290" i="1"/>
  <c r="V289" i="1"/>
  <c r="W289" i="1" s="1"/>
  <c r="T289" i="1"/>
  <c r="U289" i="1" s="1"/>
  <c r="R289" i="1"/>
  <c r="V288" i="1"/>
  <c r="W288" i="1" s="1"/>
  <c r="T288" i="1"/>
  <c r="U288" i="1" s="1"/>
  <c r="R288" i="1"/>
  <c r="V287" i="1"/>
  <c r="W287" i="1" s="1"/>
  <c r="T287" i="1"/>
  <c r="U287" i="1" s="1"/>
  <c r="R287" i="1"/>
  <c r="V286" i="1"/>
  <c r="W286" i="1" s="1"/>
  <c r="T286" i="1"/>
  <c r="U286" i="1" s="1"/>
  <c r="R286" i="1"/>
  <c r="V285" i="1"/>
  <c r="W285" i="1" s="1"/>
  <c r="T285" i="1"/>
  <c r="U285" i="1" s="1"/>
  <c r="R285" i="1"/>
  <c r="V284" i="1"/>
  <c r="W284" i="1" s="1"/>
  <c r="T284" i="1"/>
  <c r="U284" i="1" s="1"/>
  <c r="R284" i="1"/>
  <c r="V283" i="1"/>
  <c r="W283" i="1" s="1"/>
  <c r="T283" i="1"/>
  <c r="U283" i="1" s="1"/>
  <c r="R283" i="1"/>
  <c r="T282" i="1"/>
  <c r="O282" i="1"/>
  <c r="V282" i="1" s="1"/>
  <c r="T281" i="1"/>
  <c r="O281" i="1"/>
  <c r="V281" i="1" s="1"/>
  <c r="T280" i="1"/>
  <c r="O280" i="1"/>
  <c r="V280" i="1" s="1"/>
  <c r="V279" i="1"/>
  <c r="T279" i="1"/>
  <c r="O279" i="1"/>
  <c r="Q279" i="1" s="1"/>
  <c r="R279" i="1" s="1"/>
  <c r="T278" i="1"/>
  <c r="O278" i="1"/>
  <c r="V278" i="1" s="1"/>
  <c r="T277" i="1"/>
  <c r="O277" i="1"/>
  <c r="T276" i="1"/>
  <c r="O276" i="1"/>
  <c r="Q276" i="1" s="1"/>
  <c r="R276" i="1" s="1"/>
  <c r="T275" i="1"/>
  <c r="O275" i="1"/>
  <c r="Q275" i="1" s="1"/>
  <c r="T274" i="1"/>
  <c r="O274" i="1"/>
  <c r="T273" i="1"/>
  <c r="O273" i="1"/>
  <c r="T272" i="1"/>
  <c r="O272" i="1"/>
  <c r="Q272" i="1" s="1"/>
  <c r="R272" i="1" s="1"/>
  <c r="T271" i="1"/>
  <c r="O271" i="1"/>
  <c r="V271" i="1" s="1"/>
  <c r="T270" i="1"/>
  <c r="O270" i="1"/>
  <c r="V270" i="1" s="1"/>
  <c r="T269" i="1"/>
  <c r="O269" i="1"/>
  <c r="Q269" i="1" s="1"/>
  <c r="R269" i="1" s="1"/>
  <c r="T268" i="1"/>
  <c r="O268" i="1"/>
  <c r="T267" i="1"/>
  <c r="O267" i="1"/>
  <c r="T266" i="1"/>
  <c r="O266" i="1"/>
  <c r="Q266" i="1" s="1"/>
  <c r="R266" i="1" s="1"/>
  <c r="T265" i="1"/>
  <c r="O265" i="1"/>
  <c r="V265" i="1" s="1"/>
  <c r="T264" i="1"/>
  <c r="O264" i="1"/>
  <c r="Q264" i="1" s="1"/>
  <c r="R264" i="1" s="1"/>
  <c r="T263" i="1"/>
  <c r="O263" i="1"/>
  <c r="Q263" i="1" s="1"/>
  <c r="R263" i="1" s="1"/>
  <c r="T262" i="1"/>
  <c r="O262" i="1"/>
  <c r="V262" i="1" s="1"/>
  <c r="T261" i="1"/>
  <c r="O261" i="1"/>
  <c r="T260" i="1"/>
  <c r="O260" i="1"/>
  <c r="V260" i="1" s="1"/>
  <c r="T259" i="1"/>
  <c r="O259" i="1"/>
  <c r="V259" i="1" s="1"/>
  <c r="T258" i="1"/>
  <c r="O258" i="1"/>
  <c r="Q258" i="1" s="1"/>
  <c r="R258" i="1" s="1"/>
  <c r="T257" i="1"/>
  <c r="O257" i="1"/>
  <c r="T256" i="1"/>
  <c r="O256" i="1"/>
  <c r="Q256" i="1" s="1"/>
  <c r="R256" i="1" s="1"/>
  <c r="T255" i="1"/>
  <c r="O255" i="1"/>
  <c r="V255" i="1" s="1"/>
  <c r="T254" i="1"/>
  <c r="O254" i="1"/>
  <c r="V254" i="1" s="1"/>
  <c r="T253" i="1"/>
  <c r="O253" i="1"/>
  <c r="Q253" i="1" s="1"/>
  <c r="R253" i="1" s="1"/>
  <c r="T252" i="1"/>
  <c r="O252" i="1"/>
  <c r="V252" i="1" s="1"/>
  <c r="T251" i="1"/>
  <c r="O251" i="1"/>
  <c r="V251" i="1" s="1"/>
  <c r="T250" i="1"/>
  <c r="O250" i="1"/>
  <c r="V250" i="1" s="1"/>
  <c r="T249" i="1"/>
  <c r="O249" i="1"/>
  <c r="Q249" i="1" s="1"/>
  <c r="R249" i="1" s="1"/>
  <c r="T248" i="1"/>
  <c r="O248" i="1"/>
  <c r="V248" i="1" s="1"/>
  <c r="T247" i="1"/>
  <c r="O247" i="1"/>
  <c r="T246" i="1"/>
  <c r="O246" i="1"/>
  <c r="T245" i="1"/>
  <c r="O245" i="1"/>
  <c r="V245" i="1" s="1"/>
  <c r="T244" i="1"/>
  <c r="O244" i="1"/>
  <c r="V244" i="1" s="1"/>
  <c r="T243" i="1"/>
  <c r="O243" i="1"/>
  <c r="T242" i="1"/>
  <c r="O242" i="1"/>
  <c r="V242" i="1" s="1"/>
  <c r="T241" i="1"/>
  <c r="O241" i="1"/>
  <c r="T240" i="1"/>
  <c r="O240" i="1"/>
  <c r="V240" i="1" s="1"/>
  <c r="T239" i="1"/>
  <c r="O239" i="1"/>
  <c r="V239" i="1" s="1"/>
  <c r="T238" i="1"/>
  <c r="O238" i="1"/>
  <c r="Q238" i="1" s="1"/>
  <c r="R238" i="1" s="1"/>
  <c r="T237" i="1"/>
  <c r="O237" i="1"/>
  <c r="V237" i="1" s="1"/>
  <c r="T236" i="1"/>
  <c r="O236" i="1"/>
  <c r="T235" i="1"/>
  <c r="O235" i="1"/>
  <c r="V235" i="1" s="1"/>
  <c r="T234" i="1"/>
  <c r="O234" i="1"/>
  <c r="T233" i="1"/>
  <c r="O233" i="1"/>
  <c r="Q233" i="1" s="1"/>
  <c r="R233" i="1" s="1"/>
  <c r="T232" i="1"/>
  <c r="O232" i="1"/>
  <c r="V232" i="1" s="1"/>
  <c r="T231" i="1"/>
  <c r="O231" i="1"/>
  <c r="Q231" i="1" s="1"/>
  <c r="R231" i="1" s="1"/>
  <c r="T230" i="1"/>
  <c r="O230" i="1"/>
  <c r="V230" i="1" s="1"/>
  <c r="T229" i="1"/>
  <c r="O229" i="1"/>
  <c r="V229" i="1" s="1"/>
  <c r="T228" i="1"/>
  <c r="O228" i="1"/>
  <c r="Q228" i="1" s="1"/>
  <c r="R228" i="1" s="1"/>
  <c r="T227" i="1"/>
  <c r="O227" i="1"/>
  <c r="T226" i="1"/>
  <c r="O226" i="1"/>
  <c r="T225" i="1"/>
  <c r="O225" i="1"/>
  <c r="V225" i="1" s="1"/>
  <c r="T224" i="1"/>
  <c r="O224" i="1"/>
  <c r="T223" i="1"/>
  <c r="O223" i="1"/>
  <c r="T222" i="1"/>
  <c r="O222" i="1"/>
  <c r="V222" i="1" s="1"/>
  <c r="T221" i="1"/>
  <c r="O221" i="1"/>
  <c r="Q221" i="1" s="1"/>
  <c r="R221" i="1" s="1"/>
  <c r="T220" i="1"/>
  <c r="O220" i="1"/>
  <c r="V220" i="1" s="1"/>
  <c r="T219" i="1"/>
  <c r="O219" i="1"/>
  <c r="T218" i="1"/>
  <c r="O218" i="1"/>
  <c r="T217" i="1"/>
  <c r="O217" i="1"/>
  <c r="V217" i="1" s="1"/>
  <c r="T216" i="1"/>
  <c r="O216" i="1"/>
  <c r="T215" i="1"/>
  <c r="O215" i="1"/>
  <c r="T214" i="1"/>
  <c r="O214" i="1"/>
  <c r="V214" i="1" s="1"/>
  <c r="T213" i="1"/>
  <c r="O213" i="1"/>
  <c r="Q213" i="1" s="1"/>
  <c r="R213" i="1" s="1"/>
  <c r="T212" i="1"/>
  <c r="O212" i="1"/>
  <c r="V212" i="1" s="1"/>
  <c r="T211" i="1"/>
  <c r="O211" i="1"/>
  <c r="T210" i="1"/>
  <c r="O210" i="1"/>
  <c r="V210" i="1" s="1"/>
  <c r="T209" i="1"/>
  <c r="O209" i="1"/>
  <c r="T208" i="1"/>
  <c r="O208" i="1"/>
  <c r="T207" i="1"/>
  <c r="O207" i="1"/>
  <c r="T206" i="1"/>
  <c r="O206" i="1"/>
  <c r="T205" i="1"/>
  <c r="O205" i="1"/>
  <c r="V205" i="1" s="1"/>
  <c r="T204" i="1"/>
  <c r="O204" i="1"/>
  <c r="V204" i="1" s="1"/>
  <c r="T203" i="1"/>
  <c r="O203" i="1"/>
  <c r="Q203" i="1" s="1"/>
  <c r="R203" i="1" s="1"/>
  <c r="T202" i="1"/>
  <c r="O202" i="1"/>
  <c r="V202" i="1" s="1"/>
  <c r="T201" i="1"/>
  <c r="O201" i="1"/>
  <c r="T200" i="1"/>
  <c r="O200" i="1"/>
  <c r="V200" i="1" s="1"/>
  <c r="T199" i="1"/>
  <c r="O199" i="1"/>
  <c r="T198" i="1"/>
  <c r="O198" i="1"/>
  <c r="V198" i="1" s="1"/>
  <c r="T197" i="1"/>
  <c r="O197" i="1"/>
  <c r="Q197" i="1" s="1"/>
  <c r="R197" i="1" s="1"/>
  <c r="T196" i="1"/>
  <c r="O196" i="1"/>
  <c r="T195" i="1"/>
  <c r="O195" i="1"/>
  <c r="V195" i="1" s="1"/>
  <c r="T194" i="1"/>
  <c r="O194" i="1"/>
  <c r="Q194" i="1" s="1"/>
  <c r="R194" i="1" s="1"/>
  <c r="T193" i="1"/>
  <c r="O193" i="1"/>
  <c r="T192" i="1"/>
  <c r="O192" i="1"/>
  <c r="T191" i="1"/>
  <c r="O191" i="1"/>
  <c r="T190" i="1"/>
  <c r="O190" i="1"/>
  <c r="T189" i="1"/>
  <c r="O189" i="1"/>
  <c r="T188" i="1"/>
  <c r="O188" i="1"/>
  <c r="Q188" i="1" s="1"/>
  <c r="R188" i="1" s="1"/>
  <c r="T187" i="1"/>
  <c r="O187" i="1"/>
  <c r="Q187" i="1" s="1"/>
  <c r="R187" i="1" s="1"/>
  <c r="T186" i="1"/>
  <c r="O186" i="1"/>
  <c r="T185" i="1"/>
  <c r="O185" i="1"/>
  <c r="T184" i="1"/>
  <c r="O184" i="1"/>
  <c r="V184" i="1" s="1"/>
  <c r="T183" i="1"/>
  <c r="O183" i="1"/>
  <c r="T182" i="1"/>
  <c r="O182" i="1"/>
  <c r="V182" i="1" s="1"/>
  <c r="T181" i="1"/>
  <c r="O181" i="1"/>
  <c r="T180" i="1"/>
  <c r="O180" i="1"/>
  <c r="T179" i="1"/>
  <c r="O179" i="1"/>
  <c r="V179" i="1" s="1"/>
  <c r="T178" i="1"/>
  <c r="O178" i="1"/>
  <c r="V178" i="1" s="1"/>
  <c r="T177" i="1"/>
  <c r="O177" i="1"/>
  <c r="T176" i="1"/>
  <c r="O176" i="1"/>
  <c r="Q176" i="1" s="1"/>
  <c r="R176" i="1" s="1"/>
  <c r="T175" i="1"/>
  <c r="O175" i="1"/>
  <c r="V175" i="1" s="1"/>
  <c r="T174" i="1"/>
  <c r="O174" i="1"/>
  <c r="Q174" i="1" s="1"/>
  <c r="R174" i="1" s="1"/>
  <c r="T173" i="1"/>
  <c r="O173" i="1"/>
  <c r="V173" i="1" s="1"/>
  <c r="T172" i="1"/>
  <c r="O172" i="1"/>
  <c r="T171" i="1"/>
  <c r="O171" i="1"/>
  <c r="V171" i="1" s="1"/>
  <c r="T170" i="1"/>
  <c r="O170" i="1"/>
  <c r="T169" i="1"/>
  <c r="O169" i="1"/>
  <c r="V169" i="1" s="1"/>
  <c r="T168" i="1"/>
  <c r="O168" i="1"/>
  <c r="T167" i="1"/>
  <c r="O167" i="1"/>
  <c r="T166" i="1"/>
  <c r="O166" i="1"/>
  <c r="T165" i="1"/>
  <c r="O165" i="1"/>
  <c r="V165" i="1" s="1"/>
  <c r="T164" i="1"/>
  <c r="O164" i="1"/>
  <c r="T163" i="1"/>
  <c r="O163" i="1"/>
  <c r="T162" i="1"/>
  <c r="O162" i="1"/>
  <c r="V162" i="1" s="1"/>
  <c r="T161" i="1"/>
  <c r="O161" i="1"/>
  <c r="T160" i="1"/>
  <c r="O160" i="1"/>
  <c r="V160" i="1" s="1"/>
  <c r="T159" i="1"/>
  <c r="O159" i="1"/>
  <c r="T158" i="1"/>
  <c r="O158" i="1"/>
  <c r="V158" i="1" s="1"/>
  <c r="T157" i="1"/>
  <c r="O157" i="1"/>
  <c r="T156" i="1"/>
  <c r="O156" i="1"/>
  <c r="T155" i="1"/>
  <c r="O155" i="1"/>
  <c r="T154" i="1"/>
  <c r="O154" i="1"/>
  <c r="T153" i="1"/>
  <c r="O153" i="1"/>
  <c r="T152" i="1"/>
  <c r="O152" i="1"/>
  <c r="T151" i="1"/>
  <c r="O151" i="1"/>
  <c r="T150" i="1"/>
  <c r="O150" i="1"/>
  <c r="V150" i="1" s="1"/>
  <c r="T149" i="1"/>
  <c r="O149" i="1"/>
  <c r="V149" i="1" s="1"/>
  <c r="T148" i="1"/>
  <c r="O148" i="1"/>
  <c r="T147" i="1"/>
  <c r="O147" i="1"/>
  <c r="V147" i="1" s="1"/>
  <c r="T146" i="1"/>
  <c r="O146" i="1"/>
  <c r="V146" i="1" s="1"/>
  <c r="T145" i="1"/>
  <c r="O145" i="1"/>
  <c r="T144" i="1"/>
  <c r="O144" i="1"/>
  <c r="T143" i="1"/>
  <c r="O143" i="1"/>
  <c r="T142" i="1"/>
  <c r="O142" i="1"/>
  <c r="T141" i="1"/>
  <c r="O141" i="1"/>
  <c r="T140" i="1"/>
  <c r="O140" i="1"/>
  <c r="Q140" i="1" s="1"/>
  <c r="T139" i="1"/>
  <c r="O139" i="1"/>
  <c r="V139" i="1" s="1"/>
  <c r="T138" i="1"/>
  <c r="O138" i="1"/>
  <c r="Q138" i="1" s="1"/>
  <c r="R138" i="1" s="1"/>
  <c r="T137" i="1"/>
  <c r="O137" i="1"/>
  <c r="T136" i="1"/>
  <c r="O136" i="1"/>
  <c r="V136" i="1" s="1"/>
  <c r="T135" i="1"/>
  <c r="O135" i="1"/>
  <c r="T134" i="1"/>
  <c r="O134" i="1"/>
  <c r="T133" i="1"/>
  <c r="O133" i="1"/>
  <c r="T132" i="1"/>
  <c r="O132" i="1"/>
  <c r="T131" i="1"/>
  <c r="O131" i="1"/>
  <c r="Q131" i="1" s="1"/>
  <c r="R131" i="1" s="1"/>
  <c r="T130" i="1"/>
  <c r="O130" i="1"/>
  <c r="Q130" i="1" s="1"/>
  <c r="T129" i="1"/>
  <c r="O129" i="1"/>
  <c r="V129" i="1" s="1"/>
  <c r="T128" i="1"/>
  <c r="O128" i="1"/>
  <c r="V128" i="1" s="1"/>
  <c r="T127" i="1"/>
  <c r="O127" i="1"/>
  <c r="T126" i="1"/>
  <c r="O126" i="1"/>
  <c r="V126" i="1" s="1"/>
  <c r="T125" i="1"/>
  <c r="O125" i="1"/>
  <c r="U125" i="1" s="1"/>
  <c r="T124" i="1"/>
  <c r="O124" i="1"/>
  <c r="T123" i="1"/>
  <c r="O123" i="1"/>
  <c r="T122" i="1"/>
  <c r="O122" i="1"/>
  <c r="V122" i="1" s="1"/>
  <c r="T121" i="1"/>
  <c r="O121" i="1"/>
  <c r="T120" i="1"/>
  <c r="O120" i="1"/>
  <c r="V120" i="1" s="1"/>
  <c r="T119" i="1"/>
  <c r="O119" i="1"/>
  <c r="V119" i="1" s="1"/>
  <c r="T118" i="1"/>
  <c r="O118" i="1"/>
  <c r="Q118" i="1" s="1"/>
  <c r="R118" i="1" s="1"/>
  <c r="T117" i="1"/>
  <c r="O117" i="1"/>
  <c r="V117" i="1" s="1"/>
  <c r="T116" i="1"/>
  <c r="O116" i="1"/>
  <c r="V116" i="1" s="1"/>
  <c r="T115" i="1"/>
  <c r="O115" i="1"/>
  <c r="T114" i="1"/>
  <c r="O114" i="1"/>
  <c r="Q114" i="1" s="1"/>
  <c r="R114" i="1" s="1"/>
  <c r="T113" i="1"/>
  <c r="O113" i="1"/>
  <c r="T112" i="1"/>
  <c r="O112" i="1"/>
  <c r="Q112" i="1" s="1"/>
  <c r="T111" i="1"/>
  <c r="O111" i="1"/>
  <c r="Q111" i="1" s="1"/>
  <c r="R111" i="1" s="1"/>
  <c r="T110" i="1"/>
  <c r="O110" i="1"/>
  <c r="V110" i="1" s="1"/>
  <c r="T109" i="1"/>
  <c r="O109" i="1"/>
  <c r="V109" i="1" s="1"/>
  <c r="T108" i="1"/>
  <c r="O108" i="1"/>
  <c r="V108" i="1" s="1"/>
  <c r="T107" i="1"/>
  <c r="O107" i="1"/>
  <c r="V107" i="1" s="1"/>
  <c r="T106" i="1"/>
  <c r="O106" i="1"/>
  <c r="V106" i="1" s="1"/>
  <c r="T105" i="1"/>
  <c r="O105" i="1"/>
  <c r="T104" i="1"/>
  <c r="O104" i="1"/>
  <c r="V104" i="1" s="1"/>
  <c r="T103" i="1"/>
  <c r="O103" i="1"/>
  <c r="T102" i="1"/>
  <c r="O102" i="1"/>
  <c r="Q102" i="1" s="1"/>
  <c r="T101" i="1"/>
  <c r="O101" i="1"/>
  <c r="Q101" i="1" s="1"/>
  <c r="R101" i="1" s="1"/>
  <c r="T100" i="1"/>
  <c r="O100" i="1"/>
  <c r="V100" i="1" s="1"/>
  <c r="T99" i="1"/>
  <c r="O99" i="1"/>
  <c r="T98" i="1"/>
  <c r="O98" i="1"/>
  <c r="Q98" i="1" s="1"/>
  <c r="R98" i="1" s="1"/>
  <c r="T97" i="1"/>
  <c r="O97" i="1"/>
  <c r="T96" i="1"/>
  <c r="O96" i="1"/>
  <c r="V96" i="1" s="1"/>
  <c r="T95" i="1"/>
  <c r="O95" i="1"/>
  <c r="T94" i="1"/>
  <c r="O94" i="1"/>
  <c r="V94" i="1" s="1"/>
  <c r="T93" i="1"/>
  <c r="O93" i="1"/>
  <c r="V93" i="1" s="1"/>
  <c r="T92" i="1"/>
  <c r="O92" i="1"/>
  <c r="Q92" i="1" s="1"/>
  <c r="R92" i="1" s="1"/>
  <c r="T91" i="1"/>
  <c r="O91" i="1"/>
  <c r="Q91" i="1" s="1"/>
  <c r="R91" i="1" s="1"/>
  <c r="T90" i="1"/>
  <c r="O90" i="1"/>
  <c r="Q90" i="1" s="1"/>
  <c r="R90" i="1" s="1"/>
  <c r="T89" i="1"/>
  <c r="O89" i="1"/>
  <c r="Q89" i="1" s="1"/>
  <c r="R89" i="1" s="1"/>
  <c r="T88" i="1"/>
  <c r="O88" i="1"/>
  <c r="V88" i="1" s="1"/>
  <c r="T87" i="1"/>
  <c r="O87" i="1"/>
  <c r="T86" i="1"/>
  <c r="O86" i="1"/>
  <c r="T85" i="1"/>
  <c r="O85" i="1"/>
  <c r="T84" i="1"/>
  <c r="O84" i="1"/>
  <c r="T83" i="1"/>
  <c r="O83" i="1"/>
  <c r="T82" i="1"/>
  <c r="O82" i="1"/>
  <c r="V82" i="1" s="1"/>
  <c r="T81" i="1"/>
  <c r="O81" i="1"/>
  <c r="Q81" i="1" s="1"/>
  <c r="R81" i="1" s="1"/>
  <c r="T80" i="1"/>
  <c r="O80" i="1"/>
  <c r="V80" i="1" s="1"/>
  <c r="T79" i="1"/>
  <c r="O79" i="1"/>
  <c r="T78" i="1"/>
  <c r="O78" i="1"/>
  <c r="V78" i="1" s="1"/>
  <c r="T77" i="1"/>
  <c r="O77" i="1"/>
  <c r="T76" i="1"/>
  <c r="O76" i="1"/>
  <c r="V76" i="1" s="1"/>
  <c r="T75" i="1"/>
  <c r="O75" i="1"/>
  <c r="Q75" i="1" s="1"/>
  <c r="R75" i="1" s="1"/>
  <c r="T74" i="1"/>
  <c r="O74" i="1"/>
  <c r="T73" i="1"/>
  <c r="O73" i="1"/>
  <c r="V73" i="1" s="1"/>
  <c r="T72" i="1"/>
  <c r="O72" i="1"/>
  <c r="T71" i="1"/>
  <c r="O71" i="1"/>
  <c r="Q71" i="1" s="1"/>
  <c r="R71" i="1" s="1"/>
  <c r="T70" i="1"/>
  <c r="O70" i="1"/>
  <c r="Q70" i="1" s="1"/>
  <c r="R70" i="1" s="1"/>
  <c r="T69" i="1"/>
  <c r="O69" i="1"/>
  <c r="Q69" i="1" s="1"/>
  <c r="R69" i="1" s="1"/>
  <c r="T68" i="1"/>
  <c r="O68" i="1"/>
  <c r="Q68" i="1" s="1"/>
  <c r="R68" i="1" s="1"/>
  <c r="T67" i="1"/>
  <c r="O67" i="1"/>
  <c r="V67" i="1" s="1"/>
  <c r="T66" i="1"/>
  <c r="O66" i="1"/>
  <c r="V66" i="1" s="1"/>
  <c r="T65" i="1"/>
  <c r="O65" i="1"/>
  <c r="U65" i="1" s="1"/>
  <c r="T64" i="1"/>
  <c r="O64" i="1"/>
  <c r="Q64" i="1" s="1"/>
  <c r="R64" i="1" s="1"/>
  <c r="T63" i="1"/>
  <c r="O63" i="1"/>
  <c r="V63" i="1" s="1"/>
  <c r="T62" i="1"/>
  <c r="O62" i="1"/>
  <c r="Q62" i="1" s="1"/>
  <c r="R62" i="1" s="1"/>
  <c r="T61" i="1"/>
  <c r="O61" i="1"/>
  <c r="Q61" i="1" s="1"/>
  <c r="R61" i="1" s="1"/>
  <c r="T60" i="1"/>
  <c r="O60" i="1"/>
  <c r="V60" i="1" s="1"/>
  <c r="T59" i="1"/>
  <c r="O59" i="1"/>
  <c r="Q59" i="1" s="1"/>
  <c r="R59" i="1" s="1"/>
  <c r="T58" i="1"/>
  <c r="O58" i="1"/>
  <c r="T57" i="1"/>
  <c r="O57" i="1"/>
  <c r="V57" i="1" s="1"/>
  <c r="T56" i="1"/>
  <c r="O56" i="1"/>
  <c r="T55" i="1"/>
  <c r="O55" i="1"/>
  <c r="V55" i="1" s="1"/>
  <c r="T54" i="1"/>
  <c r="O54" i="1"/>
  <c r="Q54" i="1" s="1"/>
  <c r="R54" i="1" s="1"/>
  <c r="T53" i="1"/>
  <c r="O53" i="1"/>
  <c r="V53" i="1" s="1"/>
  <c r="T52" i="1"/>
  <c r="O52" i="1"/>
  <c r="T51" i="1"/>
  <c r="O51" i="1"/>
  <c r="Q51" i="1" s="1"/>
  <c r="R51" i="1" s="1"/>
  <c r="T50" i="1"/>
  <c r="O50" i="1"/>
  <c r="V50" i="1" s="1"/>
  <c r="T49" i="1"/>
  <c r="O49" i="1"/>
  <c r="T48" i="1"/>
  <c r="O48" i="1"/>
  <c r="V48" i="1" s="1"/>
  <c r="T47" i="1"/>
  <c r="O47" i="1"/>
  <c r="T46" i="1"/>
  <c r="O46" i="1"/>
  <c r="V46" i="1" s="1"/>
  <c r="T45" i="1"/>
  <c r="O45" i="1"/>
  <c r="T44" i="1"/>
  <c r="O44" i="1"/>
  <c r="Q44" i="1" s="1"/>
  <c r="R44" i="1" s="1"/>
  <c r="T43" i="1"/>
  <c r="O43" i="1"/>
  <c r="V43" i="1" s="1"/>
  <c r="T42" i="1"/>
  <c r="O42" i="1"/>
  <c r="T41" i="1"/>
  <c r="O41" i="1"/>
  <c r="V41" i="1" s="1"/>
  <c r="T40" i="1"/>
  <c r="O40" i="1"/>
  <c r="V40" i="1" s="1"/>
  <c r="T39" i="1"/>
  <c r="O39" i="1"/>
  <c r="Q39" i="1" s="1"/>
  <c r="R39" i="1" s="1"/>
  <c r="T38" i="1"/>
  <c r="O38" i="1"/>
  <c r="T37" i="1"/>
  <c r="O37" i="1"/>
  <c r="Q37" i="1" s="1"/>
  <c r="T36" i="1"/>
  <c r="O36" i="1"/>
  <c r="V36" i="1" s="1"/>
  <c r="T35" i="1"/>
  <c r="O35" i="1"/>
  <c r="V35" i="1" s="1"/>
  <c r="T34" i="1"/>
  <c r="O34" i="1"/>
  <c r="T33" i="1"/>
  <c r="O33" i="1"/>
  <c r="V33" i="1" s="1"/>
  <c r="T32" i="1"/>
  <c r="O32" i="1"/>
  <c r="T31" i="1"/>
  <c r="O31" i="1"/>
  <c r="Q31" i="1" s="1"/>
  <c r="R31" i="1" s="1"/>
  <c r="T30" i="1"/>
  <c r="O30" i="1"/>
  <c r="V30" i="1" s="1"/>
  <c r="T29" i="1"/>
  <c r="O29" i="1"/>
  <c r="T28" i="1"/>
  <c r="O28" i="1"/>
  <c r="Q28" i="1" s="1"/>
  <c r="R28" i="1" s="1"/>
  <c r="T27" i="1"/>
  <c r="O27" i="1"/>
  <c r="V27" i="1" s="1"/>
  <c r="T26" i="1"/>
  <c r="O26" i="1"/>
  <c r="V26" i="1" s="1"/>
  <c r="T25" i="1"/>
  <c r="O25" i="1"/>
  <c r="Q25" i="1" s="1"/>
  <c r="R25" i="1" s="1"/>
  <c r="T24" i="1"/>
  <c r="O24" i="1"/>
  <c r="Q24" i="1" s="1"/>
  <c r="R24" i="1" s="1"/>
  <c r="T23" i="1"/>
  <c r="O23" i="1"/>
  <c r="V23" i="1" s="1"/>
  <c r="T22" i="1"/>
  <c r="O22" i="1"/>
  <c r="T21" i="1"/>
  <c r="O21" i="1"/>
  <c r="Q21" i="1" s="1"/>
  <c r="R21" i="1" s="1"/>
  <c r="T20" i="1"/>
  <c r="O20" i="1"/>
  <c r="V20" i="1" s="1"/>
  <c r="T19" i="1"/>
  <c r="O19" i="1"/>
  <c r="V19" i="1" s="1"/>
  <c r="T18" i="1"/>
  <c r="O18" i="1"/>
  <c r="T17" i="1"/>
  <c r="O17" i="1"/>
  <c r="Q17" i="1" s="1"/>
  <c r="R17" i="1" s="1"/>
  <c r="T16" i="1"/>
  <c r="O16" i="1"/>
  <c r="Q16" i="1" s="1"/>
  <c r="R16" i="1" s="1"/>
  <c r="T15" i="1"/>
  <c r="O15" i="1"/>
  <c r="T14" i="1"/>
  <c r="O14" i="1"/>
  <c r="V14" i="1" s="1"/>
  <c r="T13" i="1"/>
  <c r="O13" i="1"/>
  <c r="V13" i="1" s="1"/>
  <c r="T12" i="1"/>
  <c r="O12" i="1"/>
  <c r="V12" i="1" s="1"/>
  <c r="T11" i="1"/>
  <c r="O11" i="1"/>
  <c r="V11" i="1" s="1"/>
  <c r="T10" i="1"/>
  <c r="O10" i="1"/>
  <c r="V10" i="1" s="1"/>
  <c r="T9" i="1"/>
  <c r="O9" i="1"/>
  <c r="V9" i="1" s="1"/>
  <c r="U263" i="1" l="1"/>
  <c r="U255" i="1"/>
  <c r="U244" i="1"/>
  <c r="U212" i="1"/>
  <c r="U134" i="1"/>
  <c r="U262" i="1"/>
  <c r="U180" i="1"/>
  <c r="V138" i="1"/>
  <c r="W138" i="1" s="1"/>
  <c r="U50" i="1"/>
  <c r="V140" i="1"/>
  <c r="W140" i="1" s="1"/>
  <c r="U210" i="1"/>
  <c r="U121" i="1"/>
  <c r="U176" i="1"/>
  <c r="U164" i="1"/>
  <c r="Q202" i="1"/>
  <c r="R202" i="1" s="1"/>
  <c r="U237" i="1"/>
  <c r="U225" i="1"/>
  <c r="V272" i="1"/>
  <c r="W272" i="1" s="1"/>
  <c r="U178" i="1"/>
  <c r="U183" i="1"/>
  <c r="U270" i="1"/>
  <c r="U194" i="1"/>
  <c r="V275" i="1"/>
  <c r="W275" i="1" s="1"/>
  <c r="U23" i="1"/>
  <c r="Q33" i="1"/>
  <c r="R33" i="1" s="1"/>
  <c r="U21" i="1"/>
  <c r="U107" i="1"/>
  <c r="U131" i="1"/>
  <c r="U148" i="1"/>
  <c r="U153" i="1"/>
  <c r="V21" i="1"/>
  <c r="W21" i="1" s="1"/>
  <c r="V70" i="1"/>
  <c r="W70" i="1" s="1"/>
  <c r="U173" i="1"/>
  <c r="U195" i="1"/>
  <c r="U51" i="1"/>
  <c r="Q122" i="1"/>
  <c r="W122" i="1" s="1"/>
  <c r="U66" i="1"/>
  <c r="U88" i="1"/>
  <c r="U98" i="1"/>
  <c r="U122" i="1"/>
  <c r="V17" i="1"/>
  <c r="W17" i="1" s="1"/>
  <c r="V98" i="1"/>
  <c r="W98" i="1" s="1"/>
  <c r="U113" i="1"/>
  <c r="U120" i="1"/>
  <c r="V59" i="1"/>
  <c r="W59" i="1" s="1"/>
  <c r="U69" i="1"/>
  <c r="U71" i="1"/>
  <c r="U96" i="1"/>
  <c r="U118" i="1"/>
  <c r="U205" i="1"/>
  <c r="U57" i="1"/>
  <c r="V69" i="1"/>
  <c r="W69" i="1" s="1"/>
  <c r="V118" i="1"/>
  <c r="W118" i="1" s="1"/>
  <c r="U162" i="1"/>
  <c r="U167" i="1"/>
  <c r="U213" i="1"/>
  <c r="U235" i="1"/>
  <c r="U165" i="1"/>
  <c r="U185" i="1"/>
  <c r="U233" i="1"/>
  <c r="V233" i="1"/>
  <c r="W233" i="1" s="1"/>
  <c r="Q173" i="1"/>
  <c r="R173" i="1" s="1"/>
  <c r="V185" i="1"/>
  <c r="U190" i="1"/>
  <c r="Q195" i="1"/>
  <c r="R195" i="1" s="1"/>
  <c r="U204" i="1"/>
  <c r="U248" i="1"/>
  <c r="Q260" i="1"/>
  <c r="R260" i="1" s="1"/>
  <c r="U260" i="1"/>
  <c r="Q270" i="1"/>
  <c r="U276" i="1"/>
  <c r="U181" i="1"/>
  <c r="Q251" i="1"/>
  <c r="R251" i="1" s="1"/>
  <c r="U272" i="1"/>
  <c r="Q38" i="1"/>
  <c r="R38" i="1" s="1"/>
  <c r="V38" i="1"/>
  <c r="Q22" i="1"/>
  <c r="R22" i="1" s="1"/>
  <c r="V22" i="1"/>
  <c r="Q29" i="1"/>
  <c r="R29" i="1" s="1"/>
  <c r="V29" i="1"/>
  <c r="U62" i="1"/>
  <c r="Q20" i="1"/>
  <c r="R20" i="1" s="1"/>
  <c r="U22" i="1"/>
  <c r="V62" i="1"/>
  <c r="W62" i="1" s="1"/>
  <c r="V112" i="1"/>
  <c r="W112" i="1" s="1"/>
  <c r="Q11" i="1"/>
  <c r="R11" i="1" s="1"/>
  <c r="U60" i="1"/>
  <c r="V141" i="1"/>
  <c r="Q141" i="1"/>
  <c r="R141" i="1" s="1"/>
  <c r="U11" i="1"/>
  <c r="Q41" i="1"/>
  <c r="R41" i="1" s="1"/>
  <c r="U103" i="1"/>
  <c r="Q108" i="1"/>
  <c r="R108" i="1" s="1"/>
  <c r="Q158" i="1"/>
  <c r="R158" i="1" s="1"/>
  <c r="U39" i="1"/>
  <c r="U41" i="1"/>
  <c r="Q56" i="1"/>
  <c r="R56" i="1" s="1"/>
  <c r="V56" i="1"/>
  <c r="U101" i="1"/>
  <c r="Q132" i="1"/>
  <c r="R132" i="1" s="1"/>
  <c r="V132" i="1"/>
  <c r="V137" i="1"/>
  <c r="Q137" i="1"/>
  <c r="U158" i="1"/>
  <c r="Q30" i="1"/>
  <c r="R30" i="1" s="1"/>
  <c r="V39" i="1"/>
  <c r="W39" i="1" s="1"/>
  <c r="Q49" i="1"/>
  <c r="R49" i="1" s="1"/>
  <c r="V49" i="1"/>
  <c r="V101" i="1"/>
  <c r="W101" i="1" s="1"/>
  <c r="U127" i="1"/>
  <c r="U163" i="1"/>
  <c r="U28" i="1"/>
  <c r="U30" i="1"/>
  <c r="U49" i="1"/>
  <c r="Q97" i="1"/>
  <c r="R97" i="1" s="1"/>
  <c r="V97" i="1"/>
  <c r="Q161" i="1"/>
  <c r="R161" i="1" s="1"/>
  <c r="V161" i="1"/>
  <c r="Q185" i="1"/>
  <c r="R185" i="1" s="1"/>
  <c r="Q26" i="1"/>
  <c r="R26" i="1" s="1"/>
  <c r="V28" i="1"/>
  <c r="W28" i="1" s="1"/>
  <c r="Q73" i="1"/>
  <c r="R73" i="1" s="1"/>
  <c r="Q95" i="1"/>
  <c r="R95" i="1" s="1"/>
  <c r="V95" i="1"/>
  <c r="U187" i="1"/>
  <c r="V192" i="1"/>
  <c r="U192" i="1"/>
  <c r="Q192" i="1"/>
  <c r="R192" i="1" s="1"/>
  <c r="U208" i="1"/>
  <c r="V208" i="1"/>
  <c r="U17" i="1"/>
  <c r="U26" i="1"/>
  <c r="U73" i="1"/>
  <c r="Q88" i="1"/>
  <c r="R88" i="1" s="1"/>
  <c r="V90" i="1"/>
  <c r="W90" i="1" s="1"/>
  <c r="U95" i="1"/>
  <c r="Q121" i="1"/>
  <c r="R121" i="1" s="1"/>
  <c r="V121" i="1"/>
  <c r="V187" i="1"/>
  <c r="W187" i="1" s="1"/>
  <c r="Q148" i="1"/>
  <c r="R148" i="1" s="1"/>
  <c r="V148" i="1"/>
  <c r="U197" i="1"/>
  <c r="V197" i="1"/>
  <c r="W197" i="1" s="1"/>
  <c r="Q243" i="1"/>
  <c r="R243" i="1" s="1"/>
  <c r="V243" i="1"/>
  <c r="U214" i="1"/>
  <c r="U238" i="1"/>
  <c r="Q217" i="1"/>
  <c r="W217" i="1" s="1"/>
  <c r="V215" i="1"/>
  <c r="U215" i="1"/>
  <c r="Q255" i="1"/>
  <c r="R255" i="1" s="1"/>
  <c r="U81" i="1"/>
  <c r="U108" i="1"/>
  <c r="U161" i="1"/>
  <c r="U177" i="1"/>
  <c r="U29" i="1"/>
  <c r="U33" i="1"/>
  <c r="U56" i="1"/>
  <c r="U123" i="1"/>
  <c r="Q128" i="1"/>
  <c r="R128" i="1" s="1"/>
  <c r="U137" i="1"/>
  <c r="U141" i="1"/>
  <c r="Q150" i="1"/>
  <c r="R150" i="1" s="1"/>
  <c r="Q14" i="1"/>
  <c r="R14" i="1" s="1"/>
  <c r="U31" i="1"/>
  <c r="Q40" i="1"/>
  <c r="R40" i="1" s="1"/>
  <c r="U63" i="1"/>
  <c r="Q104" i="1"/>
  <c r="R104" i="1" s="1"/>
  <c r="U128" i="1"/>
  <c r="U150" i="1"/>
  <c r="U166" i="1"/>
  <c r="Q10" i="1"/>
  <c r="R10" i="1" s="1"/>
  <c r="U14" i="1"/>
  <c r="U36" i="1"/>
  <c r="U40" i="1"/>
  <c r="V54" i="1"/>
  <c r="W54" i="1" s="1"/>
  <c r="U61" i="1"/>
  <c r="U68" i="1"/>
  <c r="U102" i="1"/>
  <c r="Q171" i="1"/>
  <c r="R171" i="1" s="1"/>
  <c r="Q182" i="1"/>
  <c r="R182" i="1" s="1"/>
  <c r="U186" i="1"/>
  <c r="U188" i="1"/>
  <c r="U10" i="1"/>
  <c r="Q66" i="1"/>
  <c r="R66" i="1" s="1"/>
  <c r="V68" i="1"/>
  <c r="W68" i="1" s="1"/>
  <c r="U70" i="1"/>
  <c r="Q96" i="1"/>
  <c r="R96" i="1" s="1"/>
  <c r="V102" i="1"/>
  <c r="W102" i="1" s="1"/>
  <c r="V111" i="1"/>
  <c r="W111" i="1" s="1"/>
  <c r="U124" i="1"/>
  <c r="Q169" i="1"/>
  <c r="R169" i="1" s="1"/>
  <c r="U171" i="1"/>
  <c r="Q178" i="1"/>
  <c r="R178" i="1" s="1"/>
  <c r="U182" i="1"/>
  <c r="V188" i="1"/>
  <c r="W188" i="1" s="1"/>
  <c r="Q237" i="1"/>
  <c r="W237" i="1" s="1"/>
  <c r="U249" i="1"/>
  <c r="U269" i="1"/>
  <c r="U273" i="1"/>
  <c r="U275" i="1"/>
  <c r="U277" i="1"/>
  <c r="U279" i="1"/>
  <c r="U240" i="1"/>
  <c r="U247" i="1"/>
  <c r="V269" i="1"/>
  <c r="W269" i="1" s="1"/>
  <c r="Q265" i="1"/>
  <c r="W265" i="1" s="1"/>
  <c r="U267" i="1"/>
  <c r="U254" i="1"/>
  <c r="U256" i="1"/>
  <c r="U265" i="1"/>
  <c r="Q282" i="1"/>
  <c r="R282" i="1" s="1"/>
  <c r="U243" i="1"/>
  <c r="Q250" i="1"/>
  <c r="R250" i="1" s="1"/>
  <c r="Q252" i="1"/>
  <c r="R252" i="1" s="1"/>
  <c r="U261" i="1"/>
  <c r="Q278" i="1"/>
  <c r="R278" i="1" s="1"/>
  <c r="U282" i="1"/>
  <c r="U198" i="1"/>
  <c r="U200" i="1"/>
  <c r="U202" i="1"/>
  <c r="Q204" i="1"/>
  <c r="R204" i="1" s="1"/>
  <c r="U278" i="1"/>
  <c r="V34" i="1"/>
  <c r="Q34" i="1"/>
  <c r="R34" i="1" s="1"/>
  <c r="V151" i="1"/>
  <c r="Q151" i="1"/>
  <c r="R151" i="1" s="1"/>
  <c r="V86" i="1"/>
  <c r="Q86" i="1"/>
  <c r="R86" i="1" s="1"/>
  <c r="Q156" i="1"/>
  <c r="R156" i="1" s="1"/>
  <c r="V156" i="1"/>
  <c r="Q32" i="1"/>
  <c r="R32" i="1" s="1"/>
  <c r="V32" i="1"/>
  <c r="V74" i="1"/>
  <c r="Q74" i="1"/>
  <c r="R74" i="1" s="1"/>
  <c r="Q48" i="1"/>
  <c r="R48" i="1" s="1"/>
  <c r="Q72" i="1"/>
  <c r="R72" i="1" s="1"/>
  <c r="V72" i="1"/>
  <c r="Q77" i="1"/>
  <c r="R77" i="1" s="1"/>
  <c r="V77" i="1"/>
  <c r="V152" i="1"/>
  <c r="Q152" i="1"/>
  <c r="R152" i="1" s="1"/>
  <c r="Q15" i="1"/>
  <c r="R15" i="1" s="1"/>
  <c r="V15" i="1"/>
  <c r="U9" i="1"/>
  <c r="Q46" i="1"/>
  <c r="R46" i="1" s="1"/>
  <c r="U77" i="1"/>
  <c r="U15" i="1"/>
  <c r="Q18" i="1"/>
  <c r="R18" i="1" s="1"/>
  <c r="V18" i="1"/>
  <c r="Q42" i="1"/>
  <c r="R42" i="1" s="1"/>
  <c r="V42" i="1"/>
  <c r="Q85" i="1"/>
  <c r="R85" i="1" s="1"/>
  <c r="V85" i="1"/>
  <c r="V47" i="1"/>
  <c r="Q47" i="1"/>
  <c r="R47" i="1" s="1"/>
  <c r="V58" i="1"/>
  <c r="Q58" i="1"/>
  <c r="R58" i="1" s="1"/>
  <c r="V83" i="1"/>
  <c r="Q83" i="1"/>
  <c r="R83" i="1" s="1"/>
  <c r="V142" i="1"/>
  <c r="Q142" i="1"/>
  <c r="R142" i="1" s="1"/>
  <c r="U19" i="1"/>
  <c r="U45" i="1"/>
  <c r="V45" i="1"/>
  <c r="Q84" i="1"/>
  <c r="R84" i="1" s="1"/>
  <c r="V84" i="1"/>
  <c r="W84" i="1" s="1"/>
  <c r="Q99" i="1"/>
  <c r="R99" i="1" s="1"/>
  <c r="V99" i="1"/>
  <c r="U154" i="1"/>
  <c r="Q154" i="1"/>
  <c r="R154" i="1" s="1"/>
  <c r="U156" i="1"/>
  <c r="Q23" i="1"/>
  <c r="W23" i="1" s="1"/>
  <c r="U25" i="1"/>
  <c r="Q27" i="1"/>
  <c r="R27" i="1" s="1"/>
  <c r="Q36" i="1"/>
  <c r="W36" i="1" s="1"/>
  <c r="Q43" i="1"/>
  <c r="W43" i="1" s="1"/>
  <c r="U47" i="1"/>
  <c r="Q63" i="1"/>
  <c r="W63" i="1" s="1"/>
  <c r="Q67" i="1"/>
  <c r="R67" i="1" s="1"/>
  <c r="Q76" i="1"/>
  <c r="R76" i="1" s="1"/>
  <c r="Q82" i="1"/>
  <c r="R82" i="1" s="1"/>
  <c r="U86" i="1"/>
  <c r="Q110" i="1"/>
  <c r="R110" i="1" s="1"/>
  <c r="Q147" i="1"/>
  <c r="Q160" i="1"/>
  <c r="R160" i="1" s="1"/>
  <c r="Q219" i="1"/>
  <c r="R219" i="1" s="1"/>
  <c r="V219" i="1"/>
  <c r="V25" i="1"/>
  <c r="W25" i="1" s="1"/>
  <c r="U34" i="1"/>
  <c r="Q53" i="1"/>
  <c r="R53" i="1" s="1"/>
  <c r="U58" i="1"/>
  <c r="V61" i="1"/>
  <c r="W61" i="1" s="1"/>
  <c r="V65" i="1"/>
  <c r="U74" i="1"/>
  <c r="U76" i="1"/>
  <c r="Q78" i="1"/>
  <c r="U99" i="1"/>
  <c r="U110" i="1"/>
  <c r="V154" i="1"/>
  <c r="U160" i="1"/>
  <c r="V180" i="1"/>
  <c r="Q180" i="1"/>
  <c r="R180" i="1" s="1"/>
  <c r="Q184" i="1"/>
  <c r="R184" i="1" s="1"/>
  <c r="U27" i="1"/>
  <c r="U43" i="1"/>
  <c r="U53" i="1"/>
  <c r="Q57" i="1"/>
  <c r="Q60" i="1"/>
  <c r="R60" i="1" s="1"/>
  <c r="U67" i="1"/>
  <c r="U78" i="1"/>
  <c r="U90" i="1"/>
  <c r="V92" i="1"/>
  <c r="W92" i="1" s="1"/>
  <c r="Q107" i="1"/>
  <c r="R107" i="1" s="1"/>
  <c r="U112" i="1"/>
  <c r="Q120" i="1"/>
  <c r="W120" i="1" s="1"/>
  <c r="V131" i="1"/>
  <c r="W131" i="1" s="1"/>
  <c r="U133" i="1"/>
  <c r="U147" i="1"/>
  <c r="Q162" i="1"/>
  <c r="R162" i="1" s="1"/>
  <c r="U170" i="1"/>
  <c r="V224" i="1"/>
  <c r="Q224" i="1"/>
  <c r="R224" i="1" s="1"/>
  <c r="Q206" i="1"/>
  <c r="R206" i="1" s="1"/>
  <c r="V206" i="1"/>
  <c r="Q226" i="1"/>
  <c r="R226" i="1" s="1"/>
  <c r="V226" i="1"/>
  <c r="Q246" i="1"/>
  <c r="R246" i="1" s="1"/>
  <c r="V246" i="1"/>
  <c r="U224" i="1"/>
  <c r="U85" i="1"/>
  <c r="U143" i="1"/>
  <c r="U42" i="1"/>
  <c r="U46" i="1"/>
  <c r="Q100" i="1"/>
  <c r="R100" i="1" s="1"/>
  <c r="Q117" i="1"/>
  <c r="Q124" i="1"/>
  <c r="R124" i="1" s="1"/>
  <c r="U151" i="1"/>
  <c r="U157" i="1"/>
  <c r="Q175" i="1"/>
  <c r="R175" i="1" s="1"/>
  <c r="U191" i="1"/>
  <c r="V191" i="1"/>
  <c r="U24" i="1"/>
  <c r="U37" i="1"/>
  <c r="U44" i="1"/>
  <c r="U48" i="1"/>
  <c r="Q52" i="1"/>
  <c r="R52" i="1" s="1"/>
  <c r="V52" i="1"/>
  <c r="U64" i="1"/>
  <c r="U83" i="1"/>
  <c r="U87" i="1"/>
  <c r="Q93" i="1"/>
  <c r="W93" i="1" s="1"/>
  <c r="U117" i="1"/>
  <c r="V130" i="1"/>
  <c r="W130" i="1" s="1"/>
  <c r="Q134" i="1"/>
  <c r="R134" i="1" s="1"/>
  <c r="Q165" i="1"/>
  <c r="Q179" i="1"/>
  <c r="V193" i="1"/>
  <c r="Q193" i="1"/>
  <c r="R193" i="1" s="1"/>
  <c r="Q209" i="1"/>
  <c r="R209" i="1" s="1"/>
  <c r="V209" i="1"/>
  <c r="Q218" i="1"/>
  <c r="R218" i="1" s="1"/>
  <c r="V218" i="1"/>
  <c r="V37" i="1"/>
  <c r="W37" i="1" s="1"/>
  <c r="Q50" i="1"/>
  <c r="R50" i="1" s="1"/>
  <c r="U54" i="1"/>
  <c r="U79" i="1"/>
  <c r="U93" i="1"/>
  <c r="Q106" i="1"/>
  <c r="R106" i="1" s="1"/>
  <c r="U111" i="1"/>
  <c r="V127" i="1"/>
  <c r="Q127" i="1"/>
  <c r="U132" i="1"/>
  <c r="U138" i="1"/>
  <c r="U140" i="1"/>
  <c r="U144" i="1"/>
  <c r="Q144" i="1"/>
  <c r="R144" i="1" s="1"/>
  <c r="V167" i="1"/>
  <c r="Q167" i="1"/>
  <c r="R167" i="1" s="1"/>
  <c r="U193" i="1"/>
  <c r="Q199" i="1"/>
  <c r="R199" i="1" s="1"/>
  <c r="V199" i="1"/>
  <c r="V207" i="1"/>
  <c r="Q207" i="1"/>
  <c r="R207" i="1" s="1"/>
  <c r="U209" i="1"/>
  <c r="Q216" i="1"/>
  <c r="R216" i="1" s="1"/>
  <c r="V216" i="1"/>
  <c r="U218" i="1"/>
  <c r="Q223" i="1"/>
  <c r="R223" i="1" s="1"/>
  <c r="V223" i="1"/>
  <c r="V227" i="1"/>
  <c r="Q227" i="1"/>
  <c r="R227" i="1" s="1"/>
  <c r="V234" i="1"/>
  <c r="U234" i="1"/>
  <c r="Q234" i="1"/>
  <c r="R234" i="1" s="1"/>
  <c r="Q236" i="1"/>
  <c r="R236" i="1" s="1"/>
  <c r="V236" i="1"/>
  <c r="U223" i="1"/>
  <c r="U142" i="1"/>
  <c r="U172" i="1"/>
  <c r="U184" i="1"/>
  <c r="U199" i="1"/>
  <c r="U206" i="1"/>
  <c r="U216" i="1"/>
  <c r="U226" i="1"/>
  <c r="U12" i="1"/>
  <c r="U16" i="1"/>
  <c r="U18" i="1"/>
  <c r="U20" i="1"/>
  <c r="U38" i="1"/>
  <c r="U97" i="1"/>
  <c r="U100" i="1"/>
  <c r="U114" i="1"/>
  <c r="U130" i="1"/>
  <c r="W158" i="1"/>
  <c r="U174" i="1"/>
  <c r="Q208" i="1"/>
  <c r="R208" i="1" s="1"/>
  <c r="Q222" i="1"/>
  <c r="R222" i="1" s="1"/>
  <c r="Q232" i="1"/>
  <c r="R232" i="1" s="1"/>
  <c r="U236" i="1"/>
  <c r="Q242" i="1"/>
  <c r="R242" i="1" s="1"/>
  <c r="Q248" i="1"/>
  <c r="R248" i="1" s="1"/>
  <c r="V253" i="1"/>
  <c r="W253" i="1" s="1"/>
  <c r="U264" i="1"/>
  <c r="U271" i="1"/>
  <c r="U220" i="1"/>
  <c r="U228" i="1"/>
  <c r="U230" i="1"/>
  <c r="V264" i="1"/>
  <c r="W264" i="1" s="1"/>
  <c r="U280" i="1"/>
  <c r="V176" i="1"/>
  <c r="W176" i="1" s="1"/>
  <c r="V194" i="1"/>
  <c r="W194" i="1" s="1"/>
  <c r="V203" i="1"/>
  <c r="W203" i="1" s="1"/>
  <c r="Q205" i="1"/>
  <c r="R205" i="1" s="1"/>
  <c r="Q212" i="1"/>
  <c r="R212" i="1" s="1"/>
  <c r="Q215" i="1"/>
  <c r="R215" i="1" s="1"/>
  <c r="U222" i="1"/>
  <c r="Q225" i="1"/>
  <c r="R225" i="1" s="1"/>
  <c r="V228" i="1"/>
  <c r="W228" i="1" s="1"/>
  <c r="U232" i="1"/>
  <c r="Q235" i="1"/>
  <c r="R235" i="1" s="1"/>
  <c r="U242" i="1"/>
  <c r="Q245" i="1"/>
  <c r="R245" i="1" s="1"/>
  <c r="Q259" i="1"/>
  <c r="R259" i="1" s="1"/>
  <c r="V273" i="1"/>
  <c r="V213" i="1"/>
  <c r="W213" i="1" s="1"/>
  <c r="V238" i="1"/>
  <c r="W238" i="1" s="1"/>
  <c r="U259" i="1"/>
  <c r="U266" i="1"/>
  <c r="U245" i="1"/>
  <c r="U252" i="1"/>
  <c r="V266" i="1"/>
  <c r="W266" i="1" s="1"/>
  <c r="U152" i="1"/>
  <c r="U175" i="1"/>
  <c r="U217" i="1"/>
  <c r="Q244" i="1"/>
  <c r="U207" i="1"/>
  <c r="U227" i="1"/>
  <c r="U281" i="1"/>
  <c r="V249" i="1"/>
  <c r="W249" i="1" s="1"/>
  <c r="U251" i="1"/>
  <c r="Q262" i="1"/>
  <c r="R262" i="1" s="1"/>
  <c r="U246" i="1"/>
  <c r="U253" i="1"/>
  <c r="V256" i="1"/>
  <c r="W256" i="1" s="1"/>
  <c r="V276" i="1"/>
  <c r="W276" i="1" s="1"/>
  <c r="Q280" i="1"/>
  <c r="R280" i="1" s="1"/>
  <c r="R37" i="1"/>
  <c r="Q105" i="1"/>
  <c r="R105" i="1" s="1"/>
  <c r="V105" i="1"/>
  <c r="Q115" i="1"/>
  <c r="R115" i="1" s="1"/>
  <c r="V115" i="1"/>
  <c r="Q135" i="1"/>
  <c r="R135" i="1" s="1"/>
  <c r="V135" i="1"/>
  <c r="Q145" i="1"/>
  <c r="R145" i="1" s="1"/>
  <c r="V145" i="1"/>
  <c r="Q155" i="1"/>
  <c r="R155" i="1" s="1"/>
  <c r="V155" i="1"/>
  <c r="V168" i="1"/>
  <c r="Q168" i="1"/>
  <c r="R168" i="1" s="1"/>
  <c r="Q13" i="1"/>
  <c r="R13" i="1" s="1"/>
  <c r="Q35" i="1"/>
  <c r="R35" i="1" s="1"/>
  <c r="Q55" i="1"/>
  <c r="R55" i="1" s="1"/>
  <c r="Q80" i="1"/>
  <c r="R80" i="1" s="1"/>
  <c r="Q94" i="1"/>
  <c r="R94" i="1" s="1"/>
  <c r="R102" i="1"/>
  <c r="R112" i="1"/>
  <c r="V268" i="1"/>
  <c r="U268" i="1"/>
  <c r="Q268" i="1"/>
  <c r="R268" i="1" s="1"/>
  <c r="Q12" i="1"/>
  <c r="R12" i="1" s="1"/>
  <c r="V16" i="1"/>
  <c r="W16" i="1" s="1"/>
  <c r="V24" i="1"/>
  <c r="W24" i="1" s="1"/>
  <c r="V31" i="1"/>
  <c r="W31" i="1" s="1"/>
  <c r="V44" i="1"/>
  <c r="W44" i="1" s="1"/>
  <c r="V51" i="1"/>
  <c r="W51" i="1" s="1"/>
  <c r="V64" i="1"/>
  <c r="W64" i="1" s="1"/>
  <c r="V71" i="1"/>
  <c r="W71" i="1" s="1"/>
  <c r="V81" i="1"/>
  <c r="W81" i="1" s="1"/>
  <c r="U91" i="1"/>
  <c r="Q164" i="1"/>
  <c r="R164" i="1" s="1"/>
  <c r="U168" i="1"/>
  <c r="V170" i="1"/>
  <c r="Q170" i="1"/>
  <c r="R170" i="1" s="1"/>
  <c r="Q181" i="1"/>
  <c r="R181" i="1" s="1"/>
  <c r="U75" i="1"/>
  <c r="Q79" i="1"/>
  <c r="R79" i="1" s="1"/>
  <c r="V79" i="1"/>
  <c r="U80" i="1"/>
  <c r="U84" i="1"/>
  <c r="Q87" i="1"/>
  <c r="R87" i="1" s="1"/>
  <c r="V87" i="1"/>
  <c r="V91" i="1"/>
  <c r="W91" i="1" s="1"/>
  <c r="U94" i="1"/>
  <c r="U105" i="1"/>
  <c r="U115" i="1"/>
  <c r="U135" i="1"/>
  <c r="U145" i="1"/>
  <c r="U155" i="1"/>
  <c r="V157" i="1"/>
  <c r="Q157" i="1"/>
  <c r="R157" i="1" s="1"/>
  <c r="V172" i="1"/>
  <c r="Q172" i="1"/>
  <c r="R172" i="1" s="1"/>
  <c r="V189" i="1"/>
  <c r="Q189" i="1"/>
  <c r="R189" i="1" s="1"/>
  <c r="U13" i="1"/>
  <c r="U35" i="1"/>
  <c r="U55" i="1"/>
  <c r="V75" i="1"/>
  <c r="W75" i="1" s="1"/>
  <c r="V164" i="1"/>
  <c r="V181" i="1"/>
  <c r="Q125" i="1"/>
  <c r="R125" i="1" s="1"/>
  <c r="V125" i="1"/>
  <c r="Q9" i="1"/>
  <c r="R9" i="1" s="1"/>
  <c r="Q19" i="1"/>
  <c r="R19" i="1" s="1"/>
  <c r="Q177" i="1"/>
  <c r="R177" i="1" s="1"/>
  <c r="V177" i="1"/>
  <c r="Q65" i="1"/>
  <c r="R65" i="1" s="1"/>
  <c r="U104" i="1"/>
  <c r="R130" i="1"/>
  <c r="R140" i="1"/>
  <c r="Q159" i="1"/>
  <c r="R159" i="1" s="1"/>
  <c r="U159" i="1"/>
  <c r="V114" i="1"/>
  <c r="W114" i="1" s="1"/>
  <c r="Q116" i="1"/>
  <c r="R116" i="1" s="1"/>
  <c r="V124" i="1"/>
  <c r="Q126" i="1"/>
  <c r="R126" i="1" s="1"/>
  <c r="V134" i="1"/>
  <c r="Q136" i="1"/>
  <c r="R136" i="1" s="1"/>
  <c r="V144" i="1"/>
  <c r="Q146" i="1"/>
  <c r="R146" i="1" s="1"/>
  <c r="U89" i="1"/>
  <c r="U106" i="1"/>
  <c r="Q109" i="1"/>
  <c r="R109" i="1" s="1"/>
  <c r="U109" i="1"/>
  <c r="U116" i="1"/>
  <c r="Q119" i="1"/>
  <c r="R119" i="1" s="1"/>
  <c r="U119" i="1"/>
  <c r="U126" i="1"/>
  <c r="Q129" i="1"/>
  <c r="R129" i="1" s="1"/>
  <c r="U129" i="1"/>
  <c r="U136" i="1"/>
  <c r="Q139" i="1"/>
  <c r="R139" i="1" s="1"/>
  <c r="U139" i="1"/>
  <c r="U146" i="1"/>
  <c r="Q149" i="1"/>
  <c r="R149" i="1" s="1"/>
  <c r="U149" i="1"/>
  <c r="V174" i="1"/>
  <c r="W174" i="1" s="1"/>
  <c r="Q45" i="1"/>
  <c r="R45" i="1" s="1"/>
  <c r="U32" i="1"/>
  <c r="U52" i="1"/>
  <c r="U59" i="1"/>
  <c r="U72" i="1"/>
  <c r="U82" i="1"/>
  <c r="V89" i="1"/>
  <c r="W89" i="1" s="1"/>
  <c r="V159" i="1"/>
  <c r="U203" i="1"/>
  <c r="V258" i="1"/>
  <c r="W258" i="1" s="1"/>
  <c r="U258" i="1"/>
  <c r="U92" i="1"/>
  <c r="Q103" i="1"/>
  <c r="R103" i="1" s="1"/>
  <c r="V103" i="1"/>
  <c r="Q113" i="1"/>
  <c r="R113" i="1" s="1"/>
  <c r="V113" i="1"/>
  <c r="Q123" i="1"/>
  <c r="R123" i="1" s="1"/>
  <c r="V123" i="1"/>
  <c r="Q133" i="1"/>
  <c r="R133" i="1" s="1"/>
  <c r="V133" i="1"/>
  <c r="Q143" i="1"/>
  <c r="R143" i="1" s="1"/>
  <c r="V143" i="1"/>
  <c r="Q153" i="1"/>
  <c r="R153" i="1" s="1"/>
  <c r="V153" i="1"/>
  <c r="Q163" i="1"/>
  <c r="R163" i="1" s="1"/>
  <c r="V163" i="1"/>
  <c r="Q196" i="1"/>
  <c r="R196" i="1" s="1"/>
  <c r="V196" i="1"/>
  <c r="W250" i="1"/>
  <c r="V274" i="1"/>
  <c r="Q274" i="1"/>
  <c r="R274" i="1" s="1"/>
  <c r="V201" i="1"/>
  <c r="U201" i="1"/>
  <c r="Q183" i="1"/>
  <c r="R183" i="1" s="1"/>
  <c r="V183" i="1"/>
  <c r="Q191" i="1"/>
  <c r="R191" i="1" s="1"/>
  <c r="U196" i="1"/>
  <c r="Q198" i="1"/>
  <c r="R198" i="1" s="1"/>
  <c r="Q201" i="1"/>
  <c r="R201" i="1" s="1"/>
  <c r="Q166" i="1"/>
  <c r="R166" i="1" s="1"/>
  <c r="V166" i="1"/>
  <c r="V221" i="1"/>
  <c r="W221" i="1" s="1"/>
  <c r="U221" i="1"/>
  <c r="V231" i="1"/>
  <c r="W231" i="1" s="1"/>
  <c r="U231" i="1"/>
  <c r="V211" i="1"/>
  <c r="U211" i="1"/>
  <c r="V241" i="1"/>
  <c r="U241" i="1"/>
  <c r="U179" i="1"/>
  <c r="Q186" i="1"/>
  <c r="R186" i="1" s="1"/>
  <c r="V186" i="1"/>
  <c r="V190" i="1"/>
  <c r="Q190" i="1"/>
  <c r="R190" i="1" s="1"/>
  <c r="Q211" i="1"/>
  <c r="R211" i="1" s="1"/>
  <c r="Q241" i="1"/>
  <c r="R241" i="1" s="1"/>
  <c r="Q254" i="1"/>
  <c r="R254" i="1" s="1"/>
  <c r="V261" i="1"/>
  <c r="Q261" i="1"/>
  <c r="R261" i="1" s="1"/>
  <c r="U274" i="1"/>
  <c r="U169" i="1"/>
  <c r="U189" i="1"/>
  <c r="Q200" i="1"/>
  <c r="Q210" i="1"/>
  <c r="Q220" i="1"/>
  <c r="Q230" i="1"/>
  <c r="Q240" i="1"/>
  <c r="U250" i="1"/>
  <c r="W279" i="1"/>
  <c r="Q257" i="1"/>
  <c r="R257" i="1" s="1"/>
  <c r="V257" i="1"/>
  <c r="Q229" i="1"/>
  <c r="R229" i="1" s="1"/>
  <c r="Q239" i="1"/>
  <c r="R239" i="1" s="1"/>
  <c r="Q267" i="1"/>
  <c r="R267" i="1" s="1"/>
  <c r="V267" i="1"/>
  <c r="Q214" i="1"/>
  <c r="U257" i="1"/>
  <c r="U219" i="1"/>
  <c r="U229" i="1"/>
  <c r="U239" i="1"/>
  <c r="R275" i="1"/>
  <c r="Q247" i="1"/>
  <c r="R247" i="1" s="1"/>
  <c r="V247" i="1"/>
  <c r="V263" i="1"/>
  <c r="W263" i="1" s="1"/>
  <c r="Q277" i="1"/>
  <c r="R277" i="1" s="1"/>
  <c r="V277" i="1"/>
  <c r="Q273" i="1"/>
  <c r="Q271" i="1"/>
  <c r="R271" i="1" s="1"/>
  <c r="Q281" i="1"/>
  <c r="R281" i="1" s="1"/>
  <c r="R122" i="1" l="1"/>
  <c r="W11" i="1"/>
  <c r="W33" i="1"/>
  <c r="W40" i="1"/>
  <c r="W219" i="1"/>
  <c r="W56" i="1"/>
  <c r="W206" i="1"/>
  <c r="W161" i="1"/>
  <c r="W218" i="1"/>
  <c r="W47" i="1"/>
  <c r="W41" i="1"/>
  <c r="W148" i="1"/>
  <c r="W95" i="1"/>
  <c r="W260" i="1"/>
  <c r="W226" i="1"/>
  <c r="W173" i="1"/>
  <c r="W10" i="1"/>
  <c r="R265" i="1"/>
  <c r="W83" i="1"/>
  <c r="W251" i="1"/>
  <c r="R93" i="1"/>
  <c r="W223" i="1"/>
  <c r="R237" i="1"/>
  <c r="W177" i="1"/>
  <c r="W137" i="1"/>
  <c r="W156" i="1"/>
  <c r="W191" i="1"/>
  <c r="W278" i="1"/>
  <c r="R217" i="1"/>
  <c r="R36" i="1"/>
  <c r="W26" i="1"/>
  <c r="R43" i="1"/>
  <c r="W227" i="1"/>
  <c r="W143" i="1"/>
  <c r="W85" i="1"/>
  <c r="W15" i="1"/>
  <c r="W202" i="1"/>
  <c r="W14" i="1"/>
  <c r="W160" i="1"/>
  <c r="W128" i="1"/>
  <c r="W150" i="1"/>
  <c r="W145" i="1"/>
  <c r="W9" i="1"/>
  <c r="W167" i="1"/>
  <c r="W171" i="1"/>
  <c r="W243" i="1"/>
  <c r="W97" i="1"/>
  <c r="W38" i="1"/>
  <c r="W201" i="1"/>
  <c r="W153" i="1"/>
  <c r="W103" i="1"/>
  <c r="W135" i="1"/>
  <c r="W154" i="1"/>
  <c r="W121" i="1"/>
  <c r="W49" i="1"/>
  <c r="W22" i="1"/>
  <c r="W34" i="1"/>
  <c r="W207" i="1"/>
  <c r="R63" i="1"/>
  <c r="R120" i="1"/>
  <c r="W178" i="1"/>
  <c r="W262" i="1"/>
  <c r="W29" i="1"/>
  <c r="W270" i="1"/>
  <c r="R270" i="1"/>
  <c r="W141" i="1"/>
  <c r="W280" i="1"/>
  <c r="W159" i="1"/>
  <c r="W134" i="1"/>
  <c r="W88" i="1"/>
  <c r="W259" i="1"/>
  <c r="W282" i="1"/>
  <c r="W100" i="1"/>
  <c r="W247" i="1"/>
  <c r="W267" i="1"/>
  <c r="W124" i="1"/>
  <c r="W30" i="1"/>
  <c r="W169" i="1"/>
  <c r="W236" i="1"/>
  <c r="W216" i="1"/>
  <c r="W195" i="1"/>
  <c r="W96" i="1"/>
  <c r="W155" i="1"/>
  <c r="W119" i="1"/>
  <c r="W52" i="1"/>
  <c r="W224" i="1"/>
  <c r="W255" i="1"/>
  <c r="W180" i="1"/>
  <c r="W142" i="1"/>
  <c r="W132" i="1"/>
  <c r="W234" i="1"/>
  <c r="W99" i="1"/>
  <c r="W42" i="1"/>
  <c r="W152" i="1"/>
  <c r="W72" i="1"/>
  <c r="W245" i="1"/>
  <c r="W185" i="1"/>
  <c r="W12" i="1"/>
  <c r="W281" i="1"/>
  <c r="W50" i="1"/>
  <c r="W248" i="1"/>
  <c r="R137" i="1"/>
  <c r="W211" i="1"/>
  <c r="W73" i="1"/>
  <c r="W108" i="1"/>
  <c r="W58" i="1"/>
  <c r="W205" i="1"/>
  <c r="W182" i="1"/>
  <c r="W252" i="1"/>
  <c r="W271" i="1"/>
  <c r="W186" i="1"/>
  <c r="W157" i="1"/>
  <c r="W13" i="1"/>
  <c r="W204" i="1"/>
  <c r="W66" i="1"/>
  <c r="W212" i="1"/>
  <c r="W104" i="1"/>
  <c r="W192" i="1"/>
  <c r="W20" i="1"/>
  <c r="W107" i="1"/>
  <c r="W117" i="1"/>
  <c r="R117" i="1"/>
  <c r="W147" i="1"/>
  <c r="R147" i="1"/>
  <c r="W277" i="1"/>
  <c r="W163" i="1"/>
  <c r="W113" i="1"/>
  <c r="W79" i="1"/>
  <c r="W168" i="1"/>
  <c r="W199" i="1"/>
  <c r="W127" i="1"/>
  <c r="R127" i="1"/>
  <c r="W246" i="1"/>
  <c r="W27" i="1"/>
  <c r="W268" i="1"/>
  <c r="R244" i="1"/>
  <c r="W244" i="1"/>
  <c r="W106" i="1"/>
  <c r="W242" i="1"/>
  <c r="W215" i="1"/>
  <c r="W225" i="1"/>
  <c r="W209" i="1"/>
  <c r="W235" i="1"/>
  <c r="R78" i="1"/>
  <c r="W78" i="1"/>
  <c r="W82" i="1"/>
  <c r="W86" i="1"/>
  <c r="W76" i="1"/>
  <c r="W46" i="1"/>
  <c r="W80" i="1"/>
  <c r="W110" i="1"/>
  <c r="R23" i="1"/>
  <c r="W32" i="1"/>
  <c r="W193" i="1"/>
  <c r="W208" i="1"/>
  <c r="W57" i="1"/>
  <c r="R57" i="1"/>
  <c r="W67" i="1"/>
  <c r="W74" i="1"/>
  <c r="W151" i="1"/>
  <c r="W35" i="1"/>
  <c r="W144" i="1"/>
  <c r="R179" i="1"/>
  <c r="W179" i="1"/>
  <c r="W184" i="1"/>
  <c r="W232" i="1"/>
  <c r="W222" i="1"/>
  <c r="W48" i="1"/>
  <c r="W175" i="1"/>
  <c r="W162" i="1"/>
  <c r="W229" i="1"/>
  <c r="W196" i="1"/>
  <c r="W123" i="1"/>
  <c r="W198" i="1"/>
  <c r="W129" i="1"/>
  <c r="R165" i="1"/>
  <c r="W165" i="1"/>
  <c r="W60" i="1"/>
  <c r="W53" i="1"/>
  <c r="W18" i="1"/>
  <c r="W77" i="1"/>
  <c r="W190" i="1"/>
  <c r="W181" i="1"/>
  <c r="W109" i="1"/>
  <c r="W166" i="1"/>
  <c r="W164" i="1"/>
  <c r="W189" i="1"/>
  <c r="W105" i="1"/>
  <c r="W65" i="1"/>
  <c r="R214" i="1"/>
  <c r="W214" i="1"/>
  <c r="W261" i="1"/>
  <c r="W116" i="1"/>
  <c r="W55" i="1"/>
  <c r="W220" i="1"/>
  <c r="R220" i="1"/>
  <c r="W239" i="1"/>
  <c r="W254" i="1"/>
  <c r="W149" i="1"/>
  <c r="W19" i="1"/>
  <c r="W136" i="1"/>
  <c r="W172" i="1"/>
  <c r="W240" i="1"/>
  <c r="R240" i="1"/>
  <c r="W139" i="1"/>
  <c r="W257" i="1"/>
  <c r="W210" i="1"/>
  <c r="R210" i="1"/>
  <c r="W133" i="1"/>
  <c r="W125" i="1"/>
  <c r="W87" i="1"/>
  <c r="W170" i="1"/>
  <c r="W146" i="1"/>
  <c r="W94" i="1"/>
  <c r="W274" i="1"/>
  <c r="W126" i="1"/>
  <c r="W230" i="1"/>
  <c r="R230" i="1"/>
  <c r="R273" i="1"/>
  <c r="W273" i="1"/>
  <c r="R200" i="1"/>
  <c r="W200" i="1"/>
  <c r="W241" i="1"/>
  <c r="W183" i="1"/>
  <c r="W115" i="1"/>
  <c r="W45" i="1"/>
</calcChain>
</file>

<file path=xl/sharedStrings.xml><?xml version="1.0" encoding="utf-8"?>
<sst xmlns="http://schemas.openxmlformats.org/spreadsheetml/2006/main" count="4733" uniqueCount="257">
  <si>
    <t>Trip Code</t>
  </si>
  <si>
    <t>Trip Date</t>
  </si>
  <si>
    <t>Customer Code</t>
  </si>
  <si>
    <t>Customer Name</t>
  </si>
  <si>
    <t>Driver Raw</t>
  </si>
  <si>
    <t>Driver 1</t>
  </si>
  <si>
    <t>Driver 2</t>
  </si>
  <si>
    <t>Driver 3</t>
  </si>
  <si>
    <t>Driver 1 Code</t>
  </si>
  <si>
    <t>Driver 2 Code</t>
  </si>
  <si>
    <t>Driver 3 Code</t>
  </si>
  <si>
    <t>Destination</t>
  </si>
  <si>
    <t>Quantity</t>
  </si>
  <si>
    <t>Rate</t>
  </si>
  <si>
    <t>Total Amount</t>
  </si>
  <si>
    <t>Received</t>
  </si>
  <si>
    <t>Balance</t>
  </si>
  <si>
    <t>Payment Status</t>
  </si>
  <si>
    <t>Notes</t>
  </si>
  <si>
    <t>Calculated Total</t>
  </si>
  <si>
    <t>Amount Check</t>
  </si>
  <si>
    <t>Calculated Balance</t>
  </si>
  <si>
    <t>Balance Check</t>
  </si>
  <si>
    <t>Transaction Type</t>
  </si>
  <si>
    <t>Material Type</t>
  </si>
  <si>
    <t>Yashwant Nagar,  Raj Dad</t>
  </si>
  <si>
    <t>CUSTOMER DELIVERY</t>
  </si>
  <si>
    <t>White Sand</t>
  </si>
  <si>
    <t>Tractor</t>
  </si>
  <si>
    <t>Vichoda, Roshan Order</t>
  </si>
  <si>
    <t>Kirmire ( Raj Dad )</t>
  </si>
  <si>
    <t>Rakad :-  Kosara, Raj Dad</t>
  </si>
  <si>
    <t>Rohankar ( Raj Dad )</t>
  </si>
  <si>
    <t>Kosara</t>
  </si>
  <si>
    <t>Dev Kumar</t>
  </si>
  <si>
    <t>Bharran :- Padoli</t>
  </si>
  <si>
    <t>Bandu</t>
  </si>
  <si>
    <t>Jivan Sao</t>
  </si>
  <si>
    <t>Vichoda</t>
  </si>
  <si>
    <t>Rakesh Ramteke</t>
  </si>
  <si>
    <t>Road ( Raj Dad )</t>
  </si>
  <si>
    <t xml:space="preserve">Ataullah </t>
  </si>
  <si>
    <t>Padoli</t>
  </si>
  <si>
    <t>Roshan Order</t>
  </si>
  <si>
    <t>Desi Ramteke ( Roshan Order )</t>
  </si>
  <si>
    <t>Sudha Hotel</t>
  </si>
  <si>
    <t>Vicoda</t>
  </si>
  <si>
    <t>Ataullah</t>
  </si>
  <si>
    <t>Raj Order</t>
  </si>
  <si>
    <t>Lakhmapur</t>
  </si>
  <si>
    <t>Yete</t>
  </si>
  <si>
    <t>Narayan Tiles</t>
  </si>
  <si>
    <t>Dutt Nagar</t>
  </si>
  <si>
    <t>Padoli ( Bharran )</t>
  </si>
  <si>
    <t>Ramnagar:- Reti</t>
  </si>
  <si>
    <t>Ramnagar Gitti</t>
  </si>
  <si>
    <t>Zamare</t>
  </si>
  <si>
    <t>Ramnagar:- Bricks</t>
  </si>
  <si>
    <t>Sau</t>
  </si>
  <si>
    <t>Ghorpade ( Roshan )</t>
  </si>
  <si>
    <t>Bondhare</t>
  </si>
  <si>
    <t>Vichoda ( Raj Order )</t>
  </si>
  <si>
    <t>Gaurav</t>
  </si>
  <si>
    <t>IMSR ( Raj Order )</t>
  </si>
  <si>
    <t>Duttnagar ( Raj Dad Order )</t>
  </si>
  <si>
    <t>Gautre</t>
  </si>
  <si>
    <t>Yashwant Nagar ( Raj Dad Order )</t>
  </si>
  <si>
    <t>Chiwande</t>
  </si>
  <si>
    <t>Kosara ( Raj Dad Order )</t>
  </si>
  <si>
    <t>Chambhare</t>
  </si>
  <si>
    <t>Chowki / Vichoda ( Raj Dad Order )</t>
  </si>
  <si>
    <t xml:space="preserve">Gaju Panthela </t>
  </si>
  <si>
    <t>Sakdev</t>
  </si>
  <si>
    <t>Borkute</t>
  </si>
  <si>
    <t>Rachna Ramteke</t>
  </si>
  <si>
    <t>Vichoda ( Roshan Order )</t>
  </si>
  <si>
    <t>Vichoda ( Raj Dad Order )</t>
  </si>
  <si>
    <t>Kosara ( Raj Order )</t>
  </si>
  <si>
    <t>Shrisagar</t>
  </si>
  <si>
    <t>Rundawan ( Raj Dad Order )</t>
  </si>
  <si>
    <t>2 Trip Rakad Yashwant Nagar</t>
  </si>
  <si>
    <t>Yashwant Nagar ( Raj Dad Order )]</t>
  </si>
  <si>
    <t>Ravi Electrician</t>
  </si>
  <si>
    <t>Padoli ( Raj Dad Order )</t>
  </si>
  <si>
    <t>Balu Khokle</t>
  </si>
  <si>
    <t>Anil Khokle</t>
  </si>
  <si>
    <t>Vichoda (Raj Order )</t>
  </si>
  <si>
    <t>Nagendra Gadge</t>
  </si>
  <si>
    <t>Padoli ( Raj Dad Order)</t>
  </si>
  <si>
    <t>Raju Manusmare</t>
  </si>
  <si>
    <t>Datada ( Raj Dad Order )</t>
  </si>
  <si>
    <t>Vichoda ( Mahendra Order )</t>
  </si>
  <si>
    <t>Daru Ramtake</t>
  </si>
  <si>
    <t>Nitesh</t>
  </si>
  <si>
    <t>Rahul Dhaba ( Raj Order )</t>
  </si>
  <si>
    <t>Nishan Bhattar</t>
  </si>
  <si>
    <t>Prem Meshram</t>
  </si>
  <si>
    <t>Ramchandra Dongre</t>
  </si>
  <si>
    <t>Saija Bai</t>
  </si>
  <si>
    <t>Sonalika Ramtake ( Raj Order )</t>
  </si>
  <si>
    <t>Jay Amte</t>
  </si>
  <si>
    <t>Yashwant Nagar</t>
  </si>
  <si>
    <t>Prajwal Kasaute (Ashay Jal )</t>
  </si>
  <si>
    <t>Rakad:- Kosara 1</t>
  </si>
  <si>
    <t>Tulsi Nagar</t>
  </si>
  <si>
    <t>Santosh Parde ( Raj Dad )</t>
  </si>
  <si>
    <t>Rundawan</t>
  </si>
  <si>
    <t>Padoli ( 5 Rakad Trip )</t>
  </si>
  <si>
    <t>Backside Narayana School ( 1 Rakad Trip )</t>
  </si>
  <si>
    <t>Akash</t>
  </si>
  <si>
    <t>Manoj Khokle</t>
  </si>
  <si>
    <t>Vineet Ramteke</t>
  </si>
  <si>
    <t>Washing Center</t>
  </si>
  <si>
    <t>Datada</t>
  </si>
  <si>
    <t>Kalam ( Raj Dad )</t>
  </si>
  <si>
    <t>Near Sachin Hotel, Padoli Road</t>
  </si>
  <si>
    <t>Khutada</t>
  </si>
  <si>
    <t>Narendra Chiwande ( Roshan )</t>
  </si>
  <si>
    <t>Bhangar Katta , Sharma Chowk</t>
  </si>
  <si>
    <t>Rajura Thekedar</t>
  </si>
  <si>
    <t>Khanda Nagri</t>
  </si>
  <si>
    <t>Aatram</t>
  </si>
  <si>
    <t>MIDC</t>
  </si>
  <si>
    <t>Akshu</t>
  </si>
  <si>
    <t>Padoli ( 2 Rakad Trip )</t>
  </si>
  <si>
    <t>Rahul Borkute</t>
  </si>
  <si>
    <t>Mada Colony</t>
  </si>
  <si>
    <t>Girtkar Farm Pipe Line ( Bharran 1 Trip)</t>
  </si>
  <si>
    <t xml:space="preserve">Joyti Dhote ( Raj Dad) </t>
  </si>
  <si>
    <t>Morwa</t>
  </si>
  <si>
    <t>Masirkar</t>
  </si>
  <si>
    <t>Rashtrawadi ( Raj )</t>
  </si>
  <si>
    <t>Kiran</t>
  </si>
  <si>
    <t>Naresh Kaka</t>
  </si>
  <si>
    <t xml:space="preserve">Padoli Majid </t>
  </si>
  <si>
    <t>Nitin Bhoyar</t>
  </si>
  <si>
    <t>Rashtrawadi</t>
  </si>
  <si>
    <t>Jagannath Chukre ( Mahendra )</t>
  </si>
  <si>
    <t>Hari Bhau</t>
  </si>
  <si>
    <t>Bappya Mama</t>
  </si>
  <si>
    <t xml:space="preserve">From JCB Shiftinng to MIDC </t>
  </si>
  <si>
    <t>1 Gitti Tulsi</t>
  </si>
  <si>
    <t>39 Rakad Shifting</t>
  </si>
  <si>
    <t>8  Rakad Shifting</t>
  </si>
  <si>
    <t>9  Rakad Shifting</t>
  </si>
  <si>
    <t>Shri Sai ( Raj Dad )</t>
  </si>
  <si>
    <t>Sharmachowk</t>
  </si>
  <si>
    <t>Chabu Sahare</t>
  </si>
  <si>
    <t>Naresh kaka</t>
  </si>
  <si>
    <t>Lonbole</t>
  </si>
  <si>
    <t>Ravi Mama</t>
  </si>
  <si>
    <t>Lauji Nagar</t>
  </si>
  <si>
    <t>Chaudhary</t>
  </si>
  <si>
    <t>Juni Padoli</t>
  </si>
  <si>
    <t xml:space="preserve">Rajesh ( Ravi Mama </t>
  </si>
  <si>
    <t>Lauji nagar</t>
  </si>
  <si>
    <t xml:space="preserve">Gitti Tractor </t>
  </si>
  <si>
    <t>Rakad Padoli</t>
  </si>
  <si>
    <t>Arjun Chinchurwar</t>
  </si>
  <si>
    <t>Sagar Morey ( Mahendra )</t>
  </si>
  <si>
    <t>Tulsi nagar ( Rakad )</t>
  </si>
  <si>
    <t>Thackery ( Raj )</t>
  </si>
  <si>
    <t>Mada</t>
  </si>
  <si>
    <t>Sanju Sonwane ( Mahendra )</t>
  </si>
  <si>
    <t>Sumit Meshram</t>
  </si>
  <si>
    <t>Mada Road</t>
  </si>
  <si>
    <t>Tulsi Nagar ( Rakad )</t>
  </si>
  <si>
    <t>Santosh Sinha</t>
  </si>
  <si>
    <t>Pratap Yard ( Raj Dad )</t>
  </si>
  <si>
    <t xml:space="preserve">Juni Padoli Road </t>
  </si>
  <si>
    <t>Tulsi Nagar Rakad Trip</t>
  </si>
  <si>
    <t>Nana ( Raj Dad )</t>
  </si>
  <si>
    <t>Bandobas Bar MIDC</t>
  </si>
  <si>
    <t>Sardar Colony</t>
  </si>
  <si>
    <t>Vasanda</t>
  </si>
  <si>
    <t>Matthe Colony</t>
  </si>
  <si>
    <t>Mahendra Order</t>
  </si>
  <si>
    <t>Pipe Line Road</t>
  </si>
  <si>
    <t>Ganesh LCB. ( Raj Order</t>
  </si>
  <si>
    <t>Madarsa Padoli</t>
  </si>
  <si>
    <t>Gurudwara</t>
  </si>
  <si>
    <t xml:space="preserve">Yashwant Nagar </t>
  </si>
  <si>
    <t>Chauhan</t>
  </si>
  <si>
    <t>Fish Wala</t>
  </si>
  <si>
    <t>Nitesh Khandarkar ( Mahendra )</t>
  </si>
  <si>
    <t>Chargaon</t>
  </si>
  <si>
    <t>Raju Mistri ( Mahendra )</t>
  </si>
  <si>
    <t>Ramteke</t>
  </si>
  <si>
    <t>Sadar Colony</t>
  </si>
  <si>
    <t>Sonaware</t>
  </si>
  <si>
    <t>Ghopal ( Mahendra )</t>
  </si>
  <si>
    <t>Nattu Meshram</t>
  </si>
  <si>
    <t>Rahul Dhaba</t>
  </si>
  <si>
    <t>Gurudwara Mada Colony</t>
  </si>
  <si>
    <t>Near Pyaar Foundation</t>
  </si>
  <si>
    <t xml:space="preserve">Pachare Stock </t>
  </si>
  <si>
    <t>INTERNAL STOCK</t>
  </si>
  <si>
    <t>Pachare Stock :- JCB Shifting</t>
  </si>
  <si>
    <t>From Pachare Stock To Farm :- JCB Shifting</t>
  </si>
  <si>
    <t xml:space="preserve">2 Bricks To Raj Farms </t>
  </si>
  <si>
    <t>Raj Home ( Stock ) JCB Shifting</t>
  </si>
  <si>
    <t>Raj Farms</t>
  </si>
  <si>
    <t>Raj Home ( Stock )</t>
  </si>
  <si>
    <t>Raj ( Lakhmapur Stock )</t>
  </si>
  <si>
    <t>Pachare ( Stock )</t>
  </si>
  <si>
    <t>Raj ( Pachare Stock )</t>
  </si>
  <si>
    <t>Grampanchayat Stock</t>
  </si>
  <si>
    <t>Raj ( Gram Panchayat Stock )</t>
  </si>
  <si>
    <t>Raj ( Farms )</t>
  </si>
  <si>
    <t>Raj ( Farms ) 1</t>
  </si>
  <si>
    <t>Devrao ( Raj Dad )</t>
  </si>
  <si>
    <t>Rundawan ( Bharran )</t>
  </si>
  <si>
    <t>Pachare Farms</t>
  </si>
  <si>
    <t>Raju Bala ( Raj Dad )</t>
  </si>
  <si>
    <t>Stock</t>
  </si>
  <si>
    <t>Raj Kamdi Stock</t>
  </si>
  <si>
    <t>Arvind Rohankar</t>
  </si>
  <si>
    <t>Suresh Pachare</t>
  </si>
  <si>
    <t>Hemendra</t>
  </si>
  <si>
    <t>Gandfade</t>
  </si>
  <si>
    <t>Shyam Kulmete</t>
  </si>
  <si>
    <t>Shubham Bondare</t>
  </si>
  <si>
    <t>Hitesh Zamare</t>
  </si>
  <si>
    <t>Devanand Sao</t>
  </si>
  <si>
    <t>Sandeep Borkhute</t>
  </si>
  <si>
    <t>Aawde</t>
  </si>
  <si>
    <t>Bhimrao Padwekar</t>
  </si>
  <si>
    <t>Shubhash Mistri</t>
  </si>
  <si>
    <t>Chetan Bhobde</t>
  </si>
  <si>
    <t>Giratkar</t>
  </si>
  <si>
    <t>Mohan Lonbole</t>
  </si>
  <si>
    <t>Vedant Wargane</t>
  </si>
  <si>
    <t>Sachin</t>
  </si>
  <si>
    <t>Sontake</t>
  </si>
  <si>
    <t>Prakash Nagarkar</t>
  </si>
  <si>
    <t>Rishab Dupare</t>
  </si>
  <si>
    <t>Kamalar Ramteke</t>
  </si>
  <si>
    <t>Dayakar</t>
  </si>
  <si>
    <t>Vilas Tonge</t>
  </si>
  <si>
    <t>Chetan U</t>
  </si>
  <si>
    <t>Pramod Mistri</t>
  </si>
  <si>
    <t>Anil Shukdev</t>
  </si>
  <si>
    <t>Aniket Chaudhary</t>
  </si>
  <si>
    <t>Rohan Nagarkar</t>
  </si>
  <si>
    <t>Vijayendra Selokar</t>
  </si>
  <si>
    <t>N/A</t>
  </si>
  <si>
    <t>Sunny Dad</t>
  </si>
  <si>
    <t>Amtha</t>
  </si>
  <si>
    <t>Parchake</t>
  </si>
  <si>
    <t>Rohan</t>
  </si>
  <si>
    <t>Arvind Gupta</t>
  </si>
  <si>
    <t>Mandir</t>
  </si>
  <si>
    <t>Vishal Chaware</t>
  </si>
  <si>
    <t>Payment Method</t>
  </si>
  <si>
    <t>Payment Date</t>
  </si>
  <si>
    <t>Vehicle Numner</t>
  </si>
  <si>
    <t>Vehicle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</si>
</sst>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&quot;₹&quot;\ #,##0.00"/>
    <numFmt numFmtId="166" formatCode="&quot;₹&quot;#,##0.00"/>
  </numFmts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1"/>
      <color theme="1"/>
      <name val="Aptos Narrow"/>
      <scheme val="minor"/>
    </font>
    <font>
      <sz val="11"/>
      <color rgb="FF000000"/>
      <name val="Aptos Narrow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2" fillId="0" borderId="0" xfId="0" applyFont="1"/>
    <xf numFmtId="0" fontId="3" fillId="0" borderId="0" xfId="0" applyFont="1"/>
    <xf numFmtId="164" fontId="4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165" fontId="3" fillId="0" borderId="0" xfId="0" applyNumberFormat="1" applyFont="1" applyAlignment="1">
      <alignment horizontal="left"/>
    </xf>
    <xf numFmtId="165" fontId="3" fillId="0" borderId="0" xfId="0" applyNumberFormat="1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3" fillId="0" borderId="0" xfId="1" applyFont="1" applyAlignment="1">
      <alignment horizontal="left"/>
    </xf>
    <xf numFmtId="0" fontId="3" fillId="0" borderId="0" xfId="1" applyFont="1" applyAlignment="1">
      <alignment horizontal="center"/>
    </xf>
    <xf numFmtId="166" fontId="3" fillId="0" borderId="0" xfId="1" applyNumberFormat="1" applyFont="1" applyAlignment="1">
      <alignment horizontal="left"/>
    </xf>
    <xf numFmtId="164" fontId="4" fillId="0" borderId="0" xfId="1" applyNumberFormat="1" applyFont="1" applyAlignment="1">
      <alignment horizontal="left"/>
    </xf>
    <xf numFmtId="0" fontId="5" fillId="0" borderId="0" xfId="0" applyFont="1"/>
    <xf numFmtId="164" fontId="6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left"/>
    </xf>
    <xf numFmtId="165" fontId="0" fillId="0" borderId="0" xfId="0" applyNumberFormat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1" fillId="0" borderId="0" xfId="1" applyAlignment="1">
      <alignment horizontal="center"/>
    </xf>
    <xf numFmtId="0" fontId="4" fillId="0" borderId="0" xfId="0" applyFont="1"/>
  </cellXfs>
  <cellStyles count="2">
    <cellStyle name="Normal" xfId="0" builtinId="0"/>
    <cellStyle name="Normal 2" xfId="1" xr:uid="{E98F4C8C-16E9-5F45-A095-75BF9DA1D6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Business%20Data%20Cleaned.xlsx" TargetMode="External"/><Relationship Id="rId2" Type="http://schemas.openxmlformats.org/officeDocument/2006/relationships/externalLinkPath" Target="/Users/sahilwaghmare/Desktop/Data%20Transfer%202024%20Raj%20Construction/Business%20Data%20Cleaned.xlsx" TargetMode="External"/><Relationship Id="rId1" Type="http://schemas.openxmlformats.org/officeDocument/2006/relationships/externalLinkPath" Target="/Users/sahilwaghmare/Desktop/Data%20Transfer%202024%20Raj%20Construction/Business%20Data%20Clean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an Customer Duplicate Hyva"/>
      <sheetName val="Sheet1"/>
      <sheetName val="Vechle master"/>
      <sheetName val="Payment Method Master"/>
      <sheetName val="Jan Labour Nd Drivers Hyva"/>
      <sheetName val="Sheet13"/>
    </sheetNames>
    <sheetDataSet>
      <sheetData sheetId="0">
        <row r="1">
          <cell r="A1" t="str">
            <v xml:space="preserve">Customer Code </v>
          </cell>
          <cell r="B1" t="str">
            <v>Customer Name</v>
          </cell>
        </row>
        <row r="2">
          <cell r="A2" t="str">
            <v>CUST-001</v>
          </cell>
          <cell r="B2" t="str">
            <v>Aakash</v>
          </cell>
        </row>
        <row r="3">
          <cell r="A3" t="str">
            <v>CUST-002</v>
          </cell>
          <cell r="B3" t="str">
            <v>Aalam Bhaiya</v>
          </cell>
        </row>
        <row r="4">
          <cell r="A4" t="str">
            <v>CUST-003</v>
          </cell>
          <cell r="B4" t="str">
            <v>Aanya</v>
          </cell>
        </row>
        <row r="5">
          <cell r="A5" t="str">
            <v>CUST-004</v>
          </cell>
          <cell r="B5" t="str">
            <v>Aaro Water Filter</v>
          </cell>
        </row>
        <row r="6">
          <cell r="A6" t="str">
            <v>CUST-005</v>
          </cell>
          <cell r="B6" t="str">
            <v>Aashay</v>
          </cell>
        </row>
        <row r="7">
          <cell r="A7" t="str">
            <v>CUST-006</v>
          </cell>
          <cell r="B7" t="str">
            <v>Aashish</v>
          </cell>
        </row>
        <row r="8">
          <cell r="A8" t="str">
            <v>CUST-007</v>
          </cell>
          <cell r="B8" t="str">
            <v>Aatram</v>
          </cell>
        </row>
        <row r="9">
          <cell r="A9" t="str">
            <v>CUST-008</v>
          </cell>
          <cell r="B9" t="str">
            <v>Aau</v>
          </cell>
        </row>
        <row r="10">
          <cell r="A10" t="str">
            <v>CUST-009</v>
          </cell>
          <cell r="B10" t="str">
            <v>Aawari</v>
          </cell>
        </row>
        <row r="11">
          <cell r="A11" t="str">
            <v>CUST-010</v>
          </cell>
          <cell r="B11" t="str">
            <v>Aawde</v>
          </cell>
        </row>
        <row r="12">
          <cell r="A12" t="str">
            <v>CUST-011</v>
          </cell>
          <cell r="B12" t="str">
            <v>Abhay Adgurwar</v>
          </cell>
        </row>
        <row r="13">
          <cell r="A13" t="str">
            <v>CUST-012</v>
          </cell>
          <cell r="B13" t="str">
            <v>Abhay Adgurwar ( Parmar )</v>
          </cell>
        </row>
        <row r="14">
          <cell r="A14" t="str">
            <v>CUST-013</v>
          </cell>
          <cell r="B14" t="str">
            <v>Aggrawal</v>
          </cell>
        </row>
        <row r="15">
          <cell r="A15" t="str">
            <v>CUST-014</v>
          </cell>
          <cell r="B15" t="str">
            <v>Ajay Mobile Shop</v>
          </cell>
        </row>
        <row r="16">
          <cell r="A16" t="str">
            <v>CUST-015</v>
          </cell>
          <cell r="B16" t="str">
            <v>Ajgar Bhaiya</v>
          </cell>
        </row>
        <row r="17">
          <cell r="A17" t="str">
            <v>CUST-016</v>
          </cell>
          <cell r="B17" t="str">
            <v>Ajju Balki</v>
          </cell>
        </row>
        <row r="18">
          <cell r="A18" t="str">
            <v>CUST-017</v>
          </cell>
          <cell r="B18" t="str">
            <v>Akash</v>
          </cell>
        </row>
        <row r="19">
          <cell r="A19" t="str">
            <v>CUST-018</v>
          </cell>
          <cell r="B19" t="str">
            <v xml:space="preserve">Akash </v>
          </cell>
        </row>
        <row r="20">
          <cell r="A20" t="str">
            <v>CUST-019</v>
          </cell>
          <cell r="B20" t="str">
            <v>Akram Shiek</v>
          </cell>
        </row>
        <row r="21">
          <cell r="A21" t="str">
            <v>CUST-020</v>
          </cell>
          <cell r="B21" t="str">
            <v>Akshay</v>
          </cell>
        </row>
        <row r="22">
          <cell r="A22" t="str">
            <v>CUST-021</v>
          </cell>
          <cell r="B22" t="str">
            <v>Akshu</v>
          </cell>
        </row>
        <row r="23">
          <cell r="A23" t="str">
            <v>CUST-022</v>
          </cell>
          <cell r="B23" t="str">
            <v>Ali Bhaiya</v>
          </cell>
        </row>
        <row r="24">
          <cell r="A24" t="str">
            <v>CUST-023</v>
          </cell>
          <cell r="B24" t="str">
            <v>Amar Avde</v>
          </cell>
        </row>
        <row r="25">
          <cell r="A25" t="str">
            <v>CUST-024</v>
          </cell>
          <cell r="B25" t="str">
            <v>Amit G</v>
          </cell>
        </row>
        <row r="26">
          <cell r="A26" t="str">
            <v>CUST-025</v>
          </cell>
          <cell r="B26" t="str">
            <v>Amit Matthe</v>
          </cell>
        </row>
        <row r="27">
          <cell r="A27" t="str">
            <v>CUST-026</v>
          </cell>
          <cell r="B27" t="str">
            <v>Amit Sherke</v>
          </cell>
        </row>
        <row r="28">
          <cell r="A28" t="str">
            <v>CUST-027</v>
          </cell>
          <cell r="B28" t="str">
            <v>Amol Thekedar</v>
          </cell>
        </row>
        <row r="29">
          <cell r="A29" t="str">
            <v>CUST-028</v>
          </cell>
          <cell r="B29" t="str">
            <v>Amtha</v>
          </cell>
        </row>
        <row r="30">
          <cell r="A30" t="str">
            <v>CUST-029</v>
          </cell>
          <cell r="B30" t="str">
            <v>Aniket Chaudhary</v>
          </cell>
        </row>
        <row r="31">
          <cell r="A31" t="str">
            <v>CUST-030</v>
          </cell>
          <cell r="B31" t="str">
            <v>Anil Bhoyar</v>
          </cell>
        </row>
        <row r="32">
          <cell r="A32" t="str">
            <v>CUST-031</v>
          </cell>
          <cell r="B32" t="str">
            <v>Anil Khokle</v>
          </cell>
        </row>
        <row r="33">
          <cell r="A33" t="str">
            <v>CUST-032</v>
          </cell>
          <cell r="B33" t="str">
            <v>Anil Narule</v>
          </cell>
        </row>
        <row r="34">
          <cell r="A34" t="str">
            <v>CUST-033</v>
          </cell>
          <cell r="B34" t="str">
            <v>Anil Shukdev</v>
          </cell>
        </row>
        <row r="35">
          <cell r="A35" t="str">
            <v>CUST-034</v>
          </cell>
          <cell r="B35" t="str">
            <v>Ankit Ghutke</v>
          </cell>
        </row>
        <row r="36">
          <cell r="A36" t="str">
            <v>CUST-035</v>
          </cell>
          <cell r="B36" t="str">
            <v>Ankit Milmile</v>
          </cell>
        </row>
        <row r="37">
          <cell r="A37" t="str">
            <v>CUST-036</v>
          </cell>
          <cell r="B37" t="str">
            <v>Ankush Bhau</v>
          </cell>
        </row>
        <row r="38">
          <cell r="A38" t="str">
            <v>CUST-037</v>
          </cell>
          <cell r="B38" t="str">
            <v>Ankush P</v>
          </cell>
        </row>
        <row r="39">
          <cell r="A39" t="str">
            <v>CUST-038</v>
          </cell>
          <cell r="B39" t="str">
            <v>Anurag ( Golu)</v>
          </cell>
        </row>
        <row r="40">
          <cell r="A40" t="str">
            <v>CUST-039</v>
          </cell>
          <cell r="B40" t="str">
            <v>Arbaz</v>
          </cell>
        </row>
        <row r="41">
          <cell r="A41" t="str">
            <v>CUST-040</v>
          </cell>
          <cell r="B41" t="str">
            <v>Arjun Chinchurwar</v>
          </cell>
        </row>
        <row r="42">
          <cell r="A42" t="str">
            <v>CUST-041</v>
          </cell>
          <cell r="B42" t="str">
            <v>Arnav</v>
          </cell>
        </row>
        <row r="43">
          <cell r="A43" t="str">
            <v>CUST-042</v>
          </cell>
          <cell r="B43" t="str">
            <v>Arvind Gupta</v>
          </cell>
        </row>
        <row r="44">
          <cell r="A44" t="str">
            <v>CUST-043</v>
          </cell>
          <cell r="B44" t="str">
            <v>Arvind Rohankar</v>
          </cell>
        </row>
        <row r="45">
          <cell r="A45" t="str">
            <v>CUST-044</v>
          </cell>
          <cell r="B45" t="str">
            <v>Ashok</v>
          </cell>
        </row>
        <row r="46">
          <cell r="A46" t="str">
            <v>CUST-045</v>
          </cell>
          <cell r="B46" t="str">
            <v>Ashwin</v>
          </cell>
        </row>
        <row r="47">
          <cell r="A47" t="str">
            <v>CUST-046</v>
          </cell>
          <cell r="B47" t="str">
            <v xml:space="preserve">Ashwin </v>
          </cell>
        </row>
        <row r="48">
          <cell r="A48" t="str">
            <v>CUST-047</v>
          </cell>
          <cell r="B48" t="str">
            <v xml:space="preserve">Aszar </v>
          </cell>
        </row>
        <row r="49">
          <cell r="A49" t="str">
            <v>CUST-048</v>
          </cell>
          <cell r="B49" t="str">
            <v>Ataullah</v>
          </cell>
        </row>
        <row r="50">
          <cell r="A50" t="str">
            <v>CUST-049</v>
          </cell>
          <cell r="B50" t="str">
            <v xml:space="preserve">Ataullah </v>
          </cell>
        </row>
        <row r="51">
          <cell r="A51" t="str">
            <v>CUST-050</v>
          </cell>
          <cell r="B51" t="str">
            <v>Atul Bhaiya</v>
          </cell>
        </row>
        <row r="52">
          <cell r="A52" t="str">
            <v>CUST-051</v>
          </cell>
          <cell r="B52" t="str">
            <v>Atul Ukade</v>
          </cell>
        </row>
        <row r="53">
          <cell r="A53" t="str">
            <v>CUST-052</v>
          </cell>
          <cell r="B53" t="str">
            <v>Azad Transport</v>
          </cell>
        </row>
        <row r="54">
          <cell r="A54" t="str">
            <v>CUST-053</v>
          </cell>
          <cell r="B54" t="str">
            <v>Baburao Weilding</v>
          </cell>
        </row>
        <row r="55">
          <cell r="A55" t="str">
            <v>CUST-054</v>
          </cell>
          <cell r="B55" t="str">
            <v>Balaji Kaka</v>
          </cell>
        </row>
        <row r="56">
          <cell r="A56" t="str">
            <v>CUST-055</v>
          </cell>
          <cell r="B56" t="str">
            <v>Balki</v>
          </cell>
        </row>
        <row r="57">
          <cell r="A57" t="str">
            <v>CUST-056</v>
          </cell>
          <cell r="B57" t="str">
            <v xml:space="preserve">Balki </v>
          </cell>
        </row>
        <row r="58">
          <cell r="A58" t="str">
            <v>CUST-057</v>
          </cell>
          <cell r="B58" t="str">
            <v>Balu Khokle</v>
          </cell>
        </row>
        <row r="59">
          <cell r="A59" t="str">
            <v>CUST-058</v>
          </cell>
          <cell r="B59" t="str">
            <v>Bandu</v>
          </cell>
        </row>
        <row r="60">
          <cell r="A60" t="str">
            <v>CUST-059</v>
          </cell>
          <cell r="B60" t="str">
            <v>Bappya Mama</v>
          </cell>
        </row>
        <row r="61">
          <cell r="A61" t="str">
            <v>CUST-060</v>
          </cell>
          <cell r="B61" t="str">
            <v>Bhadke</v>
          </cell>
        </row>
        <row r="62">
          <cell r="A62" t="str">
            <v>CUST-061</v>
          </cell>
          <cell r="B62" t="str">
            <v>Bhai Miya</v>
          </cell>
        </row>
        <row r="63">
          <cell r="A63" t="str">
            <v>CUST-062</v>
          </cell>
          <cell r="B63" t="str">
            <v>Bhandare</v>
          </cell>
        </row>
        <row r="64">
          <cell r="A64" t="str">
            <v>CUST-063</v>
          </cell>
          <cell r="B64" t="str">
            <v>Bharat Rone</v>
          </cell>
        </row>
        <row r="65">
          <cell r="A65" t="str">
            <v>CUST-064</v>
          </cell>
          <cell r="B65" t="str">
            <v>Bhimrao Padwekar</v>
          </cell>
        </row>
        <row r="66">
          <cell r="A66" t="str">
            <v>CUST-065</v>
          </cell>
          <cell r="B66" t="str">
            <v>Bondhare</v>
          </cell>
        </row>
        <row r="67">
          <cell r="A67" t="str">
            <v>CUST-066</v>
          </cell>
          <cell r="B67" t="str">
            <v>Borkute</v>
          </cell>
        </row>
        <row r="68">
          <cell r="A68" t="str">
            <v>CUST-067</v>
          </cell>
          <cell r="B68" t="str">
            <v>Cement Pipe ( Raj Order )</v>
          </cell>
        </row>
        <row r="69">
          <cell r="A69" t="str">
            <v>CUST-068</v>
          </cell>
          <cell r="B69" t="str">
            <v>Chaada Transport</v>
          </cell>
        </row>
        <row r="70">
          <cell r="A70" t="str">
            <v>CUST-069</v>
          </cell>
          <cell r="B70" t="str">
            <v>Chabu Sahare</v>
          </cell>
        </row>
        <row r="71">
          <cell r="A71" t="str">
            <v>CUST-070</v>
          </cell>
          <cell r="B71" t="str">
            <v>Chambhare</v>
          </cell>
        </row>
        <row r="72">
          <cell r="A72" t="str">
            <v>CUST-071</v>
          </cell>
          <cell r="B72" t="str">
            <v>Chandraban</v>
          </cell>
        </row>
        <row r="73">
          <cell r="A73" t="str">
            <v>CUST-072</v>
          </cell>
          <cell r="B73" t="str">
            <v>Chaudhary</v>
          </cell>
        </row>
        <row r="74">
          <cell r="A74" t="str">
            <v>CUST-073</v>
          </cell>
          <cell r="B74" t="str">
            <v>Chauhan</v>
          </cell>
        </row>
        <row r="75">
          <cell r="A75" t="str">
            <v>CUST-074</v>
          </cell>
          <cell r="B75" t="str">
            <v xml:space="preserve">Chaure Welder </v>
          </cell>
        </row>
        <row r="76">
          <cell r="A76" t="str">
            <v>CUST-075</v>
          </cell>
          <cell r="B76" t="str">
            <v>Chetan</v>
          </cell>
        </row>
        <row r="77">
          <cell r="A77" t="str">
            <v>CUST-076</v>
          </cell>
          <cell r="B77" t="str">
            <v>Chetan Bhobde</v>
          </cell>
        </row>
        <row r="78">
          <cell r="A78" t="str">
            <v>CUST-077</v>
          </cell>
          <cell r="B78" t="str">
            <v>Chetan U</v>
          </cell>
        </row>
        <row r="79">
          <cell r="A79" t="str">
            <v>CUST-078</v>
          </cell>
          <cell r="B79" t="str">
            <v>Chhabu Sahare ( Raj Dad )</v>
          </cell>
        </row>
        <row r="80">
          <cell r="A80" t="str">
            <v>CUST-079</v>
          </cell>
          <cell r="B80" t="str">
            <v>Chips Wala</v>
          </cell>
        </row>
        <row r="81">
          <cell r="A81" t="str">
            <v>CUST-080</v>
          </cell>
          <cell r="B81" t="str">
            <v>Chiwande</v>
          </cell>
        </row>
        <row r="82">
          <cell r="A82" t="str">
            <v>CUST-081</v>
          </cell>
          <cell r="B82" t="str">
            <v>Daru Ramtake</v>
          </cell>
        </row>
        <row r="83">
          <cell r="A83" t="str">
            <v>CUST-082</v>
          </cell>
          <cell r="B83" t="str">
            <v>Dayakar</v>
          </cell>
        </row>
        <row r="84">
          <cell r="A84" t="str">
            <v>CUST-083</v>
          </cell>
          <cell r="B84" t="str">
            <v>Dayaram Thekedar</v>
          </cell>
        </row>
        <row r="85">
          <cell r="A85" t="str">
            <v>CUST-084</v>
          </cell>
          <cell r="B85" t="str">
            <v>Dayakar</v>
          </cell>
        </row>
        <row r="86">
          <cell r="A86" t="str">
            <v>CUST-085</v>
          </cell>
          <cell r="B86" t="str">
            <v>Deepanshu Thackrey</v>
          </cell>
        </row>
        <row r="87">
          <cell r="A87" t="str">
            <v>CUST-086</v>
          </cell>
          <cell r="B87" t="str">
            <v>Deshkar ( Raj Dad )</v>
          </cell>
        </row>
        <row r="88">
          <cell r="A88" t="str">
            <v>CUST-087</v>
          </cell>
          <cell r="B88" t="str">
            <v>Desi Ramteke ( Roshan Order )</v>
          </cell>
        </row>
        <row r="89">
          <cell r="A89" t="str">
            <v>CUST-088</v>
          </cell>
          <cell r="B89" t="str">
            <v>Dev Kumar</v>
          </cell>
        </row>
        <row r="90">
          <cell r="A90" t="str">
            <v>CUST-089</v>
          </cell>
          <cell r="B90" t="str">
            <v>Devanand Sao</v>
          </cell>
        </row>
        <row r="91">
          <cell r="A91" t="str">
            <v>CUST-090</v>
          </cell>
          <cell r="B91" t="str">
            <v>Devrao ( Raj Dad )</v>
          </cell>
        </row>
        <row r="92">
          <cell r="A92" t="str">
            <v>CUST-091</v>
          </cell>
          <cell r="B92" t="str">
            <v>Dewagan</v>
          </cell>
        </row>
        <row r="93">
          <cell r="A93" t="str">
            <v>CUST-092</v>
          </cell>
          <cell r="B93" t="str">
            <v>Dhote</v>
          </cell>
        </row>
        <row r="94">
          <cell r="A94" t="str">
            <v>CUST-093</v>
          </cell>
          <cell r="B94" t="str">
            <v>Dodlani</v>
          </cell>
        </row>
        <row r="95">
          <cell r="A95" t="str">
            <v>CUST-094</v>
          </cell>
          <cell r="B95" t="str">
            <v>Dump</v>
          </cell>
        </row>
        <row r="96">
          <cell r="A96" t="str">
            <v>CUST-095</v>
          </cell>
          <cell r="B96" t="str">
            <v>Durge</v>
          </cell>
        </row>
        <row r="97">
          <cell r="A97" t="str">
            <v>CUST-096</v>
          </cell>
          <cell r="B97" t="str">
            <v>Dyaneshwar Sau</v>
          </cell>
        </row>
        <row r="98">
          <cell r="A98" t="str">
            <v>CUST-097</v>
          </cell>
          <cell r="B98" t="str">
            <v>Fasate</v>
          </cell>
        </row>
        <row r="99">
          <cell r="A99" t="str">
            <v>CUST-098</v>
          </cell>
          <cell r="B99" t="str">
            <v>Fish Wala</v>
          </cell>
        </row>
        <row r="100">
          <cell r="A100" t="str">
            <v>CUST-099</v>
          </cell>
          <cell r="B100" t="str">
            <v>Gajanan</v>
          </cell>
        </row>
        <row r="101">
          <cell r="A101" t="str">
            <v>CUST-100</v>
          </cell>
          <cell r="B101" t="str">
            <v>Gajendra</v>
          </cell>
        </row>
        <row r="102">
          <cell r="A102" t="str">
            <v>CUST-101</v>
          </cell>
          <cell r="B102" t="str">
            <v>Gaju Mandavkar</v>
          </cell>
        </row>
        <row r="103">
          <cell r="A103" t="str">
            <v>CUST-102</v>
          </cell>
          <cell r="B103" t="str">
            <v xml:space="preserve">Gaju Panthela </v>
          </cell>
        </row>
        <row r="104">
          <cell r="A104" t="str">
            <v>CUST-103</v>
          </cell>
          <cell r="B104" t="str">
            <v>Gandfade</v>
          </cell>
        </row>
        <row r="105">
          <cell r="A105" t="str">
            <v>CUST-104</v>
          </cell>
          <cell r="B105" t="str">
            <v>Ganesh LCB. ( Raj Order</v>
          </cell>
        </row>
        <row r="106">
          <cell r="A106" t="str">
            <v>CUST-105</v>
          </cell>
          <cell r="B106" t="str">
            <v>Ganesh Surje</v>
          </cell>
        </row>
        <row r="107">
          <cell r="A107" t="str">
            <v>CUST-106</v>
          </cell>
          <cell r="B107" t="str">
            <v>Gaurav</v>
          </cell>
        </row>
        <row r="108">
          <cell r="A108" t="str">
            <v>CUST-107</v>
          </cell>
          <cell r="B108" t="str">
            <v>Gautre</v>
          </cell>
        </row>
        <row r="109">
          <cell r="A109" t="str">
            <v>CUST-108</v>
          </cell>
          <cell r="B109" t="str">
            <v>Gautre ( Raj Dad )</v>
          </cell>
        </row>
        <row r="110">
          <cell r="A110" t="str">
            <v>CUST-109</v>
          </cell>
          <cell r="B110" t="str">
            <v>Gedam Raj</v>
          </cell>
        </row>
        <row r="111">
          <cell r="A111" t="str">
            <v>CUST-110</v>
          </cell>
          <cell r="B111" t="str">
            <v>Ghopal ( Mahendra )</v>
          </cell>
        </row>
        <row r="112">
          <cell r="A112" t="str">
            <v>CUST-111</v>
          </cell>
          <cell r="B112" t="str">
            <v>Ghorpade ( Roshan )</v>
          </cell>
        </row>
        <row r="113">
          <cell r="A113" t="str">
            <v>CUST-112</v>
          </cell>
          <cell r="B113" t="str">
            <v>Giratkar</v>
          </cell>
        </row>
        <row r="114">
          <cell r="A114" t="str">
            <v>CUST-113</v>
          </cell>
          <cell r="B114" t="str">
            <v>Githe Saheb</v>
          </cell>
        </row>
        <row r="115">
          <cell r="A115" t="str">
            <v>CUST-114</v>
          </cell>
          <cell r="B115" t="str">
            <v>Golu</v>
          </cell>
        </row>
        <row r="116">
          <cell r="A116" t="str">
            <v>CUST-115</v>
          </cell>
          <cell r="B116" t="str">
            <v xml:space="preserve">Golu </v>
          </cell>
        </row>
        <row r="117">
          <cell r="A117" t="str">
            <v>CUST-116</v>
          </cell>
          <cell r="B117" t="str">
            <v>Golu Operator</v>
          </cell>
        </row>
        <row r="118">
          <cell r="A118" t="str">
            <v>CUST-117</v>
          </cell>
          <cell r="B118" t="str">
            <v>Gurjit Saini</v>
          </cell>
        </row>
        <row r="119">
          <cell r="A119" t="str">
            <v>CUST-118</v>
          </cell>
          <cell r="B119" t="str">
            <v>Guru</v>
          </cell>
        </row>
        <row r="120">
          <cell r="A120" t="str">
            <v>CUST-119</v>
          </cell>
          <cell r="B120" t="str">
            <v xml:space="preserve">Guru </v>
          </cell>
        </row>
        <row r="121">
          <cell r="A121" t="str">
            <v>CUST-120</v>
          </cell>
          <cell r="B121" t="str">
            <v>Hari Bhau</v>
          </cell>
        </row>
        <row r="122">
          <cell r="A122" t="str">
            <v>CUST-121</v>
          </cell>
          <cell r="B122" t="str">
            <v>Harshal Murgane</v>
          </cell>
        </row>
        <row r="123">
          <cell r="A123" t="str">
            <v>CUST-122</v>
          </cell>
          <cell r="B123" t="str">
            <v>Hemendra</v>
          </cell>
        </row>
        <row r="124">
          <cell r="A124" t="str">
            <v>CUST-123</v>
          </cell>
          <cell r="B124" t="str">
            <v>Hitesh Zamare</v>
          </cell>
        </row>
        <row r="125">
          <cell r="A125" t="str">
            <v>CUST-124</v>
          </cell>
          <cell r="B125" t="str">
            <v>hiwakar</v>
          </cell>
        </row>
        <row r="126">
          <cell r="A126" t="str">
            <v>CUST-125</v>
          </cell>
          <cell r="B126" t="str">
            <v xml:space="preserve">Hiwakar </v>
          </cell>
        </row>
        <row r="127">
          <cell r="A127" t="str">
            <v>CUST-126</v>
          </cell>
          <cell r="B127" t="str">
            <v>HP Gas ( Mahendra )</v>
          </cell>
        </row>
        <row r="128">
          <cell r="A128" t="str">
            <v>CUST-127</v>
          </cell>
          <cell r="B128" t="str">
            <v>Irfan</v>
          </cell>
        </row>
        <row r="129">
          <cell r="A129" t="str">
            <v>CUST-128</v>
          </cell>
          <cell r="B129" t="str">
            <v>Izhar</v>
          </cell>
        </row>
        <row r="130">
          <cell r="A130" t="str">
            <v>CUST-129</v>
          </cell>
          <cell r="B130" t="str">
            <v>Jadish Yadav</v>
          </cell>
        </row>
        <row r="131">
          <cell r="A131" t="str">
            <v>CUST-130</v>
          </cell>
          <cell r="B131" t="str">
            <v>Jagannath Chukre ( Mahendra )</v>
          </cell>
        </row>
        <row r="132">
          <cell r="A132" t="str">
            <v>CUST-131</v>
          </cell>
          <cell r="B132" t="str">
            <v>Jaiswal</v>
          </cell>
        </row>
        <row r="133">
          <cell r="A133" t="str">
            <v>CUST-132</v>
          </cell>
          <cell r="B133" t="str">
            <v>Jannya Bhau</v>
          </cell>
        </row>
        <row r="134">
          <cell r="A134" t="str">
            <v>CUST-133</v>
          </cell>
          <cell r="B134" t="str">
            <v>Jay Amte</v>
          </cell>
        </row>
        <row r="135">
          <cell r="A135" t="str">
            <v>CUST-134</v>
          </cell>
          <cell r="B135" t="str">
            <v>Jay Mishra</v>
          </cell>
        </row>
        <row r="136">
          <cell r="A136" t="str">
            <v>CUST-135</v>
          </cell>
          <cell r="B136" t="str">
            <v>jhangid</v>
          </cell>
        </row>
        <row r="137">
          <cell r="A137" t="str">
            <v>CUST-136</v>
          </cell>
          <cell r="B137" t="str">
            <v>Jhenthe</v>
          </cell>
        </row>
        <row r="138">
          <cell r="A138" t="str">
            <v>CUST-137</v>
          </cell>
          <cell r="B138" t="str">
            <v>JI Sav ( Roshan )</v>
          </cell>
        </row>
        <row r="139">
          <cell r="A139" t="str">
            <v>CUST-138</v>
          </cell>
          <cell r="B139" t="str">
            <v>Jivan Sao</v>
          </cell>
        </row>
        <row r="140">
          <cell r="A140" t="str">
            <v>CUST-139</v>
          </cell>
          <cell r="B140" t="str">
            <v>Joyti Bai</v>
          </cell>
        </row>
        <row r="141">
          <cell r="A141" t="str">
            <v>CUST-140</v>
          </cell>
          <cell r="B141" t="str">
            <v xml:space="preserve">Joyti Dhote ( Raj Dad) </v>
          </cell>
        </row>
        <row r="142">
          <cell r="A142" t="str">
            <v>CUST-141</v>
          </cell>
          <cell r="B142" t="str">
            <v>Kade</v>
          </cell>
        </row>
        <row r="143">
          <cell r="A143" t="str">
            <v>CUST-142</v>
          </cell>
          <cell r="B143" t="str">
            <v>Kailash Bhaiya</v>
          </cell>
        </row>
        <row r="144">
          <cell r="A144" t="str">
            <v>CUST-143</v>
          </cell>
          <cell r="B144" t="str">
            <v>Kakaji</v>
          </cell>
        </row>
        <row r="145">
          <cell r="A145" t="str">
            <v>CUST-144</v>
          </cell>
          <cell r="B145" t="str">
            <v>Kakaji ( Papa Order )</v>
          </cell>
        </row>
        <row r="146">
          <cell r="A146" t="str">
            <v>CUST-145</v>
          </cell>
          <cell r="B146" t="str">
            <v>Kalam ( Raj Dad )</v>
          </cell>
        </row>
        <row r="147">
          <cell r="A147" t="str">
            <v>CUST-146</v>
          </cell>
          <cell r="B147" t="str">
            <v>Kale</v>
          </cell>
        </row>
        <row r="148">
          <cell r="A148" t="str">
            <v>CUST-147</v>
          </cell>
          <cell r="B148" t="str">
            <v>Kamalar Ramteke</v>
          </cell>
        </row>
        <row r="149">
          <cell r="A149" t="str">
            <v>CUST-148</v>
          </cell>
          <cell r="B149" t="str">
            <v>Kamlesh Chidate ( Raj Dad )</v>
          </cell>
        </row>
        <row r="150">
          <cell r="A150" t="str">
            <v>CUST-149</v>
          </cell>
          <cell r="B150" t="str">
            <v>Karan</v>
          </cell>
        </row>
        <row r="151">
          <cell r="A151" t="str">
            <v>CUST-150</v>
          </cell>
          <cell r="B151" t="str">
            <v>Khare Uncle ( Raj Dad )</v>
          </cell>
        </row>
        <row r="152">
          <cell r="A152" t="str">
            <v>CUST-151</v>
          </cell>
          <cell r="B152" t="str">
            <v xml:space="preserve">Khobragade </v>
          </cell>
        </row>
        <row r="153">
          <cell r="A153" t="str">
            <v>CUST-152</v>
          </cell>
          <cell r="B153" t="str">
            <v>Kiran</v>
          </cell>
        </row>
        <row r="154">
          <cell r="A154" t="str">
            <v>CUST-153</v>
          </cell>
          <cell r="B154" t="str">
            <v>Kirmire ( Raj Dad )</v>
          </cell>
        </row>
        <row r="155">
          <cell r="A155" t="str">
            <v>CUST-154</v>
          </cell>
          <cell r="B155" t="str">
            <v>Kishor Buratkar</v>
          </cell>
        </row>
        <row r="156">
          <cell r="A156" t="str">
            <v>CUST-155</v>
          </cell>
          <cell r="B156" t="str">
            <v>Komal Bhaiya</v>
          </cell>
        </row>
        <row r="157">
          <cell r="A157" t="str">
            <v>CUST-156</v>
          </cell>
          <cell r="B157" t="str">
            <v>Kotkar</v>
          </cell>
        </row>
        <row r="158">
          <cell r="A158" t="str">
            <v>CUST-157</v>
          </cell>
          <cell r="B158" t="str">
            <v>Krishna United</v>
          </cell>
        </row>
        <row r="159">
          <cell r="A159" t="str">
            <v>CUST-158</v>
          </cell>
          <cell r="B159" t="str">
            <v xml:space="preserve">Kunal ( Roshan Order </v>
          </cell>
        </row>
        <row r="160">
          <cell r="A160" t="str">
            <v>CUST-159</v>
          </cell>
          <cell r="B160" t="str">
            <v>Kunal Dhole</v>
          </cell>
        </row>
        <row r="161">
          <cell r="A161" t="str">
            <v>CUST-160</v>
          </cell>
          <cell r="B161" t="str">
            <v>Lakhan</v>
          </cell>
        </row>
        <row r="162">
          <cell r="A162" t="str">
            <v>CUST-161</v>
          </cell>
          <cell r="B162" t="str">
            <v>Lalit Nimkar</v>
          </cell>
        </row>
        <row r="163">
          <cell r="A163" t="str">
            <v>CUST-162</v>
          </cell>
          <cell r="B163" t="str">
            <v>Langda ( Mahendra )</v>
          </cell>
        </row>
        <row r="164">
          <cell r="A164" t="str">
            <v>CUST-163</v>
          </cell>
          <cell r="B164" t="str">
            <v>Lemon Sao</v>
          </cell>
        </row>
        <row r="165">
          <cell r="A165" t="str">
            <v>CUST-164</v>
          </cell>
          <cell r="B165" t="str">
            <v>Lokhande</v>
          </cell>
        </row>
        <row r="166">
          <cell r="A166" t="str">
            <v>CUST-165</v>
          </cell>
          <cell r="B166" t="str">
            <v>Lonbole</v>
          </cell>
        </row>
        <row r="167">
          <cell r="A167" t="str">
            <v>CUST-166</v>
          </cell>
          <cell r="B167" t="str">
            <v>Maane</v>
          </cell>
        </row>
        <row r="168">
          <cell r="A168" t="str">
            <v>CUST-167</v>
          </cell>
          <cell r="B168" t="str">
            <v>Madhu Zanke ( Papa Order )</v>
          </cell>
        </row>
        <row r="169">
          <cell r="A169" t="str">
            <v>CUST-168</v>
          </cell>
          <cell r="B169" t="str">
            <v>Mahendra  CCTV</v>
          </cell>
        </row>
        <row r="170">
          <cell r="A170" t="str">
            <v>CUST-169</v>
          </cell>
          <cell r="B170" t="str">
            <v>Mahendra Order</v>
          </cell>
        </row>
        <row r="171">
          <cell r="A171" t="str">
            <v>CUST-170</v>
          </cell>
          <cell r="B171" t="str">
            <v>Mahesh P</v>
          </cell>
        </row>
        <row r="172">
          <cell r="A172" t="str">
            <v>CUST-171</v>
          </cell>
          <cell r="B172" t="str">
            <v>Mahesh Thekedar</v>
          </cell>
        </row>
        <row r="173">
          <cell r="A173" t="str">
            <v>CUST-172</v>
          </cell>
          <cell r="B173" t="str">
            <v>Malli Bhaiya</v>
          </cell>
        </row>
        <row r="174">
          <cell r="A174" t="str">
            <v>CUST-173</v>
          </cell>
          <cell r="B174" t="str">
            <v>Mandir</v>
          </cell>
        </row>
        <row r="175">
          <cell r="A175" t="str">
            <v>CUST-174</v>
          </cell>
          <cell r="B175" t="str">
            <v>Manish Ramteke</v>
          </cell>
        </row>
        <row r="176">
          <cell r="A176" t="str">
            <v>CUST-175</v>
          </cell>
          <cell r="B176" t="str">
            <v>Manish Raykunde</v>
          </cell>
        </row>
        <row r="177">
          <cell r="A177" t="str">
            <v>CUST-176</v>
          </cell>
          <cell r="B177" t="str">
            <v>Manoj Khokle</v>
          </cell>
        </row>
        <row r="178">
          <cell r="A178" t="str">
            <v>CUST-177</v>
          </cell>
          <cell r="B178" t="str">
            <v>Masirkar</v>
          </cell>
        </row>
        <row r="179">
          <cell r="A179" t="str">
            <v>CUST-178</v>
          </cell>
          <cell r="B179" t="str">
            <v>Matthe</v>
          </cell>
        </row>
        <row r="180">
          <cell r="A180" t="str">
            <v>CUST-179</v>
          </cell>
          <cell r="B180" t="str">
            <v xml:space="preserve">MD </v>
          </cell>
        </row>
        <row r="181">
          <cell r="A181" t="str">
            <v>CUST-180</v>
          </cell>
          <cell r="B181" t="str">
            <v>Mehul Bhaiya</v>
          </cell>
        </row>
        <row r="182">
          <cell r="A182" t="str">
            <v>CUST-181</v>
          </cell>
          <cell r="B182" t="str">
            <v>Meshram</v>
          </cell>
        </row>
        <row r="183">
          <cell r="A183" t="str">
            <v>CUST-182</v>
          </cell>
          <cell r="B183" t="str">
            <v>Mohan Lonbole</v>
          </cell>
        </row>
        <row r="184">
          <cell r="A184" t="str">
            <v>CUST-183</v>
          </cell>
          <cell r="B184" t="str">
            <v>Morey Cycle</v>
          </cell>
        </row>
        <row r="185">
          <cell r="A185" t="str">
            <v>CUST-184</v>
          </cell>
          <cell r="B185" t="str">
            <v>Mukesh</v>
          </cell>
        </row>
        <row r="186">
          <cell r="A186" t="str">
            <v>CUST-185</v>
          </cell>
          <cell r="B186" t="str">
            <v>Naeem Bhaiya</v>
          </cell>
        </row>
        <row r="187">
          <cell r="A187" t="str">
            <v>CUST-186</v>
          </cell>
          <cell r="B187" t="str">
            <v>Nagapure</v>
          </cell>
        </row>
        <row r="188">
          <cell r="A188" t="str">
            <v>CUST-187</v>
          </cell>
          <cell r="B188" t="str">
            <v>Nagendra Gadge</v>
          </cell>
        </row>
        <row r="189">
          <cell r="A189" t="str">
            <v>CUST-188</v>
          </cell>
          <cell r="B189" t="str">
            <v>Naitam</v>
          </cell>
        </row>
        <row r="190">
          <cell r="A190" t="str">
            <v>CUST-189</v>
          </cell>
          <cell r="B190" t="str">
            <v>Nana ( Raj Dad )</v>
          </cell>
        </row>
        <row r="191">
          <cell r="A191" t="str">
            <v>CUST-190</v>
          </cell>
          <cell r="B191" t="str">
            <v>Narayan Tiles</v>
          </cell>
        </row>
        <row r="192">
          <cell r="A192" t="str">
            <v>CUST-191</v>
          </cell>
          <cell r="B192" t="str">
            <v>Narayana Kakaji</v>
          </cell>
        </row>
        <row r="193">
          <cell r="A193" t="str">
            <v>CUST-192</v>
          </cell>
          <cell r="B193" t="str">
            <v>Narendra Chiwande ( Roshan )</v>
          </cell>
        </row>
        <row r="194">
          <cell r="A194" t="str">
            <v>CUST-193</v>
          </cell>
          <cell r="B194" t="str">
            <v>Naresh Gaware</v>
          </cell>
        </row>
        <row r="195">
          <cell r="A195" t="str">
            <v>CUST-194</v>
          </cell>
          <cell r="B195" t="str">
            <v>Naresh Kaka</v>
          </cell>
        </row>
        <row r="196">
          <cell r="A196" t="str">
            <v>CUST-195</v>
          </cell>
          <cell r="B196" t="str">
            <v>Naryana Uncle Friend</v>
          </cell>
        </row>
        <row r="197">
          <cell r="A197" t="str">
            <v>CUST-196</v>
          </cell>
          <cell r="B197" t="str">
            <v>National</v>
          </cell>
        </row>
        <row r="198">
          <cell r="A198" t="str">
            <v>CUST-197</v>
          </cell>
          <cell r="B198" t="str">
            <v>Nattu Meshram</v>
          </cell>
        </row>
        <row r="199">
          <cell r="A199" t="str">
            <v>CUST-198</v>
          </cell>
          <cell r="B199" t="str">
            <v>Navel Bhaiya</v>
          </cell>
        </row>
        <row r="200">
          <cell r="A200" t="str">
            <v>CUST-199</v>
          </cell>
          <cell r="B200" t="str">
            <v xml:space="preserve">Near Yenurkar House </v>
          </cell>
        </row>
        <row r="201">
          <cell r="A201" t="str">
            <v>CUST-200</v>
          </cell>
          <cell r="B201" t="str">
            <v>Nidhi Dhodhare</v>
          </cell>
        </row>
        <row r="202">
          <cell r="A202" t="str">
            <v>CUST-201</v>
          </cell>
          <cell r="B202" t="str">
            <v>Nikhil Aaglave</v>
          </cell>
        </row>
        <row r="203">
          <cell r="A203" t="str">
            <v>CUST-202</v>
          </cell>
          <cell r="B203" t="str">
            <v>Nishan Bhattar</v>
          </cell>
        </row>
        <row r="204">
          <cell r="A204" t="str">
            <v>CUST-203</v>
          </cell>
          <cell r="B204" t="str">
            <v>Nishu Bhaiya</v>
          </cell>
        </row>
        <row r="205">
          <cell r="A205" t="str">
            <v>CUST-204</v>
          </cell>
          <cell r="B205" t="str">
            <v>Nitesh</v>
          </cell>
        </row>
        <row r="206">
          <cell r="A206" t="str">
            <v>CUST-205</v>
          </cell>
          <cell r="B206" t="str">
            <v>Nitesh Khandarkar ( Mahendra )</v>
          </cell>
        </row>
        <row r="207">
          <cell r="A207" t="str">
            <v>CUST-206</v>
          </cell>
          <cell r="B207" t="str">
            <v>Nitin Bhoyar</v>
          </cell>
        </row>
        <row r="208">
          <cell r="A208" t="str">
            <v>CUST-207</v>
          </cell>
          <cell r="B208" t="str">
            <v>Nitin Prasad</v>
          </cell>
        </row>
        <row r="209">
          <cell r="A209" t="str">
            <v>CUST-208</v>
          </cell>
          <cell r="B209" t="str">
            <v xml:space="preserve">Nitin Prasad </v>
          </cell>
        </row>
        <row r="210">
          <cell r="A210" t="str">
            <v>CUST-209</v>
          </cell>
          <cell r="B210" t="str">
            <v>Nitin Prasad ( Gandhare )</v>
          </cell>
        </row>
        <row r="211">
          <cell r="A211" t="str">
            <v>CUST-210</v>
          </cell>
          <cell r="B211" t="str">
            <v>Noor ( Lak Wala )</v>
          </cell>
        </row>
        <row r="212">
          <cell r="A212" t="str">
            <v>CUST-211</v>
          </cell>
          <cell r="B212" t="str">
            <v>Noor Garage ( Mahendra )</v>
          </cell>
        </row>
        <row r="213">
          <cell r="A213" t="str">
            <v>CUST-212</v>
          </cell>
          <cell r="B213" t="str">
            <v>Omdas</v>
          </cell>
        </row>
        <row r="214">
          <cell r="A214" t="str">
            <v>CUST-213</v>
          </cell>
          <cell r="B214" t="str">
            <v>Papa Order</v>
          </cell>
        </row>
        <row r="215">
          <cell r="A215" t="str">
            <v>CUST-214</v>
          </cell>
          <cell r="B215" t="str">
            <v xml:space="preserve">Papa Order </v>
          </cell>
        </row>
        <row r="216">
          <cell r="A216" t="str">
            <v>CUST-215</v>
          </cell>
          <cell r="B216" t="str">
            <v>Paranav Bobade</v>
          </cell>
        </row>
        <row r="217">
          <cell r="A217" t="str">
            <v>CUST-216</v>
          </cell>
          <cell r="B217" t="str">
            <v>Parchake</v>
          </cell>
        </row>
        <row r="218">
          <cell r="A218" t="str">
            <v>CUST-217</v>
          </cell>
          <cell r="B218" t="str">
            <v>Pari Doctor</v>
          </cell>
        </row>
        <row r="219">
          <cell r="A219" t="str">
            <v>CUST-218</v>
          </cell>
          <cell r="B219" t="str">
            <v>Patel</v>
          </cell>
        </row>
        <row r="220">
          <cell r="A220" t="str">
            <v>CUST-219</v>
          </cell>
          <cell r="B220" t="str">
            <v>Pawan (Friend)</v>
          </cell>
        </row>
        <row r="221">
          <cell r="A221" t="str">
            <v>CUST-220</v>
          </cell>
          <cell r="B221" t="str">
            <v>Pawan Order</v>
          </cell>
        </row>
        <row r="222">
          <cell r="A222" t="str">
            <v>CUST-221</v>
          </cell>
          <cell r="B222" t="str">
            <v>Pawar</v>
          </cell>
        </row>
        <row r="223">
          <cell r="A223" t="str">
            <v>CUST-222</v>
          </cell>
          <cell r="B223" t="str">
            <v>Pinge</v>
          </cell>
        </row>
        <row r="224">
          <cell r="A224" t="str">
            <v>CUST-223</v>
          </cell>
          <cell r="B224" t="str">
            <v>Piyush</v>
          </cell>
        </row>
        <row r="225">
          <cell r="A225" t="str">
            <v>CUST-224</v>
          </cell>
          <cell r="B225" t="str">
            <v>Poilice Gaju</v>
          </cell>
        </row>
        <row r="226">
          <cell r="A226" t="str">
            <v>CUST-225</v>
          </cell>
          <cell r="B226" t="str">
            <v>Police Station</v>
          </cell>
        </row>
        <row r="227">
          <cell r="A227" t="str">
            <v>CUST-226</v>
          </cell>
          <cell r="B227" t="str">
            <v>Police Wala Saheb</v>
          </cell>
        </row>
        <row r="228">
          <cell r="A228" t="str">
            <v>CUST-227</v>
          </cell>
          <cell r="B228" t="str">
            <v>Pradip Chitade</v>
          </cell>
        </row>
        <row r="229">
          <cell r="A229" t="str">
            <v>CUST-228</v>
          </cell>
          <cell r="B229" t="str">
            <v>Prajwal Kasaute (Ashay Jal )</v>
          </cell>
        </row>
        <row r="230">
          <cell r="A230" t="str">
            <v>CUST-229</v>
          </cell>
          <cell r="B230" t="str">
            <v>Prakash kale</v>
          </cell>
        </row>
        <row r="231">
          <cell r="A231" t="str">
            <v>CUST-230</v>
          </cell>
          <cell r="B231" t="str">
            <v>Prakash Nagarkar</v>
          </cell>
        </row>
        <row r="232">
          <cell r="A232" t="str">
            <v>CUST-231</v>
          </cell>
          <cell r="B232" t="str">
            <v>Pramod Mistri</v>
          </cell>
        </row>
        <row r="233">
          <cell r="A233" t="str">
            <v>CUST-232</v>
          </cell>
          <cell r="B233" t="str">
            <v>Pranav Bhobde</v>
          </cell>
        </row>
        <row r="234">
          <cell r="A234" t="str">
            <v>CUST-233</v>
          </cell>
          <cell r="B234" t="str">
            <v>Prasahant</v>
          </cell>
        </row>
        <row r="235">
          <cell r="A235" t="str">
            <v>CUST-234</v>
          </cell>
          <cell r="B235" t="str">
            <v>Pratap Yard ( Raj Dad )</v>
          </cell>
        </row>
        <row r="236">
          <cell r="A236" t="str">
            <v>CUST-235</v>
          </cell>
          <cell r="B236" t="str">
            <v>Pravin Singh</v>
          </cell>
        </row>
        <row r="237">
          <cell r="A237" t="str">
            <v>CUST-236</v>
          </cell>
          <cell r="B237" t="str">
            <v>Preet Bhaiya</v>
          </cell>
        </row>
        <row r="238">
          <cell r="A238" t="str">
            <v>CUST-237</v>
          </cell>
          <cell r="B238" t="str">
            <v>Preet Friend</v>
          </cell>
        </row>
        <row r="239">
          <cell r="A239" t="str">
            <v>CUST-238</v>
          </cell>
          <cell r="B239" t="str">
            <v>Prem Meshram</v>
          </cell>
        </row>
        <row r="240">
          <cell r="A240" t="str">
            <v>CUST-239</v>
          </cell>
          <cell r="B240" t="str">
            <v>Punay Pawar</v>
          </cell>
        </row>
        <row r="241">
          <cell r="A241" t="str">
            <v>CUST-240</v>
          </cell>
          <cell r="B241" t="str">
            <v>Puncture Wala</v>
          </cell>
        </row>
        <row r="242">
          <cell r="A242" t="str">
            <v>CUST-241</v>
          </cell>
          <cell r="B242" t="str">
            <v>Rachna Ramteke</v>
          </cell>
        </row>
        <row r="243">
          <cell r="A243" t="str">
            <v>CUST-242</v>
          </cell>
          <cell r="B243" t="str">
            <v>Rafik Thekedar</v>
          </cell>
        </row>
        <row r="244">
          <cell r="A244" t="str">
            <v>CUST-243</v>
          </cell>
          <cell r="B244" t="str">
            <v>Rahim Bhaiya</v>
          </cell>
        </row>
        <row r="245">
          <cell r="A245" t="str">
            <v>CUST-244</v>
          </cell>
          <cell r="B245" t="str">
            <v>Rahish ( Mahendra )</v>
          </cell>
        </row>
        <row r="246">
          <cell r="A246" t="str">
            <v>CUST-245</v>
          </cell>
          <cell r="B246" t="str">
            <v>Rahul</v>
          </cell>
        </row>
        <row r="247">
          <cell r="A247" t="str">
            <v>CUST-246</v>
          </cell>
          <cell r="B247" t="str">
            <v>Rahul Borkute</v>
          </cell>
        </row>
        <row r="248">
          <cell r="A248" t="str">
            <v>CUST-247</v>
          </cell>
          <cell r="B248" t="str">
            <v>Rahul Dada</v>
          </cell>
        </row>
        <row r="249">
          <cell r="A249" t="str">
            <v>CUST-248</v>
          </cell>
          <cell r="B249" t="str">
            <v>Rahul Dhaba</v>
          </cell>
        </row>
        <row r="250">
          <cell r="A250" t="str">
            <v>CUST-249</v>
          </cell>
          <cell r="B250" t="str">
            <v>Rahul Kode</v>
          </cell>
        </row>
        <row r="251">
          <cell r="A251" t="str">
            <v>CUST-250</v>
          </cell>
          <cell r="B251" t="str">
            <v>Railway</v>
          </cell>
        </row>
        <row r="252">
          <cell r="A252" t="str">
            <v>CUST-251</v>
          </cell>
          <cell r="B252" t="str">
            <v>Railway Bridge</v>
          </cell>
        </row>
        <row r="253">
          <cell r="A253" t="str">
            <v>CUST-252</v>
          </cell>
          <cell r="B253" t="str">
            <v>Raj Dad Order</v>
          </cell>
        </row>
        <row r="254">
          <cell r="A254" t="str">
            <v>CUST-253</v>
          </cell>
          <cell r="B254" t="str">
            <v>Raj Order</v>
          </cell>
        </row>
        <row r="255">
          <cell r="A255" t="str">
            <v>CUST-254</v>
          </cell>
          <cell r="B255" t="str">
            <v>Raj Owned</v>
          </cell>
        </row>
        <row r="256">
          <cell r="A256" t="str">
            <v>CUST-255</v>
          </cell>
          <cell r="B256" t="str">
            <v>Raj Sir</v>
          </cell>
        </row>
        <row r="257">
          <cell r="A257" t="str">
            <v>CUST-256</v>
          </cell>
          <cell r="B257" t="str">
            <v>Raj Traders</v>
          </cell>
        </row>
        <row r="258">
          <cell r="A258" t="str">
            <v>CUST-257</v>
          </cell>
          <cell r="B258" t="str">
            <v xml:space="preserve">Rajesh ( Ravi Mama </v>
          </cell>
        </row>
        <row r="259">
          <cell r="A259" t="str">
            <v>CUST-258</v>
          </cell>
          <cell r="B259" t="str">
            <v>Rajesh Kade</v>
          </cell>
        </row>
        <row r="260">
          <cell r="A260" t="str">
            <v>CUST-259</v>
          </cell>
          <cell r="B260" t="str">
            <v>Rajesh Singh</v>
          </cell>
        </row>
        <row r="261">
          <cell r="A261" t="str">
            <v>CUST-260</v>
          </cell>
          <cell r="B261" t="str">
            <v>Rajesh Thakur</v>
          </cell>
        </row>
        <row r="262">
          <cell r="A262" t="str">
            <v>CUST-261</v>
          </cell>
          <cell r="B262" t="str">
            <v>Raju Bala ( Raj Dad )</v>
          </cell>
        </row>
        <row r="263">
          <cell r="A263" t="str">
            <v>CUST-262</v>
          </cell>
          <cell r="B263" t="str">
            <v>Raju Manusmare</v>
          </cell>
        </row>
        <row r="264">
          <cell r="A264" t="str">
            <v>CUST-263</v>
          </cell>
          <cell r="B264" t="str">
            <v>Raju Mistri ( Mahendra )</v>
          </cell>
        </row>
        <row r="265">
          <cell r="A265" t="str">
            <v>CUST-264</v>
          </cell>
          <cell r="B265" t="str">
            <v>Raju Sangarthi</v>
          </cell>
        </row>
        <row r="266">
          <cell r="A266" t="str">
            <v>CUST-265</v>
          </cell>
          <cell r="B266" t="str">
            <v>Rajura Thekedar</v>
          </cell>
        </row>
        <row r="267">
          <cell r="A267" t="str">
            <v>CUST-266</v>
          </cell>
          <cell r="B267" t="str">
            <v>Rakesh</v>
          </cell>
        </row>
        <row r="268">
          <cell r="A268" t="str">
            <v>CUST-267</v>
          </cell>
          <cell r="B268" t="str">
            <v>Rakesh Aagat ( Raj )</v>
          </cell>
        </row>
        <row r="269">
          <cell r="A269" t="str">
            <v>CUST-268</v>
          </cell>
          <cell r="B269" t="str">
            <v>Rakesh Ramteke</v>
          </cell>
        </row>
        <row r="270">
          <cell r="A270" t="str">
            <v>CUST-269</v>
          </cell>
          <cell r="B270" t="str">
            <v>Ramchandra Dongre</v>
          </cell>
        </row>
        <row r="271">
          <cell r="A271" t="str">
            <v>CUST-270</v>
          </cell>
          <cell r="B271" t="str">
            <v>Ramteke</v>
          </cell>
        </row>
        <row r="272">
          <cell r="A272" t="str">
            <v>CUST-271</v>
          </cell>
          <cell r="B272" t="str">
            <v>Rasees</v>
          </cell>
        </row>
        <row r="273">
          <cell r="A273" t="str">
            <v>CUST-272</v>
          </cell>
          <cell r="B273" t="str">
            <v>Rashtrawadi ( Raj )</v>
          </cell>
        </row>
        <row r="274">
          <cell r="A274" t="str">
            <v>CUST-273</v>
          </cell>
          <cell r="B274" t="str">
            <v>Rasses Order</v>
          </cell>
        </row>
        <row r="275">
          <cell r="A275" t="str">
            <v>CUST-274</v>
          </cell>
          <cell r="B275" t="str">
            <v>Raut</v>
          </cell>
        </row>
        <row r="276">
          <cell r="A276" t="str">
            <v>CUST-275</v>
          </cell>
          <cell r="B276" t="str">
            <v>Ravi Electrician</v>
          </cell>
        </row>
        <row r="277">
          <cell r="A277" t="str">
            <v>CUST-276</v>
          </cell>
          <cell r="B277" t="str">
            <v>Ravi Mama</v>
          </cell>
        </row>
        <row r="278">
          <cell r="A278" t="str">
            <v>CUST-277</v>
          </cell>
          <cell r="B278" t="str">
            <v>Ravi Morey</v>
          </cell>
        </row>
        <row r="279">
          <cell r="A279" t="str">
            <v>CUST-278</v>
          </cell>
          <cell r="B279" t="str">
            <v>Ravi Wandare</v>
          </cell>
        </row>
        <row r="280">
          <cell r="A280" t="str">
            <v>CUST-279</v>
          </cell>
          <cell r="B280" t="str">
            <v>Rawal Bhaiya</v>
          </cell>
        </row>
        <row r="281">
          <cell r="A281" t="str">
            <v>CUST-280</v>
          </cell>
          <cell r="B281" t="str">
            <v>Rishab Dupare</v>
          </cell>
        </row>
        <row r="282">
          <cell r="A282" t="str">
            <v>CUST-281</v>
          </cell>
          <cell r="B282" t="str">
            <v>Road ( Raj Dad )</v>
          </cell>
        </row>
        <row r="283">
          <cell r="A283" t="str">
            <v>CUST-282</v>
          </cell>
          <cell r="B283" t="str">
            <v>Rohan</v>
          </cell>
        </row>
        <row r="284">
          <cell r="A284" t="str">
            <v>CUST-283</v>
          </cell>
          <cell r="B284" t="str">
            <v>Rohan Nagarkar</v>
          </cell>
        </row>
        <row r="285">
          <cell r="A285" t="str">
            <v>CUST-284</v>
          </cell>
          <cell r="B285" t="str">
            <v>Rohankar ( Raj Dad )</v>
          </cell>
        </row>
        <row r="286">
          <cell r="A286" t="str">
            <v>CUST-285</v>
          </cell>
          <cell r="B286" t="str">
            <v>Rohit Jograna</v>
          </cell>
        </row>
        <row r="287">
          <cell r="A287" t="str">
            <v>CUST-286</v>
          </cell>
          <cell r="B287" t="str">
            <v>Rohit Prasad</v>
          </cell>
        </row>
        <row r="288">
          <cell r="A288" t="str">
            <v>CUST-287</v>
          </cell>
          <cell r="B288" t="str">
            <v>Roshan</v>
          </cell>
        </row>
        <row r="289">
          <cell r="A289" t="str">
            <v>CUST-288</v>
          </cell>
          <cell r="B289" t="str">
            <v>Roshan Order</v>
          </cell>
        </row>
        <row r="290">
          <cell r="A290" t="str">
            <v>CUST-289</v>
          </cell>
          <cell r="B290" t="str">
            <v>Roshan Raj Dad</v>
          </cell>
        </row>
        <row r="291">
          <cell r="A291" t="str">
            <v>CUST-290</v>
          </cell>
          <cell r="B291" t="str">
            <v>RTO</v>
          </cell>
        </row>
        <row r="292">
          <cell r="A292" t="str">
            <v>CUST-291</v>
          </cell>
          <cell r="B292" t="str">
            <v>Rupesh Regundewar</v>
          </cell>
        </row>
        <row r="293">
          <cell r="A293" t="str">
            <v>CUST-292</v>
          </cell>
          <cell r="B293" t="str">
            <v>RVF Railway</v>
          </cell>
        </row>
        <row r="294">
          <cell r="A294" t="str">
            <v>CUST-293</v>
          </cell>
          <cell r="B294" t="str">
            <v>Sachin</v>
          </cell>
        </row>
        <row r="295">
          <cell r="A295" t="str">
            <v>CUST-294</v>
          </cell>
          <cell r="B295" t="str">
            <v>Sachin Gawande</v>
          </cell>
        </row>
        <row r="296">
          <cell r="A296" t="str">
            <v>CUST-295</v>
          </cell>
          <cell r="B296" t="str">
            <v>Sachin K</v>
          </cell>
        </row>
        <row r="297">
          <cell r="A297" t="str">
            <v>CUST-296</v>
          </cell>
          <cell r="B297" t="str">
            <v>Sadwe Hardware</v>
          </cell>
        </row>
        <row r="298">
          <cell r="A298" t="str">
            <v>CUST-297</v>
          </cell>
          <cell r="B298" t="str">
            <v>Sagar Ghorade</v>
          </cell>
        </row>
        <row r="299">
          <cell r="A299" t="str">
            <v>CUST-298</v>
          </cell>
          <cell r="B299" t="str">
            <v>Sagar Morey ( Mahendra )</v>
          </cell>
        </row>
        <row r="300">
          <cell r="A300" t="str">
            <v>CUST-299</v>
          </cell>
          <cell r="B300" t="str">
            <v>Sahil Derkar</v>
          </cell>
        </row>
        <row r="301">
          <cell r="A301" t="str">
            <v>CUST-300</v>
          </cell>
          <cell r="B301" t="str">
            <v>Saija Bai</v>
          </cell>
        </row>
        <row r="302">
          <cell r="A302" t="str">
            <v>CUST-301</v>
          </cell>
          <cell r="B302" t="str">
            <v>Sainaith Jungure</v>
          </cell>
        </row>
        <row r="303">
          <cell r="A303" t="str">
            <v>CUST-302</v>
          </cell>
          <cell r="B303" t="str">
            <v>Sakdev</v>
          </cell>
        </row>
        <row r="304">
          <cell r="A304" t="str">
            <v>CUST-303</v>
          </cell>
          <cell r="B304" t="str">
            <v>Salam Kalam</v>
          </cell>
        </row>
        <row r="305">
          <cell r="A305" t="str">
            <v>CUST-304</v>
          </cell>
          <cell r="B305" t="str">
            <v>Salim</v>
          </cell>
        </row>
        <row r="306">
          <cell r="A306" t="str">
            <v>CUST-305</v>
          </cell>
          <cell r="B306" t="str">
            <v>Sammer Ingole</v>
          </cell>
        </row>
        <row r="307">
          <cell r="A307" t="str">
            <v>CUST-306</v>
          </cell>
          <cell r="B307" t="str">
            <v>Sandeep Borkhute</v>
          </cell>
        </row>
        <row r="308">
          <cell r="A308" t="str">
            <v>CUST-307</v>
          </cell>
          <cell r="B308" t="str">
            <v>Sanjeet Police</v>
          </cell>
        </row>
        <row r="309">
          <cell r="A309" t="str">
            <v>CUST-308</v>
          </cell>
          <cell r="B309" t="str">
            <v>Sanju</v>
          </cell>
        </row>
        <row r="310">
          <cell r="A310" t="str">
            <v>CUST-309</v>
          </cell>
          <cell r="B310" t="str">
            <v>Sanju Ghate</v>
          </cell>
        </row>
        <row r="311">
          <cell r="A311" t="str">
            <v>CUST-310</v>
          </cell>
          <cell r="B311" t="str">
            <v>Sanju Sonwane ( Mahendra )</v>
          </cell>
        </row>
        <row r="312">
          <cell r="A312" t="str">
            <v>CUST-311</v>
          </cell>
          <cell r="B312" t="str">
            <v>Santosh</v>
          </cell>
        </row>
        <row r="313">
          <cell r="A313" t="str">
            <v>CUST-312</v>
          </cell>
          <cell r="B313" t="str">
            <v>Santosh Bhaiya</v>
          </cell>
        </row>
        <row r="314">
          <cell r="A314" t="str">
            <v>CUST-313</v>
          </cell>
          <cell r="B314" t="str">
            <v>Santosh Bhaiya Order</v>
          </cell>
        </row>
        <row r="315">
          <cell r="A315" t="str">
            <v>CUST-314</v>
          </cell>
          <cell r="B315" t="str">
            <v>Santosh Bonwar</v>
          </cell>
        </row>
        <row r="316">
          <cell r="A316" t="str">
            <v>CUST-315</v>
          </cell>
          <cell r="B316" t="str">
            <v>Santosh Order</v>
          </cell>
        </row>
        <row r="317">
          <cell r="A317" t="str">
            <v>CUST-316</v>
          </cell>
          <cell r="B317" t="str">
            <v>Santosh Parde ( Raj Dad )</v>
          </cell>
        </row>
        <row r="318">
          <cell r="A318" t="str">
            <v>CUST-317</v>
          </cell>
          <cell r="B318" t="str">
            <v>Santosh Sinha</v>
          </cell>
        </row>
        <row r="319">
          <cell r="A319" t="str">
            <v>CUST-318</v>
          </cell>
          <cell r="B319" t="str">
            <v>Sarda Angency ( Raj Dad )</v>
          </cell>
        </row>
        <row r="320">
          <cell r="A320" t="str">
            <v>CUST-319</v>
          </cell>
          <cell r="B320" t="str">
            <v>Sashikant ( Raj )</v>
          </cell>
        </row>
        <row r="321">
          <cell r="A321" t="str">
            <v>CUST-320</v>
          </cell>
          <cell r="B321" t="str">
            <v>Sau</v>
          </cell>
        </row>
        <row r="322">
          <cell r="A322" t="str">
            <v>CUST-321</v>
          </cell>
          <cell r="B322" t="str">
            <v>Sau Thekedar</v>
          </cell>
        </row>
        <row r="323">
          <cell r="A323" t="str">
            <v>CUST-322</v>
          </cell>
          <cell r="B323" t="str">
            <v>Saurabh Meshram</v>
          </cell>
        </row>
        <row r="324">
          <cell r="A324" t="str">
            <v>CUST-323</v>
          </cell>
          <cell r="B324" t="str">
            <v>Saurabh Vidhate</v>
          </cell>
        </row>
        <row r="325">
          <cell r="A325" t="str">
            <v>CUST-324</v>
          </cell>
          <cell r="B325" t="str">
            <v>Seat Wala</v>
          </cell>
        </row>
        <row r="326">
          <cell r="A326" t="str">
            <v>CUST-325</v>
          </cell>
          <cell r="B326" t="str">
            <v>Shailja Enterprise</v>
          </cell>
        </row>
        <row r="327">
          <cell r="A327" t="str">
            <v>CUST-326</v>
          </cell>
          <cell r="B327" t="str">
            <v xml:space="preserve">Sham Builder </v>
          </cell>
        </row>
        <row r="328">
          <cell r="A328" t="str">
            <v>CUST-327</v>
          </cell>
          <cell r="B328" t="str">
            <v>Shardur</v>
          </cell>
        </row>
        <row r="329">
          <cell r="A329" t="str">
            <v>CUST-328</v>
          </cell>
          <cell r="B329" t="str">
            <v>Sharif Mistri</v>
          </cell>
        </row>
        <row r="330">
          <cell r="A330" t="str">
            <v>CUST-329</v>
          </cell>
          <cell r="B330" t="str">
            <v>Sharik</v>
          </cell>
        </row>
        <row r="331">
          <cell r="A331" t="str">
            <v>CUST-330</v>
          </cell>
          <cell r="B331" t="str">
            <v xml:space="preserve">Sharik </v>
          </cell>
        </row>
        <row r="332">
          <cell r="A332" t="str">
            <v>CUST-331</v>
          </cell>
          <cell r="B332" t="str">
            <v>Sharik thekedar</v>
          </cell>
        </row>
        <row r="333">
          <cell r="A333" t="str">
            <v>CUST-332</v>
          </cell>
          <cell r="B333" t="str">
            <v>Sharukh Bhaiya</v>
          </cell>
        </row>
        <row r="334">
          <cell r="A334" t="str">
            <v>CUST-333</v>
          </cell>
          <cell r="B334" t="str">
            <v>Shende</v>
          </cell>
        </row>
        <row r="335">
          <cell r="A335" t="str">
            <v>CUST-334</v>
          </cell>
          <cell r="B335" t="str">
            <v>Shera Bhaiya</v>
          </cell>
        </row>
        <row r="336">
          <cell r="A336" t="str">
            <v>CUST-335</v>
          </cell>
          <cell r="B336" t="str">
            <v>Shiv Mandir</v>
          </cell>
        </row>
        <row r="337">
          <cell r="A337" t="str">
            <v>CUST-336</v>
          </cell>
          <cell r="B337" t="str">
            <v>Shiva Korewar</v>
          </cell>
        </row>
        <row r="338">
          <cell r="A338" t="str">
            <v>CUST-337</v>
          </cell>
          <cell r="B338" t="str">
            <v>Shri Sai ( Raj Dad )</v>
          </cell>
        </row>
        <row r="339">
          <cell r="A339" t="str">
            <v>CUST-338</v>
          </cell>
          <cell r="B339" t="str">
            <v>Shrisagar</v>
          </cell>
        </row>
        <row r="340">
          <cell r="A340" t="str">
            <v>CUST-339</v>
          </cell>
          <cell r="B340" t="str">
            <v>Shubham Bondare</v>
          </cell>
        </row>
        <row r="341">
          <cell r="A341" t="str">
            <v>CUST-340</v>
          </cell>
          <cell r="B341" t="str">
            <v>Shubham Dada</v>
          </cell>
        </row>
        <row r="342">
          <cell r="A342" t="str">
            <v>CUST-341</v>
          </cell>
          <cell r="B342" t="str">
            <v>Shubham Sakarkar</v>
          </cell>
        </row>
        <row r="343">
          <cell r="A343" t="str">
            <v>CUST-342</v>
          </cell>
          <cell r="B343" t="str">
            <v>Shubhash Mistri</v>
          </cell>
        </row>
        <row r="344">
          <cell r="A344" t="str">
            <v>CUST-343</v>
          </cell>
          <cell r="B344" t="str">
            <v>Shyam Kulmete</v>
          </cell>
        </row>
        <row r="345">
          <cell r="A345" t="str">
            <v>CUST-344</v>
          </cell>
          <cell r="B345" t="str">
            <v>Sina Thekedar</v>
          </cell>
        </row>
        <row r="346">
          <cell r="A346" t="str">
            <v>CUST-345</v>
          </cell>
          <cell r="B346" t="str">
            <v>Sonalika Ramtake ( Raj Order )</v>
          </cell>
        </row>
        <row r="347">
          <cell r="A347" t="str">
            <v>CUST-346</v>
          </cell>
          <cell r="B347" t="str">
            <v>Sonaware</v>
          </cell>
        </row>
        <row r="348">
          <cell r="A348" t="str">
            <v>CUST-347</v>
          </cell>
          <cell r="B348" t="str">
            <v>Sontake</v>
          </cell>
        </row>
        <row r="349">
          <cell r="A349" t="str">
            <v>CUST-348</v>
          </cell>
          <cell r="B349" t="str">
            <v>Sonware</v>
          </cell>
        </row>
        <row r="350">
          <cell r="A350" t="str">
            <v>CUST-349</v>
          </cell>
          <cell r="B350" t="str">
            <v>Stock -  Ramp</v>
          </cell>
        </row>
        <row r="351">
          <cell r="A351" t="str">
            <v>CUST-350</v>
          </cell>
          <cell r="B351" t="str">
            <v>Sudha Hotel</v>
          </cell>
        </row>
        <row r="352">
          <cell r="A352" t="str">
            <v>CUST-351</v>
          </cell>
          <cell r="B352" t="str">
            <v>Sukhdev</v>
          </cell>
        </row>
        <row r="353">
          <cell r="A353" t="str">
            <v>CUST-352</v>
          </cell>
          <cell r="B353" t="str">
            <v>Sumit Meshram</v>
          </cell>
        </row>
        <row r="354">
          <cell r="A354" t="str">
            <v>CUST-353</v>
          </cell>
          <cell r="B354" t="str">
            <v>Sunil Balki</v>
          </cell>
        </row>
        <row r="355">
          <cell r="A355" t="str">
            <v>CUST-354</v>
          </cell>
          <cell r="B355" t="str">
            <v xml:space="preserve">Sunil Balki </v>
          </cell>
        </row>
        <row r="356">
          <cell r="A356" t="str">
            <v>CUST-355</v>
          </cell>
          <cell r="B356" t="str">
            <v>Sunny Dad</v>
          </cell>
        </row>
        <row r="357">
          <cell r="A357" t="str">
            <v>CUST-356</v>
          </cell>
          <cell r="B357" t="str">
            <v>Suraj</v>
          </cell>
        </row>
        <row r="358">
          <cell r="A358" t="str">
            <v>CUST-357</v>
          </cell>
          <cell r="B358" t="str">
            <v xml:space="preserve">Surana </v>
          </cell>
        </row>
        <row r="359">
          <cell r="A359" t="str">
            <v>CUST-358</v>
          </cell>
          <cell r="B359" t="str">
            <v>Suresh Pachare</v>
          </cell>
        </row>
        <row r="360">
          <cell r="A360" t="str">
            <v>CUST-359</v>
          </cell>
          <cell r="B360" t="str">
            <v>Surr</v>
          </cell>
        </row>
        <row r="361">
          <cell r="A361" t="str">
            <v>CUST-360</v>
          </cell>
          <cell r="B361" t="str">
            <v>Tejas Pawar</v>
          </cell>
        </row>
        <row r="362">
          <cell r="A362" t="str">
            <v>CUST-361</v>
          </cell>
          <cell r="B362" t="str">
            <v>Thackery ( Raj )</v>
          </cell>
        </row>
        <row r="363">
          <cell r="A363" t="str">
            <v>CUST-362</v>
          </cell>
          <cell r="B363" t="str">
            <v>Tiushal Chawda</v>
          </cell>
        </row>
        <row r="364">
          <cell r="A364" t="str">
            <v>CUST-363</v>
          </cell>
          <cell r="B364" t="str">
            <v>Toyota</v>
          </cell>
        </row>
        <row r="365">
          <cell r="A365" t="str">
            <v>CUST-364</v>
          </cell>
          <cell r="B365" t="str">
            <v>Tukum</v>
          </cell>
        </row>
        <row r="366">
          <cell r="A366" t="str">
            <v>CUST-365</v>
          </cell>
          <cell r="B366" t="str">
            <v>Turankar ( Raj )</v>
          </cell>
        </row>
        <row r="367">
          <cell r="A367" t="str">
            <v>CUST-366</v>
          </cell>
          <cell r="B367" t="str">
            <v>Tyre Wala</v>
          </cell>
        </row>
        <row r="368">
          <cell r="A368" t="str">
            <v>CUST-367</v>
          </cell>
          <cell r="B368" t="str">
            <v>Ujjawala Marketing</v>
          </cell>
        </row>
        <row r="369">
          <cell r="A369" t="str">
            <v>CUST-368</v>
          </cell>
          <cell r="B369" t="str">
            <v>Unknown ( Raj )</v>
          </cell>
        </row>
        <row r="370">
          <cell r="A370" t="str">
            <v>CUST-369</v>
          </cell>
          <cell r="B370" t="str">
            <v>Upadya</v>
          </cell>
        </row>
        <row r="371">
          <cell r="A371" t="str">
            <v>CUST-370</v>
          </cell>
          <cell r="B371" t="str">
            <v>vaman Shende</v>
          </cell>
        </row>
        <row r="372">
          <cell r="A372" t="str">
            <v>CUST-371</v>
          </cell>
          <cell r="B372" t="str">
            <v>Vansh Nikose</v>
          </cell>
        </row>
        <row r="373">
          <cell r="A373" t="str">
            <v>CUST-372</v>
          </cell>
          <cell r="B373" t="str">
            <v>Vasanda</v>
          </cell>
        </row>
        <row r="374">
          <cell r="A374" t="str">
            <v>CUST-373</v>
          </cell>
          <cell r="B374" t="str">
            <v>Vedant Wargane</v>
          </cell>
        </row>
        <row r="375">
          <cell r="A375" t="str">
            <v>CUST-374</v>
          </cell>
          <cell r="B375" t="str">
            <v>Vicky ( Padoli Sarpanch )</v>
          </cell>
        </row>
        <row r="376">
          <cell r="A376" t="str">
            <v>CUST-375</v>
          </cell>
          <cell r="B376" t="str">
            <v>Vijayendra Selokar</v>
          </cell>
        </row>
        <row r="377">
          <cell r="A377" t="str">
            <v>CUST-376</v>
          </cell>
          <cell r="B377" t="str">
            <v>Vilas Tonge</v>
          </cell>
        </row>
        <row r="378">
          <cell r="A378" t="str">
            <v>CUST-377</v>
          </cell>
          <cell r="B378" t="str">
            <v>Vineet Ramteke</v>
          </cell>
        </row>
        <row r="379">
          <cell r="A379" t="str">
            <v>CUST-378</v>
          </cell>
          <cell r="B379" t="str">
            <v>Vishal Chaware</v>
          </cell>
        </row>
        <row r="380">
          <cell r="A380" t="str">
            <v>CUST-379</v>
          </cell>
          <cell r="B380" t="str">
            <v>Vishal Patil</v>
          </cell>
        </row>
        <row r="381">
          <cell r="A381" t="str">
            <v>CUST-380</v>
          </cell>
          <cell r="B381" t="str">
            <v>Vishal Prasad</v>
          </cell>
        </row>
        <row r="382">
          <cell r="A382" t="str">
            <v>CUST-381</v>
          </cell>
          <cell r="B382" t="str">
            <v>Vishal Prasad ( Vinod Side )</v>
          </cell>
        </row>
        <row r="383">
          <cell r="A383" t="str">
            <v>CUST-382</v>
          </cell>
          <cell r="B383" t="str">
            <v>Vishal Singh</v>
          </cell>
        </row>
        <row r="384">
          <cell r="A384" t="str">
            <v>CUST-383</v>
          </cell>
          <cell r="B384" t="str">
            <v>Vishwakarma</v>
          </cell>
        </row>
        <row r="385">
          <cell r="A385" t="str">
            <v>CUST-384</v>
          </cell>
          <cell r="B385" t="str">
            <v>Wandhare</v>
          </cell>
        </row>
        <row r="386">
          <cell r="A386" t="str">
            <v>CUST-385</v>
          </cell>
          <cell r="B386" t="str">
            <v>Washing Center</v>
          </cell>
        </row>
        <row r="387">
          <cell r="A387" t="str">
            <v>CUST-386</v>
          </cell>
          <cell r="B387" t="str">
            <v>Yadav</v>
          </cell>
        </row>
        <row r="388">
          <cell r="A388" t="str">
            <v>CUST-387</v>
          </cell>
          <cell r="B388" t="str">
            <v>Yash Bhaiya</v>
          </cell>
        </row>
        <row r="389">
          <cell r="A389" t="str">
            <v>CUST-388</v>
          </cell>
          <cell r="B389" t="str">
            <v>Yash Thipe</v>
          </cell>
        </row>
        <row r="390">
          <cell r="A390" t="str">
            <v>CUST-389</v>
          </cell>
          <cell r="B390" t="str">
            <v>Yergude</v>
          </cell>
        </row>
        <row r="391">
          <cell r="A391" t="str">
            <v>CUST-390</v>
          </cell>
          <cell r="B391" t="str">
            <v>Yete</v>
          </cell>
        </row>
        <row r="392">
          <cell r="A392" t="str">
            <v>CUST-391</v>
          </cell>
          <cell r="B392" t="str">
            <v>Yogesh Bhandare</v>
          </cell>
        </row>
        <row r="393">
          <cell r="A393" t="str">
            <v>CUST-392</v>
          </cell>
          <cell r="B393" t="str">
            <v>Yuvraj Thakur</v>
          </cell>
        </row>
        <row r="394">
          <cell r="A394" t="str">
            <v>CUST-393</v>
          </cell>
          <cell r="B394" t="str">
            <v>Zamare</v>
          </cell>
        </row>
        <row r="395">
          <cell r="A395" t="str">
            <v>CUST-394</v>
          </cell>
          <cell r="B395" t="str">
            <v>N/A</v>
          </cell>
        </row>
        <row r="396">
          <cell r="A396" t="str">
            <v>CUST-395</v>
          </cell>
          <cell r="B396" t="str">
            <v>Ankush Topase</v>
          </cell>
        </row>
        <row r="397">
          <cell r="A397" t="str">
            <v>CUST-396</v>
          </cell>
          <cell r="B397" t="str">
            <v>Anuraj  ( Golu )</v>
          </cell>
        </row>
        <row r="398">
          <cell r="A398" t="str">
            <v>CUST-397</v>
          </cell>
          <cell r="B398" t="str">
            <v>Ashish Nagpure</v>
          </cell>
        </row>
        <row r="399">
          <cell r="A399" t="str">
            <v>CUST-398</v>
          </cell>
          <cell r="B399" t="str">
            <v>Atul Aatram</v>
          </cell>
        </row>
        <row r="400">
          <cell r="A400" t="str">
            <v>CUST-399</v>
          </cell>
          <cell r="B400" t="str">
            <v>Aupadhya</v>
          </cell>
        </row>
        <row r="401">
          <cell r="A401" t="str">
            <v>CUST-400</v>
          </cell>
          <cell r="B401" t="str">
            <v>Bablu Bhaiya</v>
          </cell>
        </row>
        <row r="402">
          <cell r="A402" t="str">
            <v>CUST-401</v>
          </cell>
          <cell r="B402" t="str">
            <v>Bawane</v>
          </cell>
        </row>
        <row r="403">
          <cell r="A403" t="str">
            <v>CUST-402</v>
          </cell>
          <cell r="B403" t="str">
            <v>Bobby Bhaiya</v>
          </cell>
        </row>
        <row r="404">
          <cell r="A404" t="str">
            <v>CUST-403</v>
          </cell>
          <cell r="B404" t="str">
            <v>Faizan Bhaiya</v>
          </cell>
        </row>
        <row r="405">
          <cell r="A405" t="str">
            <v>CUST-404</v>
          </cell>
          <cell r="B405" t="str">
            <v>Fateing ( Mamaji )</v>
          </cell>
        </row>
        <row r="406">
          <cell r="A406" t="str">
            <v>CUST-405</v>
          </cell>
          <cell r="B406" t="str">
            <v>Gorkar</v>
          </cell>
        </row>
        <row r="407">
          <cell r="A407" t="str">
            <v>CUST-406</v>
          </cell>
          <cell r="B407" t="str">
            <v>Gormade</v>
          </cell>
        </row>
        <row r="408">
          <cell r="A408" t="str">
            <v>CUST-407</v>
          </cell>
          <cell r="B408" t="str">
            <v>Jadish Morey</v>
          </cell>
        </row>
        <row r="409">
          <cell r="A409" t="str">
            <v>CUST-408</v>
          </cell>
          <cell r="B409" t="str">
            <v>Jagdish Yadav</v>
          </cell>
        </row>
        <row r="410">
          <cell r="A410" t="str">
            <v>CUST-409</v>
          </cell>
          <cell r="B410" t="str">
            <v>Jilte</v>
          </cell>
        </row>
        <row r="411">
          <cell r="A411" t="str">
            <v>CUST-410</v>
          </cell>
          <cell r="B411" t="str">
            <v>Lalita</v>
          </cell>
        </row>
        <row r="412">
          <cell r="A412" t="str">
            <v>CUST-411</v>
          </cell>
          <cell r="B412" t="str">
            <v>Lalita Sangarti</v>
          </cell>
        </row>
        <row r="413">
          <cell r="A413" t="str">
            <v>CUST-412</v>
          </cell>
          <cell r="B413" t="str">
            <v>Lanchu</v>
          </cell>
        </row>
        <row r="414">
          <cell r="A414" t="str">
            <v>CUST-413</v>
          </cell>
          <cell r="B414" t="str">
            <v>Manthan</v>
          </cell>
        </row>
        <row r="415">
          <cell r="A415" t="str">
            <v>CUST-414</v>
          </cell>
          <cell r="B415" t="str">
            <v>Maroti Gotkar</v>
          </cell>
        </row>
        <row r="416">
          <cell r="A416" t="str">
            <v>CUST-415</v>
          </cell>
          <cell r="B416" t="str">
            <v>Nacika Kaka</v>
          </cell>
        </row>
        <row r="417">
          <cell r="A417" t="str">
            <v>CUST-416</v>
          </cell>
          <cell r="B417" t="str">
            <v>Naresh Kaka. Order</v>
          </cell>
        </row>
        <row r="418">
          <cell r="A418" t="str">
            <v>CUST-417</v>
          </cell>
          <cell r="B418" t="str">
            <v>Pani Puri Wala</v>
          </cell>
        </row>
        <row r="419">
          <cell r="A419" t="str">
            <v>CUST-418</v>
          </cell>
          <cell r="B419" t="str">
            <v xml:space="preserve">Railway </v>
          </cell>
        </row>
        <row r="420">
          <cell r="A420" t="str">
            <v>CUST-419</v>
          </cell>
          <cell r="B420" t="str">
            <v>Raj Patil</v>
          </cell>
        </row>
        <row r="421">
          <cell r="A421" t="str">
            <v>CUST-420</v>
          </cell>
          <cell r="B421" t="str">
            <v>Robby</v>
          </cell>
        </row>
        <row r="422">
          <cell r="A422" t="str">
            <v>CUST-421</v>
          </cell>
          <cell r="B422" t="str">
            <v>Sandeep</v>
          </cell>
        </row>
        <row r="423">
          <cell r="A423" t="str">
            <v>CUST-422</v>
          </cell>
          <cell r="B423" t="str">
            <v>Sangham Palliwar</v>
          </cell>
        </row>
        <row r="424">
          <cell r="A424" t="str">
            <v>CUST-423</v>
          </cell>
          <cell r="B424" t="str">
            <v>Sanjay Wagade</v>
          </cell>
        </row>
        <row r="425">
          <cell r="A425" t="str">
            <v>CUST-424</v>
          </cell>
          <cell r="B425" t="str">
            <v>Sardarji</v>
          </cell>
        </row>
        <row r="426">
          <cell r="A426" t="str">
            <v>CUST-425</v>
          </cell>
          <cell r="B426" t="str">
            <v>Sheshrao Zhilte</v>
          </cell>
        </row>
        <row r="427">
          <cell r="A427" t="str">
            <v>CUST-426</v>
          </cell>
          <cell r="B427" t="str">
            <v>Shukla</v>
          </cell>
        </row>
        <row r="428">
          <cell r="A428" t="str">
            <v>CUST-427</v>
          </cell>
          <cell r="B428" t="str">
            <v xml:space="preserve">Suraj Sasra </v>
          </cell>
        </row>
        <row r="429">
          <cell r="A429" t="str">
            <v>CUST-428</v>
          </cell>
          <cell r="B429" t="str">
            <v>Surendra magar</v>
          </cell>
        </row>
        <row r="430">
          <cell r="A430" t="str">
            <v>CUST-429</v>
          </cell>
          <cell r="B430" t="str">
            <v>Vishal</v>
          </cell>
        </row>
        <row r="431">
          <cell r="A431" t="str">
            <v>CUST-430</v>
          </cell>
          <cell r="B431" t="str">
            <v>Vivek Tankar</v>
          </cell>
        </row>
        <row r="432">
          <cell r="A432" t="str">
            <v>CUST-431</v>
          </cell>
          <cell r="B432" t="str">
            <v>Raj Kamdi Stock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692F5-E92E-7146-8601-395376EBB001}">
  <dimension ref="A1:AC589"/>
  <sheetViews>
    <sheetView tabSelected="1" topLeftCell="N1" zoomScale="81" workbookViewId="0">
      <selection activeCell="Z2" sqref="Z2"/>
    </sheetView>
  </sheetViews>
  <sheetFormatPr baseColWidth="10" defaultRowHeight="16" x14ac:dyDescent="0.2"/>
  <cols>
    <col min="2" max="2" width="34" customWidth="1"/>
    <col min="3" max="3" width="21" customWidth="1"/>
    <col min="4" max="4" width="34.6640625" customWidth="1"/>
    <col min="12" max="12" width="50.6640625" customWidth="1"/>
    <col min="20" max="20" width="20.33203125" customWidth="1"/>
    <col min="21" max="21" width="27.6640625" customWidth="1"/>
    <col min="24" max="24" width="37.6640625" customWidth="1"/>
    <col min="25" max="26" width="27.1640625" customWidth="1"/>
    <col min="29" max="29" width="28.5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256</v>
      </c>
      <c r="AA1" s="1" t="s">
        <v>255</v>
      </c>
      <c r="AB1" s="1" t="s">
        <v>253</v>
      </c>
      <c r="AC1" s="1" t="s">
        <v>254</v>
      </c>
    </row>
    <row r="2" spans="1:29" x14ac:dyDescent="0.2">
      <c r="A2" t="str">
        <f>"TRIP-TR-"&amp;TEXT(ROW()-1,"000")</f>
        <v>TRIP-TR-001</v>
      </c>
      <c r="B2" s="15">
        <v>45667</v>
      </c>
      <c r="C2" t="str">
        <f>IF(X2="CUSTOMER DELIVERY",_xlfn.XLOOKUP(D2,'[1]Jan Customer Duplicate Hyva'!$B:$B,'[1]Jan Customer Duplicate Hyva'!$A:$A,"NOT FOUND"),"")</f>
        <v>CUST-270</v>
      </c>
      <c r="D2" s="16" t="s">
        <v>187</v>
      </c>
      <c r="L2" s="16" t="s">
        <v>38</v>
      </c>
      <c r="M2" s="17">
        <v>1</v>
      </c>
      <c r="N2" s="18">
        <v>4000</v>
      </c>
      <c r="O2" s="18">
        <f t="shared" ref="O2:O8" si="0">N2*M2</f>
        <v>4000</v>
      </c>
      <c r="P2" s="18">
        <v>4000</v>
      </c>
      <c r="T2">
        <f>M2*N2</f>
        <v>4000</v>
      </c>
      <c r="U2" t="str">
        <f>IF(ROUND(T2,2)=ROUND(O2,2),"OK","CHECK")</f>
        <v>OK</v>
      </c>
      <c r="V2" s="19">
        <f>O2-P2</f>
        <v>0</v>
      </c>
      <c r="W2" t="str">
        <f>IF(ROUND(V2,2)=ROUND(Q2,2),"OK","CHECK")</f>
        <v>OK</v>
      </c>
      <c r="X2" t="s">
        <v>26</v>
      </c>
      <c r="Y2" t="s">
        <v>27</v>
      </c>
      <c r="Z2" t="s">
        <v>28</v>
      </c>
      <c r="AA2" t="s">
        <v>245</v>
      </c>
      <c r="AB2" t="s">
        <v>245</v>
      </c>
      <c r="AC2" t="s">
        <v>245</v>
      </c>
    </row>
    <row r="3" spans="1:29" x14ac:dyDescent="0.2">
      <c r="A3" t="str">
        <f t="shared" ref="A3:A66" si="1">"TRIP-TR-"&amp;TEXT(ROW()-1,"000")</f>
        <v>TRIP-TR-002</v>
      </c>
      <c r="B3" s="15">
        <v>45669</v>
      </c>
      <c r="C3" t="str">
        <f>IF(X3="CUSTOMER DELIVERY",_xlfn.XLOOKUP(D3,'[1]Jan Customer Duplicate Hyva'!$B:$B,'[1]Jan Customer Duplicate Hyva'!$A:$A,"NOT FOUND"),"")</f>
        <v>CUST-043</v>
      </c>
      <c r="D3" s="16" t="s">
        <v>216</v>
      </c>
      <c r="L3" s="16" t="s">
        <v>33</v>
      </c>
      <c r="M3" s="17">
        <v>1</v>
      </c>
      <c r="N3" s="18">
        <v>4000</v>
      </c>
      <c r="O3" s="18">
        <f t="shared" si="0"/>
        <v>4000</v>
      </c>
      <c r="P3" s="18">
        <v>4000</v>
      </c>
      <c r="T3">
        <f t="shared" ref="T3:T8" si="2">M3*N3</f>
        <v>4000</v>
      </c>
      <c r="U3" t="str">
        <f t="shared" ref="U3:U8" si="3">IF(ROUND(T3,2)=ROUND(O3,2),"OK","CHECK")</f>
        <v>OK</v>
      </c>
      <c r="V3" s="19">
        <f t="shared" ref="V3:V8" si="4">O3-P3</f>
        <v>0</v>
      </c>
      <c r="W3" t="str">
        <f t="shared" ref="W3:W8" si="5">IF(ROUND(V3,2)=ROUND(Q3,2),"OK","CHECK")</f>
        <v>OK</v>
      </c>
      <c r="X3" t="s">
        <v>26</v>
      </c>
      <c r="Y3" t="s">
        <v>27</v>
      </c>
      <c r="Z3" t="s">
        <v>28</v>
      </c>
      <c r="AA3" t="s">
        <v>245</v>
      </c>
      <c r="AB3" t="s">
        <v>245</v>
      </c>
      <c r="AC3" t="s">
        <v>245</v>
      </c>
    </row>
    <row r="4" spans="1:29" x14ac:dyDescent="0.2">
      <c r="A4" t="str">
        <f t="shared" si="1"/>
        <v>TRIP-TR-003</v>
      </c>
      <c r="B4" s="15">
        <v>45672</v>
      </c>
      <c r="C4" t="str">
        <f>IF(X4="CUSTOMER DELIVERY",_xlfn.XLOOKUP(D4,'[1]Jan Customer Duplicate Hyva'!$B:$B,'[1]Jan Customer Duplicate Hyva'!$A:$A,"NOT FOUND"),"")</f>
        <v>CUST-090</v>
      </c>
      <c r="D4" s="20" t="s">
        <v>210</v>
      </c>
      <c r="L4" s="20" t="s">
        <v>211</v>
      </c>
      <c r="M4" s="21">
        <v>1</v>
      </c>
      <c r="N4" s="18">
        <v>1000</v>
      </c>
      <c r="O4" s="18">
        <f t="shared" si="0"/>
        <v>1000</v>
      </c>
      <c r="P4" s="18">
        <v>1000</v>
      </c>
      <c r="T4">
        <f t="shared" si="2"/>
        <v>1000</v>
      </c>
      <c r="U4" t="str">
        <f t="shared" si="3"/>
        <v>OK</v>
      </c>
      <c r="V4" s="19">
        <f t="shared" si="4"/>
        <v>0</v>
      </c>
      <c r="W4" t="str">
        <f t="shared" si="5"/>
        <v>OK</v>
      </c>
      <c r="X4" t="s">
        <v>26</v>
      </c>
      <c r="Y4" t="s">
        <v>27</v>
      </c>
      <c r="Z4" t="s">
        <v>28</v>
      </c>
      <c r="AA4" t="s">
        <v>245</v>
      </c>
      <c r="AB4" t="s">
        <v>245</v>
      </c>
      <c r="AC4" t="s">
        <v>245</v>
      </c>
    </row>
    <row r="5" spans="1:29" x14ac:dyDescent="0.2">
      <c r="A5" t="str">
        <f t="shared" si="1"/>
        <v>TRIP-TR-004</v>
      </c>
      <c r="B5" s="15">
        <v>45673</v>
      </c>
      <c r="C5" t="str">
        <f>IF(X5="CUSTOMER DELIVERY",_xlfn.XLOOKUP(D5,'[1]Jan Customer Duplicate Hyva'!$B:$B,'[1]Jan Customer Duplicate Hyva'!$A:$A,"NOT FOUND"),"")</f>
        <v>CUST-270</v>
      </c>
      <c r="D5" s="20" t="s">
        <v>187</v>
      </c>
      <c r="L5" s="20" t="s">
        <v>38</v>
      </c>
      <c r="M5" s="21">
        <v>1</v>
      </c>
      <c r="N5" s="18">
        <v>4000</v>
      </c>
      <c r="O5" s="18">
        <f t="shared" si="0"/>
        <v>4000</v>
      </c>
      <c r="P5" s="18">
        <v>4000</v>
      </c>
      <c r="T5">
        <f t="shared" si="2"/>
        <v>4000</v>
      </c>
      <c r="U5" t="str">
        <f t="shared" si="3"/>
        <v>OK</v>
      </c>
      <c r="V5" s="19">
        <f t="shared" si="4"/>
        <v>0</v>
      </c>
      <c r="W5" t="str">
        <f t="shared" si="5"/>
        <v>OK</v>
      </c>
      <c r="X5" t="s">
        <v>26</v>
      </c>
      <c r="Y5" t="s">
        <v>27</v>
      </c>
      <c r="Z5" t="s">
        <v>28</v>
      </c>
      <c r="AA5" t="s">
        <v>245</v>
      </c>
      <c r="AB5" t="s">
        <v>245</v>
      </c>
      <c r="AC5" t="s">
        <v>245</v>
      </c>
    </row>
    <row r="6" spans="1:29" x14ac:dyDescent="0.2">
      <c r="A6" t="str">
        <f t="shared" si="1"/>
        <v>TRIP-TR-005</v>
      </c>
      <c r="B6" s="15">
        <v>45675</v>
      </c>
      <c r="C6" t="str">
        <f>IF(X6="CUSTOMER DELIVERY",_xlfn.XLOOKUP(D6,'[1]Jan Customer Duplicate Hyva'!$B:$B,'[1]Jan Customer Duplicate Hyva'!$A:$A,"NOT FOUND"),"")</f>
        <v>CUST-043</v>
      </c>
      <c r="D6" s="16" t="s">
        <v>216</v>
      </c>
      <c r="L6" s="20" t="s">
        <v>33</v>
      </c>
      <c r="M6" s="21">
        <v>1</v>
      </c>
      <c r="N6" s="18">
        <v>4000</v>
      </c>
      <c r="O6" s="18">
        <f t="shared" si="0"/>
        <v>4000</v>
      </c>
      <c r="P6" s="18">
        <v>4000</v>
      </c>
      <c r="T6">
        <f t="shared" si="2"/>
        <v>4000</v>
      </c>
      <c r="U6" t="str">
        <f t="shared" si="3"/>
        <v>OK</v>
      </c>
      <c r="V6" s="19">
        <f t="shared" si="4"/>
        <v>0</v>
      </c>
      <c r="W6" t="str">
        <f t="shared" si="5"/>
        <v>OK</v>
      </c>
      <c r="X6" t="s">
        <v>26</v>
      </c>
      <c r="Y6" t="s">
        <v>27</v>
      </c>
      <c r="Z6" t="s">
        <v>28</v>
      </c>
      <c r="AA6" t="s">
        <v>245</v>
      </c>
      <c r="AB6" t="s">
        <v>245</v>
      </c>
      <c r="AC6" t="s">
        <v>245</v>
      </c>
    </row>
    <row r="7" spans="1:29" x14ac:dyDescent="0.2">
      <c r="A7" t="str">
        <f t="shared" si="1"/>
        <v>TRIP-TR-006</v>
      </c>
      <c r="B7" s="15">
        <v>45681</v>
      </c>
      <c r="C7" t="str">
        <f>IF(X7="CUSTOMER DELIVERY",_xlfn.XLOOKUP(D7,'[1]Jan Customer Duplicate Hyva'!$B:$B,'[1]Jan Customer Duplicate Hyva'!$A:$A,"NOT FOUND"),"")</f>
        <v>CUST-358</v>
      </c>
      <c r="D7" s="20" t="s">
        <v>217</v>
      </c>
      <c r="L7" s="20" t="s">
        <v>212</v>
      </c>
      <c r="M7" s="21">
        <v>1</v>
      </c>
      <c r="N7" s="18">
        <v>4000</v>
      </c>
      <c r="O7" s="18">
        <f t="shared" si="0"/>
        <v>4000</v>
      </c>
      <c r="P7" s="18">
        <v>4000</v>
      </c>
      <c r="T7">
        <f t="shared" si="2"/>
        <v>4000</v>
      </c>
      <c r="U7" t="str">
        <f t="shared" si="3"/>
        <v>OK</v>
      </c>
      <c r="V7" s="19">
        <f t="shared" si="4"/>
        <v>0</v>
      </c>
      <c r="W7" t="str">
        <f t="shared" si="5"/>
        <v>OK</v>
      </c>
      <c r="X7" t="s">
        <v>26</v>
      </c>
      <c r="Y7" t="s">
        <v>27</v>
      </c>
      <c r="Z7" t="s">
        <v>28</v>
      </c>
      <c r="AA7" t="s">
        <v>245</v>
      </c>
      <c r="AB7" t="s">
        <v>245</v>
      </c>
      <c r="AC7" t="s">
        <v>245</v>
      </c>
    </row>
    <row r="8" spans="1:29" x14ac:dyDescent="0.2">
      <c r="A8" t="str">
        <f t="shared" si="1"/>
        <v>TRIP-TR-007</v>
      </c>
      <c r="B8" s="15">
        <v>45681</v>
      </c>
      <c r="C8" t="str">
        <f>IF(X8="CUSTOMER DELIVERY",_xlfn.XLOOKUP(D8,'[1]Jan Customer Duplicate Hyva'!$B:$B,'[1]Jan Customer Duplicate Hyva'!$A:$A,"NOT FOUND"),"")</f>
        <v>CUST-261</v>
      </c>
      <c r="D8" s="20" t="s">
        <v>213</v>
      </c>
      <c r="L8" s="20" t="s">
        <v>33</v>
      </c>
      <c r="M8" s="21">
        <v>1</v>
      </c>
      <c r="N8" s="18">
        <v>4000</v>
      </c>
      <c r="O8" s="18">
        <f t="shared" si="0"/>
        <v>4000</v>
      </c>
      <c r="P8" s="18">
        <v>4000</v>
      </c>
      <c r="T8">
        <f t="shared" si="2"/>
        <v>4000</v>
      </c>
      <c r="U8" t="str">
        <f t="shared" si="3"/>
        <v>OK</v>
      </c>
      <c r="V8" s="19">
        <f t="shared" si="4"/>
        <v>0</v>
      </c>
      <c r="W8" t="str">
        <f t="shared" si="5"/>
        <v>OK</v>
      </c>
      <c r="X8" t="s">
        <v>26</v>
      </c>
      <c r="Y8" t="s">
        <v>27</v>
      </c>
      <c r="Z8" t="s">
        <v>28</v>
      </c>
      <c r="AA8" t="s">
        <v>245</v>
      </c>
      <c r="AB8" t="s">
        <v>245</v>
      </c>
      <c r="AC8" t="s">
        <v>245</v>
      </c>
    </row>
    <row r="9" spans="1:29" x14ac:dyDescent="0.2">
      <c r="A9" t="str">
        <f t="shared" si="1"/>
        <v>TRIP-TR-008</v>
      </c>
      <c r="B9" s="3">
        <v>45689</v>
      </c>
      <c r="C9" t="str">
        <f>IF(X9="CUSTOMER DELIVERY",_xlfn.XLOOKUP(D9,'[1]Jan Customer Duplicate Hyva'!$B:$B,'[1]Jan Customer Duplicate Hyva'!$A:$A,"NOT FOUND"),"")</f>
        <v>CUST-122</v>
      </c>
      <c r="D9" s="4" t="s">
        <v>218</v>
      </c>
      <c r="E9" s="2"/>
      <c r="F9" s="2"/>
      <c r="G9" s="2"/>
      <c r="H9" s="2"/>
      <c r="I9" s="2"/>
      <c r="J9" s="2"/>
      <c r="K9" s="2"/>
      <c r="L9" s="4" t="s">
        <v>25</v>
      </c>
      <c r="M9" s="5">
        <v>1</v>
      </c>
      <c r="N9" s="6">
        <v>5000</v>
      </c>
      <c r="O9" s="6">
        <f t="shared" ref="O9:O72" si="6">N9*M9</f>
        <v>5000</v>
      </c>
      <c r="P9" s="6">
        <v>5000</v>
      </c>
      <c r="Q9" s="6">
        <f t="shared" ref="Q9:Q72" si="7">O9-P9</f>
        <v>0</v>
      </c>
      <c r="R9" s="2" t="str">
        <f>IF(Q9=0,"PAID",IF(P9=0,"UNPAID","PARTIAL"))</f>
        <v>PAID</v>
      </c>
      <c r="S9" s="2"/>
      <c r="T9" s="2">
        <f t="shared" ref="T9:T72" si="8">M9*N9</f>
        <v>5000</v>
      </c>
      <c r="U9" s="2" t="str">
        <f t="shared" ref="U9:U72" si="9">IF(ROUND(T9,2)=ROUND(O9,2),"OK","CHECK")</f>
        <v>OK</v>
      </c>
      <c r="V9" s="7">
        <f t="shared" ref="V9:V72" si="10">O9-P9</f>
        <v>0</v>
      </c>
      <c r="W9" s="2" t="str">
        <f t="shared" ref="W9:W72" si="11">IF(ROUND(V9,2)=ROUND(Q9,2),"OK","CHECK")</f>
        <v>OK</v>
      </c>
      <c r="X9" s="2" t="s">
        <v>26</v>
      </c>
      <c r="Y9" s="2" t="s">
        <v>27</v>
      </c>
      <c r="Z9" s="2" t="s">
        <v>28</v>
      </c>
      <c r="AA9" t="s">
        <v>245</v>
      </c>
      <c r="AB9" t="s">
        <v>245</v>
      </c>
      <c r="AC9" t="s">
        <v>245</v>
      </c>
    </row>
    <row r="10" spans="1:29" x14ac:dyDescent="0.2">
      <c r="A10" t="str">
        <f t="shared" si="1"/>
        <v>TRIP-TR-009</v>
      </c>
      <c r="B10" s="3">
        <v>45690</v>
      </c>
      <c r="C10" t="str">
        <f>IF(X10="CUSTOMER DELIVERY",_xlfn.XLOOKUP(D10,'[1]Jan Customer Duplicate Hyva'!$B:$B,'[1]Jan Customer Duplicate Hyva'!$A:$A,"NOT FOUND"),"")</f>
        <v>CUST-270</v>
      </c>
      <c r="D10" s="4" t="s">
        <v>187</v>
      </c>
      <c r="E10" s="2"/>
      <c r="F10" s="2"/>
      <c r="G10" s="2"/>
      <c r="H10" s="2"/>
      <c r="I10" s="2"/>
      <c r="J10" s="2"/>
      <c r="K10" s="2"/>
      <c r="L10" s="4" t="s">
        <v>29</v>
      </c>
      <c r="M10" s="5">
        <v>1</v>
      </c>
      <c r="N10" s="6">
        <v>4000</v>
      </c>
      <c r="O10" s="6">
        <f t="shared" si="6"/>
        <v>4000</v>
      </c>
      <c r="P10" s="6">
        <v>4000</v>
      </c>
      <c r="Q10" s="6">
        <f t="shared" si="7"/>
        <v>0</v>
      </c>
      <c r="R10" s="2" t="str">
        <f t="shared" ref="R10:R73" si="12">IF(Q10=0,"PAID",IF(P10=0,"UNPAID","PARTIAL"))</f>
        <v>PAID</v>
      </c>
      <c r="S10" s="2"/>
      <c r="T10" s="2">
        <f t="shared" si="8"/>
        <v>4000</v>
      </c>
      <c r="U10" s="2" t="str">
        <f t="shared" si="9"/>
        <v>OK</v>
      </c>
      <c r="V10" s="7">
        <f t="shared" si="10"/>
        <v>0</v>
      </c>
      <c r="W10" s="2" t="str">
        <f t="shared" si="11"/>
        <v>OK</v>
      </c>
      <c r="X10" s="2" t="s">
        <v>26</v>
      </c>
      <c r="Y10" s="2" t="s">
        <v>27</v>
      </c>
      <c r="Z10" s="2" t="s">
        <v>28</v>
      </c>
      <c r="AA10" t="s">
        <v>245</v>
      </c>
      <c r="AB10" t="s">
        <v>245</v>
      </c>
      <c r="AC10" t="s">
        <v>245</v>
      </c>
    </row>
    <row r="11" spans="1:29" x14ac:dyDescent="0.2">
      <c r="A11" t="str">
        <f t="shared" si="1"/>
        <v>TRIP-TR-010</v>
      </c>
      <c r="B11" s="3">
        <v>45690</v>
      </c>
      <c r="C11" t="str">
        <f>IF(X11="CUSTOMER DELIVERY",_xlfn.XLOOKUP(D11,'[1]Jan Customer Duplicate Hyva'!$B:$B,'[1]Jan Customer Duplicate Hyva'!$A:$A,"NOT FOUND"),"")</f>
        <v>CUST-153</v>
      </c>
      <c r="D11" s="4" t="s">
        <v>30</v>
      </c>
      <c r="E11" s="2"/>
      <c r="F11" s="2"/>
      <c r="G11" s="2"/>
      <c r="H11" s="2"/>
      <c r="I11" s="2"/>
      <c r="J11" s="2"/>
      <c r="K11" s="2"/>
      <c r="L11" s="4" t="s">
        <v>31</v>
      </c>
      <c r="M11" s="5">
        <v>2</v>
      </c>
      <c r="N11" s="6">
        <v>1000</v>
      </c>
      <c r="O11" s="6">
        <f t="shared" si="6"/>
        <v>2000</v>
      </c>
      <c r="P11" s="6">
        <v>2000</v>
      </c>
      <c r="Q11" s="6">
        <f t="shared" si="7"/>
        <v>0</v>
      </c>
      <c r="R11" s="2" t="str">
        <f t="shared" si="12"/>
        <v>PAID</v>
      </c>
      <c r="S11" s="2"/>
      <c r="T11" s="2">
        <f t="shared" si="8"/>
        <v>2000</v>
      </c>
      <c r="U11" s="2" t="str">
        <f t="shared" si="9"/>
        <v>OK</v>
      </c>
      <c r="V11" s="7">
        <f t="shared" si="10"/>
        <v>0</v>
      </c>
      <c r="W11" s="2" t="str">
        <f t="shared" si="11"/>
        <v>OK</v>
      </c>
      <c r="X11" s="2" t="s">
        <v>26</v>
      </c>
      <c r="Y11" s="2" t="s">
        <v>27</v>
      </c>
      <c r="Z11" s="2" t="s">
        <v>28</v>
      </c>
      <c r="AA11" t="s">
        <v>245</v>
      </c>
      <c r="AB11" t="s">
        <v>245</v>
      </c>
      <c r="AC11" t="s">
        <v>245</v>
      </c>
    </row>
    <row r="12" spans="1:29" x14ac:dyDescent="0.2">
      <c r="A12" t="str">
        <f t="shared" si="1"/>
        <v>TRIP-TR-011</v>
      </c>
      <c r="B12" s="3">
        <v>45690</v>
      </c>
      <c r="C12" t="str">
        <f>IF(X12="CUSTOMER DELIVERY",_xlfn.XLOOKUP(D12,'[1]Jan Customer Duplicate Hyva'!$B:$B,'[1]Jan Customer Duplicate Hyva'!$A:$A,"NOT FOUND"),"")</f>
        <v>CUST-284</v>
      </c>
      <c r="D12" s="4" t="s">
        <v>32</v>
      </c>
      <c r="E12" s="2"/>
      <c r="F12" s="2"/>
      <c r="G12" s="2"/>
      <c r="H12" s="2"/>
      <c r="I12" s="2"/>
      <c r="J12" s="2"/>
      <c r="K12" s="2"/>
      <c r="L12" s="4" t="s">
        <v>33</v>
      </c>
      <c r="M12" s="5">
        <v>1</v>
      </c>
      <c r="N12" s="6">
        <v>4000</v>
      </c>
      <c r="O12" s="6">
        <f t="shared" si="6"/>
        <v>4000</v>
      </c>
      <c r="P12" s="6">
        <v>4000</v>
      </c>
      <c r="Q12" s="6">
        <f t="shared" si="7"/>
        <v>0</v>
      </c>
      <c r="R12" s="2" t="str">
        <f t="shared" si="12"/>
        <v>PAID</v>
      </c>
      <c r="S12" s="2"/>
      <c r="T12" s="2">
        <f t="shared" si="8"/>
        <v>4000</v>
      </c>
      <c r="U12" s="2" t="str">
        <f t="shared" si="9"/>
        <v>OK</v>
      </c>
      <c r="V12" s="7">
        <f t="shared" si="10"/>
        <v>0</v>
      </c>
      <c r="W12" s="2" t="str">
        <f t="shared" si="11"/>
        <v>OK</v>
      </c>
      <c r="X12" s="2" t="s">
        <v>26</v>
      </c>
      <c r="Y12" s="2" t="s">
        <v>27</v>
      </c>
      <c r="Z12" s="2" t="s">
        <v>28</v>
      </c>
      <c r="AA12" t="s">
        <v>245</v>
      </c>
      <c r="AB12" t="s">
        <v>245</v>
      </c>
      <c r="AC12" t="s">
        <v>245</v>
      </c>
    </row>
    <row r="13" spans="1:29" x14ac:dyDescent="0.2">
      <c r="A13" t="str">
        <f t="shared" si="1"/>
        <v>TRIP-TR-012</v>
      </c>
      <c r="B13" s="3">
        <v>45691</v>
      </c>
      <c r="C13" t="str">
        <f>IF(X13="CUSTOMER DELIVERY",_xlfn.XLOOKUP(D13,'[1]Jan Customer Duplicate Hyva'!$B:$B,'[1]Jan Customer Duplicate Hyva'!$A:$A,"NOT FOUND"),"")</f>
        <v>CUST-088</v>
      </c>
      <c r="D13" s="4" t="s">
        <v>34</v>
      </c>
      <c r="E13" s="2"/>
      <c r="F13" s="2"/>
      <c r="G13" s="2"/>
      <c r="H13" s="2"/>
      <c r="I13" s="2"/>
      <c r="J13" s="2"/>
      <c r="K13" s="2"/>
      <c r="L13" s="4" t="s">
        <v>35</v>
      </c>
      <c r="M13" s="5">
        <v>4</v>
      </c>
      <c r="N13" s="6">
        <v>1000</v>
      </c>
      <c r="O13" s="6">
        <f t="shared" si="6"/>
        <v>4000</v>
      </c>
      <c r="P13" s="6">
        <v>4000</v>
      </c>
      <c r="Q13" s="6">
        <f t="shared" si="7"/>
        <v>0</v>
      </c>
      <c r="R13" s="2" t="str">
        <f t="shared" si="12"/>
        <v>PAID</v>
      </c>
      <c r="S13" s="2"/>
      <c r="T13" s="2">
        <f t="shared" si="8"/>
        <v>4000</v>
      </c>
      <c r="U13" s="2" t="str">
        <f t="shared" si="9"/>
        <v>OK</v>
      </c>
      <c r="V13" s="7">
        <f t="shared" si="10"/>
        <v>0</v>
      </c>
      <c r="W13" s="2" t="str">
        <f t="shared" si="11"/>
        <v>OK</v>
      </c>
      <c r="X13" s="2" t="s">
        <v>26</v>
      </c>
      <c r="Y13" s="2" t="s">
        <v>27</v>
      </c>
      <c r="Z13" s="2" t="s">
        <v>28</v>
      </c>
      <c r="AA13" t="s">
        <v>245</v>
      </c>
      <c r="AB13" t="s">
        <v>245</v>
      </c>
      <c r="AC13" t="s">
        <v>245</v>
      </c>
    </row>
    <row r="14" spans="1:29" x14ac:dyDescent="0.2">
      <c r="A14" t="str">
        <f t="shared" si="1"/>
        <v>TRIP-TR-013</v>
      </c>
      <c r="B14" s="3">
        <v>45692</v>
      </c>
      <c r="C14" t="str">
        <f>IF(X14="CUSTOMER DELIVERY",_xlfn.XLOOKUP(D14,'[1]Jan Customer Duplicate Hyva'!$B:$B,'[1]Jan Customer Duplicate Hyva'!$A:$A,"NOT FOUND"),"")</f>
        <v>CUST-058</v>
      </c>
      <c r="D14" s="8" t="s">
        <v>36</v>
      </c>
      <c r="E14" s="2"/>
      <c r="F14" s="2"/>
      <c r="G14" s="2"/>
      <c r="H14" s="2"/>
      <c r="I14" s="2"/>
      <c r="J14" s="2"/>
      <c r="K14" s="2"/>
      <c r="L14" s="8" t="s">
        <v>33</v>
      </c>
      <c r="M14" s="9">
        <v>2</v>
      </c>
      <c r="N14" s="6">
        <v>4000</v>
      </c>
      <c r="O14" s="6">
        <f t="shared" si="6"/>
        <v>8000</v>
      </c>
      <c r="P14" s="6">
        <v>8000</v>
      </c>
      <c r="Q14" s="6">
        <f t="shared" si="7"/>
        <v>0</v>
      </c>
      <c r="R14" s="2" t="str">
        <f t="shared" si="12"/>
        <v>PAID</v>
      </c>
      <c r="S14" s="2"/>
      <c r="T14" s="2">
        <f t="shared" si="8"/>
        <v>8000</v>
      </c>
      <c r="U14" s="2" t="str">
        <f t="shared" si="9"/>
        <v>OK</v>
      </c>
      <c r="V14" s="7">
        <f t="shared" si="10"/>
        <v>0</v>
      </c>
      <c r="W14" s="2" t="str">
        <f t="shared" si="11"/>
        <v>OK</v>
      </c>
      <c r="X14" s="2" t="s">
        <v>26</v>
      </c>
      <c r="Y14" s="2" t="s">
        <v>27</v>
      </c>
      <c r="Z14" s="2" t="s">
        <v>28</v>
      </c>
      <c r="AA14" t="s">
        <v>245</v>
      </c>
      <c r="AB14" t="s">
        <v>245</v>
      </c>
      <c r="AC14" t="s">
        <v>245</v>
      </c>
    </row>
    <row r="15" spans="1:29" x14ac:dyDescent="0.2">
      <c r="A15" t="str">
        <f t="shared" si="1"/>
        <v>TRIP-TR-014</v>
      </c>
      <c r="B15" s="3">
        <v>45693</v>
      </c>
      <c r="C15" t="str">
        <f>IF(X15="CUSTOMER DELIVERY",_xlfn.XLOOKUP(D15,'[1]Jan Customer Duplicate Hyva'!$B:$B,'[1]Jan Customer Duplicate Hyva'!$A:$A,"NOT FOUND"),"")</f>
        <v>CUST-088</v>
      </c>
      <c r="D15" s="4" t="s">
        <v>34</v>
      </c>
      <c r="E15" s="2"/>
      <c r="F15" s="2"/>
      <c r="G15" s="2"/>
      <c r="H15" s="2"/>
      <c r="I15" s="2"/>
      <c r="J15" s="2"/>
      <c r="K15" s="2"/>
      <c r="L15" s="4" t="s">
        <v>35</v>
      </c>
      <c r="M15" s="5">
        <v>3</v>
      </c>
      <c r="N15" s="6">
        <v>1000</v>
      </c>
      <c r="O15" s="6">
        <f t="shared" si="6"/>
        <v>3000</v>
      </c>
      <c r="P15" s="6">
        <v>3000</v>
      </c>
      <c r="Q15" s="6">
        <f t="shared" si="7"/>
        <v>0</v>
      </c>
      <c r="R15" s="2" t="str">
        <f t="shared" si="12"/>
        <v>PAID</v>
      </c>
      <c r="S15" s="2"/>
      <c r="T15" s="2">
        <f t="shared" si="8"/>
        <v>3000</v>
      </c>
      <c r="U15" s="2" t="str">
        <f t="shared" si="9"/>
        <v>OK</v>
      </c>
      <c r="V15" s="7">
        <f t="shared" si="10"/>
        <v>0</v>
      </c>
      <c r="W15" s="2" t="str">
        <f t="shared" si="11"/>
        <v>OK</v>
      </c>
      <c r="X15" s="2" t="s">
        <v>26</v>
      </c>
      <c r="Y15" s="2" t="s">
        <v>27</v>
      </c>
      <c r="Z15" s="2" t="s">
        <v>28</v>
      </c>
      <c r="AA15" t="s">
        <v>245</v>
      </c>
      <c r="AB15" t="s">
        <v>245</v>
      </c>
      <c r="AC15" t="s">
        <v>245</v>
      </c>
    </row>
    <row r="16" spans="1:29" x14ac:dyDescent="0.2">
      <c r="A16" t="str">
        <f t="shared" si="1"/>
        <v>TRIP-TR-015</v>
      </c>
      <c r="B16" s="3">
        <v>45694</v>
      </c>
      <c r="C16" t="str">
        <f>IF(X16="CUSTOMER DELIVERY",_xlfn.XLOOKUP(D16,'[1]Jan Customer Duplicate Hyva'!$B:$B,'[1]Jan Customer Duplicate Hyva'!$A:$A,"NOT FOUND"),"")</f>
        <v>CUST-138</v>
      </c>
      <c r="D16" s="4" t="s">
        <v>37</v>
      </c>
      <c r="E16" s="2"/>
      <c r="F16" s="2"/>
      <c r="G16" s="2"/>
      <c r="H16" s="2"/>
      <c r="I16" s="2"/>
      <c r="J16" s="2"/>
      <c r="K16" s="2"/>
      <c r="L16" s="4" t="s">
        <v>38</v>
      </c>
      <c r="M16" s="9">
        <v>2</v>
      </c>
      <c r="N16" s="6">
        <v>4000</v>
      </c>
      <c r="O16" s="6">
        <f t="shared" si="6"/>
        <v>8000</v>
      </c>
      <c r="P16" s="6">
        <v>8000</v>
      </c>
      <c r="Q16" s="6">
        <f t="shared" si="7"/>
        <v>0</v>
      </c>
      <c r="R16" s="2" t="str">
        <f t="shared" si="12"/>
        <v>PAID</v>
      </c>
      <c r="S16" s="2"/>
      <c r="T16" s="2">
        <f t="shared" si="8"/>
        <v>8000</v>
      </c>
      <c r="U16" s="2" t="str">
        <f t="shared" si="9"/>
        <v>OK</v>
      </c>
      <c r="V16" s="7">
        <f t="shared" si="10"/>
        <v>0</v>
      </c>
      <c r="W16" s="2" t="str">
        <f t="shared" si="11"/>
        <v>OK</v>
      </c>
      <c r="X16" s="2" t="s">
        <v>26</v>
      </c>
      <c r="Y16" s="2" t="s">
        <v>27</v>
      </c>
      <c r="Z16" s="2" t="s">
        <v>28</v>
      </c>
      <c r="AA16" t="s">
        <v>245</v>
      </c>
      <c r="AB16" t="s">
        <v>245</v>
      </c>
      <c r="AC16" t="s">
        <v>245</v>
      </c>
    </row>
    <row r="17" spans="1:29" x14ac:dyDescent="0.2">
      <c r="A17" t="str">
        <f t="shared" si="1"/>
        <v>TRIP-TR-016</v>
      </c>
      <c r="B17" s="3">
        <v>45695</v>
      </c>
      <c r="C17" t="str">
        <f>IF(X17="CUSTOMER DELIVERY",_xlfn.XLOOKUP(D17,'[1]Jan Customer Duplicate Hyva'!$B:$B,'[1]Jan Customer Duplicate Hyva'!$A:$A,"NOT FOUND"),"")</f>
        <v>CUST-268</v>
      </c>
      <c r="D17" s="4" t="s">
        <v>39</v>
      </c>
      <c r="E17" s="2"/>
      <c r="F17" s="2"/>
      <c r="G17" s="2"/>
      <c r="H17" s="2"/>
      <c r="I17" s="2"/>
      <c r="J17" s="2"/>
      <c r="K17" s="2"/>
      <c r="L17" s="4" t="s">
        <v>38</v>
      </c>
      <c r="M17" s="9">
        <v>1</v>
      </c>
      <c r="N17" s="6">
        <v>4000</v>
      </c>
      <c r="O17" s="6">
        <f t="shared" si="6"/>
        <v>4000</v>
      </c>
      <c r="P17" s="6">
        <v>4000</v>
      </c>
      <c r="Q17" s="6">
        <f t="shared" si="7"/>
        <v>0</v>
      </c>
      <c r="R17" s="2" t="str">
        <f t="shared" si="12"/>
        <v>PAID</v>
      </c>
      <c r="S17" s="2"/>
      <c r="T17" s="2">
        <f t="shared" si="8"/>
        <v>4000</v>
      </c>
      <c r="U17" s="2" t="str">
        <f t="shared" si="9"/>
        <v>OK</v>
      </c>
      <c r="V17" s="7">
        <f t="shared" si="10"/>
        <v>0</v>
      </c>
      <c r="W17" s="2" t="str">
        <f t="shared" si="11"/>
        <v>OK</v>
      </c>
      <c r="X17" s="2" t="s">
        <v>26</v>
      </c>
      <c r="Y17" s="2" t="s">
        <v>27</v>
      </c>
      <c r="Z17" s="2" t="s">
        <v>28</v>
      </c>
      <c r="AA17" t="s">
        <v>245</v>
      </c>
      <c r="AB17" t="s">
        <v>245</v>
      </c>
      <c r="AC17" t="s">
        <v>245</v>
      </c>
    </row>
    <row r="18" spans="1:29" x14ac:dyDescent="0.2">
      <c r="A18" t="str">
        <f t="shared" si="1"/>
        <v>TRIP-TR-017</v>
      </c>
      <c r="B18" s="3">
        <v>45695</v>
      </c>
      <c r="C18" t="str">
        <f>IF(X18="CUSTOMER DELIVERY",_xlfn.XLOOKUP(D18,'[1]Jan Customer Duplicate Hyva'!$B:$B,'[1]Jan Customer Duplicate Hyva'!$A:$A,"NOT FOUND"),"")</f>
        <v>CUST-270</v>
      </c>
      <c r="D18" s="4" t="s">
        <v>187</v>
      </c>
      <c r="E18" s="2"/>
      <c r="F18" s="2"/>
      <c r="G18" s="2"/>
      <c r="H18" s="2"/>
      <c r="I18" s="2"/>
      <c r="J18" s="2"/>
      <c r="K18" s="2"/>
      <c r="L18" s="4" t="s">
        <v>38</v>
      </c>
      <c r="M18" s="9">
        <v>2</v>
      </c>
      <c r="N18" s="6">
        <v>4000</v>
      </c>
      <c r="O18" s="6">
        <f t="shared" si="6"/>
        <v>8000</v>
      </c>
      <c r="P18" s="6">
        <v>8000</v>
      </c>
      <c r="Q18" s="6">
        <f t="shared" si="7"/>
        <v>0</v>
      </c>
      <c r="R18" s="2" t="str">
        <f t="shared" si="12"/>
        <v>PAID</v>
      </c>
      <c r="S18" s="2"/>
      <c r="T18" s="2">
        <f t="shared" si="8"/>
        <v>8000</v>
      </c>
      <c r="U18" s="2" t="str">
        <f t="shared" si="9"/>
        <v>OK</v>
      </c>
      <c r="V18" s="7">
        <f t="shared" si="10"/>
        <v>0</v>
      </c>
      <c r="W18" s="2" t="str">
        <f t="shared" si="11"/>
        <v>OK</v>
      </c>
      <c r="X18" s="2" t="s">
        <v>26</v>
      </c>
      <c r="Y18" s="2" t="s">
        <v>27</v>
      </c>
      <c r="Z18" s="2" t="s">
        <v>28</v>
      </c>
      <c r="AA18" t="s">
        <v>245</v>
      </c>
      <c r="AB18" t="s">
        <v>245</v>
      </c>
      <c r="AC18" t="s">
        <v>245</v>
      </c>
    </row>
    <row r="19" spans="1:29" x14ac:dyDescent="0.2">
      <c r="A19" t="str">
        <f t="shared" si="1"/>
        <v>TRIP-TR-018</v>
      </c>
      <c r="B19" s="3">
        <v>45696</v>
      </c>
      <c r="C19" t="str">
        <f>IF(X19="CUSTOMER DELIVERY",_xlfn.XLOOKUP(D19,'[1]Jan Customer Duplicate Hyva'!$B:$B,'[1]Jan Customer Duplicate Hyva'!$A:$A,"NOT FOUND"),"")</f>
        <v>CUST-281</v>
      </c>
      <c r="D19" s="4" t="s">
        <v>40</v>
      </c>
      <c r="E19" s="2"/>
      <c r="F19" s="2"/>
      <c r="G19" s="2"/>
      <c r="H19" s="2"/>
      <c r="I19" s="2"/>
      <c r="J19" s="2"/>
      <c r="K19" s="2"/>
      <c r="L19" s="4" t="s">
        <v>38</v>
      </c>
      <c r="M19" s="9">
        <v>1</v>
      </c>
      <c r="N19" s="6">
        <v>4000</v>
      </c>
      <c r="O19" s="6">
        <f t="shared" si="6"/>
        <v>4000</v>
      </c>
      <c r="P19" s="6">
        <v>4000</v>
      </c>
      <c r="Q19" s="6">
        <f t="shared" si="7"/>
        <v>0</v>
      </c>
      <c r="R19" s="2" t="str">
        <f t="shared" si="12"/>
        <v>PAID</v>
      </c>
      <c r="S19" s="2"/>
      <c r="T19" s="2">
        <f t="shared" si="8"/>
        <v>4000</v>
      </c>
      <c r="U19" s="2" t="str">
        <f t="shared" si="9"/>
        <v>OK</v>
      </c>
      <c r="V19" s="7">
        <f t="shared" si="10"/>
        <v>0</v>
      </c>
      <c r="W19" s="2" t="str">
        <f t="shared" si="11"/>
        <v>OK</v>
      </c>
      <c r="X19" s="2" t="s">
        <v>26</v>
      </c>
      <c r="Y19" s="2" t="s">
        <v>27</v>
      </c>
      <c r="Z19" s="2" t="s">
        <v>28</v>
      </c>
      <c r="AA19" t="s">
        <v>245</v>
      </c>
      <c r="AB19" t="s">
        <v>245</v>
      </c>
      <c r="AC19" t="s">
        <v>245</v>
      </c>
    </row>
    <row r="20" spans="1:29" x14ac:dyDescent="0.2">
      <c r="A20" t="str">
        <f t="shared" si="1"/>
        <v>TRIP-TR-019</v>
      </c>
      <c r="B20" s="3">
        <v>45697</v>
      </c>
      <c r="C20" t="str">
        <f>IF(X20="CUSTOMER DELIVERY",_xlfn.XLOOKUP(D20,'[1]Jan Customer Duplicate Hyva'!$B:$B,'[1]Jan Customer Duplicate Hyva'!$A:$A,"NOT FOUND"),"")</f>
        <v>CUST-339</v>
      </c>
      <c r="D20" s="4" t="s">
        <v>221</v>
      </c>
      <c r="E20" s="2"/>
      <c r="F20" s="2"/>
      <c r="G20" s="2"/>
      <c r="H20" s="2"/>
      <c r="I20" s="2"/>
      <c r="J20" s="2"/>
      <c r="K20" s="2"/>
      <c r="L20" s="8" t="s">
        <v>38</v>
      </c>
      <c r="M20" s="9">
        <v>2</v>
      </c>
      <c r="N20" s="6">
        <v>4000</v>
      </c>
      <c r="O20" s="6">
        <f t="shared" si="6"/>
        <v>8000</v>
      </c>
      <c r="P20" s="6">
        <v>8000</v>
      </c>
      <c r="Q20" s="6">
        <f t="shared" si="7"/>
        <v>0</v>
      </c>
      <c r="R20" s="2" t="str">
        <f t="shared" si="12"/>
        <v>PAID</v>
      </c>
      <c r="S20" s="2"/>
      <c r="T20" s="2">
        <f t="shared" si="8"/>
        <v>8000</v>
      </c>
      <c r="U20" s="2" t="str">
        <f t="shared" si="9"/>
        <v>OK</v>
      </c>
      <c r="V20" s="7">
        <f t="shared" si="10"/>
        <v>0</v>
      </c>
      <c r="W20" s="2" t="str">
        <f t="shared" si="11"/>
        <v>OK</v>
      </c>
      <c r="X20" s="2" t="s">
        <v>26</v>
      </c>
      <c r="Y20" s="2" t="s">
        <v>27</v>
      </c>
      <c r="Z20" s="2" t="s">
        <v>28</v>
      </c>
      <c r="AA20" t="s">
        <v>245</v>
      </c>
      <c r="AB20" t="s">
        <v>245</v>
      </c>
      <c r="AC20" t="s">
        <v>245</v>
      </c>
    </row>
    <row r="21" spans="1:29" x14ac:dyDescent="0.2">
      <c r="A21" t="str">
        <f t="shared" si="1"/>
        <v>TRIP-TR-020</v>
      </c>
      <c r="B21" s="3">
        <v>45698</v>
      </c>
      <c r="C21" t="str">
        <f>IF(X21="CUSTOMER DELIVERY",_xlfn.XLOOKUP(D21,'[1]Jan Customer Duplicate Hyva'!$B:$B,'[1]Jan Customer Duplicate Hyva'!$A:$A,"NOT FOUND"),"")</f>
        <v>CUST-049</v>
      </c>
      <c r="D21" s="4" t="s">
        <v>41</v>
      </c>
      <c r="E21" s="2"/>
      <c r="F21" s="2"/>
      <c r="G21" s="2"/>
      <c r="H21" s="2"/>
      <c r="I21" s="2"/>
      <c r="J21" s="2"/>
      <c r="K21" s="2"/>
      <c r="L21" s="8" t="s">
        <v>42</v>
      </c>
      <c r="M21" s="9">
        <v>1</v>
      </c>
      <c r="N21" s="6">
        <v>4000</v>
      </c>
      <c r="O21" s="6">
        <f t="shared" si="6"/>
        <v>4000</v>
      </c>
      <c r="P21" s="6">
        <v>4000</v>
      </c>
      <c r="Q21" s="6">
        <f t="shared" si="7"/>
        <v>0</v>
      </c>
      <c r="R21" s="2" t="str">
        <f t="shared" si="12"/>
        <v>PAID</v>
      </c>
      <c r="S21" s="2"/>
      <c r="T21" s="2">
        <f t="shared" si="8"/>
        <v>4000</v>
      </c>
      <c r="U21" s="2" t="str">
        <f t="shared" si="9"/>
        <v>OK</v>
      </c>
      <c r="V21" s="7">
        <f t="shared" si="10"/>
        <v>0</v>
      </c>
      <c r="W21" s="2" t="str">
        <f t="shared" si="11"/>
        <v>OK</v>
      </c>
      <c r="X21" s="2" t="s">
        <v>26</v>
      </c>
      <c r="Y21" s="2" t="s">
        <v>27</v>
      </c>
      <c r="Z21" s="2" t="s">
        <v>28</v>
      </c>
      <c r="AA21" t="s">
        <v>245</v>
      </c>
      <c r="AB21" t="s">
        <v>245</v>
      </c>
      <c r="AC21" t="s">
        <v>245</v>
      </c>
    </row>
    <row r="22" spans="1:29" x14ac:dyDescent="0.2">
      <c r="A22" t="str">
        <f t="shared" si="1"/>
        <v>TRIP-TR-021</v>
      </c>
      <c r="B22" s="3">
        <v>45699</v>
      </c>
      <c r="C22" t="str">
        <f>IF(X22="CUSTOMER DELIVERY",_xlfn.XLOOKUP(D22,'[1]Jan Customer Duplicate Hyva'!$B:$B,'[1]Jan Customer Duplicate Hyva'!$A:$A,"NOT FOUND"),"")</f>
        <v>CUST-268</v>
      </c>
      <c r="D22" s="4" t="s">
        <v>39</v>
      </c>
      <c r="E22" s="2"/>
      <c r="F22" s="2"/>
      <c r="G22" s="2"/>
      <c r="H22" s="2"/>
      <c r="I22" s="2"/>
      <c r="J22" s="2"/>
      <c r="K22" s="2"/>
      <c r="L22" s="4" t="s">
        <v>38</v>
      </c>
      <c r="M22" s="5">
        <v>1</v>
      </c>
      <c r="N22" s="6">
        <v>4000</v>
      </c>
      <c r="O22" s="6">
        <f t="shared" si="6"/>
        <v>4000</v>
      </c>
      <c r="P22" s="6">
        <v>4000</v>
      </c>
      <c r="Q22" s="6">
        <f t="shared" si="7"/>
        <v>0</v>
      </c>
      <c r="R22" s="2" t="str">
        <f t="shared" si="12"/>
        <v>PAID</v>
      </c>
      <c r="S22" s="2"/>
      <c r="T22" s="2">
        <f t="shared" si="8"/>
        <v>4000</v>
      </c>
      <c r="U22" s="2" t="str">
        <f t="shared" si="9"/>
        <v>OK</v>
      </c>
      <c r="V22" s="7">
        <f t="shared" si="10"/>
        <v>0</v>
      </c>
      <c r="W22" s="2" t="str">
        <f t="shared" si="11"/>
        <v>OK</v>
      </c>
      <c r="X22" s="2" t="s">
        <v>26</v>
      </c>
      <c r="Y22" s="2" t="s">
        <v>27</v>
      </c>
      <c r="Z22" s="2" t="s">
        <v>28</v>
      </c>
      <c r="AA22" t="s">
        <v>245</v>
      </c>
      <c r="AB22" t="s">
        <v>245</v>
      </c>
      <c r="AC22" t="s">
        <v>245</v>
      </c>
    </row>
    <row r="23" spans="1:29" x14ac:dyDescent="0.2">
      <c r="A23" t="str">
        <f t="shared" si="1"/>
        <v>TRIP-TR-022</v>
      </c>
      <c r="B23" s="3">
        <v>45700</v>
      </c>
      <c r="C23" t="str">
        <f>IF(X23="CUSTOMER DELIVERY",_xlfn.XLOOKUP(D23,'[1]Jan Customer Duplicate Hyva'!$B:$B,'[1]Jan Customer Duplicate Hyva'!$A:$A,"NOT FOUND"),"")</f>
        <v>CUST-288</v>
      </c>
      <c r="D23" s="4" t="s">
        <v>43</v>
      </c>
      <c r="E23" s="2"/>
      <c r="F23" s="2"/>
      <c r="G23" s="2"/>
      <c r="H23" s="2"/>
      <c r="I23" s="2"/>
      <c r="J23" s="2"/>
      <c r="K23" s="2"/>
      <c r="L23" s="4" t="s">
        <v>38</v>
      </c>
      <c r="M23" s="5">
        <v>1</v>
      </c>
      <c r="N23" s="6">
        <v>4000</v>
      </c>
      <c r="O23" s="6">
        <f t="shared" si="6"/>
        <v>4000</v>
      </c>
      <c r="P23" s="6">
        <v>4000</v>
      </c>
      <c r="Q23" s="6">
        <f t="shared" si="7"/>
        <v>0</v>
      </c>
      <c r="R23" s="2" t="str">
        <f t="shared" si="12"/>
        <v>PAID</v>
      </c>
      <c r="S23" s="2"/>
      <c r="T23" s="2">
        <f t="shared" si="8"/>
        <v>4000</v>
      </c>
      <c r="U23" s="2" t="str">
        <f t="shared" si="9"/>
        <v>OK</v>
      </c>
      <c r="V23" s="7">
        <f t="shared" si="10"/>
        <v>0</v>
      </c>
      <c r="W23" s="2" t="str">
        <f t="shared" si="11"/>
        <v>OK</v>
      </c>
      <c r="X23" s="2" t="s">
        <v>26</v>
      </c>
      <c r="Y23" s="2" t="s">
        <v>27</v>
      </c>
      <c r="Z23" s="2" t="s">
        <v>28</v>
      </c>
      <c r="AA23" t="s">
        <v>245</v>
      </c>
      <c r="AB23" t="s">
        <v>245</v>
      </c>
      <c r="AC23" t="s">
        <v>245</v>
      </c>
    </row>
    <row r="24" spans="1:29" x14ac:dyDescent="0.2">
      <c r="A24" t="str">
        <f t="shared" si="1"/>
        <v>TRIP-TR-023</v>
      </c>
      <c r="B24" s="3">
        <v>45700</v>
      </c>
      <c r="C24" t="str">
        <f>IF(X24="CUSTOMER DELIVERY",_xlfn.XLOOKUP(D24,'[1]Jan Customer Duplicate Hyva'!$B:$B,'[1]Jan Customer Duplicate Hyva'!$A:$A,"NOT FOUND"),"")</f>
        <v>CUST-087</v>
      </c>
      <c r="D24" s="4" t="s">
        <v>44</v>
      </c>
      <c r="E24" s="2"/>
      <c r="F24" s="2"/>
      <c r="G24" s="2"/>
      <c r="H24" s="2"/>
      <c r="I24" s="2"/>
      <c r="J24" s="2"/>
      <c r="K24" s="2"/>
      <c r="L24" s="4" t="s">
        <v>38</v>
      </c>
      <c r="M24" s="5">
        <v>1</v>
      </c>
      <c r="N24" s="6">
        <v>4000</v>
      </c>
      <c r="O24" s="6">
        <f t="shared" si="6"/>
        <v>4000</v>
      </c>
      <c r="P24" s="6">
        <v>4000</v>
      </c>
      <c r="Q24" s="6">
        <f t="shared" si="7"/>
        <v>0</v>
      </c>
      <c r="R24" s="2" t="str">
        <f t="shared" si="12"/>
        <v>PAID</v>
      </c>
      <c r="S24" s="2"/>
      <c r="T24" s="2">
        <f t="shared" si="8"/>
        <v>4000</v>
      </c>
      <c r="U24" s="2" t="str">
        <f t="shared" si="9"/>
        <v>OK</v>
      </c>
      <c r="V24" s="7">
        <f t="shared" si="10"/>
        <v>0</v>
      </c>
      <c r="W24" s="2" t="str">
        <f t="shared" si="11"/>
        <v>OK</v>
      </c>
      <c r="X24" s="2" t="s">
        <v>26</v>
      </c>
      <c r="Y24" s="2" t="s">
        <v>27</v>
      </c>
      <c r="Z24" s="2" t="s">
        <v>28</v>
      </c>
      <c r="AA24" t="s">
        <v>245</v>
      </c>
      <c r="AB24" t="s">
        <v>245</v>
      </c>
      <c r="AC24" t="s">
        <v>245</v>
      </c>
    </row>
    <row r="25" spans="1:29" x14ac:dyDescent="0.2">
      <c r="A25" t="str">
        <f t="shared" si="1"/>
        <v>TRIP-TR-024</v>
      </c>
      <c r="B25" s="3">
        <v>45701</v>
      </c>
      <c r="C25" t="str">
        <f>IF(X25="CUSTOMER DELIVERY",_xlfn.XLOOKUP(D25,'[1]Jan Customer Duplicate Hyva'!$B:$B,'[1]Jan Customer Duplicate Hyva'!$A:$A,"NOT FOUND"),"")</f>
        <v>CUST-288</v>
      </c>
      <c r="D25" s="4" t="s">
        <v>43</v>
      </c>
      <c r="E25" s="2"/>
      <c r="F25" s="2"/>
      <c r="G25" s="2"/>
      <c r="H25" s="2"/>
      <c r="I25" s="2"/>
      <c r="J25" s="2"/>
      <c r="K25" s="2"/>
      <c r="L25" s="8" t="s">
        <v>38</v>
      </c>
      <c r="M25" s="9">
        <v>1</v>
      </c>
      <c r="N25" s="6">
        <v>4000</v>
      </c>
      <c r="O25" s="6">
        <f t="shared" si="6"/>
        <v>4000</v>
      </c>
      <c r="P25" s="6">
        <v>4000</v>
      </c>
      <c r="Q25" s="6">
        <f t="shared" si="7"/>
        <v>0</v>
      </c>
      <c r="R25" s="2" t="str">
        <f t="shared" si="12"/>
        <v>PAID</v>
      </c>
      <c r="S25" s="2"/>
      <c r="T25" s="2">
        <f t="shared" si="8"/>
        <v>4000</v>
      </c>
      <c r="U25" s="2" t="str">
        <f t="shared" si="9"/>
        <v>OK</v>
      </c>
      <c r="V25" s="7">
        <f t="shared" si="10"/>
        <v>0</v>
      </c>
      <c r="W25" s="2" t="str">
        <f t="shared" si="11"/>
        <v>OK</v>
      </c>
      <c r="X25" s="2" t="s">
        <v>26</v>
      </c>
      <c r="Y25" s="2" t="s">
        <v>27</v>
      </c>
      <c r="Z25" s="2" t="s">
        <v>28</v>
      </c>
      <c r="AA25" t="s">
        <v>245</v>
      </c>
      <c r="AB25" t="s">
        <v>245</v>
      </c>
      <c r="AC25" t="s">
        <v>245</v>
      </c>
    </row>
    <row r="26" spans="1:29" x14ac:dyDescent="0.2">
      <c r="A26" t="str">
        <f t="shared" si="1"/>
        <v>TRIP-TR-025</v>
      </c>
      <c r="B26" s="3">
        <v>45702</v>
      </c>
      <c r="C26" t="str">
        <f>IF(X26="CUSTOMER DELIVERY",_xlfn.XLOOKUP(D26,'[1]Jan Customer Duplicate Hyva'!$B:$B,'[1]Jan Customer Duplicate Hyva'!$A:$A,"NOT FOUND"),"")</f>
        <v>CUST-350</v>
      </c>
      <c r="D26" s="4" t="s">
        <v>45</v>
      </c>
      <c r="E26" s="2"/>
      <c r="F26" s="2"/>
      <c r="G26" s="2"/>
      <c r="H26" s="2"/>
      <c r="I26" s="2"/>
      <c r="J26" s="2"/>
      <c r="K26" s="2"/>
      <c r="L26" s="8" t="s">
        <v>45</v>
      </c>
      <c r="M26" s="9">
        <v>1</v>
      </c>
      <c r="N26" s="6">
        <v>5000</v>
      </c>
      <c r="O26" s="6">
        <f t="shared" si="6"/>
        <v>5000</v>
      </c>
      <c r="P26" s="6">
        <v>5000</v>
      </c>
      <c r="Q26" s="6">
        <f t="shared" si="7"/>
        <v>0</v>
      </c>
      <c r="R26" s="2" t="str">
        <f t="shared" si="12"/>
        <v>PAID</v>
      </c>
      <c r="S26" s="2"/>
      <c r="T26" s="2">
        <f t="shared" si="8"/>
        <v>5000</v>
      </c>
      <c r="U26" s="2" t="str">
        <f t="shared" si="9"/>
        <v>OK</v>
      </c>
      <c r="V26" s="7">
        <f t="shared" si="10"/>
        <v>0</v>
      </c>
      <c r="W26" s="2" t="str">
        <f t="shared" si="11"/>
        <v>OK</v>
      </c>
      <c r="X26" s="2" t="s">
        <v>26</v>
      </c>
      <c r="Y26" s="2" t="s">
        <v>27</v>
      </c>
      <c r="Z26" s="2" t="s">
        <v>28</v>
      </c>
      <c r="AA26" t="s">
        <v>245</v>
      </c>
      <c r="AB26" t="s">
        <v>245</v>
      </c>
      <c r="AC26" t="s">
        <v>245</v>
      </c>
    </row>
    <row r="27" spans="1:29" x14ac:dyDescent="0.2">
      <c r="A27" t="str">
        <f t="shared" si="1"/>
        <v>TRIP-TR-026</v>
      </c>
      <c r="B27" s="3">
        <v>45702</v>
      </c>
      <c r="C27" t="str">
        <f>IF(X27="CUSTOMER DELIVERY",_xlfn.XLOOKUP(D27,'[1]Jan Customer Duplicate Hyva'!$B:$B,'[1]Jan Customer Duplicate Hyva'!$A:$A,"NOT FOUND"),"")</f>
        <v>CUST-343</v>
      </c>
      <c r="D27" s="4" t="s">
        <v>220</v>
      </c>
      <c r="E27" s="2"/>
      <c r="F27" s="2"/>
      <c r="G27" s="2"/>
      <c r="H27" s="2"/>
      <c r="I27" s="2"/>
      <c r="J27" s="2"/>
      <c r="K27" s="2"/>
      <c r="L27" s="8" t="s">
        <v>38</v>
      </c>
      <c r="M27" s="9">
        <v>1</v>
      </c>
      <c r="N27" s="6">
        <v>4000</v>
      </c>
      <c r="O27" s="6">
        <f t="shared" si="6"/>
        <v>4000</v>
      </c>
      <c r="P27" s="6">
        <v>4000</v>
      </c>
      <c r="Q27" s="6">
        <f t="shared" si="7"/>
        <v>0</v>
      </c>
      <c r="R27" s="2" t="str">
        <f t="shared" si="12"/>
        <v>PAID</v>
      </c>
      <c r="S27" s="2"/>
      <c r="T27" s="2">
        <f t="shared" si="8"/>
        <v>4000</v>
      </c>
      <c r="U27" s="2" t="str">
        <f t="shared" si="9"/>
        <v>OK</v>
      </c>
      <c r="V27" s="7">
        <f t="shared" si="10"/>
        <v>0</v>
      </c>
      <c r="W27" s="2" t="str">
        <f t="shared" si="11"/>
        <v>OK</v>
      </c>
      <c r="X27" s="2" t="s">
        <v>26</v>
      </c>
      <c r="Y27" s="2" t="s">
        <v>27</v>
      </c>
      <c r="Z27" s="2" t="s">
        <v>28</v>
      </c>
      <c r="AA27" t="s">
        <v>245</v>
      </c>
      <c r="AB27" t="s">
        <v>245</v>
      </c>
      <c r="AC27" t="s">
        <v>245</v>
      </c>
    </row>
    <row r="28" spans="1:29" x14ac:dyDescent="0.2">
      <c r="A28" t="str">
        <f t="shared" si="1"/>
        <v>TRIP-TR-027</v>
      </c>
      <c r="B28" s="3">
        <v>45703</v>
      </c>
      <c r="C28" t="str">
        <f>IF(X28="CUSTOMER DELIVERY",_xlfn.XLOOKUP(D28,'[1]Jan Customer Duplicate Hyva'!$B:$B,'[1]Jan Customer Duplicate Hyva'!$A:$A,"NOT FOUND"),"")</f>
        <v>CUST-288</v>
      </c>
      <c r="D28" s="4" t="s">
        <v>43</v>
      </c>
      <c r="E28" s="2"/>
      <c r="F28" s="2"/>
      <c r="G28" s="2"/>
      <c r="H28" s="2"/>
      <c r="I28" s="2"/>
      <c r="J28" s="2"/>
      <c r="K28" s="2"/>
      <c r="L28" s="4" t="s">
        <v>46</v>
      </c>
      <c r="M28" s="9">
        <v>1</v>
      </c>
      <c r="N28" s="6">
        <v>4000</v>
      </c>
      <c r="O28" s="6">
        <f t="shared" si="6"/>
        <v>4000</v>
      </c>
      <c r="P28" s="6">
        <v>4000</v>
      </c>
      <c r="Q28" s="6">
        <f t="shared" si="7"/>
        <v>0</v>
      </c>
      <c r="R28" s="2" t="str">
        <f t="shared" si="12"/>
        <v>PAID</v>
      </c>
      <c r="S28" s="2"/>
      <c r="T28" s="2">
        <f t="shared" si="8"/>
        <v>4000</v>
      </c>
      <c r="U28" s="2" t="str">
        <f t="shared" si="9"/>
        <v>OK</v>
      </c>
      <c r="V28" s="7">
        <f t="shared" si="10"/>
        <v>0</v>
      </c>
      <c r="W28" s="2" t="str">
        <f t="shared" si="11"/>
        <v>OK</v>
      </c>
      <c r="X28" s="2" t="s">
        <v>26</v>
      </c>
      <c r="Y28" s="2" t="s">
        <v>27</v>
      </c>
      <c r="Z28" s="2" t="s">
        <v>28</v>
      </c>
      <c r="AA28" t="s">
        <v>245</v>
      </c>
      <c r="AB28" t="s">
        <v>245</v>
      </c>
      <c r="AC28" t="s">
        <v>245</v>
      </c>
    </row>
    <row r="29" spans="1:29" x14ac:dyDescent="0.2">
      <c r="A29" t="str">
        <f t="shared" si="1"/>
        <v>TRIP-TR-028</v>
      </c>
      <c r="B29" s="3">
        <v>45705</v>
      </c>
      <c r="C29" t="str">
        <f>IF(X29="CUSTOMER DELIVERY",_xlfn.XLOOKUP(D29,'[1]Jan Customer Duplicate Hyva'!$B:$B,'[1]Jan Customer Duplicate Hyva'!$A:$A,"NOT FOUND"),"")</f>
        <v>CUST-048</v>
      </c>
      <c r="D29" s="4" t="s">
        <v>47</v>
      </c>
      <c r="E29" s="2"/>
      <c r="F29" s="2"/>
      <c r="G29" s="2"/>
      <c r="H29" s="2"/>
      <c r="I29" s="2"/>
      <c r="J29" s="2"/>
      <c r="K29" s="2"/>
      <c r="L29" s="4" t="s">
        <v>42</v>
      </c>
      <c r="M29" s="9">
        <v>1</v>
      </c>
      <c r="N29" s="6">
        <v>4000</v>
      </c>
      <c r="O29" s="6">
        <f t="shared" si="6"/>
        <v>4000</v>
      </c>
      <c r="P29" s="6">
        <v>4000</v>
      </c>
      <c r="Q29" s="6">
        <f t="shared" si="7"/>
        <v>0</v>
      </c>
      <c r="R29" s="2" t="str">
        <f t="shared" si="12"/>
        <v>PAID</v>
      </c>
      <c r="S29" s="2"/>
      <c r="T29" s="2">
        <f t="shared" si="8"/>
        <v>4000</v>
      </c>
      <c r="U29" s="2" t="str">
        <f t="shared" si="9"/>
        <v>OK</v>
      </c>
      <c r="V29" s="7">
        <f t="shared" si="10"/>
        <v>0</v>
      </c>
      <c r="W29" s="2" t="str">
        <f t="shared" si="11"/>
        <v>OK</v>
      </c>
      <c r="X29" s="2" t="s">
        <v>26</v>
      </c>
      <c r="Y29" s="2" t="s">
        <v>27</v>
      </c>
      <c r="Z29" s="2" t="s">
        <v>28</v>
      </c>
      <c r="AA29" t="s">
        <v>245</v>
      </c>
      <c r="AB29" t="s">
        <v>245</v>
      </c>
      <c r="AC29" t="s">
        <v>245</v>
      </c>
    </row>
    <row r="30" spans="1:29" x14ac:dyDescent="0.2">
      <c r="A30" t="str">
        <f t="shared" si="1"/>
        <v>TRIP-TR-029</v>
      </c>
      <c r="B30" s="3">
        <v>45710</v>
      </c>
      <c r="C30" t="str">
        <f>IF(X30="CUSTOMER DELIVERY",_xlfn.XLOOKUP(D30,'[1]Jan Customer Duplicate Hyva'!$B:$B,'[1]Jan Customer Duplicate Hyva'!$A:$A,"NOT FOUND"),"")</f>
        <v>CUST-253</v>
      </c>
      <c r="D30" s="8" t="s">
        <v>48</v>
      </c>
      <c r="E30" s="2"/>
      <c r="F30" s="2"/>
      <c r="G30" s="2"/>
      <c r="H30" s="2"/>
      <c r="I30" s="2"/>
      <c r="J30" s="2"/>
      <c r="K30" s="2"/>
      <c r="L30" s="8" t="s">
        <v>49</v>
      </c>
      <c r="M30" s="9">
        <v>1</v>
      </c>
      <c r="N30" s="6">
        <v>5000</v>
      </c>
      <c r="O30" s="6">
        <f t="shared" si="6"/>
        <v>5000</v>
      </c>
      <c r="P30" s="6">
        <v>5000</v>
      </c>
      <c r="Q30" s="6">
        <f t="shared" si="7"/>
        <v>0</v>
      </c>
      <c r="R30" s="2" t="str">
        <f t="shared" si="12"/>
        <v>PAID</v>
      </c>
      <c r="S30" s="2"/>
      <c r="T30" s="2">
        <f t="shared" si="8"/>
        <v>5000</v>
      </c>
      <c r="U30" s="2" t="str">
        <f t="shared" si="9"/>
        <v>OK</v>
      </c>
      <c r="V30" s="7">
        <f t="shared" si="10"/>
        <v>0</v>
      </c>
      <c r="W30" s="2" t="str">
        <f t="shared" si="11"/>
        <v>OK</v>
      </c>
      <c r="X30" s="2" t="s">
        <v>26</v>
      </c>
      <c r="Y30" s="2" t="s">
        <v>27</v>
      </c>
      <c r="Z30" s="2" t="s">
        <v>28</v>
      </c>
      <c r="AA30" t="s">
        <v>245</v>
      </c>
      <c r="AB30" t="s">
        <v>245</v>
      </c>
      <c r="AC30" t="s">
        <v>245</v>
      </c>
    </row>
    <row r="31" spans="1:29" x14ac:dyDescent="0.2">
      <c r="A31" t="str">
        <f t="shared" si="1"/>
        <v>TRIP-TR-030</v>
      </c>
      <c r="B31" s="3">
        <v>45711</v>
      </c>
      <c r="C31" t="str">
        <f>IF(X31="CUSTOMER DELIVERY",_xlfn.XLOOKUP(D31,'[1]Jan Customer Duplicate Hyva'!$B:$B,'[1]Jan Customer Duplicate Hyva'!$A:$A,"NOT FOUND"),"")</f>
        <v>CUST-390</v>
      </c>
      <c r="D31" s="10" t="s">
        <v>50</v>
      </c>
      <c r="E31" s="2"/>
      <c r="F31" s="2"/>
      <c r="G31" s="2"/>
      <c r="H31" s="2"/>
      <c r="I31" s="2"/>
      <c r="J31" s="2"/>
      <c r="K31" s="2"/>
      <c r="L31" s="8" t="s">
        <v>33</v>
      </c>
      <c r="M31" s="9">
        <v>1</v>
      </c>
      <c r="N31" s="6">
        <v>4000</v>
      </c>
      <c r="O31" s="6">
        <f t="shared" si="6"/>
        <v>4000</v>
      </c>
      <c r="P31" s="6">
        <v>4000</v>
      </c>
      <c r="Q31" s="6">
        <f t="shared" si="7"/>
        <v>0</v>
      </c>
      <c r="R31" s="2" t="str">
        <f t="shared" si="12"/>
        <v>PAID</v>
      </c>
      <c r="S31" s="2"/>
      <c r="T31" s="2">
        <f t="shared" si="8"/>
        <v>4000</v>
      </c>
      <c r="U31" s="2" t="str">
        <f t="shared" si="9"/>
        <v>OK</v>
      </c>
      <c r="V31" s="7">
        <f t="shared" si="10"/>
        <v>0</v>
      </c>
      <c r="W31" s="2" t="str">
        <f t="shared" si="11"/>
        <v>OK</v>
      </c>
      <c r="X31" s="2" t="s">
        <v>26</v>
      </c>
      <c r="Y31" s="2" t="s">
        <v>27</v>
      </c>
      <c r="Z31" s="2" t="s">
        <v>28</v>
      </c>
      <c r="AA31" t="s">
        <v>245</v>
      </c>
      <c r="AB31" t="s">
        <v>245</v>
      </c>
      <c r="AC31" t="s">
        <v>245</v>
      </c>
    </row>
    <row r="32" spans="1:29" x14ac:dyDescent="0.2">
      <c r="A32" t="str">
        <f t="shared" si="1"/>
        <v>TRIP-TR-031</v>
      </c>
      <c r="B32" s="3">
        <v>45711</v>
      </c>
      <c r="C32" t="str">
        <f>IF(X32="CUSTOMER DELIVERY",_xlfn.XLOOKUP(D32,'[1]Jan Customer Duplicate Hyva'!$B:$B,'[1]Jan Customer Duplicate Hyva'!$A:$A,"NOT FOUND"),"")</f>
        <v>CUST-190</v>
      </c>
      <c r="D32" s="10" t="s">
        <v>51</v>
      </c>
      <c r="E32" s="2"/>
      <c r="F32" s="2"/>
      <c r="G32" s="2"/>
      <c r="H32" s="2"/>
      <c r="I32" s="2"/>
      <c r="J32" s="2"/>
      <c r="K32" s="2"/>
      <c r="L32" s="8" t="s">
        <v>52</v>
      </c>
      <c r="M32" s="9">
        <v>1</v>
      </c>
      <c r="N32" s="6">
        <v>5000</v>
      </c>
      <c r="O32" s="6">
        <f t="shared" si="6"/>
        <v>5000</v>
      </c>
      <c r="P32" s="6">
        <v>0</v>
      </c>
      <c r="Q32" s="6">
        <f t="shared" si="7"/>
        <v>5000</v>
      </c>
      <c r="R32" s="2" t="str">
        <f t="shared" si="12"/>
        <v>UNPAID</v>
      </c>
      <c r="S32" s="2"/>
      <c r="T32" s="2">
        <f t="shared" si="8"/>
        <v>5000</v>
      </c>
      <c r="U32" s="2" t="str">
        <f t="shared" si="9"/>
        <v>OK</v>
      </c>
      <c r="V32" s="7">
        <f t="shared" si="10"/>
        <v>5000</v>
      </c>
      <c r="W32" s="2" t="str">
        <f t="shared" si="11"/>
        <v>OK</v>
      </c>
      <c r="X32" s="2" t="s">
        <v>26</v>
      </c>
      <c r="Y32" s="2" t="s">
        <v>27</v>
      </c>
      <c r="Z32" s="2" t="s">
        <v>28</v>
      </c>
      <c r="AA32" t="s">
        <v>245</v>
      </c>
      <c r="AB32" t="s">
        <v>245</v>
      </c>
      <c r="AC32" t="s">
        <v>245</v>
      </c>
    </row>
    <row r="33" spans="1:29" x14ac:dyDescent="0.2">
      <c r="A33" t="str">
        <f t="shared" si="1"/>
        <v>TRIP-TR-032</v>
      </c>
      <c r="B33" s="3">
        <v>45711</v>
      </c>
      <c r="C33" t="str">
        <f>IF(X33="CUSTOMER DELIVERY",_xlfn.XLOOKUP(D33,'[1]Jan Customer Duplicate Hyva'!$B:$B,'[1]Jan Customer Duplicate Hyva'!$A:$A,"NOT FOUND"),"")</f>
        <v>CUST-088</v>
      </c>
      <c r="D33" s="4" t="s">
        <v>34</v>
      </c>
      <c r="E33" s="2"/>
      <c r="F33" s="2"/>
      <c r="G33" s="2"/>
      <c r="H33" s="2"/>
      <c r="I33" s="2"/>
      <c r="J33" s="2"/>
      <c r="K33" s="2"/>
      <c r="L33" s="4" t="s">
        <v>53</v>
      </c>
      <c r="M33" s="5">
        <v>3</v>
      </c>
      <c r="N33" s="6">
        <v>1000</v>
      </c>
      <c r="O33" s="6">
        <f t="shared" si="6"/>
        <v>3000</v>
      </c>
      <c r="P33" s="6">
        <v>3000</v>
      </c>
      <c r="Q33" s="6">
        <f t="shared" si="7"/>
        <v>0</v>
      </c>
      <c r="R33" s="2" t="str">
        <f t="shared" si="12"/>
        <v>PAID</v>
      </c>
      <c r="S33" s="2"/>
      <c r="T33" s="2">
        <f t="shared" si="8"/>
        <v>3000</v>
      </c>
      <c r="U33" s="2" t="str">
        <f t="shared" si="9"/>
        <v>OK</v>
      </c>
      <c r="V33" s="7">
        <f t="shared" si="10"/>
        <v>0</v>
      </c>
      <c r="W33" s="2" t="str">
        <f t="shared" si="11"/>
        <v>OK</v>
      </c>
      <c r="X33" s="2" t="s">
        <v>26</v>
      </c>
      <c r="Y33" s="2" t="s">
        <v>27</v>
      </c>
      <c r="Z33" s="2" t="s">
        <v>28</v>
      </c>
      <c r="AA33" t="s">
        <v>245</v>
      </c>
      <c r="AB33" t="s">
        <v>245</v>
      </c>
      <c r="AC33" t="s">
        <v>245</v>
      </c>
    </row>
    <row r="34" spans="1:29" x14ac:dyDescent="0.2">
      <c r="A34" t="str">
        <f t="shared" si="1"/>
        <v>TRIP-TR-033</v>
      </c>
      <c r="B34" s="3">
        <v>45711</v>
      </c>
      <c r="C34" t="str">
        <f>IF(X34="CUSTOMER DELIVERY",_xlfn.XLOOKUP(D34,'[1]Jan Customer Duplicate Hyva'!$B:$B,'[1]Jan Customer Duplicate Hyva'!$A:$A,"NOT FOUND"),"")</f>
        <v>CUST-339</v>
      </c>
      <c r="D34" s="4" t="s">
        <v>221</v>
      </c>
      <c r="E34" s="2"/>
      <c r="F34" s="2"/>
      <c r="G34" s="2"/>
      <c r="H34" s="2"/>
      <c r="I34" s="2"/>
      <c r="J34" s="2"/>
      <c r="K34" s="2"/>
      <c r="L34" s="4" t="s">
        <v>38</v>
      </c>
      <c r="M34" s="5">
        <v>1</v>
      </c>
      <c r="N34" s="6">
        <v>4000</v>
      </c>
      <c r="O34" s="6">
        <f t="shared" si="6"/>
        <v>4000</v>
      </c>
      <c r="P34" s="6">
        <v>4000</v>
      </c>
      <c r="Q34" s="6">
        <f t="shared" si="7"/>
        <v>0</v>
      </c>
      <c r="R34" s="2" t="str">
        <f t="shared" si="12"/>
        <v>PAID</v>
      </c>
      <c r="S34" s="2"/>
      <c r="T34" s="2">
        <f t="shared" si="8"/>
        <v>4000</v>
      </c>
      <c r="U34" s="2" t="str">
        <f t="shared" si="9"/>
        <v>OK</v>
      </c>
      <c r="V34" s="7">
        <f t="shared" si="10"/>
        <v>0</v>
      </c>
      <c r="W34" s="2" t="str">
        <f t="shared" si="11"/>
        <v>OK</v>
      </c>
      <c r="X34" s="2" t="s">
        <v>26</v>
      </c>
      <c r="Y34" s="2" t="s">
        <v>27</v>
      </c>
      <c r="Z34" s="2" t="s">
        <v>28</v>
      </c>
      <c r="AA34" t="s">
        <v>245</v>
      </c>
      <c r="AB34" t="s">
        <v>245</v>
      </c>
      <c r="AC34" t="s">
        <v>245</v>
      </c>
    </row>
    <row r="35" spans="1:29" x14ac:dyDescent="0.2">
      <c r="A35" t="str">
        <f t="shared" si="1"/>
        <v>TRIP-TR-034</v>
      </c>
      <c r="B35" s="3">
        <v>45711</v>
      </c>
      <c r="C35" t="str">
        <f>IF(X35="CUSTOMER DELIVERY",_xlfn.XLOOKUP(D35,'[1]Jan Customer Duplicate Hyva'!$B:$B,'[1]Jan Customer Duplicate Hyva'!$A:$A,"NOT FOUND"),"")</f>
        <v>CUST-103</v>
      </c>
      <c r="D35" s="4" t="s">
        <v>219</v>
      </c>
      <c r="E35" s="2"/>
      <c r="F35" s="2"/>
      <c r="G35" s="2"/>
      <c r="H35" s="2"/>
      <c r="I35" s="2"/>
      <c r="J35" s="2"/>
      <c r="K35" s="2"/>
      <c r="L35" s="4" t="s">
        <v>54</v>
      </c>
      <c r="M35" s="5">
        <v>1</v>
      </c>
      <c r="N35" s="6">
        <v>0</v>
      </c>
      <c r="O35" s="6">
        <f t="shared" si="6"/>
        <v>0</v>
      </c>
      <c r="P35" s="6"/>
      <c r="Q35" s="6">
        <f t="shared" si="7"/>
        <v>0</v>
      </c>
      <c r="R35" s="2" t="str">
        <f t="shared" si="12"/>
        <v>PAID</v>
      </c>
      <c r="S35" s="2"/>
      <c r="T35" s="2">
        <f t="shared" si="8"/>
        <v>0</v>
      </c>
      <c r="U35" s="2" t="str">
        <f t="shared" si="9"/>
        <v>OK</v>
      </c>
      <c r="V35" s="7">
        <f t="shared" si="10"/>
        <v>0</v>
      </c>
      <c r="W35" s="2" t="str">
        <f t="shared" si="11"/>
        <v>OK</v>
      </c>
      <c r="X35" s="2" t="s">
        <v>26</v>
      </c>
      <c r="Y35" s="2" t="s">
        <v>27</v>
      </c>
      <c r="Z35" s="2" t="s">
        <v>28</v>
      </c>
      <c r="AA35" t="s">
        <v>245</v>
      </c>
      <c r="AB35" t="s">
        <v>245</v>
      </c>
      <c r="AC35" t="s">
        <v>245</v>
      </c>
    </row>
    <row r="36" spans="1:29" x14ac:dyDescent="0.2">
      <c r="A36" t="str">
        <f t="shared" si="1"/>
        <v>TRIP-TR-035</v>
      </c>
      <c r="B36" s="3">
        <v>45712</v>
      </c>
      <c r="C36" t="str">
        <f>IF(X36="CUSTOMER DELIVERY",_xlfn.XLOOKUP(D36,'[1]Jan Customer Duplicate Hyva'!$B:$B,'[1]Jan Customer Duplicate Hyva'!$A:$A,"NOT FOUND"),"")</f>
        <v>CUST-103</v>
      </c>
      <c r="D36" s="4" t="s">
        <v>219</v>
      </c>
      <c r="E36" s="2"/>
      <c r="F36" s="2"/>
      <c r="G36" s="2"/>
      <c r="H36" s="2"/>
      <c r="I36" s="2"/>
      <c r="J36" s="2"/>
      <c r="K36" s="2"/>
      <c r="L36" s="4" t="s">
        <v>55</v>
      </c>
      <c r="M36" s="5">
        <v>1</v>
      </c>
      <c r="N36" s="6">
        <v>0</v>
      </c>
      <c r="O36" s="6">
        <f t="shared" si="6"/>
        <v>0</v>
      </c>
      <c r="P36" s="6"/>
      <c r="Q36" s="6">
        <f t="shared" si="7"/>
        <v>0</v>
      </c>
      <c r="R36" s="2" t="str">
        <f t="shared" si="12"/>
        <v>PAID</v>
      </c>
      <c r="S36" s="2"/>
      <c r="T36" s="2">
        <f t="shared" si="8"/>
        <v>0</v>
      </c>
      <c r="U36" s="2" t="str">
        <f t="shared" si="9"/>
        <v>OK</v>
      </c>
      <c r="V36" s="7">
        <f t="shared" si="10"/>
        <v>0</v>
      </c>
      <c r="W36" s="2" t="str">
        <f t="shared" si="11"/>
        <v>OK</v>
      </c>
      <c r="X36" s="2" t="s">
        <v>26</v>
      </c>
      <c r="Y36" s="2" t="s">
        <v>27</v>
      </c>
      <c r="Z36" s="2" t="s">
        <v>28</v>
      </c>
      <c r="AA36" t="s">
        <v>245</v>
      </c>
      <c r="AB36" t="s">
        <v>245</v>
      </c>
      <c r="AC36" t="s">
        <v>245</v>
      </c>
    </row>
    <row r="37" spans="1:29" x14ac:dyDescent="0.2">
      <c r="A37" t="str">
        <f t="shared" si="1"/>
        <v>TRIP-TR-036</v>
      </c>
      <c r="B37" s="3">
        <v>45712</v>
      </c>
      <c r="C37" t="str">
        <f>IF(X37="CUSTOMER DELIVERY",_xlfn.XLOOKUP(D37,'[1]Jan Customer Duplicate Hyva'!$B:$B,'[1]Jan Customer Duplicate Hyva'!$A:$A,"NOT FOUND"),"")</f>
        <v>CUST-138</v>
      </c>
      <c r="D37" s="4" t="s">
        <v>37</v>
      </c>
      <c r="E37" s="2"/>
      <c r="F37" s="2"/>
      <c r="G37" s="2"/>
      <c r="H37" s="2"/>
      <c r="I37" s="2"/>
      <c r="J37" s="2"/>
      <c r="K37" s="2"/>
      <c r="L37" s="4" t="s">
        <v>38</v>
      </c>
      <c r="M37" s="5">
        <v>1</v>
      </c>
      <c r="N37" s="6">
        <v>4000</v>
      </c>
      <c r="O37" s="6">
        <f t="shared" si="6"/>
        <v>4000</v>
      </c>
      <c r="P37" s="6">
        <v>4000</v>
      </c>
      <c r="Q37" s="6">
        <f t="shared" si="7"/>
        <v>0</v>
      </c>
      <c r="R37" s="2" t="str">
        <f t="shared" si="12"/>
        <v>PAID</v>
      </c>
      <c r="S37" s="2"/>
      <c r="T37" s="2">
        <f t="shared" si="8"/>
        <v>4000</v>
      </c>
      <c r="U37" s="2" t="str">
        <f t="shared" si="9"/>
        <v>OK</v>
      </c>
      <c r="V37" s="7">
        <f t="shared" si="10"/>
        <v>0</v>
      </c>
      <c r="W37" s="2" t="str">
        <f t="shared" si="11"/>
        <v>OK</v>
      </c>
      <c r="X37" s="2" t="s">
        <v>26</v>
      </c>
      <c r="Y37" s="2" t="s">
        <v>27</v>
      </c>
      <c r="Z37" s="2" t="s">
        <v>28</v>
      </c>
      <c r="AA37" t="s">
        <v>245</v>
      </c>
      <c r="AB37" t="s">
        <v>245</v>
      </c>
      <c r="AC37" t="s">
        <v>245</v>
      </c>
    </row>
    <row r="38" spans="1:29" x14ac:dyDescent="0.2">
      <c r="A38" t="str">
        <f t="shared" si="1"/>
        <v>TRIP-TR-037</v>
      </c>
      <c r="B38" s="3">
        <v>45712</v>
      </c>
      <c r="C38" t="str">
        <f>IF(X38="CUSTOMER DELIVERY",_xlfn.XLOOKUP(D38,'[1]Jan Customer Duplicate Hyva'!$B:$B,'[1]Jan Customer Duplicate Hyva'!$A:$A,"NOT FOUND"),"")</f>
        <v>CUST-393</v>
      </c>
      <c r="D38" s="10" t="s">
        <v>56</v>
      </c>
      <c r="E38" s="2"/>
      <c r="F38" s="2"/>
      <c r="G38" s="2"/>
      <c r="H38" s="2"/>
      <c r="I38" s="2"/>
      <c r="J38" s="2"/>
      <c r="K38" s="2"/>
      <c r="L38" s="4" t="s">
        <v>33</v>
      </c>
      <c r="M38" s="5">
        <v>1</v>
      </c>
      <c r="N38" s="6">
        <v>4000</v>
      </c>
      <c r="O38" s="6">
        <f t="shared" si="6"/>
        <v>4000</v>
      </c>
      <c r="P38" s="6">
        <v>4000</v>
      </c>
      <c r="Q38" s="6">
        <f t="shared" si="7"/>
        <v>0</v>
      </c>
      <c r="R38" s="2" t="str">
        <f t="shared" si="12"/>
        <v>PAID</v>
      </c>
      <c r="S38" s="2"/>
      <c r="T38" s="2">
        <f t="shared" si="8"/>
        <v>4000</v>
      </c>
      <c r="U38" s="2" t="str">
        <f t="shared" si="9"/>
        <v>OK</v>
      </c>
      <c r="V38" s="7">
        <f t="shared" si="10"/>
        <v>0</v>
      </c>
      <c r="W38" s="2" t="str">
        <f t="shared" si="11"/>
        <v>OK</v>
      </c>
      <c r="X38" s="2" t="s">
        <v>26</v>
      </c>
      <c r="Y38" s="2" t="s">
        <v>27</v>
      </c>
      <c r="Z38" s="2" t="s">
        <v>28</v>
      </c>
      <c r="AA38" t="s">
        <v>245</v>
      </c>
      <c r="AB38" t="s">
        <v>245</v>
      </c>
      <c r="AC38" t="s">
        <v>245</v>
      </c>
    </row>
    <row r="39" spans="1:29" x14ac:dyDescent="0.2">
      <c r="A39" t="str">
        <f t="shared" si="1"/>
        <v>TRIP-TR-038</v>
      </c>
      <c r="B39" s="3">
        <v>45713</v>
      </c>
      <c r="C39" t="str">
        <f>IF(X39="CUSTOMER DELIVERY",_xlfn.XLOOKUP(D39,'[1]Jan Customer Duplicate Hyva'!$B:$B,'[1]Jan Customer Duplicate Hyva'!$A:$A,"NOT FOUND"),"")</f>
        <v>CUST-253</v>
      </c>
      <c r="D39" s="4" t="s">
        <v>48</v>
      </c>
      <c r="E39" s="2"/>
      <c r="F39" s="2"/>
      <c r="G39" s="2"/>
      <c r="H39" s="2"/>
      <c r="I39" s="2"/>
      <c r="J39" s="2"/>
      <c r="K39" s="2"/>
      <c r="L39" s="4" t="s">
        <v>38</v>
      </c>
      <c r="M39" s="5">
        <v>1</v>
      </c>
      <c r="N39" s="6">
        <v>4000</v>
      </c>
      <c r="O39" s="6">
        <f t="shared" si="6"/>
        <v>4000</v>
      </c>
      <c r="P39" s="6">
        <v>4000</v>
      </c>
      <c r="Q39" s="6">
        <f t="shared" si="7"/>
        <v>0</v>
      </c>
      <c r="R39" s="2" t="str">
        <f t="shared" si="12"/>
        <v>PAID</v>
      </c>
      <c r="S39" s="2"/>
      <c r="T39" s="2">
        <f t="shared" si="8"/>
        <v>4000</v>
      </c>
      <c r="U39" s="2" t="str">
        <f t="shared" si="9"/>
        <v>OK</v>
      </c>
      <c r="V39" s="7">
        <f t="shared" si="10"/>
        <v>0</v>
      </c>
      <c r="W39" s="2" t="str">
        <f t="shared" si="11"/>
        <v>OK</v>
      </c>
      <c r="X39" s="2" t="s">
        <v>26</v>
      </c>
      <c r="Y39" s="2" t="s">
        <v>27</v>
      </c>
      <c r="Z39" s="2" t="s">
        <v>28</v>
      </c>
      <c r="AA39" t="s">
        <v>245</v>
      </c>
      <c r="AB39" t="s">
        <v>245</v>
      </c>
      <c r="AC39" t="s">
        <v>245</v>
      </c>
    </row>
    <row r="40" spans="1:29" x14ac:dyDescent="0.2">
      <c r="A40" t="str">
        <f t="shared" si="1"/>
        <v>TRIP-TR-039</v>
      </c>
      <c r="B40" s="3">
        <v>45714</v>
      </c>
      <c r="C40" t="str">
        <f>IF(X40="CUSTOMER DELIVERY",_xlfn.XLOOKUP(D40,'[1]Jan Customer Duplicate Hyva'!$B:$B,'[1]Jan Customer Duplicate Hyva'!$A:$A,"NOT FOUND"),"")</f>
        <v>CUST-288</v>
      </c>
      <c r="D40" s="8" t="s">
        <v>43</v>
      </c>
      <c r="E40" s="2"/>
      <c r="F40" s="2"/>
      <c r="G40" s="2"/>
      <c r="H40" s="2"/>
      <c r="I40" s="2"/>
      <c r="J40" s="2"/>
      <c r="K40" s="2"/>
      <c r="L40" s="8" t="s">
        <v>38</v>
      </c>
      <c r="M40" s="9">
        <v>1</v>
      </c>
      <c r="N40" s="6">
        <v>4000</v>
      </c>
      <c r="O40" s="6">
        <f t="shared" si="6"/>
        <v>4000</v>
      </c>
      <c r="P40" s="6">
        <v>4000</v>
      </c>
      <c r="Q40" s="6">
        <f t="shared" si="7"/>
        <v>0</v>
      </c>
      <c r="R40" s="2" t="str">
        <f t="shared" si="12"/>
        <v>PAID</v>
      </c>
      <c r="S40" s="2"/>
      <c r="T40" s="2">
        <f t="shared" si="8"/>
        <v>4000</v>
      </c>
      <c r="U40" s="2" t="str">
        <f t="shared" si="9"/>
        <v>OK</v>
      </c>
      <c r="V40" s="7">
        <f t="shared" si="10"/>
        <v>0</v>
      </c>
      <c r="W40" s="2" t="str">
        <f t="shared" si="11"/>
        <v>OK</v>
      </c>
      <c r="X40" s="2" t="s">
        <v>26</v>
      </c>
      <c r="Y40" s="2" t="s">
        <v>27</v>
      </c>
      <c r="Z40" s="2" t="s">
        <v>28</v>
      </c>
      <c r="AA40" t="s">
        <v>245</v>
      </c>
      <c r="AB40" t="s">
        <v>245</v>
      </c>
      <c r="AC40" t="s">
        <v>245</v>
      </c>
    </row>
    <row r="41" spans="1:29" x14ac:dyDescent="0.2">
      <c r="A41" t="str">
        <f t="shared" si="1"/>
        <v>TRIP-TR-040</v>
      </c>
      <c r="B41" s="3">
        <v>45716</v>
      </c>
      <c r="C41" t="str">
        <f>IF(X41="CUSTOMER DELIVERY",_xlfn.XLOOKUP(D41,'[1]Jan Customer Duplicate Hyva'!$B:$B,'[1]Jan Customer Duplicate Hyva'!$A:$A,"NOT FOUND"),"")</f>
        <v>CUST-103</v>
      </c>
      <c r="D41" s="4" t="s">
        <v>219</v>
      </c>
      <c r="E41" s="2"/>
      <c r="F41" s="2"/>
      <c r="G41" s="2"/>
      <c r="H41" s="2"/>
      <c r="I41" s="2"/>
      <c r="J41" s="2"/>
      <c r="K41" s="2"/>
      <c r="L41" s="4" t="s">
        <v>57</v>
      </c>
      <c r="M41" s="9">
        <v>1</v>
      </c>
      <c r="N41" s="6">
        <v>0</v>
      </c>
      <c r="O41" s="6">
        <f t="shared" si="6"/>
        <v>0</v>
      </c>
      <c r="P41" s="6"/>
      <c r="Q41" s="6">
        <f t="shared" si="7"/>
        <v>0</v>
      </c>
      <c r="R41" s="2" t="str">
        <f t="shared" si="12"/>
        <v>PAID</v>
      </c>
      <c r="S41" s="2"/>
      <c r="T41" s="2">
        <f t="shared" si="8"/>
        <v>0</v>
      </c>
      <c r="U41" s="2" t="str">
        <f t="shared" si="9"/>
        <v>OK</v>
      </c>
      <c r="V41" s="7">
        <f t="shared" si="10"/>
        <v>0</v>
      </c>
      <c r="W41" s="2" t="str">
        <f t="shared" si="11"/>
        <v>OK</v>
      </c>
      <c r="X41" s="2" t="s">
        <v>26</v>
      </c>
      <c r="Y41" s="2" t="s">
        <v>27</v>
      </c>
      <c r="Z41" s="2" t="s">
        <v>28</v>
      </c>
      <c r="AA41" t="s">
        <v>245</v>
      </c>
      <c r="AB41" t="s">
        <v>245</v>
      </c>
      <c r="AC41" t="s">
        <v>245</v>
      </c>
    </row>
    <row r="42" spans="1:29" x14ac:dyDescent="0.2">
      <c r="A42" t="str">
        <f t="shared" si="1"/>
        <v>TRIP-TR-041</v>
      </c>
      <c r="B42" s="3">
        <v>45717</v>
      </c>
      <c r="C42" t="str">
        <f>IF(X42="CUSTOMER DELIVERY",_xlfn.XLOOKUP(D42,'[1]Jan Customer Duplicate Hyva'!$B:$B,'[1]Jan Customer Duplicate Hyva'!$A:$A,"NOT FOUND"),"")</f>
        <v>CUST-288</v>
      </c>
      <c r="D42" s="8" t="s">
        <v>43</v>
      </c>
      <c r="E42" s="2"/>
      <c r="F42" s="2"/>
      <c r="G42" s="2"/>
      <c r="H42" s="2"/>
      <c r="I42" s="2"/>
      <c r="J42" s="2"/>
      <c r="K42" s="2"/>
      <c r="L42" s="8" t="s">
        <v>38</v>
      </c>
      <c r="M42" s="9">
        <v>1</v>
      </c>
      <c r="N42" s="6">
        <v>4000</v>
      </c>
      <c r="O42" s="6">
        <f t="shared" si="6"/>
        <v>4000</v>
      </c>
      <c r="P42" s="6">
        <v>4000</v>
      </c>
      <c r="Q42" s="6">
        <f t="shared" si="7"/>
        <v>0</v>
      </c>
      <c r="R42" s="2" t="str">
        <f t="shared" si="12"/>
        <v>PAID</v>
      </c>
      <c r="S42" s="2"/>
      <c r="T42" s="2">
        <f t="shared" si="8"/>
        <v>4000</v>
      </c>
      <c r="U42" s="2" t="str">
        <f t="shared" si="9"/>
        <v>OK</v>
      </c>
      <c r="V42" s="7">
        <f t="shared" si="10"/>
        <v>0</v>
      </c>
      <c r="W42" s="2" t="str">
        <f t="shared" si="11"/>
        <v>OK</v>
      </c>
      <c r="X42" s="2" t="s">
        <v>26</v>
      </c>
      <c r="Y42" s="2" t="s">
        <v>27</v>
      </c>
      <c r="Z42" s="2" t="s">
        <v>28</v>
      </c>
      <c r="AA42" t="s">
        <v>245</v>
      </c>
      <c r="AB42" t="s">
        <v>245</v>
      </c>
      <c r="AC42" t="s">
        <v>245</v>
      </c>
    </row>
    <row r="43" spans="1:29" x14ac:dyDescent="0.2">
      <c r="A43" t="str">
        <f t="shared" si="1"/>
        <v>TRIP-TR-042</v>
      </c>
      <c r="B43" s="3">
        <v>45718</v>
      </c>
      <c r="C43" t="str">
        <f>IF(X43="CUSTOMER DELIVERY",_xlfn.XLOOKUP(D43,'[1]Jan Customer Duplicate Hyva'!$B:$B,'[1]Jan Customer Duplicate Hyva'!$A:$A,"NOT FOUND"),"")</f>
        <v>CUST-058</v>
      </c>
      <c r="D43" s="8" t="s">
        <v>36</v>
      </c>
      <c r="E43" s="2"/>
      <c r="F43" s="2"/>
      <c r="G43" s="2"/>
      <c r="H43" s="2"/>
      <c r="I43" s="2"/>
      <c r="J43" s="2"/>
      <c r="K43" s="2"/>
      <c r="L43" s="4" t="s">
        <v>38</v>
      </c>
      <c r="M43" s="5">
        <v>2</v>
      </c>
      <c r="N43" s="6">
        <v>4000</v>
      </c>
      <c r="O43" s="6">
        <f t="shared" si="6"/>
        <v>8000</v>
      </c>
      <c r="P43" s="6">
        <v>8000</v>
      </c>
      <c r="Q43" s="6">
        <f t="shared" si="7"/>
        <v>0</v>
      </c>
      <c r="R43" s="2" t="str">
        <f t="shared" si="12"/>
        <v>PAID</v>
      </c>
      <c r="S43" s="2"/>
      <c r="T43" s="2">
        <f t="shared" si="8"/>
        <v>8000</v>
      </c>
      <c r="U43" s="2" t="str">
        <f t="shared" si="9"/>
        <v>OK</v>
      </c>
      <c r="V43" s="7">
        <f t="shared" si="10"/>
        <v>0</v>
      </c>
      <c r="W43" s="2" t="str">
        <f t="shared" si="11"/>
        <v>OK</v>
      </c>
      <c r="X43" s="2" t="s">
        <v>26</v>
      </c>
      <c r="Y43" s="2" t="s">
        <v>27</v>
      </c>
      <c r="Z43" s="2" t="s">
        <v>28</v>
      </c>
      <c r="AA43" t="s">
        <v>245</v>
      </c>
      <c r="AB43" t="s">
        <v>245</v>
      </c>
      <c r="AC43" t="s">
        <v>245</v>
      </c>
    </row>
    <row r="44" spans="1:29" x14ac:dyDescent="0.2">
      <c r="A44" t="str">
        <f t="shared" si="1"/>
        <v>TRIP-TR-043</v>
      </c>
      <c r="B44" s="3">
        <v>45719</v>
      </c>
      <c r="C44" t="str">
        <f>IF(X44="CUSTOMER DELIVERY",_xlfn.XLOOKUP(D44,'[1]Jan Customer Duplicate Hyva'!$B:$B,'[1]Jan Customer Duplicate Hyva'!$A:$A,"NOT FOUND"),"")</f>
        <v>CUST-320</v>
      </c>
      <c r="D44" s="4" t="s">
        <v>58</v>
      </c>
      <c r="E44" s="2"/>
      <c r="F44" s="2"/>
      <c r="G44" s="2"/>
      <c r="H44" s="2"/>
      <c r="I44" s="2"/>
      <c r="J44" s="2"/>
      <c r="K44" s="2"/>
      <c r="L44" s="4" t="s">
        <v>38</v>
      </c>
      <c r="M44" s="5">
        <v>1</v>
      </c>
      <c r="N44" s="6">
        <v>4000</v>
      </c>
      <c r="O44" s="6">
        <f t="shared" si="6"/>
        <v>4000</v>
      </c>
      <c r="P44" s="6">
        <v>4000</v>
      </c>
      <c r="Q44" s="6">
        <f t="shared" si="7"/>
        <v>0</v>
      </c>
      <c r="R44" s="2" t="str">
        <f t="shared" si="12"/>
        <v>PAID</v>
      </c>
      <c r="S44" s="2"/>
      <c r="T44" s="2">
        <f t="shared" si="8"/>
        <v>4000</v>
      </c>
      <c r="U44" s="2" t="str">
        <f t="shared" si="9"/>
        <v>OK</v>
      </c>
      <c r="V44" s="7">
        <f t="shared" si="10"/>
        <v>0</v>
      </c>
      <c r="W44" s="2" t="str">
        <f t="shared" si="11"/>
        <v>OK</v>
      </c>
      <c r="X44" s="2" t="s">
        <v>26</v>
      </c>
      <c r="Y44" s="2" t="s">
        <v>27</v>
      </c>
      <c r="Z44" s="2" t="s">
        <v>28</v>
      </c>
      <c r="AA44" t="s">
        <v>245</v>
      </c>
      <c r="AB44" t="s">
        <v>245</v>
      </c>
      <c r="AC44" t="s">
        <v>245</v>
      </c>
    </row>
    <row r="45" spans="1:29" x14ac:dyDescent="0.2">
      <c r="A45" t="str">
        <f t="shared" si="1"/>
        <v>TRIP-TR-044</v>
      </c>
      <c r="B45" s="3">
        <v>45720</v>
      </c>
      <c r="C45" t="str">
        <f>IF(X45="CUSTOMER DELIVERY",_xlfn.XLOOKUP(D45,'[1]Jan Customer Duplicate Hyva'!$B:$B,'[1]Jan Customer Duplicate Hyva'!$A:$A,"NOT FOUND"),"")</f>
        <v>CUST-111</v>
      </c>
      <c r="D45" s="4" t="s">
        <v>59</v>
      </c>
      <c r="E45" s="2"/>
      <c r="F45" s="2"/>
      <c r="G45" s="2"/>
      <c r="H45" s="2"/>
      <c r="I45" s="2"/>
      <c r="J45" s="2"/>
      <c r="K45" s="2"/>
      <c r="L45" s="4" t="s">
        <v>38</v>
      </c>
      <c r="M45" s="5">
        <v>1</v>
      </c>
      <c r="N45" s="6">
        <v>4000</v>
      </c>
      <c r="O45" s="6">
        <f t="shared" si="6"/>
        <v>4000</v>
      </c>
      <c r="P45" s="6">
        <v>4000</v>
      </c>
      <c r="Q45" s="6">
        <f t="shared" si="7"/>
        <v>0</v>
      </c>
      <c r="R45" s="2" t="str">
        <f t="shared" si="12"/>
        <v>PAID</v>
      </c>
      <c r="S45" s="2"/>
      <c r="T45" s="2">
        <f t="shared" si="8"/>
        <v>4000</v>
      </c>
      <c r="U45" s="2" t="str">
        <f t="shared" si="9"/>
        <v>OK</v>
      </c>
      <c r="V45" s="7">
        <f t="shared" si="10"/>
        <v>0</v>
      </c>
      <c r="W45" s="2" t="str">
        <f t="shared" si="11"/>
        <v>OK</v>
      </c>
      <c r="X45" s="2" t="s">
        <v>26</v>
      </c>
      <c r="Y45" s="2" t="s">
        <v>27</v>
      </c>
      <c r="Z45" s="2" t="s">
        <v>28</v>
      </c>
      <c r="AA45" t="s">
        <v>245</v>
      </c>
      <c r="AB45" t="s">
        <v>245</v>
      </c>
      <c r="AC45" t="s">
        <v>245</v>
      </c>
    </row>
    <row r="46" spans="1:29" x14ac:dyDescent="0.2">
      <c r="A46" t="str">
        <f t="shared" si="1"/>
        <v>TRIP-TR-045</v>
      </c>
      <c r="B46" s="3">
        <v>45720</v>
      </c>
      <c r="C46" t="str">
        <f>IF(X46="CUSTOMER DELIVERY",_xlfn.XLOOKUP(D46,'[1]Jan Customer Duplicate Hyva'!$B:$B,'[1]Jan Customer Duplicate Hyva'!$A:$A,"NOT FOUND"),"")</f>
        <v>CUST-123</v>
      </c>
      <c r="D46" s="4" t="s">
        <v>222</v>
      </c>
      <c r="E46" s="2"/>
      <c r="F46" s="2"/>
      <c r="G46" s="2"/>
      <c r="H46" s="2"/>
      <c r="I46" s="2"/>
      <c r="J46" s="2"/>
      <c r="K46" s="2"/>
      <c r="L46" s="4" t="s">
        <v>33</v>
      </c>
      <c r="M46" s="5">
        <v>2</v>
      </c>
      <c r="N46" s="6">
        <v>4000</v>
      </c>
      <c r="O46" s="6">
        <f t="shared" si="6"/>
        <v>8000</v>
      </c>
      <c r="P46" s="6">
        <v>8000</v>
      </c>
      <c r="Q46" s="6">
        <f t="shared" si="7"/>
        <v>0</v>
      </c>
      <c r="R46" s="2" t="str">
        <f t="shared" si="12"/>
        <v>PAID</v>
      </c>
      <c r="S46" s="2"/>
      <c r="T46" s="2">
        <f t="shared" si="8"/>
        <v>8000</v>
      </c>
      <c r="U46" s="2" t="str">
        <f t="shared" si="9"/>
        <v>OK</v>
      </c>
      <c r="V46" s="7">
        <f t="shared" si="10"/>
        <v>0</v>
      </c>
      <c r="W46" s="2" t="str">
        <f t="shared" si="11"/>
        <v>OK</v>
      </c>
      <c r="X46" s="2" t="s">
        <v>26</v>
      </c>
      <c r="Y46" s="2" t="s">
        <v>27</v>
      </c>
      <c r="Z46" s="2" t="s">
        <v>28</v>
      </c>
      <c r="AA46" t="s">
        <v>245</v>
      </c>
      <c r="AB46" t="s">
        <v>245</v>
      </c>
      <c r="AC46" t="s">
        <v>245</v>
      </c>
    </row>
    <row r="47" spans="1:29" x14ac:dyDescent="0.2">
      <c r="A47" t="str">
        <f t="shared" si="1"/>
        <v>TRIP-TR-046</v>
      </c>
      <c r="B47" s="3">
        <v>45721</v>
      </c>
      <c r="C47" t="str">
        <f>IF(X47="CUSTOMER DELIVERY",_xlfn.XLOOKUP(D47,'[1]Jan Customer Duplicate Hyva'!$B:$B,'[1]Jan Customer Duplicate Hyva'!$A:$A,"NOT FOUND"),"")</f>
        <v>CUST-065</v>
      </c>
      <c r="D47" s="10" t="s">
        <v>60</v>
      </c>
      <c r="E47" s="2"/>
      <c r="F47" s="2"/>
      <c r="G47" s="2"/>
      <c r="H47" s="2"/>
      <c r="I47" s="2"/>
      <c r="J47" s="2"/>
      <c r="K47" s="2"/>
      <c r="L47" s="10" t="s">
        <v>61</v>
      </c>
      <c r="M47" s="11">
        <v>1</v>
      </c>
      <c r="N47" s="12">
        <v>4000</v>
      </c>
      <c r="O47" s="6">
        <f t="shared" si="6"/>
        <v>4000</v>
      </c>
      <c r="P47" s="12">
        <v>4000</v>
      </c>
      <c r="Q47" s="6">
        <f t="shared" si="7"/>
        <v>0</v>
      </c>
      <c r="R47" s="2" t="str">
        <f t="shared" si="12"/>
        <v>PAID</v>
      </c>
      <c r="S47" s="2"/>
      <c r="T47" s="2">
        <f t="shared" si="8"/>
        <v>4000</v>
      </c>
      <c r="U47" s="2" t="str">
        <f t="shared" si="9"/>
        <v>OK</v>
      </c>
      <c r="V47" s="7">
        <f t="shared" si="10"/>
        <v>0</v>
      </c>
      <c r="W47" s="2" t="str">
        <f t="shared" si="11"/>
        <v>OK</v>
      </c>
      <c r="X47" s="2" t="s">
        <v>26</v>
      </c>
      <c r="Y47" s="2" t="s">
        <v>27</v>
      </c>
      <c r="Z47" s="2" t="s">
        <v>28</v>
      </c>
      <c r="AA47" t="s">
        <v>245</v>
      </c>
      <c r="AB47" t="s">
        <v>245</v>
      </c>
      <c r="AC47" t="s">
        <v>245</v>
      </c>
    </row>
    <row r="48" spans="1:29" x14ac:dyDescent="0.2">
      <c r="A48" t="str">
        <f t="shared" si="1"/>
        <v>TRIP-TR-047</v>
      </c>
      <c r="B48" s="3">
        <v>45722</v>
      </c>
      <c r="C48" t="str">
        <f>IF(X48="CUSTOMER DELIVERY",_xlfn.XLOOKUP(D48,'[1]Jan Customer Duplicate Hyva'!$B:$B,'[1]Jan Customer Duplicate Hyva'!$A:$A,"NOT FOUND"),"")</f>
        <v>CUST-106</v>
      </c>
      <c r="D48" s="10" t="s">
        <v>62</v>
      </c>
      <c r="E48" s="2"/>
      <c r="F48" s="2"/>
      <c r="G48" s="2"/>
      <c r="H48" s="2"/>
      <c r="I48" s="2"/>
      <c r="J48" s="2"/>
      <c r="K48" s="2"/>
      <c r="L48" s="10" t="s">
        <v>63</v>
      </c>
      <c r="M48" s="11">
        <v>1</v>
      </c>
      <c r="N48" s="12">
        <v>4500</v>
      </c>
      <c r="O48" s="6">
        <f t="shared" si="6"/>
        <v>4500</v>
      </c>
      <c r="P48" s="12">
        <v>4500</v>
      </c>
      <c r="Q48" s="6">
        <f t="shared" si="7"/>
        <v>0</v>
      </c>
      <c r="R48" s="2" t="str">
        <f t="shared" si="12"/>
        <v>PAID</v>
      </c>
      <c r="S48" s="2"/>
      <c r="T48" s="2">
        <f t="shared" si="8"/>
        <v>4500</v>
      </c>
      <c r="U48" s="2" t="str">
        <f t="shared" si="9"/>
        <v>OK</v>
      </c>
      <c r="V48" s="7">
        <f t="shared" si="10"/>
        <v>0</v>
      </c>
      <c r="W48" s="2" t="str">
        <f t="shared" si="11"/>
        <v>OK</v>
      </c>
      <c r="X48" s="2" t="s">
        <v>26</v>
      </c>
      <c r="Y48" s="2" t="s">
        <v>27</v>
      </c>
      <c r="Z48" s="2" t="s">
        <v>28</v>
      </c>
      <c r="AA48" t="s">
        <v>245</v>
      </c>
      <c r="AB48" t="s">
        <v>245</v>
      </c>
      <c r="AC48" t="s">
        <v>245</v>
      </c>
    </row>
    <row r="49" spans="1:29" x14ac:dyDescent="0.2">
      <c r="A49" t="str">
        <f t="shared" si="1"/>
        <v>TRIP-TR-048</v>
      </c>
      <c r="B49" s="3">
        <v>45722</v>
      </c>
      <c r="C49" t="str">
        <f>IF(X49="CUSTOMER DELIVERY",_xlfn.XLOOKUP(D49,'[1]Jan Customer Duplicate Hyva'!$B:$B,'[1]Jan Customer Duplicate Hyva'!$A:$A,"NOT FOUND"),"")</f>
        <v>CUST-190</v>
      </c>
      <c r="D49" s="10" t="s">
        <v>51</v>
      </c>
      <c r="E49" s="2"/>
      <c r="F49" s="2"/>
      <c r="G49" s="2"/>
      <c r="H49" s="2"/>
      <c r="I49" s="2"/>
      <c r="J49" s="2"/>
      <c r="K49" s="2"/>
      <c r="L49" s="10" t="s">
        <v>64</v>
      </c>
      <c r="M49" s="11">
        <v>3</v>
      </c>
      <c r="N49" s="12">
        <v>5000</v>
      </c>
      <c r="O49" s="6">
        <f t="shared" si="6"/>
        <v>15000</v>
      </c>
      <c r="P49" s="12"/>
      <c r="Q49" s="6">
        <f t="shared" si="7"/>
        <v>15000</v>
      </c>
      <c r="R49" s="2" t="str">
        <f t="shared" si="12"/>
        <v>UNPAID</v>
      </c>
      <c r="S49" s="2"/>
      <c r="T49" s="2">
        <f t="shared" si="8"/>
        <v>15000</v>
      </c>
      <c r="U49" s="2" t="str">
        <f t="shared" si="9"/>
        <v>OK</v>
      </c>
      <c r="V49" s="7">
        <f t="shared" si="10"/>
        <v>15000</v>
      </c>
      <c r="W49" s="2" t="str">
        <f t="shared" si="11"/>
        <v>OK</v>
      </c>
      <c r="X49" s="2" t="s">
        <v>26</v>
      </c>
      <c r="Y49" s="2" t="s">
        <v>27</v>
      </c>
      <c r="Z49" s="2" t="s">
        <v>28</v>
      </c>
      <c r="AA49" t="s">
        <v>245</v>
      </c>
      <c r="AB49" t="s">
        <v>245</v>
      </c>
      <c r="AC49" t="s">
        <v>245</v>
      </c>
    </row>
    <row r="50" spans="1:29" x14ac:dyDescent="0.2">
      <c r="A50" t="str">
        <f t="shared" si="1"/>
        <v>TRIP-TR-049</v>
      </c>
      <c r="B50" s="3">
        <v>45723</v>
      </c>
      <c r="C50" t="str">
        <f>IF(X50="CUSTOMER DELIVERY",_xlfn.XLOOKUP(D50,'[1]Jan Customer Duplicate Hyva'!$B:$B,'[1]Jan Customer Duplicate Hyva'!$A:$A,"NOT FOUND"),"")</f>
        <v>CUST-107</v>
      </c>
      <c r="D50" s="10" t="s">
        <v>65</v>
      </c>
      <c r="E50" s="2"/>
      <c r="F50" s="2"/>
      <c r="G50" s="2"/>
      <c r="H50" s="2"/>
      <c r="I50" s="2"/>
      <c r="J50" s="2"/>
      <c r="K50" s="2"/>
      <c r="L50" s="10" t="s">
        <v>66</v>
      </c>
      <c r="M50" s="11">
        <v>3</v>
      </c>
      <c r="N50" s="12">
        <v>5000</v>
      </c>
      <c r="O50" s="6">
        <f t="shared" si="6"/>
        <v>15000</v>
      </c>
      <c r="P50" s="12">
        <v>15000</v>
      </c>
      <c r="Q50" s="6">
        <f t="shared" si="7"/>
        <v>0</v>
      </c>
      <c r="R50" s="2" t="str">
        <f t="shared" si="12"/>
        <v>PAID</v>
      </c>
      <c r="S50" s="2"/>
      <c r="T50" s="2">
        <f t="shared" si="8"/>
        <v>15000</v>
      </c>
      <c r="U50" s="2" t="str">
        <f t="shared" si="9"/>
        <v>OK</v>
      </c>
      <c r="V50" s="7">
        <f t="shared" si="10"/>
        <v>0</v>
      </c>
      <c r="W50" s="2" t="str">
        <f t="shared" si="11"/>
        <v>OK</v>
      </c>
      <c r="X50" s="2" t="s">
        <v>26</v>
      </c>
      <c r="Y50" s="2" t="s">
        <v>27</v>
      </c>
      <c r="Z50" s="2" t="s">
        <v>28</v>
      </c>
      <c r="AA50" t="s">
        <v>245</v>
      </c>
      <c r="AB50" t="s">
        <v>245</v>
      </c>
      <c r="AC50" t="s">
        <v>245</v>
      </c>
    </row>
    <row r="51" spans="1:29" x14ac:dyDescent="0.2">
      <c r="A51" t="str">
        <f t="shared" si="1"/>
        <v>TRIP-TR-050</v>
      </c>
      <c r="B51" s="3">
        <v>45724</v>
      </c>
      <c r="C51" t="str">
        <f>IF(X51="CUSTOMER DELIVERY",_xlfn.XLOOKUP(D51,'[1]Jan Customer Duplicate Hyva'!$B:$B,'[1]Jan Customer Duplicate Hyva'!$A:$A,"NOT FOUND"),"")</f>
        <v>CUST-080</v>
      </c>
      <c r="D51" s="10" t="s">
        <v>67</v>
      </c>
      <c r="E51" s="2"/>
      <c r="F51" s="2"/>
      <c r="G51" s="2"/>
      <c r="H51" s="2"/>
      <c r="I51" s="2"/>
      <c r="J51" s="2"/>
      <c r="K51" s="2"/>
      <c r="L51" s="10" t="s">
        <v>68</v>
      </c>
      <c r="M51" s="11">
        <v>1</v>
      </c>
      <c r="N51" s="12">
        <v>4000</v>
      </c>
      <c r="O51" s="6">
        <f t="shared" si="6"/>
        <v>4000</v>
      </c>
      <c r="P51" s="12">
        <v>4000</v>
      </c>
      <c r="Q51" s="6">
        <f t="shared" si="7"/>
        <v>0</v>
      </c>
      <c r="R51" s="2" t="str">
        <f t="shared" si="12"/>
        <v>PAID</v>
      </c>
      <c r="S51" s="2"/>
      <c r="T51" s="2">
        <f t="shared" si="8"/>
        <v>4000</v>
      </c>
      <c r="U51" s="2" t="str">
        <f t="shared" si="9"/>
        <v>OK</v>
      </c>
      <c r="V51" s="7">
        <f t="shared" si="10"/>
        <v>0</v>
      </c>
      <c r="W51" s="2" t="str">
        <f t="shared" si="11"/>
        <v>OK</v>
      </c>
      <c r="X51" s="2" t="s">
        <v>26</v>
      </c>
      <c r="Y51" s="2" t="s">
        <v>27</v>
      </c>
      <c r="Z51" s="2" t="s">
        <v>28</v>
      </c>
      <c r="AA51" t="s">
        <v>245</v>
      </c>
      <c r="AB51" t="s">
        <v>245</v>
      </c>
      <c r="AC51" t="s">
        <v>245</v>
      </c>
    </row>
    <row r="52" spans="1:29" x14ac:dyDescent="0.2">
      <c r="A52" t="str">
        <f t="shared" si="1"/>
        <v>TRIP-TR-051</v>
      </c>
      <c r="B52" s="3">
        <v>45725</v>
      </c>
      <c r="C52" t="str">
        <f>IF(X52="CUSTOMER DELIVERY",_xlfn.XLOOKUP(D52,'[1]Jan Customer Duplicate Hyva'!$B:$B,'[1]Jan Customer Duplicate Hyva'!$A:$A,"NOT FOUND"),"")</f>
        <v>CUST-070</v>
      </c>
      <c r="D52" s="10" t="s">
        <v>69</v>
      </c>
      <c r="E52" s="2"/>
      <c r="F52" s="2"/>
      <c r="G52" s="2"/>
      <c r="H52" s="2"/>
      <c r="I52" s="2"/>
      <c r="J52" s="2"/>
      <c r="K52" s="2"/>
      <c r="L52" s="10" t="s">
        <v>70</v>
      </c>
      <c r="M52" s="11">
        <v>1</v>
      </c>
      <c r="N52" s="12">
        <v>4000</v>
      </c>
      <c r="O52" s="6">
        <f t="shared" si="6"/>
        <v>4000</v>
      </c>
      <c r="P52" s="12">
        <v>4000</v>
      </c>
      <c r="Q52" s="6">
        <f t="shared" si="7"/>
        <v>0</v>
      </c>
      <c r="R52" s="2" t="str">
        <f t="shared" si="12"/>
        <v>PAID</v>
      </c>
      <c r="S52" s="2"/>
      <c r="T52" s="2">
        <f t="shared" si="8"/>
        <v>4000</v>
      </c>
      <c r="U52" s="2" t="str">
        <f t="shared" si="9"/>
        <v>OK</v>
      </c>
      <c r="V52" s="7">
        <f t="shared" si="10"/>
        <v>0</v>
      </c>
      <c r="W52" s="2" t="str">
        <f t="shared" si="11"/>
        <v>OK</v>
      </c>
      <c r="X52" s="2" t="s">
        <v>26</v>
      </c>
      <c r="Y52" s="2" t="s">
        <v>27</v>
      </c>
      <c r="Z52" s="2" t="s">
        <v>28</v>
      </c>
      <c r="AA52" t="s">
        <v>245</v>
      </c>
      <c r="AB52" t="s">
        <v>245</v>
      </c>
      <c r="AC52" t="s">
        <v>245</v>
      </c>
    </row>
    <row r="53" spans="1:29" x14ac:dyDescent="0.2">
      <c r="A53" t="str">
        <f t="shared" si="1"/>
        <v>TRIP-TR-052</v>
      </c>
      <c r="B53" s="3">
        <v>45726</v>
      </c>
      <c r="C53" t="str">
        <f>IF(X53="CUSTOMER DELIVERY",_xlfn.XLOOKUP(D53,'[1]Jan Customer Duplicate Hyva'!$B:$B,'[1]Jan Customer Duplicate Hyva'!$A:$A,"NOT FOUND"),"")</f>
        <v>CUST-102</v>
      </c>
      <c r="D53" s="10" t="s">
        <v>71</v>
      </c>
      <c r="E53" s="2"/>
      <c r="F53" s="2"/>
      <c r="G53" s="2"/>
      <c r="H53" s="2"/>
      <c r="I53" s="2"/>
      <c r="J53" s="2"/>
      <c r="K53" s="2"/>
      <c r="L53" s="10" t="s">
        <v>68</v>
      </c>
      <c r="M53" s="11">
        <v>2</v>
      </c>
      <c r="N53" s="12">
        <v>4500</v>
      </c>
      <c r="O53" s="6">
        <f t="shared" si="6"/>
        <v>9000</v>
      </c>
      <c r="P53" s="12">
        <v>9000</v>
      </c>
      <c r="Q53" s="6">
        <f t="shared" si="7"/>
        <v>0</v>
      </c>
      <c r="R53" s="2" t="str">
        <f t="shared" si="12"/>
        <v>PAID</v>
      </c>
      <c r="S53" s="2"/>
      <c r="T53" s="2">
        <f t="shared" si="8"/>
        <v>9000</v>
      </c>
      <c r="U53" s="2" t="str">
        <f t="shared" si="9"/>
        <v>OK</v>
      </c>
      <c r="V53" s="7">
        <f t="shared" si="10"/>
        <v>0</v>
      </c>
      <c r="W53" s="2" t="str">
        <f t="shared" si="11"/>
        <v>OK</v>
      </c>
      <c r="X53" s="2" t="s">
        <v>26</v>
      </c>
      <c r="Y53" s="2" t="s">
        <v>27</v>
      </c>
      <c r="Z53" s="2" t="s">
        <v>28</v>
      </c>
      <c r="AA53" t="s">
        <v>245</v>
      </c>
      <c r="AB53" t="s">
        <v>245</v>
      </c>
      <c r="AC53" t="s">
        <v>245</v>
      </c>
    </row>
    <row r="54" spans="1:29" x14ac:dyDescent="0.2">
      <c r="A54" t="str">
        <f t="shared" si="1"/>
        <v>TRIP-TR-053</v>
      </c>
      <c r="B54" s="3">
        <v>45727</v>
      </c>
      <c r="C54" t="str">
        <f>IF(X54="CUSTOMER DELIVERY",_xlfn.XLOOKUP(D54,'[1]Jan Customer Duplicate Hyva'!$B:$B,'[1]Jan Customer Duplicate Hyva'!$A:$A,"NOT FOUND"),"")</f>
        <v>CUST-302</v>
      </c>
      <c r="D54" s="10" t="s">
        <v>72</v>
      </c>
      <c r="E54" s="2"/>
      <c r="F54" s="2"/>
      <c r="G54" s="2"/>
      <c r="H54" s="2"/>
      <c r="I54" s="2"/>
      <c r="J54" s="2"/>
      <c r="K54" s="2"/>
      <c r="L54" s="10" t="s">
        <v>61</v>
      </c>
      <c r="M54" s="11">
        <v>1</v>
      </c>
      <c r="N54" s="12">
        <v>4000</v>
      </c>
      <c r="O54" s="6">
        <f t="shared" si="6"/>
        <v>4000</v>
      </c>
      <c r="P54" s="12">
        <v>4000</v>
      </c>
      <c r="Q54" s="6">
        <f t="shared" si="7"/>
        <v>0</v>
      </c>
      <c r="R54" s="2" t="str">
        <f t="shared" si="12"/>
        <v>PAID</v>
      </c>
      <c r="S54" s="2"/>
      <c r="T54" s="2">
        <f t="shared" si="8"/>
        <v>4000</v>
      </c>
      <c r="U54" s="2" t="str">
        <f t="shared" si="9"/>
        <v>OK</v>
      </c>
      <c r="V54" s="7">
        <f t="shared" si="10"/>
        <v>0</v>
      </c>
      <c r="W54" s="2" t="str">
        <f t="shared" si="11"/>
        <v>OK</v>
      </c>
      <c r="X54" s="2" t="s">
        <v>26</v>
      </c>
      <c r="Y54" s="2" t="s">
        <v>27</v>
      </c>
      <c r="Z54" s="2" t="s">
        <v>28</v>
      </c>
      <c r="AA54" t="s">
        <v>245</v>
      </c>
      <c r="AB54" t="s">
        <v>245</v>
      </c>
      <c r="AC54" t="s">
        <v>245</v>
      </c>
    </row>
    <row r="55" spans="1:29" x14ac:dyDescent="0.2">
      <c r="A55" t="str">
        <f t="shared" si="1"/>
        <v>TRIP-TR-054</v>
      </c>
      <c r="B55" s="3">
        <v>45727</v>
      </c>
      <c r="C55" t="str">
        <f>IF(X55="CUSTOMER DELIVERY",_xlfn.XLOOKUP(D55,'[1]Jan Customer Duplicate Hyva'!$B:$B,'[1]Jan Customer Duplicate Hyva'!$A:$A,"NOT FOUND"),"")</f>
        <v>CUST-066</v>
      </c>
      <c r="D55" s="10" t="s">
        <v>73</v>
      </c>
      <c r="E55" s="2"/>
      <c r="F55" s="2"/>
      <c r="G55" s="2"/>
      <c r="H55" s="2"/>
      <c r="I55" s="2"/>
      <c r="J55" s="2"/>
      <c r="K55" s="2"/>
      <c r="L55" s="10" t="s">
        <v>61</v>
      </c>
      <c r="M55" s="11">
        <v>1</v>
      </c>
      <c r="N55" s="12">
        <v>4000</v>
      </c>
      <c r="O55" s="6">
        <f t="shared" si="6"/>
        <v>4000</v>
      </c>
      <c r="P55" s="12">
        <v>4000</v>
      </c>
      <c r="Q55" s="6">
        <f t="shared" si="7"/>
        <v>0</v>
      </c>
      <c r="R55" s="2" t="str">
        <f t="shared" si="12"/>
        <v>PAID</v>
      </c>
      <c r="S55" s="2"/>
      <c r="T55" s="2">
        <f t="shared" si="8"/>
        <v>4000</v>
      </c>
      <c r="U55" s="2" t="str">
        <f t="shared" si="9"/>
        <v>OK</v>
      </c>
      <c r="V55" s="7">
        <f t="shared" si="10"/>
        <v>0</v>
      </c>
      <c r="W55" s="2" t="str">
        <f t="shared" si="11"/>
        <v>OK</v>
      </c>
      <c r="X55" s="2" t="s">
        <v>26</v>
      </c>
      <c r="Y55" s="2" t="s">
        <v>27</v>
      </c>
      <c r="Z55" s="2" t="s">
        <v>28</v>
      </c>
      <c r="AA55" t="s">
        <v>245</v>
      </c>
      <c r="AB55" t="s">
        <v>245</v>
      </c>
      <c r="AC55" t="s">
        <v>245</v>
      </c>
    </row>
    <row r="56" spans="1:29" x14ac:dyDescent="0.2">
      <c r="A56" t="str">
        <f t="shared" si="1"/>
        <v>TRIP-TR-055</v>
      </c>
      <c r="B56" s="3">
        <v>45727</v>
      </c>
      <c r="C56" t="str">
        <f>IF(X56="CUSTOMER DELIVERY",_xlfn.XLOOKUP(D56,'[1]Jan Customer Duplicate Hyva'!$B:$B,'[1]Jan Customer Duplicate Hyva'!$A:$A,"NOT FOUND"),"")</f>
        <v>CUST-241</v>
      </c>
      <c r="D56" s="10" t="s">
        <v>74</v>
      </c>
      <c r="E56" s="2"/>
      <c r="F56" s="2"/>
      <c r="G56" s="2"/>
      <c r="H56" s="2"/>
      <c r="I56" s="2"/>
      <c r="J56" s="2"/>
      <c r="K56" s="2"/>
      <c r="L56" s="10" t="s">
        <v>75</v>
      </c>
      <c r="M56" s="11">
        <v>3</v>
      </c>
      <c r="N56" s="12">
        <v>4000</v>
      </c>
      <c r="O56" s="6">
        <f t="shared" si="6"/>
        <v>12000</v>
      </c>
      <c r="P56" s="12">
        <v>12000</v>
      </c>
      <c r="Q56" s="6">
        <f t="shared" si="7"/>
        <v>0</v>
      </c>
      <c r="R56" s="2" t="str">
        <f t="shared" si="12"/>
        <v>PAID</v>
      </c>
      <c r="S56" s="2"/>
      <c r="T56" s="2">
        <f t="shared" si="8"/>
        <v>12000</v>
      </c>
      <c r="U56" s="2" t="str">
        <f t="shared" si="9"/>
        <v>OK</v>
      </c>
      <c r="V56" s="7">
        <f t="shared" si="10"/>
        <v>0</v>
      </c>
      <c r="W56" s="2" t="str">
        <f t="shared" si="11"/>
        <v>OK</v>
      </c>
      <c r="X56" s="2" t="s">
        <v>26</v>
      </c>
      <c r="Y56" s="2" t="s">
        <v>27</v>
      </c>
      <c r="Z56" s="2" t="s">
        <v>28</v>
      </c>
      <c r="AA56" t="s">
        <v>245</v>
      </c>
      <c r="AB56" t="s">
        <v>245</v>
      </c>
      <c r="AC56" t="s">
        <v>245</v>
      </c>
    </row>
    <row r="57" spans="1:29" x14ac:dyDescent="0.2">
      <c r="A57" t="str">
        <f t="shared" si="1"/>
        <v>TRIP-TR-056</v>
      </c>
      <c r="B57" s="3">
        <v>45728</v>
      </c>
      <c r="C57" t="str">
        <f>IF(X57="CUSTOMER DELIVERY",_xlfn.XLOOKUP(D57,'[1]Jan Customer Duplicate Hyva'!$B:$B,'[1]Jan Customer Duplicate Hyva'!$A:$A,"NOT FOUND"),"")</f>
        <v>CUST-065</v>
      </c>
      <c r="D57" s="10" t="s">
        <v>60</v>
      </c>
      <c r="E57" s="2"/>
      <c r="F57" s="2"/>
      <c r="G57" s="2"/>
      <c r="H57" s="2"/>
      <c r="I57" s="2"/>
      <c r="J57" s="2"/>
      <c r="K57" s="2"/>
      <c r="L57" s="10" t="s">
        <v>76</v>
      </c>
      <c r="M57" s="11">
        <v>1</v>
      </c>
      <c r="N57" s="12">
        <v>4000</v>
      </c>
      <c r="O57" s="6">
        <f t="shared" si="6"/>
        <v>4000</v>
      </c>
      <c r="P57" s="12">
        <v>4000</v>
      </c>
      <c r="Q57" s="6">
        <f t="shared" si="7"/>
        <v>0</v>
      </c>
      <c r="R57" s="2" t="str">
        <f t="shared" si="12"/>
        <v>PAID</v>
      </c>
      <c r="S57" s="2"/>
      <c r="T57" s="2">
        <f t="shared" si="8"/>
        <v>4000</v>
      </c>
      <c r="U57" s="2" t="str">
        <f t="shared" si="9"/>
        <v>OK</v>
      </c>
      <c r="V57" s="7">
        <f t="shared" si="10"/>
        <v>0</v>
      </c>
      <c r="W57" s="2" t="str">
        <f t="shared" si="11"/>
        <v>OK</v>
      </c>
      <c r="X57" s="2" t="s">
        <v>26</v>
      </c>
      <c r="Y57" s="2" t="s">
        <v>27</v>
      </c>
      <c r="Z57" s="2" t="s">
        <v>28</v>
      </c>
      <c r="AA57" t="s">
        <v>245</v>
      </c>
      <c r="AB57" t="s">
        <v>245</v>
      </c>
      <c r="AC57" t="s">
        <v>245</v>
      </c>
    </row>
    <row r="58" spans="1:29" x14ac:dyDescent="0.2">
      <c r="A58" t="str">
        <f t="shared" si="1"/>
        <v>TRIP-TR-057</v>
      </c>
      <c r="B58" s="3">
        <v>45728</v>
      </c>
      <c r="C58" t="str">
        <f>IF(X58="CUSTOMER DELIVERY",_xlfn.XLOOKUP(D58,'[1]Jan Customer Duplicate Hyva'!$B:$B,'[1]Jan Customer Duplicate Hyva'!$A:$A,"NOT FOUND"),"")</f>
        <v>CUST-390</v>
      </c>
      <c r="D58" s="10" t="s">
        <v>50</v>
      </c>
      <c r="E58" s="2"/>
      <c r="F58" s="2"/>
      <c r="G58" s="2"/>
      <c r="H58" s="2"/>
      <c r="I58" s="2"/>
      <c r="J58" s="2"/>
      <c r="K58" s="2"/>
      <c r="L58" s="10" t="s">
        <v>77</v>
      </c>
      <c r="M58" s="11">
        <v>1</v>
      </c>
      <c r="N58" s="12">
        <v>4000</v>
      </c>
      <c r="O58" s="6">
        <f t="shared" si="6"/>
        <v>4000</v>
      </c>
      <c r="P58" s="12">
        <v>4000</v>
      </c>
      <c r="Q58" s="6">
        <f t="shared" si="7"/>
        <v>0</v>
      </c>
      <c r="R58" s="2" t="str">
        <f t="shared" si="12"/>
        <v>PAID</v>
      </c>
      <c r="S58" s="2"/>
      <c r="T58" s="2">
        <f t="shared" si="8"/>
        <v>4000</v>
      </c>
      <c r="U58" s="2" t="str">
        <f t="shared" si="9"/>
        <v>OK</v>
      </c>
      <c r="V58" s="7">
        <f t="shared" si="10"/>
        <v>0</v>
      </c>
      <c r="W58" s="2" t="str">
        <f t="shared" si="11"/>
        <v>OK</v>
      </c>
      <c r="X58" s="2" t="s">
        <v>26</v>
      </c>
      <c r="Y58" s="2" t="s">
        <v>27</v>
      </c>
      <c r="Z58" s="2" t="s">
        <v>28</v>
      </c>
      <c r="AA58" t="s">
        <v>245</v>
      </c>
      <c r="AB58" t="s">
        <v>245</v>
      </c>
      <c r="AC58" t="s">
        <v>245</v>
      </c>
    </row>
    <row r="59" spans="1:29" x14ac:dyDescent="0.2">
      <c r="A59" t="str">
        <f t="shared" si="1"/>
        <v>TRIP-TR-058</v>
      </c>
      <c r="B59" s="3">
        <v>45729</v>
      </c>
      <c r="C59" t="str">
        <f>IF(X59="CUSTOMER DELIVERY",_xlfn.XLOOKUP(D59,'[1]Jan Customer Duplicate Hyva'!$B:$B,'[1]Jan Customer Duplicate Hyva'!$A:$A,"NOT FOUND"),"")</f>
        <v>CUST-089</v>
      </c>
      <c r="D59" s="14" t="s">
        <v>223</v>
      </c>
      <c r="E59" s="2"/>
      <c r="F59" s="2"/>
      <c r="G59" s="2"/>
      <c r="H59" s="2"/>
      <c r="I59" s="2"/>
      <c r="J59" s="2"/>
      <c r="K59" s="2"/>
      <c r="L59" s="10" t="s">
        <v>76</v>
      </c>
      <c r="M59" s="11">
        <v>1</v>
      </c>
      <c r="N59" s="12">
        <v>4000</v>
      </c>
      <c r="O59" s="6">
        <f t="shared" si="6"/>
        <v>4000</v>
      </c>
      <c r="P59" s="12">
        <v>4000</v>
      </c>
      <c r="Q59" s="6">
        <f t="shared" si="7"/>
        <v>0</v>
      </c>
      <c r="R59" s="2" t="str">
        <f t="shared" si="12"/>
        <v>PAID</v>
      </c>
      <c r="S59" s="2"/>
      <c r="T59" s="2">
        <f t="shared" si="8"/>
        <v>4000</v>
      </c>
      <c r="U59" s="2" t="str">
        <f t="shared" si="9"/>
        <v>OK</v>
      </c>
      <c r="V59" s="7">
        <f t="shared" si="10"/>
        <v>0</v>
      </c>
      <c r="W59" s="2" t="str">
        <f t="shared" si="11"/>
        <v>OK</v>
      </c>
      <c r="X59" s="2" t="s">
        <v>26</v>
      </c>
      <c r="Y59" s="2" t="s">
        <v>27</v>
      </c>
      <c r="Z59" s="2" t="s">
        <v>28</v>
      </c>
      <c r="AA59" t="s">
        <v>245</v>
      </c>
      <c r="AB59" t="s">
        <v>245</v>
      </c>
      <c r="AC59" t="s">
        <v>245</v>
      </c>
    </row>
    <row r="60" spans="1:29" x14ac:dyDescent="0.2">
      <c r="A60" t="str">
        <f t="shared" si="1"/>
        <v>TRIP-TR-059</v>
      </c>
      <c r="B60" s="3">
        <v>45733</v>
      </c>
      <c r="C60" t="str">
        <f>IF(X60="CUSTOMER DELIVERY",_xlfn.XLOOKUP(D60,'[1]Jan Customer Duplicate Hyva'!$B:$B,'[1]Jan Customer Duplicate Hyva'!$A:$A,"NOT FOUND"),"")</f>
        <v>CUST-058</v>
      </c>
      <c r="D60" s="8" t="s">
        <v>36</v>
      </c>
      <c r="E60" s="2"/>
      <c r="F60" s="2"/>
      <c r="G60" s="2"/>
      <c r="H60" s="2"/>
      <c r="I60" s="2"/>
      <c r="J60" s="2"/>
      <c r="K60" s="2"/>
      <c r="L60" s="10" t="s">
        <v>68</v>
      </c>
      <c r="M60" s="11">
        <v>1</v>
      </c>
      <c r="N60" s="12">
        <v>4000</v>
      </c>
      <c r="O60" s="6">
        <f t="shared" si="6"/>
        <v>4000</v>
      </c>
      <c r="P60" s="12">
        <v>4000</v>
      </c>
      <c r="Q60" s="6">
        <f t="shared" si="7"/>
        <v>0</v>
      </c>
      <c r="R60" s="2" t="str">
        <f t="shared" si="12"/>
        <v>PAID</v>
      </c>
      <c r="S60" s="2"/>
      <c r="T60" s="2">
        <f t="shared" si="8"/>
        <v>4000</v>
      </c>
      <c r="U60" s="2" t="str">
        <f t="shared" si="9"/>
        <v>OK</v>
      </c>
      <c r="V60" s="7">
        <f t="shared" si="10"/>
        <v>0</v>
      </c>
      <c r="W60" s="2" t="str">
        <f t="shared" si="11"/>
        <v>OK</v>
      </c>
      <c r="X60" s="2" t="s">
        <v>26</v>
      </c>
      <c r="Y60" s="2" t="s">
        <v>27</v>
      </c>
      <c r="Z60" s="2" t="s">
        <v>28</v>
      </c>
      <c r="AA60" t="s">
        <v>245</v>
      </c>
      <c r="AB60" t="s">
        <v>245</v>
      </c>
      <c r="AC60" t="s">
        <v>245</v>
      </c>
    </row>
    <row r="61" spans="1:29" x14ac:dyDescent="0.2">
      <c r="A61" t="str">
        <f t="shared" si="1"/>
        <v>TRIP-TR-060</v>
      </c>
      <c r="B61" s="3">
        <v>45733</v>
      </c>
      <c r="C61" t="str">
        <f>IF(X61="CUSTOMER DELIVERY",_xlfn.XLOOKUP(D61,'[1]Jan Customer Duplicate Hyva'!$B:$B,'[1]Jan Customer Duplicate Hyva'!$A:$A,"NOT FOUND"),"")</f>
        <v>CUST-338</v>
      </c>
      <c r="D61" s="10" t="s">
        <v>78</v>
      </c>
      <c r="E61" s="2"/>
      <c r="F61" s="2"/>
      <c r="G61" s="2"/>
      <c r="H61" s="2"/>
      <c r="I61" s="2"/>
      <c r="J61" s="2"/>
      <c r="K61" s="2"/>
      <c r="L61" s="10" t="s">
        <v>79</v>
      </c>
      <c r="M61" s="11">
        <v>1</v>
      </c>
      <c r="N61" s="12">
        <v>4500</v>
      </c>
      <c r="O61" s="6">
        <f t="shared" si="6"/>
        <v>4500</v>
      </c>
      <c r="P61" s="12">
        <v>4500</v>
      </c>
      <c r="Q61" s="6">
        <f t="shared" si="7"/>
        <v>0</v>
      </c>
      <c r="R61" s="2" t="str">
        <f t="shared" si="12"/>
        <v>PAID</v>
      </c>
      <c r="S61" s="2"/>
      <c r="T61" s="2">
        <f t="shared" si="8"/>
        <v>4500</v>
      </c>
      <c r="U61" s="2" t="str">
        <f t="shared" si="9"/>
        <v>OK</v>
      </c>
      <c r="V61" s="7">
        <f t="shared" si="10"/>
        <v>0</v>
      </c>
      <c r="W61" s="2" t="str">
        <f t="shared" si="11"/>
        <v>OK</v>
      </c>
      <c r="X61" s="2" t="s">
        <v>26</v>
      </c>
      <c r="Y61" s="2" t="s">
        <v>27</v>
      </c>
      <c r="Z61" s="2" t="s">
        <v>28</v>
      </c>
      <c r="AA61" t="s">
        <v>245</v>
      </c>
      <c r="AB61" t="s">
        <v>245</v>
      </c>
      <c r="AC61" t="s">
        <v>245</v>
      </c>
    </row>
    <row r="62" spans="1:29" x14ac:dyDescent="0.2">
      <c r="A62" t="str">
        <f t="shared" si="1"/>
        <v>TRIP-TR-061</v>
      </c>
      <c r="B62" s="3">
        <v>45734</v>
      </c>
      <c r="C62" t="str">
        <f>IF(X62="CUSTOMER DELIVERY",_xlfn.XLOOKUP(D62,'[1]Jan Customer Duplicate Hyva'!$B:$B,'[1]Jan Customer Duplicate Hyva'!$A:$A,"NOT FOUND"),"")</f>
        <v>CUST-107</v>
      </c>
      <c r="D62" s="10" t="s">
        <v>65</v>
      </c>
      <c r="E62" s="2"/>
      <c r="F62" s="2"/>
      <c r="G62" s="2"/>
      <c r="H62" s="2"/>
      <c r="I62" s="2"/>
      <c r="J62" s="2"/>
      <c r="K62" s="2"/>
      <c r="L62" s="10" t="s">
        <v>80</v>
      </c>
      <c r="M62" s="11">
        <v>2</v>
      </c>
      <c r="N62" s="12">
        <v>0</v>
      </c>
      <c r="O62" s="6">
        <f t="shared" si="6"/>
        <v>0</v>
      </c>
      <c r="P62" s="12"/>
      <c r="Q62" s="6">
        <f t="shared" si="7"/>
        <v>0</v>
      </c>
      <c r="R62" s="2" t="str">
        <f t="shared" si="12"/>
        <v>PAID</v>
      </c>
      <c r="S62" s="2"/>
      <c r="T62" s="2">
        <f t="shared" si="8"/>
        <v>0</v>
      </c>
      <c r="U62" s="2" t="str">
        <f t="shared" si="9"/>
        <v>OK</v>
      </c>
      <c r="V62" s="7">
        <f t="shared" si="10"/>
        <v>0</v>
      </c>
      <c r="W62" s="2" t="str">
        <f t="shared" si="11"/>
        <v>OK</v>
      </c>
      <c r="X62" s="2" t="s">
        <v>26</v>
      </c>
      <c r="Y62" s="2" t="s">
        <v>27</v>
      </c>
      <c r="Z62" s="2" t="s">
        <v>28</v>
      </c>
      <c r="AA62" t="s">
        <v>245</v>
      </c>
      <c r="AB62" t="s">
        <v>245</v>
      </c>
      <c r="AC62" t="s">
        <v>245</v>
      </c>
    </row>
    <row r="63" spans="1:29" x14ac:dyDescent="0.2">
      <c r="A63" t="str">
        <f t="shared" si="1"/>
        <v>TRIP-TR-062</v>
      </c>
      <c r="B63" s="3">
        <v>45735</v>
      </c>
      <c r="C63" t="str">
        <f>IF(X63="CUSTOMER DELIVERY",_xlfn.XLOOKUP(D63,'[1]Jan Customer Duplicate Hyva'!$B:$B,'[1]Jan Customer Duplicate Hyva'!$A:$A,"NOT FOUND"),"")</f>
        <v>CUST-393</v>
      </c>
      <c r="D63" s="10" t="s">
        <v>56</v>
      </c>
      <c r="E63" s="2"/>
      <c r="F63" s="2"/>
      <c r="G63" s="2"/>
      <c r="H63" s="2"/>
      <c r="I63" s="2"/>
      <c r="J63" s="2"/>
      <c r="K63" s="2"/>
      <c r="L63" s="10" t="s">
        <v>68</v>
      </c>
      <c r="M63" s="11">
        <v>2</v>
      </c>
      <c r="N63" s="12">
        <v>4000</v>
      </c>
      <c r="O63" s="6">
        <f t="shared" si="6"/>
        <v>8000</v>
      </c>
      <c r="P63" s="12">
        <v>8000</v>
      </c>
      <c r="Q63" s="6">
        <f t="shared" si="7"/>
        <v>0</v>
      </c>
      <c r="R63" s="2" t="str">
        <f t="shared" si="12"/>
        <v>PAID</v>
      </c>
      <c r="S63" s="2"/>
      <c r="T63" s="2">
        <f t="shared" si="8"/>
        <v>8000</v>
      </c>
      <c r="U63" s="2" t="str">
        <f t="shared" si="9"/>
        <v>OK</v>
      </c>
      <c r="V63" s="7">
        <f t="shared" si="10"/>
        <v>0</v>
      </c>
      <c r="W63" s="2" t="str">
        <f t="shared" si="11"/>
        <v>OK</v>
      </c>
      <c r="X63" s="2" t="s">
        <v>26</v>
      </c>
      <c r="Y63" s="2" t="s">
        <v>27</v>
      </c>
      <c r="Z63" s="2" t="s">
        <v>28</v>
      </c>
      <c r="AA63" t="s">
        <v>245</v>
      </c>
      <c r="AB63" t="s">
        <v>245</v>
      </c>
      <c r="AC63" t="s">
        <v>245</v>
      </c>
    </row>
    <row r="64" spans="1:29" x14ac:dyDescent="0.2">
      <c r="A64" t="str">
        <f t="shared" si="1"/>
        <v>TRIP-TR-063</v>
      </c>
      <c r="B64" s="3">
        <v>45736</v>
      </c>
      <c r="C64" t="str">
        <f>IF(X64="CUSTOMER DELIVERY",_xlfn.XLOOKUP(D64,'[1]Jan Customer Duplicate Hyva'!$B:$B,'[1]Jan Customer Duplicate Hyva'!$A:$A,"NOT FOUND"),"")</f>
        <v>CUST-107</v>
      </c>
      <c r="D64" s="10" t="s">
        <v>65</v>
      </c>
      <c r="E64" s="2"/>
      <c r="F64" s="2"/>
      <c r="G64" s="2"/>
      <c r="H64" s="2"/>
      <c r="I64" s="2"/>
      <c r="J64" s="2"/>
      <c r="K64" s="2"/>
      <c r="L64" s="10" t="s">
        <v>81</v>
      </c>
      <c r="M64" s="11">
        <v>2</v>
      </c>
      <c r="N64" s="12">
        <v>5000</v>
      </c>
      <c r="O64" s="6">
        <f t="shared" si="6"/>
        <v>10000</v>
      </c>
      <c r="P64" s="12">
        <v>10000</v>
      </c>
      <c r="Q64" s="6">
        <f t="shared" si="7"/>
        <v>0</v>
      </c>
      <c r="R64" s="2" t="str">
        <f t="shared" si="12"/>
        <v>PAID</v>
      </c>
      <c r="S64" s="2"/>
      <c r="T64" s="2">
        <f t="shared" si="8"/>
        <v>10000</v>
      </c>
      <c r="U64" s="2" t="str">
        <f t="shared" si="9"/>
        <v>OK</v>
      </c>
      <c r="V64" s="7">
        <f t="shared" si="10"/>
        <v>0</v>
      </c>
      <c r="W64" s="2" t="str">
        <f t="shared" si="11"/>
        <v>OK</v>
      </c>
      <c r="X64" s="2" t="s">
        <v>26</v>
      </c>
      <c r="Y64" s="2" t="s">
        <v>27</v>
      </c>
      <c r="Z64" s="2" t="s">
        <v>28</v>
      </c>
      <c r="AA64" t="s">
        <v>245</v>
      </c>
      <c r="AB64" t="s">
        <v>245</v>
      </c>
      <c r="AC64" t="s">
        <v>245</v>
      </c>
    </row>
    <row r="65" spans="1:29" x14ac:dyDescent="0.2">
      <c r="A65" t="str">
        <f t="shared" si="1"/>
        <v>TRIP-TR-064</v>
      </c>
      <c r="B65" s="3">
        <v>45737</v>
      </c>
      <c r="C65" t="str">
        <f>IF(X65="CUSTOMER DELIVERY",_xlfn.XLOOKUP(D65,'[1]Jan Customer Duplicate Hyva'!$B:$B,'[1]Jan Customer Duplicate Hyva'!$A:$A,"NOT FOUND"),"")</f>
        <v>CUST-275</v>
      </c>
      <c r="D65" s="10" t="s">
        <v>82</v>
      </c>
      <c r="E65" s="2"/>
      <c r="F65" s="2"/>
      <c r="G65" s="2"/>
      <c r="H65" s="2"/>
      <c r="I65" s="2"/>
      <c r="J65" s="2"/>
      <c r="K65" s="2"/>
      <c r="L65" s="10" t="s">
        <v>83</v>
      </c>
      <c r="M65" s="11">
        <v>1</v>
      </c>
      <c r="N65" s="12">
        <v>4500</v>
      </c>
      <c r="O65" s="6">
        <f t="shared" si="6"/>
        <v>4500</v>
      </c>
      <c r="P65" s="12">
        <v>4500</v>
      </c>
      <c r="Q65" s="6">
        <f t="shared" si="7"/>
        <v>0</v>
      </c>
      <c r="R65" s="2" t="str">
        <f t="shared" si="12"/>
        <v>PAID</v>
      </c>
      <c r="S65" s="2"/>
      <c r="T65" s="2">
        <f t="shared" si="8"/>
        <v>4500</v>
      </c>
      <c r="U65" s="2" t="str">
        <f t="shared" si="9"/>
        <v>OK</v>
      </c>
      <c r="V65" s="7">
        <f t="shared" si="10"/>
        <v>0</v>
      </c>
      <c r="W65" s="2" t="str">
        <f t="shared" si="11"/>
        <v>OK</v>
      </c>
      <c r="X65" s="2" t="s">
        <v>26</v>
      </c>
      <c r="Y65" s="2" t="s">
        <v>27</v>
      </c>
      <c r="Z65" s="2" t="s">
        <v>28</v>
      </c>
      <c r="AA65" t="s">
        <v>245</v>
      </c>
      <c r="AB65" t="s">
        <v>245</v>
      </c>
      <c r="AC65" t="s">
        <v>245</v>
      </c>
    </row>
    <row r="66" spans="1:29" x14ac:dyDescent="0.2">
      <c r="A66" t="str">
        <f t="shared" si="1"/>
        <v>TRIP-TR-065</v>
      </c>
      <c r="B66" s="3">
        <v>45737</v>
      </c>
      <c r="C66" t="str">
        <f>IF(X66="CUSTOMER DELIVERY",_xlfn.XLOOKUP(D66,'[1]Jan Customer Duplicate Hyva'!$B:$B,'[1]Jan Customer Duplicate Hyva'!$A:$A,"NOT FOUND"),"")</f>
        <v>CUST-102</v>
      </c>
      <c r="D66" s="10" t="s">
        <v>71</v>
      </c>
      <c r="E66" s="2"/>
      <c r="F66" s="2"/>
      <c r="G66" s="2"/>
      <c r="H66" s="2"/>
      <c r="I66" s="2"/>
      <c r="J66" s="2"/>
      <c r="K66" s="2"/>
      <c r="L66" s="10" t="s">
        <v>68</v>
      </c>
      <c r="M66" s="11">
        <v>2</v>
      </c>
      <c r="N66" s="12">
        <v>4500</v>
      </c>
      <c r="O66" s="6">
        <f t="shared" si="6"/>
        <v>9000</v>
      </c>
      <c r="P66" s="12">
        <v>9000</v>
      </c>
      <c r="Q66" s="6">
        <f t="shared" si="7"/>
        <v>0</v>
      </c>
      <c r="R66" s="2" t="str">
        <f t="shared" si="12"/>
        <v>PAID</v>
      </c>
      <c r="S66" s="2"/>
      <c r="T66" s="2">
        <f t="shared" si="8"/>
        <v>9000</v>
      </c>
      <c r="U66" s="2" t="str">
        <f t="shared" si="9"/>
        <v>OK</v>
      </c>
      <c r="V66" s="7">
        <f t="shared" si="10"/>
        <v>0</v>
      </c>
      <c r="W66" s="2" t="str">
        <f t="shared" si="11"/>
        <v>OK</v>
      </c>
      <c r="X66" s="2" t="s">
        <v>26</v>
      </c>
      <c r="Y66" s="2" t="s">
        <v>27</v>
      </c>
      <c r="Z66" s="2" t="s">
        <v>28</v>
      </c>
      <c r="AA66" t="s">
        <v>245</v>
      </c>
      <c r="AB66" t="s">
        <v>245</v>
      </c>
      <c r="AC66" t="s">
        <v>245</v>
      </c>
    </row>
    <row r="67" spans="1:29" x14ac:dyDescent="0.2">
      <c r="A67" t="str">
        <f t="shared" ref="A67:A130" si="13">"TRIP-TR-"&amp;TEXT(ROW()-1,"000")</f>
        <v>TRIP-TR-066</v>
      </c>
      <c r="B67" s="3">
        <v>45737</v>
      </c>
      <c r="C67" t="str">
        <f>IF(X67="CUSTOMER DELIVERY",_xlfn.XLOOKUP(D67,'[1]Jan Customer Duplicate Hyva'!$B:$B,'[1]Jan Customer Duplicate Hyva'!$A:$A,"NOT FOUND"),"")</f>
        <v>CUST-057</v>
      </c>
      <c r="D67" s="10" t="s">
        <v>84</v>
      </c>
      <c r="E67" s="2"/>
      <c r="F67" s="2"/>
      <c r="G67" s="2"/>
      <c r="H67" s="2"/>
      <c r="I67" s="2"/>
      <c r="J67" s="2"/>
      <c r="K67" s="2"/>
      <c r="L67" s="10" t="s">
        <v>68</v>
      </c>
      <c r="M67" s="11">
        <v>2</v>
      </c>
      <c r="N67" s="12">
        <v>4000</v>
      </c>
      <c r="O67" s="6">
        <f t="shared" si="6"/>
        <v>8000</v>
      </c>
      <c r="P67" s="12">
        <v>8000</v>
      </c>
      <c r="Q67" s="6">
        <f t="shared" si="7"/>
        <v>0</v>
      </c>
      <c r="R67" s="2" t="str">
        <f t="shared" si="12"/>
        <v>PAID</v>
      </c>
      <c r="S67" s="2"/>
      <c r="T67" s="2">
        <f t="shared" si="8"/>
        <v>8000</v>
      </c>
      <c r="U67" s="2" t="str">
        <f t="shared" si="9"/>
        <v>OK</v>
      </c>
      <c r="V67" s="7">
        <f t="shared" si="10"/>
        <v>0</v>
      </c>
      <c r="W67" s="2" t="str">
        <f t="shared" si="11"/>
        <v>OK</v>
      </c>
      <c r="X67" s="2" t="s">
        <v>26</v>
      </c>
      <c r="Y67" s="2" t="s">
        <v>27</v>
      </c>
      <c r="Z67" s="2" t="s">
        <v>28</v>
      </c>
      <c r="AA67" t="s">
        <v>245</v>
      </c>
      <c r="AB67" t="s">
        <v>245</v>
      </c>
      <c r="AC67" t="s">
        <v>245</v>
      </c>
    </row>
    <row r="68" spans="1:29" x14ac:dyDescent="0.2">
      <c r="A68" t="str">
        <f t="shared" si="13"/>
        <v>TRIP-TR-067</v>
      </c>
      <c r="B68" s="3">
        <v>45737</v>
      </c>
      <c r="C68" t="str">
        <f>IF(X68="CUSTOMER DELIVERY",_xlfn.XLOOKUP(D68,'[1]Jan Customer Duplicate Hyva'!$B:$B,'[1]Jan Customer Duplicate Hyva'!$A:$A,"NOT FOUND"),"")</f>
        <v>CUST-031</v>
      </c>
      <c r="D68" s="10" t="s">
        <v>85</v>
      </c>
      <c r="E68" s="2"/>
      <c r="F68" s="2"/>
      <c r="G68" s="2"/>
      <c r="H68" s="2"/>
      <c r="I68" s="2"/>
      <c r="J68" s="2"/>
      <c r="K68" s="2"/>
      <c r="L68" s="10" t="s">
        <v>68</v>
      </c>
      <c r="M68" s="11">
        <v>3</v>
      </c>
      <c r="N68" s="12">
        <v>4000</v>
      </c>
      <c r="O68" s="6">
        <f t="shared" si="6"/>
        <v>12000</v>
      </c>
      <c r="P68" s="12">
        <v>12000</v>
      </c>
      <c r="Q68" s="6">
        <f t="shared" si="7"/>
        <v>0</v>
      </c>
      <c r="R68" s="2" t="str">
        <f t="shared" si="12"/>
        <v>PAID</v>
      </c>
      <c r="S68" s="2"/>
      <c r="T68" s="2">
        <f t="shared" si="8"/>
        <v>12000</v>
      </c>
      <c r="U68" s="2" t="str">
        <f t="shared" si="9"/>
        <v>OK</v>
      </c>
      <c r="V68" s="7">
        <f t="shared" si="10"/>
        <v>0</v>
      </c>
      <c r="W68" s="2" t="str">
        <f t="shared" si="11"/>
        <v>OK</v>
      </c>
      <c r="X68" s="2" t="s">
        <v>26</v>
      </c>
      <c r="Y68" s="2" t="s">
        <v>27</v>
      </c>
      <c r="Z68" s="2" t="s">
        <v>28</v>
      </c>
      <c r="AA68" t="s">
        <v>245</v>
      </c>
      <c r="AB68" t="s">
        <v>245</v>
      </c>
      <c r="AC68" t="s">
        <v>245</v>
      </c>
    </row>
    <row r="69" spans="1:29" x14ac:dyDescent="0.2">
      <c r="A69" t="str">
        <f t="shared" si="13"/>
        <v>TRIP-TR-068</v>
      </c>
      <c r="B69" s="3">
        <v>45738</v>
      </c>
      <c r="C69" t="str">
        <f>IF(X69="CUSTOMER DELIVERY",_xlfn.XLOOKUP(D69,'[1]Jan Customer Duplicate Hyva'!$B:$B,'[1]Jan Customer Duplicate Hyva'!$A:$A,"NOT FOUND"),"")</f>
        <v>CUST-066</v>
      </c>
      <c r="D69" s="10" t="s">
        <v>73</v>
      </c>
      <c r="E69" s="2"/>
      <c r="F69" s="2"/>
      <c r="G69" s="2"/>
      <c r="H69" s="2"/>
      <c r="I69" s="2"/>
      <c r="J69" s="2"/>
      <c r="K69" s="2"/>
      <c r="L69" s="10" t="s">
        <v>86</v>
      </c>
      <c r="M69" s="11">
        <v>2</v>
      </c>
      <c r="N69" s="12">
        <v>4000</v>
      </c>
      <c r="O69" s="6">
        <f t="shared" si="6"/>
        <v>8000</v>
      </c>
      <c r="P69" s="12">
        <v>8000</v>
      </c>
      <c r="Q69" s="6">
        <f t="shared" si="7"/>
        <v>0</v>
      </c>
      <c r="R69" s="2" t="str">
        <f t="shared" si="12"/>
        <v>PAID</v>
      </c>
      <c r="S69" s="2"/>
      <c r="T69" s="2">
        <f t="shared" si="8"/>
        <v>8000</v>
      </c>
      <c r="U69" s="2" t="str">
        <f t="shared" si="9"/>
        <v>OK</v>
      </c>
      <c r="V69" s="7">
        <f t="shared" si="10"/>
        <v>0</v>
      </c>
      <c r="W69" s="2" t="str">
        <f t="shared" si="11"/>
        <v>OK</v>
      </c>
      <c r="X69" s="2" t="s">
        <v>26</v>
      </c>
      <c r="Y69" s="2" t="s">
        <v>27</v>
      </c>
      <c r="Z69" s="2" t="s">
        <v>28</v>
      </c>
      <c r="AA69" t="s">
        <v>245</v>
      </c>
      <c r="AB69" t="s">
        <v>245</v>
      </c>
      <c r="AC69" t="s">
        <v>245</v>
      </c>
    </row>
    <row r="70" spans="1:29" x14ac:dyDescent="0.2">
      <c r="A70" t="str">
        <f t="shared" si="13"/>
        <v>TRIP-TR-069</v>
      </c>
      <c r="B70" s="3">
        <v>45739</v>
      </c>
      <c r="C70" t="str">
        <f>IF(X70="CUSTOMER DELIVERY",_xlfn.XLOOKUP(D70,'[1]Jan Customer Duplicate Hyva'!$B:$B,'[1]Jan Customer Duplicate Hyva'!$A:$A,"NOT FOUND"),"")</f>
        <v>CUST-187</v>
      </c>
      <c r="D70" s="10" t="s">
        <v>87</v>
      </c>
      <c r="E70" s="2"/>
      <c r="F70" s="2"/>
      <c r="G70" s="2"/>
      <c r="H70" s="2"/>
      <c r="I70" s="2"/>
      <c r="J70" s="2"/>
      <c r="K70" s="2"/>
      <c r="L70" s="10" t="s">
        <v>75</v>
      </c>
      <c r="M70" s="11">
        <v>1</v>
      </c>
      <c r="N70" s="12">
        <v>4000</v>
      </c>
      <c r="O70" s="6">
        <f t="shared" si="6"/>
        <v>4000</v>
      </c>
      <c r="P70" s="12">
        <v>4000</v>
      </c>
      <c r="Q70" s="6">
        <f t="shared" si="7"/>
        <v>0</v>
      </c>
      <c r="R70" s="2" t="str">
        <f t="shared" si="12"/>
        <v>PAID</v>
      </c>
      <c r="S70" s="2"/>
      <c r="T70" s="2">
        <f t="shared" si="8"/>
        <v>4000</v>
      </c>
      <c r="U70" s="2" t="str">
        <f t="shared" si="9"/>
        <v>OK</v>
      </c>
      <c r="V70" s="7">
        <f t="shared" si="10"/>
        <v>0</v>
      </c>
      <c r="W70" s="2" t="str">
        <f t="shared" si="11"/>
        <v>OK</v>
      </c>
      <c r="X70" s="2" t="s">
        <v>26</v>
      </c>
      <c r="Y70" s="2" t="s">
        <v>27</v>
      </c>
      <c r="Z70" s="2" t="s">
        <v>28</v>
      </c>
      <c r="AA70" t="s">
        <v>245</v>
      </c>
      <c r="AB70" t="s">
        <v>245</v>
      </c>
      <c r="AC70" t="s">
        <v>245</v>
      </c>
    </row>
    <row r="71" spans="1:29" x14ac:dyDescent="0.2">
      <c r="A71" t="str">
        <f t="shared" si="13"/>
        <v>TRIP-TR-070</v>
      </c>
      <c r="B71" s="3">
        <v>45739</v>
      </c>
      <c r="C71" t="str">
        <f>IF(X71="CUSTOMER DELIVERY",_xlfn.XLOOKUP(D71,'[1]Jan Customer Duplicate Hyva'!$B:$B,'[1]Jan Customer Duplicate Hyva'!$A:$A,"NOT FOUND"),"")</f>
        <v>CUST-058</v>
      </c>
      <c r="D71" s="8" t="s">
        <v>36</v>
      </c>
      <c r="E71" s="2"/>
      <c r="F71" s="2"/>
      <c r="G71" s="2"/>
      <c r="H71" s="2"/>
      <c r="I71" s="2"/>
      <c r="J71" s="2"/>
      <c r="K71" s="2"/>
      <c r="L71" s="10" t="s">
        <v>68</v>
      </c>
      <c r="M71" s="11">
        <v>1</v>
      </c>
      <c r="N71" s="12">
        <v>4000</v>
      </c>
      <c r="O71" s="6">
        <f t="shared" si="6"/>
        <v>4000</v>
      </c>
      <c r="P71" s="12">
        <v>4000</v>
      </c>
      <c r="Q71" s="6">
        <f t="shared" si="7"/>
        <v>0</v>
      </c>
      <c r="R71" s="2" t="str">
        <f t="shared" si="12"/>
        <v>PAID</v>
      </c>
      <c r="S71" s="2"/>
      <c r="T71" s="2">
        <f t="shared" si="8"/>
        <v>4000</v>
      </c>
      <c r="U71" s="2" t="str">
        <f t="shared" si="9"/>
        <v>OK</v>
      </c>
      <c r="V71" s="7">
        <f t="shared" si="10"/>
        <v>0</v>
      </c>
      <c r="W71" s="2" t="str">
        <f t="shared" si="11"/>
        <v>OK</v>
      </c>
      <c r="X71" s="2" t="s">
        <v>26</v>
      </c>
      <c r="Y71" s="2" t="s">
        <v>27</v>
      </c>
      <c r="Z71" s="2" t="s">
        <v>28</v>
      </c>
      <c r="AA71" t="s">
        <v>245</v>
      </c>
      <c r="AB71" t="s">
        <v>245</v>
      </c>
      <c r="AC71" t="s">
        <v>245</v>
      </c>
    </row>
    <row r="72" spans="1:29" x14ac:dyDescent="0.2">
      <c r="A72" t="str">
        <f t="shared" si="13"/>
        <v>TRIP-TR-071</v>
      </c>
      <c r="B72" s="3">
        <v>45739</v>
      </c>
      <c r="C72" t="str">
        <f>IF(X72="CUSTOMER DELIVERY",_xlfn.XLOOKUP(D72,'[1]Jan Customer Duplicate Hyva'!$B:$B,'[1]Jan Customer Duplicate Hyva'!$A:$A,"NOT FOUND"),"")</f>
        <v>CUST-057</v>
      </c>
      <c r="D72" s="10" t="s">
        <v>84</v>
      </c>
      <c r="E72" s="2"/>
      <c r="F72" s="2"/>
      <c r="G72" s="2"/>
      <c r="H72" s="2"/>
      <c r="I72" s="2"/>
      <c r="J72" s="2"/>
      <c r="K72" s="2"/>
      <c r="L72" s="10" t="s">
        <v>68</v>
      </c>
      <c r="M72" s="11">
        <v>1</v>
      </c>
      <c r="N72" s="12">
        <v>4500</v>
      </c>
      <c r="O72" s="6">
        <f t="shared" si="6"/>
        <v>4500</v>
      </c>
      <c r="P72" s="12">
        <v>4500</v>
      </c>
      <c r="Q72" s="6">
        <f t="shared" si="7"/>
        <v>0</v>
      </c>
      <c r="R72" s="2" t="str">
        <f t="shared" si="12"/>
        <v>PAID</v>
      </c>
      <c r="S72" s="2"/>
      <c r="T72" s="2">
        <f t="shared" si="8"/>
        <v>4500</v>
      </c>
      <c r="U72" s="2" t="str">
        <f t="shared" si="9"/>
        <v>OK</v>
      </c>
      <c r="V72" s="7">
        <f t="shared" si="10"/>
        <v>0</v>
      </c>
      <c r="W72" s="2" t="str">
        <f t="shared" si="11"/>
        <v>OK</v>
      </c>
      <c r="X72" s="2" t="s">
        <v>26</v>
      </c>
      <c r="Y72" s="2" t="s">
        <v>27</v>
      </c>
      <c r="Z72" s="2" t="s">
        <v>28</v>
      </c>
      <c r="AA72" t="s">
        <v>245</v>
      </c>
      <c r="AB72" t="s">
        <v>245</v>
      </c>
      <c r="AC72" t="s">
        <v>245</v>
      </c>
    </row>
    <row r="73" spans="1:29" x14ac:dyDescent="0.2">
      <c r="A73" t="str">
        <f t="shared" si="13"/>
        <v>TRIP-TR-072</v>
      </c>
      <c r="B73" s="3">
        <v>45740</v>
      </c>
      <c r="C73" t="str">
        <f>IF(X73="CUSTOMER DELIVERY",_xlfn.XLOOKUP(D73,'[1]Jan Customer Duplicate Hyva'!$B:$B,'[1]Jan Customer Duplicate Hyva'!$A:$A,"NOT FOUND"),"")</f>
        <v>CUST-275</v>
      </c>
      <c r="D73" s="10" t="s">
        <v>82</v>
      </c>
      <c r="E73" s="2"/>
      <c r="F73" s="2"/>
      <c r="G73" s="2"/>
      <c r="H73" s="2"/>
      <c r="I73" s="2"/>
      <c r="J73" s="2"/>
      <c r="K73" s="2"/>
      <c r="L73" s="10" t="s">
        <v>88</v>
      </c>
      <c r="M73" s="11">
        <v>1</v>
      </c>
      <c r="N73" s="12">
        <v>4500</v>
      </c>
      <c r="O73" s="6">
        <f t="shared" ref="O73:O136" si="14">N73*M73</f>
        <v>4500</v>
      </c>
      <c r="P73" s="12">
        <v>4500</v>
      </c>
      <c r="Q73" s="6">
        <f t="shared" ref="Q73:Q136" si="15">O73-P73</f>
        <v>0</v>
      </c>
      <c r="R73" s="2" t="str">
        <f t="shared" si="12"/>
        <v>PAID</v>
      </c>
      <c r="S73" s="2"/>
      <c r="T73" s="2">
        <f t="shared" ref="T73:T136" si="16">M73*N73</f>
        <v>4500</v>
      </c>
      <c r="U73" s="2" t="str">
        <f t="shared" ref="U73:U136" si="17">IF(ROUND(T73,2)=ROUND(O73,2),"OK","CHECK")</f>
        <v>OK</v>
      </c>
      <c r="V73" s="7">
        <f t="shared" ref="V73:V136" si="18">O73-P73</f>
        <v>0</v>
      </c>
      <c r="W73" s="2" t="str">
        <f t="shared" ref="W73:W136" si="19">IF(ROUND(V73,2)=ROUND(Q73,2),"OK","CHECK")</f>
        <v>OK</v>
      </c>
      <c r="X73" s="2" t="s">
        <v>26</v>
      </c>
      <c r="Y73" s="2" t="s">
        <v>27</v>
      </c>
      <c r="Z73" s="2" t="s">
        <v>28</v>
      </c>
      <c r="AA73" t="s">
        <v>245</v>
      </c>
      <c r="AB73" t="s">
        <v>245</v>
      </c>
      <c r="AC73" t="s">
        <v>245</v>
      </c>
    </row>
    <row r="74" spans="1:29" x14ac:dyDescent="0.2">
      <c r="A74" t="str">
        <f t="shared" si="13"/>
        <v>TRIP-TR-073</v>
      </c>
      <c r="B74" s="3">
        <v>45741</v>
      </c>
      <c r="C74" t="str">
        <f>IF(X74="CUSTOMER DELIVERY",_xlfn.XLOOKUP(D74,'[1]Jan Customer Duplicate Hyva'!$B:$B,'[1]Jan Customer Duplicate Hyva'!$A:$A,"NOT FOUND"),"")</f>
        <v>CUST-343</v>
      </c>
      <c r="D74" s="4" t="s">
        <v>220</v>
      </c>
      <c r="E74" s="2"/>
      <c r="F74" s="2"/>
      <c r="G74" s="2"/>
      <c r="H74" s="2"/>
      <c r="I74" s="2"/>
      <c r="J74" s="2"/>
      <c r="K74" s="2"/>
      <c r="L74" s="4" t="s">
        <v>75</v>
      </c>
      <c r="M74" s="5">
        <v>2</v>
      </c>
      <c r="N74" s="6">
        <v>4000</v>
      </c>
      <c r="O74" s="6">
        <f t="shared" si="14"/>
        <v>8000</v>
      </c>
      <c r="P74" s="6">
        <v>8000</v>
      </c>
      <c r="Q74" s="6">
        <f t="shared" si="15"/>
        <v>0</v>
      </c>
      <c r="R74" s="2" t="str">
        <f t="shared" ref="R74:R137" si="20">IF(Q74=0,"PAID",IF(P74=0,"UNPAID","PARTIAL"))</f>
        <v>PAID</v>
      </c>
      <c r="S74" s="2"/>
      <c r="T74" s="2">
        <f t="shared" si="16"/>
        <v>8000</v>
      </c>
      <c r="U74" s="2" t="str">
        <f t="shared" si="17"/>
        <v>OK</v>
      </c>
      <c r="V74" s="7">
        <f t="shared" si="18"/>
        <v>0</v>
      </c>
      <c r="W74" s="2" t="str">
        <f t="shared" si="19"/>
        <v>OK</v>
      </c>
      <c r="X74" s="2" t="s">
        <v>26</v>
      </c>
      <c r="Y74" s="2" t="s">
        <v>27</v>
      </c>
      <c r="Z74" s="2" t="s">
        <v>28</v>
      </c>
      <c r="AA74" t="s">
        <v>245</v>
      </c>
      <c r="AB74" t="s">
        <v>245</v>
      </c>
      <c r="AC74" t="s">
        <v>245</v>
      </c>
    </row>
    <row r="75" spans="1:29" x14ac:dyDescent="0.2">
      <c r="A75" t="str">
        <f t="shared" si="13"/>
        <v>TRIP-TR-074</v>
      </c>
      <c r="B75" s="3">
        <v>45741</v>
      </c>
      <c r="C75" t="str">
        <f>IF(X75="CUSTOMER DELIVERY",_xlfn.XLOOKUP(D75,'[1]Jan Customer Duplicate Hyva'!$B:$B,'[1]Jan Customer Duplicate Hyva'!$A:$A,"NOT FOUND"),"")</f>
        <v>CUST-262</v>
      </c>
      <c r="D75" s="4" t="s">
        <v>89</v>
      </c>
      <c r="E75" s="2"/>
      <c r="F75" s="2"/>
      <c r="G75" s="2"/>
      <c r="H75" s="2"/>
      <c r="I75" s="2"/>
      <c r="J75" s="2"/>
      <c r="K75" s="2"/>
      <c r="L75" s="4" t="s">
        <v>90</v>
      </c>
      <c r="M75" s="5">
        <v>1</v>
      </c>
      <c r="N75" s="6">
        <v>4500</v>
      </c>
      <c r="O75" s="6">
        <f t="shared" si="14"/>
        <v>4500</v>
      </c>
      <c r="P75" s="6">
        <v>4500</v>
      </c>
      <c r="Q75" s="6">
        <f t="shared" si="15"/>
        <v>0</v>
      </c>
      <c r="R75" s="2" t="str">
        <f t="shared" si="20"/>
        <v>PAID</v>
      </c>
      <c r="S75" s="2"/>
      <c r="T75" s="2">
        <f t="shared" si="16"/>
        <v>4500</v>
      </c>
      <c r="U75" s="2" t="str">
        <f t="shared" si="17"/>
        <v>OK</v>
      </c>
      <c r="V75" s="7">
        <f t="shared" si="18"/>
        <v>0</v>
      </c>
      <c r="W75" s="2" t="str">
        <f t="shared" si="19"/>
        <v>OK</v>
      </c>
      <c r="X75" s="2" t="s">
        <v>26</v>
      </c>
      <c r="Y75" s="2" t="s">
        <v>27</v>
      </c>
      <c r="Z75" s="2" t="s">
        <v>28</v>
      </c>
      <c r="AA75" t="s">
        <v>245</v>
      </c>
      <c r="AB75" t="s">
        <v>245</v>
      </c>
      <c r="AC75" t="s">
        <v>245</v>
      </c>
    </row>
    <row r="76" spans="1:29" x14ac:dyDescent="0.2">
      <c r="A76" t="str">
        <f t="shared" si="13"/>
        <v>TRIP-TR-075</v>
      </c>
      <c r="B76" s="3">
        <v>45741</v>
      </c>
      <c r="C76" t="str">
        <f>IF(X76="CUSTOMER DELIVERY",_xlfn.XLOOKUP(D76,'[1]Jan Customer Duplicate Hyva'!$B:$B,'[1]Jan Customer Duplicate Hyva'!$A:$A,"NOT FOUND"),"")</f>
        <v>CUST-306</v>
      </c>
      <c r="D76" s="23" t="s">
        <v>224</v>
      </c>
      <c r="E76" s="2"/>
      <c r="F76" s="2"/>
      <c r="G76" s="2"/>
      <c r="H76" s="2"/>
      <c r="I76" s="2"/>
      <c r="J76" s="2"/>
      <c r="K76" s="2"/>
      <c r="L76" s="4" t="s">
        <v>91</v>
      </c>
      <c r="M76" s="5">
        <v>3</v>
      </c>
      <c r="N76" s="6">
        <v>4000</v>
      </c>
      <c r="O76" s="6">
        <f t="shared" si="14"/>
        <v>12000</v>
      </c>
      <c r="P76" s="6">
        <v>12000</v>
      </c>
      <c r="Q76" s="6">
        <f t="shared" si="15"/>
        <v>0</v>
      </c>
      <c r="R76" s="2" t="str">
        <f t="shared" si="20"/>
        <v>PAID</v>
      </c>
      <c r="S76" s="2"/>
      <c r="T76" s="2">
        <f t="shared" si="16"/>
        <v>12000</v>
      </c>
      <c r="U76" s="2" t="str">
        <f t="shared" si="17"/>
        <v>OK</v>
      </c>
      <c r="V76" s="7">
        <f t="shared" si="18"/>
        <v>0</v>
      </c>
      <c r="W76" s="2" t="str">
        <f t="shared" si="19"/>
        <v>OK</v>
      </c>
      <c r="X76" s="2" t="s">
        <v>26</v>
      </c>
      <c r="Y76" s="2" t="s">
        <v>27</v>
      </c>
      <c r="Z76" s="2" t="s">
        <v>28</v>
      </c>
      <c r="AA76" t="s">
        <v>245</v>
      </c>
      <c r="AB76" t="s">
        <v>245</v>
      </c>
      <c r="AC76" t="s">
        <v>245</v>
      </c>
    </row>
    <row r="77" spans="1:29" x14ac:dyDescent="0.2">
      <c r="A77" t="str">
        <f t="shared" si="13"/>
        <v>TRIP-TR-076</v>
      </c>
      <c r="B77" s="3">
        <v>45741</v>
      </c>
      <c r="C77" t="str">
        <f>IF(X77="CUSTOMER DELIVERY",_xlfn.XLOOKUP(D77,'[1]Jan Customer Duplicate Hyva'!$B:$B,'[1]Jan Customer Duplicate Hyva'!$A:$A,"NOT FOUND"),"")</f>
        <v>CUST-081</v>
      </c>
      <c r="D77" s="4" t="s">
        <v>92</v>
      </c>
      <c r="E77" s="2"/>
      <c r="F77" s="2"/>
      <c r="G77" s="2"/>
      <c r="H77" s="2"/>
      <c r="I77" s="2"/>
      <c r="J77" s="2"/>
      <c r="K77" s="2"/>
      <c r="L77" s="4" t="s">
        <v>75</v>
      </c>
      <c r="M77" s="5">
        <v>1</v>
      </c>
      <c r="N77" s="6">
        <v>4000</v>
      </c>
      <c r="O77" s="6">
        <f t="shared" si="14"/>
        <v>4000</v>
      </c>
      <c r="P77" s="6">
        <v>4000</v>
      </c>
      <c r="Q77" s="6">
        <f t="shared" si="15"/>
        <v>0</v>
      </c>
      <c r="R77" s="2" t="str">
        <f t="shared" si="20"/>
        <v>PAID</v>
      </c>
      <c r="S77" s="2"/>
      <c r="T77" s="2">
        <f t="shared" si="16"/>
        <v>4000</v>
      </c>
      <c r="U77" s="2" t="str">
        <f t="shared" si="17"/>
        <v>OK</v>
      </c>
      <c r="V77" s="7">
        <f t="shared" si="18"/>
        <v>0</v>
      </c>
      <c r="W77" s="2" t="str">
        <f t="shared" si="19"/>
        <v>OK</v>
      </c>
      <c r="X77" s="2" t="s">
        <v>26</v>
      </c>
      <c r="Y77" s="2" t="s">
        <v>27</v>
      </c>
      <c r="Z77" s="2" t="s">
        <v>28</v>
      </c>
      <c r="AA77" t="s">
        <v>245</v>
      </c>
      <c r="AB77" t="s">
        <v>245</v>
      </c>
      <c r="AC77" t="s">
        <v>245</v>
      </c>
    </row>
    <row r="78" spans="1:29" x14ac:dyDescent="0.2">
      <c r="A78" t="str">
        <f t="shared" si="13"/>
        <v>TRIP-TR-077</v>
      </c>
      <c r="B78" s="3">
        <v>45742</v>
      </c>
      <c r="C78" t="str">
        <f>IF(X78="CUSTOMER DELIVERY",_xlfn.XLOOKUP(D78,'[1]Jan Customer Duplicate Hyva'!$B:$B,'[1]Jan Customer Duplicate Hyva'!$A:$A,"NOT FOUND"),"")</f>
        <v>CUST-147</v>
      </c>
      <c r="D78" s="4" t="s">
        <v>236</v>
      </c>
      <c r="E78" s="2"/>
      <c r="F78" s="2"/>
      <c r="G78" s="2"/>
      <c r="H78" s="2"/>
      <c r="I78" s="2"/>
      <c r="J78" s="2"/>
      <c r="K78" s="2"/>
      <c r="L78" s="4" t="s">
        <v>76</v>
      </c>
      <c r="M78" s="5">
        <v>2</v>
      </c>
      <c r="N78" s="6">
        <v>4000</v>
      </c>
      <c r="O78" s="6">
        <f t="shared" si="14"/>
        <v>8000</v>
      </c>
      <c r="P78" s="6">
        <v>8000</v>
      </c>
      <c r="Q78" s="6">
        <f t="shared" si="15"/>
        <v>0</v>
      </c>
      <c r="R78" s="2" t="str">
        <f t="shared" si="20"/>
        <v>PAID</v>
      </c>
      <c r="S78" s="2"/>
      <c r="T78" s="2">
        <f t="shared" si="16"/>
        <v>8000</v>
      </c>
      <c r="U78" s="2" t="str">
        <f t="shared" si="17"/>
        <v>OK</v>
      </c>
      <c r="V78" s="7">
        <f t="shared" si="18"/>
        <v>0</v>
      </c>
      <c r="W78" s="2" t="str">
        <f t="shared" si="19"/>
        <v>OK</v>
      </c>
      <c r="X78" s="2" t="s">
        <v>26</v>
      </c>
      <c r="Y78" s="2" t="s">
        <v>27</v>
      </c>
      <c r="Z78" s="2" t="s">
        <v>28</v>
      </c>
      <c r="AA78" t="s">
        <v>245</v>
      </c>
      <c r="AB78" t="s">
        <v>245</v>
      </c>
      <c r="AC78" t="s">
        <v>245</v>
      </c>
    </row>
    <row r="79" spans="1:29" x14ac:dyDescent="0.2">
      <c r="A79" t="str">
        <f t="shared" si="13"/>
        <v>TRIP-TR-078</v>
      </c>
      <c r="B79" s="3">
        <v>45743</v>
      </c>
      <c r="C79" t="str">
        <f>IF(X79="CUSTOMER DELIVERY",_xlfn.XLOOKUP(D79,'[1]Jan Customer Duplicate Hyva'!$B:$B,'[1]Jan Customer Duplicate Hyva'!$A:$A,"NOT FOUND"),"")</f>
        <v>CUST-107</v>
      </c>
      <c r="D79" s="10" t="s">
        <v>65</v>
      </c>
      <c r="E79" s="2"/>
      <c r="F79" s="2"/>
      <c r="G79" s="2"/>
      <c r="H79" s="2"/>
      <c r="I79" s="2"/>
      <c r="J79" s="2"/>
      <c r="K79" s="2"/>
      <c r="L79" s="4" t="s">
        <v>66</v>
      </c>
      <c r="M79" s="5">
        <v>2</v>
      </c>
      <c r="N79" s="6">
        <v>5000</v>
      </c>
      <c r="O79" s="6">
        <f t="shared" si="14"/>
        <v>10000</v>
      </c>
      <c r="P79" s="6">
        <v>10000</v>
      </c>
      <c r="Q79" s="6">
        <f t="shared" si="15"/>
        <v>0</v>
      </c>
      <c r="R79" s="2" t="str">
        <f t="shared" si="20"/>
        <v>PAID</v>
      </c>
      <c r="S79" s="2"/>
      <c r="T79" s="2">
        <f t="shared" si="16"/>
        <v>10000</v>
      </c>
      <c r="U79" s="2" t="str">
        <f t="shared" si="17"/>
        <v>OK</v>
      </c>
      <c r="V79" s="7">
        <f t="shared" si="18"/>
        <v>0</v>
      </c>
      <c r="W79" s="2" t="str">
        <f t="shared" si="19"/>
        <v>OK</v>
      </c>
      <c r="X79" s="2" t="s">
        <v>26</v>
      </c>
      <c r="Y79" s="2" t="s">
        <v>27</v>
      </c>
      <c r="Z79" s="2" t="s">
        <v>28</v>
      </c>
      <c r="AA79" t="s">
        <v>245</v>
      </c>
      <c r="AB79" t="s">
        <v>245</v>
      </c>
      <c r="AC79" t="s">
        <v>245</v>
      </c>
    </row>
    <row r="80" spans="1:29" x14ac:dyDescent="0.2">
      <c r="A80" t="str">
        <f t="shared" si="13"/>
        <v>TRIP-TR-079</v>
      </c>
      <c r="B80" s="3">
        <v>45744</v>
      </c>
      <c r="C80" t="str">
        <f>IF(X80="CUSTOMER DELIVERY",_xlfn.XLOOKUP(D80,'[1]Jan Customer Duplicate Hyva'!$B:$B,'[1]Jan Customer Duplicate Hyva'!$A:$A,"NOT FOUND"),"")</f>
        <v>CUST-204</v>
      </c>
      <c r="D80" s="4" t="s">
        <v>93</v>
      </c>
      <c r="E80" s="2"/>
      <c r="F80" s="2"/>
      <c r="G80" s="2"/>
      <c r="H80" s="2"/>
      <c r="I80" s="2"/>
      <c r="J80" s="2"/>
      <c r="K80" s="2"/>
      <c r="L80" s="4" t="s">
        <v>94</v>
      </c>
      <c r="M80" s="5">
        <v>1</v>
      </c>
      <c r="N80" s="6">
        <v>4000</v>
      </c>
      <c r="O80" s="6">
        <f t="shared" si="14"/>
        <v>4000</v>
      </c>
      <c r="P80" s="6"/>
      <c r="Q80" s="6">
        <f t="shared" si="15"/>
        <v>4000</v>
      </c>
      <c r="R80" s="2" t="str">
        <f t="shared" si="20"/>
        <v>UNPAID</v>
      </c>
      <c r="S80" s="2"/>
      <c r="T80" s="2">
        <f t="shared" si="16"/>
        <v>4000</v>
      </c>
      <c r="U80" s="2" t="str">
        <f t="shared" si="17"/>
        <v>OK</v>
      </c>
      <c r="V80" s="7">
        <f t="shared" si="18"/>
        <v>4000</v>
      </c>
      <c r="W80" s="2" t="str">
        <f t="shared" si="19"/>
        <v>OK</v>
      </c>
      <c r="X80" s="2" t="s">
        <v>26</v>
      </c>
      <c r="Y80" s="2" t="s">
        <v>27</v>
      </c>
      <c r="Z80" s="2" t="s">
        <v>28</v>
      </c>
      <c r="AA80" t="s">
        <v>245</v>
      </c>
      <c r="AB80" t="s">
        <v>245</v>
      </c>
      <c r="AC80" t="s">
        <v>245</v>
      </c>
    </row>
    <row r="81" spans="1:29" x14ac:dyDescent="0.2">
      <c r="A81" t="str">
        <f t="shared" si="13"/>
        <v>TRIP-TR-080</v>
      </c>
      <c r="B81" s="3">
        <v>45745</v>
      </c>
      <c r="C81" t="str">
        <f>IF(X81="CUSTOMER DELIVERY",_xlfn.XLOOKUP(D81,'[1]Jan Customer Duplicate Hyva'!$B:$B,'[1]Jan Customer Duplicate Hyva'!$A:$A,"NOT FOUND"),"")</f>
        <v>CUST-268</v>
      </c>
      <c r="D81" s="4" t="s">
        <v>39</v>
      </c>
      <c r="E81" s="2"/>
      <c r="F81" s="2"/>
      <c r="G81" s="2"/>
      <c r="H81" s="2"/>
      <c r="I81" s="2"/>
      <c r="J81" s="2"/>
      <c r="K81" s="2"/>
      <c r="L81" s="4" t="s">
        <v>76</v>
      </c>
      <c r="M81" s="5">
        <v>1</v>
      </c>
      <c r="N81" s="6">
        <v>4000</v>
      </c>
      <c r="O81" s="6">
        <f t="shared" si="14"/>
        <v>4000</v>
      </c>
      <c r="P81" s="6">
        <v>4000</v>
      </c>
      <c r="Q81" s="6">
        <f t="shared" si="15"/>
        <v>0</v>
      </c>
      <c r="R81" s="2" t="str">
        <f t="shared" si="20"/>
        <v>PAID</v>
      </c>
      <c r="S81" s="2"/>
      <c r="T81" s="2">
        <f t="shared" si="16"/>
        <v>4000</v>
      </c>
      <c r="U81" s="2" t="str">
        <f t="shared" si="17"/>
        <v>OK</v>
      </c>
      <c r="V81" s="7">
        <f t="shared" si="18"/>
        <v>0</v>
      </c>
      <c r="W81" s="2" t="str">
        <f t="shared" si="19"/>
        <v>OK</v>
      </c>
      <c r="X81" s="2" t="s">
        <v>26</v>
      </c>
      <c r="Y81" s="2" t="s">
        <v>27</v>
      </c>
      <c r="Z81" s="2" t="s">
        <v>28</v>
      </c>
      <c r="AA81" t="s">
        <v>245</v>
      </c>
      <c r="AB81" t="s">
        <v>245</v>
      </c>
      <c r="AC81" t="s">
        <v>245</v>
      </c>
    </row>
    <row r="82" spans="1:29" x14ac:dyDescent="0.2">
      <c r="A82" t="str">
        <f t="shared" si="13"/>
        <v>TRIP-TR-081</v>
      </c>
      <c r="B82" s="3">
        <v>45747</v>
      </c>
      <c r="C82" t="str">
        <f>IF(X82="CUSTOMER DELIVERY",_xlfn.XLOOKUP(D82,'[1]Jan Customer Duplicate Hyva'!$B:$B,'[1]Jan Customer Duplicate Hyva'!$A:$A,"NOT FOUND"),"")</f>
        <v>CUST-187</v>
      </c>
      <c r="D82" s="8" t="s">
        <v>87</v>
      </c>
      <c r="E82" s="2"/>
      <c r="F82" s="2"/>
      <c r="G82" s="2"/>
      <c r="H82" s="2"/>
      <c r="I82" s="2"/>
      <c r="J82" s="2"/>
      <c r="K82" s="2"/>
      <c r="L82" s="8" t="s">
        <v>76</v>
      </c>
      <c r="M82" s="9">
        <v>2</v>
      </c>
      <c r="N82" s="6">
        <v>4000</v>
      </c>
      <c r="O82" s="6">
        <f t="shared" si="14"/>
        <v>8000</v>
      </c>
      <c r="P82" s="6">
        <v>8000</v>
      </c>
      <c r="Q82" s="6">
        <f t="shared" si="15"/>
        <v>0</v>
      </c>
      <c r="R82" s="2" t="str">
        <f t="shared" si="20"/>
        <v>PAID</v>
      </c>
      <c r="S82" s="2"/>
      <c r="T82" s="2">
        <f t="shared" si="16"/>
        <v>8000</v>
      </c>
      <c r="U82" s="2" t="str">
        <f t="shared" si="17"/>
        <v>OK</v>
      </c>
      <c r="V82" s="7">
        <f t="shared" si="18"/>
        <v>0</v>
      </c>
      <c r="W82" s="2" t="str">
        <f t="shared" si="19"/>
        <v>OK</v>
      </c>
      <c r="X82" s="2" t="s">
        <v>26</v>
      </c>
      <c r="Y82" s="2" t="s">
        <v>27</v>
      </c>
      <c r="Z82" s="2" t="s">
        <v>28</v>
      </c>
      <c r="AA82" t="s">
        <v>245</v>
      </c>
      <c r="AB82" t="s">
        <v>245</v>
      </c>
      <c r="AC82" t="s">
        <v>245</v>
      </c>
    </row>
    <row r="83" spans="1:29" x14ac:dyDescent="0.2">
      <c r="A83" t="str">
        <f t="shared" si="13"/>
        <v>TRIP-TR-082</v>
      </c>
      <c r="B83" s="3">
        <v>45748</v>
      </c>
      <c r="C83" t="str">
        <f>IF(X83="CUSTOMER DELIVERY",_xlfn.XLOOKUP(D83,'[1]Jan Customer Duplicate Hyva'!$B:$B,'[1]Jan Customer Duplicate Hyva'!$A:$A,"NOT FOUND"),"")</f>
        <v>CUST-202</v>
      </c>
      <c r="D83" s="8" t="s">
        <v>95</v>
      </c>
      <c r="E83" s="2"/>
      <c r="F83" s="2"/>
      <c r="G83" s="2"/>
      <c r="H83" s="2"/>
      <c r="I83" s="2"/>
      <c r="J83" s="2"/>
      <c r="K83" s="2"/>
      <c r="L83" s="8" t="s">
        <v>68</v>
      </c>
      <c r="M83" s="9">
        <v>1</v>
      </c>
      <c r="N83" s="6">
        <v>4000</v>
      </c>
      <c r="O83" s="6">
        <f t="shared" si="14"/>
        <v>4000</v>
      </c>
      <c r="P83" s="6">
        <v>4000</v>
      </c>
      <c r="Q83" s="6">
        <f t="shared" si="15"/>
        <v>0</v>
      </c>
      <c r="R83" s="2" t="str">
        <f t="shared" si="20"/>
        <v>PAID</v>
      </c>
      <c r="S83" s="2"/>
      <c r="T83" s="2">
        <f t="shared" si="16"/>
        <v>4000</v>
      </c>
      <c r="U83" s="2" t="str">
        <f t="shared" si="17"/>
        <v>OK</v>
      </c>
      <c r="V83" s="7">
        <f t="shared" si="18"/>
        <v>0</v>
      </c>
      <c r="W83" s="2" t="str">
        <f t="shared" si="19"/>
        <v>OK</v>
      </c>
      <c r="X83" s="2" t="s">
        <v>26</v>
      </c>
      <c r="Y83" s="2" t="s">
        <v>27</v>
      </c>
      <c r="Z83" s="2" t="s">
        <v>28</v>
      </c>
      <c r="AA83" t="s">
        <v>245</v>
      </c>
      <c r="AB83" t="s">
        <v>245</v>
      </c>
      <c r="AC83" t="s">
        <v>245</v>
      </c>
    </row>
    <row r="84" spans="1:29" x14ac:dyDescent="0.2">
      <c r="A84" t="str">
        <f t="shared" si="13"/>
        <v>TRIP-TR-083</v>
      </c>
      <c r="B84" s="3">
        <v>45749</v>
      </c>
      <c r="C84" t="str">
        <f>IF(X84="CUSTOMER DELIVERY",_xlfn.XLOOKUP(D84,'[1]Jan Customer Duplicate Hyva'!$B:$B,'[1]Jan Customer Duplicate Hyva'!$A:$A,"NOT FOUND"),"")</f>
        <v>CUST-238</v>
      </c>
      <c r="D84" s="8" t="s">
        <v>96</v>
      </c>
      <c r="E84" s="2"/>
      <c r="F84" s="2"/>
      <c r="G84" s="2"/>
      <c r="H84" s="2"/>
      <c r="I84" s="2"/>
      <c r="J84" s="2"/>
      <c r="K84" s="2"/>
      <c r="L84" s="8" t="s">
        <v>76</v>
      </c>
      <c r="M84" s="9">
        <v>1</v>
      </c>
      <c r="N84" s="6">
        <v>4000</v>
      </c>
      <c r="O84" s="6">
        <f t="shared" si="14"/>
        <v>4000</v>
      </c>
      <c r="P84" s="6">
        <v>4000</v>
      </c>
      <c r="Q84" s="6">
        <f t="shared" si="15"/>
        <v>0</v>
      </c>
      <c r="R84" s="2" t="str">
        <f t="shared" si="20"/>
        <v>PAID</v>
      </c>
      <c r="S84" s="2"/>
      <c r="T84" s="2">
        <f t="shared" si="16"/>
        <v>4000</v>
      </c>
      <c r="U84" s="2" t="str">
        <f t="shared" si="17"/>
        <v>OK</v>
      </c>
      <c r="V84" s="7">
        <f t="shared" si="18"/>
        <v>0</v>
      </c>
      <c r="W84" s="2" t="str">
        <f t="shared" si="19"/>
        <v>OK</v>
      </c>
      <c r="X84" s="2" t="s">
        <v>26</v>
      </c>
      <c r="Y84" s="2" t="s">
        <v>27</v>
      </c>
      <c r="Z84" s="2" t="s">
        <v>28</v>
      </c>
      <c r="AA84" t="s">
        <v>245</v>
      </c>
      <c r="AB84" t="s">
        <v>245</v>
      </c>
      <c r="AC84" t="s">
        <v>245</v>
      </c>
    </row>
    <row r="85" spans="1:29" x14ac:dyDescent="0.2">
      <c r="A85" t="str">
        <f t="shared" si="13"/>
        <v>TRIP-TR-084</v>
      </c>
      <c r="B85" s="3">
        <v>45750</v>
      </c>
      <c r="C85" t="str">
        <f>IF(X85="CUSTOMER DELIVERY",_xlfn.XLOOKUP(D85,'[1]Jan Customer Duplicate Hyva'!$B:$B,'[1]Jan Customer Duplicate Hyva'!$A:$A,"NOT FOUND"),"")</f>
        <v>CUST-269</v>
      </c>
      <c r="D85" s="8" t="s">
        <v>97</v>
      </c>
      <c r="E85" s="2"/>
      <c r="F85" s="2"/>
      <c r="G85" s="2"/>
      <c r="H85" s="2"/>
      <c r="I85" s="2"/>
      <c r="J85" s="2"/>
      <c r="K85" s="2"/>
      <c r="L85" s="8" t="s">
        <v>76</v>
      </c>
      <c r="M85" s="9">
        <v>1</v>
      </c>
      <c r="N85" s="6">
        <v>4000</v>
      </c>
      <c r="O85" s="6">
        <f t="shared" si="14"/>
        <v>4000</v>
      </c>
      <c r="P85" s="6">
        <v>4000</v>
      </c>
      <c r="Q85" s="6">
        <f t="shared" si="15"/>
        <v>0</v>
      </c>
      <c r="R85" s="2" t="str">
        <f t="shared" si="20"/>
        <v>PAID</v>
      </c>
      <c r="S85" s="2"/>
      <c r="T85" s="2">
        <f t="shared" si="16"/>
        <v>4000</v>
      </c>
      <c r="U85" s="2" t="str">
        <f t="shared" si="17"/>
        <v>OK</v>
      </c>
      <c r="V85" s="7">
        <f t="shared" si="18"/>
        <v>0</v>
      </c>
      <c r="W85" s="2" t="str">
        <f t="shared" si="19"/>
        <v>OK</v>
      </c>
      <c r="X85" s="2" t="s">
        <v>26</v>
      </c>
      <c r="Y85" s="2" t="s">
        <v>27</v>
      </c>
      <c r="Z85" s="2" t="s">
        <v>28</v>
      </c>
      <c r="AA85" t="s">
        <v>245</v>
      </c>
      <c r="AB85" t="s">
        <v>245</v>
      </c>
      <c r="AC85" t="s">
        <v>245</v>
      </c>
    </row>
    <row r="86" spans="1:29" x14ac:dyDescent="0.2">
      <c r="A86" t="str">
        <f t="shared" si="13"/>
        <v>TRIP-TR-085</v>
      </c>
      <c r="B86" s="3">
        <v>45751</v>
      </c>
      <c r="C86" t="str">
        <f>IF(X86="CUSTOMER DELIVERY",_xlfn.XLOOKUP(D86,'[1]Jan Customer Duplicate Hyva'!$B:$B,'[1]Jan Customer Duplicate Hyva'!$A:$A,"NOT FOUND"),"")</f>
        <v>CUST-300</v>
      </c>
      <c r="D86" s="8" t="s">
        <v>98</v>
      </c>
      <c r="E86" s="2"/>
      <c r="F86" s="2"/>
      <c r="G86" s="2"/>
      <c r="H86" s="2"/>
      <c r="I86" s="2"/>
      <c r="J86" s="2"/>
      <c r="K86" s="2"/>
      <c r="L86" s="8" t="s">
        <v>83</v>
      </c>
      <c r="M86" s="9">
        <v>2</v>
      </c>
      <c r="N86" s="6">
        <v>4750</v>
      </c>
      <c r="O86" s="6">
        <f t="shared" si="14"/>
        <v>9500</v>
      </c>
      <c r="P86" s="6">
        <v>9500</v>
      </c>
      <c r="Q86" s="6">
        <f t="shared" si="15"/>
        <v>0</v>
      </c>
      <c r="R86" s="2" t="str">
        <f t="shared" si="20"/>
        <v>PAID</v>
      </c>
      <c r="S86" s="2"/>
      <c r="T86" s="2">
        <f t="shared" si="16"/>
        <v>9500</v>
      </c>
      <c r="U86" s="2" t="str">
        <f t="shared" si="17"/>
        <v>OK</v>
      </c>
      <c r="V86" s="7">
        <f t="shared" si="18"/>
        <v>0</v>
      </c>
      <c r="W86" s="2" t="str">
        <f t="shared" si="19"/>
        <v>OK</v>
      </c>
      <c r="X86" s="2" t="s">
        <v>26</v>
      </c>
      <c r="Y86" s="2" t="s">
        <v>27</v>
      </c>
      <c r="Z86" s="2" t="s">
        <v>28</v>
      </c>
      <c r="AA86" t="s">
        <v>245</v>
      </c>
      <c r="AB86" t="s">
        <v>245</v>
      </c>
      <c r="AC86" t="s">
        <v>245</v>
      </c>
    </row>
    <row r="87" spans="1:29" x14ac:dyDescent="0.2">
      <c r="A87" t="str">
        <f t="shared" si="13"/>
        <v>TRIP-TR-086</v>
      </c>
      <c r="B87" s="3">
        <v>45751</v>
      </c>
      <c r="C87" t="str">
        <f>IF(X87="CUSTOMER DELIVERY",_xlfn.XLOOKUP(D87,'[1]Jan Customer Duplicate Hyva'!$B:$B,'[1]Jan Customer Duplicate Hyva'!$A:$A,"NOT FOUND"),"")</f>
        <v>CUST-345</v>
      </c>
      <c r="D87" s="8" t="s">
        <v>99</v>
      </c>
      <c r="E87" s="2"/>
      <c r="F87" s="2"/>
      <c r="G87" s="2"/>
      <c r="H87" s="2"/>
      <c r="I87" s="2"/>
      <c r="J87" s="2"/>
      <c r="K87" s="2"/>
      <c r="L87" s="8" t="s">
        <v>49</v>
      </c>
      <c r="M87" s="9">
        <v>1</v>
      </c>
      <c r="N87" s="6">
        <v>4000</v>
      </c>
      <c r="O87" s="6">
        <f t="shared" si="14"/>
        <v>4000</v>
      </c>
      <c r="P87" s="6">
        <v>4000</v>
      </c>
      <c r="Q87" s="6">
        <f t="shared" si="15"/>
        <v>0</v>
      </c>
      <c r="R87" s="2" t="str">
        <f t="shared" si="20"/>
        <v>PAID</v>
      </c>
      <c r="S87" s="2"/>
      <c r="T87" s="2">
        <f t="shared" si="16"/>
        <v>4000</v>
      </c>
      <c r="U87" s="2" t="str">
        <f t="shared" si="17"/>
        <v>OK</v>
      </c>
      <c r="V87" s="7">
        <f t="shared" si="18"/>
        <v>0</v>
      </c>
      <c r="W87" s="2" t="str">
        <f t="shared" si="19"/>
        <v>OK</v>
      </c>
      <c r="X87" s="2" t="s">
        <v>26</v>
      </c>
      <c r="Y87" s="2" t="s">
        <v>27</v>
      </c>
      <c r="Z87" s="2" t="s">
        <v>28</v>
      </c>
      <c r="AA87" t="s">
        <v>245</v>
      </c>
      <c r="AB87" t="s">
        <v>245</v>
      </c>
      <c r="AC87" t="s">
        <v>245</v>
      </c>
    </row>
    <row r="88" spans="1:29" x14ac:dyDescent="0.2">
      <c r="A88" t="str">
        <f t="shared" si="13"/>
        <v>TRIP-TR-087</v>
      </c>
      <c r="B88" s="3">
        <v>45752</v>
      </c>
      <c r="C88" t="str">
        <f>IF(X88="CUSTOMER DELIVERY",_xlfn.XLOOKUP(D88,'[1]Jan Customer Duplicate Hyva'!$B:$B,'[1]Jan Customer Duplicate Hyva'!$A:$A,"NOT FOUND"),"")</f>
        <v>CUST-133</v>
      </c>
      <c r="D88" s="8" t="s">
        <v>100</v>
      </c>
      <c r="E88" s="2"/>
      <c r="F88" s="2"/>
      <c r="G88" s="2"/>
      <c r="H88" s="2"/>
      <c r="I88" s="2"/>
      <c r="J88" s="2"/>
      <c r="K88" s="2"/>
      <c r="L88" s="8" t="s">
        <v>33</v>
      </c>
      <c r="M88" s="9">
        <v>1</v>
      </c>
      <c r="N88" s="6">
        <v>4000</v>
      </c>
      <c r="O88" s="6">
        <f t="shared" si="14"/>
        <v>4000</v>
      </c>
      <c r="P88" s="6">
        <v>4000</v>
      </c>
      <c r="Q88" s="6">
        <f t="shared" si="15"/>
        <v>0</v>
      </c>
      <c r="R88" s="2" t="str">
        <f t="shared" si="20"/>
        <v>PAID</v>
      </c>
      <c r="S88" s="2"/>
      <c r="T88" s="2">
        <f t="shared" si="16"/>
        <v>4000</v>
      </c>
      <c r="U88" s="2" t="str">
        <f t="shared" si="17"/>
        <v>OK</v>
      </c>
      <c r="V88" s="7">
        <f t="shared" si="18"/>
        <v>0</v>
      </c>
      <c r="W88" s="2" t="str">
        <f t="shared" si="19"/>
        <v>OK</v>
      </c>
      <c r="X88" s="2" t="s">
        <v>26</v>
      </c>
      <c r="Y88" s="2" t="s">
        <v>27</v>
      </c>
      <c r="Z88" s="2" t="s">
        <v>28</v>
      </c>
      <c r="AA88" t="s">
        <v>245</v>
      </c>
      <c r="AB88" t="s">
        <v>245</v>
      </c>
      <c r="AC88" t="s">
        <v>245</v>
      </c>
    </row>
    <row r="89" spans="1:29" x14ac:dyDescent="0.2">
      <c r="A89" t="str">
        <f t="shared" si="13"/>
        <v>TRIP-TR-088</v>
      </c>
      <c r="B89" s="3">
        <v>45753</v>
      </c>
      <c r="C89" t="str">
        <f>IF(X89="CUSTOMER DELIVERY",_xlfn.XLOOKUP(D89,'[1]Jan Customer Duplicate Hyva'!$B:$B,'[1]Jan Customer Duplicate Hyva'!$A:$A,"NOT FOUND"),"")</f>
        <v>CUST-300</v>
      </c>
      <c r="D89" s="8" t="s">
        <v>98</v>
      </c>
      <c r="E89" s="2"/>
      <c r="F89" s="2"/>
      <c r="G89" s="2"/>
      <c r="H89" s="2"/>
      <c r="I89" s="2"/>
      <c r="J89" s="2"/>
      <c r="K89" s="2"/>
      <c r="L89" s="8" t="s">
        <v>42</v>
      </c>
      <c r="M89" s="9">
        <v>1</v>
      </c>
      <c r="N89" s="6">
        <v>4750</v>
      </c>
      <c r="O89" s="6">
        <f t="shared" si="14"/>
        <v>4750</v>
      </c>
      <c r="P89" s="6">
        <v>4750</v>
      </c>
      <c r="Q89" s="6">
        <f t="shared" si="15"/>
        <v>0</v>
      </c>
      <c r="R89" s="2" t="str">
        <f t="shared" si="20"/>
        <v>PAID</v>
      </c>
      <c r="S89" s="2"/>
      <c r="T89" s="2">
        <f t="shared" si="16"/>
        <v>4750</v>
      </c>
      <c r="U89" s="2" t="str">
        <f t="shared" si="17"/>
        <v>OK</v>
      </c>
      <c r="V89" s="7">
        <f t="shared" si="18"/>
        <v>0</v>
      </c>
      <c r="W89" s="2" t="str">
        <f t="shared" si="19"/>
        <v>OK</v>
      </c>
      <c r="X89" s="2" t="s">
        <v>26</v>
      </c>
      <c r="Y89" s="2" t="s">
        <v>27</v>
      </c>
      <c r="Z89" s="2" t="s">
        <v>28</v>
      </c>
      <c r="AA89" t="s">
        <v>245</v>
      </c>
      <c r="AB89" t="s">
        <v>245</v>
      </c>
      <c r="AC89" t="s">
        <v>245</v>
      </c>
    </row>
    <row r="90" spans="1:29" x14ac:dyDescent="0.2">
      <c r="A90" t="str">
        <f t="shared" si="13"/>
        <v>TRIP-TR-089</v>
      </c>
      <c r="B90" s="3">
        <v>45753</v>
      </c>
      <c r="C90" t="str">
        <f>IF(X90="CUSTOMER DELIVERY",_xlfn.XLOOKUP(D90,'[1]Jan Customer Duplicate Hyva'!$B:$B,'[1]Jan Customer Duplicate Hyva'!$A:$A,"NOT FOUND"),"")</f>
        <v>CUST-010</v>
      </c>
      <c r="D90" s="8" t="s">
        <v>225</v>
      </c>
      <c r="E90" s="2"/>
      <c r="F90" s="2"/>
      <c r="G90" s="2"/>
      <c r="H90" s="2"/>
      <c r="I90" s="2"/>
      <c r="J90" s="2"/>
      <c r="K90" s="2"/>
      <c r="L90" s="8" t="s">
        <v>101</v>
      </c>
      <c r="M90" s="9">
        <v>1</v>
      </c>
      <c r="N90" s="6">
        <v>5000</v>
      </c>
      <c r="O90" s="6">
        <f t="shared" si="14"/>
        <v>5000</v>
      </c>
      <c r="P90" s="6">
        <v>5000</v>
      </c>
      <c r="Q90" s="6">
        <f t="shared" si="15"/>
        <v>0</v>
      </c>
      <c r="R90" s="2" t="str">
        <f t="shared" si="20"/>
        <v>PAID</v>
      </c>
      <c r="S90" s="2"/>
      <c r="T90" s="2">
        <f t="shared" si="16"/>
        <v>5000</v>
      </c>
      <c r="U90" s="2" t="str">
        <f t="shared" si="17"/>
        <v>OK</v>
      </c>
      <c r="V90" s="7">
        <f t="shared" si="18"/>
        <v>0</v>
      </c>
      <c r="W90" s="2" t="str">
        <f t="shared" si="19"/>
        <v>OK</v>
      </c>
      <c r="X90" s="2" t="s">
        <v>26</v>
      </c>
      <c r="Y90" s="2" t="s">
        <v>27</v>
      </c>
      <c r="Z90" s="2" t="s">
        <v>28</v>
      </c>
      <c r="AA90" t="s">
        <v>245</v>
      </c>
      <c r="AB90" t="s">
        <v>245</v>
      </c>
      <c r="AC90" t="s">
        <v>245</v>
      </c>
    </row>
    <row r="91" spans="1:29" x14ac:dyDescent="0.2">
      <c r="A91" t="str">
        <f t="shared" si="13"/>
        <v>TRIP-TR-090</v>
      </c>
      <c r="B91" s="3">
        <v>45753</v>
      </c>
      <c r="C91" t="str">
        <f>IF(X91="CUSTOMER DELIVERY",_xlfn.XLOOKUP(D91,'[1]Jan Customer Duplicate Hyva'!$B:$B,'[1]Jan Customer Duplicate Hyva'!$A:$A,"NOT FOUND"),"")</f>
        <v>CUST-253</v>
      </c>
      <c r="D91" s="8" t="s">
        <v>48</v>
      </c>
      <c r="E91" s="2"/>
      <c r="F91" s="2"/>
      <c r="G91" s="2"/>
      <c r="H91" s="2"/>
      <c r="I91" s="2"/>
      <c r="J91" s="2"/>
      <c r="K91" s="2"/>
      <c r="L91" s="8" t="s">
        <v>49</v>
      </c>
      <c r="M91" s="9">
        <v>1</v>
      </c>
      <c r="N91" s="6">
        <v>5000</v>
      </c>
      <c r="O91" s="6">
        <f t="shared" si="14"/>
        <v>5000</v>
      </c>
      <c r="P91" s="6">
        <v>5000</v>
      </c>
      <c r="Q91" s="6">
        <f t="shared" si="15"/>
        <v>0</v>
      </c>
      <c r="R91" s="2" t="str">
        <f t="shared" si="20"/>
        <v>PAID</v>
      </c>
      <c r="S91" s="2"/>
      <c r="T91" s="2">
        <f t="shared" si="16"/>
        <v>5000</v>
      </c>
      <c r="U91" s="2" t="str">
        <f t="shared" si="17"/>
        <v>OK</v>
      </c>
      <c r="V91" s="7">
        <f t="shared" si="18"/>
        <v>0</v>
      </c>
      <c r="W91" s="2" t="str">
        <f t="shared" si="19"/>
        <v>OK</v>
      </c>
      <c r="X91" s="2" t="s">
        <v>26</v>
      </c>
      <c r="Y91" s="2" t="s">
        <v>27</v>
      </c>
      <c r="Z91" s="2" t="s">
        <v>28</v>
      </c>
      <c r="AA91" t="s">
        <v>245</v>
      </c>
      <c r="AB91" t="s">
        <v>245</v>
      </c>
      <c r="AC91" t="s">
        <v>245</v>
      </c>
    </row>
    <row r="92" spans="1:29" x14ac:dyDescent="0.2">
      <c r="A92" t="str">
        <f t="shared" si="13"/>
        <v>TRIP-TR-091</v>
      </c>
      <c r="B92" s="3">
        <v>45753</v>
      </c>
      <c r="C92" t="str">
        <f>IF(X92="CUSTOMER DELIVERY",_xlfn.XLOOKUP(D92,'[1]Jan Customer Duplicate Hyva'!$B:$B,'[1]Jan Customer Duplicate Hyva'!$A:$A,"NOT FOUND"),"")</f>
        <v>CUST-320</v>
      </c>
      <c r="D92" s="8" t="s">
        <v>58</v>
      </c>
      <c r="E92" s="2"/>
      <c r="F92" s="2"/>
      <c r="G92" s="2"/>
      <c r="H92" s="2"/>
      <c r="I92" s="2"/>
      <c r="J92" s="2"/>
      <c r="K92" s="2"/>
      <c r="L92" s="8" t="s">
        <v>38</v>
      </c>
      <c r="M92" s="9">
        <v>1</v>
      </c>
      <c r="N92" s="6">
        <v>4500</v>
      </c>
      <c r="O92" s="6">
        <f t="shared" si="14"/>
        <v>4500</v>
      </c>
      <c r="P92" s="6">
        <v>4000</v>
      </c>
      <c r="Q92" s="6">
        <f t="shared" si="15"/>
        <v>500</v>
      </c>
      <c r="R92" s="2" t="str">
        <f t="shared" si="20"/>
        <v>PARTIAL</v>
      </c>
      <c r="S92" s="2"/>
      <c r="T92" s="2">
        <f t="shared" si="16"/>
        <v>4500</v>
      </c>
      <c r="U92" s="2" t="str">
        <f t="shared" si="17"/>
        <v>OK</v>
      </c>
      <c r="V92" s="7">
        <f t="shared" si="18"/>
        <v>500</v>
      </c>
      <c r="W92" s="2" t="str">
        <f t="shared" si="19"/>
        <v>OK</v>
      </c>
      <c r="X92" s="2" t="s">
        <v>26</v>
      </c>
      <c r="Y92" s="2" t="s">
        <v>27</v>
      </c>
      <c r="Z92" s="2" t="s">
        <v>28</v>
      </c>
      <c r="AA92" t="s">
        <v>245</v>
      </c>
      <c r="AB92" t="s">
        <v>245</v>
      </c>
      <c r="AC92" t="s">
        <v>245</v>
      </c>
    </row>
    <row r="93" spans="1:29" x14ac:dyDescent="0.2">
      <c r="A93" t="str">
        <f t="shared" si="13"/>
        <v>TRIP-TR-092</v>
      </c>
      <c r="B93" s="3">
        <v>45754</v>
      </c>
      <c r="C93" t="str">
        <f>IF(X93="CUSTOMER DELIVERY",_xlfn.XLOOKUP(D93,'[1]Jan Customer Duplicate Hyva'!$B:$B,'[1]Jan Customer Duplicate Hyva'!$A:$A,"NOT FOUND"),"")</f>
        <v>CUST-228</v>
      </c>
      <c r="D93" s="8" t="s">
        <v>102</v>
      </c>
      <c r="E93" s="2"/>
      <c r="F93" s="2"/>
      <c r="G93" s="2"/>
      <c r="H93" s="2"/>
      <c r="I93" s="2"/>
      <c r="J93" s="2"/>
      <c r="K93" s="2"/>
      <c r="L93" s="8" t="s">
        <v>103</v>
      </c>
      <c r="M93" s="9">
        <v>1</v>
      </c>
      <c r="N93" s="6">
        <v>1500</v>
      </c>
      <c r="O93" s="6">
        <f t="shared" si="14"/>
        <v>1500</v>
      </c>
      <c r="P93" s="6">
        <v>1500</v>
      </c>
      <c r="Q93" s="6">
        <f t="shared" si="15"/>
        <v>0</v>
      </c>
      <c r="R93" s="2" t="str">
        <f t="shared" si="20"/>
        <v>PAID</v>
      </c>
      <c r="S93" s="2"/>
      <c r="T93" s="2">
        <f t="shared" si="16"/>
        <v>1500</v>
      </c>
      <c r="U93" s="2" t="str">
        <f t="shared" si="17"/>
        <v>OK</v>
      </c>
      <c r="V93" s="7">
        <f t="shared" si="18"/>
        <v>0</v>
      </c>
      <c r="W93" s="2" t="str">
        <f t="shared" si="19"/>
        <v>OK</v>
      </c>
      <c r="X93" s="2" t="s">
        <v>26</v>
      </c>
      <c r="Y93" s="2" t="s">
        <v>27</v>
      </c>
      <c r="Z93" s="2" t="s">
        <v>28</v>
      </c>
      <c r="AA93" t="s">
        <v>245</v>
      </c>
      <c r="AB93" t="s">
        <v>245</v>
      </c>
      <c r="AC93" t="s">
        <v>245</v>
      </c>
    </row>
    <row r="94" spans="1:29" x14ac:dyDescent="0.2">
      <c r="A94" t="str">
        <f t="shared" si="13"/>
        <v>TRIP-TR-093</v>
      </c>
      <c r="B94" s="3">
        <v>45754</v>
      </c>
      <c r="C94" t="str">
        <f>IF(X94="CUSTOMER DELIVERY",_xlfn.XLOOKUP(D94,'[1]Jan Customer Duplicate Hyva'!$B:$B,'[1]Jan Customer Duplicate Hyva'!$A:$A,"NOT FOUND"),"")</f>
        <v>CUST-064</v>
      </c>
      <c r="D94" s="4" t="s">
        <v>226</v>
      </c>
      <c r="E94" s="2"/>
      <c r="F94" s="2"/>
      <c r="G94" s="2"/>
      <c r="H94" s="2"/>
      <c r="I94" s="2"/>
      <c r="J94" s="2"/>
      <c r="K94" s="2"/>
      <c r="L94" s="4" t="s">
        <v>104</v>
      </c>
      <c r="M94" s="5">
        <v>1</v>
      </c>
      <c r="N94" s="6">
        <v>5000</v>
      </c>
      <c r="O94" s="6">
        <f t="shared" si="14"/>
        <v>5000</v>
      </c>
      <c r="P94" s="6">
        <v>5000</v>
      </c>
      <c r="Q94" s="6">
        <f t="shared" si="15"/>
        <v>0</v>
      </c>
      <c r="R94" s="2" t="str">
        <f t="shared" si="20"/>
        <v>PAID</v>
      </c>
      <c r="S94" s="2"/>
      <c r="T94" s="2">
        <f t="shared" si="16"/>
        <v>5000</v>
      </c>
      <c r="U94" s="2" t="str">
        <f t="shared" si="17"/>
        <v>OK</v>
      </c>
      <c r="V94" s="7">
        <f t="shared" si="18"/>
        <v>0</v>
      </c>
      <c r="W94" s="2" t="str">
        <f t="shared" si="19"/>
        <v>OK</v>
      </c>
      <c r="X94" s="2" t="s">
        <v>26</v>
      </c>
      <c r="Y94" s="2" t="s">
        <v>27</v>
      </c>
      <c r="Z94" s="2" t="s">
        <v>28</v>
      </c>
      <c r="AA94" t="s">
        <v>245</v>
      </c>
      <c r="AB94" t="s">
        <v>245</v>
      </c>
      <c r="AC94" t="s">
        <v>245</v>
      </c>
    </row>
    <row r="95" spans="1:29" x14ac:dyDescent="0.2">
      <c r="A95" t="str">
        <f t="shared" si="13"/>
        <v>TRIP-TR-094</v>
      </c>
      <c r="B95" s="3">
        <v>45754</v>
      </c>
      <c r="C95" t="str">
        <f>IF(X95="CUSTOMER DELIVERY",_xlfn.XLOOKUP(D95,'[1]Jan Customer Duplicate Hyva'!$B:$B,'[1]Jan Customer Duplicate Hyva'!$A:$A,"NOT FOUND"),"")</f>
        <v>CUST-102</v>
      </c>
      <c r="D95" s="10" t="s">
        <v>71</v>
      </c>
      <c r="E95" s="2"/>
      <c r="F95" s="2"/>
      <c r="G95" s="2"/>
      <c r="H95" s="2"/>
      <c r="I95" s="2"/>
      <c r="J95" s="2"/>
      <c r="K95" s="2"/>
      <c r="L95" s="4" t="s">
        <v>33</v>
      </c>
      <c r="M95" s="5">
        <v>3</v>
      </c>
      <c r="N95" s="6">
        <v>4000</v>
      </c>
      <c r="O95" s="6">
        <f t="shared" si="14"/>
        <v>12000</v>
      </c>
      <c r="P95" s="6">
        <v>12000</v>
      </c>
      <c r="Q95" s="6">
        <f t="shared" si="15"/>
        <v>0</v>
      </c>
      <c r="R95" s="2" t="str">
        <f t="shared" si="20"/>
        <v>PAID</v>
      </c>
      <c r="S95" s="2"/>
      <c r="T95" s="2">
        <f t="shared" si="16"/>
        <v>12000</v>
      </c>
      <c r="U95" s="2" t="str">
        <f t="shared" si="17"/>
        <v>OK</v>
      </c>
      <c r="V95" s="7">
        <f t="shared" si="18"/>
        <v>0</v>
      </c>
      <c r="W95" s="2" t="str">
        <f t="shared" si="19"/>
        <v>OK</v>
      </c>
      <c r="X95" s="2" t="s">
        <v>26</v>
      </c>
      <c r="Y95" s="2" t="s">
        <v>27</v>
      </c>
      <c r="Z95" s="2" t="s">
        <v>28</v>
      </c>
      <c r="AA95" t="s">
        <v>245</v>
      </c>
      <c r="AB95" t="s">
        <v>245</v>
      </c>
      <c r="AC95" t="s">
        <v>245</v>
      </c>
    </row>
    <row r="96" spans="1:29" x14ac:dyDescent="0.2">
      <c r="A96" t="str">
        <f t="shared" si="13"/>
        <v>TRIP-TR-095</v>
      </c>
      <c r="B96" s="3">
        <v>45755</v>
      </c>
      <c r="C96" t="str">
        <f>IF(X96="CUSTOMER DELIVERY",_xlfn.XLOOKUP(D96,'[1]Jan Customer Duplicate Hyva'!$B:$B,'[1]Jan Customer Duplicate Hyva'!$A:$A,"NOT FOUND"),"")</f>
        <v>CUST-316</v>
      </c>
      <c r="D96" s="4" t="s">
        <v>105</v>
      </c>
      <c r="E96" s="2"/>
      <c r="F96" s="2"/>
      <c r="G96" s="2"/>
      <c r="H96" s="2"/>
      <c r="I96" s="2"/>
      <c r="J96" s="2"/>
      <c r="K96" s="2"/>
      <c r="L96" s="4" t="s">
        <v>106</v>
      </c>
      <c r="M96" s="5">
        <v>2</v>
      </c>
      <c r="N96" s="6">
        <v>4000</v>
      </c>
      <c r="O96" s="6">
        <f t="shared" si="14"/>
        <v>8000</v>
      </c>
      <c r="P96" s="6">
        <v>8000</v>
      </c>
      <c r="Q96" s="6">
        <f t="shared" si="15"/>
        <v>0</v>
      </c>
      <c r="R96" s="2" t="str">
        <f t="shared" si="20"/>
        <v>PAID</v>
      </c>
      <c r="S96" s="2"/>
      <c r="T96" s="2">
        <f t="shared" si="16"/>
        <v>8000</v>
      </c>
      <c r="U96" s="2" t="str">
        <f t="shared" si="17"/>
        <v>OK</v>
      </c>
      <c r="V96" s="7">
        <f t="shared" si="18"/>
        <v>0</v>
      </c>
      <c r="W96" s="2" t="str">
        <f t="shared" si="19"/>
        <v>OK</v>
      </c>
      <c r="X96" s="2" t="s">
        <v>26</v>
      </c>
      <c r="Y96" s="2" t="s">
        <v>27</v>
      </c>
      <c r="Z96" s="2" t="s">
        <v>28</v>
      </c>
      <c r="AA96" t="s">
        <v>245</v>
      </c>
      <c r="AB96" t="s">
        <v>245</v>
      </c>
      <c r="AC96" t="s">
        <v>245</v>
      </c>
    </row>
    <row r="97" spans="1:29" x14ac:dyDescent="0.2">
      <c r="A97" t="str">
        <f t="shared" si="13"/>
        <v>TRIP-TR-096</v>
      </c>
      <c r="B97" s="3">
        <v>45756</v>
      </c>
      <c r="C97" t="str">
        <f>IF(X97="CUSTOMER DELIVERY",_xlfn.XLOOKUP(D97,'[1]Jan Customer Duplicate Hyva'!$B:$B,'[1]Jan Customer Duplicate Hyva'!$A:$A,"NOT FOUND"),"")</f>
        <v>CUST-342</v>
      </c>
      <c r="D97" s="4" t="s">
        <v>227</v>
      </c>
      <c r="E97" s="2"/>
      <c r="F97" s="2"/>
      <c r="G97" s="2"/>
      <c r="H97" s="2"/>
      <c r="I97" s="2"/>
      <c r="J97" s="2"/>
      <c r="K97" s="2"/>
      <c r="L97" s="4" t="s">
        <v>42</v>
      </c>
      <c r="M97" s="5">
        <v>1</v>
      </c>
      <c r="N97" s="6">
        <v>4000</v>
      </c>
      <c r="O97" s="6">
        <f t="shared" si="14"/>
        <v>4000</v>
      </c>
      <c r="P97" s="6">
        <v>4000</v>
      </c>
      <c r="Q97" s="6">
        <f t="shared" si="15"/>
        <v>0</v>
      </c>
      <c r="R97" s="2" t="str">
        <f t="shared" si="20"/>
        <v>PAID</v>
      </c>
      <c r="S97" s="2"/>
      <c r="T97" s="2">
        <f t="shared" si="16"/>
        <v>4000</v>
      </c>
      <c r="U97" s="2" t="str">
        <f t="shared" si="17"/>
        <v>OK</v>
      </c>
      <c r="V97" s="7">
        <f t="shared" si="18"/>
        <v>0</v>
      </c>
      <c r="W97" s="2" t="str">
        <f t="shared" si="19"/>
        <v>OK</v>
      </c>
      <c r="X97" s="2" t="s">
        <v>26</v>
      </c>
      <c r="Y97" s="2" t="s">
        <v>27</v>
      </c>
      <c r="Z97" s="2" t="s">
        <v>28</v>
      </c>
      <c r="AA97" t="s">
        <v>245</v>
      </c>
      <c r="AB97" t="s">
        <v>245</v>
      </c>
      <c r="AC97" t="s">
        <v>245</v>
      </c>
    </row>
    <row r="98" spans="1:29" x14ac:dyDescent="0.2">
      <c r="A98" t="str">
        <f t="shared" si="13"/>
        <v>TRIP-TR-097</v>
      </c>
      <c r="B98" s="3">
        <v>45757</v>
      </c>
      <c r="C98" t="str">
        <f>IF(X98="CUSTOMER DELIVERY",_xlfn.XLOOKUP(D98,'[1]Jan Customer Duplicate Hyva'!$B:$B,'[1]Jan Customer Duplicate Hyva'!$A:$A,"NOT FOUND"),"")</f>
        <v>CUST-088</v>
      </c>
      <c r="D98" s="4" t="s">
        <v>34</v>
      </c>
      <c r="E98" s="2"/>
      <c r="F98" s="2"/>
      <c r="G98" s="2"/>
      <c r="H98" s="2"/>
      <c r="I98" s="2"/>
      <c r="J98" s="2"/>
      <c r="K98" s="2"/>
      <c r="L98" s="4" t="s">
        <v>107</v>
      </c>
      <c r="M98" s="5">
        <v>5</v>
      </c>
      <c r="N98" s="6">
        <v>1000</v>
      </c>
      <c r="O98" s="6">
        <f t="shared" si="14"/>
        <v>5000</v>
      </c>
      <c r="P98" s="6">
        <v>5000</v>
      </c>
      <c r="Q98" s="6">
        <f t="shared" si="15"/>
        <v>0</v>
      </c>
      <c r="R98" s="2" t="str">
        <f t="shared" si="20"/>
        <v>PAID</v>
      </c>
      <c r="S98" s="2"/>
      <c r="T98" s="2">
        <f t="shared" si="16"/>
        <v>5000</v>
      </c>
      <c r="U98" s="2" t="str">
        <f t="shared" si="17"/>
        <v>OK</v>
      </c>
      <c r="V98" s="7">
        <f t="shared" si="18"/>
        <v>0</v>
      </c>
      <c r="W98" s="2" t="str">
        <f t="shared" si="19"/>
        <v>OK</v>
      </c>
      <c r="X98" s="2" t="s">
        <v>26</v>
      </c>
      <c r="Y98" s="2" t="s">
        <v>27</v>
      </c>
      <c r="Z98" s="2" t="s">
        <v>28</v>
      </c>
      <c r="AA98" t="s">
        <v>245</v>
      </c>
      <c r="AB98" t="s">
        <v>245</v>
      </c>
      <c r="AC98" t="s">
        <v>245</v>
      </c>
    </row>
    <row r="99" spans="1:29" x14ac:dyDescent="0.2">
      <c r="A99" t="str">
        <f t="shared" si="13"/>
        <v>TRIP-TR-098</v>
      </c>
      <c r="B99" s="3">
        <v>45758</v>
      </c>
      <c r="C99" t="str">
        <f>IF(X99="CUSTOMER DELIVERY",_xlfn.XLOOKUP(D99,'[1]Jan Customer Duplicate Hyva'!$B:$B,'[1]Jan Customer Duplicate Hyva'!$A:$A,"NOT FOUND"),"")</f>
        <v>CUST-253</v>
      </c>
      <c r="D99" s="4" t="s">
        <v>48</v>
      </c>
      <c r="E99" s="2"/>
      <c r="F99" s="2"/>
      <c r="G99" s="2"/>
      <c r="H99" s="2"/>
      <c r="I99" s="2"/>
      <c r="J99" s="2"/>
      <c r="K99" s="2"/>
      <c r="L99" s="4" t="s">
        <v>108</v>
      </c>
      <c r="M99" s="5">
        <v>1</v>
      </c>
      <c r="N99" s="6">
        <v>1300</v>
      </c>
      <c r="O99" s="6">
        <f t="shared" si="14"/>
        <v>1300</v>
      </c>
      <c r="P99" s="6">
        <v>1300</v>
      </c>
      <c r="Q99" s="6">
        <f t="shared" si="15"/>
        <v>0</v>
      </c>
      <c r="R99" s="2" t="str">
        <f t="shared" si="20"/>
        <v>PAID</v>
      </c>
      <c r="S99" s="2"/>
      <c r="T99" s="2">
        <f t="shared" si="16"/>
        <v>1300</v>
      </c>
      <c r="U99" s="2" t="str">
        <f t="shared" si="17"/>
        <v>OK</v>
      </c>
      <c r="V99" s="7">
        <f t="shared" si="18"/>
        <v>0</v>
      </c>
      <c r="W99" s="2" t="str">
        <f t="shared" si="19"/>
        <v>OK</v>
      </c>
      <c r="X99" s="2" t="s">
        <v>26</v>
      </c>
      <c r="Y99" s="2" t="s">
        <v>27</v>
      </c>
      <c r="Z99" s="2" t="s">
        <v>28</v>
      </c>
      <c r="AA99" t="s">
        <v>245</v>
      </c>
      <c r="AB99" t="s">
        <v>245</v>
      </c>
      <c r="AC99" t="s">
        <v>245</v>
      </c>
    </row>
    <row r="100" spans="1:29" x14ac:dyDescent="0.2">
      <c r="A100" t="str">
        <f t="shared" si="13"/>
        <v>TRIP-TR-099</v>
      </c>
      <c r="B100" s="3">
        <v>45758</v>
      </c>
      <c r="C100" t="str">
        <f>IF(X100="CUSTOMER DELIVERY",_xlfn.XLOOKUP(D100,'[1]Jan Customer Duplicate Hyva'!$B:$B,'[1]Jan Customer Duplicate Hyva'!$A:$A,"NOT FOUND"),"")</f>
        <v>CUST-017</v>
      </c>
      <c r="D100" s="8" t="s">
        <v>109</v>
      </c>
      <c r="E100" s="2"/>
      <c r="F100" s="2"/>
      <c r="G100" s="2"/>
      <c r="H100" s="2"/>
      <c r="I100" s="2"/>
      <c r="J100" s="2"/>
      <c r="K100" s="2"/>
      <c r="L100" s="8" t="s">
        <v>101</v>
      </c>
      <c r="M100" s="9">
        <v>2</v>
      </c>
      <c r="N100" s="6">
        <v>4750</v>
      </c>
      <c r="O100" s="6">
        <f t="shared" si="14"/>
        <v>9500</v>
      </c>
      <c r="P100" s="6">
        <v>9500</v>
      </c>
      <c r="Q100" s="6">
        <f t="shared" si="15"/>
        <v>0</v>
      </c>
      <c r="R100" s="2" t="str">
        <f t="shared" si="20"/>
        <v>PAID</v>
      </c>
      <c r="S100" s="2"/>
      <c r="T100" s="2">
        <f t="shared" si="16"/>
        <v>9500</v>
      </c>
      <c r="U100" s="2" t="str">
        <f t="shared" si="17"/>
        <v>OK</v>
      </c>
      <c r="V100" s="7">
        <f t="shared" si="18"/>
        <v>0</v>
      </c>
      <c r="W100" s="2" t="str">
        <f t="shared" si="19"/>
        <v>OK</v>
      </c>
      <c r="X100" s="2" t="s">
        <v>26</v>
      </c>
      <c r="Y100" s="2" t="s">
        <v>27</v>
      </c>
      <c r="Z100" s="2" t="s">
        <v>28</v>
      </c>
      <c r="AA100" t="s">
        <v>245</v>
      </c>
      <c r="AB100" t="s">
        <v>245</v>
      </c>
      <c r="AC100" t="s">
        <v>245</v>
      </c>
    </row>
    <row r="101" spans="1:29" x14ac:dyDescent="0.2">
      <c r="A101" t="str">
        <f t="shared" si="13"/>
        <v>TRIP-TR-100</v>
      </c>
      <c r="B101" s="3">
        <v>45759</v>
      </c>
      <c r="C101" t="str">
        <f>IF(X101="CUSTOMER DELIVERY",_xlfn.XLOOKUP(D101,'[1]Jan Customer Duplicate Hyva'!$B:$B,'[1]Jan Customer Duplicate Hyva'!$A:$A,"NOT FOUND"),"")</f>
        <v>CUST-031</v>
      </c>
      <c r="D101" s="8" t="s">
        <v>85</v>
      </c>
      <c r="E101" s="2"/>
      <c r="F101" s="2"/>
      <c r="G101" s="2"/>
      <c r="H101" s="2"/>
      <c r="I101" s="2"/>
      <c r="J101" s="2"/>
      <c r="K101" s="2"/>
      <c r="L101" s="8" t="s">
        <v>33</v>
      </c>
      <c r="M101" s="9">
        <v>1</v>
      </c>
      <c r="N101" s="6">
        <v>4000</v>
      </c>
      <c r="O101" s="6">
        <f t="shared" si="14"/>
        <v>4000</v>
      </c>
      <c r="P101" s="6">
        <v>4000</v>
      </c>
      <c r="Q101" s="6">
        <f t="shared" si="15"/>
        <v>0</v>
      </c>
      <c r="R101" s="2" t="str">
        <f t="shared" si="20"/>
        <v>PAID</v>
      </c>
      <c r="S101" s="2"/>
      <c r="T101" s="2">
        <f t="shared" si="16"/>
        <v>4000</v>
      </c>
      <c r="U101" s="2" t="str">
        <f t="shared" si="17"/>
        <v>OK</v>
      </c>
      <c r="V101" s="7">
        <f t="shared" si="18"/>
        <v>0</v>
      </c>
      <c r="W101" s="2" t="str">
        <f t="shared" si="19"/>
        <v>OK</v>
      </c>
      <c r="X101" s="2" t="s">
        <v>26</v>
      </c>
      <c r="Y101" s="2" t="s">
        <v>27</v>
      </c>
      <c r="Z101" s="2" t="s">
        <v>28</v>
      </c>
      <c r="AA101" t="s">
        <v>245</v>
      </c>
      <c r="AB101" t="s">
        <v>245</v>
      </c>
      <c r="AC101" t="s">
        <v>245</v>
      </c>
    </row>
    <row r="102" spans="1:29" x14ac:dyDescent="0.2">
      <c r="A102" t="str">
        <f t="shared" si="13"/>
        <v>TRIP-TR-101</v>
      </c>
      <c r="B102" s="3">
        <v>45760</v>
      </c>
      <c r="C102" t="str">
        <f>IF(X102="CUSTOMER DELIVERY",_xlfn.XLOOKUP(D102,'[1]Jan Customer Duplicate Hyva'!$B:$B,'[1]Jan Customer Duplicate Hyva'!$A:$A,"NOT FOUND"),"")</f>
        <v>CUST-133</v>
      </c>
      <c r="D102" s="8" t="s">
        <v>100</v>
      </c>
      <c r="E102" s="2"/>
      <c r="F102" s="2"/>
      <c r="G102" s="2"/>
      <c r="H102" s="2"/>
      <c r="I102" s="2"/>
      <c r="J102" s="2"/>
      <c r="K102" s="2"/>
      <c r="L102" s="8" t="s">
        <v>33</v>
      </c>
      <c r="M102" s="9">
        <v>1</v>
      </c>
      <c r="N102" s="6">
        <v>4000</v>
      </c>
      <c r="O102" s="6">
        <f t="shared" si="14"/>
        <v>4000</v>
      </c>
      <c r="P102" s="6">
        <v>4000</v>
      </c>
      <c r="Q102" s="6">
        <f t="shared" si="15"/>
        <v>0</v>
      </c>
      <c r="R102" s="2" t="str">
        <f t="shared" si="20"/>
        <v>PAID</v>
      </c>
      <c r="S102" s="2"/>
      <c r="T102" s="2">
        <f t="shared" si="16"/>
        <v>4000</v>
      </c>
      <c r="U102" s="2" t="str">
        <f t="shared" si="17"/>
        <v>OK</v>
      </c>
      <c r="V102" s="7">
        <f t="shared" si="18"/>
        <v>0</v>
      </c>
      <c r="W102" s="2" t="str">
        <f t="shared" si="19"/>
        <v>OK</v>
      </c>
      <c r="X102" s="2" t="s">
        <v>26</v>
      </c>
      <c r="Y102" s="2" t="s">
        <v>27</v>
      </c>
      <c r="Z102" s="2" t="s">
        <v>28</v>
      </c>
      <c r="AA102" t="s">
        <v>245</v>
      </c>
      <c r="AB102" t="s">
        <v>245</v>
      </c>
      <c r="AC102" t="s">
        <v>245</v>
      </c>
    </row>
    <row r="103" spans="1:29" x14ac:dyDescent="0.2">
      <c r="A103" t="str">
        <f t="shared" si="13"/>
        <v>TRIP-TR-102</v>
      </c>
      <c r="B103" s="3">
        <v>45761</v>
      </c>
      <c r="C103" t="str">
        <f>IF(X103="CUSTOMER DELIVERY",_xlfn.XLOOKUP(D103,'[1]Jan Customer Duplicate Hyva'!$B:$B,'[1]Jan Customer Duplicate Hyva'!$A:$A,"NOT FOUND"),"")</f>
        <v>CUST-176</v>
      </c>
      <c r="D103" s="8" t="s">
        <v>110</v>
      </c>
      <c r="E103" s="2"/>
      <c r="F103" s="2"/>
      <c r="G103" s="2"/>
      <c r="H103" s="2"/>
      <c r="I103" s="2"/>
      <c r="J103" s="2"/>
      <c r="K103" s="2"/>
      <c r="L103" s="8" t="s">
        <v>33</v>
      </c>
      <c r="M103" s="9">
        <v>1</v>
      </c>
      <c r="N103" s="6">
        <v>4000</v>
      </c>
      <c r="O103" s="6">
        <f t="shared" si="14"/>
        <v>4000</v>
      </c>
      <c r="P103" s="6">
        <v>4000</v>
      </c>
      <c r="Q103" s="6">
        <f t="shared" si="15"/>
        <v>0</v>
      </c>
      <c r="R103" s="2" t="str">
        <f t="shared" si="20"/>
        <v>PAID</v>
      </c>
      <c r="S103" s="2"/>
      <c r="T103" s="2">
        <f t="shared" si="16"/>
        <v>4000</v>
      </c>
      <c r="U103" s="2" t="str">
        <f t="shared" si="17"/>
        <v>OK</v>
      </c>
      <c r="V103" s="7">
        <f t="shared" si="18"/>
        <v>0</v>
      </c>
      <c r="W103" s="2" t="str">
        <f t="shared" si="19"/>
        <v>OK</v>
      </c>
      <c r="X103" s="2" t="s">
        <v>26</v>
      </c>
      <c r="Y103" s="2" t="s">
        <v>27</v>
      </c>
      <c r="Z103" s="2" t="s">
        <v>28</v>
      </c>
      <c r="AA103" t="s">
        <v>245</v>
      </c>
      <c r="AB103" t="s">
        <v>245</v>
      </c>
      <c r="AC103" t="s">
        <v>245</v>
      </c>
    </row>
    <row r="104" spans="1:29" x14ac:dyDescent="0.2">
      <c r="A104" t="str">
        <f t="shared" si="13"/>
        <v>TRIP-TR-103</v>
      </c>
      <c r="B104" s="3">
        <v>45762</v>
      </c>
      <c r="C104" t="str">
        <f>IF(X104="CUSTOMER DELIVERY",_xlfn.XLOOKUP(D104,'[1]Jan Customer Duplicate Hyva'!$B:$B,'[1]Jan Customer Duplicate Hyva'!$A:$A,"NOT FOUND"),"")</f>
        <v>CUST-377</v>
      </c>
      <c r="D104" s="8" t="s">
        <v>111</v>
      </c>
      <c r="E104" s="2"/>
      <c r="F104" s="2"/>
      <c r="G104" s="2"/>
      <c r="H104" s="2"/>
      <c r="I104" s="2"/>
      <c r="J104" s="2"/>
      <c r="K104" s="2"/>
      <c r="L104" s="8" t="s">
        <v>106</v>
      </c>
      <c r="M104" s="9">
        <v>2</v>
      </c>
      <c r="N104" s="6">
        <v>4750</v>
      </c>
      <c r="O104" s="6">
        <f t="shared" si="14"/>
        <v>9500</v>
      </c>
      <c r="P104" s="6">
        <v>9500</v>
      </c>
      <c r="Q104" s="6">
        <f t="shared" si="15"/>
        <v>0</v>
      </c>
      <c r="R104" s="2" t="str">
        <f t="shared" si="20"/>
        <v>PAID</v>
      </c>
      <c r="S104" s="2"/>
      <c r="T104" s="2">
        <f t="shared" si="16"/>
        <v>9500</v>
      </c>
      <c r="U104" s="2" t="str">
        <f t="shared" si="17"/>
        <v>OK</v>
      </c>
      <c r="V104" s="7">
        <f t="shared" si="18"/>
        <v>0</v>
      </c>
      <c r="W104" s="2" t="str">
        <f t="shared" si="19"/>
        <v>OK</v>
      </c>
      <c r="X104" s="2" t="s">
        <v>26</v>
      </c>
      <c r="Y104" s="2" t="s">
        <v>27</v>
      </c>
      <c r="Z104" s="2" t="s">
        <v>28</v>
      </c>
      <c r="AA104" t="s">
        <v>245</v>
      </c>
      <c r="AB104" t="s">
        <v>245</v>
      </c>
      <c r="AC104" t="s">
        <v>245</v>
      </c>
    </row>
    <row r="105" spans="1:29" x14ac:dyDescent="0.2">
      <c r="A105" t="str">
        <f t="shared" si="13"/>
        <v>TRIP-TR-104</v>
      </c>
      <c r="B105" s="3">
        <v>45763</v>
      </c>
      <c r="C105" t="str">
        <f>IF(X105="CUSTOMER DELIVERY",_xlfn.XLOOKUP(D105,'[1]Jan Customer Duplicate Hyva'!$B:$B,'[1]Jan Customer Duplicate Hyva'!$A:$A,"NOT FOUND"),"")</f>
        <v>CUST-385</v>
      </c>
      <c r="D105" s="8" t="s">
        <v>112</v>
      </c>
      <c r="E105" s="2"/>
      <c r="F105" s="2"/>
      <c r="G105" s="2"/>
      <c r="H105" s="2"/>
      <c r="I105" s="2"/>
      <c r="J105" s="2"/>
      <c r="K105" s="2"/>
      <c r="L105" s="8" t="s">
        <v>113</v>
      </c>
      <c r="M105" s="9">
        <v>2</v>
      </c>
      <c r="N105" s="6">
        <v>5000</v>
      </c>
      <c r="O105" s="6">
        <f t="shared" si="14"/>
        <v>10000</v>
      </c>
      <c r="P105" s="6">
        <v>10000</v>
      </c>
      <c r="Q105" s="6">
        <f t="shared" si="15"/>
        <v>0</v>
      </c>
      <c r="R105" s="2" t="str">
        <f t="shared" si="20"/>
        <v>PAID</v>
      </c>
      <c r="S105" s="2"/>
      <c r="T105" s="2">
        <f t="shared" si="16"/>
        <v>10000</v>
      </c>
      <c r="U105" s="2" t="str">
        <f t="shared" si="17"/>
        <v>OK</v>
      </c>
      <c r="V105" s="7">
        <f t="shared" si="18"/>
        <v>0</v>
      </c>
      <c r="W105" s="2" t="str">
        <f t="shared" si="19"/>
        <v>OK</v>
      </c>
      <c r="X105" s="2" t="s">
        <v>26</v>
      </c>
      <c r="Y105" s="2" t="s">
        <v>27</v>
      </c>
      <c r="Z105" s="2" t="s">
        <v>28</v>
      </c>
      <c r="AA105" t="s">
        <v>245</v>
      </c>
      <c r="AB105" t="s">
        <v>245</v>
      </c>
      <c r="AC105" t="s">
        <v>245</v>
      </c>
    </row>
    <row r="106" spans="1:29" x14ac:dyDescent="0.2">
      <c r="A106" t="str">
        <f t="shared" si="13"/>
        <v>TRIP-TR-105</v>
      </c>
      <c r="B106" s="3">
        <v>45763</v>
      </c>
      <c r="C106" t="str">
        <f>IF(X106="CUSTOMER DELIVERY",_xlfn.XLOOKUP(D106,'[1]Jan Customer Duplicate Hyva'!$B:$B,'[1]Jan Customer Duplicate Hyva'!$A:$A,"NOT FOUND"),"")</f>
        <v>CUST-031</v>
      </c>
      <c r="D106" s="8" t="s">
        <v>85</v>
      </c>
      <c r="E106" s="2"/>
      <c r="F106" s="2"/>
      <c r="G106" s="2"/>
      <c r="H106" s="2"/>
      <c r="I106" s="2"/>
      <c r="J106" s="2"/>
      <c r="K106" s="2"/>
      <c r="L106" s="8" t="s">
        <v>33</v>
      </c>
      <c r="M106" s="9">
        <v>1</v>
      </c>
      <c r="N106" s="6">
        <v>4000</v>
      </c>
      <c r="O106" s="6">
        <f t="shared" si="14"/>
        <v>4000</v>
      </c>
      <c r="P106" s="6">
        <v>4000</v>
      </c>
      <c r="Q106" s="6">
        <f t="shared" si="15"/>
        <v>0</v>
      </c>
      <c r="R106" s="2" t="str">
        <f t="shared" si="20"/>
        <v>PAID</v>
      </c>
      <c r="S106" s="2"/>
      <c r="T106" s="2">
        <f t="shared" si="16"/>
        <v>4000</v>
      </c>
      <c r="U106" s="2" t="str">
        <f t="shared" si="17"/>
        <v>OK</v>
      </c>
      <c r="V106" s="7">
        <f t="shared" si="18"/>
        <v>0</v>
      </c>
      <c r="W106" s="2" t="str">
        <f t="shared" si="19"/>
        <v>OK</v>
      </c>
      <c r="X106" s="2" t="s">
        <v>26</v>
      </c>
      <c r="Y106" s="2" t="s">
        <v>27</v>
      </c>
      <c r="Z106" s="2" t="s">
        <v>28</v>
      </c>
      <c r="AA106" t="s">
        <v>245</v>
      </c>
      <c r="AB106" t="s">
        <v>245</v>
      </c>
      <c r="AC106" t="s">
        <v>245</v>
      </c>
    </row>
    <row r="107" spans="1:29" x14ac:dyDescent="0.2">
      <c r="A107" t="str">
        <f t="shared" si="13"/>
        <v>TRIP-TR-106</v>
      </c>
      <c r="B107" s="3">
        <v>45764</v>
      </c>
      <c r="C107" t="str">
        <f>IF(X107="CUSTOMER DELIVERY",_xlfn.XLOOKUP(D107,'[1]Jan Customer Duplicate Hyva'!$B:$B,'[1]Jan Customer Duplicate Hyva'!$A:$A,"NOT FOUND"),"")</f>
        <v>CUST-088</v>
      </c>
      <c r="D107" s="4" t="s">
        <v>34</v>
      </c>
      <c r="E107" s="2"/>
      <c r="F107" s="2"/>
      <c r="G107" s="2"/>
      <c r="H107" s="2"/>
      <c r="I107" s="2"/>
      <c r="J107" s="2"/>
      <c r="K107" s="2"/>
      <c r="L107" s="8" t="s">
        <v>107</v>
      </c>
      <c r="M107" s="9">
        <v>5</v>
      </c>
      <c r="N107" s="6">
        <v>1000</v>
      </c>
      <c r="O107" s="6">
        <f t="shared" si="14"/>
        <v>5000</v>
      </c>
      <c r="P107" s="6">
        <v>5000</v>
      </c>
      <c r="Q107" s="6">
        <f t="shared" si="15"/>
        <v>0</v>
      </c>
      <c r="R107" s="2" t="str">
        <f t="shared" si="20"/>
        <v>PAID</v>
      </c>
      <c r="S107" s="2"/>
      <c r="T107" s="2">
        <f t="shared" si="16"/>
        <v>5000</v>
      </c>
      <c r="U107" s="2" t="str">
        <f t="shared" si="17"/>
        <v>OK</v>
      </c>
      <c r="V107" s="7">
        <f t="shared" si="18"/>
        <v>0</v>
      </c>
      <c r="W107" s="2" t="str">
        <f t="shared" si="19"/>
        <v>OK</v>
      </c>
      <c r="X107" s="2" t="s">
        <v>26</v>
      </c>
      <c r="Y107" s="2" t="s">
        <v>27</v>
      </c>
      <c r="Z107" s="2" t="s">
        <v>28</v>
      </c>
      <c r="AA107" t="s">
        <v>245</v>
      </c>
      <c r="AB107" t="s">
        <v>245</v>
      </c>
      <c r="AC107" t="s">
        <v>245</v>
      </c>
    </row>
    <row r="108" spans="1:29" x14ac:dyDescent="0.2">
      <c r="A108" t="str">
        <f t="shared" si="13"/>
        <v>TRIP-TR-107</v>
      </c>
      <c r="B108" s="3">
        <v>45765</v>
      </c>
      <c r="C108" t="str">
        <f>IF(X108="CUSTOMER DELIVERY",_xlfn.XLOOKUP(D108,'[1]Jan Customer Duplicate Hyva'!$B:$B,'[1]Jan Customer Duplicate Hyva'!$A:$A,"NOT FOUND"),"")</f>
        <v>CUST-145</v>
      </c>
      <c r="D108" s="8" t="s">
        <v>114</v>
      </c>
      <c r="E108" s="2"/>
      <c r="F108" s="2"/>
      <c r="G108" s="2"/>
      <c r="H108" s="2"/>
      <c r="I108" s="2"/>
      <c r="J108" s="2"/>
      <c r="K108" s="2"/>
      <c r="L108" s="8" t="s">
        <v>115</v>
      </c>
      <c r="M108" s="9">
        <v>1</v>
      </c>
      <c r="N108" s="6">
        <v>4000</v>
      </c>
      <c r="O108" s="6">
        <f t="shared" si="14"/>
        <v>4000</v>
      </c>
      <c r="P108" s="6">
        <v>4000</v>
      </c>
      <c r="Q108" s="6">
        <f t="shared" si="15"/>
        <v>0</v>
      </c>
      <c r="R108" s="2" t="str">
        <f t="shared" si="20"/>
        <v>PAID</v>
      </c>
      <c r="S108" s="2"/>
      <c r="T108" s="2">
        <f t="shared" si="16"/>
        <v>4000</v>
      </c>
      <c r="U108" s="2" t="str">
        <f t="shared" si="17"/>
        <v>OK</v>
      </c>
      <c r="V108" s="7">
        <f t="shared" si="18"/>
        <v>0</v>
      </c>
      <c r="W108" s="2" t="str">
        <f t="shared" si="19"/>
        <v>OK</v>
      </c>
      <c r="X108" s="2" t="s">
        <v>26</v>
      </c>
      <c r="Y108" s="2" t="s">
        <v>27</v>
      </c>
      <c r="Z108" s="2" t="s">
        <v>28</v>
      </c>
      <c r="AA108" t="s">
        <v>245</v>
      </c>
      <c r="AB108" t="s">
        <v>245</v>
      </c>
      <c r="AC108" t="s">
        <v>245</v>
      </c>
    </row>
    <row r="109" spans="1:29" x14ac:dyDescent="0.2">
      <c r="A109" t="str">
        <f t="shared" si="13"/>
        <v>TRIP-TR-108</v>
      </c>
      <c r="B109" s="3">
        <v>45766</v>
      </c>
      <c r="C109" t="str">
        <f>IF(X109="CUSTOMER DELIVERY",_xlfn.XLOOKUP(D109,'[1]Jan Customer Duplicate Hyva'!$B:$B,'[1]Jan Customer Duplicate Hyva'!$A:$A,"NOT FOUND"),"")</f>
        <v>CUST-385</v>
      </c>
      <c r="D109" s="8" t="s">
        <v>112</v>
      </c>
      <c r="E109" s="2"/>
      <c r="F109" s="2"/>
      <c r="G109" s="2"/>
      <c r="H109" s="2"/>
      <c r="I109" s="2"/>
      <c r="J109" s="2"/>
      <c r="K109" s="2"/>
      <c r="L109" s="8" t="s">
        <v>113</v>
      </c>
      <c r="M109" s="9">
        <v>1</v>
      </c>
      <c r="N109" s="6">
        <v>5000</v>
      </c>
      <c r="O109" s="6">
        <f t="shared" si="14"/>
        <v>5000</v>
      </c>
      <c r="P109" s="6">
        <v>5000</v>
      </c>
      <c r="Q109" s="6">
        <f t="shared" si="15"/>
        <v>0</v>
      </c>
      <c r="R109" s="2" t="str">
        <f t="shared" si="20"/>
        <v>PAID</v>
      </c>
      <c r="S109" s="2"/>
      <c r="T109" s="2">
        <f t="shared" si="16"/>
        <v>5000</v>
      </c>
      <c r="U109" s="2" t="str">
        <f t="shared" si="17"/>
        <v>OK</v>
      </c>
      <c r="V109" s="7">
        <f t="shared" si="18"/>
        <v>0</v>
      </c>
      <c r="W109" s="2" t="str">
        <f t="shared" si="19"/>
        <v>OK</v>
      </c>
      <c r="X109" s="2" t="s">
        <v>26</v>
      </c>
      <c r="Y109" s="2" t="s">
        <v>27</v>
      </c>
      <c r="Z109" s="2" t="s">
        <v>28</v>
      </c>
      <c r="AA109" t="s">
        <v>245</v>
      </c>
      <c r="AB109" t="s">
        <v>245</v>
      </c>
      <c r="AC109" t="s">
        <v>245</v>
      </c>
    </row>
    <row r="110" spans="1:29" x14ac:dyDescent="0.2">
      <c r="A110" t="str">
        <f t="shared" si="13"/>
        <v>TRIP-TR-109</v>
      </c>
      <c r="B110" s="3">
        <v>45767</v>
      </c>
      <c r="C110" t="str">
        <f>IF(X110="CUSTOMER DELIVERY",_xlfn.XLOOKUP(D110,'[1]Jan Customer Duplicate Hyva'!$B:$B,'[1]Jan Customer Duplicate Hyva'!$A:$A,"NOT FOUND"),"")</f>
        <v>CUST-031</v>
      </c>
      <c r="D110" s="8" t="s">
        <v>85</v>
      </c>
      <c r="E110" s="2"/>
      <c r="F110" s="2"/>
      <c r="G110" s="2"/>
      <c r="H110" s="2"/>
      <c r="I110" s="2"/>
      <c r="J110" s="2"/>
      <c r="K110" s="2"/>
      <c r="L110" s="8" t="s">
        <v>33</v>
      </c>
      <c r="M110" s="9">
        <v>1</v>
      </c>
      <c r="N110" s="6">
        <v>4000</v>
      </c>
      <c r="O110" s="6">
        <f t="shared" si="14"/>
        <v>4000</v>
      </c>
      <c r="P110" s="6">
        <v>0</v>
      </c>
      <c r="Q110" s="6">
        <f t="shared" si="15"/>
        <v>4000</v>
      </c>
      <c r="R110" s="2" t="str">
        <f t="shared" si="20"/>
        <v>UNPAID</v>
      </c>
      <c r="S110" s="2"/>
      <c r="T110" s="2">
        <f t="shared" si="16"/>
        <v>4000</v>
      </c>
      <c r="U110" s="2" t="str">
        <f t="shared" si="17"/>
        <v>OK</v>
      </c>
      <c r="V110" s="7">
        <f t="shared" si="18"/>
        <v>4000</v>
      </c>
      <c r="W110" s="2" t="str">
        <f t="shared" si="19"/>
        <v>OK</v>
      </c>
      <c r="X110" s="2" t="s">
        <v>26</v>
      </c>
      <c r="Y110" s="2" t="s">
        <v>27</v>
      </c>
      <c r="Z110" s="2" t="s">
        <v>28</v>
      </c>
      <c r="AA110" t="s">
        <v>245</v>
      </c>
      <c r="AB110" t="s">
        <v>245</v>
      </c>
      <c r="AC110" t="s">
        <v>245</v>
      </c>
    </row>
    <row r="111" spans="1:29" x14ac:dyDescent="0.2">
      <c r="A111" t="str">
        <f t="shared" si="13"/>
        <v>TRIP-TR-110</v>
      </c>
      <c r="B111" s="3">
        <v>45767</v>
      </c>
      <c r="C111" t="str">
        <f>IF(X111="CUSTOMER DELIVERY",_xlfn.XLOOKUP(D111,'[1]Jan Customer Duplicate Hyva'!$B:$B,'[1]Jan Customer Duplicate Hyva'!$A:$A,"NOT FOUND"),"")</f>
        <v>CUST-082</v>
      </c>
      <c r="D111" s="8" t="s">
        <v>237</v>
      </c>
      <c r="E111" s="2"/>
      <c r="F111" s="2"/>
      <c r="G111" s="2"/>
      <c r="H111" s="2"/>
      <c r="I111" s="2"/>
      <c r="J111" s="2"/>
      <c r="K111" s="2"/>
      <c r="L111" s="8" t="s">
        <v>116</v>
      </c>
      <c r="M111" s="9">
        <v>1</v>
      </c>
      <c r="N111" s="6">
        <v>4000</v>
      </c>
      <c r="O111" s="6">
        <f t="shared" si="14"/>
        <v>4000</v>
      </c>
      <c r="P111" s="6">
        <v>4000</v>
      </c>
      <c r="Q111" s="6">
        <f t="shared" si="15"/>
        <v>0</v>
      </c>
      <c r="R111" s="2" t="str">
        <f t="shared" si="20"/>
        <v>PAID</v>
      </c>
      <c r="S111" s="2"/>
      <c r="T111" s="2">
        <f t="shared" si="16"/>
        <v>4000</v>
      </c>
      <c r="U111" s="2" t="str">
        <f t="shared" si="17"/>
        <v>OK</v>
      </c>
      <c r="V111" s="7">
        <f t="shared" si="18"/>
        <v>0</v>
      </c>
      <c r="W111" s="2" t="str">
        <f t="shared" si="19"/>
        <v>OK</v>
      </c>
      <c r="X111" s="2" t="s">
        <v>26</v>
      </c>
      <c r="Y111" s="2" t="s">
        <v>27</v>
      </c>
      <c r="Z111" s="2" t="s">
        <v>28</v>
      </c>
      <c r="AA111" t="s">
        <v>245</v>
      </c>
      <c r="AB111" t="s">
        <v>245</v>
      </c>
      <c r="AC111" t="s">
        <v>245</v>
      </c>
    </row>
    <row r="112" spans="1:29" x14ac:dyDescent="0.2">
      <c r="A112" t="str">
        <f t="shared" si="13"/>
        <v>TRIP-TR-111</v>
      </c>
      <c r="B112" s="3">
        <v>45768</v>
      </c>
      <c r="C112" t="str">
        <f>IF(X112="CUSTOMER DELIVERY",_xlfn.XLOOKUP(D112,'[1]Jan Customer Duplicate Hyva'!$B:$B,'[1]Jan Customer Duplicate Hyva'!$A:$A,"NOT FOUND"),"")</f>
        <v>CUST-107</v>
      </c>
      <c r="D112" s="10" t="s">
        <v>65</v>
      </c>
      <c r="E112" s="2"/>
      <c r="F112" s="2"/>
      <c r="G112" s="2"/>
      <c r="H112" s="2"/>
      <c r="I112" s="2"/>
      <c r="J112" s="2"/>
      <c r="K112" s="2"/>
      <c r="L112" s="8" t="s">
        <v>101</v>
      </c>
      <c r="M112" s="9">
        <v>4</v>
      </c>
      <c r="N112" s="6">
        <v>4000</v>
      </c>
      <c r="O112" s="6">
        <f t="shared" si="14"/>
        <v>16000</v>
      </c>
      <c r="P112" s="6">
        <v>16000</v>
      </c>
      <c r="Q112" s="6">
        <f t="shared" si="15"/>
        <v>0</v>
      </c>
      <c r="R112" s="2" t="str">
        <f t="shared" si="20"/>
        <v>PAID</v>
      </c>
      <c r="S112" s="2"/>
      <c r="T112" s="2">
        <f t="shared" si="16"/>
        <v>16000</v>
      </c>
      <c r="U112" s="2" t="str">
        <f t="shared" si="17"/>
        <v>OK</v>
      </c>
      <c r="V112" s="7">
        <f t="shared" si="18"/>
        <v>0</v>
      </c>
      <c r="W112" s="2" t="str">
        <f t="shared" si="19"/>
        <v>OK</v>
      </c>
      <c r="X112" s="2" t="s">
        <v>26</v>
      </c>
      <c r="Y112" s="2" t="s">
        <v>27</v>
      </c>
      <c r="Z112" s="2" t="s">
        <v>28</v>
      </c>
      <c r="AA112" t="s">
        <v>245</v>
      </c>
      <c r="AB112" t="s">
        <v>245</v>
      </c>
      <c r="AC112" t="s">
        <v>245</v>
      </c>
    </row>
    <row r="113" spans="1:29" x14ac:dyDescent="0.2">
      <c r="A113" t="str">
        <f t="shared" si="13"/>
        <v>TRIP-TR-112</v>
      </c>
      <c r="B113" s="3">
        <v>45769</v>
      </c>
      <c r="C113" t="str">
        <f>IF(X113="CUSTOMER DELIVERY",_xlfn.XLOOKUP(D113,'[1]Jan Customer Duplicate Hyva'!$B:$B,'[1]Jan Customer Duplicate Hyva'!$A:$A,"NOT FOUND"),"")</f>
        <v>CUST-192</v>
      </c>
      <c r="D113" s="8" t="s">
        <v>117</v>
      </c>
      <c r="E113" s="2"/>
      <c r="F113" s="2"/>
      <c r="G113" s="2"/>
      <c r="H113" s="2"/>
      <c r="I113" s="2"/>
      <c r="J113" s="2"/>
      <c r="K113" s="2"/>
      <c r="L113" s="8" t="s">
        <v>118</v>
      </c>
      <c r="M113" s="9">
        <v>1</v>
      </c>
      <c r="N113" s="6">
        <v>4000</v>
      </c>
      <c r="O113" s="6">
        <f t="shared" si="14"/>
        <v>4000</v>
      </c>
      <c r="P113" s="6">
        <v>4000</v>
      </c>
      <c r="Q113" s="6">
        <f t="shared" si="15"/>
        <v>0</v>
      </c>
      <c r="R113" s="2" t="str">
        <f t="shared" si="20"/>
        <v>PAID</v>
      </c>
      <c r="S113" s="2"/>
      <c r="T113" s="2">
        <f t="shared" si="16"/>
        <v>4000</v>
      </c>
      <c r="U113" s="2" t="str">
        <f t="shared" si="17"/>
        <v>OK</v>
      </c>
      <c r="V113" s="7">
        <f t="shared" si="18"/>
        <v>0</v>
      </c>
      <c r="W113" s="2" t="str">
        <f t="shared" si="19"/>
        <v>OK</v>
      </c>
      <c r="X113" s="2" t="s">
        <v>26</v>
      </c>
      <c r="Y113" s="2" t="s">
        <v>27</v>
      </c>
      <c r="Z113" s="2" t="s">
        <v>28</v>
      </c>
      <c r="AA113" t="s">
        <v>245</v>
      </c>
      <c r="AB113" t="s">
        <v>245</v>
      </c>
      <c r="AC113" t="s">
        <v>245</v>
      </c>
    </row>
    <row r="114" spans="1:29" x14ac:dyDescent="0.2">
      <c r="A114" t="str">
        <f t="shared" si="13"/>
        <v>TRIP-TR-113</v>
      </c>
      <c r="B114" s="3">
        <v>45769</v>
      </c>
      <c r="C114" t="str">
        <f>IF(X114="CUSTOMER DELIVERY",_xlfn.XLOOKUP(D114,'[1]Jan Customer Duplicate Hyva'!$B:$B,'[1]Jan Customer Duplicate Hyva'!$A:$A,"NOT FOUND"),"")</f>
        <v>CUST-265</v>
      </c>
      <c r="D114" s="8" t="s">
        <v>119</v>
      </c>
      <c r="E114" s="2"/>
      <c r="F114" s="2"/>
      <c r="G114" s="2"/>
      <c r="H114" s="2"/>
      <c r="I114" s="2"/>
      <c r="J114" s="2"/>
      <c r="K114" s="2"/>
      <c r="L114" s="8" t="s">
        <v>120</v>
      </c>
      <c r="M114" s="9">
        <v>5</v>
      </c>
      <c r="N114" s="6">
        <v>6000</v>
      </c>
      <c r="O114" s="6">
        <f t="shared" si="14"/>
        <v>30000</v>
      </c>
      <c r="P114" s="6">
        <v>30000</v>
      </c>
      <c r="Q114" s="6">
        <f t="shared" si="15"/>
        <v>0</v>
      </c>
      <c r="R114" s="2" t="str">
        <f t="shared" si="20"/>
        <v>PAID</v>
      </c>
      <c r="S114" s="2"/>
      <c r="T114" s="2">
        <f t="shared" si="16"/>
        <v>30000</v>
      </c>
      <c r="U114" s="2" t="str">
        <f t="shared" si="17"/>
        <v>OK</v>
      </c>
      <c r="V114" s="7">
        <f t="shared" si="18"/>
        <v>0</v>
      </c>
      <c r="W114" s="2" t="str">
        <f t="shared" si="19"/>
        <v>OK</v>
      </c>
      <c r="X114" s="2" t="s">
        <v>26</v>
      </c>
      <c r="Y114" s="2" t="s">
        <v>27</v>
      </c>
      <c r="Z114" s="2" t="s">
        <v>28</v>
      </c>
      <c r="AA114" t="s">
        <v>245</v>
      </c>
      <c r="AB114" t="s">
        <v>245</v>
      </c>
      <c r="AC114" t="s">
        <v>245</v>
      </c>
    </row>
    <row r="115" spans="1:29" x14ac:dyDescent="0.2">
      <c r="A115" t="str">
        <f t="shared" si="13"/>
        <v>TRIP-TR-114</v>
      </c>
      <c r="B115" s="3">
        <v>45769</v>
      </c>
      <c r="C115" t="str">
        <f>IF(X115="CUSTOMER DELIVERY",_xlfn.XLOOKUP(D115,'[1]Jan Customer Duplicate Hyva'!$B:$B,'[1]Jan Customer Duplicate Hyva'!$A:$A,"NOT FOUND"),"")</f>
        <v>CUST-343</v>
      </c>
      <c r="D115" s="4" t="s">
        <v>220</v>
      </c>
      <c r="E115" s="2"/>
      <c r="F115" s="2"/>
      <c r="G115" s="2"/>
      <c r="H115" s="2"/>
      <c r="I115" s="2"/>
      <c r="J115" s="2"/>
      <c r="K115" s="2"/>
      <c r="L115" s="8" t="s">
        <v>38</v>
      </c>
      <c r="M115" s="9">
        <v>1</v>
      </c>
      <c r="N115" s="6">
        <v>4000</v>
      </c>
      <c r="O115" s="6">
        <f t="shared" si="14"/>
        <v>4000</v>
      </c>
      <c r="P115" s="6">
        <v>4000</v>
      </c>
      <c r="Q115" s="6">
        <f t="shared" si="15"/>
        <v>0</v>
      </c>
      <c r="R115" s="2" t="str">
        <f t="shared" si="20"/>
        <v>PAID</v>
      </c>
      <c r="S115" s="2"/>
      <c r="T115" s="2">
        <f t="shared" si="16"/>
        <v>4000</v>
      </c>
      <c r="U115" s="2" t="str">
        <f t="shared" si="17"/>
        <v>OK</v>
      </c>
      <c r="V115" s="7">
        <f t="shared" si="18"/>
        <v>0</v>
      </c>
      <c r="W115" s="2" t="str">
        <f t="shared" si="19"/>
        <v>OK</v>
      </c>
      <c r="X115" s="2" t="s">
        <v>26</v>
      </c>
      <c r="Y115" s="2" t="s">
        <v>27</v>
      </c>
      <c r="Z115" s="2" t="s">
        <v>28</v>
      </c>
      <c r="AA115" t="s">
        <v>245</v>
      </c>
      <c r="AB115" t="s">
        <v>245</v>
      </c>
      <c r="AC115" t="s">
        <v>245</v>
      </c>
    </row>
    <row r="116" spans="1:29" x14ac:dyDescent="0.2">
      <c r="A116" t="str">
        <f t="shared" si="13"/>
        <v>TRIP-TR-115</v>
      </c>
      <c r="B116" s="3">
        <v>45770</v>
      </c>
      <c r="C116" t="str">
        <f>IF(X116="CUSTOMER DELIVERY",_xlfn.XLOOKUP(D116,'[1]Jan Customer Duplicate Hyva'!$B:$B,'[1]Jan Customer Duplicate Hyva'!$A:$A,"NOT FOUND"),"")</f>
        <v>CUST-007</v>
      </c>
      <c r="D116" s="8" t="s">
        <v>121</v>
      </c>
      <c r="E116" s="2"/>
      <c r="F116" s="2"/>
      <c r="G116" s="2"/>
      <c r="H116" s="2"/>
      <c r="I116" s="2"/>
      <c r="J116" s="2"/>
      <c r="K116" s="2"/>
      <c r="L116" s="8" t="s">
        <v>122</v>
      </c>
      <c r="M116" s="9">
        <v>1</v>
      </c>
      <c r="N116" s="6">
        <v>5500</v>
      </c>
      <c r="O116" s="6">
        <f t="shared" si="14"/>
        <v>5500</v>
      </c>
      <c r="P116" s="6">
        <v>5500</v>
      </c>
      <c r="Q116" s="6">
        <f t="shared" si="15"/>
        <v>0</v>
      </c>
      <c r="R116" s="2" t="str">
        <f t="shared" si="20"/>
        <v>PAID</v>
      </c>
      <c r="S116" s="2"/>
      <c r="T116" s="2">
        <f t="shared" si="16"/>
        <v>5500</v>
      </c>
      <c r="U116" s="2" t="str">
        <f t="shared" si="17"/>
        <v>OK</v>
      </c>
      <c r="V116" s="7">
        <f t="shared" si="18"/>
        <v>0</v>
      </c>
      <c r="W116" s="2" t="str">
        <f t="shared" si="19"/>
        <v>OK</v>
      </c>
      <c r="X116" s="2" t="s">
        <v>26</v>
      </c>
      <c r="Y116" s="2" t="s">
        <v>27</v>
      </c>
      <c r="Z116" s="2" t="s">
        <v>28</v>
      </c>
      <c r="AA116" t="s">
        <v>245</v>
      </c>
      <c r="AB116" t="s">
        <v>245</v>
      </c>
      <c r="AC116" t="s">
        <v>245</v>
      </c>
    </row>
    <row r="117" spans="1:29" x14ac:dyDescent="0.2">
      <c r="A117" t="str">
        <f t="shared" si="13"/>
        <v>TRIP-TR-116</v>
      </c>
      <c r="B117" s="3">
        <v>45771</v>
      </c>
      <c r="C117" t="str">
        <f>IF(X117="CUSTOMER DELIVERY",_xlfn.XLOOKUP(D117,'[1]Jan Customer Duplicate Hyva'!$B:$B,'[1]Jan Customer Duplicate Hyva'!$A:$A,"NOT FOUND"),"")</f>
        <v>CUST-021</v>
      </c>
      <c r="D117" s="8" t="s">
        <v>123</v>
      </c>
      <c r="E117" s="2"/>
      <c r="F117" s="2"/>
      <c r="G117" s="2"/>
      <c r="H117" s="2"/>
      <c r="I117" s="2"/>
      <c r="J117" s="2"/>
      <c r="K117" s="2"/>
      <c r="L117" s="8" t="s">
        <v>52</v>
      </c>
      <c r="M117" s="9">
        <v>1</v>
      </c>
      <c r="N117" s="6">
        <v>0</v>
      </c>
      <c r="O117" s="6">
        <f t="shared" si="14"/>
        <v>0</v>
      </c>
      <c r="P117" s="6"/>
      <c r="Q117" s="6">
        <f t="shared" si="15"/>
        <v>0</v>
      </c>
      <c r="R117" s="2" t="str">
        <f t="shared" si="20"/>
        <v>PAID</v>
      </c>
      <c r="S117" s="2"/>
      <c r="T117" s="2">
        <f t="shared" si="16"/>
        <v>0</v>
      </c>
      <c r="U117" s="2" t="str">
        <f t="shared" si="17"/>
        <v>OK</v>
      </c>
      <c r="V117" s="7">
        <f t="shared" si="18"/>
        <v>0</v>
      </c>
      <c r="W117" s="2" t="str">
        <f t="shared" si="19"/>
        <v>OK</v>
      </c>
      <c r="X117" s="2" t="s">
        <v>26</v>
      </c>
      <c r="Y117" s="2" t="s">
        <v>27</v>
      </c>
      <c r="Z117" s="2" t="s">
        <v>28</v>
      </c>
      <c r="AA117" t="s">
        <v>245</v>
      </c>
      <c r="AB117" t="s">
        <v>245</v>
      </c>
      <c r="AC117" t="s">
        <v>245</v>
      </c>
    </row>
    <row r="118" spans="1:29" x14ac:dyDescent="0.2">
      <c r="A118" t="str">
        <f t="shared" si="13"/>
        <v>TRIP-TR-117</v>
      </c>
      <c r="B118" s="3">
        <v>45774</v>
      </c>
      <c r="C118" t="str">
        <f>IF(X118="CUSTOMER DELIVERY",_xlfn.XLOOKUP(D118,'[1]Jan Customer Duplicate Hyva'!$B:$B,'[1]Jan Customer Duplicate Hyva'!$A:$A,"NOT FOUND"),"")</f>
        <v>CUST-088</v>
      </c>
      <c r="D118" s="4" t="s">
        <v>34</v>
      </c>
      <c r="E118" s="2"/>
      <c r="F118" s="2"/>
      <c r="G118" s="2"/>
      <c r="H118" s="2"/>
      <c r="I118" s="2"/>
      <c r="J118" s="2"/>
      <c r="K118" s="2"/>
      <c r="L118" s="8" t="s">
        <v>124</v>
      </c>
      <c r="M118" s="9">
        <v>2</v>
      </c>
      <c r="N118" s="6">
        <v>1000</v>
      </c>
      <c r="O118" s="6">
        <f t="shared" si="14"/>
        <v>2000</v>
      </c>
      <c r="P118" s="6">
        <v>2000</v>
      </c>
      <c r="Q118" s="6">
        <f t="shared" si="15"/>
        <v>0</v>
      </c>
      <c r="R118" s="2" t="str">
        <f t="shared" si="20"/>
        <v>PAID</v>
      </c>
      <c r="S118" s="2"/>
      <c r="T118" s="2">
        <f t="shared" si="16"/>
        <v>2000</v>
      </c>
      <c r="U118" s="2" t="str">
        <f t="shared" si="17"/>
        <v>OK</v>
      </c>
      <c r="V118" s="7">
        <f t="shared" si="18"/>
        <v>0</v>
      </c>
      <c r="W118" s="2" t="str">
        <f t="shared" si="19"/>
        <v>OK</v>
      </c>
      <c r="X118" s="2" t="s">
        <v>26</v>
      </c>
      <c r="Y118" s="2" t="s">
        <v>27</v>
      </c>
      <c r="Z118" s="2" t="s">
        <v>28</v>
      </c>
      <c r="AA118" t="s">
        <v>245</v>
      </c>
      <c r="AB118" t="s">
        <v>245</v>
      </c>
      <c r="AC118" t="s">
        <v>245</v>
      </c>
    </row>
    <row r="119" spans="1:29" x14ac:dyDescent="0.2">
      <c r="A119" t="str">
        <f t="shared" si="13"/>
        <v>TRIP-TR-118</v>
      </c>
      <c r="B119" s="3">
        <v>45775</v>
      </c>
      <c r="C119" t="str">
        <f>IF(X119="CUSTOMER DELIVERY",_xlfn.XLOOKUP(D119,'[1]Jan Customer Duplicate Hyva'!$B:$B,'[1]Jan Customer Duplicate Hyva'!$A:$A,"NOT FOUND"),"")</f>
        <v>CUST-246</v>
      </c>
      <c r="D119" s="8" t="s">
        <v>125</v>
      </c>
      <c r="E119" s="2"/>
      <c r="F119" s="2"/>
      <c r="G119" s="2"/>
      <c r="H119" s="2"/>
      <c r="I119" s="2"/>
      <c r="J119" s="2"/>
      <c r="K119" s="2"/>
      <c r="L119" s="8" t="s">
        <v>38</v>
      </c>
      <c r="M119" s="9">
        <v>1</v>
      </c>
      <c r="N119" s="6">
        <v>4000</v>
      </c>
      <c r="O119" s="6">
        <f t="shared" si="14"/>
        <v>4000</v>
      </c>
      <c r="P119" s="6">
        <v>4000</v>
      </c>
      <c r="Q119" s="6">
        <f t="shared" si="15"/>
        <v>0</v>
      </c>
      <c r="R119" s="2" t="str">
        <f t="shared" si="20"/>
        <v>PAID</v>
      </c>
      <c r="S119" s="2"/>
      <c r="T119" s="2">
        <f t="shared" si="16"/>
        <v>4000</v>
      </c>
      <c r="U119" s="2" t="str">
        <f t="shared" si="17"/>
        <v>OK</v>
      </c>
      <c r="V119" s="7">
        <f t="shared" si="18"/>
        <v>0</v>
      </c>
      <c r="W119" s="2" t="str">
        <f t="shared" si="19"/>
        <v>OK</v>
      </c>
      <c r="X119" s="2" t="s">
        <v>26</v>
      </c>
      <c r="Y119" s="2" t="s">
        <v>27</v>
      </c>
      <c r="Z119" s="2" t="s">
        <v>28</v>
      </c>
      <c r="AA119" t="s">
        <v>245</v>
      </c>
      <c r="AB119" t="s">
        <v>245</v>
      </c>
      <c r="AC119" t="s">
        <v>245</v>
      </c>
    </row>
    <row r="120" spans="1:29" x14ac:dyDescent="0.2">
      <c r="A120" t="str">
        <f t="shared" si="13"/>
        <v>TRIP-TR-119</v>
      </c>
      <c r="B120" s="3">
        <v>45775</v>
      </c>
      <c r="C120" t="str">
        <f>IF(X120="CUSTOMER DELIVERY",_xlfn.XLOOKUP(D120,'[1]Jan Customer Duplicate Hyva'!$B:$B,'[1]Jan Customer Duplicate Hyva'!$A:$A,"NOT FOUND"),"")</f>
        <v>CUST-076</v>
      </c>
      <c r="D120" s="8" t="s">
        <v>228</v>
      </c>
      <c r="E120" s="2"/>
      <c r="F120" s="2"/>
      <c r="G120" s="2"/>
      <c r="H120" s="2"/>
      <c r="I120" s="2"/>
      <c r="J120" s="2"/>
      <c r="K120" s="2"/>
      <c r="L120" s="8" t="s">
        <v>126</v>
      </c>
      <c r="M120" s="9">
        <v>1</v>
      </c>
      <c r="N120" s="6">
        <v>5000</v>
      </c>
      <c r="O120" s="6">
        <f t="shared" si="14"/>
        <v>5000</v>
      </c>
      <c r="P120" s="6">
        <v>5000</v>
      </c>
      <c r="Q120" s="6">
        <f t="shared" si="15"/>
        <v>0</v>
      </c>
      <c r="R120" s="2" t="str">
        <f t="shared" si="20"/>
        <v>PAID</v>
      </c>
      <c r="S120" s="2"/>
      <c r="T120" s="2">
        <f t="shared" si="16"/>
        <v>5000</v>
      </c>
      <c r="U120" s="2" t="str">
        <f t="shared" si="17"/>
        <v>OK</v>
      </c>
      <c r="V120" s="7">
        <f t="shared" si="18"/>
        <v>0</v>
      </c>
      <c r="W120" s="2" t="str">
        <f t="shared" si="19"/>
        <v>OK</v>
      </c>
      <c r="X120" s="2" t="s">
        <v>26</v>
      </c>
      <c r="Y120" s="2" t="s">
        <v>27</v>
      </c>
      <c r="Z120" s="2" t="s">
        <v>28</v>
      </c>
      <c r="AA120" t="s">
        <v>245</v>
      </c>
      <c r="AB120" t="s">
        <v>245</v>
      </c>
      <c r="AC120" t="s">
        <v>245</v>
      </c>
    </row>
    <row r="121" spans="1:29" x14ac:dyDescent="0.2">
      <c r="A121" t="str">
        <f t="shared" si="13"/>
        <v>TRIP-TR-120</v>
      </c>
      <c r="B121" s="3">
        <v>45775</v>
      </c>
      <c r="C121" t="str">
        <f>IF(X121="CUSTOMER DELIVERY",_xlfn.XLOOKUP(D121,'[1]Jan Customer Duplicate Hyva'!$B:$B,'[1]Jan Customer Duplicate Hyva'!$A:$A,"NOT FOUND"),"")</f>
        <v>CUST-088</v>
      </c>
      <c r="D121" s="4" t="s">
        <v>34</v>
      </c>
      <c r="E121" s="2"/>
      <c r="F121" s="2"/>
      <c r="G121" s="2"/>
      <c r="H121" s="2"/>
      <c r="I121" s="2"/>
      <c r="J121" s="2"/>
      <c r="K121" s="2"/>
      <c r="L121" s="8" t="s">
        <v>42</v>
      </c>
      <c r="M121" s="9">
        <v>2</v>
      </c>
      <c r="N121" s="6">
        <v>4500</v>
      </c>
      <c r="O121" s="6">
        <f t="shared" si="14"/>
        <v>9000</v>
      </c>
      <c r="P121" s="6">
        <v>9000</v>
      </c>
      <c r="Q121" s="6">
        <f t="shared" si="15"/>
        <v>0</v>
      </c>
      <c r="R121" s="2" t="str">
        <f t="shared" si="20"/>
        <v>PAID</v>
      </c>
      <c r="S121" s="2"/>
      <c r="T121" s="2">
        <f t="shared" si="16"/>
        <v>9000</v>
      </c>
      <c r="U121" s="2" t="str">
        <f t="shared" si="17"/>
        <v>OK</v>
      </c>
      <c r="V121" s="7">
        <f t="shared" si="18"/>
        <v>0</v>
      </c>
      <c r="W121" s="2" t="str">
        <f t="shared" si="19"/>
        <v>OK</v>
      </c>
      <c r="X121" s="2" t="s">
        <v>26</v>
      </c>
      <c r="Y121" s="2" t="s">
        <v>27</v>
      </c>
      <c r="Z121" s="2" t="s">
        <v>28</v>
      </c>
      <c r="AA121" t="s">
        <v>245</v>
      </c>
      <c r="AB121" t="s">
        <v>245</v>
      </c>
      <c r="AC121" t="s">
        <v>245</v>
      </c>
    </row>
    <row r="122" spans="1:29" x14ac:dyDescent="0.2">
      <c r="A122" t="str">
        <f t="shared" si="13"/>
        <v>TRIP-TR-121</v>
      </c>
      <c r="B122" s="3">
        <v>45775</v>
      </c>
      <c r="C122" t="str">
        <f>IF(X122="CUSTOMER DELIVERY",_xlfn.XLOOKUP(D122,'[1]Jan Customer Duplicate Hyva'!$B:$B,'[1]Jan Customer Duplicate Hyva'!$A:$A,"NOT FOUND"),"")</f>
        <v>CUST-112</v>
      </c>
      <c r="D122" s="8" t="s">
        <v>229</v>
      </c>
      <c r="E122" s="2"/>
      <c r="F122" s="2"/>
      <c r="G122" s="2"/>
      <c r="H122" s="2"/>
      <c r="I122" s="2"/>
      <c r="J122" s="2"/>
      <c r="K122" s="2"/>
      <c r="L122" s="8" t="s">
        <v>127</v>
      </c>
      <c r="M122" s="9">
        <v>1</v>
      </c>
      <c r="N122" s="6">
        <v>1000</v>
      </c>
      <c r="O122" s="6">
        <f t="shared" si="14"/>
        <v>1000</v>
      </c>
      <c r="P122" s="6">
        <v>1000</v>
      </c>
      <c r="Q122" s="6">
        <f t="shared" si="15"/>
        <v>0</v>
      </c>
      <c r="R122" s="2" t="str">
        <f t="shared" si="20"/>
        <v>PAID</v>
      </c>
      <c r="S122" s="2"/>
      <c r="T122" s="2">
        <f t="shared" si="16"/>
        <v>1000</v>
      </c>
      <c r="U122" s="2" t="str">
        <f t="shared" si="17"/>
        <v>OK</v>
      </c>
      <c r="V122" s="7">
        <f t="shared" si="18"/>
        <v>0</v>
      </c>
      <c r="W122" s="2" t="str">
        <f t="shared" si="19"/>
        <v>OK</v>
      </c>
      <c r="X122" s="2" t="s">
        <v>26</v>
      </c>
      <c r="Y122" s="2" t="s">
        <v>27</v>
      </c>
      <c r="Z122" s="2" t="s">
        <v>28</v>
      </c>
      <c r="AA122" t="s">
        <v>245</v>
      </c>
      <c r="AB122" t="s">
        <v>245</v>
      </c>
      <c r="AC122" t="s">
        <v>245</v>
      </c>
    </row>
    <row r="123" spans="1:29" x14ac:dyDescent="0.2">
      <c r="A123" t="str">
        <f t="shared" si="13"/>
        <v>TRIP-TR-122</v>
      </c>
      <c r="B123" s="3">
        <v>45775</v>
      </c>
      <c r="C123" t="str">
        <f>IF(X123="CUSTOMER DELIVERY",_xlfn.XLOOKUP(D123,'[1]Jan Customer Duplicate Hyva'!$B:$B,'[1]Jan Customer Duplicate Hyva'!$A:$A,"NOT FOUND"),"")</f>
        <v>CUST-385</v>
      </c>
      <c r="D123" s="8" t="s">
        <v>112</v>
      </c>
      <c r="E123" s="2"/>
      <c r="F123" s="2"/>
      <c r="G123" s="2"/>
      <c r="H123" s="2"/>
      <c r="I123" s="2"/>
      <c r="J123" s="2"/>
      <c r="K123" s="2"/>
      <c r="L123" s="8" t="s">
        <v>113</v>
      </c>
      <c r="M123" s="9">
        <v>1</v>
      </c>
      <c r="N123" s="6">
        <v>5000</v>
      </c>
      <c r="O123" s="6">
        <f t="shared" si="14"/>
        <v>5000</v>
      </c>
      <c r="P123" s="6">
        <v>5000</v>
      </c>
      <c r="Q123" s="6">
        <f t="shared" si="15"/>
        <v>0</v>
      </c>
      <c r="R123" s="2" t="str">
        <f t="shared" si="20"/>
        <v>PAID</v>
      </c>
      <c r="S123" s="2"/>
      <c r="T123" s="2">
        <f t="shared" si="16"/>
        <v>5000</v>
      </c>
      <c r="U123" s="2" t="str">
        <f t="shared" si="17"/>
        <v>OK</v>
      </c>
      <c r="V123" s="7">
        <f t="shared" si="18"/>
        <v>0</v>
      </c>
      <c r="W123" s="2" t="str">
        <f t="shared" si="19"/>
        <v>OK</v>
      </c>
      <c r="X123" s="2" t="s">
        <v>26</v>
      </c>
      <c r="Y123" s="2" t="s">
        <v>27</v>
      </c>
      <c r="Z123" s="2" t="s">
        <v>28</v>
      </c>
      <c r="AA123" t="s">
        <v>245</v>
      </c>
      <c r="AB123" t="s">
        <v>245</v>
      </c>
      <c r="AC123" t="s">
        <v>245</v>
      </c>
    </row>
    <row r="124" spans="1:29" x14ac:dyDescent="0.2">
      <c r="A124" t="str">
        <f t="shared" si="13"/>
        <v>TRIP-TR-123</v>
      </c>
      <c r="B124" s="3">
        <v>45776</v>
      </c>
      <c r="C124" t="str">
        <f>IF(X124="CUSTOMER DELIVERY",_xlfn.XLOOKUP(D124,'[1]Jan Customer Duplicate Hyva'!$B:$B,'[1]Jan Customer Duplicate Hyva'!$A:$A,"NOT FOUND"),"")</f>
        <v>CUST-390</v>
      </c>
      <c r="D124" s="10" t="s">
        <v>50</v>
      </c>
      <c r="E124" s="2"/>
      <c r="F124" s="2"/>
      <c r="G124" s="2"/>
      <c r="H124" s="2"/>
      <c r="I124" s="2"/>
      <c r="J124" s="2"/>
      <c r="K124" s="2"/>
      <c r="L124" s="8" t="s">
        <v>33</v>
      </c>
      <c r="M124" s="9">
        <v>1</v>
      </c>
      <c r="N124" s="6">
        <v>4000</v>
      </c>
      <c r="O124" s="6">
        <f t="shared" si="14"/>
        <v>4000</v>
      </c>
      <c r="P124" s="6">
        <v>4000</v>
      </c>
      <c r="Q124" s="6">
        <f t="shared" si="15"/>
        <v>0</v>
      </c>
      <c r="R124" s="2" t="str">
        <f t="shared" si="20"/>
        <v>PAID</v>
      </c>
      <c r="S124" s="2"/>
      <c r="T124" s="2">
        <f t="shared" si="16"/>
        <v>4000</v>
      </c>
      <c r="U124" s="2" t="str">
        <f t="shared" si="17"/>
        <v>OK</v>
      </c>
      <c r="V124" s="7">
        <f t="shared" si="18"/>
        <v>0</v>
      </c>
      <c r="W124" s="2" t="str">
        <f t="shared" si="19"/>
        <v>OK</v>
      </c>
      <c r="X124" s="2" t="s">
        <v>26</v>
      </c>
      <c r="Y124" s="2" t="s">
        <v>27</v>
      </c>
      <c r="Z124" s="2" t="s">
        <v>28</v>
      </c>
      <c r="AA124" t="s">
        <v>245</v>
      </c>
      <c r="AB124" t="s">
        <v>245</v>
      </c>
      <c r="AC124" t="s">
        <v>245</v>
      </c>
    </row>
    <row r="125" spans="1:29" x14ac:dyDescent="0.2">
      <c r="A125" t="str">
        <f t="shared" si="13"/>
        <v>TRIP-TR-124</v>
      </c>
      <c r="B125" s="3">
        <v>45777</v>
      </c>
      <c r="C125" t="str">
        <f>IF(X125="CUSTOMER DELIVERY",_xlfn.XLOOKUP(D125,'[1]Jan Customer Duplicate Hyva'!$B:$B,'[1]Jan Customer Duplicate Hyva'!$A:$A,"NOT FOUND"),"")</f>
        <v>CUST-140</v>
      </c>
      <c r="D125" s="8" t="s">
        <v>128</v>
      </c>
      <c r="E125" s="2"/>
      <c r="F125" s="2"/>
      <c r="G125" s="2"/>
      <c r="H125" s="2"/>
      <c r="I125" s="2"/>
      <c r="J125" s="2"/>
      <c r="K125" s="2"/>
      <c r="L125" s="8" t="s">
        <v>129</v>
      </c>
      <c r="M125" s="9">
        <v>3</v>
      </c>
      <c r="N125" s="6">
        <v>5500</v>
      </c>
      <c r="O125" s="6">
        <f t="shared" si="14"/>
        <v>16500</v>
      </c>
      <c r="P125" s="6">
        <v>16500</v>
      </c>
      <c r="Q125" s="6">
        <f t="shared" si="15"/>
        <v>0</v>
      </c>
      <c r="R125" s="2" t="str">
        <f t="shared" si="20"/>
        <v>PAID</v>
      </c>
      <c r="S125" s="2"/>
      <c r="T125" s="2">
        <f t="shared" si="16"/>
        <v>16500</v>
      </c>
      <c r="U125" s="2" t="str">
        <f t="shared" si="17"/>
        <v>OK</v>
      </c>
      <c r="V125" s="7">
        <f t="shared" si="18"/>
        <v>0</v>
      </c>
      <c r="W125" s="2" t="str">
        <f t="shared" si="19"/>
        <v>OK</v>
      </c>
      <c r="X125" s="2" t="s">
        <v>26</v>
      </c>
      <c r="Y125" s="2" t="s">
        <v>27</v>
      </c>
      <c r="Z125" s="2" t="s">
        <v>28</v>
      </c>
      <c r="AA125" t="s">
        <v>245</v>
      </c>
      <c r="AB125" t="s">
        <v>245</v>
      </c>
      <c r="AC125" t="s">
        <v>245</v>
      </c>
    </row>
    <row r="126" spans="1:29" x14ac:dyDescent="0.2">
      <c r="A126" t="str">
        <f t="shared" si="13"/>
        <v>TRIP-TR-125</v>
      </c>
      <c r="B126" s="3">
        <v>45778</v>
      </c>
      <c r="C126" t="str">
        <f>IF(X126="CUSTOMER DELIVERY",_xlfn.XLOOKUP(D126,'[1]Jan Customer Duplicate Hyva'!$B:$B,'[1]Jan Customer Duplicate Hyva'!$A:$A,"NOT FOUND"),"")</f>
        <v>CUST-177</v>
      </c>
      <c r="D126" s="8" t="s">
        <v>130</v>
      </c>
      <c r="E126" s="2"/>
      <c r="F126" s="2"/>
      <c r="G126" s="2"/>
      <c r="H126" s="2"/>
      <c r="I126" s="2"/>
      <c r="J126" s="2"/>
      <c r="K126" s="2"/>
      <c r="L126" s="8" t="s">
        <v>42</v>
      </c>
      <c r="M126" s="9">
        <v>4</v>
      </c>
      <c r="N126" s="6">
        <v>5000</v>
      </c>
      <c r="O126" s="6">
        <f t="shared" si="14"/>
        <v>20000</v>
      </c>
      <c r="P126" s="6">
        <v>20000</v>
      </c>
      <c r="Q126" s="6">
        <f t="shared" si="15"/>
        <v>0</v>
      </c>
      <c r="R126" s="2" t="str">
        <f t="shared" si="20"/>
        <v>PAID</v>
      </c>
      <c r="S126" s="2"/>
      <c r="T126" s="2">
        <f t="shared" si="16"/>
        <v>20000</v>
      </c>
      <c r="U126" s="2" t="str">
        <f t="shared" si="17"/>
        <v>OK</v>
      </c>
      <c r="V126" s="7">
        <f t="shared" si="18"/>
        <v>0</v>
      </c>
      <c r="W126" s="2" t="str">
        <f t="shared" si="19"/>
        <v>OK</v>
      </c>
      <c r="X126" s="2" t="s">
        <v>26</v>
      </c>
      <c r="Y126" s="2" t="s">
        <v>27</v>
      </c>
      <c r="Z126" s="2" t="s">
        <v>28</v>
      </c>
      <c r="AA126" t="s">
        <v>245</v>
      </c>
      <c r="AB126" t="s">
        <v>245</v>
      </c>
      <c r="AC126" t="s">
        <v>245</v>
      </c>
    </row>
    <row r="127" spans="1:29" x14ac:dyDescent="0.2">
      <c r="A127" t="str">
        <f t="shared" si="13"/>
        <v>TRIP-TR-126</v>
      </c>
      <c r="B127" s="3">
        <v>45779</v>
      </c>
      <c r="C127" t="str">
        <f>IF(X127="CUSTOMER DELIVERY",_xlfn.XLOOKUP(D127,'[1]Jan Customer Duplicate Hyva'!$B:$B,'[1]Jan Customer Duplicate Hyva'!$A:$A,"NOT FOUND"),"")</f>
        <v>CUST-272</v>
      </c>
      <c r="D127" s="8" t="s">
        <v>131</v>
      </c>
      <c r="E127" s="2"/>
      <c r="F127" s="2"/>
      <c r="G127" s="2"/>
      <c r="H127" s="2"/>
      <c r="I127" s="2"/>
      <c r="J127" s="2"/>
      <c r="K127" s="2"/>
      <c r="L127" s="8" t="s">
        <v>111</v>
      </c>
      <c r="M127" s="9">
        <v>1</v>
      </c>
      <c r="N127" s="6">
        <v>4750</v>
      </c>
      <c r="O127" s="6">
        <f t="shared" si="14"/>
        <v>4750</v>
      </c>
      <c r="P127" s="6">
        <v>4750</v>
      </c>
      <c r="Q127" s="6">
        <f t="shared" si="15"/>
        <v>0</v>
      </c>
      <c r="R127" s="2" t="str">
        <f t="shared" si="20"/>
        <v>PAID</v>
      </c>
      <c r="S127" s="2"/>
      <c r="T127" s="2">
        <f t="shared" si="16"/>
        <v>4750</v>
      </c>
      <c r="U127" s="2" t="str">
        <f t="shared" si="17"/>
        <v>OK</v>
      </c>
      <c r="V127" s="7">
        <f t="shared" si="18"/>
        <v>0</v>
      </c>
      <c r="W127" s="2" t="str">
        <f t="shared" si="19"/>
        <v>OK</v>
      </c>
      <c r="X127" s="2" t="s">
        <v>26</v>
      </c>
      <c r="Y127" s="2" t="s">
        <v>27</v>
      </c>
      <c r="Z127" s="2" t="s">
        <v>28</v>
      </c>
      <c r="AA127" t="s">
        <v>245</v>
      </c>
      <c r="AB127" t="s">
        <v>245</v>
      </c>
      <c r="AC127" t="s">
        <v>245</v>
      </c>
    </row>
    <row r="128" spans="1:29" x14ac:dyDescent="0.2">
      <c r="A128" t="str">
        <f t="shared" si="13"/>
        <v>TRIP-TR-127</v>
      </c>
      <c r="B128" s="13">
        <v>45780</v>
      </c>
      <c r="C128" t="str">
        <f>IF(X128="CUSTOMER DELIVERY",_xlfn.XLOOKUP(D128,'[1]Jan Customer Duplicate Hyva'!$B:$B,'[1]Jan Customer Duplicate Hyva'!$A:$A,"NOT FOUND"),"")</f>
        <v>CUST-017</v>
      </c>
      <c r="D128" s="8" t="s">
        <v>109</v>
      </c>
      <c r="E128" s="2"/>
      <c r="F128" s="2"/>
      <c r="G128" s="2"/>
      <c r="H128" s="2"/>
      <c r="I128" s="2"/>
      <c r="J128" s="2"/>
      <c r="K128" s="2"/>
      <c r="L128" s="4" t="s">
        <v>101</v>
      </c>
      <c r="M128" s="5">
        <v>2</v>
      </c>
      <c r="N128" s="6">
        <v>4750</v>
      </c>
      <c r="O128" s="6">
        <f t="shared" si="14"/>
        <v>9500</v>
      </c>
      <c r="P128" s="6">
        <v>9500</v>
      </c>
      <c r="Q128" s="6">
        <f t="shared" si="15"/>
        <v>0</v>
      </c>
      <c r="R128" s="2" t="str">
        <f t="shared" si="20"/>
        <v>PAID</v>
      </c>
      <c r="S128" s="2"/>
      <c r="T128" s="2">
        <f t="shared" si="16"/>
        <v>9500</v>
      </c>
      <c r="U128" s="2" t="str">
        <f t="shared" si="17"/>
        <v>OK</v>
      </c>
      <c r="V128" s="7">
        <f t="shared" si="18"/>
        <v>0</v>
      </c>
      <c r="W128" s="2" t="str">
        <f t="shared" si="19"/>
        <v>OK</v>
      </c>
      <c r="X128" s="2" t="s">
        <v>26</v>
      </c>
      <c r="Y128" s="2" t="s">
        <v>27</v>
      </c>
      <c r="Z128" s="2" t="s">
        <v>28</v>
      </c>
      <c r="AA128" t="s">
        <v>245</v>
      </c>
      <c r="AB128" t="s">
        <v>245</v>
      </c>
      <c r="AC128" t="s">
        <v>245</v>
      </c>
    </row>
    <row r="129" spans="1:29" x14ac:dyDescent="0.2">
      <c r="A129" t="str">
        <f t="shared" si="13"/>
        <v>TRIP-TR-128</v>
      </c>
      <c r="B129" s="13">
        <v>45780</v>
      </c>
      <c r="C129" t="str">
        <f>IF(X129="CUSTOMER DELIVERY",_xlfn.XLOOKUP(D129,'[1]Jan Customer Duplicate Hyva'!$B:$B,'[1]Jan Customer Duplicate Hyva'!$A:$A,"NOT FOUND"),"")</f>
        <v>CUST-021</v>
      </c>
      <c r="D129" s="8" t="s">
        <v>123</v>
      </c>
      <c r="E129" s="2"/>
      <c r="F129" s="2"/>
      <c r="G129" s="2"/>
      <c r="H129" s="2"/>
      <c r="I129" s="2"/>
      <c r="J129" s="2"/>
      <c r="K129" s="2"/>
      <c r="L129" s="8" t="s">
        <v>52</v>
      </c>
      <c r="M129" s="9">
        <v>1</v>
      </c>
      <c r="N129" s="6">
        <v>0</v>
      </c>
      <c r="O129" s="6">
        <f t="shared" si="14"/>
        <v>0</v>
      </c>
      <c r="P129" s="6">
        <v>0</v>
      </c>
      <c r="Q129" s="6">
        <f t="shared" si="15"/>
        <v>0</v>
      </c>
      <c r="R129" s="2" t="str">
        <f t="shared" si="20"/>
        <v>PAID</v>
      </c>
      <c r="S129" s="2"/>
      <c r="T129" s="2">
        <f t="shared" si="16"/>
        <v>0</v>
      </c>
      <c r="U129" s="2" t="str">
        <f t="shared" si="17"/>
        <v>OK</v>
      </c>
      <c r="V129" s="7">
        <f t="shared" si="18"/>
        <v>0</v>
      </c>
      <c r="W129" s="2" t="str">
        <f t="shared" si="19"/>
        <v>OK</v>
      </c>
      <c r="X129" s="2" t="s">
        <v>26</v>
      </c>
      <c r="Y129" s="2" t="s">
        <v>27</v>
      </c>
      <c r="Z129" s="2" t="s">
        <v>28</v>
      </c>
      <c r="AA129" t="s">
        <v>245</v>
      </c>
      <c r="AB129" t="s">
        <v>245</v>
      </c>
      <c r="AC129" t="s">
        <v>245</v>
      </c>
    </row>
    <row r="130" spans="1:29" x14ac:dyDescent="0.2">
      <c r="A130" t="str">
        <f t="shared" si="13"/>
        <v>TRIP-TR-129</v>
      </c>
      <c r="B130" s="3">
        <v>45780</v>
      </c>
      <c r="C130" t="str">
        <f>IF(X130="CUSTOMER DELIVERY",_xlfn.XLOOKUP(D130,'[1]Jan Customer Duplicate Hyva'!$B:$B,'[1]Jan Customer Duplicate Hyva'!$A:$A,"NOT FOUND"),"")</f>
        <v>CUST-152</v>
      </c>
      <c r="D130" s="8" t="s">
        <v>132</v>
      </c>
      <c r="E130" s="2"/>
      <c r="F130" s="2"/>
      <c r="G130" s="2"/>
      <c r="H130" s="2"/>
      <c r="I130" s="2"/>
      <c r="J130" s="2"/>
      <c r="K130" s="2"/>
      <c r="L130" s="8" t="s">
        <v>42</v>
      </c>
      <c r="M130" s="9">
        <v>2</v>
      </c>
      <c r="N130" s="6">
        <v>5000</v>
      </c>
      <c r="O130" s="6">
        <f t="shared" si="14"/>
        <v>10000</v>
      </c>
      <c r="P130" s="6">
        <v>10000</v>
      </c>
      <c r="Q130" s="6">
        <f t="shared" si="15"/>
        <v>0</v>
      </c>
      <c r="R130" s="2" t="str">
        <f t="shared" si="20"/>
        <v>PAID</v>
      </c>
      <c r="S130" s="2"/>
      <c r="T130" s="2">
        <f t="shared" si="16"/>
        <v>10000</v>
      </c>
      <c r="U130" s="2" t="str">
        <f t="shared" si="17"/>
        <v>OK</v>
      </c>
      <c r="V130" s="7">
        <f t="shared" si="18"/>
        <v>0</v>
      </c>
      <c r="W130" s="2" t="str">
        <f t="shared" si="19"/>
        <v>OK</v>
      </c>
      <c r="X130" s="2" t="s">
        <v>26</v>
      </c>
      <c r="Y130" s="2" t="s">
        <v>27</v>
      </c>
      <c r="Z130" s="2" t="s">
        <v>28</v>
      </c>
      <c r="AA130" t="s">
        <v>245</v>
      </c>
      <c r="AB130" t="s">
        <v>245</v>
      </c>
      <c r="AC130" t="s">
        <v>245</v>
      </c>
    </row>
    <row r="131" spans="1:29" x14ac:dyDescent="0.2">
      <c r="A131" t="str">
        <f t="shared" ref="A131:A194" si="21">"TRIP-TR-"&amp;TEXT(ROW()-1,"000")</f>
        <v>TRIP-TR-130</v>
      </c>
      <c r="B131" s="3">
        <v>45781</v>
      </c>
      <c r="C131" t="str">
        <f>IF(X131="CUSTOMER DELIVERY",_xlfn.XLOOKUP(D131,'[1]Jan Customer Duplicate Hyva'!$B:$B,'[1]Jan Customer Duplicate Hyva'!$A:$A,"NOT FOUND"),"")</f>
        <v>CUST-177</v>
      </c>
      <c r="D131" s="8" t="s">
        <v>130</v>
      </c>
      <c r="E131" s="2"/>
      <c r="F131" s="2"/>
      <c r="G131" s="2"/>
      <c r="H131" s="2"/>
      <c r="I131" s="2"/>
      <c r="J131" s="2"/>
      <c r="K131" s="2"/>
      <c r="L131" s="8" t="s">
        <v>42</v>
      </c>
      <c r="M131" s="9">
        <v>1</v>
      </c>
      <c r="N131" s="6">
        <v>5000</v>
      </c>
      <c r="O131" s="6">
        <f t="shared" si="14"/>
        <v>5000</v>
      </c>
      <c r="P131" s="6">
        <v>5000</v>
      </c>
      <c r="Q131" s="6">
        <f t="shared" si="15"/>
        <v>0</v>
      </c>
      <c r="R131" s="2" t="str">
        <f t="shared" si="20"/>
        <v>PAID</v>
      </c>
      <c r="S131" s="2"/>
      <c r="T131" s="2">
        <f t="shared" si="16"/>
        <v>5000</v>
      </c>
      <c r="U131" s="2" t="str">
        <f t="shared" si="17"/>
        <v>OK</v>
      </c>
      <c r="V131" s="7">
        <f t="shared" si="18"/>
        <v>0</v>
      </c>
      <c r="W131" s="2" t="str">
        <f t="shared" si="19"/>
        <v>OK</v>
      </c>
      <c r="X131" s="2" t="s">
        <v>26</v>
      </c>
      <c r="Y131" s="2" t="s">
        <v>27</v>
      </c>
      <c r="Z131" s="2" t="s">
        <v>28</v>
      </c>
      <c r="AA131" t="s">
        <v>245</v>
      </c>
      <c r="AB131" t="s">
        <v>245</v>
      </c>
      <c r="AC131" t="s">
        <v>245</v>
      </c>
    </row>
    <row r="132" spans="1:29" x14ac:dyDescent="0.2">
      <c r="A132" t="str">
        <f t="shared" si="21"/>
        <v>TRIP-TR-131</v>
      </c>
      <c r="B132" s="13">
        <v>45782</v>
      </c>
      <c r="C132" t="str">
        <f>IF(X132="CUSTOMER DELIVERY",_xlfn.XLOOKUP(D132,'[1]Jan Customer Duplicate Hyva'!$B:$B,'[1]Jan Customer Duplicate Hyva'!$A:$A,"NOT FOUND"),"")</f>
        <v>CUST-182</v>
      </c>
      <c r="D132" s="8" t="s">
        <v>230</v>
      </c>
      <c r="E132" s="2"/>
      <c r="F132" s="2"/>
      <c r="G132" s="2"/>
      <c r="H132" s="2"/>
      <c r="I132" s="2"/>
      <c r="J132" s="2"/>
      <c r="K132" s="2"/>
      <c r="L132" s="8" t="s">
        <v>38</v>
      </c>
      <c r="M132" s="9">
        <v>2</v>
      </c>
      <c r="N132" s="6">
        <v>4000</v>
      </c>
      <c r="O132" s="6">
        <f t="shared" si="14"/>
        <v>8000</v>
      </c>
      <c r="P132" s="6">
        <v>8000</v>
      </c>
      <c r="Q132" s="6">
        <f t="shared" si="15"/>
        <v>0</v>
      </c>
      <c r="R132" s="2" t="str">
        <f t="shared" si="20"/>
        <v>PAID</v>
      </c>
      <c r="S132" s="2"/>
      <c r="T132" s="2">
        <f t="shared" si="16"/>
        <v>8000</v>
      </c>
      <c r="U132" s="2" t="str">
        <f t="shared" si="17"/>
        <v>OK</v>
      </c>
      <c r="V132" s="7">
        <f t="shared" si="18"/>
        <v>0</v>
      </c>
      <c r="W132" s="2" t="str">
        <f t="shared" si="19"/>
        <v>OK</v>
      </c>
      <c r="X132" s="2" t="s">
        <v>26</v>
      </c>
      <c r="Y132" s="2" t="s">
        <v>27</v>
      </c>
      <c r="Z132" s="2" t="s">
        <v>28</v>
      </c>
      <c r="AA132" t="s">
        <v>245</v>
      </c>
      <c r="AB132" t="s">
        <v>245</v>
      </c>
      <c r="AC132" t="s">
        <v>245</v>
      </c>
    </row>
    <row r="133" spans="1:29" x14ac:dyDescent="0.2">
      <c r="A133" t="str">
        <f t="shared" si="21"/>
        <v>TRIP-TR-132</v>
      </c>
      <c r="B133" s="3">
        <v>45782</v>
      </c>
      <c r="C133" t="str">
        <f>IF(X133="CUSTOMER DELIVERY",_xlfn.XLOOKUP(D133,'[1]Jan Customer Duplicate Hyva'!$B:$B,'[1]Jan Customer Duplicate Hyva'!$A:$A,"NOT FOUND"),"")</f>
        <v>CUST-194</v>
      </c>
      <c r="D133" s="4" t="s">
        <v>133</v>
      </c>
      <c r="E133" s="2"/>
      <c r="F133" s="2"/>
      <c r="G133" s="2"/>
      <c r="H133" s="2"/>
      <c r="I133" s="2"/>
      <c r="J133" s="2"/>
      <c r="K133" s="2"/>
      <c r="L133" s="4" t="s">
        <v>134</v>
      </c>
      <c r="M133" s="5">
        <v>1</v>
      </c>
      <c r="N133" s="6">
        <v>5500</v>
      </c>
      <c r="O133" s="6">
        <f t="shared" si="14"/>
        <v>5500</v>
      </c>
      <c r="P133" s="6">
        <v>5500</v>
      </c>
      <c r="Q133" s="6">
        <f t="shared" si="15"/>
        <v>0</v>
      </c>
      <c r="R133" s="2" t="str">
        <f t="shared" si="20"/>
        <v>PAID</v>
      </c>
      <c r="S133" s="2"/>
      <c r="T133" s="2">
        <f t="shared" si="16"/>
        <v>5500</v>
      </c>
      <c r="U133" s="2" t="str">
        <f t="shared" si="17"/>
        <v>OK</v>
      </c>
      <c r="V133" s="7">
        <f t="shared" si="18"/>
        <v>0</v>
      </c>
      <c r="W133" s="2" t="str">
        <f t="shared" si="19"/>
        <v>OK</v>
      </c>
      <c r="X133" s="2" t="s">
        <v>26</v>
      </c>
      <c r="Y133" s="2" t="s">
        <v>27</v>
      </c>
      <c r="Z133" s="2" t="s">
        <v>28</v>
      </c>
      <c r="AA133" t="s">
        <v>245</v>
      </c>
      <c r="AB133" t="s">
        <v>245</v>
      </c>
      <c r="AC133" t="s">
        <v>245</v>
      </c>
    </row>
    <row r="134" spans="1:29" x14ac:dyDescent="0.2">
      <c r="A134" t="str">
        <f t="shared" si="21"/>
        <v>TRIP-TR-133</v>
      </c>
      <c r="B134" s="3">
        <v>45783</v>
      </c>
      <c r="C134" t="str">
        <f>IF(X134="CUSTOMER DELIVERY",_xlfn.XLOOKUP(D134,'[1]Jan Customer Duplicate Hyva'!$B:$B,'[1]Jan Customer Duplicate Hyva'!$A:$A,"NOT FOUND"),"")</f>
        <v>CUST-206</v>
      </c>
      <c r="D134" s="8" t="s">
        <v>135</v>
      </c>
      <c r="E134" s="2"/>
      <c r="F134" s="2"/>
      <c r="G134" s="2"/>
      <c r="H134" s="2"/>
      <c r="I134" s="2"/>
      <c r="J134" s="2"/>
      <c r="K134" s="2"/>
      <c r="L134" s="8" t="s">
        <v>136</v>
      </c>
      <c r="M134" s="9">
        <v>1</v>
      </c>
      <c r="N134" s="6">
        <v>4750</v>
      </c>
      <c r="O134" s="6">
        <f t="shared" si="14"/>
        <v>4750</v>
      </c>
      <c r="P134" s="6">
        <v>4750</v>
      </c>
      <c r="Q134" s="6">
        <f t="shared" si="15"/>
        <v>0</v>
      </c>
      <c r="R134" s="2" t="str">
        <f t="shared" si="20"/>
        <v>PAID</v>
      </c>
      <c r="S134" s="2"/>
      <c r="T134" s="2">
        <f t="shared" si="16"/>
        <v>4750</v>
      </c>
      <c r="U134" s="2" t="str">
        <f t="shared" si="17"/>
        <v>OK</v>
      </c>
      <c r="V134" s="7">
        <f t="shared" si="18"/>
        <v>0</v>
      </c>
      <c r="W134" s="2" t="str">
        <f t="shared" si="19"/>
        <v>OK</v>
      </c>
      <c r="X134" s="2" t="s">
        <v>26</v>
      </c>
      <c r="Y134" s="2" t="s">
        <v>27</v>
      </c>
      <c r="Z134" s="2" t="s">
        <v>28</v>
      </c>
      <c r="AA134" t="s">
        <v>245</v>
      </c>
      <c r="AB134" t="s">
        <v>245</v>
      </c>
      <c r="AC134" t="s">
        <v>245</v>
      </c>
    </row>
    <row r="135" spans="1:29" x14ac:dyDescent="0.2">
      <c r="A135" t="str">
        <f t="shared" si="21"/>
        <v>TRIP-TR-134</v>
      </c>
      <c r="B135" s="13">
        <v>45784</v>
      </c>
      <c r="C135" t="str">
        <f>IF(X135="CUSTOMER DELIVERY",_xlfn.XLOOKUP(D135,'[1]Jan Customer Duplicate Hyva'!$B:$B,'[1]Jan Customer Duplicate Hyva'!$A:$A,"NOT FOUND"),"")</f>
        <v>CUST-130</v>
      </c>
      <c r="D135" s="8" t="s">
        <v>137</v>
      </c>
      <c r="E135" s="2"/>
      <c r="F135" s="2"/>
      <c r="G135" s="2"/>
      <c r="H135" s="2"/>
      <c r="I135" s="2"/>
      <c r="J135" s="2"/>
      <c r="K135" s="2"/>
      <c r="L135" s="8" t="s">
        <v>38</v>
      </c>
      <c r="M135" s="9">
        <v>1</v>
      </c>
      <c r="N135" s="6">
        <v>4000</v>
      </c>
      <c r="O135" s="6">
        <f t="shared" si="14"/>
        <v>4000</v>
      </c>
      <c r="P135" s="6">
        <v>4000</v>
      </c>
      <c r="Q135" s="6">
        <f t="shared" si="15"/>
        <v>0</v>
      </c>
      <c r="R135" s="2" t="str">
        <f t="shared" si="20"/>
        <v>PAID</v>
      </c>
      <c r="S135" s="2"/>
      <c r="T135" s="2">
        <f t="shared" si="16"/>
        <v>4000</v>
      </c>
      <c r="U135" s="2" t="str">
        <f t="shared" si="17"/>
        <v>OK</v>
      </c>
      <c r="V135" s="7">
        <f t="shared" si="18"/>
        <v>0</v>
      </c>
      <c r="W135" s="2" t="str">
        <f t="shared" si="19"/>
        <v>OK</v>
      </c>
      <c r="X135" s="2" t="s">
        <v>26</v>
      </c>
      <c r="Y135" s="2" t="s">
        <v>27</v>
      </c>
      <c r="Z135" s="2" t="s">
        <v>28</v>
      </c>
      <c r="AA135" t="s">
        <v>245</v>
      </c>
      <c r="AB135" t="s">
        <v>245</v>
      </c>
      <c r="AC135" t="s">
        <v>245</v>
      </c>
    </row>
    <row r="136" spans="1:29" x14ac:dyDescent="0.2">
      <c r="A136" t="str">
        <f t="shared" si="21"/>
        <v>TRIP-TR-135</v>
      </c>
      <c r="B136" s="13">
        <v>45784</v>
      </c>
      <c r="C136" t="str">
        <f>IF(X136="CUSTOMER DELIVERY",_xlfn.XLOOKUP(D136,'[1]Jan Customer Duplicate Hyva'!$B:$B,'[1]Jan Customer Duplicate Hyva'!$A:$A,"NOT FOUND"),"")</f>
        <v>CUST-206</v>
      </c>
      <c r="D136" s="8" t="s">
        <v>135</v>
      </c>
      <c r="E136" s="2"/>
      <c r="F136" s="2"/>
      <c r="G136" s="2"/>
      <c r="H136" s="2"/>
      <c r="I136" s="2"/>
      <c r="J136" s="2"/>
      <c r="K136" s="2"/>
      <c r="L136" s="8" t="s">
        <v>136</v>
      </c>
      <c r="M136" s="9">
        <v>3</v>
      </c>
      <c r="N136" s="6">
        <v>4750</v>
      </c>
      <c r="O136" s="6">
        <f t="shared" si="14"/>
        <v>14250</v>
      </c>
      <c r="P136" s="6">
        <v>14250</v>
      </c>
      <c r="Q136" s="6">
        <f t="shared" si="15"/>
        <v>0</v>
      </c>
      <c r="R136" s="2" t="str">
        <f t="shared" si="20"/>
        <v>PAID</v>
      </c>
      <c r="S136" s="2"/>
      <c r="T136" s="2">
        <f t="shared" si="16"/>
        <v>14250</v>
      </c>
      <c r="U136" s="2" t="str">
        <f t="shared" si="17"/>
        <v>OK</v>
      </c>
      <c r="V136" s="7">
        <f t="shared" si="18"/>
        <v>0</v>
      </c>
      <c r="W136" s="2" t="str">
        <f t="shared" si="19"/>
        <v>OK</v>
      </c>
      <c r="X136" s="2" t="s">
        <v>26</v>
      </c>
      <c r="Y136" s="2" t="s">
        <v>27</v>
      </c>
      <c r="Z136" s="2" t="s">
        <v>28</v>
      </c>
      <c r="AA136" t="s">
        <v>245</v>
      </c>
      <c r="AB136" t="s">
        <v>245</v>
      </c>
      <c r="AC136" t="s">
        <v>245</v>
      </c>
    </row>
    <row r="137" spans="1:29" x14ac:dyDescent="0.2">
      <c r="A137" t="str">
        <f t="shared" si="21"/>
        <v>TRIP-TR-136</v>
      </c>
      <c r="B137" s="3">
        <v>45784</v>
      </c>
      <c r="C137" t="str">
        <f>IF(X137="CUSTOMER DELIVERY",_xlfn.XLOOKUP(D137,'[1]Jan Customer Duplicate Hyva'!$B:$B,'[1]Jan Customer Duplicate Hyva'!$A:$A,"NOT FOUND"),"")</f>
        <v>CUST-120</v>
      </c>
      <c r="D137" s="8" t="s">
        <v>138</v>
      </c>
      <c r="E137" s="2"/>
      <c r="F137" s="2"/>
      <c r="G137" s="2"/>
      <c r="H137" s="2"/>
      <c r="I137" s="2"/>
      <c r="J137" s="2"/>
      <c r="K137" s="2"/>
      <c r="L137" s="8" t="s">
        <v>104</v>
      </c>
      <c r="M137" s="9">
        <v>5</v>
      </c>
      <c r="N137" s="6">
        <v>4500</v>
      </c>
      <c r="O137" s="6">
        <f t="shared" ref="O137:O200" si="22">N137*M137</f>
        <v>22500</v>
      </c>
      <c r="P137" s="6">
        <v>22500</v>
      </c>
      <c r="Q137" s="6">
        <f t="shared" ref="Q137:Q200" si="23">O137-P137</f>
        <v>0</v>
      </c>
      <c r="R137" s="2" t="str">
        <f t="shared" si="20"/>
        <v>PAID</v>
      </c>
      <c r="S137" s="2"/>
      <c r="T137" s="2">
        <f t="shared" ref="T137:T200" si="24">M137*N137</f>
        <v>22500</v>
      </c>
      <c r="U137" s="2" t="str">
        <f t="shared" ref="U137:U200" si="25">IF(ROUND(T137,2)=ROUND(O137,2),"OK","CHECK")</f>
        <v>OK</v>
      </c>
      <c r="V137" s="7">
        <f t="shared" ref="V137:V200" si="26">O137-P137</f>
        <v>0</v>
      </c>
      <c r="W137" s="2" t="str">
        <f t="shared" ref="W137:W200" si="27">IF(ROUND(V137,2)=ROUND(Q137,2),"OK","CHECK")</f>
        <v>OK</v>
      </c>
      <c r="X137" s="2" t="s">
        <v>26</v>
      </c>
      <c r="Y137" s="2" t="s">
        <v>27</v>
      </c>
      <c r="Z137" s="2" t="s">
        <v>28</v>
      </c>
      <c r="AA137" t="s">
        <v>245</v>
      </c>
      <c r="AB137" t="s">
        <v>245</v>
      </c>
      <c r="AC137" t="s">
        <v>245</v>
      </c>
    </row>
    <row r="138" spans="1:29" x14ac:dyDescent="0.2">
      <c r="A138" t="str">
        <f t="shared" si="21"/>
        <v>TRIP-TR-137</v>
      </c>
      <c r="B138" s="13">
        <v>45785</v>
      </c>
      <c r="C138" t="str">
        <f>IF(X138="CUSTOMER DELIVERY",_xlfn.XLOOKUP(D138,'[1]Jan Customer Duplicate Hyva'!$B:$B,'[1]Jan Customer Duplicate Hyva'!$A:$A,"NOT FOUND"),"")</f>
        <v>CUST-206</v>
      </c>
      <c r="D138" s="8" t="s">
        <v>135</v>
      </c>
      <c r="E138" s="2"/>
      <c r="F138" s="2"/>
      <c r="G138" s="2"/>
      <c r="H138" s="2"/>
      <c r="I138" s="2"/>
      <c r="J138" s="2"/>
      <c r="K138" s="2"/>
      <c r="L138" s="8" t="s">
        <v>136</v>
      </c>
      <c r="M138" s="9">
        <v>2</v>
      </c>
      <c r="N138" s="6">
        <v>4750</v>
      </c>
      <c r="O138" s="6">
        <f t="shared" si="22"/>
        <v>9500</v>
      </c>
      <c r="P138" s="6">
        <v>9500</v>
      </c>
      <c r="Q138" s="6">
        <f t="shared" si="23"/>
        <v>0</v>
      </c>
      <c r="R138" s="2" t="str">
        <f t="shared" ref="R138:R201" si="28">IF(Q138=0,"PAID",IF(P138=0,"UNPAID","PARTIAL"))</f>
        <v>PAID</v>
      </c>
      <c r="S138" s="2"/>
      <c r="T138" s="2">
        <f t="shared" si="24"/>
        <v>9500</v>
      </c>
      <c r="U138" s="2" t="str">
        <f t="shared" si="25"/>
        <v>OK</v>
      </c>
      <c r="V138" s="7">
        <f t="shared" si="26"/>
        <v>0</v>
      </c>
      <c r="W138" s="2" t="str">
        <f t="shared" si="27"/>
        <v>OK</v>
      </c>
      <c r="X138" s="2" t="s">
        <v>26</v>
      </c>
      <c r="Y138" s="2" t="s">
        <v>27</v>
      </c>
      <c r="Z138" s="2" t="s">
        <v>28</v>
      </c>
      <c r="AA138" t="s">
        <v>245</v>
      </c>
      <c r="AB138" t="s">
        <v>245</v>
      </c>
      <c r="AC138" t="s">
        <v>245</v>
      </c>
    </row>
    <row r="139" spans="1:29" x14ac:dyDescent="0.2">
      <c r="A139" t="str">
        <f t="shared" si="21"/>
        <v>TRIP-TR-138</v>
      </c>
      <c r="B139" s="3">
        <v>45785</v>
      </c>
      <c r="C139" t="str">
        <f>IF(X139="CUSTOMER DELIVERY",_xlfn.XLOOKUP(D139,'[1]Jan Customer Duplicate Hyva'!$B:$B,'[1]Jan Customer Duplicate Hyva'!$A:$A,"NOT FOUND"),"")</f>
        <v>CUST-120</v>
      </c>
      <c r="D139" s="8" t="s">
        <v>138</v>
      </c>
      <c r="E139" s="2"/>
      <c r="F139" s="2"/>
      <c r="G139" s="2"/>
      <c r="H139" s="2"/>
      <c r="I139" s="2"/>
      <c r="J139" s="2"/>
      <c r="K139" s="2"/>
      <c r="L139" s="8" t="s">
        <v>104</v>
      </c>
      <c r="M139" s="9">
        <v>1</v>
      </c>
      <c r="N139" s="6">
        <v>4500</v>
      </c>
      <c r="O139" s="6">
        <f t="shared" si="22"/>
        <v>4500</v>
      </c>
      <c r="P139" s="6">
        <v>4500</v>
      </c>
      <c r="Q139" s="6">
        <f t="shared" si="23"/>
        <v>0</v>
      </c>
      <c r="R139" s="2" t="str">
        <f t="shared" si="28"/>
        <v>PAID</v>
      </c>
      <c r="S139" s="2"/>
      <c r="T139" s="2">
        <f t="shared" si="24"/>
        <v>4500</v>
      </c>
      <c r="U139" s="2" t="str">
        <f t="shared" si="25"/>
        <v>OK</v>
      </c>
      <c r="V139" s="7">
        <f t="shared" si="26"/>
        <v>0</v>
      </c>
      <c r="W139" s="2" t="str">
        <f t="shared" si="27"/>
        <v>OK</v>
      </c>
      <c r="X139" s="2" t="s">
        <v>26</v>
      </c>
      <c r="Y139" s="2" t="s">
        <v>27</v>
      </c>
      <c r="Z139" s="2" t="s">
        <v>28</v>
      </c>
      <c r="AA139" t="s">
        <v>245</v>
      </c>
      <c r="AB139" t="s">
        <v>245</v>
      </c>
      <c r="AC139" t="s">
        <v>245</v>
      </c>
    </row>
    <row r="140" spans="1:29" x14ac:dyDescent="0.2">
      <c r="A140" t="str">
        <f t="shared" si="21"/>
        <v>TRIP-TR-139</v>
      </c>
      <c r="B140" s="3">
        <v>45786</v>
      </c>
      <c r="C140" t="str">
        <f>IF(X140="CUSTOMER DELIVERY",_xlfn.XLOOKUP(D140,'[1]Jan Customer Duplicate Hyva'!$B:$B,'[1]Jan Customer Duplicate Hyva'!$A:$A,"NOT FOUND"),"")</f>
        <v>CUST-316</v>
      </c>
      <c r="D140" s="8" t="s">
        <v>105</v>
      </c>
      <c r="E140" s="2"/>
      <c r="F140" s="2"/>
      <c r="G140" s="2"/>
      <c r="H140" s="2"/>
      <c r="I140" s="2"/>
      <c r="J140" s="2"/>
      <c r="K140" s="2"/>
      <c r="L140" s="8" t="s">
        <v>106</v>
      </c>
      <c r="M140" s="9">
        <v>2</v>
      </c>
      <c r="N140" s="6">
        <v>4000</v>
      </c>
      <c r="O140" s="6">
        <f t="shared" si="22"/>
        <v>8000</v>
      </c>
      <c r="P140" s="6">
        <v>8000</v>
      </c>
      <c r="Q140" s="6">
        <f t="shared" si="23"/>
        <v>0</v>
      </c>
      <c r="R140" s="2" t="str">
        <f t="shared" si="28"/>
        <v>PAID</v>
      </c>
      <c r="S140" s="2"/>
      <c r="T140" s="2">
        <f t="shared" si="24"/>
        <v>8000</v>
      </c>
      <c r="U140" s="2" t="str">
        <f t="shared" si="25"/>
        <v>OK</v>
      </c>
      <c r="V140" s="7">
        <f t="shared" si="26"/>
        <v>0</v>
      </c>
      <c r="W140" s="2" t="str">
        <f t="shared" si="27"/>
        <v>OK</v>
      </c>
      <c r="X140" s="2" t="s">
        <v>26</v>
      </c>
      <c r="Y140" s="2" t="s">
        <v>27</v>
      </c>
      <c r="Z140" s="2" t="s">
        <v>28</v>
      </c>
      <c r="AA140" t="s">
        <v>245</v>
      </c>
      <c r="AB140" t="s">
        <v>245</v>
      </c>
      <c r="AC140" t="s">
        <v>245</v>
      </c>
    </row>
    <row r="141" spans="1:29" x14ac:dyDescent="0.2">
      <c r="A141" t="str">
        <f t="shared" si="21"/>
        <v>TRIP-TR-140</v>
      </c>
      <c r="B141" s="3">
        <v>45787</v>
      </c>
      <c r="C141" t="str">
        <f>IF(X141="CUSTOMER DELIVERY",_xlfn.XLOOKUP(D141,'[1]Jan Customer Duplicate Hyva'!$B:$B,'[1]Jan Customer Duplicate Hyva'!$A:$A,"NOT FOUND"),"")</f>
        <v>CUST-373</v>
      </c>
      <c r="D141" s="8" t="s">
        <v>231</v>
      </c>
      <c r="E141" s="2"/>
      <c r="F141" s="2"/>
      <c r="G141" s="2"/>
      <c r="H141" s="2"/>
      <c r="I141" s="2"/>
      <c r="J141" s="2"/>
      <c r="K141" s="2"/>
      <c r="L141" s="8" t="s">
        <v>42</v>
      </c>
      <c r="M141" s="9">
        <v>3</v>
      </c>
      <c r="N141" s="6">
        <v>4800</v>
      </c>
      <c r="O141" s="6">
        <f t="shared" si="22"/>
        <v>14400</v>
      </c>
      <c r="P141" s="6">
        <v>14400</v>
      </c>
      <c r="Q141" s="6">
        <f t="shared" si="23"/>
        <v>0</v>
      </c>
      <c r="R141" s="2" t="str">
        <f t="shared" si="28"/>
        <v>PAID</v>
      </c>
      <c r="S141" s="2"/>
      <c r="T141" s="2">
        <f t="shared" si="24"/>
        <v>14400</v>
      </c>
      <c r="U141" s="2" t="str">
        <f t="shared" si="25"/>
        <v>OK</v>
      </c>
      <c r="V141" s="7">
        <f t="shared" si="26"/>
        <v>0</v>
      </c>
      <c r="W141" s="2" t="str">
        <f t="shared" si="27"/>
        <v>OK</v>
      </c>
      <c r="X141" s="2" t="s">
        <v>26</v>
      </c>
      <c r="Y141" s="2" t="s">
        <v>27</v>
      </c>
      <c r="Z141" s="2" t="s">
        <v>28</v>
      </c>
      <c r="AA141" t="s">
        <v>245</v>
      </c>
      <c r="AB141" t="s">
        <v>245</v>
      </c>
      <c r="AC141" t="s">
        <v>245</v>
      </c>
    </row>
    <row r="142" spans="1:29" x14ac:dyDescent="0.2">
      <c r="A142" t="str">
        <f t="shared" si="21"/>
        <v>TRIP-TR-141</v>
      </c>
      <c r="B142" s="13">
        <v>45788</v>
      </c>
      <c r="C142" t="str">
        <f>IF(X142="CUSTOMER DELIVERY",_xlfn.XLOOKUP(D142,'[1]Jan Customer Duplicate Hyva'!$B:$B,'[1]Jan Customer Duplicate Hyva'!$A:$A,"NOT FOUND"),"")</f>
        <v>CUST-059</v>
      </c>
      <c r="D142" s="8" t="s">
        <v>139</v>
      </c>
      <c r="E142" s="2"/>
      <c r="F142" s="2"/>
      <c r="G142" s="2"/>
      <c r="H142" s="2"/>
      <c r="I142" s="2"/>
      <c r="J142" s="2"/>
      <c r="K142" s="2"/>
      <c r="L142" s="8" t="s">
        <v>140</v>
      </c>
      <c r="M142" s="9">
        <v>1</v>
      </c>
      <c r="N142" s="6">
        <v>5000</v>
      </c>
      <c r="O142" s="6">
        <f t="shared" si="22"/>
        <v>5000</v>
      </c>
      <c r="P142" s="6">
        <v>5000</v>
      </c>
      <c r="Q142" s="6">
        <f t="shared" si="23"/>
        <v>0</v>
      </c>
      <c r="R142" s="2" t="str">
        <f t="shared" si="28"/>
        <v>PAID</v>
      </c>
      <c r="S142" s="2"/>
      <c r="T142" s="2">
        <f t="shared" si="24"/>
        <v>5000</v>
      </c>
      <c r="U142" s="2" t="str">
        <f t="shared" si="25"/>
        <v>OK</v>
      </c>
      <c r="V142" s="7">
        <f t="shared" si="26"/>
        <v>0</v>
      </c>
      <c r="W142" s="2" t="str">
        <f t="shared" si="27"/>
        <v>OK</v>
      </c>
      <c r="X142" s="2" t="s">
        <v>26</v>
      </c>
      <c r="Y142" s="2" t="s">
        <v>27</v>
      </c>
      <c r="Z142" s="2" t="s">
        <v>28</v>
      </c>
      <c r="AA142" t="s">
        <v>245</v>
      </c>
      <c r="AB142" t="s">
        <v>245</v>
      </c>
      <c r="AC142" t="s">
        <v>245</v>
      </c>
    </row>
    <row r="143" spans="1:29" x14ac:dyDescent="0.2">
      <c r="A143" t="str">
        <f t="shared" si="21"/>
        <v>TRIP-TR-142</v>
      </c>
      <c r="B143" s="3">
        <v>45788</v>
      </c>
      <c r="C143" t="str">
        <f>IF(X143="CUSTOMER DELIVERY",_xlfn.XLOOKUP(D143,'[1]Jan Customer Duplicate Hyva'!$B:$B,'[1]Jan Customer Duplicate Hyva'!$A:$A,"NOT FOUND"),"")</f>
        <v>CUST-206</v>
      </c>
      <c r="D143" s="8" t="s">
        <v>135</v>
      </c>
      <c r="E143" s="2"/>
      <c r="F143" s="2"/>
      <c r="G143" s="2"/>
      <c r="H143" s="2"/>
      <c r="I143" s="2"/>
      <c r="J143" s="2"/>
      <c r="K143" s="2"/>
      <c r="L143" s="8" t="s">
        <v>141</v>
      </c>
      <c r="M143" s="9">
        <v>1</v>
      </c>
      <c r="N143" s="6">
        <v>5500</v>
      </c>
      <c r="O143" s="6">
        <f t="shared" si="22"/>
        <v>5500</v>
      </c>
      <c r="P143" s="6">
        <v>5500</v>
      </c>
      <c r="Q143" s="6">
        <f t="shared" si="23"/>
        <v>0</v>
      </c>
      <c r="R143" s="2" t="str">
        <f t="shared" si="28"/>
        <v>PAID</v>
      </c>
      <c r="S143" s="2"/>
      <c r="T143" s="2">
        <f t="shared" si="24"/>
        <v>5500</v>
      </c>
      <c r="U143" s="2" t="str">
        <f t="shared" si="25"/>
        <v>OK</v>
      </c>
      <c r="V143" s="7">
        <f t="shared" si="26"/>
        <v>0</v>
      </c>
      <c r="W143" s="2" t="str">
        <f t="shared" si="27"/>
        <v>OK</v>
      </c>
      <c r="X143" s="2" t="s">
        <v>26</v>
      </c>
      <c r="Y143" s="2" t="s">
        <v>27</v>
      </c>
      <c r="Z143" s="2" t="s">
        <v>28</v>
      </c>
      <c r="AA143" t="s">
        <v>245</v>
      </c>
      <c r="AB143" t="s">
        <v>245</v>
      </c>
      <c r="AC143" t="s">
        <v>245</v>
      </c>
    </row>
    <row r="144" spans="1:29" x14ac:dyDescent="0.2">
      <c r="A144" t="str">
        <f t="shared" si="21"/>
        <v>TRIP-TR-143</v>
      </c>
      <c r="B144" s="3">
        <v>45789</v>
      </c>
      <c r="C144" t="str">
        <f>IF(X144="CUSTOMER DELIVERY",_xlfn.XLOOKUP(D144,'[1]Jan Customer Duplicate Hyva'!$B:$B,'[1]Jan Customer Duplicate Hyva'!$A:$A,"NOT FOUND"),"")</f>
        <v>CUST-059</v>
      </c>
      <c r="D144" s="8" t="s">
        <v>139</v>
      </c>
      <c r="E144" s="2"/>
      <c r="F144" s="2"/>
      <c r="G144" s="2"/>
      <c r="H144" s="2"/>
      <c r="I144" s="2"/>
      <c r="J144" s="2"/>
      <c r="K144" s="2"/>
      <c r="L144" s="8" t="s">
        <v>42</v>
      </c>
      <c r="M144" s="9">
        <v>2</v>
      </c>
      <c r="N144" s="6">
        <v>5000</v>
      </c>
      <c r="O144" s="6">
        <f t="shared" si="22"/>
        <v>10000</v>
      </c>
      <c r="P144" s="6">
        <v>10000</v>
      </c>
      <c r="Q144" s="6">
        <f t="shared" si="23"/>
        <v>0</v>
      </c>
      <c r="R144" s="2" t="str">
        <f t="shared" si="28"/>
        <v>PAID</v>
      </c>
      <c r="S144" s="2"/>
      <c r="T144" s="2">
        <f t="shared" si="24"/>
        <v>10000</v>
      </c>
      <c r="U144" s="2" t="str">
        <f t="shared" si="25"/>
        <v>OK</v>
      </c>
      <c r="V144" s="7">
        <f t="shared" si="26"/>
        <v>0</v>
      </c>
      <c r="W144" s="2" t="str">
        <f t="shared" si="27"/>
        <v>OK</v>
      </c>
      <c r="X144" s="2" t="s">
        <v>26</v>
      </c>
      <c r="Y144" s="2" t="s">
        <v>27</v>
      </c>
      <c r="Z144" s="2" t="s">
        <v>28</v>
      </c>
      <c r="AA144" t="s">
        <v>245</v>
      </c>
      <c r="AB144" t="s">
        <v>245</v>
      </c>
      <c r="AC144" t="s">
        <v>245</v>
      </c>
    </row>
    <row r="145" spans="1:29" x14ac:dyDescent="0.2">
      <c r="A145" t="str">
        <f t="shared" si="21"/>
        <v>TRIP-TR-144</v>
      </c>
      <c r="B145" s="13">
        <v>45790</v>
      </c>
      <c r="C145" t="str">
        <f>IF(X145="CUSTOMER DELIVERY",_xlfn.XLOOKUP(D145,'[1]Jan Customer Duplicate Hyva'!$B:$B,'[1]Jan Customer Duplicate Hyva'!$A:$A,"NOT FOUND"),"")</f>
        <v>CUST-059</v>
      </c>
      <c r="D145" s="8" t="s">
        <v>139</v>
      </c>
      <c r="E145" s="2"/>
      <c r="F145" s="2"/>
      <c r="G145" s="2"/>
      <c r="H145" s="2"/>
      <c r="I145" s="2"/>
      <c r="J145" s="2"/>
      <c r="K145" s="2"/>
      <c r="L145" s="8" t="s">
        <v>122</v>
      </c>
      <c r="M145" s="9">
        <v>1</v>
      </c>
      <c r="N145" s="6">
        <v>5000</v>
      </c>
      <c r="O145" s="6">
        <f t="shared" si="22"/>
        <v>5000</v>
      </c>
      <c r="P145" s="6">
        <v>5000</v>
      </c>
      <c r="Q145" s="6">
        <f t="shared" si="23"/>
        <v>0</v>
      </c>
      <c r="R145" s="2" t="str">
        <f t="shared" si="28"/>
        <v>PAID</v>
      </c>
      <c r="S145" s="2"/>
      <c r="T145" s="2">
        <f t="shared" si="24"/>
        <v>5000</v>
      </c>
      <c r="U145" s="2" t="str">
        <f t="shared" si="25"/>
        <v>OK</v>
      </c>
      <c r="V145" s="7">
        <f t="shared" si="26"/>
        <v>0</v>
      </c>
      <c r="W145" s="2" t="str">
        <f t="shared" si="27"/>
        <v>OK</v>
      </c>
      <c r="X145" s="2" t="s">
        <v>26</v>
      </c>
      <c r="Y145" s="2" t="s">
        <v>27</v>
      </c>
      <c r="Z145" s="2" t="s">
        <v>28</v>
      </c>
      <c r="AA145" t="s">
        <v>245</v>
      </c>
      <c r="AB145" t="s">
        <v>245</v>
      </c>
      <c r="AC145" t="s">
        <v>245</v>
      </c>
    </row>
    <row r="146" spans="1:29" x14ac:dyDescent="0.2">
      <c r="A146" t="str">
        <f t="shared" si="21"/>
        <v>TRIP-TR-145</v>
      </c>
      <c r="B146" s="13">
        <v>45790</v>
      </c>
      <c r="C146" t="str">
        <f>IF(X146="CUSTOMER DELIVERY",_xlfn.XLOOKUP(D146,'[1]Jan Customer Duplicate Hyva'!$B:$B,'[1]Jan Customer Duplicate Hyva'!$A:$A,"NOT FOUND"),"")</f>
        <v>CUST-021</v>
      </c>
      <c r="D146" s="8" t="s">
        <v>123</v>
      </c>
      <c r="E146" s="2"/>
      <c r="F146" s="2"/>
      <c r="G146" s="2"/>
      <c r="H146" s="2"/>
      <c r="I146" s="2"/>
      <c r="J146" s="2"/>
      <c r="K146" s="2"/>
      <c r="L146" s="8" t="s">
        <v>52</v>
      </c>
      <c r="M146" s="9">
        <v>1</v>
      </c>
      <c r="N146" s="6">
        <v>0</v>
      </c>
      <c r="O146" s="6">
        <f t="shared" si="22"/>
        <v>0</v>
      </c>
      <c r="P146" s="6">
        <v>0</v>
      </c>
      <c r="Q146" s="6">
        <f t="shared" si="23"/>
        <v>0</v>
      </c>
      <c r="R146" s="2" t="str">
        <f t="shared" si="28"/>
        <v>PAID</v>
      </c>
      <c r="S146" s="2"/>
      <c r="T146" s="2">
        <f t="shared" si="24"/>
        <v>0</v>
      </c>
      <c r="U146" s="2" t="str">
        <f t="shared" si="25"/>
        <v>OK</v>
      </c>
      <c r="V146" s="7">
        <f t="shared" si="26"/>
        <v>0</v>
      </c>
      <c r="W146" s="2" t="str">
        <f t="shared" si="27"/>
        <v>OK</v>
      </c>
      <c r="X146" s="2" t="s">
        <v>26</v>
      </c>
      <c r="Y146" s="2" t="s">
        <v>27</v>
      </c>
      <c r="Z146" s="2" t="s">
        <v>28</v>
      </c>
      <c r="AA146" t="s">
        <v>245</v>
      </c>
      <c r="AB146" t="s">
        <v>245</v>
      </c>
      <c r="AC146" t="s">
        <v>245</v>
      </c>
    </row>
    <row r="147" spans="1:29" x14ac:dyDescent="0.2">
      <c r="A147" t="str">
        <f t="shared" si="21"/>
        <v>TRIP-TR-146</v>
      </c>
      <c r="B147" s="3">
        <v>45790</v>
      </c>
      <c r="C147" t="str">
        <f>IF(X147="CUSTOMER DELIVERY",_xlfn.XLOOKUP(D147,'[1]Jan Customer Duplicate Hyva'!$B:$B,'[1]Jan Customer Duplicate Hyva'!$A:$A,"NOT FOUND"),"")</f>
        <v>CUST-102</v>
      </c>
      <c r="D147" s="10" t="s">
        <v>71</v>
      </c>
      <c r="E147" s="2"/>
      <c r="F147" s="2"/>
      <c r="G147" s="2"/>
      <c r="H147" s="2"/>
      <c r="I147" s="2"/>
      <c r="J147" s="2"/>
      <c r="K147" s="2"/>
      <c r="L147" s="8" t="s">
        <v>33</v>
      </c>
      <c r="M147" s="9">
        <v>2</v>
      </c>
      <c r="N147" s="6">
        <v>4000</v>
      </c>
      <c r="O147" s="6">
        <f t="shared" si="22"/>
        <v>8000</v>
      </c>
      <c r="P147" s="6">
        <v>8000</v>
      </c>
      <c r="Q147" s="6">
        <f t="shared" si="23"/>
        <v>0</v>
      </c>
      <c r="R147" s="2" t="str">
        <f t="shared" si="28"/>
        <v>PAID</v>
      </c>
      <c r="S147" s="2"/>
      <c r="T147" s="2">
        <f t="shared" si="24"/>
        <v>8000</v>
      </c>
      <c r="U147" s="2" t="str">
        <f t="shared" si="25"/>
        <v>OK</v>
      </c>
      <c r="V147" s="7">
        <f t="shared" si="26"/>
        <v>0</v>
      </c>
      <c r="W147" s="2" t="str">
        <f t="shared" si="27"/>
        <v>OK</v>
      </c>
      <c r="X147" s="2" t="s">
        <v>26</v>
      </c>
      <c r="Y147" s="2" t="s">
        <v>27</v>
      </c>
      <c r="Z147" s="2" t="s">
        <v>28</v>
      </c>
      <c r="AA147" t="s">
        <v>245</v>
      </c>
      <c r="AB147" t="s">
        <v>245</v>
      </c>
      <c r="AC147" t="s">
        <v>245</v>
      </c>
    </row>
    <row r="148" spans="1:29" x14ac:dyDescent="0.2">
      <c r="A148" t="str">
        <f t="shared" si="21"/>
        <v>TRIP-TR-147</v>
      </c>
      <c r="B148" s="3">
        <v>45791</v>
      </c>
      <c r="C148" t="str">
        <f>IF(X148="CUSTOMER DELIVERY",_xlfn.XLOOKUP(D148,'[1]Jan Customer Duplicate Hyva'!$B:$B,'[1]Jan Customer Duplicate Hyva'!$A:$A,"NOT FOUND"),"")</f>
        <v>CUST-293</v>
      </c>
      <c r="D148" s="8" t="s">
        <v>232</v>
      </c>
      <c r="E148" s="2"/>
      <c r="F148" s="2"/>
      <c r="G148" s="2"/>
      <c r="H148" s="2"/>
      <c r="I148" s="2"/>
      <c r="J148" s="2"/>
      <c r="K148" s="2"/>
      <c r="L148" s="8" t="s">
        <v>142</v>
      </c>
      <c r="M148" s="9">
        <v>39</v>
      </c>
      <c r="N148" s="6">
        <v>1000</v>
      </c>
      <c r="O148" s="6">
        <f t="shared" si="22"/>
        <v>39000</v>
      </c>
      <c r="P148" s="6">
        <v>39000</v>
      </c>
      <c r="Q148" s="6">
        <f t="shared" si="23"/>
        <v>0</v>
      </c>
      <c r="R148" s="2" t="str">
        <f t="shared" si="28"/>
        <v>PAID</v>
      </c>
      <c r="S148" s="2"/>
      <c r="T148" s="2">
        <f t="shared" si="24"/>
        <v>39000</v>
      </c>
      <c r="U148" s="2" t="str">
        <f t="shared" si="25"/>
        <v>OK</v>
      </c>
      <c r="V148" s="7">
        <f t="shared" si="26"/>
        <v>0</v>
      </c>
      <c r="W148" s="2" t="str">
        <f t="shared" si="27"/>
        <v>OK</v>
      </c>
      <c r="X148" s="2" t="s">
        <v>26</v>
      </c>
      <c r="Y148" s="2" t="s">
        <v>27</v>
      </c>
      <c r="Z148" s="2" t="s">
        <v>28</v>
      </c>
      <c r="AA148" t="s">
        <v>245</v>
      </c>
      <c r="AB148" t="s">
        <v>245</v>
      </c>
      <c r="AC148" t="s">
        <v>245</v>
      </c>
    </row>
    <row r="149" spans="1:29" x14ac:dyDescent="0.2">
      <c r="A149" t="str">
        <f t="shared" si="21"/>
        <v>TRIP-TR-148</v>
      </c>
      <c r="B149" s="3">
        <v>45792</v>
      </c>
      <c r="C149" t="str">
        <f>IF(X149="CUSTOMER DELIVERY",_xlfn.XLOOKUP(D149,'[1]Jan Customer Duplicate Hyva'!$B:$B,'[1]Jan Customer Duplicate Hyva'!$A:$A,"NOT FOUND"),"")</f>
        <v>CUST-059</v>
      </c>
      <c r="D149" s="8" t="s">
        <v>139</v>
      </c>
      <c r="E149" s="2"/>
      <c r="F149" s="2"/>
      <c r="G149" s="2"/>
      <c r="H149" s="2"/>
      <c r="I149" s="2"/>
      <c r="J149" s="2"/>
      <c r="K149" s="2"/>
      <c r="L149" s="8" t="s">
        <v>116</v>
      </c>
      <c r="M149" s="9">
        <v>2</v>
      </c>
      <c r="N149" s="6">
        <v>4750</v>
      </c>
      <c r="O149" s="6">
        <f t="shared" si="22"/>
        <v>9500</v>
      </c>
      <c r="P149" s="6">
        <v>9500</v>
      </c>
      <c r="Q149" s="6">
        <f t="shared" si="23"/>
        <v>0</v>
      </c>
      <c r="R149" s="2" t="str">
        <f t="shared" si="28"/>
        <v>PAID</v>
      </c>
      <c r="S149" s="2"/>
      <c r="T149" s="2">
        <f t="shared" si="24"/>
        <v>9500</v>
      </c>
      <c r="U149" s="2" t="str">
        <f t="shared" si="25"/>
        <v>OK</v>
      </c>
      <c r="V149" s="7">
        <f t="shared" si="26"/>
        <v>0</v>
      </c>
      <c r="W149" s="2" t="str">
        <f t="shared" si="27"/>
        <v>OK</v>
      </c>
      <c r="X149" s="2" t="s">
        <v>26</v>
      </c>
      <c r="Y149" s="2" t="s">
        <v>27</v>
      </c>
      <c r="Z149" s="2" t="s">
        <v>28</v>
      </c>
      <c r="AA149" t="s">
        <v>245</v>
      </c>
      <c r="AB149" t="s">
        <v>245</v>
      </c>
      <c r="AC149" t="s">
        <v>245</v>
      </c>
    </row>
    <row r="150" spans="1:29" x14ac:dyDescent="0.2">
      <c r="A150" t="str">
        <f t="shared" si="21"/>
        <v>TRIP-TR-149</v>
      </c>
      <c r="B150" s="13">
        <v>45793</v>
      </c>
      <c r="C150" t="str">
        <f>IF(X150="CUSTOMER DELIVERY",_xlfn.XLOOKUP(D150,'[1]Jan Customer Duplicate Hyva'!$B:$B,'[1]Jan Customer Duplicate Hyva'!$A:$A,"NOT FOUND"),"")</f>
        <v>CUST-082</v>
      </c>
      <c r="D150" s="8" t="s">
        <v>237</v>
      </c>
      <c r="E150" s="2"/>
      <c r="F150" s="2"/>
      <c r="G150" s="2"/>
      <c r="H150" s="2"/>
      <c r="I150" s="2"/>
      <c r="J150" s="2"/>
      <c r="K150" s="2"/>
      <c r="L150" s="8" t="s">
        <v>116</v>
      </c>
      <c r="M150" s="9">
        <v>1</v>
      </c>
      <c r="N150" s="6">
        <v>5000</v>
      </c>
      <c r="O150" s="6">
        <f t="shared" si="22"/>
        <v>5000</v>
      </c>
      <c r="P150" s="6">
        <v>5000</v>
      </c>
      <c r="Q150" s="6">
        <f t="shared" si="23"/>
        <v>0</v>
      </c>
      <c r="R150" s="2" t="str">
        <f t="shared" si="28"/>
        <v>PAID</v>
      </c>
      <c r="S150" s="2"/>
      <c r="T150" s="2">
        <f t="shared" si="24"/>
        <v>5000</v>
      </c>
      <c r="U150" s="2" t="str">
        <f t="shared" si="25"/>
        <v>OK</v>
      </c>
      <c r="V150" s="7">
        <f t="shared" si="26"/>
        <v>0</v>
      </c>
      <c r="W150" s="2" t="str">
        <f t="shared" si="27"/>
        <v>OK</v>
      </c>
      <c r="X150" s="2" t="s">
        <v>26</v>
      </c>
      <c r="Y150" s="2" t="s">
        <v>27</v>
      </c>
      <c r="Z150" s="2" t="s">
        <v>28</v>
      </c>
      <c r="AA150" t="s">
        <v>245</v>
      </c>
      <c r="AB150" t="s">
        <v>245</v>
      </c>
      <c r="AC150" t="s">
        <v>245</v>
      </c>
    </row>
    <row r="151" spans="1:29" x14ac:dyDescent="0.2">
      <c r="A151" t="str">
        <f t="shared" si="21"/>
        <v>TRIP-TR-150</v>
      </c>
      <c r="B151" s="3">
        <v>45793</v>
      </c>
      <c r="C151" t="str">
        <f>IF(X151="CUSTOMER DELIVERY",_xlfn.XLOOKUP(D151,'[1]Jan Customer Duplicate Hyva'!$B:$B,'[1]Jan Customer Duplicate Hyva'!$A:$A,"NOT FOUND"),"")</f>
        <v>CUST-293</v>
      </c>
      <c r="D151" s="8" t="s">
        <v>232</v>
      </c>
      <c r="E151" s="2"/>
      <c r="F151" s="2"/>
      <c r="G151" s="2"/>
      <c r="H151" s="2"/>
      <c r="I151" s="2"/>
      <c r="J151" s="2"/>
      <c r="K151" s="2"/>
      <c r="L151" s="8" t="s">
        <v>143</v>
      </c>
      <c r="M151" s="9">
        <v>8</v>
      </c>
      <c r="N151" s="6">
        <v>1000</v>
      </c>
      <c r="O151" s="6">
        <f t="shared" si="22"/>
        <v>8000</v>
      </c>
      <c r="P151" s="6">
        <v>8000</v>
      </c>
      <c r="Q151" s="6">
        <f t="shared" si="23"/>
        <v>0</v>
      </c>
      <c r="R151" s="2" t="str">
        <f t="shared" si="28"/>
        <v>PAID</v>
      </c>
      <c r="S151" s="2"/>
      <c r="T151" s="2">
        <f t="shared" si="24"/>
        <v>8000</v>
      </c>
      <c r="U151" s="2" t="str">
        <f t="shared" si="25"/>
        <v>OK</v>
      </c>
      <c r="V151" s="7">
        <f t="shared" si="26"/>
        <v>0</v>
      </c>
      <c r="W151" s="2" t="str">
        <f t="shared" si="27"/>
        <v>OK</v>
      </c>
      <c r="X151" s="2" t="s">
        <v>26</v>
      </c>
      <c r="Y151" s="2" t="s">
        <v>27</v>
      </c>
      <c r="Z151" s="2" t="s">
        <v>28</v>
      </c>
      <c r="AA151" t="s">
        <v>245</v>
      </c>
      <c r="AB151" t="s">
        <v>245</v>
      </c>
      <c r="AC151" t="s">
        <v>245</v>
      </c>
    </row>
    <row r="152" spans="1:29" x14ac:dyDescent="0.2">
      <c r="A152" t="str">
        <f t="shared" si="21"/>
        <v>TRIP-TR-151</v>
      </c>
      <c r="B152" s="13">
        <v>45794</v>
      </c>
      <c r="C152" t="str">
        <f>IF(X152="CUSTOMER DELIVERY",_xlfn.XLOOKUP(D152,'[1]Jan Customer Duplicate Hyva'!$B:$B,'[1]Jan Customer Duplicate Hyva'!$A:$A,"NOT FOUND"),"")</f>
        <v>CUST-316</v>
      </c>
      <c r="D152" s="8" t="s">
        <v>105</v>
      </c>
      <c r="E152" s="2"/>
      <c r="F152" s="2"/>
      <c r="G152" s="2"/>
      <c r="H152" s="2"/>
      <c r="I152" s="2"/>
      <c r="J152" s="2"/>
      <c r="K152" s="2"/>
      <c r="L152" s="8" t="s">
        <v>144</v>
      </c>
      <c r="M152" s="9">
        <v>9</v>
      </c>
      <c r="N152" s="6">
        <v>800</v>
      </c>
      <c r="O152" s="6">
        <f t="shared" si="22"/>
        <v>7200</v>
      </c>
      <c r="P152" s="6">
        <v>7200</v>
      </c>
      <c r="Q152" s="6">
        <f t="shared" si="23"/>
        <v>0</v>
      </c>
      <c r="R152" s="2" t="str">
        <f t="shared" si="28"/>
        <v>PAID</v>
      </c>
      <c r="S152" s="2"/>
      <c r="T152" s="2">
        <f t="shared" si="24"/>
        <v>7200</v>
      </c>
      <c r="U152" s="2" t="str">
        <f t="shared" si="25"/>
        <v>OK</v>
      </c>
      <c r="V152" s="7">
        <f t="shared" si="26"/>
        <v>0</v>
      </c>
      <c r="W152" s="2" t="str">
        <f t="shared" si="27"/>
        <v>OK</v>
      </c>
      <c r="X152" s="2" t="s">
        <v>26</v>
      </c>
      <c r="Y152" s="2" t="s">
        <v>27</v>
      </c>
      <c r="Z152" s="2" t="s">
        <v>28</v>
      </c>
      <c r="AA152" t="s">
        <v>245</v>
      </c>
      <c r="AB152" t="s">
        <v>245</v>
      </c>
      <c r="AC152" t="s">
        <v>245</v>
      </c>
    </row>
    <row r="153" spans="1:29" x14ac:dyDescent="0.2">
      <c r="A153" t="str">
        <f t="shared" si="21"/>
        <v>TRIP-TR-152</v>
      </c>
      <c r="B153" s="13">
        <v>45794</v>
      </c>
      <c r="C153" t="str">
        <f>IF(X153="CUSTOMER DELIVERY",_xlfn.XLOOKUP(D153,'[1]Jan Customer Duplicate Hyva'!$B:$B,'[1]Jan Customer Duplicate Hyva'!$A:$A,"NOT FOUND"),"")</f>
        <v>CUST-059</v>
      </c>
      <c r="D153" s="8" t="s">
        <v>139</v>
      </c>
      <c r="E153" s="2"/>
      <c r="F153" s="2"/>
      <c r="G153" s="2"/>
      <c r="H153" s="2"/>
      <c r="I153" s="2"/>
      <c r="J153" s="2"/>
      <c r="K153" s="2"/>
      <c r="L153" s="8" t="s">
        <v>122</v>
      </c>
      <c r="M153" s="9">
        <v>2</v>
      </c>
      <c r="N153" s="6">
        <v>5000</v>
      </c>
      <c r="O153" s="6">
        <f t="shared" si="22"/>
        <v>10000</v>
      </c>
      <c r="P153" s="6">
        <v>10000</v>
      </c>
      <c r="Q153" s="6">
        <f t="shared" si="23"/>
        <v>0</v>
      </c>
      <c r="R153" s="2" t="str">
        <f t="shared" si="28"/>
        <v>PAID</v>
      </c>
      <c r="S153" s="2"/>
      <c r="T153" s="2">
        <f t="shared" si="24"/>
        <v>10000</v>
      </c>
      <c r="U153" s="2" t="str">
        <f t="shared" si="25"/>
        <v>OK</v>
      </c>
      <c r="V153" s="7">
        <f t="shared" si="26"/>
        <v>0</v>
      </c>
      <c r="W153" s="2" t="str">
        <f t="shared" si="27"/>
        <v>OK</v>
      </c>
      <c r="X153" s="2" t="s">
        <v>26</v>
      </c>
      <c r="Y153" s="2" t="s">
        <v>27</v>
      </c>
      <c r="Z153" s="2" t="s">
        <v>28</v>
      </c>
      <c r="AA153" t="s">
        <v>245</v>
      </c>
      <c r="AB153" t="s">
        <v>245</v>
      </c>
      <c r="AC153" t="s">
        <v>245</v>
      </c>
    </row>
    <row r="154" spans="1:29" x14ac:dyDescent="0.2">
      <c r="A154" t="str">
        <f t="shared" si="21"/>
        <v>TRIP-TR-153</v>
      </c>
      <c r="B154" s="3">
        <v>45794</v>
      </c>
      <c r="C154" t="str">
        <f>IF(X154="CUSTOMER DELIVERY",_xlfn.XLOOKUP(D154,'[1]Jan Customer Duplicate Hyva'!$B:$B,'[1]Jan Customer Duplicate Hyva'!$A:$A,"NOT FOUND"),"")</f>
        <v>CUST-176</v>
      </c>
      <c r="D154" s="8" t="s">
        <v>110</v>
      </c>
      <c r="E154" s="2"/>
      <c r="F154" s="2"/>
      <c r="G154" s="2"/>
      <c r="H154" s="2"/>
      <c r="I154" s="2"/>
      <c r="J154" s="2"/>
      <c r="K154" s="2"/>
      <c r="L154" s="8" t="s">
        <v>33</v>
      </c>
      <c r="M154" s="9">
        <v>1</v>
      </c>
      <c r="N154" s="6">
        <v>4000</v>
      </c>
      <c r="O154" s="6">
        <f t="shared" si="22"/>
        <v>4000</v>
      </c>
      <c r="P154" s="6">
        <v>4000</v>
      </c>
      <c r="Q154" s="6">
        <f t="shared" si="23"/>
        <v>0</v>
      </c>
      <c r="R154" s="2" t="str">
        <f t="shared" si="28"/>
        <v>PAID</v>
      </c>
      <c r="S154" s="2"/>
      <c r="T154" s="2">
        <f t="shared" si="24"/>
        <v>4000</v>
      </c>
      <c r="U154" s="2" t="str">
        <f t="shared" si="25"/>
        <v>OK</v>
      </c>
      <c r="V154" s="7">
        <f t="shared" si="26"/>
        <v>0</v>
      </c>
      <c r="W154" s="2" t="str">
        <f t="shared" si="27"/>
        <v>OK</v>
      </c>
      <c r="X154" s="2" t="s">
        <v>26</v>
      </c>
      <c r="Y154" s="2" t="s">
        <v>27</v>
      </c>
      <c r="Z154" s="2" t="s">
        <v>28</v>
      </c>
      <c r="AA154" t="s">
        <v>245</v>
      </c>
      <c r="AB154" t="s">
        <v>245</v>
      </c>
      <c r="AC154" t="s">
        <v>245</v>
      </c>
    </row>
    <row r="155" spans="1:29" x14ac:dyDescent="0.2">
      <c r="A155" t="str">
        <f t="shared" si="21"/>
        <v>TRIP-TR-154</v>
      </c>
      <c r="B155" s="13">
        <v>45795</v>
      </c>
      <c r="C155" t="str">
        <f>IF(X155="CUSTOMER DELIVERY",_xlfn.XLOOKUP(D155,'[1]Jan Customer Duplicate Hyva'!$B:$B,'[1]Jan Customer Duplicate Hyva'!$A:$A,"NOT FOUND"),"")</f>
        <v>CUST-337</v>
      </c>
      <c r="D155" s="8" t="s">
        <v>145</v>
      </c>
      <c r="E155" s="2"/>
      <c r="F155" s="2"/>
      <c r="G155" s="2"/>
      <c r="H155" s="2"/>
      <c r="I155" s="2"/>
      <c r="J155" s="2"/>
      <c r="K155" s="2"/>
      <c r="L155" s="8" t="s">
        <v>146</v>
      </c>
      <c r="M155" s="9">
        <v>1</v>
      </c>
      <c r="N155" s="6">
        <v>5000</v>
      </c>
      <c r="O155" s="6">
        <f t="shared" si="22"/>
        <v>5000</v>
      </c>
      <c r="P155" s="6">
        <v>5000</v>
      </c>
      <c r="Q155" s="6">
        <f t="shared" si="23"/>
        <v>0</v>
      </c>
      <c r="R155" s="2" t="str">
        <f t="shared" si="28"/>
        <v>PAID</v>
      </c>
      <c r="S155" s="2"/>
      <c r="T155" s="2">
        <f t="shared" si="24"/>
        <v>5000</v>
      </c>
      <c r="U155" s="2" t="str">
        <f t="shared" si="25"/>
        <v>OK</v>
      </c>
      <c r="V155" s="7">
        <f t="shared" si="26"/>
        <v>0</v>
      </c>
      <c r="W155" s="2" t="str">
        <f t="shared" si="27"/>
        <v>OK</v>
      </c>
      <c r="X155" s="2" t="s">
        <v>26</v>
      </c>
      <c r="Y155" s="2" t="s">
        <v>27</v>
      </c>
      <c r="Z155" s="2" t="s">
        <v>28</v>
      </c>
      <c r="AA155" t="s">
        <v>245</v>
      </c>
      <c r="AB155" t="s">
        <v>245</v>
      </c>
      <c r="AC155" t="s">
        <v>245</v>
      </c>
    </row>
    <row r="156" spans="1:29" x14ac:dyDescent="0.2">
      <c r="A156" t="str">
        <f t="shared" si="21"/>
        <v>TRIP-TR-155</v>
      </c>
      <c r="B156" s="3">
        <v>45795</v>
      </c>
      <c r="C156" t="str">
        <f>IF(X156="CUSTOMER DELIVERY",_xlfn.XLOOKUP(D156,'[1]Jan Customer Duplicate Hyva'!$B:$B,'[1]Jan Customer Duplicate Hyva'!$A:$A,"NOT FOUND"),"")</f>
        <v>CUST-069</v>
      </c>
      <c r="D156" s="8" t="s">
        <v>147</v>
      </c>
      <c r="E156" s="2"/>
      <c r="F156" s="2"/>
      <c r="G156" s="2"/>
      <c r="H156" s="2"/>
      <c r="I156" s="2"/>
      <c r="J156" s="2"/>
      <c r="K156" s="2"/>
      <c r="L156" s="8" t="s">
        <v>116</v>
      </c>
      <c r="M156" s="9">
        <v>2</v>
      </c>
      <c r="N156" s="6">
        <v>5000</v>
      </c>
      <c r="O156" s="6">
        <f t="shared" si="22"/>
        <v>10000</v>
      </c>
      <c r="P156" s="6">
        <v>10000</v>
      </c>
      <c r="Q156" s="6">
        <f t="shared" si="23"/>
        <v>0</v>
      </c>
      <c r="R156" s="2" t="str">
        <f t="shared" si="28"/>
        <v>PAID</v>
      </c>
      <c r="S156" s="2"/>
      <c r="T156" s="2">
        <f t="shared" si="24"/>
        <v>10000</v>
      </c>
      <c r="U156" s="2" t="str">
        <f t="shared" si="25"/>
        <v>OK</v>
      </c>
      <c r="V156" s="7">
        <f t="shared" si="26"/>
        <v>0</v>
      </c>
      <c r="W156" s="2" t="str">
        <f t="shared" si="27"/>
        <v>OK</v>
      </c>
      <c r="X156" s="2" t="s">
        <v>26</v>
      </c>
      <c r="Y156" s="2" t="s">
        <v>27</v>
      </c>
      <c r="Z156" s="2" t="s">
        <v>28</v>
      </c>
      <c r="AA156" t="s">
        <v>245</v>
      </c>
      <c r="AB156" t="s">
        <v>245</v>
      </c>
      <c r="AC156" t="s">
        <v>245</v>
      </c>
    </row>
    <row r="157" spans="1:29" x14ac:dyDescent="0.2">
      <c r="A157" t="str">
        <f t="shared" si="21"/>
        <v>TRIP-TR-156</v>
      </c>
      <c r="B157" s="13">
        <v>45796</v>
      </c>
      <c r="C157" t="str">
        <f>IF(X157="CUSTOMER DELIVERY",_xlfn.XLOOKUP(D157,'[1]Jan Customer Duplicate Hyva'!$B:$B,'[1]Jan Customer Duplicate Hyva'!$A:$A,"NOT FOUND"),"")</f>
        <v>CUST-120</v>
      </c>
      <c r="D157" s="8" t="s">
        <v>138</v>
      </c>
      <c r="E157" s="2"/>
      <c r="F157" s="2"/>
      <c r="G157" s="2"/>
      <c r="H157" s="2"/>
      <c r="I157" s="2"/>
      <c r="J157" s="2"/>
      <c r="K157" s="2"/>
      <c r="L157" s="8" t="s">
        <v>106</v>
      </c>
      <c r="M157" s="9">
        <v>3</v>
      </c>
      <c r="N157" s="6">
        <v>5500</v>
      </c>
      <c r="O157" s="6">
        <f t="shared" si="22"/>
        <v>16500</v>
      </c>
      <c r="P157" s="6">
        <v>16500</v>
      </c>
      <c r="Q157" s="6">
        <f t="shared" si="23"/>
        <v>0</v>
      </c>
      <c r="R157" s="2" t="str">
        <f t="shared" si="28"/>
        <v>PAID</v>
      </c>
      <c r="S157" s="2"/>
      <c r="T157" s="2">
        <f t="shared" si="24"/>
        <v>16500</v>
      </c>
      <c r="U157" s="2" t="str">
        <f t="shared" si="25"/>
        <v>OK</v>
      </c>
      <c r="V157" s="7">
        <f t="shared" si="26"/>
        <v>0</v>
      </c>
      <c r="W157" s="2" t="str">
        <f t="shared" si="27"/>
        <v>OK</v>
      </c>
      <c r="X157" s="2" t="s">
        <v>26</v>
      </c>
      <c r="Y157" s="2" t="s">
        <v>27</v>
      </c>
      <c r="Z157" s="2" t="s">
        <v>28</v>
      </c>
      <c r="AA157" t="s">
        <v>245</v>
      </c>
      <c r="AB157" t="s">
        <v>245</v>
      </c>
      <c r="AC157" t="s">
        <v>245</v>
      </c>
    </row>
    <row r="158" spans="1:29" x14ac:dyDescent="0.2">
      <c r="A158" t="str">
        <f t="shared" si="21"/>
        <v>TRIP-TR-157</v>
      </c>
      <c r="B158" s="13">
        <v>45796</v>
      </c>
      <c r="C158" t="str">
        <f>IF(X158="CUSTOMER DELIVERY",_xlfn.XLOOKUP(D158,'[1]Jan Customer Duplicate Hyva'!$B:$B,'[1]Jan Customer Duplicate Hyva'!$A:$A,"NOT FOUND"),"")</f>
        <v>CUST-194</v>
      </c>
      <c r="D158" s="8" t="s">
        <v>148</v>
      </c>
      <c r="E158" s="2"/>
      <c r="F158" s="2"/>
      <c r="G158" s="2"/>
      <c r="H158" s="2"/>
      <c r="I158" s="2"/>
      <c r="J158" s="2"/>
      <c r="K158" s="2"/>
      <c r="L158" s="8" t="s">
        <v>33</v>
      </c>
      <c r="M158" s="9">
        <v>1</v>
      </c>
      <c r="N158" s="6">
        <v>5000</v>
      </c>
      <c r="O158" s="6">
        <f t="shared" si="22"/>
        <v>5000</v>
      </c>
      <c r="P158" s="6">
        <v>5000</v>
      </c>
      <c r="Q158" s="6">
        <f t="shared" si="23"/>
        <v>0</v>
      </c>
      <c r="R158" s="2" t="str">
        <f t="shared" si="28"/>
        <v>PAID</v>
      </c>
      <c r="S158" s="2"/>
      <c r="T158" s="2">
        <f t="shared" si="24"/>
        <v>5000</v>
      </c>
      <c r="U158" s="2" t="str">
        <f t="shared" si="25"/>
        <v>OK</v>
      </c>
      <c r="V158" s="7">
        <f t="shared" si="26"/>
        <v>0</v>
      </c>
      <c r="W158" s="2" t="str">
        <f t="shared" si="27"/>
        <v>OK</v>
      </c>
      <c r="X158" s="2" t="s">
        <v>26</v>
      </c>
      <c r="Y158" s="2" t="s">
        <v>27</v>
      </c>
      <c r="Z158" s="2" t="s">
        <v>28</v>
      </c>
      <c r="AA158" t="s">
        <v>245</v>
      </c>
      <c r="AB158" t="s">
        <v>245</v>
      </c>
      <c r="AC158" t="s">
        <v>245</v>
      </c>
    </row>
    <row r="159" spans="1:29" x14ac:dyDescent="0.2">
      <c r="A159" t="str">
        <f t="shared" si="21"/>
        <v>TRIP-TR-158</v>
      </c>
      <c r="B159" s="3">
        <v>45796</v>
      </c>
      <c r="C159" t="str">
        <f>IF(X159="CUSTOMER DELIVERY",_xlfn.XLOOKUP(D159,'[1]Jan Customer Duplicate Hyva'!$B:$B,'[1]Jan Customer Duplicate Hyva'!$A:$A,"NOT FOUND"),"")</f>
        <v>CUST-165</v>
      </c>
      <c r="D159" s="8" t="s">
        <v>149</v>
      </c>
      <c r="E159" s="2"/>
      <c r="F159" s="2"/>
      <c r="G159" s="2"/>
      <c r="H159" s="2"/>
      <c r="I159" s="2"/>
      <c r="J159" s="2"/>
      <c r="K159" s="2"/>
      <c r="L159" s="8" t="s">
        <v>38</v>
      </c>
      <c r="M159" s="9">
        <v>1</v>
      </c>
      <c r="N159" s="6">
        <v>5000</v>
      </c>
      <c r="O159" s="6">
        <f t="shared" si="22"/>
        <v>5000</v>
      </c>
      <c r="P159" s="6">
        <v>5000</v>
      </c>
      <c r="Q159" s="6">
        <f t="shared" si="23"/>
        <v>0</v>
      </c>
      <c r="R159" s="2" t="str">
        <f t="shared" si="28"/>
        <v>PAID</v>
      </c>
      <c r="S159" s="2"/>
      <c r="T159" s="2">
        <f t="shared" si="24"/>
        <v>5000</v>
      </c>
      <c r="U159" s="2" t="str">
        <f t="shared" si="25"/>
        <v>OK</v>
      </c>
      <c r="V159" s="7">
        <f t="shared" si="26"/>
        <v>0</v>
      </c>
      <c r="W159" s="2" t="str">
        <f t="shared" si="27"/>
        <v>OK</v>
      </c>
      <c r="X159" s="2" t="s">
        <v>26</v>
      </c>
      <c r="Y159" s="2" t="s">
        <v>27</v>
      </c>
      <c r="Z159" s="2" t="s">
        <v>28</v>
      </c>
      <c r="AA159" t="s">
        <v>245</v>
      </c>
      <c r="AB159" t="s">
        <v>245</v>
      </c>
      <c r="AC159" t="s">
        <v>245</v>
      </c>
    </row>
    <row r="160" spans="1:29" x14ac:dyDescent="0.2">
      <c r="A160" t="str">
        <f t="shared" si="21"/>
        <v>TRIP-TR-159</v>
      </c>
      <c r="B160" s="3">
        <v>45797</v>
      </c>
      <c r="C160" t="str">
        <f>IF(X160="CUSTOMER DELIVERY",_xlfn.XLOOKUP(D160,'[1]Jan Customer Duplicate Hyva'!$B:$B,'[1]Jan Customer Duplicate Hyva'!$A:$A,"NOT FOUND"),"")</f>
        <v>CUST-276</v>
      </c>
      <c r="D160" s="8" t="s">
        <v>150</v>
      </c>
      <c r="E160" s="2"/>
      <c r="F160" s="2"/>
      <c r="G160" s="2"/>
      <c r="H160" s="2"/>
      <c r="I160" s="2"/>
      <c r="J160" s="2"/>
      <c r="K160" s="2"/>
      <c r="L160" s="8" t="s">
        <v>151</v>
      </c>
      <c r="M160" s="9">
        <v>1</v>
      </c>
      <c r="N160" s="6">
        <v>5000</v>
      </c>
      <c r="O160" s="6">
        <f t="shared" si="22"/>
        <v>5000</v>
      </c>
      <c r="P160" s="6">
        <v>5000</v>
      </c>
      <c r="Q160" s="6">
        <f t="shared" si="23"/>
        <v>0</v>
      </c>
      <c r="R160" s="2" t="str">
        <f t="shared" si="28"/>
        <v>PAID</v>
      </c>
      <c r="S160" s="2"/>
      <c r="T160" s="2">
        <f t="shared" si="24"/>
        <v>5000</v>
      </c>
      <c r="U160" s="2" t="str">
        <f t="shared" si="25"/>
        <v>OK</v>
      </c>
      <c r="V160" s="7">
        <f t="shared" si="26"/>
        <v>0</v>
      </c>
      <c r="W160" s="2" t="str">
        <f t="shared" si="27"/>
        <v>OK</v>
      </c>
      <c r="X160" s="2" t="s">
        <v>26</v>
      </c>
      <c r="Y160" s="2" t="s">
        <v>27</v>
      </c>
      <c r="Z160" s="2" t="s">
        <v>28</v>
      </c>
      <c r="AA160" t="s">
        <v>245</v>
      </c>
      <c r="AB160" t="s">
        <v>245</v>
      </c>
      <c r="AC160" t="s">
        <v>245</v>
      </c>
    </row>
    <row r="161" spans="1:29" x14ac:dyDescent="0.2">
      <c r="A161" t="str">
        <f t="shared" si="21"/>
        <v>TRIP-TR-160</v>
      </c>
      <c r="B161" s="13">
        <v>45798</v>
      </c>
      <c r="C161" t="str">
        <f>IF(X161="CUSTOMER DELIVERY",_xlfn.XLOOKUP(D161,'[1]Jan Customer Duplicate Hyva'!$B:$B,'[1]Jan Customer Duplicate Hyva'!$A:$A,"NOT FOUND"),"")</f>
        <v>CUST-072</v>
      </c>
      <c r="D161" s="8" t="s">
        <v>152</v>
      </c>
      <c r="E161" s="2"/>
      <c r="F161" s="2"/>
      <c r="G161" s="2"/>
      <c r="H161" s="2"/>
      <c r="I161" s="2"/>
      <c r="J161" s="2"/>
      <c r="K161" s="2"/>
      <c r="L161" s="8" t="s">
        <v>153</v>
      </c>
      <c r="M161" s="9">
        <v>1</v>
      </c>
      <c r="N161" s="6">
        <v>4000</v>
      </c>
      <c r="O161" s="6">
        <f t="shared" si="22"/>
        <v>4000</v>
      </c>
      <c r="P161" s="6">
        <v>4000</v>
      </c>
      <c r="Q161" s="6">
        <f t="shared" si="23"/>
        <v>0</v>
      </c>
      <c r="R161" s="2" t="str">
        <f t="shared" si="28"/>
        <v>PAID</v>
      </c>
      <c r="S161" s="2"/>
      <c r="T161" s="2">
        <f t="shared" si="24"/>
        <v>4000</v>
      </c>
      <c r="U161" s="2" t="str">
        <f t="shared" si="25"/>
        <v>OK</v>
      </c>
      <c r="V161" s="7">
        <f t="shared" si="26"/>
        <v>0</v>
      </c>
      <c r="W161" s="2" t="str">
        <f t="shared" si="27"/>
        <v>OK</v>
      </c>
      <c r="X161" s="2" t="s">
        <v>26</v>
      </c>
      <c r="Y161" s="2" t="s">
        <v>27</v>
      </c>
      <c r="Z161" s="2" t="s">
        <v>28</v>
      </c>
      <c r="AA161" t="s">
        <v>245</v>
      </c>
      <c r="AB161" t="s">
        <v>245</v>
      </c>
      <c r="AC161" t="s">
        <v>245</v>
      </c>
    </row>
    <row r="162" spans="1:29" x14ac:dyDescent="0.2">
      <c r="A162" t="str">
        <f t="shared" si="21"/>
        <v>TRIP-TR-161</v>
      </c>
      <c r="B162" s="3">
        <v>45798</v>
      </c>
      <c r="C162" t="str">
        <f>IF(X162="CUSTOMER DELIVERY",_xlfn.XLOOKUP(D162,'[1]Jan Customer Duplicate Hyva'!$B:$B,'[1]Jan Customer Duplicate Hyva'!$A:$A,"NOT FOUND"),"")</f>
        <v>CUST-257</v>
      </c>
      <c r="D162" s="8" t="s">
        <v>154</v>
      </c>
      <c r="E162" s="2"/>
      <c r="F162" s="2"/>
      <c r="G162" s="2"/>
      <c r="H162" s="2"/>
      <c r="I162" s="2"/>
      <c r="J162" s="2"/>
      <c r="K162" s="2"/>
      <c r="L162" s="8" t="s">
        <v>155</v>
      </c>
      <c r="M162" s="9">
        <v>2</v>
      </c>
      <c r="N162" s="6">
        <v>5000</v>
      </c>
      <c r="O162" s="6">
        <f t="shared" si="22"/>
        <v>10000</v>
      </c>
      <c r="P162" s="6">
        <v>10000</v>
      </c>
      <c r="Q162" s="6">
        <f t="shared" si="23"/>
        <v>0</v>
      </c>
      <c r="R162" s="2" t="str">
        <f t="shared" si="28"/>
        <v>PAID</v>
      </c>
      <c r="S162" s="2"/>
      <c r="T162" s="2">
        <f t="shared" si="24"/>
        <v>10000</v>
      </c>
      <c r="U162" s="2" t="str">
        <f t="shared" si="25"/>
        <v>OK</v>
      </c>
      <c r="V162" s="7">
        <f t="shared" si="26"/>
        <v>0</v>
      </c>
      <c r="W162" s="2" t="str">
        <f t="shared" si="27"/>
        <v>OK</v>
      </c>
      <c r="X162" s="2" t="s">
        <v>26</v>
      </c>
      <c r="Y162" s="2" t="s">
        <v>27</v>
      </c>
      <c r="Z162" s="2" t="s">
        <v>28</v>
      </c>
      <c r="AA162" t="s">
        <v>245</v>
      </c>
      <c r="AB162" t="s">
        <v>245</v>
      </c>
      <c r="AC162" t="s">
        <v>245</v>
      </c>
    </row>
    <row r="163" spans="1:29" x14ac:dyDescent="0.2">
      <c r="A163" t="str">
        <f t="shared" si="21"/>
        <v>TRIP-TR-162</v>
      </c>
      <c r="B163" s="3">
        <v>45799</v>
      </c>
      <c r="C163" t="str">
        <f>IF(X163="CUSTOMER DELIVERY",_xlfn.XLOOKUP(D163,'[1]Jan Customer Duplicate Hyva'!$B:$B,'[1]Jan Customer Duplicate Hyva'!$A:$A,"NOT FOUND"),"")</f>
        <v>CUST-265</v>
      </c>
      <c r="D163" s="8" t="s">
        <v>119</v>
      </c>
      <c r="E163" s="2"/>
      <c r="F163" s="2"/>
      <c r="G163" s="2"/>
      <c r="H163" s="2"/>
      <c r="I163" s="2"/>
      <c r="J163" s="2"/>
      <c r="K163" s="2"/>
      <c r="L163" s="8" t="s">
        <v>156</v>
      </c>
      <c r="M163" s="9">
        <v>1</v>
      </c>
      <c r="N163" s="6">
        <v>7000</v>
      </c>
      <c r="O163" s="6">
        <f t="shared" si="22"/>
        <v>7000</v>
      </c>
      <c r="P163" s="6">
        <v>7000</v>
      </c>
      <c r="Q163" s="6">
        <f t="shared" si="23"/>
        <v>0</v>
      </c>
      <c r="R163" s="2" t="str">
        <f t="shared" si="28"/>
        <v>PAID</v>
      </c>
      <c r="S163" s="2"/>
      <c r="T163" s="2">
        <f t="shared" si="24"/>
        <v>7000</v>
      </c>
      <c r="U163" s="2" t="str">
        <f t="shared" si="25"/>
        <v>OK</v>
      </c>
      <c r="V163" s="7">
        <f t="shared" si="26"/>
        <v>0</v>
      </c>
      <c r="W163" s="2" t="str">
        <f t="shared" si="27"/>
        <v>OK</v>
      </c>
      <c r="X163" s="2" t="s">
        <v>26</v>
      </c>
      <c r="Y163" s="2" t="s">
        <v>27</v>
      </c>
      <c r="Z163" s="2" t="s">
        <v>28</v>
      </c>
      <c r="AA163" t="s">
        <v>245</v>
      </c>
      <c r="AB163" t="s">
        <v>245</v>
      </c>
      <c r="AC163" t="s">
        <v>245</v>
      </c>
    </row>
    <row r="164" spans="1:29" x14ac:dyDescent="0.2">
      <c r="A164" t="str">
        <f t="shared" si="21"/>
        <v>TRIP-TR-163</v>
      </c>
      <c r="B164" s="13">
        <v>45803</v>
      </c>
      <c r="C164" t="str">
        <f>IF(X164="CUSTOMER DELIVERY",_xlfn.XLOOKUP(D164,'[1]Jan Customer Duplicate Hyva'!$B:$B,'[1]Jan Customer Duplicate Hyva'!$A:$A,"NOT FOUND"),"")</f>
        <v>CUST-347</v>
      </c>
      <c r="D164" s="8" t="s">
        <v>233</v>
      </c>
      <c r="E164" s="2"/>
      <c r="F164" s="2"/>
      <c r="G164" s="2"/>
      <c r="H164" s="2"/>
      <c r="I164" s="2"/>
      <c r="J164" s="2"/>
      <c r="K164" s="2"/>
      <c r="L164" s="8" t="s">
        <v>157</v>
      </c>
      <c r="M164" s="9">
        <v>1</v>
      </c>
      <c r="N164" s="6">
        <v>800</v>
      </c>
      <c r="O164" s="6">
        <f t="shared" si="22"/>
        <v>800</v>
      </c>
      <c r="P164" s="6">
        <v>800</v>
      </c>
      <c r="Q164" s="6">
        <f t="shared" si="23"/>
        <v>0</v>
      </c>
      <c r="R164" s="2" t="str">
        <f t="shared" si="28"/>
        <v>PAID</v>
      </c>
      <c r="S164" s="2"/>
      <c r="T164" s="2">
        <f t="shared" si="24"/>
        <v>800</v>
      </c>
      <c r="U164" s="2" t="str">
        <f t="shared" si="25"/>
        <v>OK</v>
      </c>
      <c r="V164" s="7">
        <f t="shared" si="26"/>
        <v>0</v>
      </c>
      <c r="W164" s="2" t="str">
        <f t="shared" si="27"/>
        <v>OK</v>
      </c>
      <c r="X164" s="2" t="s">
        <v>26</v>
      </c>
      <c r="Y164" s="2" t="s">
        <v>27</v>
      </c>
      <c r="Z164" s="2" t="s">
        <v>28</v>
      </c>
      <c r="AA164" t="s">
        <v>245</v>
      </c>
      <c r="AB164" t="s">
        <v>245</v>
      </c>
      <c r="AC164" t="s">
        <v>245</v>
      </c>
    </row>
    <row r="165" spans="1:29" x14ac:dyDescent="0.2">
      <c r="A165" t="str">
        <f t="shared" si="21"/>
        <v>TRIP-TR-164</v>
      </c>
      <c r="B165" s="3">
        <v>45803</v>
      </c>
      <c r="C165" t="str">
        <f>IF(X165="CUSTOMER DELIVERY",_xlfn.XLOOKUP(D165,'[1]Jan Customer Duplicate Hyva'!$B:$B,'[1]Jan Customer Duplicate Hyva'!$A:$A,"NOT FOUND"),"")</f>
        <v>CUST-347</v>
      </c>
      <c r="D165" s="8" t="s">
        <v>233</v>
      </c>
      <c r="E165" s="2"/>
      <c r="F165" s="2"/>
      <c r="G165" s="2"/>
      <c r="H165" s="2"/>
      <c r="I165" s="2"/>
      <c r="J165" s="2"/>
      <c r="K165" s="2"/>
      <c r="L165" s="8" t="s">
        <v>157</v>
      </c>
      <c r="M165" s="9">
        <v>9</v>
      </c>
      <c r="N165" s="6">
        <v>800</v>
      </c>
      <c r="O165" s="6">
        <f t="shared" si="22"/>
        <v>7200</v>
      </c>
      <c r="P165" s="6">
        <v>7200</v>
      </c>
      <c r="Q165" s="6">
        <f t="shared" si="23"/>
        <v>0</v>
      </c>
      <c r="R165" s="2" t="str">
        <f t="shared" si="28"/>
        <v>PAID</v>
      </c>
      <c r="S165" s="2"/>
      <c r="T165" s="2">
        <f t="shared" si="24"/>
        <v>7200</v>
      </c>
      <c r="U165" s="2" t="str">
        <f t="shared" si="25"/>
        <v>OK</v>
      </c>
      <c r="V165" s="7">
        <f t="shared" si="26"/>
        <v>0</v>
      </c>
      <c r="W165" s="2" t="str">
        <f t="shared" si="27"/>
        <v>OK</v>
      </c>
      <c r="X165" s="2" t="s">
        <v>26</v>
      </c>
      <c r="Y165" s="2" t="s">
        <v>27</v>
      </c>
      <c r="Z165" s="2" t="s">
        <v>28</v>
      </c>
      <c r="AA165" t="s">
        <v>245</v>
      </c>
      <c r="AB165" t="s">
        <v>245</v>
      </c>
      <c r="AC165" t="s">
        <v>245</v>
      </c>
    </row>
    <row r="166" spans="1:29" x14ac:dyDescent="0.2">
      <c r="A166" t="str">
        <f t="shared" si="21"/>
        <v>TRIP-TR-165</v>
      </c>
      <c r="B166" s="3">
        <v>45804</v>
      </c>
      <c r="C166" t="str">
        <f>IF(X166="CUSTOMER DELIVERY",_xlfn.XLOOKUP(D166,'[1]Jan Customer Duplicate Hyva'!$B:$B,'[1]Jan Customer Duplicate Hyva'!$A:$A,"NOT FOUND"),"")</f>
        <v>CUST-021</v>
      </c>
      <c r="D166" s="8" t="s">
        <v>123</v>
      </c>
      <c r="E166" s="2"/>
      <c r="F166" s="2"/>
      <c r="G166" s="2"/>
      <c r="H166" s="2"/>
      <c r="I166" s="2"/>
      <c r="J166" s="2"/>
      <c r="K166" s="2"/>
      <c r="L166" s="8" t="s">
        <v>52</v>
      </c>
      <c r="M166" s="9">
        <v>1</v>
      </c>
      <c r="N166" s="6">
        <v>0</v>
      </c>
      <c r="O166" s="6">
        <f t="shared" si="22"/>
        <v>0</v>
      </c>
      <c r="P166" s="6">
        <v>0</v>
      </c>
      <c r="Q166" s="6">
        <f t="shared" si="23"/>
        <v>0</v>
      </c>
      <c r="R166" s="2" t="str">
        <f t="shared" si="28"/>
        <v>PAID</v>
      </c>
      <c r="S166" s="2"/>
      <c r="T166" s="2">
        <f t="shared" si="24"/>
        <v>0</v>
      </c>
      <c r="U166" s="2" t="str">
        <f t="shared" si="25"/>
        <v>OK</v>
      </c>
      <c r="V166" s="7">
        <f t="shared" si="26"/>
        <v>0</v>
      </c>
      <c r="W166" s="2" t="str">
        <f t="shared" si="27"/>
        <v>OK</v>
      </c>
      <c r="X166" s="2" t="s">
        <v>26</v>
      </c>
      <c r="Y166" s="2" t="s">
        <v>27</v>
      </c>
      <c r="Z166" s="2" t="s">
        <v>28</v>
      </c>
      <c r="AA166" t="s">
        <v>245</v>
      </c>
      <c r="AB166" t="s">
        <v>245</v>
      </c>
      <c r="AC166" t="s">
        <v>245</v>
      </c>
    </row>
    <row r="167" spans="1:29" x14ac:dyDescent="0.2">
      <c r="A167" t="str">
        <f t="shared" si="21"/>
        <v>TRIP-TR-166</v>
      </c>
      <c r="B167" s="3">
        <v>45804</v>
      </c>
      <c r="C167" t="str">
        <f>IF(X167="CUSTOMER DELIVERY",_xlfn.XLOOKUP(D167,'[1]Jan Customer Duplicate Hyva'!$B:$B,'[1]Jan Customer Duplicate Hyva'!$A:$A,"NOT FOUND"),"")</f>
        <v>CUST-040</v>
      </c>
      <c r="D167" s="8" t="s">
        <v>158</v>
      </c>
      <c r="E167" s="2"/>
      <c r="F167" s="2"/>
      <c r="G167" s="2"/>
      <c r="H167" s="2"/>
      <c r="I167" s="2"/>
      <c r="J167" s="2"/>
      <c r="K167" s="2"/>
      <c r="L167" s="8" t="s">
        <v>33</v>
      </c>
      <c r="M167" s="9">
        <v>1</v>
      </c>
      <c r="N167" s="6">
        <v>4000</v>
      </c>
      <c r="O167" s="6">
        <f t="shared" si="22"/>
        <v>4000</v>
      </c>
      <c r="P167" s="6">
        <v>4000</v>
      </c>
      <c r="Q167" s="6">
        <f t="shared" si="23"/>
        <v>0</v>
      </c>
      <c r="R167" s="2" t="str">
        <f t="shared" si="28"/>
        <v>PAID</v>
      </c>
      <c r="S167" s="2"/>
      <c r="T167" s="2">
        <f t="shared" si="24"/>
        <v>4000</v>
      </c>
      <c r="U167" s="2" t="str">
        <f t="shared" si="25"/>
        <v>OK</v>
      </c>
      <c r="V167" s="7">
        <f t="shared" si="26"/>
        <v>0</v>
      </c>
      <c r="W167" s="2" t="str">
        <f t="shared" si="27"/>
        <v>OK</v>
      </c>
      <c r="X167" s="2" t="s">
        <v>26</v>
      </c>
      <c r="Y167" s="2" t="s">
        <v>27</v>
      </c>
      <c r="Z167" s="2" t="s">
        <v>28</v>
      </c>
      <c r="AA167" t="s">
        <v>245</v>
      </c>
      <c r="AB167" t="s">
        <v>245</v>
      </c>
      <c r="AC167" t="s">
        <v>245</v>
      </c>
    </row>
    <row r="168" spans="1:29" x14ac:dyDescent="0.2">
      <c r="A168" t="str">
        <f t="shared" si="21"/>
        <v>TRIP-TR-167</v>
      </c>
      <c r="B168" s="13">
        <v>45805</v>
      </c>
      <c r="C168" t="str">
        <f>IF(X168="CUSTOMER DELIVERY",_xlfn.XLOOKUP(D168,'[1]Jan Customer Duplicate Hyva'!$B:$B,'[1]Jan Customer Duplicate Hyva'!$A:$A,"NOT FOUND"),"")</f>
        <v>CUST-058</v>
      </c>
      <c r="D168" s="8" t="s">
        <v>36</v>
      </c>
      <c r="E168" s="2"/>
      <c r="F168" s="2"/>
      <c r="G168" s="2"/>
      <c r="H168" s="2"/>
      <c r="I168" s="2"/>
      <c r="J168" s="2"/>
      <c r="K168" s="2"/>
      <c r="L168" s="8" t="s">
        <v>33</v>
      </c>
      <c r="M168" s="9">
        <v>1</v>
      </c>
      <c r="N168" s="6">
        <v>4000</v>
      </c>
      <c r="O168" s="6">
        <f t="shared" si="22"/>
        <v>4000</v>
      </c>
      <c r="P168" s="6">
        <v>4000</v>
      </c>
      <c r="Q168" s="6">
        <f t="shared" si="23"/>
        <v>0</v>
      </c>
      <c r="R168" s="2" t="str">
        <f t="shared" si="28"/>
        <v>PAID</v>
      </c>
      <c r="S168" s="2"/>
      <c r="T168" s="2">
        <f t="shared" si="24"/>
        <v>4000</v>
      </c>
      <c r="U168" s="2" t="str">
        <f t="shared" si="25"/>
        <v>OK</v>
      </c>
      <c r="V168" s="7">
        <f t="shared" si="26"/>
        <v>0</v>
      </c>
      <c r="W168" s="2" t="str">
        <f t="shared" si="27"/>
        <v>OK</v>
      </c>
      <c r="X168" s="2" t="s">
        <v>26</v>
      </c>
      <c r="Y168" s="2" t="s">
        <v>27</v>
      </c>
      <c r="Z168" s="2" t="s">
        <v>28</v>
      </c>
      <c r="AA168" t="s">
        <v>245</v>
      </c>
      <c r="AB168" t="s">
        <v>245</v>
      </c>
      <c r="AC168" t="s">
        <v>245</v>
      </c>
    </row>
    <row r="169" spans="1:29" x14ac:dyDescent="0.2">
      <c r="A169" t="str">
        <f t="shared" si="21"/>
        <v>TRIP-TR-168</v>
      </c>
      <c r="B169" s="13">
        <v>45805</v>
      </c>
      <c r="C169" t="str">
        <f>IF(X169="CUSTOMER DELIVERY",_xlfn.XLOOKUP(D169,'[1]Jan Customer Duplicate Hyva'!$B:$B,'[1]Jan Customer Duplicate Hyva'!$A:$A,"NOT FOUND"),"")</f>
        <v>CUST-298</v>
      </c>
      <c r="D169" s="8" t="s">
        <v>159</v>
      </c>
      <c r="E169" s="2"/>
      <c r="F169" s="2"/>
      <c r="G169" s="2"/>
      <c r="H169" s="2"/>
      <c r="I169" s="2"/>
      <c r="J169" s="2"/>
      <c r="K169" s="2"/>
      <c r="L169" s="8" t="s">
        <v>42</v>
      </c>
      <c r="M169" s="9">
        <v>2</v>
      </c>
      <c r="N169" s="6">
        <v>5000</v>
      </c>
      <c r="O169" s="6">
        <f t="shared" si="22"/>
        <v>10000</v>
      </c>
      <c r="P169" s="6">
        <v>10000</v>
      </c>
      <c r="Q169" s="6">
        <f t="shared" si="23"/>
        <v>0</v>
      </c>
      <c r="R169" s="2" t="str">
        <f t="shared" si="28"/>
        <v>PAID</v>
      </c>
      <c r="S169" s="2"/>
      <c r="T169" s="2">
        <f t="shared" si="24"/>
        <v>10000</v>
      </c>
      <c r="U169" s="2" t="str">
        <f t="shared" si="25"/>
        <v>OK</v>
      </c>
      <c r="V169" s="7">
        <f t="shared" si="26"/>
        <v>0</v>
      </c>
      <c r="W169" s="2" t="str">
        <f t="shared" si="27"/>
        <v>OK</v>
      </c>
      <c r="X169" s="2" t="s">
        <v>26</v>
      </c>
      <c r="Y169" s="2" t="s">
        <v>27</v>
      </c>
      <c r="Z169" s="2" t="s">
        <v>28</v>
      </c>
      <c r="AA169" t="s">
        <v>245</v>
      </c>
      <c r="AB169" t="s">
        <v>245</v>
      </c>
      <c r="AC169" t="s">
        <v>245</v>
      </c>
    </row>
    <row r="170" spans="1:29" x14ac:dyDescent="0.2">
      <c r="A170" t="str">
        <f t="shared" si="21"/>
        <v>TRIP-TR-169</v>
      </c>
      <c r="B170" s="3">
        <v>45805</v>
      </c>
      <c r="C170" t="str">
        <f>IF(X170="CUSTOMER DELIVERY",_xlfn.XLOOKUP(D170,'[1]Jan Customer Duplicate Hyva'!$B:$B,'[1]Jan Customer Duplicate Hyva'!$A:$A,"NOT FOUND"),"")</f>
        <v>CUST-347</v>
      </c>
      <c r="D170" s="8" t="s">
        <v>233</v>
      </c>
      <c r="E170" s="2"/>
      <c r="F170" s="2"/>
      <c r="G170" s="2"/>
      <c r="H170" s="2"/>
      <c r="I170" s="2"/>
      <c r="J170" s="2"/>
      <c r="K170" s="2"/>
      <c r="L170" s="8" t="s">
        <v>157</v>
      </c>
      <c r="M170" s="9">
        <v>12</v>
      </c>
      <c r="N170" s="6">
        <v>800</v>
      </c>
      <c r="O170" s="6">
        <f t="shared" si="22"/>
        <v>9600</v>
      </c>
      <c r="P170" s="6">
        <v>9600</v>
      </c>
      <c r="Q170" s="6">
        <f t="shared" si="23"/>
        <v>0</v>
      </c>
      <c r="R170" s="2" t="str">
        <f t="shared" si="28"/>
        <v>PAID</v>
      </c>
      <c r="S170" s="2"/>
      <c r="T170" s="2">
        <f t="shared" si="24"/>
        <v>9600</v>
      </c>
      <c r="U170" s="2" t="str">
        <f t="shared" si="25"/>
        <v>OK</v>
      </c>
      <c r="V170" s="7">
        <f t="shared" si="26"/>
        <v>0</v>
      </c>
      <c r="W170" s="2" t="str">
        <f t="shared" si="27"/>
        <v>OK</v>
      </c>
      <c r="X170" s="2" t="s">
        <v>26</v>
      </c>
      <c r="Y170" s="2" t="s">
        <v>27</v>
      </c>
      <c r="Z170" s="2" t="s">
        <v>28</v>
      </c>
      <c r="AA170" t="s">
        <v>245</v>
      </c>
      <c r="AB170" t="s">
        <v>245</v>
      </c>
      <c r="AC170" t="s">
        <v>245</v>
      </c>
    </row>
    <row r="171" spans="1:29" x14ac:dyDescent="0.2">
      <c r="A171" t="str">
        <f t="shared" si="21"/>
        <v>TRIP-TR-170</v>
      </c>
      <c r="B171" s="3">
        <v>45805</v>
      </c>
      <c r="C171" t="str">
        <f>IF(X171="CUSTOMER DELIVERY",_xlfn.XLOOKUP(D171,'[1]Jan Customer Duplicate Hyva'!$B:$B,'[1]Jan Customer Duplicate Hyva'!$A:$A,"NOT FOUND"),"")</f>
        <v>CUST-230</v>
      </c>
      <c r="D171" s="8" t="s">
        <v>234</v>
      </c>
      <c r="E171" s="2"/>
      <c r="F171" s="2"/>
      <c r="G171" s="2"/>
      <c r="H171" s="2"/>
      <c r="I171" s="2"/>
      <c r="J171" s="2"/>
      <c r="K171" s="2"/>
      <c r="L171" s="8" t="s">
        <v>129</v>
      </c>
      <c r="M171" s="9">
        <v>1</v>
      </c>
      <c r="N171" s="6">
        <v>5000</v>
      </c>
      <c r="O171" s="6">
        <f t="shared" si="22"/>
        <v>5000</v>
      </c>
      <c r="P171" s="6">
        <v>5000</v>
      </c>
      <c r="Q171" s="6">
        <f t="shared" si="23"/>
        <v>0</v>
      </c>
      <c r="R171" s="2" t="str">
        <f t="shared" si="28"/>
        <v>PAID</v>
      </c>
      <c r="S171" s="2"/>
      <c r="T171" s="2">
        <f t="shared" si="24"/>
        <v>5000</v>
      </c>
      <c r="U171" s="2" t="str">
        <f t="shared" si="25"/>
        <v>OK</v>
      </c>
      <c r="V171" s="7">
        <f t="shared" si="26"/>
        <v>0</v>
      </c>
      <c r="W171" s="2" t="str">
        <f t="shared" si="27"/>
        <v>OK</v>
      </c>
      <c r="X171" s="2" t="s">
        <v>26</v>
      </c>
      <c r="Y171" s="2" t="s">
        <v>27</v>
      </c>
      <c r="Z171" s="2" t="s">
        <v>28</v>
      </c>
      <c r="AA171" t="s">
        <v>245</v>
      </c>
      <c r="AB171" t="s">
        <v>245</v>
      </c>
      <c r="AC171" t="s">
        <v>245</v>
      </c>
    </row>
    <row r="172" spans="1:29" x14ac:dyDescent="0.2">
      <c r="A172" t="str">
        <f t="shared" si="21"/>
        <v>TRIP-TR-171</v>
      </c>
      <c r="B172" s="13">
        <v>45806</v>
      </c>
      <c r="C172" t="str">
        <f>IF(X172="CUSTOMER DELIVERY",_xlfn.XLOOKUP(D172,'[1]Jan Customer Duplicate Hyva'!$B:$B,'[1]Jan Customer Duplicate Hyva'!$A:$A,"NOT FOUND"),"")</f>
        <v>CUST-120</v>
      </c>
      <c r="D172" s="8" t="s">
        <v>138</v>
      </c>
      <c r="E172" s="2"/>
      <c r="F172" s="2"/>
      <c r="G172" s="2"/>
      <c r="H172" s="2"/>
      <c r="I172" s="2"/>
      <c r="J172" s="2"/>
      <c r="K172" s="2"/>
      <c r="L172" s="8" t="s">
        <v>106</v>
      </c>
      <c r="M172" s="9">
        <v>3</v>
      </c>
      <c r="N172" s="6">
        <v>5500</v>
      </c>
      <c r="O172" s="6">
        <f t="shared" si="22"/>
        <v>16500</v>
      </c>
      <c r="P172" s="6">
        <v>16500</v>
      </c>
      <c r="Q172" s="6">
        <f t="shared" si="23"/>
        <v>0</v>
      </c>
      <c r="R172" s="2" t="str">
        <f t="shared" si="28"/>
        <v>PAID</v>
      </c>
      <c r="S172" s="2"/>
      <c r="T172" s="2">
        <f t="shared" si="24"/>
        <v>16500</v>
      </c>
      <c r="U172" s="2" t="str">
        <f t="shared" si="25"/>
        <v>OK</v>
      </c>
      <c r="V172" s="7">
        <f t="shared" si="26"/>
        <v>0</v>
      </c>
      <c r="W172" s="2" t="str">
        <f t="shared" si="27"/>
        <v>OK</v>
      </c>
      <c r="X172" s="2" t="s">
        <v>26</v>
      </c>
      <c r="Y172" s="2" t="s">
        <v>27</v>
      </c>
      <c r="Z172" s="2" t="s">
        <v>28</v>
      </c>
      <c r="AA172" t="s">
        <v>245</v>
      </c>
      <c r="AB172" t="s">
        <v>245</v>
      </c>
      <c r="AC172" t="s">
        <v>245</v>
      </c>
    </row>
    <row r="173" spans="1:29" x14ac:dyDescent="0.2">
      <c r="A173" t="str">
        <f t="shared" si="21"/>
        <v>TRIP-TR-172</v>
      </c>
      <c r="B173" s="3">
        <v>45806</v>
      </c>
      <c r="C173" t="str">
        <f>IF(X173="CUSTOMER DELIVERY",_xlfn.XLOOKUP(D173,'[1]Jan Customer Duplicate Hyva'!$B:$B,'[1]Jan Customer Duplicate Hyva'!$A:$A,"NOT FOUND"),"")</f>
        <v>CUST-280</v>
      </c>
      <c r="D173" s="8" t="s">
        <v>235</v>
      </c>
      <c r="E173" s="2"/>
      <c r="F173" s="2"/>
      <c r="G173" s="2"/>
      <c r="H173" s="2"/>
      <c r="I173" s="2"/>
      <c r="J173" s="2"/>
      <c r="K173" s="2"/>
      <c r="L173" s="8" t="s">
        <v>129</v>
      </c>
      <c r="M173" s="9">
        <v>1</v>
      </c>
      <c r="N173" s="6">
        <v>5000</v>
      </c>
      <c r="O173" s="6">
        <f t="shared" si="22"/>
        <v>5000</v>
      </c>
      <c r="P173" s="6">
        <v>5000</v>
      </c>
      <c r="Q173" s="6">
        <f t="shared" si="23"/>
        <v>0</v>
      </c>
      <c r="R173" s="2" t="str">
        <f t="shared" si="28"/>
        <v>PAID</v>
      </c>
      <c r="S173" s="2"/>
      <c r="T173" s="2">
        <f t="shared" si="24"/>
        <v>5000</v>
      </c>
      <c r="U173" s="2" t="str">
        <f t="shared" si="25"/>
        <v>OK</v>
      </c>
      <c r="V173" s="7">
        <f t="shared" si="26"/>
        <v>0</v>
      </c>
      <c r="W173" s="2" t="str">
        <f t="shared" si="27"/>
        <v>OK</v>
      </c>
      <c r="X173" s="2" t="s">
        <v>26</v>
      </c>
      <c r="Y173" s="2" t="s">
        <v>27</v>
      </c>
      <c r="Z173" s="2" t="s">
        <v>28</v>
      </c>
      <c r="AA173" t="s">
        <v>245</v>
      </c>
      <c r="AB173" t="s">
        <v>245</v>
      </c>
      <c r="AC173" t="s">
        <v>245</v>
      </c>
    </row>
    <row r="174" spans="1:29" x14ac:dyDescent="0.2">
      <c r="A174" t="str">
        <f t="shared" si="21"/>
        <v>TRIP-TR-173</v>
      </c>
      <c r="B174" s="13">
        <v>45807</v>
      </c>
      <c r="C174" t="str">
        <f>IF(X174="CUSTOMER DELIVERY",_xlfn.XLOOKUP(D174,'[1]Jan Customer Duplicate Hyva'!$B:$B,'[1]Jan Customer Duplicate Hyva'!$A:$A,"NOT FOUND"),"")</f>
        <v>CUST-276</v>
      </c>
      <c r="D174" s="4" t="s">
        <v>150</v>
      </c>
      <c r="E174" s="2"/>
      <c r="F174" s="2"/>
      <c r="G174" s="2"/>
      <c r="H174" s="2"/>
      <c r="I174" s="2"/>
      <c r="J174" s="2"/>
      <c r="K174" s="2"/>
      <c r="L174" s="4" t="s">
        <v>151</v>
      </c>
      <c r="M174" s="5">
        <v>1</v>
      </c>
      <c r="N174" s="6">
        <v>5000</v>
      </c>
      <c r="O174" s="6">
        <f t="shared" si="22"/>
        <v>5000</v>
      </c>
      <c r="P174" s="6">
        <v>5000</v>
      </c>
      <c r="Q174" s="6">
        <f t="shared" si="23"/>
        <v>0</v>
      </c>
      <c r="R174" s="2" t="str">
        <f t="shared" si="28"/>
        <v>PAID</v>
      </c>
      <c r="S174" s="2"/>
      <c r="T174" s="2">
        <f t="shared" si="24"/>
        <v>5000</v>
      </c>
      <c r="U174" s="2" t="str">
        <f t="shared" si="25"/>
        <v>OK</v>
      </c>
      <c r="V174" s="7">
        <f t="shared" si="26"/>
        <v>0</v>
      </c>
      <c r="W174" s="2" t="str">
        <f t="shared" si="27"/>
        <v>OK</v>
      </c>
      <c r="X174" s="2" t="s">
        <v>26</v>
      </c>
      <c r="Y174" s="2" t="s">
        <v>27</v>
      </c>
      <c r="Z174" s="2" t="s">
        <v>28</v>
      </c>
      <c r="AA174" t="s">
        <v>245</v>
      </c>
      <c r="AB174" t="s">
        <v>245</v>
      </c>
      <c r="AC174" t="s">
        <v>245</v>
      </c>
    </row>
    <row r="175" spans="1:29" x14ac:dyDescent="0.2">
      <c r="A175" t="str">
        <f t="shared" si="21"/>
        <v>TRIP-TR-174</v>
      </c>
      <c r="B175" s="13">
        <v>45807</v>
      </c>
      <c r="C175" t="str">
        <f>IF(X175="CUSTOMER DELIVERY",_xlfn.XLOOKUP(D175,'[1]Jan Customer Duplicate Hyva'!$B:$B,'[1]Jan Customer Duplicate Hyva'!$A:$A,"NOT FOUND"),"")</f>
        <v>CUST-017</v>
      </c>
      <c r="D175" s="8" t="s">
        <v>109</v>
      </c>
      <c r="E175" s="2"/>
      <c r="F175" s="2"/>
      <c r="G175" s="2"/>
      <c r="H175" s="2"/>
      <c r="I175" s="2"/>
      <c r="J175" s="2"/>
      <c r="K175" s="2"/>
      <c r="L175" s="4" t="s">
        <v>101</v>
      </c>
      <c r="M175" s="5">
        <v>1</v>
      </c>
      <c r="N175" s="6">
        <v>5500</v>
      </c>
      <c r="O175" s="6">
        <f t="shared" si="22"/>
        <v>5500</v>
      </c>
      <c r="P175" s="6">
        <v>5500</v>
      </c>
      <c r="Q175" s="6">
        <f t="shared" si="23"/>
        <v>0</v>
      </c>
      <c r="R175" s="2" t="str">
        <f t="shared" si="28"/>
        <v>PAID</v>
      </c>
      <c r="S175" s="2"/>
      <c r="T175" s="2">
        <f t="shared" si="24"/>
        <v>5500</v>
      </c>
      <c r="U175" s="2" t="str">
        <f t="shared" si="25"/>
        <v>OK</v>
      </c>
      <c r="V175" s="7">
        <f t="shared" si="26"/>
        <v>0</v>
      </c>
      <c r="W175" s="2" t="str">
        <f t="shared" si="27"/>
        <v>OK</v>
      </c>
      <c r="X175" s="2" t="s">
        <v>26</v>
      </c>
      <c r="Y175" s="2" t="s">
        <v>27</v>
      </c>
      <c r="Z175" s="2" t="s">
        <v>28</v>
      </c>
      <c r="AA175" t="s">
        <v>245</v>
      </c>
      <c r="AB175" t="s">
        <v>245</v>
      </c>
      <c r="AC175" t="s">
        <v>245</v>
      </c>
    </row>
    <row r="176" spans="1:29" x14ac:dyDescent="0.2">
      <c r="A176" t="str">
        <f t="shared" si="21"/>
        <v>TRIP-TR-175</v>
      </c>
      <c r="B176" s="13">
        <v>45807</v>
      </c>
      <c r="C176" t="str">
        <f>IF(X176="CUSTOMER DELIVERY",_xlfn.XLOOKUP(D176,'[1]Jan Customer Duplicate Hyva'!$B:$B,'[1]Jan Customer Duplicate Hyva'!$A:$A,"NOT FOUND"),"")</f>
        <v>CUST-021</v>
      </c>
      <c r="D176" s="4" t="s">
        <v>123</v>
      </c>
      <c r="E176" s="2"/>
      <c r="F176" s="2"/>
      <c r="G176" s="2"/>
      <c r="H176" s="2"/>
      <c r="I176" s="2"/>
      <c r="J176" s="2"/>
      <c r="K176" s="2"/>
      <c r="L176" s="4" t="s">
        <v>52</v>
      </c>
      <c r="M176" s="5">
        <v>1</v>
      </c>
      <c r="N176" s="6">
        <v>0</v>
      </c>
      <c r="O176" s="6">
        <f t="shared" si="22"/>
        <v>0</v>
      </c>
      <c r="P176" s="6"/>
      <c r="Q176" s="6">
        <f t="shared" si="23"/>
        <v>0</v>
      </c>
      <c r="R176" s="2" t="str">
        <f t="shared" si="28"/>
        <v>PAID</v>
      </c>
      <c r="S176" s="2"/>
      <c r="T176" s="2">
        <f t="shared" si="24"/>
        <v>0</v>
      </c>
      <c r="U176" s="2" t="str">
        <f t="shared" si="25"/>
        <v>OK</v>
      </c>
      <c r="V176" s="7">
        <f t="shared" si="26"/>
        <v>0</v>
      </c>
      <c r="W176" s="2" t="str">
        <f t="shared" si="27"/>
        <v>OK</v>
      </c>
      <c r="X176" s="2" t="s">
        <v>26</v>
      </c>
      <c r="Y176" s="2" t="s">
        <v>27</v>
      </c>
      <c r="Z176" s="2" t="s">
        <v>28</v>
      </c>
      <c r="AA176" t="s">
        <v>245</v>
      </c>
      <c r="AB176" t="s">
        <v>245</v>
      </c>
      <c r="AC176" t="s">
        <v>245</v>
      </c>
    </row>
    <row r="177" spans="1:29" x14ac:dyDescent="0.2">
      <c r="A177" t="str">
        <f t="shared" si="21"/>
        <v>TRIP-TR-176</v>
      </c>
      <c r="B177" s="13">
        <v>45807</v>
      </c>
      <c r="C177" t="str">
        <f>IF(X177="CUSTOMER DELIVERY",_xlfn.XLOOKUP(D177,'[1]Jan Customer Duplicate Hyva'!$B:$B,'[1]Jan Customer Duplicate Hyva'!$A:$A,"NOT FOUND"),"")</f>
        <v>CUST-040</v>
      </c>
      <c r="D177" s="8" t="s">
        <v>158</v>
      </c>
      <c r="E177" s="2"/>
      <c r="F177" s="2"/>
      <c r="G177" s="2"/>
      <c r="H177" s="2"/>
      <c r="I177" s="2"/>
      <c r="J177" s="2"/>
      <c r="K177" s="2"/>
      <c r="L177" s="4" t="s">
        <v>33</v>
      </c>
      <c r="M177" s="5">
        <v>1</v>
      </c>
      <c r="N177" s="6">
        <v>5000</v>
      </c>
      <c r="O177" s="6">
        <f t="shared" si="22"/>
        <v>5000</v>
      </c>
      <c r="P177" s="6">
        <v>5000</v>
      </c>
      <c r="Q177" s="6">
        <f t="shared" si="23"/>
        <v>0</v>
      </c>
      <c r="R177" s="2" t="str">
        <f t="shared" si="28"/>
        <v>PAID</v>
      </c>
      <c r="S177" s="2"/>
      <c r="T177" s="2">
        <f t="shared" si="24"/>
        <v>5000</v>
      </c>
      <c r="U177" s="2" t="str">
        <f t="shared" si="25"/>
        <v>OK</v>
      </c>
      <c r="V177" s="7">
        <f t="shared" si="26"/>
        <v>0</v>
      </c>
      <c r="W177" s="2" t="str">
        <f t="shared" si="27"/>
        <v>OK</v>
      </c>
      <c r="X177" s="2" t="s">
        <v>26</v>
      </c>
      <c r="Y177" s="2" t="s">
        <v>27</v>
      </c>
      <c r="Z177" s="2" t="s">
        <v>28</v>
      </c>
      <c r="AA177" t="s">
        <v>245</v>
      </c>
      <c r="AB177" t="s">
        <v>245</v>
      </c>
      <c r="AC177" t="s">
        <v>245</v>
      </c>
    </row>
    <row r="178" spans="1:29" x14ac:dyDescent="0.2">
      <c r="A178" t="str">
        <f t="shared" si="21"/>
        <v>TRIP-TR-177</v>
      </c>
      <c r="B178" s="3">
        <v>45807</v>
      </c>
      <c r="C178" t="str">
        <f>IF(X178="CUSTOMER DELIVERY",_xlfn.XLOOKUP(D178,'[1]Jan Customer Duplicate Hyva'!$B:$B,'[1]Jan Customer Duplicate Hyva'!$A:$A,"NOT FOUND"),"")</f>
        <v>CUST-040</v>
      </c>
      <c r="D178" s="8" t="s">
        <v>158</v>
      </c>
      <c r="E178" s="2"/>
      <c r="F178" s="2"/>
      <c r="G178" s="2"/>
      <c r="H178" s="2"/>
      <c r="I178" s="2"/>
      <c r="J178" s="2"/>
      <c r="K178" s="2"/>
      <c r="L178" s="4" t="s">
        <v>33</v>
      </c>
      <c r="M178" s="5">
        <v>1</v>
      </c>
      <c r="N178" s="6">
        <v>5000</v>
      </c>
      <c r="O178" s="6">
        <f t="shared" si="22"/>
        <v>5000</v>
      </c>
      <c r="P178" s="6">
        <v>5000</v>
      </c>
      <c r="Q178" s="6">
        <f t="shared" si="23"/>
        <v>0</v>
      </c>
      <c r="R178" s="2" t="str">
        <f t="shared" si="28"/>
        <v>PAID</v>
      </c>
      <c r="S178" s="2"/>
      <c r="T178" s="2">
        <f t="shared" si="24"/>
        <v>5000</v>
      </c>
      <c r="U178" s="2" t="str">
        <f t="shared" si="25"/>
        <v>OK</v>
      </c>
      <c r="V178" s="7">
        <f t="shared" si="26"/>
        <v>0</v>
      </c>
      <c r="W178" s="2" t="str">
        <f t="shared" si="27"/>
        <v>OK</v>
      </c>
      <c r="X178" s="2" t="s">
        <v>26</v>
      </c>
      <c r="Y178" s="2" t="s">
        <v>27</v>
      </c>
      <c r="Z178" s="2" t="s">
        <v>28</v>
      </c>
      <c r="AA178" t="s">
        <v>245</v>
      </c>
      <c r="AB178" t="s">
        <v>245</v>
      </c>
      <c r="AC178" t="s">
        <v>245</v>
      </c>
    </row>
    <row r="179" spans="1:29" x14ac:dyDescent="0.2">
      <c r="A179" t="str">
        <f t="shared" si="21"/>
        <v>TRIP-TR-178</v>
      </c>
      <c r="B179" s="3">
        <v>45807</v>
      </c>
      <c r="C179" t="str">
        <f>IF(X179="CUSTOMER DELIVERY",_xlfn.XLOOKUP(D179,'[1]Jan Customer Duplicate Hyva'!$B:$B,'[1]Jan Customer Duplicate Hyva'!$A:$A,"NOT FOUND"),"")</f>
        <v>CUST-165</v>
      </c>
      <c r="D179" s="8" t="s">
        <v>149</v>
      </c>
      <c r="E179" s="2"/>
      <c r="F179" s="2"/>
      <c r="G179" s="2"/>
      <c r="H179" s="2"/>
      <c r="I179" s="2"/>
      <c r="J179" s="2"/>
      <c r="K179" s="2"/>
      <c r="L179" s="4" t="s">
        <v>38</v>
      </c>
      <c r="M179" s="5">
        <v>1</v>
      </c>
      <c r="N179" s="6">
        <v>5000</v>
      </c>
      <c r="O179" s="6">
        <f t="shared" si="22"/>
        <v>5000</v>
      </c>
      <c r="P179" s="6">
        <v>5000</v>
      </c>
      <c r="Q179" s="6">
        <f t="shared" si="23"/>
        <v>0</v>
      </c>
      <c r="R179" s="2" t="str">
        <f t="shared" si="28"/>
        <v>PAID</v>
      </c>
      <c r="S179" s="2"/>
      <c r="T179" s="2">
        <f t="shared" si="24"/>
        <v>5000</v>
      </c>
      <c r="U179" s="2" t="str">
        <f t="shared" si="25"/>
        <v>OK</v>
      </c>
      <c r="V179" s="7">
        <f t="shared" si="26"/>
        <v>0</v>
      </c>
      <c r="W179" s="2" t="str">
        <f t="shared" si="27"/>
        <v>OK</v>
      </c>
      <c r="X179" s="2" t="s">
        <v>26</v>
      </c>
      <c r="Y179" s="2" t="s">
        <v>27</v>
      </c>
      <c r="Z179" s="2" t="s">
        <v>28</v>
      </c>
      <c r="AA179" t="s">
        <v>245</v>
      </c>
      <c r="AB179" t="s">
        <v>245</v>
      </c>
      <c r="AC179" t="s">
        <v>245</v>
      </c>
    </row>
    <row r="180" spans="1:29" x14ac:dyDescent="0.2">
      <c r="A180" t="str">
        <f t="shared" si="21"/>
        <v>TRIP-TR-179</v>
      </c>
      <c r="B180" s="13">
        <v>45808</v>
      </c>
      <c r="C180" t="str">
        <f>IF(X180="CUSTOMER DELIVERY",_xlfn.XLOOKUP(D180,'[1]Jan Customer Duplicate Hyva'!$B:$B,'[1]Jan Customer Duplicate Hyva'!$A:$A,"NOT FOUND"),"")</f>
        <v>CUST-376</v>
      </c>
      <c r="D180" s="4" t="s">
        <v>238</v>
      </c>
      <c r="E180" s="2"/>
      <c r="F180" s="2"/>
      <c r="G180" s="2"/>
      <c r="H180" s="2"/>
      <c r="I180" s="2"/>
      <c r="J180" s="2"/>
      <c r="K180" s="2"/>
      <c r="L180" s="4" t="s">
        <v>33</v>
      </c>
      <c r="M180" s="5">
        <v>1</v>
      </c>
      <c r="N180" s="6">
        <v>4000</v>
      </c>
      <c r="O180" s="6">
        <f t="shared" si="22"/>
        <v>4000</v>
      </c>
      <c r="P180" s="6">
        <v>4000</v>
      </c>
      <c r="Q180" s="6">
        <f t="shared" si="23"/>
        <v>0</v>
      </c>
      <c r="R180" s="2" t="str">
        <f t="shared" si="28"/>
        <v>PAID</v>
      </c>
      <c r="S180" s="2"/>
      <c r="T180" s="2">
        <f t="shared" si="24"/>
        <v>4000</v>
      </c>
      <c r="U180" s="2" t="str">
        <f t="shared" si="25"/>
        <v>OK</v>
      </c>
      <c r="V180" s="7">
        <f t="shared" si="26"/>
        <v>0</v>
      </c>
      <c r="W180" s="2" t="str">
        <f t="shared" si="27"/>
        <v>OK</v>
      </c>
      <c r="X180" s="2" t="s">
        <v>26</v>
      </c>
      <c r="Y180" s="2" t="s">
        <v>27</v>
      </c>
      <c r="Z180" s="2" t="s">
        <v>28</v>
      </c>
      <c r="AA180" t="s">
        <v>245</v>
      </c>
      <c r="AB180" t="s">
        <v>245</v>
      </c>
      <c r="AC180" t="s">
        <v>245</v>
      </c>
    </row>
    <row r="181" spans="1:29" x14ac:dyDescent="0.2">
      <c r="A181" t="str">
        <f t="shared" si="21"/>
        <v>TRIP-TR-180</v>
      </c>
      <c r="B181" s="13">
        <v>45808</v>
      </c>
      <c r="C181" t="str">
        <f>IF(X181="CUSTOMER DELIVERY",_xlfn.XLOOKUP(D181,'[1]Jan Customer Duplicate Hyva'!$B:$B,'[1]Jan Customer Duplicate Hyva'!$A:$A,"NOT FOUND"),"")</f>
        <v>CUST-206</v>
      </c>
      <c r="D181" s="8" t="s">
        <v>135</v>
      </c>
      <c r="E181" s="2"/>
      <c r="F181" s="2"/>
      <c r="G181" s="2"/>
      <c r="H181" s="2"/>
      <c r="I181" s="2"/>
      <c r="J181" s="2"/>
      <c r="K181" s="2"/>
      <c r="L181" s="8" t="s">
        <v>160</v>
      </c>
      <c r="M181" s="9">
        <v>2</v>
      </c>
      <c r="N181" s="6">
        <v>1250</v>
      </c>
      <c r="O181" s="6">
        <f t="shared" si="22"/>
        <v>2500</v>
      </c>
      <c r="P181" s="6">
        <v>2500</v>
      </c>
      <c r="Q181" s="6">
        <f t="shared" si="23"/>
        <v>0</v>
      </c>
      <c r="R181" s="2" t="str">
        <f t="shared" si="28"/>
        <v>PAID</v>
      </c>
      <c r="S181" s="2"/>
      <c r="T181" s="2">
        <f t="shared" si="24"/>
        <v>2500</v>
      </c>
      <c r="U181" s="2" t="str">
        <f t="shared" si="25"/>
        <v>OK</v>
      </c>
      <c r="V181" s="7">
        <f t="shared" si="26"/>
        <v>0</v>
      </c>
      <c r="W181" s="2" t="str">
        <f t="shared" si="27"/>
        <v>OK</v>
      </c>
      <c r="X181" s="2" t="s">
        <v>26</v>
      </c>
      <c r="Y181" s="2" t="s">
        <v>27</v>
      </c>
      <c r="Z181" s="2" t="s">
        <v>28</v>
      </c>
      <c r="AA181" t="s">
        <v>245</v>
      </c>
      <c r="AB181" t="s">
        <v>245</v>
      </c>
      <c r="AC181" t="s">
        <v>245</v>
      </c>
    </row>
    <row r="182" spans="1:29" x14ac:dyDescent="0.2">
      <c r="A182" t="str">
        <f t="shared" si="21"/>
        <v>TRIP-TR-181</v>
      </c>
      <c r="B182" s="13">
        <v>45808</v>
      </c>
      <c r="C182" t="str">
        <f>IF(X182="CUSTOMER DELIVERY",_xlfn.XLOOKUP(D182,'[1]Jan Customer Duplicate Hyva'!$B:$B,'[1]Jan Customer Duplicate Hyva'!$A:$A,"NOT FOUND"),"")</f>
        <v>CUST-206</v>
      </c>
      <c r="D182" s="8" t="s">
        <v>135</v>
      </c>
      <c r="E182" s="2"/>
      <c r="F182" s="2"/>
      <c r="G182" s="2"/>
      <c r="H182" s="2"/>
      <c r="I182" s="2"/>
      <c r="J182" s="2"/>
      <c r="K182" s="2"/>
      <c r="L182" s="8" t="s">
        <v>104</v>
      </c>
      <c r="M182" s="9">
        <v>1</v>
      </c>
      <c r="N182" s="6">
        <v>5000</v>
      </c>
      <c r="O182" s="6">
        <f t="shared" si="22"/>
        <v>5000</v>
      </c>
      <c r="P182" s="6">
        <v>5000</v>
      </c>
      <c r="Q182" s="6">
        <f t="shared" si="23"/>
        <v>0</v>
      </c>
      <c r="R182" s="2" t="str">
        <f t="shared" si="28"/>
        <v>PAID</v>
      </c>
      <c r="S182" s="2"/>
      <c r="T182" s="2">
        <f t="shared" si="24"/>
        <v>5000</v>
      </c>
      <c r="U182" s="2" t="str">
        <f t="shared" si="25"/>
        <v>OK</v>
      </c>
      <c r="V182" s="7">
        <f t="shared" si="26"/>
        <v>0</v>
      </c>
      <c r="W182" s="2" t="str">
        <f t="shared" si="27"/>
        <v>OK</v>
      </c>
      <c r="X182" s="2" t="s">
        <v>26</v>
      </c>
      <c r="Y182" s="2" t="s">
        <v>27</v>
      </c>
      <c r="Z182" s="2" t="s">
        <v>28</v>
      </c>
      <c r="AA182" t="s">
        <v>245</v>
      </c>
      <c r="AB182" t="s">
        <v>245</v>
      </c>
      <c r="AC182" t="s">
        <v>245</v>
      </c>
    </row>
    <row r="183" spans="1:29" x14ac:dyDescent="0.2">
      <c r="A183" t="str">
        <f t="shared" si="21"/>
        <v>TRIP-TR-182</v>
      </c>
      <c r="B183" s="3">
        <v>45808</v>
      </c>
      <c r="C183" t="str">
        <f>IF(X183="CUSTOMER DELIVERY",_xlfn.XLOOKUP(D183,'[1]Jan Customer Duplicate Hyva'!$B:$B,'[1]Jan Customer Duplicate Hyva'!$A:$A,"NOT FOUND"),"")</f>
        <v>CUST-040</v>
      </c>
      <c r="D183" s="8" t="s">
        <v>158</v>
      </c>
      <c r="E183" s="2"/>
      <c r="F183" s="2"/>
      <c r="G183" s="2"/>
      <c r="H183" s="2"/>
      <c r="I183" s="2"/>
      <c r="J183" s="2"/>
      <c r="K183" s="2"/>
      <c r="L183" s="8" t="s">
        <v>33</v>
      </c>
      <c r="M183" s="9">
        <v>1</v>
      </c>
      <c r="N183" s="6">
        <v>5000</v>
      </c>
      <c r="O183" s="6">
        <f t="shared" si="22"/>
        <v>5000</v>
      </c>
      <c r="P183" s="6">
        <v>5000</v>
      </c>
      <c r="Q183" s="6">
        <f t="shared" si="23"/>
        <v>0</v>
      </c>
      <c r="R183" s="2" t="str">
        <f t="shared" si="28"/>
        <v>PAID</v>
      </c>
      <c r="S183" s="2"/>
      <c r="T183" s="2">
        <f t="shared" si="24"/>
        <v>5000</v>
      </c>
      <c r="U183" s="2" t="str">
        <f t="shared" si="25"/>
        <v>OK</v>
      </c>
      <c r="V183" s="7">
        <f t="shared" si="26"/>
        <v>0</v>
      </c>
      <c r="W183" s="2" t="str">
        <f t="shared" si="27"/>
        <v>OK</v>
      </c>
      <c r="X183" s="2" t="s">
        <v>26</v>
      </c>
      <c r="Y183" s="2" t="s">
        <v>27</v>
      </c>
      <c r="Z183" s="2" t="s">
        <v>28</v>
      </c>
      <c r="AA183" t="s">
        <v>245</v>
      </c>
      <c r="AB183" t="s">
        <v>245</v>
      </c>
      <c r="AC183" t="s">
        <v>245</v>
      </c>
    </row>
    <row r="184" spans="1:29" x14ac:dyDescent="0.2">
      <c r="A184" t="str">
        <f t="shared" si="21"/>
        <v>TRIP-TR-183</v>
      </c>
      <c r="B184" s="3">
        <v>45808</v>
      </c>
      <c r="C184" t="str">
        <f>IF(X184="CUSTOMER DELIVERY",_xlfn.XLOOKUP(D184,'[1]Jan Customer Duplicate Hyva'!$B:$B,'[1]Jan Customer Duplicate Hyva'!$A:$A,"NOT FOUND"),"")</f>
        <v>CUST-058</v>
      </c>
      <c r="D184" s="8" t="s">
        <v>36</v>
      </c>
      <c r="E184" s="2"/>
      <c r="F184" s="2"/>
      <c r="G184" s="2"/>
      <c r="H184" s="2"/>
      <c r="I184" s="2"/>
      <c r="J184" s="2"/>
      <c r="K184" s="2"/>
      <c r="L184" s="8" t="s">
        <v>33</v>
      </c>
      <c r="M184" s="9">
        <v>1</v>
      </c>
      <c r="N184" s="6">
        <v>4000</v>
      </c>
      <c r="O184" s="6">
        <f t="shared" si="22"/>
        <v>4000</v>
      </c>
      <c r="P184" s="6">
        <v>4000</v>
      </c>
      <c r="Q184" s="6">
        <f t="shared" si="23"/>
        <v>0</v>
      </c>
      <c r="R184" s="2" t="str">
        <f t="shared" si="28"/>
        <v>PAID</v>
      </c>
      <c r="S184" s="2"/>
      <c r="T184" s="2">
        <f t="shared" si="24"/>
        <v>4000</v>
      </c>
      <c r="U184" s="2" t="str">
        <f t="shared" si="25"/>
        <v>OK</v>
      </c>
      <c r="V184" s="7">
        <f t="shared" si="26"/>
        <v>0</v>
      </c>
      <c r="W184" s="2" t="str">
        <f t="shared" si="27"/>
        <v>OK</v>
      </c>
      <c r="X184" s="2" t="s">
        <v>26</v>
      </c>
      <c r="Y184" s="2" t="s">
        <v>27</v>
      </c>
      <c r="Z184" s="2" t="s">
        <v>28</v>
      </c>
      <c r="AA184" t="s">
        <v>245</v>
      </c>
      <c r="AB184" t="s">
        <v>245</v>
      </c>
      <c r="AC184" t="s">
        <v>245</v>
      </c>
    </row>
    <row r="185" spans="1:29" x14ac:dyDescent="0.2">
      <c r="A185" t="str">
        <f t="shared" si="21"/>
        <v>TRIP-TR-184</v>
      </c>
      <c r="B185" s="3">
        <v>45809</v>
      </c>
      <c r="C185" t="str">
        <f>IF(X185="CUSTOMER DELIVERY",_xlfn.XLOOKUP(D185,'[1]Jan Customer Duplicate Hyva'!$B:$B,'[1]Jan Customer Duplicate Hyva'!$A:$A,"NOT FOUND"),"")</f>
        <v>CUST-206</v>
      </c>
      <c r="D185" s="8" t="s">
        <v>135</v>
      </c>
      <c r="E185" s="2"/>
      <c r="F185" s="2"/>
      <c r="G185" s="2"/>
      <c r="H185" s="2"/>
      <c r="I185" s="2"/>
      <c r="J185" s="2"/>
      <c r="K185" s="2"/>
      <c r="L185" s="8" t="s">
        <v>104</v>
      </c>
      <c r="M185" s="9">
        <v>1</v>
      </c>
      <c r="N185" s="6">
        <v>5000</v>
      </c>
      <c r="O185" s="6">
        <f t="shared" si="22"/>
        <v>5000</v>
      </c>
      <c r="P185" s="6">
        <v>5000</v>
      </c>
      <c r="Q185" s="6">
        <f t="shared" si="23"/>
        <v>0</v>
      </c>
      <c r="R185" s="2" t="str">
        <f t="shared" si="28"/>
        <v>PAID</v>
      </c>
      <c r="S185" s="2"/>
      <c r="T185" s="2">
        <f t="shared" si="24"/>
        <v>5000</v>
      </c>
      <c r="U185" s="2" t="str">
        <f t="shared" si="25"/>
        <v>OK</v>
      </c>
      <c r="V185" s="7">
        <f t="shared" si="26"/>
        <v>0</v>
      </c>
      <c r="W185" s="2" t="str">
        <f t="shared" si="27"/>
        <v>OK</v>
      </c>
      <c r="X185" s="2" t="s">
        <v>26</v>
      </c>
      <c r="Y185" s="2" t="s">
        <v>27</v>
      </c>
      <c r="Z185" s="2" t="s">
        <v>28</v>
      </c>
      <c r="AA185" t="s">
        <v>245</v>
      </c>
      <c r="AB185" t="s">
        <v>245</v>
      </c>
      <c r="AC185" t="s">
        <v>245</v>
      </c>
    </row>
    <row r="186" spans="1:29" x14ac:dyDescent="0.2">
      <c r="A186" t="str">
        <f t="shared" si="21"/>
        <v>TRIP-TR-185</v>
      </c>
      <c r="B186" s="3">
        <v>45810</v>
      </c>
      <c r="C186" t="str">
        <f>IF(X186="CUSTOMER DELIVERY",_xlfn.XLOOKUP(D186,'[1]Jan Customer Duplicate Hyva'!$B:$B,'[1]Jan Customer Duplicate Hyva'!$A:$A,"NOT FOUND"),"")</f>
        <v>CUST-361</v>
      </c>
      <c r="D186" s="8" t="s">
        <v>161</v>
      </c>
      <c r="E186" s="2"/>
      <c r="F186" s="2"/>
      <c r="G186" s="2"/>
      <c r="H186" s="2"/>
      <c r="I186" s="2"/>
      <c r="J186" s="2"/>
      <c r="K186" s="2"/>
      <c r="L186" s="8" t="s">
        <v>42</v>
      </c>
      <c r="M186" s="9">
        <v>1</v>
      </c>
      <c r="N186" s="6">
        <v>5000</v>
      </c>
      <c r="O186" s="6">
        <f t="shared" si="22"/>
        <v>5000</v>
      </c>
      <c r="P186" s="6"/>
      <c r="Q186" s="6">
        <f t="shared" si="23"/>
        <v>5000</v>
      </c>
      <c r="R186" s="2" t="str">
        <f t="shared" si="28"/>
        <v>UNPAID</v>
      </c>
      <c r="S186" s="2"/>
      <c r="T186" s="2">
        <f t="shared" si="24"/>
        <v>5000</v>
      </c>
      <c r="U186" s="2" t="str">
        <f t="shared" si="25"/>
        <v>OK</v>
      </c>
      <c r="V186" s="7">
        <f t="shared" si="26"/>
        <v>5000</v>
      </c>
      <c r="W186" s="2" t="str">
        <f t="shared" si="27"/>
        <v>OK</v>
      </c>
      <c r="X186" s="2" t="s">
        <v>26</v>
      </c>
      <c r="Y186" s="2" t="s">
        <v>27</v>
      </c>
      <c r="Z186" s="2" t="s">
        <v>28</v>
      </c>
      <c r="AA186" t="s">
        <v>245</v>
      </c>
      <c r="AB186" t="s">
        <v>245</v>
      </c>
      <c r="AC186" t="s">
        <v>245</v>
      </c>
    </row>
    <row r="187" spans="1:29" x14ac:dyDescent="0.2">
      <c r="A187" t="str">
        <f t="shared" si="21"/>
        <v>TRIP-TR-186</v>
      </c>
      <c r="B187" s="3">
        <v>45810</v>
      </c>
      <c r="C187" t="str">
        <f>IF(X187="CUSTOMER DELIVERY",_xlfn.XLOOKUP(D187,'[1]Jan Customer Duplicate Hyva'!$B:$B,'[1]Jan Customer Duplicate Hyva'!$A:$A,"NOT FOUND"),"")</f>
        <v>CUST-010</v>
      </c>
      <c r="D187" s="8" t="s">
        <v>225</v>
      </c>
      <c r="E187" s="2"/>
      <c r="F187" s="2"/>
      <c r="G187" s="2"/>
      <c r="H187" s="2"/>
      <c r="I187" s="2"/>
      <c r="J187" s="2"/>
      <c r="K187" s="2"/>
      <c r="L187" s="8" t="s">
        <v>101</v>
      </c>
      <c r="M187" s="9">
        <v>1</v>
      </c>
      <c r="N187" s="6">
        <v>5000</v>
      </c>
      <c r="O187" s="6">
        <f t="shared" si="22"/>
        <v>5000</v>
      </c>
      <c r="P187" s="6">
        <v>5000</v>
      </c>
      <c r="Q187" s="6">
        <f t="shared" si="23"/>
        <v>0</v>
      </c>
      <c r="R187" s="2" t="str">
        <f t="shared" si="28"/>
        <v>PAID</v>
      </c>
      <c r="S187" s="2"/>
      <c r="T187" s="2">
        <f t="shared" si="24"/>
        <v>5000</v>
      </c>
      <c r="U187" s="2" t="str">
        <f t="shared" si="25"/>
        <v>OK</v>
      </c>
      <c r="V187" s="7">
        <f t="shared" si="26"/>
        <v>0</v>
      </c>
      <c r="W187" s="2" t="str">
        <f t="shared" si="27"/>
        <v>OK</v>
      </c>
      <c r="X187" s="2" t="s">
        <v>26</v>
      </c>
      <c r="Y187" s="2" t="s">
        <v>27</v>
      </c>
      <c r="Z187" s="2" t="s">
        <v>28</v>
      </c>
      <c r="AA187" t="s">
        <v>245</v>
      </c>
      <c r="AB187" t="s">
        <v>245</v>
      </c>
      <c r="AC187" t="s">
        <v>245</v>
      </c>
    </row>
    <row r="188" spans="1:29" x14ac:dyDescent="0.2">
      <c r="A188" t="str">
        <f t="shared" si="21"/>
        <v>TRIP-TR-187</v>
      </c>
      <c r="B188" s="3">
        <v>45810</v>
      </c>
      <c r="C188" t="str">
        <f>IF(X188="CUSTOMER DELIVERY",_xlfn.XLOOKUP(D188,'[1]Jan Customer Duplicate Hyva'!$B:$B,'[1]Jan Customer Duplicate Hyva'!$A:$A,"NOT FOUND"),"")</f>
        <v>CUST-059</v>
      </c>
      <c r="D188" s="8" t="s">
        <v>139</v>
      </c>
      <c r="E188" s="2"/>
      <c r="F188" s="2"/>
      <c r="G188" s="2"/>
      <c r="H188" s="2"/>
      <c r="I188" s="2"/>
      <c r="J188" s="2"/>
      <c r="K188" s="2"/>
      <c r="L188" s="8" t="s">
        <v>42</v>
      </c>
      <c r="M188" s="9">
        <v>5</v>
      </c>
      <c r="N188" s="6">
        <v>5500</v>
      </c>
      <c r="O188" s="6">
        <f t="shared" si="22"/>
        <v>27500</v>
      </c>
      <c r="P188" s="6">
        <v>27500</v>
      </c>
      <c r="Q188" s="6">
        <f t="shared" si="23"/>
        <v>0</v>
      </c>
      <c r="R188" s="2" t="str">
        <f t="shared" si="28"/>
        <v>PAID</v>
      </c>
      <c r="S188" s="2"/>
      <c r="T188" s="2">
        <f t="shared" si="24"/>
        <v>27500</v>
      </c>
      <c r="U188" s="2" t="str">
        <f t="shared" si="25"/>
        <v>OK</v>
      </c>
      <c r="V188" s="7">
        <f t="shared" si="26"/>
        <v>0</v>
      </c>
      <c r="W188" s="2" t="str">
        <f t="shared" si="27"/>
        <v>OK</v>
      </c>
      <c r="X188" s="2" t="s">
        <v>26</v>
      </c>
      <c r="Y188" s="2" t="s">
        <v>27</v>
      </c>
      <c r="Z188" s="2" t="s">
        <v>28</v>
      </c>
      <c r="AA188" t="s">
        <v>245</v>
      </c>
      <c r="AB188" t="s">
        <v>245</v>
      </c>
      <c r="AC188" t="s">
        <v>245</v>
      </c>
    </row>
    <row r="189" spans="1:29" x14ac:dyDescent="0.2">
      <c r="A189" t="str">
        <f t="shared" si="21"/>
        <v>TRIP-TR-188</v>
      </c>
      <c r="B189" s="3">
        <v>45811</v>
      </c>
      <c r="C189" t="str">
        <f>IF(X189="CUSTOMER DELIVERY",_xlfn.XLOOKUP(D189,'[1]Jan Customer Duplicate Hyva'!$B:$B,'[1]Jan Customer Duplicate Hyva'!$A:$A,"NOT FOUND"),"")</f>
        <v>CUST-040</v>
      </c>
      <c r="D189" s="8" t="s">
        <v>158</v>
      </c>
      <c r="E189" s="2"/>
      <c r="F189" s="2"/>
      <c r="G189" s="2"/>
      <c r="H189" s="2"/>
      <c r="I189" s="2"/>
      <c r="J189" s="2"/>
      <c r="K189" s="2"/>
      <c r="L189" s="8" t="s">
        <v>33</v>
      </c>
      <c r="M189" s="9">
        <v>1</v>
      </c>
      <c r="N189" s="6">
        <v>5000</v>
      </c>
      <c r="O189" s="6">
        <f t="shared" si="22"/>
        <v>5000</v>
      </c>
      <c r="P189" s="6">
        <v>5000</v>
      </c>
      <c r="Q189" s="6">
        <f t="shared" si="23"/>
        <v>0</v>
      </c>
      <c r="R189" s="2" t="str">
        <f t="shared" si="28"/>
        <v>PAID</v>
      </c>
      <c r="S189" s="2"/>
      <c r="T189" s="2">
        <f t="shared" si="24"/>
        <v>5000</v>
      </c>
      <c r="U189" s="2" t="str">
        <f t="shared" si="25"/>
        <v>OK</v>
      </c>
      <c r="V189" s="7">
        <f t="shared" si="26"/>
        <v>0</v>
      </c>
      <c r="W189" s="2" t="str">
        <f t="shared" si="27"/>
        <v>OK</v>
      </c>
      <c r="X189" s="2" t="s">
        <v>26</v>
      </c>
      <c r="Y189" s="2" t="s">
        <v>27</v>
      </c>
      <c r="Z189" s="2" t="s">
        <v>28</v>
      </c>
      <c r="AA189" t="s">
        <v>245</v>
      </c>
      <c r="AB189" t="s">
        <v>245</v>
      </c>
      <c r="AC189" t="s">
        <v>245</v>
      </c>
    </row>
    <row r="190" spans="1:29" x14ac:dyDescent="0.2">
      <c r="A190" t="str">
        <f t="shared" si="21"/>
        <v>TRIP-TR-189</v>
      </c>
      <c r="B190" s="3">
        <v>45811</v>
      </c>
      <c r="C190" t="str">
        <f>IF(X190="CUSTOMER DELIVERY",_xlfn.XLOOKUP(D190,'[1]Jan Customer Duplicate Hyva'!$B:$B,'[1]Jan Customer Duplicate Hyva'!$A:$A,"NOT FOUND"),"")</f>
        <v>CUST-077</v>
      </c>
      <c r="D190" s="8" t="s">
        <v>239</v>
      </c>
      <c r="E190" s="2"/>
      <c r="F190" s="2"/>
      <c r="G190" s="2"/>
      <c r="H190" s="2"/>
      <c r="I190" s="2"/>
      <c r="J190" s="2"/>
      <c r="K190" s="2"/>
      <c r="L190" s="8" t="s">
        <v>162</v>
      </c>
      <c r="M190" s="9">
        <v>1</v>
      </c>
      <c r="N190" s="6">
        <v>5500</v>
      </c>
      <c r="O190" s="6">
        <f t="shared" si="22"/>
        <v>5500</v>
      </c>
      <c r="P190" s="6">
        <v>5500</v>
      </c>
      <c r="Q190" s="6">
        <f t="shared" si="23"/>
        <v>0</v>
      </c>
      <c r="R190" s="2" t="str">
        <f t="shared" si="28"/>
        <v>PAID</v>
      </c>
      <c r="S190" s="2"/>
      <c r="T190" s="2">
        <f t="shared" si="24"/>
        <v>5500</v>
      </c>
      <c r="U190" s="2" t="str">
        <f t="shared" si="25"/>
        <v>OK</v>
      </c>
      <c r="V190" s="7">
        <f t="shared" si="26"/>
        <v>0</v>
      </c>
      <c r="W190" s="2" t="str">
        <f t="shared" si="27"/>
        <v>OK</v>
      </c>
      <c r="X190" s="2" t="s">
        <v>26</v>
      </c>
      <c r="Y190" s="2" t="s">
        <v>27</v>
      </c>
      <c r="Z190" s="2" t="s">
        <v>28</v>
      </c>
      <c r="AA190" t="s">
        <v>245</v>
      </c>
      <c r="AB190" t="s">
        <v>245</v>
      </c>
      <c r="AC190" t="s">
        <v>245</v>
      </c>
    </row>
    <row r="191" spans="1:29" x14ac:dyDescent="0.2">
      <c r="A191" t="str">
        <f t="shared" si="21"/>
        <v>TRIP-TR-190</v>
      </c>
      <c r="B191" s="3">
        <v>45811</v>
      </c>
      <c r="C191" t="str">
        <f>IF(X191="CUSTOMER DELIVERY",_xlfn.XLOOKUP(D191,'[1]Jan Customer Duplicate Hyva'!$B:$B,'[1]Jan Customer Duplicate Hyva'!$A:$A,"NOT FOUND"),"")</f>
        <v>CUST-147</v>
      </c>
      <c r="D191" s="4" t="s">
        <v>236</v>
      </c>
      <c r="E191" s="2"/>
      <c r="F191" s="2"/>
      <c r="G191" s="2"/>
      <c r="H191" s="2"/>
      <c r="I191" s="2"/>
      <c r="J191" s="2"/>
      <c r="K191" s="2"/>
      <c r="L191" s="8" t="s">
        <v>38</v>
      </c>
      <c r="M191" s="9">
        <v>1</v>
      </c>
      <c r="N191" s="6">
        <v>4500</v>
      </c>
      <c r="O191" s="6">
        <f t="shared" si="22"/>
        <v>4500</v>
      </c>
      <c r="P191" s="6">
        <v>4500</v>
      </c>
      <c r="Q191" s="6">
        <f t="shared" si="23"/>
        <v>0</v>
      </c>
      <c r="R191" s="2" t="str">
        <f t="shared" si="28"/>
        <v>PAID</v>
      </c>
      <c r="S191" s="2"/>
      <c r="T191" s="2">
        <f t="shared" si="24"/>
        <v>4500</v>
      </c>
      <c r="U191" s="2" t="str">
        <f t="shared" si="25"/>
        <v>OK</v>
      </c>
      <c r="V191" s="7">
        <f t="shared" si="26"/>
        <v>0</v>
      </c>
      <c r="W191" s="2" t="str">
        <f t="shared" si="27"/>
        <v>OK</v>
      </c>
      <c r="X191" s="2" t="s">
        <v>26</v>
      </c>
      <c r="Y191" s="2" t="s">
        <v>27</v>
      </c>
      <c r="Z191" s="2" t="s">
        <v>28</v>
      </c>
      <c r="AA191" t="s">
        <v>245</v>
      </c>
      <c r="AB191" t="s">
        <v>245</v>
      </c>
      <c r="AC191" t="s">
        <v>245</v>
      </c>
    </row>
    <row r="192" spans="1:29" x14ac:dyDescent="0.2">
      <c r="A192" t="str">
        <f t="shared" si="21"/>
        <v>TRIP-TR-191</v>
      </c>
      <c r="B192" s="3">
        <v>45811</v>
      </c>
      <c r="C192" t="str">
        <f>IF(X192="CUSTOMER DELIVERY",_xlfn.XLOOKUP(D192,'[1]Jan Customer Duplicate Hyva'!$B:$B,'[1]Jan Customer Duplicate Hyva'!$A:$A,"NOT FOUND"),"")</f>
        <v>CUST-310</v>
      </c>
      <c r="D192" s="8" t="s">
        <v>163</v>
      </c>
      <c r="E192" s="2"/>
      <c r="F192" s="2"/>
      <c r="G192" s="2"/>
      <c r="H192" s="2"/>
      <c r="I192" s="2"/>
      <c r="J192" s="2"/>
      <c r="K192" s="2"/>
      <c r="L192" s="8" t="s">
        <v>38</v>
      </c>
      <c r="M192" s="9">
        <v>1</v>
      </c>
      <c r="N192" s="6">
        <v>4000</v>
      </c>
      <c r="O192" s="6">
        <f t="shared" si="22"/>
        <v>4000</v>
      </c>
      <c r="P192" s="6">
        <v>4000</v>
      </c>
      <c r="Q192" s="6">
        <f t="shared" si="23"/>
        <v>0</v>
      </c>
      <c r="R192" s="2" t="str">
        <f t="shared" si="28"/>
        <v>PAID</v>
      </c>
      <c r="S192" s="2"/>
      <c r="T192" s="2">
        <f t="shared" si="24"/>
        <v>4000</v>
      </c>
      <c r="U192" s="2" t="str">
        <f t="shared" si="25"/>
        <v>OK</v>
      </c>
      <c r="V192" s="7">
        <f t="shared" si="26"/>
        <v>0</v>
      </c>
      <c r="W192" s="2" t="str">
        <f t="shared" si="27"/>
        <v>OK</v>
      </c>
      <c r="X192" s="2" t="s">
        <v>26</v>
      </c>
      <c r="Y192" s="2" t="s">
        <v>27</v>
      </c>
      <c r="Z192" s="2" t="s">
        <v>28</v>
      </c>
      <c r="AA192" t="s">
        <v>245</v>
      </c>
      <c r="AB192" t="s">
        <v>245</v>
      </c>
      <c r="AC192" t="s">
        <v>245</v>
      </c>
    </row>
    <row r="193" spans="1:29" x14ac:dyDescent="0.2">
      <c r="A193" t="str">
        <f t="shared" si="21"/>
        <v>TRIP-TR-192</v>
      </c>
      <c r="B193" s="3">
        <v>45812</v>
      </c>
      <c r="C193" t="str">
        <f>IF(X193="CUSTOMER DELIVERY",_xlfn.XLOOKUP(D193,'[1]Jan Customer Duplicate Hyva'!$B:$B,'[1]Jan Customer Duplicate Hyva'!$A:$A,"NOT FOUND"),"")</f>
        <v>CUST-352</v>
      </c>
      <c r="D193" s="8" t="s">
        <v>164</v>
      </c>
      <c r="E193" s="2"/>
      <c r="F193" s="2"/>
      <c r="G193" s="2"/>
      <c r="H193" s="2"/>
      <c r="I193" s="2"/>
      <c r="J193" s="2"/>
      <c r="K193" s="2"/>
      <c r="L193" s="8" t="s">
        <v>116</v>
      </c>
      <c r="M193" s="9">
        <v>2</v>
      </c>
      <c r="N193" s="6">
        <v>5500</v>
      </c>
      <c r="O193" s="6">
        <f t="shared" si="22"/>
        <v>11000</v>
      </c>
      <c r="P193" s="6">
        <v>11000</v>
      </c>
      <c r="Q193" s="6">
        <f t="shared" si="23"/>
        <v>0</v>
      </c>
      <c r="R193" s="2" t="str">
        <f t="shared" si="28"/>
        <v>PAID</v>
      </c>
      <c r="S193" s="2"/>
      <c r="T193" s="2">
        <f t="shared" si="24"/>
        <v>11000</v>
      </c>
      <c r="U193" s="2" t="str">
        <f t="shared" si="25"/>
        <v>OK</v>
      </c>
      <c r="V193" s="7">
        <f t="shared" si="26"/>
        <v>0</v>
      </c>
      <c r="W193" s="2" t="str">
        <f t="shared" si="27"/>
        <v>OK</v>
      </c>
      <c r="X193" s="2" t="s">
        <v>26</v>
      </c>
      <c r="Y193" s="2" t="s">
        <v>27</v>
      </c>
      <c r="Z193" s="2" t="s">
        <v>28</v>
      </c>
      <c r="AA193" t="s">
        <v>245</v>
      </c>
      <c r="AB193" t="s">
        <v>245</v>
      </c>
      <c r="AC193" t="s">
        <v>245</v>
      </c>
    </row>
    <row r="194" spans="1:29" x14ac:dyDescent="0.2">
      <c r="A194" t="str">
        <f t="shared" si="21"/>
        <v>TRIP-TR-193</v>
      </c>
      <c r="B194" s="3">
        <v>45813</v>
      </c>
      <c r="C194" t="str">
        <f>IF(X194="CUSTOMER DELIVERY",_xlfn.XLOOKUP(D194,'[1]Jan Customer Duplicate Hyva'!$B:$B,'[1]Jan Customer Duplicate Hyva'!$A:$A,"NOT FOUND"),"")</f>
        <v>CUST-231</v>
      </c>
      <c r="D194" s="8" t="s">
        <v>240</v>
      </c>
      <c r="E194" s="2"/>
      <c r="F194" s="2"/>
      <c r="G194" s="2"/>
      <c r="H194" s="2"/>
      <c r="I194" s="2"/>
      <c r="J194" s="2"/>
      <c r="K194" s="2"/>
      <c r="L194" s="8" t="s">
        <v>33</v>
      </c>
      <c r="M194" s="9">
        <v>1</v>
      </c>
      <c r="N194" s="6">
        <v>5000</v>
      </c>
      <c r="O194" s="6">
        <f t="shared" si="22"/>
        <v>5000</v>
      </c>
      <c r="P194" s="6"/>
      <c r="Q194" s="6">
        <f t="shared" si="23"/>
        <v>5000</v>
      </c>
      <c r="R194" s="2" t="str">
        <f t="shared" si="28"/>
        <v>UNPAID</v>
      </c>
      <c r="S194" s="2"/>
      <c r="T194" s="2">
        <f t="shared" si="24"/>
        <v>5000</v>
      </c>
      <c r="U194" s="2" t="str">
        <f t="shared" si="25"/>
        <v>OK</v>
      </c>
      <c r="V194" s="7">
        <f t="shared" si="26"/>
        <v>5000</v>
      </c>
      <c r="W194" s="2" t="str">
        <f t="shared" si="27"/>
        <v>OK</v>
      </c>
      <c r="X194" s="2" t="s">
        <v>26</v>
      </c>
      <c r="Y194" s="2" t="s">
        <v>27</v>
      </c>
      <c r="Z194" s="2" t="s">
        <v>28</v>
      </c>
      <c r="AA194" t="s">
        <v>245</v>
      </c>
      <c r="AB194" t="s">
        <v>245</v>
      </c>
      <c r="AC194" t="s">
        <v>245</v>
      </c>
    </row>
    <row r="195" spans="1:29" x14ac:dyDescent="0.2">
      <c r="A195" t="str">
        <f t="shared" ref="A195:A258" si="29">"TRIP-TR-"&amp;TEXT(ROW()-1,"000")</f>
        <v>TRIP-TR-194</v>
      </c>
      <c r="B195" s="3">
        <v>45813</v>
      </c>
      <c r="C195" t="str">
        <f>IF(X195="CUSTOMER DELIVERY",_xlfn.XLOOKUP(D195,'[1]Jan Customer Duplicate Hyva'!$B:$B,'[1]Jan Customer Duplicate Hyva'!$A:$A,"NOT FOUND"),"")</f>
        <v>CUST-031</v>
      </c>
      <c r="D195" s="14" t="s">
        <v>85</v>
      </c>
      <c r="E195" s="2"/>
      <c r="F195" s="2"/>
      <c r="G195" s="2"/>
      <c r="H195" s="2"/>
      <c r="I195" s="2"/>
      <c r="J195" s="2"/>
      <c r="K195" s="2"/>
      <c r="L195" s="14" t="s">
        <v>33</v>
      </c>
      <c r="M195" s="9">
        <v>1</v>
      </c>
      <c r="N195" s="6">
        <v>5000</v>
      </c>
      <c r="O195" s="6">
        <f t="shared" si="22"/>
        <v>5000</v>
      </c>
      <c r="P195" s="6"/>
      <c r="Q195" s="6">
        <f t="shared" si="23"/>
        <v>5000</v>
      </c>
      <c r="R195" s="2" t="str">
        <f t="shared" si="28"/>
        <v>UNPAID</v>
      </c>
      <c r="S195" s="2"/>
      <c r="T195" s="2">
        <f t="shared" si="24"/>
        <v>5000</v>
      </c>
      <c r="U195" s="2" t="str">
        <f t="shared" si="25"/>
        <v>OK</v>
      </c>
      <c r="V195" s="7">
        <f t="shared" si="26"/>
        <v>5000</v>
      </c>
      <c r="W195" s="2" t="str">
        <f t="shared" si="27"/>
        <v>OK</v>
      </c>
      <c r="X195" s="2" t="s">
        <v>26</v>
      </c>
      <c r="Y195" s="2" t="s">
        <v>27</v>
      </c>
      <c r="Z195" s="2" t="s">
        <v>28</v>
      </c>
      <c r="AA195" t="s">
        <v>245</v>
      </c>
      <c r="AB195" t="s">
        <v>245</v>
      </c>
      <c r="AC195" t="s">
        <v>245</v>
      </c>
    </row>
    <row r="196" spans="1:29" x14ac:dyDescent="0.2">
      <c r="A196" t="str">
        <f t="shared" si="29"/>
        <v>TRIP-TR-195</v>
      </c>
      <c r="B196" s="3">
        <v>45813</v>
      </c>
      <c r="C196" t="str">
        <f>IF(X196="CUSTOMER DELIVERY",_xlfn.XLOOKUP(D196,'[1]Jan Customer Duplicate Hyva'!$B:$B,'[1]Jan Customer Duplicate Hyva'!$A:$A,"NOT FOUND"),"")</f>
        <v>CUST-058</v>
      </c>
      <c r="D196" s="8" t="s">
        <v>36</v>
      </c>
      <c r="E196" s="2"/>
      <c r="F196" s="2"/>
      <c r="G196" s="2"/>
      <c r="H196" s="2"/>
      <c r="I196" s="2"/>
      <c r="J196" s="2"/>
      <c r="K196" s="2"/>
      <c r="L196" s="14" t="s">
        <v>33</v>
      </c>
      <c r="M196" s="9">
        <v>1</v>
      </c>
      <c r="N196" s="6">
        <v>5000</v>
      </c>
      <c r="O196" s="6">
        <f t="shared" si="22"/>
        <v>5000</v>
      </c>
      <c r="P196" s="6">
        <v>5000</v>
      </c>
      <c r="Q196" s="6">
        <f t="shared" si="23"/>
        <v>0</v>
      </c>
      <c r="R196" s="2" t="str">
        <f t="shared" si="28"/>
        <v>PAID</v>
      </c>
      <c r="S196" s="2"/>
      <c r="T196" s="2">
        <f t="shared" si="24"/>
        <v>5000</v>
      </c>
      <c r="U196" s="2" t="str">
        <f t="shared" si="25"/>
        <v>OK</v>
      </c>
      <c r="V196" s="7">
        <f t="shared" si="26"/>
        <v>0</v>
      </c>
      <c r="W196" s="2" t="str">
        <f t="shared" si="27"/>
        <v>OK</v>
      </c>
      <c r="X196" s="2" t="s">
        <v>26</v>
      </c>
      <c r="Y196" s="2" t="s">
        <v>27</v>
      </c>
      <c r="Z196" s="2" t="s">
        <v>28</v>
      </c>
      <c r="AA196" t="s">
        <v>245</v>
      </c>
      <c r="AB196" t="s">
        <v>245</v>
      </c>
      <c r="AC196" t="s">
        <v>245</v>
      </c>
    </row>
    <row r="197" spans="1:29" x14ac:dyDescent="0.2">
      <c r="A197" t="str">
        <f t="shared" si="29"/>
        <v>TRIP-TR-196</v>
      </c>
      <c r="B197" s="3">
        <v>45813</v>
      </c>
      <c r="C197" t="str">
        <f>IF(X197="CUSTOMER DELIVERY",_xlfn.XLOOKUP(D197,'[1]Jan Customer Duplicate Hyva'!$B:$B,'[1]Jan Customer Duplicate Hyva'!$A:$A,"NOT FOUND"),"")</f>
        <v>CUST-107</v>
      </c>
      <c r="D197" s="10" t="s">
        <v>65</v>
      </c>
      <c r="E197" s="2"/>
      <c r="F197" s="2"/>
      <c r="G197" s="2"/>
      <c r="H197" s="2"/>
      <c r="I197" s="2"/>
      <c r="J197" s="2"/>
      <c r="K197" s="2"/>
      <c r="L197" s="14" t="s">
        <v>101</v>
      </c>
      <c r="M197" s="9">
        <v>1</v>
      </c>
      <c r="N197" s="6">
        <v>5000</v>
      </c>
      <c r="O197" s="6">
        <f t="shared" si="22"/>
        <v>5000</v>
      </c>
      <c r="P197" s="6">
        <v>5000</v>
      </c>
      <c r="Q197" s="6">
        <f t="shared" si="23"/>
        <v>0</v>
      </c>
      <c r="R197" s="2" t="str">
        <f t="shared" si="28"/>
        <v>PAID</v>
      </c>
      <c r="S197" s="2"/>
      <c r="T197" s="2">
        <f t="shared" si="24"/>
        <v>5000</v>
      </c>
      <c r="U197" s="2" t="str">
        <f t="shared" si="25"/>
        <v>OK</v>
      </c>
      <c r="V197" s="7">
        <f t="shared" si="26"/>
        <v>0</v>
      </c>
      <c r="W197" s="2" t="str">
        <f t="shared" si="27"/>
        <v>OK</v>
      </c>
      <c r="X197" s="2" t="s">
        <v>26</v>
      </c>
      <c r="Y197" s="2" t="s">
        <v>27</v>
      </c>
      <c r="Z197" s="2" t="s">
        <v>28</v>
      </c>
      <c r="AA197" t="s">
        <v>245</v>
      </c>
      <c r="AB197" t="s">
        <v>245</v>
      </c>
      <c r="AC197" t="s">
        <v>245</v>
      </c>
    </row>
    <row r="198" spans="1:29" x14ac:dyDescent="0.2">
      <c r="A198" t="str">
        <f t="shared" si="29"/>
        <v>TRIP-TR-197</v>
      </c>
      <c r="B198" s="3">
        <v>45814</v>
      </c>
      <c r="C198" t="str">
        <f>IF(X198="CUSTOMER DELIVERY",_xlfn.XLOOKUP(D198,'[1]Jan Customer Duplicate Hyva'!$B:$B,'[1]Jan Customer Duplicate Hyva'!$A:$A,"NOT FOUND"),"")</f>
        <v>CUST-176</v>
      </c>
      <c r="D198" s="8" t="s">
        <v>110</v>
      </c>
      <c r="E198" s="2"/>
      <c r="F198" s="2"/>
      <c r="G198" s="2"/>
      <c r="H198" s="2"/>
      <c r="I198" s="2"/>
      <c r="J198" s="2"/>
      <c r="K198" s="2"/>
      <c r="L198" s="14" t="s">
        <v>33</v>
      </c>
      <c r="M198" s="9">
        <v>1</v>
      </c>
      <c r="N198" s="6">
        <v>5000</v>
      </c>
      <c r="O198" s="6">
        <f t="shared" si="22"/>
        <v>5000</v>
      </c>
      <c r="P198" s="6"/>
      <c r="Q198" s="6">
        <f t="shared" si="23"/>
        <v>5000</v>
      </c>
      <c r="R198" s="2" t="str">
        <f t="shared" si="28"/>
        <v>UNPAID</v>
      </c>
      <c r="S198" s="2"/>
      <c r="T198" s="2">
        <f t="shared" si="24"/>
        <v>5000</v>
      </c>
      <c r="U198" s="2" t="str">
        <f t="shared" si="25"/>
        <v>OK</v>
      </c>
      <c r="V198" s="7">
        <f t="shared" si="26"/>
        <v>5000</v>
      </c>
      <c r="W198" s="2" t="str">
        <f t="shared" si="27"/>
        <v>OK</v>
      </c>
      <c r="X198" s="2" t="s">
        <v>26</v>
      </c>
      <c r="Y198" s="2" t="s">
        <v>27</v>
      </c>
      <c r="Z198" s="2" t="s">
        <v>28</v>
      </c>
      <c r="AA198" t="s">
        <v>245</v>
      </c>
      <c r="AB198" t="s">
        <v>245</v>
      </c>
      <c r="AC198" t="s">
        <v>245</v>
      </c>
    </row>
    <row r="199" spans="1:29" x14ac:dyDescent="0.2">
      <c r="A199" t="str">
        <f t="shared" si="29"/>
        <v>TRIP-TR-198</v>
      </c>
      <c r="B199" s="3">
        <v>45815</v>
      </c>
      <c r="C199" t="str">
        <f>IF(X199="CUSTOMER DELIVERY",_xlfn.XLOOKUP(D199,'[1]Jan Customer Duplicate Hyva'!$B:$B,'[1]Jan Customer Duplicate Hyva'!$A:$A,"NOT FOUND"),"")</f>
        <v>CUST-040</v>
      </c>
      <c r="D199" s="8" t="s">
        <v>158</v>
      </c>
      <c r="E199" s="2"/>
      <c r="F199" s="2"/>
      <c r="G199" s="2"/>
      <c r="H199" s="2"/>
      <c r="I199" s="2"/>
      <c r="J199" s="2"/>
      <c r="K199" s="2"/>
      <c r="L199" s="14" t="s">
        <v>33</v>
      </c>
      <c r="M199" s="9">
        <v>1</v>
      </c>
      <c r="N199" s="6">
        <v>5000</v>
      </c>
      <c r="O199" s="6">
        <f t="shared" si="22"/>
        <v>5000</v>
      </c>
      <c r="P199" s="6">
        <v>5000</v>
      </c>
      <c r="Q199" s="6">
        <f t="shared" si="23"/>
        <v>0</v>
      </c>
      <c r="R199" s="2" t="str">
        <f t="shared" si="28"/>
        <v>PAID</v>
      </c>
      <c r="S199" s="2"/>
      <c r="T199" s="2">
        <f t="shared" si="24"/>
        <v>5000</v>
      </c>
      <c r="U199" s="2" t="str">
        <f t="shared" si="25"/>
        <v>OK</v>
      </c>
      <c r="V199" s="7">
        <f t="shared" si="26"/>
        <v>0</v>
      </c>
      <c r="W199" s="2" t="str">
        <f t="shared" si="27"/>
        <v>OK</v>
      </c>
      <c r="X199" s="2" t="s">
        <v>26</v>
      </c>
      <c r="Y199" s="2" t="s">
        <v>27</v>
      </c>
      <c r="Z199" s="2" t="s">
        <v>28</v>
      </c>
      <c r="AA199" t="s">
        <v>245</v>
      </c>
      <c r="AB199" t="s">
        <v>245</v>
      </c>
      <c r="AC199" t="s">
        <v>245</v>
      </c>
    </row>
    <row r="200" spans="1:29" x14ac:dyDescent="0.2">
      <c r="A200" t="str">
        <f t="shared" si="29"/>
        <v>TRIP-TR-199</v>
      </c>
      <c r="B200" s="3">
        <v>45817</v>
      </c>
      <c r="C200" t="str">
        <f>IF(X200="CUSTOMER DELIVERY",_xlfn.XLOOKUP(D200,'[1]Jan Customer Duplicate Hyva'!$B:$B,'[1]Jan Customer Duplicate Hyva'!$A:$A,"NOT FOUND"),"")</f>
        <v>CUST-033</v>
      </c>
      <c r="D200" s="14" t="s">
        <v>241</v>
      </c>
      <c r="E200" s="2"/>
      <c r="F200" s="2"/>
      <c r="G200" s="2"/>
      <c r="H200" s="2"/>
      <c r="I200" s="2"/>
      <c r="J200" s="2"/>
      <c r="K200" s="2"/>
      <c r="L200" s="14" t="s">
        <v>38</v>
      </c>
      <c r="M200" s="9">
        <v>1</v>
      </c>
      <c r="N200" s="6">
        <v>4500</v>
      </c>
      <c r="O200" s="6">
        <f t="shared" si="22"/>
        <v>4500</v>
      </c>
      <c r="P200" s="6">
        <v>4500</v>
      </c>
      <c r="Q200" s="6">
        <f t="shared" si="23"/>
        <v>0</v>
      </c>
      <c r="R200" s="2" t="str">
        <f t="shared" si="28"/>
        <v>PAID</v>
      </c>
      <c r="S200" s="2"/>
      <c r="T200" s="2">
        <f t="shared" si="24"/>
        <v>4500</v>
      </c>
      <c r="U200" s="2" t="str">
        <f t="shared" si="25"/>
        <v>OK</v>
      </c>
      <c r="V200" s="7">
        <f t="shared" si="26"/>
        <v>0</v>
      </c>
      <c r="W200" s="2" t="str">
        <f t="shared" si="27"/>
        <v>OK</v>
      </c>
      <c r="X200" s="2" t="s">
        <v>26</v>
      </c>
      <c r="Y200" s="2" t="s">
        <v>27</v>
      </c>
      <c r="Z200" s="2" t="s">
        <v>28</v>
      </c>
      <c r="AA200" t="s">
        <v>245</v>
      </c>
      <c r="AB200" t="s">
        <v>245</v>
      </c>
      <c r="AC200" t="s">
        <v>245</v>
      </c>
    </row>
    <row r="201" spans="1:29" x14ac:dyDescent="0.2">
      <c r="A201" t="str">
        <f t="shared" si="29"/>
        <v>TRIP-TR-200</v>
      </c>
      <c r="B201" s="3">
        <v>45818</v>
      </c>
      <c r="C201" t="str">
        <f>IF(X201="CUSTOMER DELIVERY",_xlfn.XLOOKUP(D201,'[1]Jan Customer Duplicate Hyva'!$B:$B,'[1]Jan Customer Duplicate Hyva'!$A:$A,"NOT FOUND"),"")</f>
        <v>CUST-040</v>
      </c>
      <c r="D201" s="8" t="s">
        <v>158</v>
      </c>
      <c r="E201" s="2"/>
      <c r="F201" s="2"/>
      <c r="G201" s="2"/>
      <c r="H201" s="2"/>
      <c r="I201" s="2"/>
      <c r="J201" s="2"/>
      <c r="K201" s="2"/>
      <c r="L201" s="14" t="s">
        <v>33</v>
      </c>
      <c r="M201" s="9">
        <v>1</v>
      </c>
      <c r="N201" s="6">
        <v>4000</v>
      </c>
      <c r="O201" s="6">
        <f t="shared" ref="O201:O264" si="30">N201*M201</f>
        <v>4000</v>
      </c>
      <c r="P201" s="6">
        <v>5000</v>
      </c>
      <c r="Q201" s="6">
        <f t="shared" ref="Q201:Q264" si="31">O201-P201</f>
        <v>-1000</v>
      </c>
      <c r="R201" s="2" t="str">
        <f t="shared" si="28"/>
        <v>PARTIAL</v>
      </c>
      <c r="S201" s="2"/>
      <c r="T201" s="2">
        <f t="shared" ref="T201:T264" si="32">M201*N201</f>
        <v>4000</v>
      </c>
      <c r="U201" s="2" t="str">
        <f t="shared" ref="U201:U264" si="33">IF(ROUND(T201,2)=ROUND(O201,2),"OK","CHECK")</f>
        <v>OK</v>
      </c>
      <c r="V201" s="7">
        <f t="shared" ref="V201:V264" si="34">O201-P201</f>
        <v>-1000</v>
      </c>
      <c r="W201" s="2" t="str">
        <f t="shared" ref="W201:W264" si="35">IF(ROUND(V201,2)=ROUND(Q201,2),"OK","CHECK")</f>
        <v>OK</v>
      </c>
      <c r="X201" s="2" t="s">
        <v>26</v>
      </c>
      <c r="Y201" s="2" t="s">
        <v>27</v>
      </c>
      <c r="Z201" s="2" t="s">
        <v>28</v>
      </c>
      <c r="AA201" t="s">
        <v>245</v>
      </c>
      <c r="AB201" t="s">
        <v>245</v>
      </c>
      <c r="AC201" t="s">
        <v>245</v>
      </c>
    </row>
    <row r="202" spans="1:29" x14ac:dyDescent="0.2">
      <c r="A202" t="str">
        <f t="shared" si="29"/>
        <v>TRIP-TR-201</v>
      </c>
      <c r="B202" s="3">
        <v>45818</v>
      </c>
      <c r="C202" t="str">
        <f>IF(X202="CUSTOMER DELIVERY",_xlfn.XLOOKUP(D202,'[1]Jan Customer Duplicate Hyva'!$B:$B,'[1]Jan Customer Duplicate Hyva'!$A:$A,"NOT FOUND"),"")</f>
        <v>CUST-029</v>
      </c>
      <c r="D202" s="14" t="s">
        <v>242</v>
      </c>
      <c r="E202" s="2"/>
      <c r="F202" s="2"/>
      <c r="G202" s="2"/>
      <c r="H202" s="2"/>
      <c r="I202" s="2"/>
      <c r="J202" s="2"/>
      <c r="K202" s="2"/>
      <c r="L202" s="14" t="s">
        <v>165</v>
      </c>
      <c r="M202" s="9">
        <v>1</v>
      </c>
      <c r="N202" s="6">
        <v>5000</v>
      </c>
      <c r="O202" s="6">
        <f t="shared" si="30"/>
        <v>5000</v>
      </c>
      <c r="P202" s="6">
        <v>5000</v>
      </c>
      <c r="Q202" s="6">
        <f t="shared" si="31"/>
        <v>0</v>
      </c>
      <c r="R202" s="2" t="str">
        <f t="shared" ref="R202:R265" si="36">IF(Q202=0,"PAID",IF(P202=0,"UNPAID","PARTIAL"))</f>
        <v>PAID</v>
      </c>
      <c r="S202" s="2"/>
      <c r="T202" s="2">
        <f t="shared" si="32"/>
        <v>5000</v>
      </c>
      <c r="U202" s="2" t="str">
        <f t="shared" si="33"/>
        <v>OK</v>
      </c>
      <c r="V202" s="7">
        <f t="shared" si="34"/>
        <v>0</v>
      </c>
      <c r="W202" s="2" t="str">
        <f t="shared" si="35"/>
        <v>OK</v>
      </c>
      <c r="X202" s="2" t="s">
        <v>26</v>
      </c>
      <c r="Y202" s="2" t="s">
        <v>27</v>
      </c>
      <c r="Z202" s="2" t="s">
        <v>28</v>
      </c>
      <c r="AA202" t="s">
        <v>245</v>
      </c>
      <c r="AB202" t="s">
        <v>245</v>
      </c>
      <c r="AC202" t="s">
        <v>245</v>
      </c>
    </row>
    <row r="203" spans="1:29" x14ac:dyDescent="0.2">
      <c r="A203" t="str">
        <f t="shared" si="29"/>
        <v>TRIP-TR-202</v>
      </c>
      <c r="B203" s="3">
        <v>45819</v>
      </c>
      <c r="C203" t="str">
        <f>IF(X203="CUSTOMER DELIVERY",_xlfn.XLOOKUP(D203,'[1]Jan Customer Duplicate Hyva'!$B:$B,'[1]Jan Customer Duplicate Hyva'!$A:$A,"NOT FOUND"),"")</f>
        <v>CUST-107</v>
      </c>
      <c r="D203" s="10" t="s">
        <v>65</v>
      </c>
      <c r="E203" s="2"/>
      <c r="F203" s="2"/>
      <c r="G203" s="2"/>
      <c r="H203" s="2"/>
      <c r="I203" s="2"/>
      <c r="J203" s="2"/>
      <c r="K203" s="2"/>
      <c r="L203" s="14" t="s">
        <v>101</v>
      </c>
      <c r="M203" s="9">
        <v>1</v>
      </c>
      <c r="N203" s="6">
        <v>5000</v>
      </c>
      <c r="O203" s="6">
        <f t="shared" si="30"/>
        <v>5000</v>
      </c>
      <c r="P203" s="6">
        <v>5000</v>
      </c>
      <c r="Q203" s="6">
        <f t="shared" si="31"/>
        <v>0</v>
      </c>
      <c r="R203" s="2" t="str">
        <f t="shared" si="36"/>
        <v>PAID</v>
      </c>
      <c r="S203" s="2"/>
      <c r="T203" s="2">
        <f t="shared" si="32"/>
        <v>5000</v>
      </c>
      <c r="U203" s="2" t="str">
        <f t="shared" si="33"/>
        <v>OK</v>
      </c>
      <c r="V203" s="7">
        <f t="shared" si="34"/>
        <v>0</v>
      </c>
      <c r="W203" s="2" t="str">
        <f t="shared" si="35"/>
        <v>OK</v>
      </c>
      <c r="X203" s="2" t="s">
        <v>26</v>
      </c>
      <c r="Y203" s="2" t="s">
        <v>27</v>
      </c>
      <c r="Z203" s="2" t="s">
        <v>28</v>
      </c>
      <c r="AA203" t="s">
        <v>245</v>
      </c>
      <c r="AB203" t="s">
        <v>245</v>
      </c>
      <c r="AC203" t="s">
        <v>245</v>
      </c>
    </row>
    <row r="204" spans="1:29" x14ac:dyDescent="0.2">
      <c r="A204" t="str">
        <f t="shared" si="29"/>
        <v>TRIP-TR-203</v>
      </c>
      <c r="B204" s="3">
        <v>45820</v>
      </c>
      <c r="C204" t="str">
        <f>IF(X204="CUSTOMER DELIVERY",_xlfn.XLOOKUP(D204,'[1]Jan Customer Duplicate Hyva'!$B:$B,'[1]Jan Customer Duplicate Hyva'!$A:$A,"NOT FOUND"),"")</f>
        <v>CUST-120</v>
      </c>
      <c r="D204" s="8" t="s">
        <v>138</v>
      </c>
      <c r="E204" s="2"/>
      <c r="F204" s="2"/>
      <c r="G204" s="2"/>
      <c r="H204" s="2"/>
      <c r="I204" s="2"/>
      <c r="J204" s="2"/>
      <c r="K204" s="2"/>
      <c r="L204" s="14" t="s">
        <v>166</v>
      </c>
      <c r="M204" s="9">
        <v>2</v>
      </c>
      <c r="N204" s="6">
        <v>1000</v>
      </c>
      <c r="O204" s="6">
        <f t="shared" si="30"/>
        <v>2000</v>
      </c>
      <c r="P204" s="6">
        <v>2000</v>
      </c>
      <c r="Q204" s="6">
        <f t="shared" si="31"/>
        <v>0</v>
      </c>
      <c r="R204" s="2" t="str">
        <f t="shared" si="36"/>
        <v>PAID</v>
      </c>
      <c r="S204" s="2"/>
      <c r="T204" s="2">
        <f t="shared" si="32"/>
        <v>2000</v>
      </c>
      <c r="U204" s="2" t="str">
        <f t="shared" si="33"/>
        <v>OK</v>
      </c>
      <c r="V204" s="7">
        <f t="shared" si="34"/>
        <v>0</v>
      </c>
      <c r="W204" s="2" t="str">
        <f t="shared" si="35"/>
        <v>OK</v>
      </c>
      <c r="X204" s="2" t="s">
        <v>26</v>
      </c>
      <c r="Y204" s="2" t="s">
        <v>27</v>
      </c>
      <c r="Z204" s="2" t="s">
        <v>28</v>
      </c>
      <c r="AA204" t="s">
        <v>245</v>
      </c>
      <c r="AB204" t="s">
        <v>245</v>
      </c>
      <c r="AC204" t="s">
        <v>245</v>
      </c>
    </row>
    <row r="205" spans="1:29" x14ac:dyDescent="0.2">
      <c r="A205" t="str">
        <f t="shared" si="29"/>
        <v>TRIP-TR-204</v>
      </c>
      <c r="B205" s="3">
        <v>45821</v>
      </c>
      <c r="C205" t="str">
        <f>IF(X205="CUSTOMER DELIVERY",_xlfn.XLOOKUP(D205,'[1]Jan Customer Duplicate Hyva'!$B:$B,'[1]Jan Customer Duplicate Hyva'!$A:$A,"NOT FOUND"),"")</f>
        <v>CUST-317</v>
      </c>
      <c r="D205" s="14" t="s">
        <v>167</v>
      </c>
      <c r="E205" s="2"/>
      <c r="F205" s="2"/>
      <c r="G205" s="2"/>
      <c r="H205" s="2"/>
      <c r="I205" s="2"/>
      <c r="J205" s="2"/>
      <c r="K205" s="2"/>
      <c r="L205" s="14" t="s">
        <v>113</v>
      </c>
      <c r="M205" s="9">
        <v>1</v>
      </c>
      <c r="N205" s="6">
        <v>5500</v>
      </c>
      <c r="O205" s="6">
        <f t="shared" si="30"/>
        <v>5500</v>
      </c>
      <c r="P205" s="6">
        <v>5500</v>
      </c>
      <c r="Q205" s="6">
        <f t="shared" si="31"/>
        <v>0</v>
      </c>
      <c r="R205" s="2" t="str">
        <f t="shared" si="36"/>
        <v>PAID</v>
      </c>
      <c r="S205" s="2"/>
      <c r="T205" s="2">
        <f t="shared" si="32"/>
        <v>5500</v>
      </c>
      <c r="U205" s="2" t="str">
        <f t="shared" si="33"/>
        <v>OK</v>
      </c>
      <c r="V205" s="7">
        <f t="shared" si="34"/>
        <v>0</v>
      </c>
      <c r="W205" s="2" t="str">
        <f t="shared" si="35"/>
        <v>OK</v>
      </c>
      <c r="X205" s="2" t="s">
        <v>26</v>
      </c>
      <c r="Y205" s="2" t="s">
        <v>27</v>
      </c>
      <c r="Z205" s="2" t="s">
        <v>28</v>
      </c>
      <c r="AA205" t="s">
        <v>245</v>
      </c>
      <c r="AB205" t="s">
        <v>245</v>
      </c>
      <c r="AC205" t="s">
        <v>245</v>
      </c>
    </row>
    <row r="206" spans="1:29" x14ac:dyDescent="0.2">
      <c r="A206" t="str">
        <f t="shared" si="29"/>
        <v>TRIP-TR-205</v>
      </c>
      <c r="B206" s="3">
        <v>45822</v>
      </c>
      <c r="C206" t="str">
        <f>IF(X206="CUSTOMER DELIVERY",_xlfn.XLOOKUP(D206,'[1]Jan Customer Duplicate Hyva'!$B:$B,'[1]Jan Customer Duplicate Hyva'!$A:$A,"NOT FOUND"),"")</f>
        <v>CUST-234</v>
      </c>
      <c r="D206" s="4" t="s">
        <v>168</v>
      </c>
      <c r="E206" s="2"/>
      <c r="F206" s="2"/>
      <c r="G206" s="2"/>
      <c r="H206" s="2"/>
      <c r="I206" s="2"/>
      <c r="J206" s="2"/>
      <c r="K206" s="2"/>
      <c r="L206" s="4" t="s">
        <v>169</v>
      </c>
      <c r="M206" s="5">
        <v>1</v>
      </c>
      <c r="N206" s="6">
        <v>4000</v>
      </c>
      <c r="O206" s="6">
        <f t="shared" si="30"/>
        <v>4000</v>
      </c>
      <c r="P206" s="6">
        <v>4000</v>
      </c>
      <c r="Q206" s="6">
        <f t="shared" si="31"/>
        <v>0</v>
      </c>
      <c r="R206" s="2" t="str">
        <f t="shared" si="36"/>
        <v>PAID</v>
      </c>
      <c r="S206" s="2"/>
      <c r="T206" s="2">
        <f t="shared" si="32"/>
        <v>4000</v>
      </c>
      <c r="U206" s="2" t="str">
        <f t="shared" si="33"/>
        <v>OK</v>
      </c>
      <c r="V206" s="7">
        <f t="shared" si="34"/>
        <v>0</v>
      </c>
      <c r="W206" s="2" t="str">
        <f t="shared" si="35"/>
        <v>OK</v>
      </c>
      <c r="X206" s="2" t="s">
        <v>26</v>
      </c>
      <c r="Y206" s="2" t="s">
        <v>27</v>
      </c>
      <c r="Z206" s="2" t="s">
        <v>28</v>
      </c>
      <c r="AA206" t="s">
        <v>245</v>
      </c>
      <c r="AB206" t="s">
        <v>245</v>
      </c>
      <c r="AC206" t="s">
        <v>245</v>
      </c>
    </row>
    <row r="207" spans="1:29" x14ac:dyDescent="0.2">
      <c r="A207" t="str">
        <f t="shared" si="29"/>
        <v>TRIP-TR-206</v>
      </c>
      <c r="B207" s="3">
        <v>45822</v>
      </c>
      <c r="C207" t="str">
        <f>IF(X207="CUSTOMER DELIVERY",_xlfn.XLOOKUP(D207,'[1]Jan Customer Duplicate Hyva'!$B:$B,'[1]Jan Customer Duplicate Hyva'!$A:$A,"NOT FOUND"),"")</f>
        <v>CUST-120</v>
      </c>
      <c r="D207" s="8" t="s">
        <v>138</v>
      </c>
      <c r="E207" s="2"/>
      <c r="F207" s="2"/>
      <c r="G207" s="2"/>
      <c r="H207" s="2"/>
      <c r="I207" s="2"/>
      <c r="J207" s="2"/>
      <c r="K207" s="2"/>
      <c r="L207" s="4" t="s">
        <v>170</v>
      </c>
      <c r="M207" s="5">
        <v>3</v>
      </c>
      <c r="N207" s="6">
        <v>1000</v>
      </c>
      <c r="O207" s="6">
        <f t="shared" si="30"/>
        <v>3000</v>
      </c>
      <c r="P207" s="6">
        <v>3000</v>
      </c>
      <c r="Q207" s="6">
        <f t="shared" si="31"/>
        <v>0</v>
      </c>
      <c r="R207" s="2" t="str">
        <f t="shared" si="36"/>
        <v>PAID</v>
      </c>
      <c r="S207" s="2"/>
      <c r="T207" s="2">
        <f t="shared" si="32"/>
        <v>3000</v>
      </c>
      <c r="U207" s="2" t="str">
        <f t="shared" si="33"/>
        <v>OK</v>
      </c>
      <c r="V207" s="7">
        <f t="shared" si="34"/>
        <v>0</v>
      </c>
      <c r="W207" s="2" t="str">
        <f t="shared" si="35"/>
        <v>OK</v>
      </c>
      <c r="X207" s="2" t="s">
        <v>26</v>
      </c>
      <c r="Y207" s="2" t="s">
        <v>27</v>
      </c>
      <c r="Z207" s="2" t="s">
        <v>28</v>
      </c>
      <c r="AA207" t="s">
        <v>245</v>
      </c>
      <c r="AB207" t="s">
        <v>245</v>
      </c>
      <c r="AC207" t="s">
        <v>245</v>
      </c>
    </row>
    <row r="208" spans="1:29" x14ac:dyDescent="0.2">
      <c r="A208" t="str">
        <f t="shared" si="29"/>
        <v>TRIP-TR-207</v>
      </c>
      <c r="B208" s="3">
        <v>45822</v>
      </c>
      <c r="C208" t="str">
        <f>IF(X208="CUSTOMER DELIVERY",_xlfn.XLOOKUP(D208,'[1]Jan Customer Duplicate Hyva'!$B:$B,'[1]Jan Customer Duplicate Hyva'!$A:$A,"NOT FOUND"),"")</f>
        <v>CUST-120</v>
      </c>
      <c r="D208" s="8" t="s">
        <v>138</v>
      </c>
      <c r="E208" s="2"/>
      <c r="F208" s="2"/>
      <c r="G208" s="2"/>
      <c r="H208" s="2"/>
      <c r="I208" s="2"/>
      <c r="J208" s="2"/>
      <c r="K208" s="2"/>
      <c r="L208" s="4" t="s">
        <v>170</v>
      </c>
      <c r="M208" s="5">
        <v>1</v>
      </c>
      <c r="N208" s="6">
        <v>1000</v>
      </c>
      <c r="O208" s="6">
        <f t="shared" si="30"/>
        <v>1000</v>
      </c>
      <c r="P208" s="6">
        <v>1000</v>
      </c>
      <c r="Q208" s="6">
        <f t="shared" si="31"/>
        <v>0</v>
      </c>
      <c r="R208" s="2" t="str">
        <f t="shared" si="36"/>
        <v>PAID</v>
      </c>
      <c r="S208" s="2"/>
      <c r="T208" s="2">
        <f t="shared" si="32"/>
        <v>1000</v>
      </c>
      <c r="U208" s="2" t="str">
        <f t="shared" si="33"/>
        <v>OK</v>
      </c>
      <c r="V208" s="7">
        <f t="shared" si="34"/>
        <v>0</v>
      </c>
      <c r="W208" s="2" t="str">
        <f t="shared" si="35"/>
        <v>OK</v>
      </c>
      <c r="X208" s="2" t="s">
        <v>26</v>
      </c>
      <c r="Y208" s="2" t="s">
        <v>27</v>
      </c>
      <c r="Z208" s="2" t="s">
        <v>28</v>
      </c>
      <c r="AA208" t="s">
        <v>245</v>
      </c>
      <c r="AB208" t="s">
        <v>245</v>
      </c>
      <c r="AC208" t="s">
        <v>245</v>
      </c>
    </row>
    <row r="209" spans="1:29" x14ac:dyDescent="0.2">
      <c r="A209" t="str">
        <f t="shared" si="29"/>
        <v>TRIP-TR-208</v>
      </c>
      <c r="B209" s="3">
        <v>45822</v>
      </c>
      <c r="C209" t="str">
        <f>IF(X209="CUSTOMER DELIVERY",_xlfn.XLOOKUP(D209,'[1]Jan Customer Duplicate Hyva'!$B:$B,'[1]Jan Customer Duplicate Hyva'!$A:$A,"NOT FOUND"),"")</f>
        <v>CUST-317</v>
      </c>
      <c r="D209" s="14" t="s">
        <v>167</v>
      </c>
      <c r="E209" s="2"/>
      <c r="F209" s="2"/>
      <c r="G209" s="2"/>
      <c r="H209" s="2"/>
      <c r="I209" s="2"/>
      <c r="J209" s="2"/>
      <c r="K209" s="2"/>
      <c r="L209" s="4" t="s">
        <v>113</v>
      </c>
      <c r="M209" s="5">
        <v>1</v>
      </c>
      <c r="N209" s="6">
        <v>5000</v>
      </c>
      <c r="O209" s="6">
        <f t="shared" si="30"/>
        <v>5000</v>
      </c>
      <c r="P209" s="6">
        <v>5000</v>
      </c>
      <c r="Q209" s="6">
        <f t="shared" si="31"/>
        <v>0</v>
      </c>
      <c r="R209" s="2" t="str">
        <f t="shared" si="36"/>
        <v>PAID</v>
      </c>
      <c r="S209" s="2"/>
      <c r="T209" s="2">
        <f t="shared" si="32"/>
        <v>5000</v>
      </c>
      <c r="U209" s="2" t="str">
        <f t="shared" si="33"/>
        <v>OK</v>
      </c>
      <c r="V209" s="7">
        <f t="shared" si="34"/>
        <v>0</v>
      </c>
      <c r="W209" s="2" t="str">
        <f t="shared" si="35"/>
        <v>OK</v>
      </c>
      <c r="X209" s="2" t="s">
        <v>26</v>
      </c>
      <c r="Y209" s="2" t="s">
        <v>27</v>
      </c>
      <c r="Z209" s="2" t="s">
        <v>28</v>
      </c>
      <c r="AA209" t="s">
        <v>245</v>
      </c>
      <c r="AB209" t="s">
        <v>245</v>
      </c>
      <c r="AC209" t="s">
        <v>245</v>
      </c>
    </row>
    <row r="210" spans="1:29" x14ac:dyDescent="0.2">
      <c r="A210" t="str">
        <f t="shared" si="29"/>
        <v>TRIP-TR-209</v>
      </c>
      <c r="B210" s="3">
        <v>45824</v>
      </c>
      <c r="C210" t="str">
        <f>IF(X210="CUSTOMER DELIVERY",_xlfn.XLOOKUP(D210,'[1]Jan Customer Duplicate Hyva'!$B:$B,'[1]Jan Customer Duplicate Hyva'!$A:$A,"NOT FOUND"),"")</f>
        <v>CUST-189</v>
      </c>
      <c r="D210" s="4" t="s">
        <v>171</v>
      </c>
      <c r="E210" s="2"/>
      <c r="F210" s="2"/>
      <c r="G210" s="2"/>
      <c r="H210" s="2"/>
      <c r="I210" s="2"/>
      <c r="J210" s="2"/>
      <c r="K210" s="2"/>
      <c r="L210" s="4" t="s">
        <v>172</v>
      </c>
      <c r="M210" s="5">
        <v>1</v>
      </c>
      <c r="N210" s="6">
        <v>5500</v>
      </c>
      <c r="O210" s="6">
        <f t="shared" si="30"/>
        <v>5500</v>
      </c>
      <c r="P210" s="6">
        <v>5500</v>
      </c>
      <c r="Q210" s="6">
        <f t="shared" si="31"/>
        <v>0</v>
      </c>
      <c r="R210" s="2" t="str">
        <f t="shared" si="36"/>
        <v>PAID</v>
      </c>
      <c r="S210" s="2"/>
      <c r="T210" s="2">
        <f t="shared" si="32"/>
        <v>5500</v>
      </c>
      <c r="U210" s="2" t="str">
        <f t="shared" si="33"/>
        <v>OK</v>
      </c>
      <c r="V210" s="7">
        <f t="shared" si="34"/>
        <v>0</v>
      </c>
      <c r="W210" s="2" t="str">
        <f t="shared" si="35"/>
        <v>OK</v>
      </c>
      <c r="X210" s="2" t="s">
        <v>26</v>
      </c>
      <c r="Y210" s="2" t="s">
        <v>27</v>
      </c>
      <c r="Z210" s="2" t="s">
        <v>28</v>
      </c>
      <c r="AA210" t="s">
        <v>245</v>
      </c>
      <c r="AB210" t="s">
        <v>245</v>
      </c>
      <c r="AC210" t="s">
        <v>245</v>
      </c>
    </row>
    <row r="211" spans="1:29" x14ac:dyDescent="0.2">
      <c r="A211" t="str">
        <f t="shared" si="29"/>
        <v>TRIP-TR-210</v>
      </c>
      <c r="B211" s="3">
        <v>45824</v>
      </c>
      <c r="C211" t="str">
        <f>IF(X211="CUSTOMER DELIVERY",_xlfn.XLOOKUP(D211,'[1]Jan Customer Duplicate Hyva'!$B:$B,'[1]Jan Customer Duplicate Hyva'!$A:$A,"NOT FOUND"),"")</f>
        <v>CUST-234</v>
      </c>
      <c r="D211" s="4" t="s">
        <v>168</v>
      </c>
      <c r="E211" s="2"/>
      <c r="F211" s="2"/>
      <c r="G211" s="2"/>
      <c r="H211" s="2"/>
      <c r="I211" s="2"/>
      <c r="J211" s="2"/>
      <c r="K211" s="2"/>
      <c r="L211" s="4" t="s">
        <v>169</v>
      </c>
      <c r="M211" s="5">
        <v>1</v>
      </c>
      <c r="N211" s="6">
        <v>4000</v>
      </c>
      <c r="O211" s="6">
        <f t="shared" si="30"/>
        <v>4000</v>
      </c>
      <c r="P211" s="6">
        <v>4000</v>
      </c>
      <c r="Q211" s="6">
        <f t="shared" si="31"/>
        <v>0</v>
      </c>
      <c r="R211" s="2" t="str">
        <f t="shared" si="36"/>
        <v>PAID</v>
      </c>
      <c r="S211" s="2"/>
      <c r="T211" s="2">
        <f t="shared" si="32"/>
        <v>4000</v>
      </c>
      <c r="U211" s="2" t="str">
        <f t="shared" si="33"/>
        <v>OK</v>
      </c>
      <c r="V211" s="7">
        <f t="shared" si="34"/>
        <v>0</v>
      </c>
      <c r="W211" s="2" t="str">
        <f t="shared" si="35"/>
        <v>OK</v>
      </c>
      <c r="X211" s="2" t="s">
        <v>26</v>
      </c>
      <c r="Y211" s="2" t="s">
        <v>27</v>
      </c>
      <c r="Z211" s="2" t="s">
        <v>28</v>
      </c>
      <c r="AA211" t="s">
        <v>245</v>
      </c>
      <c r="AB211" t="s">
        <v>245</v>
      </c>
      <c r="AC211" t="s">
        <v>245</v>
      </c>
    </row>
    <row r="212" spans="1:29" x14ac:dyDescent="0.2">
      <c r="A212" t="str">
        <f t="shared" si="29"/>
        <v>TRIP-TR-211</v>
      </c>
      <c r="B212" s="3">
        <v>45824</v>
      </c>
      <c r="C212" t="str">
        <f>IF(X212="CUSTOMER DELIVERY",_xlfn.XLOOKUP(D212,'[1]Jan Customer Duplicate Hyva'!$B:$B,'[1]Jan Customer Duplicate Hyva'!$A:$A,"NOT FOUND"),"")</f>
        <v>CUST-283</v>
      </c>
      <c r="D212" s="4" t="s">
        <v>243</v>
      </c>
      <c r="E212" s="2"/>
      <c r="F212" s="2"/>
      <c r="G212" s="2"/>
      <c r="H212" s="2"/>
      <c r="I212" s="2"/>
      <c r="J212" s="2"/>
      <c r="K212" s="2"/>
      <c r="L212" s="4" t="s">
        <v>173</v>
      </c>
      <c r="M212" s="5">
        <v>1</v>
      </c>
      <c r="N212" s="6">
        <v>5000</v>
      </c>
      <c r="O212" s="6">
        <f t="shared" si="30"/>
        <v>5000</v>
      </c>
      <c r="P212" s="6">
        <v>5000</v>
      </c>
      <c r="Q212" s="6">
        <f t="shared" si="31"/>
        <v>0</v>
      </c>
      <c r="R212" s="2" t="str">
        <f t="shared" si="36"/>
        <v>PAID</v>
      </c>
      <c r="S212" s="2"/>
      <c r="T212" s="2">
        <f t="shared" si="32"/>
        <v>5000</v>
      </c>
      <c r="U212" s="2" t="str">
        <f t="shared" si="33"/>
        <v>OK</v>
      </c>
      <c r="V212" s="7">
        <f t="shared" si="34"/>
        <v>0</v>
      </c>
      <c r="W212" s="2" t="str">
        <f t="shared" si="35"/>
        <v>OK</v>
      </c>
      <c r="X212" s="2" t="s">
        <v>26</v>
      </c>
      <c r="Y212" s="2" t="s">
        <v>27</v>
      </c>
      <c r="Z212" s="2" t="s">
        <v>28</v>
      </c>
      <c r="AA212" t="s">
        <v>245</v>
      </c>
      <c r="AB212" t="s">
        <v>245</v>
      </c>
      <c r="AC212" t="s">
        <v>245</v>
      </c>
    </row>
    <row r="213" spans="1:29" x14ac:dyDescent="0.2">
      <c r="A213" t="str">
        <f t="shared" si="29"/>
        <v>TRIP-TR-212</v>
      </c>
      <c r="B213" s="3">
        <v>45825</v>
      </c>
      <c r="C213" t="str">
        <f>IF(X213="CUSTOMER DELIVERY",_xlfn.XLOOKUP(D213,'[1]Jan Customer Duplicate Hyva'!$B:$B,'[1]Jan Customer Duplicate Hyva'!$A:$A,"NOT FOUND"),"")</f>
        <v>CUST-375</v>
      </c>
      <c r="D213" s="4" t="s">
        <v>244</v>
      </c>
      <c r="E213" s="2"/>
      <c r="F213" s="2"/>
      <c r="G213" s="2"/>
      <c r="H213" s="2"/>
      <c r="I213" s="2"/>
      <c r="J213" s="2"/>
      <c r="K213" s="2"/>
      <c r="L213" s="4" t="s">
        <v>116</v>
      </c>
      <c r="M213" s="5">
        <v>1</v>
      </c>
      <c r="N213" s="6">
        <v>5500</v>
      </c>
      <c r="O213" s="6">
        <f t="shared" si="30"/>
        <v>5500</v>
      </c>
      <c r="P213" s="6">
        <v>5500</v>
      </c>
      <c r="Q213" s="6">
        <f t="shared" si="31"/>
        <v>0</v>
      </c>
      <c r="R213" s="2" t="str">
        <f t="shared" si="36"/>
        <v>PAID</v>
      </c>
      <c r="S213" s="2"/>
      <c r="T213" s="2">
        <f t="shared" si="32"/>
        <v>5500</v>
      </c>
      <c r="U213" s="2" t="str">
        <f t="shared" si="33"/>
        <v>OK</v>
      </c>
      <c r="V213" s="7">
        <f t="shared" si="34"/>
        <v>0</v>
      </c>
      <c r="W213" s="2" t="str">
        <f t="shared" si="35"/>
        <v>OK</v>
      </c>
      <c r="X213" s="2" t="s">
        <v>26</v>
      </c>
      <c r="Y213" s="2" t="s">
        <v>27</v>
      </c>
      <c r="Z213" s="2" t="s">
        <v>28</v>
      </c>
      <c r="AA213" t="s">
        <v>245</v>
      </c>
      <c r="AB213" t="s">
        <v>245</v>
      </c>
      <c r="AC213" t="s">
        <v>245</v>
      </c>
    </row>
    <row r="214" spans="1:29" x14ac:dyDescent="0.2">
      <c r="A214" t="str">
        <f t="shared" si="29"/>
        <v>TRIP-TR-213</v>
      </c>
      <c r="B214" s="3">
        <v>45826</v>
      </c>
      <c r="C214" t="str">
        <f>IF(X214="CUSTOMER DELIVERY",_xlfn.XLOOKUP(D214,'[1]Jan Customer Duplicate Hyva'!$B:$B,'[1]Jan Customer Duplicate Hyva'!$A:$A,"NOT FOUND"),"")</f>
        <v>CUST-107</v>
      </c>
      <c r="D214" s="10" t="s">
        <v>65</v>
      </c>
      <c r="E214" s="2"/>
      <c r="F214" s="2"/>
      <c r="G214" s="2"/>
      <c r="H214" s="2"/>
      <c r="I214" s="2"/>
      <c r="J214" s="2"/>
      <c r="K214" s="2"/>
      <c r="L214" s="8" t="s">
        <v>101</v>
      </c>
      <c r="M214" s="9">
        <v>1</v>
      </c>
      <c r="N214" s="6">
        <v>5000</v>
      </c>
      <c r="O214" s="6">
        <f t="shared" si="30"/>
        <v>5000</v>
      </c>
      <c r="P214" s="6">
        <v>5000</v>
      </c>
      <c r="Q214" s="6">
        <f t="shared" si="31"/>
        <v>0</v>
      </c>
      <c r="R214" s="2" t="str">
        <f t="shared" si="36"/>
        <v>PAID</v>
      </c>
      <c r="S214" s="2"/>
      <c r="T214" s="2">
        <f t="shared" si="32"/>
        <v>5000</v>
      </c>
      <c r="U214" s="2" t="str">
        <f t="shared" si="33"/>
        <v>OK</v>
      </c>
      <c r="V214" s="7">
        <f t="shared" si="34"/>
        <v>0</v>
      </c>
      <c r="W214" s="2" t="str">
        <f t="shared" si="35"/>
        <v>OK</v>
      </c>
      <c r="X214" s="2" t="s">
        <v>26</v>
      </c>
      <c r="Y214" s="2" t="s">
        <v>27</v>
      </c>
      <c r="Z214" s="2" t="s">
        <v>28</v>
      </c>
      <c r="AA214" t="s">
        <v>245</v>
      </c>
      <c r="AB214" t="s">
        <v>245</v>
      </c>
      <c r="AC214" t="s">
        <v>245</v>
      </c>
    </row>
    <row r="215" spans="1:29" x14ac:dyDescent="0.2">
      <c r="A215" t="str">
        <f t="shared" si="29"/>
        <v>TRIP-TR-214</v>
      </c>
      <c r="B215" s="3">
        <v>45827</v>
      </c>
      <c r="C215" t="str">
        <f>IF(X215="CUSTOMER DELIVERY",_xlfn.XLOOKUP(D215,'[1]Jan Customer Duplicate Hyva'!$B:$B,'[1]Jan Customer Duplicate Hyva'!$A:$A,"NOT FOUND"),"")</f>
        <v>CUST-234</v>
      </c>
      <c r="D215" s="4" t="s">
        <v>168</v>
      </c>
      <c r="E215" s="2"/>
      <c r="F215" s="2"/>
      <c r="G215" s="2"/>
      <c r="H215" s="2"/>
      <c r="I215" s="2"/>
      <c r="J215" s="2"/>
      <c r="K215" s="2"/>
      <c r="L215" s="4" t="s">
        <v>169</v>
      </c>
      <c r="M215" s="5">
        <v>2</v>
      </c>
      <c r="N215" s="6">
        <v>4000</v>
      </c>
      <c r="O215" s="6">
        <f t="shared" si="30"/>
        <v>8000</v>
      </c>
      <c r="P215" s="6">
        <v>8000</v>
      </c>
      <c r="Q215" s="6">
        <f t="shared" si="31"/>
        <v>0</v>
      </c>
      <c r="R215" s="2" t="str">
        <f t="shared" si="36"/>
        <v>PAID</v>
      </c>
      <c r="S215" s="2"/>
      <c r="T215" s="2">
        <f t="shared" si="32"/>
        <v>8000</v>
      </c>
      <c r="U215" s="2" t="str">
        <f t="shared" si="33"/>
        <v>OK</v>
      </c>
      <c r="V215" s="7">
        <f t="shared" si="34"/>
        <v>0</v>
      </c>
      <c r="W215" s="2" t="str">
        <f t="shared" si="35"/>
        <v>OK</v>
      </c>
      <c r="X215" s="2" t="s">
        <v>26</v>
      </c>
      <c r="Y215" s="2" t="s">
        <v>27</v>
      </c>
      <c r="Z215" s="2" t="s">
        <v>28</v>
      </c>
      <c r="AA215" t="s">
        <v>245</v>
      </c>
      <c r="AB215" t="s">
        <v>245</v>
      </c>
      <c r="AC215" t="s">
        <v>245</v>
      </c>
    </row>
    <row r="216" spans="1:29" x14ac:dyDescent="0.2">
      <c r="A216" t="str">
        <f t="shared" si="29"/>
        <v>TRIP-TR-215</v>
      </c>
      <c r="B216" s="3">
        <v>45828</v>
      </c>
      <c r="C216" t="str">
        <f>IF(X216="CUSTOMER DELIVERY",_xlfn.XLOOKUP(D216,'[1]Jan Customer Duplicate Hyva'!$B:$B,'[1]Jan Customer Duplicate Hyva'!$A:$A,"NOT FOUND"),"")</f>
        <v>CUST-317</v>
      </c>
      <c r="D216" s="14" t="s">
        <v>167</v>
      </c>
      <c r="E216" s="2"/>
      <c r="F216" s="2"/>
      <c r="G216" s="2"/>
      <c r="H216" s="2"/>
      <c r="I216" s="2"/>
      <c r="J216" s="2"/>
      <c r="K216" s="2"/>
      <c r="L216" s="8" t="s">
        <v>113</v>
      </c>
      <c r="M216" s="9">
        <v>1</v>
      </c>
      <c r="N216" s="6">
        <v>5000</v>
      </c>
      <c r="O216" s="6">
        <f t="shared" si="30"/>
        <v>5000</v>
      </c>
      <c r="P216" s="6">
        <v>5000</v>
      </c>
      <c r="Q216" s="6">
        <f t="shared" si="31"/>
        <v>0</v>
      </c>
      <c r="R216" s="2" t="str">
        <f t="shared" si="36"/>
        <v>PAID</v>
      </c>
      <c r="S216" s="2"/>
      <c r="T216" s="2">
        <f t="shared" si="32"/>
        <v>5000</v>
      </c>
      <c r="U216" s="2" t="str">
        <f t="shared" si="33"/>
        <v>OK</v>
      </c>
      <c r="V216" s="7">
        <f t="shared" si="34"/>
        <v>0</v>
      </c>
      <c r="W216" s="2" t="str">
        <f t="shared" si="35"/>
        <v>OK</v>
      </c>
      <c r="X216" s="2" t="s">
        <v>26</v>
      </c>
      <c r="Y216" s="2" t="s">
        <v>27</v>
      </c>
      <c r="Z216" s="2" t="s">
        <v>28</v>
      </c>
      <c r="AA216" t="s">
        <v>245</v>
      </c>
      <c r="AB216" t="s">
        <v>245</v>
      </c>
      <c r="AC216" t="s">
        <v>245</v>
      </c>
    </row>
    <row r="217" spans="1:29" x14ac:dyDescent="0.2">
      <c r="A217" t="str">
        <f t="shared" si="29"/>
        <v>TRIP-TR-216</v>
      </c>
      <c r="B217" s="3">
        <v>45828</v>
      </c>
      <c r="C217" t="str">
        <f>IF(X217="CUSTOMER DELIVERY",_xlfn.XLOOKUP(D217,'[1]Jan Customer Duplicate Hyva'!$B:$B,'[1]Jan Customer Duplicate Hyva'!$A:$A,"NOT FOUND"),"")</f>
        <v>CUST-072</v>
      </c>
      <c r="D217" s="8" t="s">
        <v>152</v>
      </c>
      <c r="E217" s="2"/>
      <c r="F217" s="2"/>
      <c r="G217" s="2"/>
      <c r="H217" s="2"/>
      <c r="I217" s="2"/>
      <c r="J217" s="2"/>
      <c r="K217" s="2"/>
      <c r="L217" s="8" t="s">
        <v>153</v>
      </c>
      <c r="M217" s="9">
        <v>1</v>
      </c>
      <c r="N217" s="6">
        <v>4000</v>
      </c>
      <c r="O217" s="6">
        <f t="shared" si="30"/>
        <v>4000</v>
      </c>
      <c r="P217" s="6"/>
      <c r="Q217" s="6">
        <f t="shared" si="31"/>
        <v>4000</v>
      </c>
      <c r="R217" s="2" t="str">
        <f t="shared" si="36"/>
        <v>UNPAID</v>
      </c>
      <c r="S217" s="2"/>
      <c r="T217" s="2">
        <f t="shared" si="32"/>
        <v>4000</v>
      </c>
      <c r="U217" s="2" t="str">
        <f t="shared" si="33"/>
        <v>OK</v>
      </c>
      <c r="V217" s="7">
        <f t="shared" si="34"/>
        <v>4000</v>
      </c>
      <c r="W217" s="2" t="str">
        <f t="shared" si="35"/>
        <v>OK</v>
      </c>
      <c r="X217" s="2" t="s">
        <v>26</v>
      </c>
      <c r="Y217" s="2" t="s">
        <v>27</v>
      </c>
      <c r="Z217" s="2" t="s">
        <v>28</v>
      </c>
      <c r="AA217" t="s">
        <v>245</v>
      </c>
      <c r="AB217" t="s">
        <v>245</v>
      </c>
      <c r="AC217" t="s">
        <v>245</v>
      </c>
    </row>
    <row r="218" spans="1:29" x14ac:dyDescent="0.2">
      <c r="A218" t="str">
        <f t="shared" si="29"/>
        <v>TRIP-TR-217</v>
      </c>
      <c r="B218" s="3">
        <v>45828</v>
      </c>
      <c r="C218" t="str">
        <f>IF(X218="CUSTOMER DELIVERY",_xlfn.XLOOKUP(D218,'[1]Jan Customer Duplicate Hyva'!$B:$B,'[1]Jan Customer Duplicate Hyva'!$A:$A,"NOT FOUND"),"")</f>
        <v>CUST-347</v>
      </c>
      <c r="D218" s="8" t="s">
        <v>233</v>
      </c>
      <c r="E218" s="2"/>
      <c r="F218" s="2"/>
      <c r="G218" s="2"/>
      <c r="H218" s="2"/>
      <c r="I218" s="2"/>
      <c r="J218" s="2"/>
      <c r="K218" s="2"/>
      <c r="L218" s="8" t="s">
        <v>42</v>
      </c>
      <c r="M218" s="9">
        <v>1</v>
      </c>
      <c r="N218" s="6">
        <v>5000</v>
      </c>
      <c r="O218" s="6">
        <f t="shared" si="30"/>
        <v>5000</v>
      </c>
      <c r="P218" s="6">
        <v>5000</v>
      </c>
      <c r="Q218" s="6">
        <f t="shared" si="31"/>
        <v>0</v>
      </c>
      <c r="R218" s="2" t="str">
        <f t="shared" si="36"/>
        <v>PAID</v>
      </c>
      <c r="S218" s="2"/>
      <c r="T218" s="2">
        <f t="shared" si="32"/>
        <v>5000</v>
      </c>
      <c r="U218" s="2" t="str">
        <f t="shared" si="33"/>
        <v>OK</v>
      </c>
      <c r="V218" s="7">
        <f t="shared" si="34"/>
        <v>0</v>
      </c>
      <c r="W218" s="2" t="str">
        <f t="shared" si="35"/>
        <v>OK</v>
      </c>
      <c r="X218" s="2" t="s">
        <v>26</v>
      </c>
      <c r="Y218" s="2" t="s">
        <v>27</v>
      </c>
      <c r="Z218" s="2" t="s">
        <v>28</v>
      </c>
      <c r="AA218" t="s">
        <v>245</v>
      </c>
      <c r="AB218" t="s">
        <v>245</v>
      </c>
      <c r="AC218" t="s">
        <v>245</v>
      </c>
    </row>
    <row r="219" spans="1:29" x14ac:dyDescent="0.2">
      <c r="A219" t="str">
        <f t="shared" si="29"/>
        <v>TRIP-TR-218</v>
      </c>
      <c r="B219" s="3">
        <v>45828</v>
      </c>
      <c r="C219" t="str">
        <f>IF(X219="CUSTOMER DELIVERY",_xlfn.XLOOKUP(D219,'[1]Jan Customer Duplicate Hyva'!$B:$B,'[1]Jan Customer Duplicate Hyva'!$A:$A,"NOT FOUND"),"")</f>
        <v>CUST-317</v>
      </c>
      <c r="D219" s="14" t="s">
        <v>167</v>
      </c>
      <c r="E219" s="2"/>
      <c r="F219" s="2"/>
      <c r="G219" s="2"/>
      <c r="H219" s="2"/>
      <c r="I219" s="2"/>
      <c r="J219" s="2"/>
      <c r="K219" s="2"/>
      <c r="L219" s="8" t="s">
        <v>113</v>
      </c>
      <c r="M219" s="9">
        <v>1</v>
      </c>
      <c r="N219" s="6">
        <v>5000</v>
      </c>
      <c r="O219" s="6">
        <f t="shared" si="30"/>
        <v>5000</v>
      </c>
      <c r="P219" s="6">
        <v>5000</v>
      </c>
      <c r="Q219" s="6">
        <f t="shared" si="31"/>
        <v>0</v>
      </c>
      <c r="R219" s="2" t="str">
        <f t="shared" si="36"/>
        <v>PAID</v>
      </c>
      <c r="S219" s="2"/>
      <c r="T219" s="2">
        <f t="shared" si="32"/>
        <v>5000</v>
      </c>
      <c r="U219" s="2" t="str">
        <f t="shared" si="33"/>
        <v>OK</v>
      </c>
      <c r="V219" s="7">
        <f t="shared" si="34"/>
        <v>0</v>
      </c>
      <c r="W219" s="2" t="str">
        <f t="shared" si="35"/>
        <v>OK</v>
      </c>
      <c r="X219" s="2" t="s">
        <v>26</v>
      </c>
      <c r="Y219" s="2" t="s">
        <v>27</v>
      </c>
      <c r="Z219" s="2" t="s">
        <v>28</v>
      </c>
      <c r="AA219" t="s">
        <v>245</v>
      </c>
      <c r="AB219" t="s">
        <v>245</v>
      </c>
      <c r="AC219" t="s">
        <v>245</v>
      </c>
    </row>
    <row r="220" spans="1:29" x14ac:dyDescent="0.2">
      <c r="A220" t="str">
        <f t="shared" si="29"/>
        <v>TRIP-TR-219</v>
      </c>
      <c r="B220" s="3">
        <v>45828</v>
      </c>
      <c r="C220" t="str">
        <f>IF(X220="CUSTOMER DELIVERY",_xlfn.XLOOKUP(D220,'[1]Jan Customer Duplicate Hyva'!$B:$B,'[1]Jan Customer Duplicate Hyva'!$A:$A,"NOT FOUND"),"")</f>
        <v>CUST-372</v>
      </c>
      <c r="D220" s="8" t="s">
        <v>174</v>
      </c>
      <c r="E220" s="2"/>
      <c r="F220" s="2"/>
      <c r="G220" s="2"/>
      <c r="H220" s="2"/>
      <c r="I220" s="2"/>
      <c r="J220" s="2"/>
      <c r="K220" s="2"/>
      <c r="L220" s="8" t="s">
        <v>175</v>
      </c>
      <c r="M220" s="9">
        <v>1</v>
      </c>
      <c r="N220" s="6">
        <v>5000</v>
      </c>
      <c r="O220" s="6">
        <f t="shared" si="30"/>
        <v>5000</v>
      </c>
      <c r="P220" s="6"/>
      <c r="Q220" s="6">
        <f t="shared" si="31"/>
        <v>5000</v>
      </c>
      <c r="R220" s="2" t="str">
        <f t="shared" si="36"/>
        <v>UNPAID</v>
      </c>
      <c r="S220" s="2"/>
      <c r="T220" s="2">
        <f t="shared" si="32"/>
        <v>5000</v>
      </c>
      <c r="U220" s="2" t="str">
        <f t="shared" si="33"/>
        <v>OK</v>
      </c>
      <c r="V220" s="7">
        <f t="shared" si="34"/>
        <v>5000</v>
      </c>
      <c r="W220" s="2" t="str">
        <f t="shared" si="35"/>
        <v>OK</v>
      </c>
      <c r="X220" s="2" t="s">
        <v>26</v>
      </c>
      <c r="Y220" s="2" t="s">
        <v>27</v>
      </c>
      <c r="Z220" s="2" t="s">
        <v>28</v>
      </c>
      <c r="AA220" t="s">
        <v>245</v>
      </c>
      <c r="AB220" t="s">
        <v>245</v>
      </c>
      <c r="AC220" t="s">
        <v>245</v>
      </c>
    </row>
    <row r="221" spans="1:29" x14ac:dyDescent="0.2">
      <c r="A221" t="str">
        <f t="shared" si="29"/>
        <v>TRIP-TR-220</v>
      </c>
      <c r="B221" s="3">
        <v>45828</v>
      </c>
      <c r="C221" t="str">
        <f>IF(X221="CUSTOMER DELIVERY",_xlfn.XLOOKUP(D221,'[1]Jan Customer Duplicate Hyva'!$B:$B,'[1]Jan Customer Duplicate Hyva'!$A:$A,"NOT FOUND"),"")</f>
        <v>CUST-169</v>
      </c>
      <c r="D221" s="8" t="s">
        <v>176</v>
      </c>
      <c r="E221" s="2"/>
      <c r="F221" s="2"/>
      <c r="G221" s="2"/>
      <c r="H221" s="2"/>
      <c r="I221" s="2"/>
      <c r="J221" s="2"/>
      <c r="K221" s="2"/>
      <c r="L221" s="8" t="s">
        <v>177</v>
      </c>
      <c r="M221" s="9">
        <v>1</v>
      </c>
      <c r="N221" s="6">
        <v>5000</v>
      </c>
      <c r="O221" s="6">
        <f t="shared" si="30"/>
        <v>5000</v>
      </c>
      <c r="P221" s="6">
        <v>5000</v>
      </c>
      <c r="Q221" s="6">
        <f t="shared" si="31"/>
        <v>0</v>
      </c>
      <c r="R221" s="2" t="str">
        <f t="shared" si="36"/>
        <v>PAID</v>
      </c>
      <c r="S221" s="2"/>
      <c r="T221" s="2">
        <f t="shared" si="32"/>
        <v>5000</v>
      </c>
      <c r="U221" s="2" t="str">
        <f t="shared" si="33"/>
        <v>OK</v>
      </c>
      <c r="V221" s="7">
        <f t="shared" si="34"/>
        <v>0</v>
      </c>
      <c r="W221" s="2" t="str">
        <f t="shared" si="35"/>
        <v>OK</v>
      </c>
      <c r="X221" s="2" t="s">
        <v>26</v>
      </c>
      <c r="Y221" s="2" t="s">
        <v>27</v>
      </c>
      <c r="Z221" s="2" t="s">
        <v>28</v>
      </c>
      <c r="AA221" t="s">
        <v>245</v>
      </c>
      <c r="AB221" t="s">
        <v>245</v>
      </c>
      <c r="AC221" t="s">
        <v>245</v>
      </c>
    </row>
    <row r="222" spans="1:29" x14ac:dyDescent="0.2">
      <c r="A222" t="str">
        <f t="shared" si="29"/>
        <v>TRIP-TR-221</v>
      </c>
      <c r="B222" s="3">
        <v>45828</v>
      </c>
      <c r="C222" t="str">
        <f>IF(X222="CUSTOMER DELIVERY",_xlfn.XLOOKUP(D222,'[1]Jan Customer Duplicate Hyva'!$B:$B,'[1]Jan Customer Duplicate Hyva'!$A:$A,"NOT FOUND"),"")</f>
        <v>CUST-347</v>
      </c>
      <c r="D222" s="8" t="s">
        <v>233</v>
      </c>
      <c r="E222" s="2"/>
      <c r="F222" s="2"/>
      <c r="G222" s="2"/>
      <c r="H222" s="2"/>
      <c r="I222" s="2"/>
      <c r="J222" s="2"/>
      <c r="K222" s="2"/>
      <c r="L222" s="8" t="s">
        <v>42</v>
      </c>
      <c r="M222" s="9">
        <v>1</v>
      </c>
      <c r="N222" s="6">
        <v>5000</v>
      </c>
      <c r="O222" s="6">
        <f t="shared" si="30"/>
        <v>5000</v>
      </c>
      <c r="P222" s="6">
        <v>5000</v>
      </c>
      <c r="Q222" s="6">
        <f t="shared" si="31"/>
        <v>0</v>
      </c>
      <c r="R222" s="2" t="str">
        <f t="shared" si="36"/>
        <v>PAID</v>
      </c>
      <c r="S222" s="2"/>
      <c r="T222" s="2">
        <f t="shared" si="32"/>
        <v>5000</v>
      </c>
      <c r="U222" s="2" t="str">
        <f t="shared" si="33"/>
        <v>OK</v>
      </c>
      <c r="V222" s="7">
        <f t="shared" si="34"/>
        <v>0</v>
      </c>
      <c r="W222" s="2" t="str">
        <f t="shared" si="35"/>
        <v>OK</v>
      </c>
      <c r="X222" s="2" t="s">
        <v>26</v>
      </c>
      <c r="Y222" s="2" t="s">
        <v>27</v>
      </c>
      <c r="Z222" s="2" t="s">
        <v>28</v>
      </c>
      <c r="AA222" t="s">
        <v>245</v>
      </c>
      <c r="AB222" t="s">
        <v>245</v>
      </c>
      <c r="AC222" t="s">
        <v>245</v>
      </c>
    </row>
    <row r="223" spans="1:29" x14ac:dyDescent="0.2">
      <c r="A223" t="str">
        <f t="shared" si="29"/>
        <v>TRIP-TR-222</v>
      </c>
      <c r="B223" s="3">
        <v>45829</v>
      </c>
      <c r="C223" t="str">
        <f>IF(X223="CUSTOMER DELIVERY",_xlfn.XLOOKUP(D223,'[1]Jan Customer Duplicate Hyva'!$B:$B,'[1]Jan Customer Duplicate Hyva'!$A:$A,"NOT FOUND"),"")</f>
        <v>CUST-394</v>
      </c>
      <c r="D223" s="8" t="s">
        <v>245</v>
      </c>
      <c r="E223" s="2"/>
      <c r="F223" s="2"/>
      <c r="G223" s="2"/>
      <c r="H223" s="2"/>
      <c r="I223" s="2"/>
      <c r="J223" s="2"/>
      <c r="K223" s="2"/>
      <c r="L223" s="8" t="s">
        <v>38</v>
      </c>
      <c r="M223" s="9">
        <v>2</v>
      </c>
      <c r="N223" s="6">
        <v>4500</v>
      </c>
      <c r="O223" s="6">
        <f t="shared" si="30"/>
        <v>9000</v>
      </c>
      <c r="P223" s="6">
        <v>9000</v>
      </c>
      <c r="Q223" s="6">
        <f t="shared" si="31"/>
        <v>0</v>
      </c>
      <c r="R223" s="2" t="str">
        <f t="shared" si="36"/>
        <v>PAID</v>
      </c>
      <c r="S223" s="2"/>
      <c r="T223" s="2">
        <f t="shared" si="32"/>
        <v>9000</v>
      </c>
      <c r="U223" s="2" t="str">
        <f t="shared" si="33"/>
        <v>OK</v>
      </c>
      <c r="V223" s="7">
        <f t="shared" si="34"/>
        <v>0</v>
      </c>
      <c r="W223" s="2" t="str">
        <f t="shared" si="35"/>
        <v>OK</v>
      </c>
      <c r="X223" s="2" t="s">
        <v>26</v>
      </c>
      <c r="Y223" s="2" t="s">
        <v>27</v>
      </c>
      <c r="Z223" s="2" t="s">
        <v>28</v>
      </c>
      <c r="AA223" t="s">
        <v>245</v>
      </c>
      <c r="AB223" t="s">
        <v>245</v>
      </c>
      <c r="AC223" t="s">
        <v>245</v>
      </c>
    </row>
    <row r="224" spans="1:29" x14ac:dyDescent="0.2">
      <c r="A224" t="str">
        <f t="shared" si="29"/>
        <v>TRIP-TR-223</v>
      </c>
      <c r="B224" s="3">
        <v>45829</v>
      </c>
      <c r="C224" t="str">
        <f>IF(X224="CUSTOMER DELIVERY",_xlfn.XLOOKUP(D224,'[1]Jan Customer Duplicate Hyva'!$B:$B,'[1]Jan Customer Duplicate Hyva'!$A:$A,"NOT FOUND"),"")</f>
        <v>CUST-372</v>
      </c>
      <c r="D224" s="8" t="s">
        <v>174</v>
      </c>
      <c r="E224" s="2"/>
      <c r="F224" s="2"/>
      <c r="G224" s="2"/>
      <c r="H224" s="2"/>
      <c r="I224" s="2"/>
      <c r="J224" s="2"/>
      <c r="K224" s="2"/>
      <c r="L224" s="8" t="s">
        <v>38</v>
      </c>
      <c r="M224" s="9">
        <v>2</v>
      </c>
      <c r="N224" s="6">
        <v>4000</v>
      </c>
      <c r="O224" s="6">
        <f t="shared" si="30"/>
        <v>8000</v>
      </c>
      <c r="P224" s="6">
        <v>8000</v>
      </c>
      <c r="Q224" s="6">
        <f t="shared" si="31"/>
        <v>0</v>
      </c>
      <c r="R224" s="2" t="str">
        <f t="shared" si="36"/>
        <v>PAID</v>
      </c>
      <c r="S224" s="2"/>
      <c r="T224" s="2">
        <f t="shared" si="32"/>
        <v>8000</v>
      </c>
      <c r="U224" s="2" t="str">
        <f t="shared" si="33"/>
        <v>OK</v>
      </c>
      <c r="V224" s="7">
        <f t="shared" si="34"/>
        <v>0</v>
      </c>
      <c r="W224" s="2" t="str">
        <f t="shared" si="35"/>
        <v>OK</v>
      </c>
      <c r="X224" s="2" t="s">
        <v>26</v>
      </c>
      <c r="Y224" s="2" t="s">
        <v>27</v>
      </c>
      <c r="Z224" s="2" t="s">
        <v>28</v>
      </c>
      <c r="AA224" t="s">
        <v>245</v>
      </c>
      <c r="AB224" t="s">
        <v>245</v>
      </c>
      <c r="AC224" t="s">
        <v>245</v>
      </c>
    </row>
    <row r="225" spans="1:29" x14ac:dyDescent="0.2">
      <c r="A225" t="str">
        <f t="shared" si="29"/>
        <v>TRIP-TR-224</v>
      </c>
      <c r="B225" s="3">
        <v>45829</v>
      </c>
      <c r="C225" t="str">
        <f>IF(X225="CUSTOMER DELIVERY",_xlfn.XLOOKUP(D225,'[1]Jan Customer Duplicate Hyva'!$B:$B,'[1]Jan Customer Duplicate Hyva'!$A:$A,"NOT FOUND"),"")</f>
        <v>CUST-177</v>
      </c>
      <c r="D225" s="8" t="s">
        <v>130</v>
      </c>
      <c r="E225" s="2"/>
      <c r="F225" s="2"/>
      <c r="G225" s="2"/>
      <c r="H225" s="2"/>
      <c r="I225" s="2"/>
      <c r="J225" s="2"/>
      <c r="K225" s="2"/>
      <c r="L225" s="8" t="s">
        <v>153</v>
      </c>
      <c r="M225" s="9">
        <v>3</v>
      </c>
      <c r="N225" s="6">
        <v>4500</v>
      </c>
      <c r="O225" s="6">
        <f t="shared" si="30"/>
        <v>13500</v>
      </c>
      <c r="P225" s="6">
        <v>13500</v>
      </c>
      <c r="Q225" s="6">
        <f t="shared" si="31"/>
        <v>0</v>
      </c>
      <c r="R225" s="2" t="str">
        <f t="shared" si="36"/>
        <v>PAID</v>
      </c>
      <c r="S225" s="2"/>
      <c r="T225" s="2">
        <f t="shared" si="32"/>
        <v>13500</v>
      </c>
      <c r="U225" s="2" t="str">
        <f t="shared" si="33"/>
        <v>OK</v>
      </c>
      <c r="V225" s="7">
        <f t="shared" si="34"/>
        <v>0</v>
      </c>
      <c r="W225" s="2" t="str">
        <f t="shared" si="35"/>
        <v>OK</v>
      </c>
      <c r="X225" s="2" t="s">
        <v>26</v>
      </c>
      <c r="Y225" s="2" t="s">
        <v>27</v>
      </c>
      <c r="Z225" s="2" t="s">
        <v>28</v>
      </c>
      <c r="AA225" t="s">
        <v>245</v>
      </c>
      <c r="AB225" t="s">
        <v>245</v>
      </c>
      <c r="AC225" t="s">
        <v>245</v>
      </c>
    </row>
    <row r="226" spans="1:29" x14ac:dyDescent="0.2">
      <c r="A226" t="str">
        <f t="shared" si="29"/>
        <v>TRIP-TR-225</v>
      </c>
      <c r="B226" s="3">
        <v>45831</v>
      </c>
      <c r="C226" t="str">
        <f>IF(X226="CUSTOMER DELIVERY",_xlfn.XLOOKUP(D226,'[1]Jan Customer Duplicate Hyva'!$B:$B,'[1]Jan Customer Duplicate Hyva'!$A:$A,"NOT FOUND"),"")</f>
        <v>CUST-347</v>
      </c>
      <c r="D226" s="8" t="s">
        <v>233</v>
      </c>
      <c r="E226" s="2"/>
      <c r="F226" s="2"/>
      <c r="G226" s="2"/>
      <c r="H226" s="2"/>
      <c r="I226" s="2"/>
      <c r="J226" s="2"/>
      <c r="K226" s="2"/>
      <c r="L226" s="8" t="s">
        <v>42</v>
      </c>
      <c r="M226" s="9">
        <v>1</v>
      </c>
      <c r="N226" s="6">
        <v>5000</v>
      </c>
      <c r="O226" s="6">
        <f t="shared" si="30"/>
        <v>5000</v>
      </c>
      <c r="P226" s="6">
        <v>5000</v>
      </c>
      <c r="Q226" s="6">
        <f t="shared" si="31"/>
        <v>0</v>
      </c>
      <c r="R226" s="2" t="str">
        <f t="shared" si="36"/>
        <v>PAID</v>
      </c>
      <c r="S226" s="2"/>
      <c r="T226" s="2">
        <f t="shared" si="32"/>
        <v>5000</v>
      </c>
      <c r="U226" s="2" t="str">
        <f t="shared" si="33"/>
        <v>OK</v>
      </c>
      <c r="V226" s="7">
        <f t="shared" si="34"/>
        <v>0</v>
      </c>
      <c r="W226" s="2" t="str">
        <f t="shared" si="35"/>
        <v>OK</v>
      </c>
      <c r="X226" s="2" t="s">
        <v>26</v>
      </c>
      <c r="Y226" s="2" t="s">
        <v>27</v>
      </c>
      <c r="Z226" s="2" t="s">
        <v>28</v>
      </c>
      <c r="AA226" t="s">
        <v>245</v>
      </c>
      <c r="AB226" t="s">
        <v>245</v>
      </c>
      <c r="AC226" t="s">
        <v>245</v>
      </c>
    </row>
    <row r="227" spans="1:29" x14ac:dyDescent="0.2">
      <c r="A227" t="str">
        <f t="shared" si="29"/>
        <v>TRIP-TR-226</v>
      </c>
      <c r="B227" s="3">
        <v>45831</v>
      </c>
      <c r="C227" t="str">
        <f>IF(X227="CUSTOMER DELIVERY",_xlfn.XLOOKUP(D227,'[1]Jan Customer Duplicate Hyva'!$B:$B,'[1]Jan Customer Duplicate Hyva'!$A:$A,"NOT FOUND"),"")</f>
        <v>CUST-104</v>
      </c>
      <c r="D227" s="14" t="s">
        <v>178</v>
      </c>
      <c r="E227" s="2"/>
      <c r="F227" s="2"/>
      <c r="G227" s="2"/>
      <c r="H227" s="2"/>
      <c r="I227" s="2"/>
      <c r="J227" s="2"/>
      <c r="K227" s="2"/>
      <c r="L227" s="14" t="s">
        <v>179</v>
      </c>
      <c r="M227" s="9">
        <v>2</v>
      </c>
      <c r="N227" s="6">
        <v>0</v>
      </c>
      <c r="O227" s="6">
        <f t="shared" si="30"/>
        <v>0</v>
      </c>
      <c r="P227" s="6"/>
      <c r="Q227" s="6">
        <f t="shared" si="31"/>
        <v>0</v>
      </c>
      <c r="R227" s="2" t="str">
        <f t="shared" si="36"/>
        <v>PAID</v>
      </c>
      <c r="S227" s="2"/>
      <c r="T227" s="2">
        <f t="shared" si="32"/>
        <v>0</v>
      </c>
      <c r="U227" s="2" t="str">
        <f t="shared" si="33"/>
        <v>OK</v>
      </c>
      <c r="V227" s="7">
        <f t="shared" si="34"/>
        <v>0</v>
      </c>
      <c r="W227" s="2" t="str">
        <f t="shared" si="35"/>
        <v>OK</v>
      </c>
      <c r="X227" s="2" t="s">
        <v>26</v>
      </c>
      <c r="Y227" s="2" t="s">
        <v>27</v>
      </c>
      <c r="Z227" s="2" t="s">
        <v>28</v>
      </c>
      <c r="AA227" t="s">
        <v>245</v>
      </c>
      <c r="AB227" t="s">
        <v>245</v>
      </c>
      <c r="AC227" t="s">
        <v>245</v>
      </c>
    </row>
    <row r="228" spans="1:29" x14ac:dyDescent="0.2">
      <c r="A228" t="str">
        <f t="shared" si="29"/>
        <v>TRIP-TR-227</v>
      </c>
      <c r="B228" s="3">
        <v>45831</v>
      </c>
      <c r="C228" t="str">
        <f>IF(X228="CUSTOMER DELIVERY",_xlfn.XLOOKUP(D228,'[1]Jan Customer Duplicate Hyva'!$B:$B,'[1]Jan Customer Duplicate Hyva'!$A:$A,"NOT FOUND"),"")</f>
        <v>CUST-355</v>
      </c>
      <c r="D228" s="14" t="s">
        <v>246</v>
      </c>
      <c r="E228" s="2"/>
      <c r="F228" s="2"/>
      <c r="G228" s="2"/>
      <c r="H228" s="2"/>
      <c r="I228" s="2"/>
      <c r="J228" s="2"/>
      <c r="K228" s="2"/>
      <c r="L228" s="14" t="s">
        <v>180</v>
      </c>
      <c r="M228" s="9">
        <v>2</v>
      </c>
      <c r="N228" s="6">
        <v>4500</v>
      </c>
      <c r="O228" s="6">
        <f t="shared" si="30"/>
        <v>9000</v>
      </c>
      <c r="P228" s="6">
        <v>9000</v>
      </c>
      <c r="Q228" s="6">
        <f t="shared" si="31"/>
        <v>0</v>
      </c>
      <c r="R228" s="2" t="str">
        <f t="shared" si="36"/>
        <v>PAID</v>
      </c>
      <c r="S228" s="2"/>
      <c r="T228" s="2">
        <f t="shared" si="32"/>
        <v>9000</v>
      </c>
      <c r="U228" s="2" t="str">
        <f t="shared" si="33"/>
        <v>OK</v>
      </c>
      <c r="V228" s="7">
        <f t="shared" si="34"/>
        <v>0</v>
      </c>
      <c r="W228" s="2" t="str">
        <f t="shared" si="35"/>
        <v>OK</v>
      </c>
      <c r="X228" s="2" t="s">
        <v>26</v>
      </c>
      <c r="Y228" s="2" t="s">
        <v>27</v>
      </c>
      <c r="Z228" s="2" t="s">
        <v>28</v>
      </c>
      <c r="AA228" t="s">
        <v>245</v>
      </c>
      <c r="AB228" t="s">
        <v>245</v>
      </c>
      <c r="AC228" t="s">
        <v>245</v>
      </c>
    </row>
    <row r="229" spans="1:29" x14ac:dyDescent="0.2">
      <c r="A229" t="str">
        <f t="shared" si="29"/>
        <v>TRIP-TR-228</v>
      </c>
      <c r="B229" s="3">
        <v>45832</v>
      </c>
      <c r="C229" t="str">
        <f>IF(X229="CUSTOMER DELIVERY",_xlfn.XLOOKUP(D229,'[1]Jan Customer Duplicate Hyva'!$B:$B,'[1]Jan Customer Duplicate Hyva'!$A:$A,"NOT FOUND"),"")</f>
        <v>CUST-017</v>
      </c>
      <c r="D229" s="8" t="s">
        <v>109</v>
      </c>
      <c r="E229" s="2"/>
      <c r="F229" s="2"/>
      <c r="G229" s="2"/>
      <c r="H229" s="2"/>
      <c r="I229" s="2"/>
      <c r="J229" s="2"/>
      <c r="K229" s="2"/>
      <c r="L229" s="8" t="s">
        <v>181</v>
      </c>
      <c r="M229" s="9">
        <v>1</v>
      </c>
      <c r="N229" s="6">
        <v>4500</v>
      </c>
      <c r="O229" s="6">
        <f t="shared" si="30"/>
        <v>4500</v>
      </c>
      <c r="P229" s="6">
        <v>4500</v>
      </c>
      <c r="Q229" s="6">
        <f t="shared" si="31"/>
        <v>0</v>
      </c>
      <c r="R229" s="2" t="str">
        <f t="shared" si="36"/>
        <v>PAID</v>
      </c>
      <c r="S229" s="2"/>
      <c r="T229" s="2">
        <f t="shared" si="32"/>
        <v>4500</v>
      </c>
      <c r="U229" s="2" t="str">
        <f t="shared" si="33"/>
        <v>OK</v>
      </c>
      <c r="V229" s="7">
        <f t="shared" si="34"/>
        <v>0</v>
      </c>
      <c r="W229" s="2" t="str">
        <f t="shared" si="35"/>
        <v>OK</v>
      </c>
      <c r="X229" s="2" t="s">
        <v>26</v>
      </c>
      <c r="Y229" s="2" t="s">
        <v>27</v>
      </c>
      <c r="Z229" s="2" t="s">
        <v>28</v>
      </c>
      <c r="AA229" t="s">
        <v>245</v>
      </c>
      <c r="AB229" t="s">
        <v>245</v>
      </c>
      <c r="AC229" t="s">
        <v>245</v>
      </c>
    </row>
    <row r="230" spans="1:29" x14ac:dyDescent="0.2">
      <c r="A230" t="str">
        <f t="shared" si="29"/>
        <v>TRIP-TR-229</v>
      </c>
      <c r="B230" s="3">
        <v>45835</v>
      </c>
      <c r="C230" t="str">
        <f>IF(X230="CUSTOMER DELIVERY",_xlfn.XLOOKUP(D230,'[1]Jan Customer Duplicate Hyva'!$B:$B,'[1]Jan Customer Duplicate Hyva'!$A:$A,"NOT FOUND"),"")</f>
        <v>CUST-028</v>
      </c>
      <c r="D230" s="8" t="s">
        <v>247</v>
      </c>
      <c r="E230" s="2"/>
      <c r="F230" s="2"/>
      <c r="G230" s="2"/>
      <c r="H230" s="2"/>
      <c r="I230" s="2"/>
      <c r="J230" s="2"/>
      <c r="K230" s="2"/>
      <c r="L230" s="8" t="s">
        <v>42</v>
      </c>
      <c r="M230" s="9">
        <v>1</v>
      </c>
      <c r="N230" s="6">
        <v>4700</v>
      </c>
      <c r="O230" s="6">
        <f t="shared" si="30"/>
        <v>4700</v>
      </c>
      <c r="P230" s="6">
        <v>4700</v>
      </c>
      <c r="Q230" s="6">
        <f t="shared" si="31"/>
        <v>0</v>
      </c>
      <c r="R230" s="2" t="str">
        <f t="shared" si="36"/>
        <v>PAID</v>
      </c>
      <c r="S230" s="2"/>
      <c r="T230" s="2">
        <f t="shared" si="32"/>
        <v>4700</v>
      </c>
      <c r="U230" s="2" t="str">
        <f t="shared" si="33"/>
        <v>OK</v>
      </c>
      <c r="V230" s="7">
        <f t="shared" si="34"/>
        <v>0</v>
      </c>
      <c r="W230" s="2" t="str">
        <f t="shared" si="35"/>
        <v>OK</v>
      </c>
      <c r="X230" s="2" t="s">
        <v>26</v>
      </c>
      <c r="Y230" s="2" t="s">
        <v>27</v>
      </c>
      <c r="Z230" s="2" t="s">
        <v>28</v>
      </c>
      <c r="AA230" t="s">
        <v>245</v>
      </c>
      <c r="AB230" t="s">
        <v>245</v>
      </c>
      <c r="AC230" t="s">
        <v>245</v>
      </c>
    </row>
    <row r="231" spans="1:29" x14ac:dyDescent="0.2">
      <c r="A231" t="str">
        <f t="shared" si="29"/>
        <v>TRIP-TR-230</v>
      </c>
      <c r="B231" s="3">
        <v>45835</v>
      </c>
      <c r="C231" t="str">
        <f>IF(X231="CUSTOMER DELIVERY",_xlfn.XLOOKUP(D231,'[1]Jan Customer Duplicate Hyva'!$B:$B,'[1]Jan Customer Duplicate Hyva'!$A:$A,"NOT FOUND"),"")</f>
        <v>CUST-040</v>
      </c>
      <c r="D231" s="8" t="s">
        <v>158</v>
      </c>
      <c r="E231" s="2"/>
      <c r="F231" s="2"/>
      <c r="G231" s="2"/>
      <c r="H231" s="2"/>
      <c r="I231" s="2"/>
      <c r="J231" s="2"/>
      <c r="K231" s="2"/>
      <c r="L231" s="4" t="s">
        <v>33</v>
      </c>
      <c r="M231" s="5">
        <v>1</v>
      </c>
      <c r="N231" s="6">
        <v>4000</v>
      </c>
      <c r="O231" s="6">
        <f t="shared" si="30"/>
        <v>4000</v>
      </c>
      <c r="P231" s="6"/>
      <c r="Q231" s="6">
        <f t="shared" si="31"/>
        <v>4000</v>
      </c>
      <c r="R231" s="2" t="str">
        <f t="shared" si="36"/>
        <v>UNPAID</v>
      </c>
      <c r="S231" s="2"/>
      <c r="T231" s="2">
        <f t="shared" si="32"/>
        <v>4000</v>
      </c>
      <c r="U231" s="2" t="str">
        <f t="shared" si="33"/>
        <v>OK</v>
      </c>
      <c r="V231" s="7">
        <f t="shared" si="34"/>
        <v>4000</v>
      </c>
      <c r="W231" s="2" t="str">
        <f t="shared" si="35"/>
        <v>OK</v>
      </c>
      <c r="X231" s="2" t="s">
        <v>26</v>
      </c>
      <c r="Y231" s="2" t="s">
        <v>27</v>
      </c>
      <c r="Z231" s="2" t="s">
        <v>28</v>
      </c>
      <c r="AA231" t="s">
        <v>245</v>
      </c>
      <c r="AB231" t="s">
        <v>245</v>
      </c>
      <c r="AC231" t="s">
        <v>245</v>
      </c>
    </row>
    <row r="232" spans="1:29" x14ac:dyDescent="0.2">
      <c r="A232" t="str">
        <f t="shared" si="29"/>
        <v>TRIP-TR-231</v>
      </c>
      <c r="B232" s="3">
        <v>45835</v>
      </c>
      <c r="C232" t="str">
        <f>IF(X232="CUSTOMER DELIVERY",_xlfn.XLOOKUP(D232,'[1]Jan Customer Duplicate Hyva'!$B:$B,'[1]Jan Customer Duplicate Hyva'!$A:$A,"NOT FOUND"),"")</f>
        <v>CUST-069</v>
      </c>
      <c r="D232" s="8" t="s">
        <v>147</v>
      </c>
      <c r="E232" s="2"/>
      <c r="F232" s="2"/>
      <c r="G232" s="2"/>
      <c r="H232" s="2"/>
      <c r="I232" s="2"/>
      <c r="J232" s="2"/>
      <c r="K232" s="2"/>
      <c r="L232" s="8" t="s">
        <v>116</v>
      </c>
      <c r="M232" s="9">
        <v>1</v>
      </c>
      <c r="N232" s="6">
        <v>5000</v>
      </c>
      <c r="O232" s="6">
        <f t="shared" si="30"/>
        <v>5000</v>
      </c>
      <c r="P232" s="6">
        <v>5000</v>
      </c>
      <c r="Q232" s="6">
        <f t="shared" si="31"/>
        <v>0</v>
      </c>
      <c r="R232" s="2" t="str">
        <f t="shared" si="36"/>
        <v>PAID</v>
      </c>
      <c r="S232" s="2"/>
      <c r="T232" s="2">
        <f t="shared" si="32"/>
        <v>5000</v>
      </c>
      <c r="U232" s="2" t="str">
        <f t="shared" si="33"/>
        <v>OK</v>
      </c>
      <c r="V232" s="7">
        <f t="shared" si="34"/>
        <v>0</v>
      </c>
      <c r="W232" s="2" t="str">
        <f t="shared" si="35"/>
        <v>OK</v>
      </c>
      <c r="X232" s="2" t="s">
        <v>26</v>
      </c>
      <c r="Y232" s="2" t="s">
        <v>27</v>
      </c>
      <c r="Z232" s="2" t="s">
        <v>28</v>
      </c>
      <c r="AA232" t="s">
        <v>245</v>
      </c>
      <c r="AB232" t="s">
        <v>245</v>
      </c>
      <c r="AC232" t="s">
        <v>245</v>
      </c>
    </row>
    <row r="233" spans="1:29" x14ac:dyDescent="0.2">
      <c r="A233" t="str">
        <f t="shared" si="29"/>
        <v>TRIP-TR-232</v>
      </c>
      <c r="B233" s="3">
        <v>45835</v>
      </c>
      <c r="C233" t="str">
        <f>IF(X233="CUSTOMER DELIVERY",_xlfn.XLOOKUP(D233,'[1]Jan Customer Duplicate Hyva'!$B:$B,'[1]Jan Customer Duplicate Hyva'!$A:$A,"NOT FOUND"),"")</f>
        <v>CUST-073</v>
      </c>
      <c r="D233" s="8" t="s">
        <v>182</v>
      </c>
      <c r="E233" s="2"/>
      <c r="F233" s="2"/>
      <c r="G233" s="2"/>
      <c r="H233" s="2"/>
      <c r="I233" s="2"/>
      <c r="J233" s="2"/>
      <c r="K233" s="2"/>
      <c r="L233" s="8" t="s">
        <v>33</v>
      </c>
      <c r="M233" s="9">
        <v>2</v>
      </c>
      <c r="N233" s="6">
        <v>4000</v>
      </c>
      <c r="O233" s="6">
        <f t="shared" si="30"/>
        <v>8000</v>
      </c>
      <c r="P233" s="6">
        <v>8000</v>
      </c>
      <c r="Q233" s="6">
        <f t="shared" si="31"/>
        <v>0</v>
      </c>
      <c r="R233" s="2" t="str">
        <f t="shared" si="36"/>
        <v>PAID</v>
      </c>
      <c r="S233" s="2"/>
      <c r="T233" s="2">
        <f t="shared" si="32"/>
        <v>8000</v>
      </c>
      <c r="U233" s="2" t="str">
        <f t="shared" si="33"/>
        <v>OK</v>
      </c>
      <c r="V233" s="7">
        <f t="shared" si="34"/>
        <v>0</v>
      </c>
      <c r="W233" s="2" t="str">
        <f t="shared" si="35"/>
        <v>OK</v>
      </c>
      <c r="X233" s="2" t="s">
        <v>26</v>
      </c>
      <c r="Y233" s="2" t="s">
        <v>27</v>
      </c>
      <c r="Z233" s="2" t="s">
        <v>28</v>
      </c>
      <c r="AA233" t="s">
        <v>245</v>
      </c>
      <c r="AB233" t="s">
        <v>245</v>
      </c>
      <c r="AC233" t="s">
        <v>245</v>
      </c>
    </row>
    <row r="234" spans="1:29" x14ac:dyDescent="0.2">
      <c r="A234" t="str">
        <f t="shared" si="29"/>
        <v>TRIP-TR-233</v>
      </c>
      <c r="B234" s="3">
        <v>45836</v>
      </c>
      <c r="C234" t="str">
        <f>IF(X234="CUSTOMER DELIVERY",_xlfn.XLOOKUP(D234,'[1]Jan Customer Duplicate Hyva'!$B:$B,'[1]Jan Customer Duplicate Hyva'!$A:$A,"NOT FOUND"),"")</f>
        <v>CUST-098</v>
      </c>
      <c r="D234" s="8" t="s">
        <v>183</v>
      </c>
      <c r="E234" s="2"/>
      <c r="F234" s="2"/>
      <c r="G234" s="2"/>
      <c r="H234" s="2"/>
      <c r="I234" s="2"/>
      <c r="J234" s="2"/>
      <c r="K234" s="2"/>
      <c r="L234" s="8" t="s">
        <v>38</v>
      </c>
      <c r="M234" s="9">
        <v>2</v>
      </c>
      <c r="N234" s="6">
        <v>4000</v>
      </c>
      <c r="O234" s="6">
        <f t="shared" si="30"/>
        <v>8000</v>
      </c>
      <c r="P234" s="6">
        <v>8000</v>
      </c>
      <c r="Q234" s="6">
        <f t="shared" si="31"/>
        <v>0</v>
      </c>
      <c r="R234" s="2" t="str">
        <f t="shared" si="36"/>
        <v>PAID</v>
      </c>
      <c r="S234" s="2"/>
      <c r="T234" s="2">
        <f t="shared" si="32"/>
        <v>8000</v>
      </c>
      <c r="U234" s="2" t="str">
        <f t="shared" si="33"/>
        <v>OK</v>
      </c>
      <c r="V234" s="7">
        <f t="shared" si="34"/>
        <v>0</v>
      </c>
      <c r="W234" s="2" t="str">
        <f t="shared" si="35"/>
        <v>OK</v>
      </c>
      <c r="X234" s="2" t="s">
        <v>26</v>
      </c>
      <c r="Y234" s="2" t="s">
        <v>27</v>
      </c>
      <c r="Z234" s="2" t="s">
        <v>28</v>
      </c>
      <c r="AA234" t="s">
        <v>245</v>
      </c>
      <c r="AB234" t="s">
        <v>245</v>
      </c>
      <c r="AC234" t="s">
        <v>245</v>
      </c>
    </row>
    <row r="235" spans="1:29" x14ac:dyDescent="0.2">
      <c r="A235" t="str">
        <f t="shared" si="29"/>
        <v>TRIP-TR-234</v>
      </c>
      <c r="B235" s="3">
        <v>45838</v>
      </c>
      <c r="C235" t="str">
        <f>IF(X235="CUSTOMER DELIVERY",_xlfn.XLOOKUP(D235,'[1]Jan Customer Duplicate Hyva'!$B:$B,'[1]Jan Customer Duplicate Hyva'!$A:$A,"NOT FOUND"),"")</f>
        <v>CUST-098</v>
      </c>
      <c r="D235" s="8" t="s">
        <v>183</v>
      </c>
      <c r="E235" s="2"/>
      <c r="F235" s="2"/>
      <c r="G235" s="2"/>
      <c r="H235" s="2"/>
      <c r="I235" s="2"/>
      <c r="J235" s="2"/>
      <c r="K235" s="2"/>
      <c r="L235" s="4" t="s">
        <v>38</v>
      </c>
      <c r="M235" s="5">
        <v>1</v>
      </c>
      <c r="N235" s="6">
        <v>4500</v>
      </c>
      <c r="O235" s="6">
        <f t="shared" si="30"/>
        <v>4500</v>
      </c>
      <c r="P235" s="6">
        <v>4500</v>
      </c>
      <c r="Q235" s="6">
        <f t="shared" si="31"/>
        <v>0</v>
      </c>
      <c r="R235" s="2" t="str">
        <f t="shared" si="36"/>
        <v>PAID</v>
      </c>
      <c r="S235" s="2"/>
      <c r="T235" s="2">
        <f t="shared" si="32"/>
        <v>4500</v>
      </c>
      <c r="U235" s="2" t="str">
        <f t="shared" si="33"/>
        <v>OK</v>
      </c>
      <c r="V235" s="7">
        <f t="shared" si="34"/>
        <v>0</v>
      </c>
      <c r="W235" s="2" t="str">
        <f t="shared" si="35"/>
        <v>OK</v>
      </c>
      <c r="X235" s="2" t="s">
        <v>26</v>
      </c>
      <c r="Y235" s="2" t="s">
        <v>27</v>
      </c>
      <c r="Z235" s="2" t="s">
        <v>28</v>
      </c>
      <c r="AA235" t="s">
        <v>245</v>
      </c>
      <c r="AB235" t="s">
        <v>245</v>
      </c>
      <c r="AC235" t="s">
        <v>245</v>
      </c>
    </row>
    <row r="236" spans="1:29" x14ac:dyDescent="0.2">
      <c r="A236" t="str">
        <f t="shared" si="29"/>
        <v>TRIP-TR-235</v>
      </c>
      <c r="B236" s="3">
        <v>45841</v>
      </c>
      <c r="C236" t="str">
        <f>IF(X236="CUSTOMER DELIVERY",_xlfn.XLOOKUP(D236,'[1]Jan Customer Duplicate Hyva'!$B:$B,'[1]Jan Customer Duplicate Hyva'!$A:$A,"NOT FOUND"),"")</f>
        <v>CUST-098</v>
      </c>
      <c r="D236" s="8" t="s">
        <v>183</v>
      </c>
      <c r="E236" s="2"/>
      <c r="F236" s="2"/>
      <c r="G236" s="2"/>
      <c r="H236" s="2"/>
      <c r="I236" s="2"/>
      <c r="J236" s="2"/>
      <c r="K236" s="2"/>
      <c r="L236" s="8" t="s">
        <v>38</v>
      </c>
      <c r="M236" s="9">
        <v>1</v>
      </c>
      <c r="N236" s="6">
        <v>4500</v>
      </c>
      <c r="O236" s="6">
        <f t="shared" si="30"/>
        <v>4500</v>
      </c>
      <c r="P236" s="6">
        <v>4500</v>
      </c>
      <c r="Q236" s="6">
        <f t="shared" si="31"/>
        <v>0</v>
      </c>
      <c r="R236" s="2" t="str">
        <f t="shared" si="36"/>
        <v>PAID</v>
      </c>
      <c r="S236" s="2"/>
      <c r="T236" s="2">
        <f t="shared" si="32"/>
        <v>4500</v>
      </c>
      <c r="U236" s="2" t="str">
        <f t="shared" si="33"/>
        <v>OK</v>
      </c>
      <c r="V236" s="7">
        <f t="shared" si="34"/>
        <v>0</v>
      </c>
      <c r="W236" s="2" t="str">
        <f t="shared" si="35"/>
        <v>OK</v>
      </c>
      <c r="X236" s="2" t="s">
        <v>26</v>
      </c>
      <c r="Y236" s="2" t="s">
        <v>27</v>
      </c>
      <c r="Z236" s="2" t="s">
        <v>28</v>
      </c>
      <c r="AA236" t="s">
        <v>245</v>
      </c>
      <c r="AB236" t="s">
        <v>245</v>
      </c>
      <c r="AC236" t="s">
        <v>245</v>
      </c>
    </row>
    <row r="237" spans="1:29" x14ac:dyDescent="0.2">
      <c r="A237" t="str">
        <f t="shared" si="29"/>
        <v>TRIP-TR-236</v>
      </c>
      <c r="B237" s="3">
        <v>45841</v>
      </c>
      <c r="C237" t="str">
        <f>IF(X237="CUSTOMER DELIVERY",_xlfn.XLOOKUP(D237,'[1]Jan Customer Duplicate Hyva'!$B:$B,'[1]Jan Customer Duplicate Hyva'!$A:$A,"NOT FOUND"),"")</f>
        <v>CUST-147</v>
      </c>
      <c r="D237" s="4" t="s">
        <v>236</v>
      </c>
      <c r="E237" s="2"/>
      <c r="F237" s="2"/>
      <c r="G237" s="2"/>
      <c r="H237" s="2"/>
      <c r="I237" s="2"/>
      <c r="J237" s="2"/>
      <c r="K237" s="2"/>
      <c r="L237" s="8" t="s">
        <v>38</v>
      </c>
      <c r="M237" s="9">
        <v>1</v>
      </c>
      <c r="N237" s="6">
        <v>4500</v>
      </c>
      <c r="O237" s="6">
        <f t="shared" si="30"/>
        <v>4500</v>
      </c>
      <c r="P237" s="6">
        <v>4500</v>
      </c>
      <c r="Q237" s="6">
        <f t="shared" si="31"/>
        <v>0</v>
      </c>
      <c r="R237" s="2" t="str">
        <f t="shared" si="36"/>
        <v>PAID</v>
      </c>
      <c r="S237" s="2"/>
      <c r="T237" s="2">
        <f t="shared" si="32"/>
        <v>4500</v>
      </c>
      <c r="U237" s="2" t="str">
        <f t="shared" si="33"/>
        <v>OK</v>
      </c>
      <c r="V237" s="7">
        <f t="shared" si="34"/>
        <v>0</v>
      </c>
      <c r="W237" s="2" t="str">
        <f t="shared" si="35"/>
        <v>OK</v>
      </c>
      <c r="X237" s="2" t="s">
        <v>26</v>
      </c>
      <c r="Y237" s="2" t="s">
        <v>27</v>
      </c>
      <c r="Z237" s="2" t="s">
        <v>28</v>
      </c>
      <c r="AA237" t="s">
        <v>245</v>
      </c>
      <c r="AB237" t="s">
        <v>245</v>
      </c>
      <c r="AC237" t="s">
        <v>245</v>
      </c>
    </row>
    <row r="238" spans="1:29" x14ac:dyDescent="0.2">
      <c r="A238" t="str">
        <f t="shared" si="29"/>
        <v>TRIP-TR-237</v>
      </c>
      <c r="B238" s="3">
        <v>45841</v>
      </c>
      <c r="C238" t="str">
        <f>IF(X238="CUSTOMER DELIVERY",_xlfn.XLOOKUP(D238,'[1]Jan Customer Duplicate Hyva'!$B:$B,'[1]Jan Customer Duplicate Hyva'!$A:$A,"NOT FOUND"),"")</f>
        <v>CUST-205</v>
      </c>
      <c r="D238" s="8" t="s">
        <v>184</v>
      </c>
      <c r="E238" s="2"/>
      <c r="F238" s="2"/>
      <c r="G238" s="2"/>
      <c r="H238" s="2"/>
      <c r="I238" s="2"/>
      <c r="J238" s="2"/>
      <c r="K238" s="2"/>
      <c r="L238" s="8" t="s">
        <v>185</v>
      </c>
      <c r="M238" s="9">
        <v>1</v>
      </c>
      <c r="N238" s="6">
        <v>5000</v>
      </c>
      <c r="O238" s="6">
        <f t="shared" si="30"/>
        <v>5000</v>
      </c>
      <c r="P238" s="6">
        <v>5000</v>
      </c>
      <c r="Q238" s="6">
        <f t="shared" si="31"/>
        <v>0</v>
      </c>
      <c r="R238" s="2" t="str">
        <f t="shared" si="36"/>
        <v>PAID</v>
      </c>
      <c r="S238" s="2"/>
      <c r="T238" s="2">
        <f t="shared" si="32"/>
        <v>5000</v>
      </c>
      <c r="U238" s="2" t="str">
        <f t="shared" si="33"/>
        <v>OK</v>
      </c>
      <c r="V238" s="7">
        <f t="shared" si="34"/>
        <v>0</v>
      </c>
      <c r="W238" s="2" t="str">
        <f t="shared" si="35"/>
        <v>OK</v>
      </c>
      <c r="X238" s="2" t="s">
        <v>26</v>
      </c>
      <c r="Y238" s="2" t="s">
        <v>27</v>
      </c>
      <c r="Z238" s="2" t="s">
        <v>28</v>
      </c>
      <c r="AA238" t="s">
        <v>245</v>
      </c>
      <c r="AB238" t="s">
        <v>245</v>
      </c>
      <c r="AC238" t="s">
        <v>245</v>
      </c>
    </row>
    <row r="239" spans="1:29" x14ac:dyDescent="0.2">
      <c r="A239" t="str">
        <f t="shared" si="29"/>
        <v>TRIP-TR-238</v>
      </c>
      <c r="B239" s="3">
        <v>45841</v>
      </c>
      <c r="C239" t="str">
        <f>IF(X239="CUSTOMER DELIVERY",_xlfn.XLOOKUP(D239,'[1]Jan Customer Duplicate Hyva'!$B:$B,'[1]Jan Customer Duplicate Hyva'!$A:$A,"NOT FOUND"),"")</f>
        <v>CUST-216</v>
      </c>
      <c r="D239" s="4" t="s">
        <v>248</v>
      </c>
      <c r="E239" s="2"/>
      <c r="F239" s="2"/>
      <c r="G239" s="2"/>
      <c r="H239" s="2"/>
      <c r="I239" s="2"/>
      <c r="J239" s="2"/>
      <c r="K239" s="2"/>
      <c r="L239" s="4" t="s">
        <v>33</v>
      </c>
      <c r="M239" s="5">
        <v>1</v>
      </c>
      <c r="N239" s="6">
        <v>4000</v>
      </c>
      <c r="O239" s="6">
        <f t="shared" si="30"/>
        <v>4000</v>
      </c>
      <c r="P239" s="6">
        <v>4000</v>
      </c>
      <c r="Q239" s="6">
        <f t="shared" si="31"/>
        <v>0</v>
      </c>
      <c r="R239" s="2" t="str">
        <f t="shared" si="36"/>
        <v>PAID</v>
      </c>
      <c r="S239" s="2"/>
      <c r="T239" s="2">
        <f t="shared" si="32"/>
        <v>4000</v>
      </c>
      <c r="U239" s="2" t="str">
        <f t="shared" si="33"/>
        <v>OK</v>
      </c>
      <c r="V239" s="7">
        <f t="shared" si="34"/>
        <v>0</v>
      </c>
      <c r="W239" s="2" t="str">
        <f t="shared" si="35"/>
        <v>OK</v>
      </c>
      <c r="X239" s="2" t="s">
        <v>26</v>
      </c>
      <c r="Y239" s="2" t="s">
        <v>27</v>
      </c>
      <c r="Z239" s="2" t="s">
        <v>28</v>
      </c>
      <c r="AA239" t="s">
        <v>245</v>
      </c>
      <c r="AB239" t="s">
        <v>245</v>
      </c>
      <c r="AC239" t="s">
        <v>245</v>
      </c>
    </row>
    <row r="240" spans="1:29" x14ac:dyDescent="0.2">
      <c r="A240" t="str">
        <f t="shared" si="29"/>
        <v>TRIP-TR-239</v>
      </c>
      <c r="B240" s="3">
        <v>45842</v>
      </c>
      <c r="C240" t="str">
        <f>IF(X240="CUSTOMER DELIVERY",_xlfn.XLOOKUP(D240,'[1]Jan Customer Duplicate Hyva'!$B:$B,'[1]Jan Customer Duplicate Hyva'!$A:$A,"NOT FOUND"),"")</f>
        <v>CUST-216</v>
      </c>
      <c r="D240" s="4" t="s">
        <v>248</v>
      </c>
      <c r="E240" s="2"/>
      <c r="F240" s="2"/>
      <c r="G240" s="2"/>
      <c r="H240" s="2"/>
      <c r="I240" s="2"/>
      <c r="J240" s="2"/>
      <c r="K240" s="2"/>
      <c r="L240" s="8" t="s">
        <v>33</v>
      </c>
      <c r="M240" s="9">
        <v>1</v>
      </c>
      <c r="N240" s="6">
        <v>4000</v>
      </c>
      <c r="O240" s="6">
        <f t="shared" si="30"/>
        <v>4000</v>
      </c>
      <c r="P240" s="6">
        <v>4000</v>
      </c>
      <c r="Q240" s="6">
        <f t="shared" si="31"/>
        <v>0</v>
      </c>
      <c r="R240" s="2" t="str">
        <f t="shared" si="36"/>
        <v>PAID</v>
      </c>
      <c r="S240" s="2"/>
      <c r="T240" s="2">
        <f t="shared" si="32"/>
        <v>4000</v>
      </c>
      <c r="U240" s="2" t="str">
        <f t="shared" si="33"/>
        <v>OK</v>
      </c>
      <c r="V240" s="7">
        <f t="shared" si="34"/>
        <v>0</v>
      </c>
      <c r="W240" s="2" t="str">
        <f t="shared" si="35"/>
        <v>OK</v>
      </c>
      <c r="X240" s="2" t="s">
        <v>26</v>
      </c>
      <c r="Y240" s="2" t="s">
        <v>27</v>
      </c>
      <c r="Z240" s="2" t="s">
        <v>28</v>
      </c>
      <c r="AA240" t="s">
        <v>245</v>
      </c>
      <c r="AB240" t="s">
        <v>245</v>
      </c>
      <c r="AC240" t="s">
        <v>245</v>
      </c>
    </row>
    <row r="241" spans="1:29" x14ac:dyDescent="0.2">
      <c r="A241" t="str">
        <f t="shared" si="29"/>
        <v>TRIP-TR-240</v>
      </c>
      <c r="B241" s="3">
        <v>45842</v>
      </c>
      <c r="C241" t="str">
        <f>IF(X241="CUSTOMER DELIVERY",_xlfn.XLOOKUP(D241,'[1]Jan Customer Duplicate Hyva'!$B:$B,'[1]Jan Customer Duplicate Hyva'!$A:$A,"NOT FOUND"),"")</f>
        <v>CUST-228</v>
      </c>
      <c r="D241" s="8" t="s">
        <v>102</v>
      </c>
      <c r="E241" s="2"/>
      <c r="F241" s="2"/>
      <c r="G241" s="2"/>
      <c r="H241" s="2"/>
      <c r="I241" s="2"/>
      <c r="J241" s="2"/>
      <c r="K241" s="2"/>
      <c r="L241" s="8" t="s">
        <v>129</v>
      </c>
      <c r="M241" s="9">
        <v>1</v>
      </c>
      <c r="N241" s="6">
        <v>5000</v>
      </c>
      <c r="O241" s="6">
        <f t="shared" si="30"/>
        <v>5000</v>
      </c>
      <c r="P241" s="6">
        <v>5000</v>
      </c>
      <c r="Q241" s="6">
        <f t="shared" si="31"/>
        <v>0</v>
      </c>
      <c r="R241" s="2" t="str">
        <f t="shared" si="36"/>
        <v>PAID</v>
      </c>
      <c r="S241" s="2"/>
      <c r="T241" s="2">
        <f t="shared" si="32"/>
        <v>5000</v>
      </c>
      <c r="U241" s="2" t="str">
        <f t="shared" si="33"/>
        <v>OK</v>
      </c>
      <c r="V241" s="7">
        <f t="shared" si="34"/>
        <v>0</v>
      </c>
      <c r="W241" s="2" t="str">
        <f t="shared" si="35"/>
        <v>OK</v>
      </c>
      <c r="X241" s="2" t="s">
        <v>26</v>
      </c>
      <c r="Y241" s="2" t="s">
        <v>27</v>
      </c>
      <c r="Z241" s="2" t="s">
        <v>28</v>
      </c>
      <c r="AA241" t="s">
        <v>245</v>
      </c>
      <c r="AB241" t="s">
        <v>245</v>
      </c>
      <c r="AC241" t="s">
        <v>245</v>
      </c>
    </row>
    <row r="242" spans="1:29" x14ac:dyDescent="0.2">
      <c r="A242" t="str">
        <f t="shared" si="29"/>
        <v>TRIP-TR-241</v>
      </c>
      <c r="B242" s="3">
        <v>45843</v>
      </c>
      <c r="C242" t="str">
        <f>IF(X242="CUSTOMER DELIVERY",_xlfn.XLOOKUP(D242,'[1]Jan Customer Duplicate Hyva'!$B:$B,'[1]Jan Customer Duplicate Hyva'!$A:$A,"NOT FOUND"),"")</f>
        <v>CUST-228</v>
      </c>
      <c r="D242" s="8" t="s">
        <v>102</v>
      </c>
      <c r="E242" s="2"/>
      <c r="F242" s="2"/>
      <c r="G242" s="2"/>
      <c r="H242" s="2"/>
      <c r="I242" s="2"/>
      <c r="J242" s="2"/>
      <c r="K242" s="2"/>
      <c r="L242" s="8" t="s">
        <v>129</v>
      </c>
      <c r="M242" s="9">
        <v>1</v>
      </c>
      <c r="N242" s="6">
        <v>5000</v>
      </c>
      <c r="O242" s="6">
        <f t="shared" si="30"/>
        <v>5000</v>
      </c>
      <c r="P242" s="6">
        <v>5000</v>
      </c>
      <c r="Q242" s="6">
        <f t="shared" si="31"/>
        <v>0</v>
      </c>
      <c r="R242" s="2" t="str">
        <f t="shared" si="36"/>
        <v>PAID</v>
      </c>
      <c r="S242" s="2"/>
      <c r="T242" s="2">
        <f t="shared" si="32"/>
        <v>5000</v>
      </c>
      <c r="U242" s="2" t="str">
        <f t="shared" si="33"/>
        <v>OK</v>
      </c>
      <c r="V242" s="7">
        <f t="shared" si="34"/>
        <v>0</v>
      </c>
      <c r="W242" s="2" t="str">
        <f t="shared" si="35"/>
        <v>OK</v>
      </c>
      <c r="X242" s="2" t="s">
        <v>26</v>
      </c>
      <c r="Y242" s="2" t="s">
        <v>27</v>
      </c>
      <c r="Z242" s="2" t="s">
        <v>28</v>
      </c>
      <c r="AA242" t="s">
        <v>245</v>
      </c>
      <c r="AB242" t="s">
        <v>245</v>
      </c>
      <c r="AC242" t="s">
        <v>245</v>
      </c>
    </row>
    <row r="243" spans="1:29" x14ac:dyDescent="0.2">
      <c r="A243" t="str">
        <f t="shared" si="29"/>
        <v>TRIP-TR-242</v>
      </c>
      <c r="B243" s="3">
        <v>45843</v>
      </c>
      <c r="C243" t="str">
        <f>IF(X243="CUSTOMER DELIVERY",_xlfn.XLOOKUP(D243,'[1]Jan Customer Duplicate Hyva'!$B:$B,'[1]Jan Customer Duplicate Hyva'!$A:$A,"NOT FOUND"),"")</f>
        <v>CUST-263</v>
      </c>
      <c r="D243" s="8" t="s">
        <v>186</v>
      </c>
      <c r="E243" s="2"/>
      <c r="F243" s="2"/>
      <c r="G243" s="2"/>
      <c r="H243" s="2"/>
      <c r="I243" s="2"/>
      <c r="J243" s="2"/>
      <c r="K243" s="2"/>
      <c r="L243" s="8" t="s">
        <v>153</v>
      </c>
      <c r="M243" s="9">
        <v>1</v>
      </c>
      <c r="N243" s="6">
        <v>4000</v>
      </c>
      <c r="O243" s="6">
        <f t="shared" si="30"/>
        <v>4000</v>
      </c>
      <c r="P243" s="6">
        <v>4000</v>
      </c>
      <c r="Q243" s="6">
        <f t="shared" si="31"/>
        <v>0</v>
      </c>
      <c r="R243" s="2" t="str">
        <f t="shared" si="36"/>
        <v>PAID</v>
      </c>
      <c r="S243" s="2"/>
      <c r="T243" s="2">
        <f t="shared" si="32"/>
        <v>4000</v>
      </c>
      <c r="U243" s="2" t="str">
        <f t="shared" si="33"/>
        <v>OK</v>
      </c>
      <c r="V243" s="7">
        <f t="shared" si="34"/>
        <v>0</v>
      </c>
      <c r="W243" s="2" t="str">
        <f t="shared" si="35"/>
        <v>OK</v>
      </c>
      <c r="X243" s="2" t="s">
        <v>26</v>
      </c>
      <c r="Y243" s="2" t="s">
        <v>27</v>
      </c>
      <c r="Z243" s="2" t="s">
        <v>28</v>
      </c>
      <c r="AA243" t="s">
        <v>245</v>
      </c>
      <c r="AB243" t="s">
        <v>245</v>
      </c>
      <c r="AC243" t="s">
        <v>245</v>
      </c>
    </row>
    <row r="244" spans="1:29" x14ac:dyDescent="0.2">
      <c r="A244" t="str">
        <f t="shared" si="29"/>
        <v>TRIP-TR-243</v>
      </c>
      <c r="B244" s="3">
        <v>45843</v>
      </c>
      <c r="C244" t="str">
        <f>IF(X244="CUSTOMER DELIVERY",_xlfn.XLOOKUP(D244,'[1]Jan Customer Duplicate Hyva'!$B:$B,'[1]Jan Customer Duplicate Hyva'!$A:$A,"NOT FOUND"),"")</f>
        <v>CUST-270</v>
      </c>
      <c r="D244" s="8" t="s">
        <v>187</v>
      </c>
      <c r="E244" s="2"/>
      <c r="F244" s="2"/>
      <c r="G244" s="2"/>
      <c r="H244" s="2"/>
      <c r="I244" s="2"/>
      <c r="J244" s="2"/>
      <c r="K244" s="2"/>
      <c r="L244" s="8" t="s">
        <v>49</v>
      </c>
      <c r="M244" s="9">
        <v>1</v>
      </c>
      <c r="N244" s="6">
        <v>4000</v>
      </c>
      <c r="O244" s="6">
        <f t="shared" si="30"/>
        <v>4000</v>
      </c>
      <c r="P244" s="6">
        <v>4000</v>
      </c>
      <c r="Q244" s="6">
        <f t="shared" si="31"/>
        <v>0</v>
      </c>
      <c r="R244" s="2" t="str">
        <f t="shared" si="36"/>
        <v>PAID</v>
      </c>
      <c r="S244" s="2"/>
      <c r="T244" s="2">
        <f t="shared" si="32"/>
        <v>4000</v>
      </c>
      <c r="U244" s="2" t="str">
        <f t="shared" si="33"/>
        <v>OK</v>
      </c>
      <c r="V244" s="7">
        <f t="shared" si="34"/>
        <v>0</v>
      </c>
      <c r="W244" s="2" t="str">
        <f t="shared" si="35"/>
        <v>OK</v>
      </c>
      <c r="X244" s="2" t="s">
        <v>26</v>
      </c>
      <c r="Y244" s="2" t="s">
        <v>27</v>
      </c>
      <c r="Z244" s="2" t="s">
        <v>28</v>
      </c>
      <c r="AA244" t="s">
        <v>245</v>
      </c>
      <c r="AB244" t="s">
        <v>245</v>
      </c>
      <c r="AC244" t="s">
        <v>245</v>
      </c>
    </row>
    <row r="245" spans="1:29" x14ac:dyDescent="0.2">
      <c r="A245" t="str">
        <f t="shared" si="29"/>
        <v>TRIP-TR-244</v>
      </c>
      <c r="B245" s="3">
        <v>45843</v>
      </c>
      <c r="C245" t="str">
        <f>IF(X245="CUSTOMER DELIVERY",_xlfn.XLOOKUP(D245,'[1]Jan Customer Duplicate Hyva'!$B:$B,'[1]Jan Customer Duplicate Hyva'!$A:$A,"NOT FOUND"),"")</f>
        <v>CUST-282</v>
      </c>
      <c r="D245" s="8" t="s">
        <v>249</v>
      </c>
      <c r="E245" s="2"/>
      <c r="F245" s="2"/>
      <c r="G245" s="2"/>
      <c r="H245" s="2"/>
      <c r="I245" s="2"/>
      <c r="J245" s="2"/>
      <c r="K245" s="2"/>
      <c r="L245" s="8" t="s">
        <v>188</v>
      </c>
      <c r="M245" s="9">
        <v>1</v>
      </c>
      <c r="N245" s="6">
        <v>4500</v>
      </c>
      <c r="O245" s="6">
        <f t="shared" si="30"/>
        <v>4500</v>
      </c>
      <c r="P245" s="6">
        <v>4500</v>
      </c>
      <c r="Q245" s="6">
        <f t="shared" si="31"/>
        <v>0</v>
      </c>
      <c r="R245" s="2" t="str">
        <f t="shared" si="36"/>
        <v>PAID</v>
      </c>
      <c r="S245" s="2"/>
      <c r="T245" s="2">
        <f t="shared" si="32"/>
        <v>4500</v>
      </c>
      <c r="U245" s="2" t="str">
        <f t="shared" si="33"/>
        <v>OK</v>
      </c>
      <c r="V245" s="7">
        <f t="shared" si="34"/>
        <v>0</v>
      </c>
      <c r="W245" s="2" t="str">
        <f t="shared" si="35"/>
        <v>OK</v>
      </c>
      <c r="X245" s="2" t="s">
        <v>26</v>
      </c>
      <c r="Y245" s="2" t="s">
        <v>27</v>
      </c>
      <c r="Z245" s="2" t="s">
        <v>28</v>
      </c>
      <c r="AA245" t="s">
        <v>245</v>
      </c>
      <c r="AB245" t="s">
        <v>245</v>
      </c>
      <c r="AC245" t="s">
        <v>245</v>
      </c>
    </row>
    <row r="246" spans="1:29" x14ac:dyDescent="0.2">
      <c r="A246" t="str">
        <f t="shared" si="29"/>
        <v>TRIP-TR-245</v>
      </c>
      <c r="B246" s="3">
        <v>45848</v>
      </c>
      <c r="C246" t="str">
        <f>IF(X246="CUSTOMER DELIVERY",_xlfn.XLOOKUP(D246,'[1]Jan Customer Duplicate Hyva'!$B:$B,'[1]Jan Customer Duplicate Hyva'!$A:$A,"NOT FOUND"),"")</f>
        <v>CUST-283</v>
      </c>
      <c r="D246" s="8" t="s">
        <v>243</v>
      </c>
      <c r="E246" s="2"/>
      <c r="F246" s="2"/>
      <c r="G246" s="2"/>
      <c r="H246" s="2"/>
      <c r="I246" s="2"/>
      <c r="J246" s="2"/>
      <c r="K246" s="2"/>
      <c r="L246" s="8" t="s">
        <v>181</v>
      </c>
      <c r="M246" s="9">
        <v>1</v>
      </c>
      <c r="N246" s="6">
        <v>4500</v>
      </c>
      <c r="O246" s="6">
        <f t="shared" si="30"/>
        <v>4500</v>
      </c>
      <c r="P246" s="6">
        <v>4500</v>
      </c>
      <c r="Q246" s="6">
        <f t="shared" si="31"/>
        <v>0</v>
      </c>
      <c r="R246" s="2" t="str">
        <f t="shared" si="36"/>
        <v>PAID</v>
      </c>
      <c r="S246" s="2"/>
      <c r="T246" s="2">
        <f t="shared" si="32"/>
        <v>4500</v>
      </c>
      <c r="U246" s="2" t="str">
        <f t="shared" si="33"/>
        <v>OK</v>
      </c>
      <c r="V246" s="7">
        <f t="shared" si="34"/>
        <v>0</v>
      </c>
      <c r="W246" s="2" t="str">
        <f t="shared" si="35"/>
        <v>OK</v>
      </c>
      <c r="X246" s="2" t="s">
        <v>26</v>
      </c>
      <c r="Y246" s="2" t="s">
        <v>27</v>
      </c>
      <c r="Z246" s="2" t="s">
        <v>28</v>
      </c>
      <c r="AA246" t="s">
        <v>245</v>
      </c>
      <c r="AB246" t="s">
        <v>245</v>
      </c>
      <c r="AC246" t="s">
        <v>245</v>
      </c>
    </row>
    <row r="247" spans="1:29" x14ac:dyDescent="0.2">
      <c r="A247" t="str">
        <f t="shared" si="29"/>
        <v>TRIP-TR-246</v>
      </c>
      <c r="B247" s="3">
        <v>45848</v>
      </c>
      <c r="C247" t="str">
        <f>IF(X247="CUSTOMER DELIVERY",_xlfn.XLOOKUP(D247,'[1]Jan Customer Duplicate Hyva'!$B:$B,'[1]Jan Customer Duplicate Hyva'!$A:$A,"NOT FOUND"),"")</f>
        <v>CUST-300</v>
      </c>
      <c r="D247" s="8" t="s">
        <v>98</v>
      </c>
      <c r="E247" s="2"/>
      <c r="F247" s="2"/>
      <c r="G247" s="2"/>
      <c r="H247" s="2"/>
      <c r="I247" s="2"/>
      <c r="J247" s="2"/>
      <c r="K247" s="2"/>
      <c r="L247" s="8" t="s">
        <v>42</v>
      </c>
      <c r="M247" s="9">
        <v>1</v>
      </c>
      <c r="N247" s="6">
        <v>4000</v>
      </c>
      <c r="O247" s="6">
        <f t="shared" si="30"/>
        <v>4000</v>
      </c>
      <c r="P247" s="6">
        <v>4000</v>
      </c>
      <c r="Q247" s="6">
        <f t="shared" si="31"/>
        <v>0</v>
      </c>
      <c r="R247" s="2" t="str">
        <f t="shared" si="36"/>
        <v>PAID</v>
      </c>
      <c r="S247" s="2"/>
      <c r="T247" s="2">
        <f t="shared" si="32"/>
        <v>4000</v>
      </c>
      <c r="U247" s="2" t="str">
        <f t="shared" si="33"/>
        <v>OK</v>
      </c>
      <c r="V247" s="7">
        <f t="shared" si="34"/>
        <v>0</v>
      </c>
      <c r="W247" s="2" t="str">
        <f t="shared" si="35"/>
        <v>OK</v>
      </c>
      <c r="X247" s="2" t="s">
        <v>26</v>
      </c>
      <c r="Y247" s="2" t="s">
        <v>27</v>
      </c>
      <c r="Z247" s="2" t="s">
        <v>28</v>
      </c>
      <c r="AA247" t="s">
        <v>245</v>
      </c>
      <c r="AB247" t="s">
        <v>245</v>
      </c>
      <c r="AC247" t="s">
        <v>245</v>
      </c>
    </row>
    <row r="248" spans="1:29" x14ac:dyDescent="0.2">
      <c r="A248" t="str">
        <f t="shared" si="29"/>
        <v>TRIP-TR-247</v>
      </c>
      <c r="B248" s="3">
        <v>45849</v>
      </c>
      <c r="C248" t="str">
        <f>IF(X248="CUSTOMER DELIVERY",_xlfn.XLOOKUP(D248,'[1]Jan Customer Duplicate Hyva'!$B:$B,'[1]Jan Customer Duplicate Hyva'!$A:$A,"NOT FOUND"),"")</f>
        <v>CUST-306</v>
      </c>
      <c r="D248" s="4" t="s">
        <v>224</v>
      </c>
      <c r="E248" s="2"/>
      <c r="F248" s="2"/>
      <c r="G248" s="2"/>
      <c r="H248" s="2"/>
      <c r="I248" s="2"/>
      <c r="J248" s="2"/>
      <c r="K248" s="2"/>
      <c r="L248" s="4" t="s">
        <v>38</v>
      </c>
      <c r="M248" s="5">
        <v>1</v>
      </c>
      <c r="N248" s="6">
        <v>4000</v>
      </c>
      <c r="O248" s="6">
        <f t="shared" si="30"/>
        <v>4000</v>
      </c>
      <c r="P248" s="6">
        <v>4000</v>
      </c>
      <c r="Q248" s="6">
        <f t="shared" si="31"/>
        <v>0</v>
      </c>
      <c r="R248" s="2" t="str">
        <f t="shared" si="36"/>
        <v>PAID</v>
      </c>
      <c r="S248" s="2"/>
      <c r="T248" s="2">
        <f t="shared" si="32"/>
        <v>4000</v>
      </c>
      <c r="U248" s="2" t="str">
        <f t="shared" si="33"/>
        <v>OK</v>
      </c>
      <c r="V248" s="7">
        <f t="shared" si="34"/>
        <v>0</v>
      </c>
      <c r="W248" s="2" t="str">
        <f t="shared" si="35"/>
        <v>OK</v>
      </c>
      <c r="X248" s="2" t="s">
        <v>26</v>
      </c>
      <c r="Y248" s="2" t="s">
        <v>27</v>
      </c>
      <c r="Z248" s="2" t="s">
        <v>28</v>
      </c>
      <c r="AA248" t="s">
        <v>245</v>
      </c>
      <c r="AB248" t="s">
        <v>245</v>
      </c>
      <c r="AC248" t="s">
        <v>245</v>
      </c>
    </row>
    <row r="249" spans="1:29" x14ac:dyDescent="0.2">
      <c r="A249" t="str">
        <f t="shared" si="29"/>
        <v>TRIP-TR-248</v>
      </c>
      <c r="B249" s="3">
        <v>45851</v>
      </c>
      <c r="C249" t="str">
        <f>IF(X249="CUSTOMER DELIVERY",_xlfn.XLOOKUP(D249,'[1]Jan Customer Duplicate Hyva'!$B:$B,'[1]Jan Customer Duplicate Hyva'!$A:$A,"NOT FOUND"),"")</f>
        <v>CUST-346</v>
      </c>
      <c r="D249" s="4" t="s">
        <v>189</v>
      </c>
      <c r="E249" s="2"/>
      <c r="F249" s="2"/>
      <c r="G249" s="2"/>
      <c r="H249" s="2"/>
      <c r="I249" s="2"/>
      <c r="J249" s="2"/>
      <c r="K249" s="2"/>
      <c r="L249" s="4" t="s">
        <v>38</v>
      </c>
      <c r="M249" s="5">
        <v>1</v>
      </c>
      <c r="N249" s="6">
        <v>4000</v>
      </c>
      <c r="O249" s="6">
        <f t="shared" si="30"/>
        <v>4000</v>
      </c>
      <c r="P249" s="6">
        <v>4000</v>
      </c>
      <c r="Q249" s="6">
        <f t="shared" si="31"/>
        <v>0</v>
      </c>
      <c r="R249" s="2" t="str">
        <f t="shared" si="36"/>
        <v>PAID</v>
      </c>
      <c r="S249" s="2"/>
      <c r="T249" s="2">
        <f t="shared" si="32"/>
        <v>4000</v>
      </c>
      <c r="U249" s="2" t="str">
        <f t="shared" si="33"/>
        <v>OK</v>
      </c>
      <c r="V249" s="7">
        <f t="shared" si="34"/>
        <v>0</v>
      </c>
      <c r="W249" s="2" t="str">
        <f t="shared" si="35"/>
        <v>OK</v>
      </c>
      <c r="X249" s="2" t="s">
        <v>26</v>
      </c>
      <c r="Y249" s="2" t="s">
        <v>27</v>
      </c>
      <c r="Z249" s="2" t="s">
        <v>28</v>
      </c>
      <c r="AA249" t="s">
        <v>245</v>
      </c>
      <c r="AB249" t="s">
        <v>245</v>
      </c>
      <c r="AC249" t="s">
        <v>245</v>
      </c>
    </row>
    <row r="250" spans="1:29" x14ac:dyDescent="0.2">
      <c r="A250" t="str">
        <f t="shared" si="29"/>
        <v>TRIP-TR-249</v>
      </c>
      <c r="B250" s="3">
        <v>45851</v>
      </c>
      <c r="C250" t="str">
        <f>IF(X250="CUSTOMER DELIVERY",_xlfn.XLOOKUP(D250,'[1]Jan Customer Duplicate Hyva'!$B:$B,'[1]Jan Customer Duplicate Hyva'!$A:$A,"NOT FOUND"),"")</f>
        <v>CUST-347</v>
      </c>
      <c r="D250" s="8" t="s">
        <v>233</v>
      </c>
      <c r="E250" s="2"/>
      <c r="F250" s="2"/>
      <c r="G250" s="2"/>
      <c r="H250" s="2"/>
      <c r="I250" s="2"/>
      <c r="J250" s="2"/>
      <c r="K250" s="2"/>
      <c r="L250" s="4" t="s">
        <v>42</v>
      </c>
      <c r="M250" s="5">
        <v>1</v>
      </c>
      <c r="N250" s="6">
        <v>5000</v>
      </c>
      <c r="O250" s="6">
        <f t="shared" si="30"/>
        <v>5000</v>
      </c>
      <c r="P250" s="6">
        <v>5000</v>
      </c>
      <c r="Q250" s="6">
        <f t="shared" si="31"/>
        <v>0</v>
      </c>
      <c r="R250" s="2" t="str">
        <f t="shared" si="36"/>
        <v>PAID</v>
      </c>
      <c r="S250" s="2"/>
      <c r="T250" s="2">
        <f t="shared" si="32"/>
        <v>5000</v>
      </c>
      <c r="U250" s="2" t="str">
        <f t="shared" si="33"/>
        <v>OK</v>
      </c>
      <c r="V250" s="7">
        <f t="shared" si="34"/>
        <v>0</v>
      </c>
      <c r="W250" s="2" t="str">
        <f t="shared" si="35"/>
        <v>OK</v>
      </c>
      <c r="X250" s="2" t="s">
        <v>26</v>
      </c>
      <c r="Y250" s="2" t="s">
        <v>27</v>
      </c>
      <c r="Z250" s="2" t="s">
        <v>28</v>
      </c>
      <c r="AA250" t="s">
        <v>245</v>
      </c>
      <c r="AB250" t="s">
        <v>245</v>
      </c>
      <c r="AC250" t="s">
        <v>245</v>
      </c>
    </row>
    <row r="251" spans="1:29" x14ac:dyDescent="0.2">
      <c r="A251" t="str">
        <f t="shared" si="29"/>
        <v>TRIP-TR-250</v>
      </c>
      <c r="B251" s="3">
        <v>45851</v>
      </c>
      <c r="C251" t="str">
        <f>IF(X251="CUSTOMER DELIVERY",_xlfn.XLOOKUP(D251,'[1]Jan Customer Duplicate Hyva'!$B:$B,'[1]Jan Customer Duplicate Hyva'!$A:$A,"NOT FOUND"),"")</f>
        <v>CUST-347</v>
      </c>
      <c r="D251" s="8" t="s">
        <v>233</v>
      </c>
      <c r="E251" s="2"/>
      <c r="F251" s="2"/>
      <c r="G251" s="2"/>
      <c r="H251" s="2"/>
      <c r="I251" s="2"/>
      <c r="J251" s="2"/>
      <c r="K251" s="2"/>
      <c r="L251" s="8" t="s">
        <v>42</v>
      </c>
      <c r="M251" s="9">
        <v>1</v>
      </c>
      <c r="N251" s="6">
        <v>5000</v>
      </c>
      <c r="O251" s="6">
        <f t="shared" si="30"/>
        <v>5000</v>
      </c>
      <c r="P251" s="6">
        <v>5000</v>
      </c>
      <c r="Q251" s="6">
        <f t="shared" si="31"/>
        <v>0</v>
      </c>
      <c r="R251" s="2" t="str">
        <f t="shared" si="36"/>
        <v>PAID</v>
      </c>
      <c r="S251" s="2"/>
      <c r="T251" s="2">
        <f t="shared" si="32"/>
        <v>5000</v>
      </c>
      <c r="U251" s="2" t="str">
        <f t="shared" si="33"/>
        <v>OK</v>
      </c>
      <c r="V251" s="7">
        <f t="shared" si="34"/>
        <v>0</v>
      </c>
      <c r="W251" s="2" t="str">
        <f t="shared" si="35"/>
        <v>OK</v>
      </c>
      <c r="X251" s="2" t="s">
        <v>26</v>
      </c>
      <c r="Y251" s="2" t="s">
        <v>27</v>
      </c>
      <c r="Z251" s="2" t="s">
        <v>28</v>
      </c>
      <c r="AA251" t="s">
        <v>245</v>
      </c>
      <c r="AB251" t="s">
        <v>245</v>
      </c>
      <c r="AC251" t="s">
        <v>245</v>
      </c>
    </row>
    <row r="252" spans="1:29" x14ac:dyDescent="0.2">
      <c r="A252" t="str">
        <f t="shared" si="29"/>
        <v>TRIP-TR-251</v>
      </c>
      <c r="B252" s="3">
        <v>45851</v>
      </c>
      <c r="C252" t="str">
        <f>IF(X252="CUSTOMER DELIVERY",_xlfn.XLOOKUP(D252,'[1]Jan Customer Duplicate Hyva'!$B:$B,'[1]Jan Customer Duplicate Hyva'!$A:$A,"NOT FOUND"),"")</f>
        <v>CUST-352</v>
      </c>
      <c r="D252" s="8" t="s">
        <v>164</v>
      </c>
      <c r="E252" s="2"/>
      <c r="F252" s="2"/>
      <c r="G252" s="2"/>
      <c r="H252" s="2"/>
      <c r="I252" s="2"/>
      <c r="J252" s="2"/>
      <c r="K252" s="2"/>
      <c r="L252" s="8" t="s">
        <v>129</v>
      </c>
      <c r="M252" s="9">
        <v>2</v>
      </c>
      <c r="N252" s="6">
        <v>5250</v>
      </c>
      <c r="O252" s="6">
        <f t="shared" si="30"/>
        <v>10500</v>
      </c>
      <c r="P252" s="6">
        <v>10500</v>
      </c>
      <c r="Q252" s="6">
        <f t="shared" si="31"/>
        <v>0</v>
      </c>
      <c r="R252" s="2" t="str">
        <f t="shared" si="36"/>
        <v>PAID</v>
      </c>
      <c r="S252" s="2"/>
      <c r="T252" s="2">
        <f t="shared" si="32"/>
        <v>10500</v>
      </c>
      <c r="U252" s="2" t="str">
        <f t="shared" si="33"/>
        <v>OK</v>
      </c>
      <c r="V252" s="7">
        <f t="shared" si="34"/>
        <v>0</v>
      </c>
      <c r="W252" s="2" t="str">
        <f t="shared" si="35"/>
        <v>OK</v>
      </c>
      <c r="X252" s="2" t="s">
        <v>26</v>
      </c>
      <c r="Y252" s="2" t="s">
        <v>27</v>
      </c>
      <c r="Z252" s="2" t="s">
        <v>28</v>
      </c>
      <c r="AA252" t="s">
        <v>245</v>
      </c>
      <c r="AB252" t="s">
        <v>245</v>
      </c>
      <c r="AC252" t="s">
        <v>245</v>
      </c>
    </row>
    <row r="253" spans="1:29" x14ac:dyDescent="0.2">
      <c r="A253" t="str">
        <f t="shared" si="29"/>
        <v>TRIP-TR-252</v>
      </c>
      <c r="B253" s="3">
        <v>45852</v>
      </c>
      <c r="C253" t="str">
        <f>IF(X253="CUSTOMER DELIVERY",_xlfn.XLOOKUP(D253,'[1]Jan Customer Duplicate Hyva'!$B:$B,'[1]Jan Customer Duplicate Hyva'!$A:$A,"NOT FOUND"),"")</f>
        <v>CUST-352</v>
      </c>
      <c r="D253" s="8" t="s">
        <v>164</v>
      </c>
      <c r="E253" s="2"/>
      <c r="F253" s="2"/>
      <c r="G253" s="2"/>
      <c r="H253" s="2"/>
      <c r="I253" s="2"/>
      <c r="J253" s="2"/>
      <c r="K253" s="2"/>
      <c r="L253" s="4" t="s">
        <v>129</v>
      </c>
      <c r="M253" s="5">
        <v>1</v>
      </c>
      <c r="N253" s="6">
        <v>5500</v>
      </c>
      <c r="O253" s="6">
        <f t="shared" si="30"/>
        <v>5500</v>
      </c>
      <c r="P253" s="6">
        <v>5500</v>
      </c>
      <c r="Q253" s="6">
        <f t="shared" si="31"/>
        <v>0</v>
      </c>
      <c r="R253" s="2" t="str">
        <f t="shared" si="36"/>
        <v>PAID</v>
      </c>
      <c r="S253" s="2"/>
      <c r="T253" s="2">
        <f t="shared" si="32"/>
        <v>5500</v>
      </c>
      <c r="U253" s="2" t="str">
        <f t="shared" si="33"/>
        <v>OK</v>
      </c>
      <c r="V253" s="7">
        <f t="shared" si="34"/>
        <v>0</v>
      </c>
      <c r="W253" s="2" t="str">
        <f t="shared" si="35"/>
        <v>OK</v>
      </c>
      <c r="X253" s="2" t="s">
        <v>26</v>
      </c>
      <c r="Y253" s="2" t="s">
        <v>27</v>
      </c>
      <c r="Z253" s="2" t="s">
        <v>28</v>
      </c>
      <c r="AA253" t="s">
        <v>245</v>
      </c>
      <c r="AB253" t="s">
        <v>245</v>
      </c>
      <c r="AC253" t="s">
        <v>245</v>
      </c>
    </row>
    <row r="254" spans="1:29" x14ac:dyDescent="0.2">
      <c r="A254" t="str">
        <f t="shared" si="29"/>
        <v>TRIP-TR-253</v>
      </c>
      <c r="B254" s="3">
        <v>45852</v>
      </c>
      <c r="C254" t="str">
        <f>IF(X254="CUSTOMER DELIVERY",_xlfn.XLOOKUP(D254,'[1]Jan Customer Duplicate Hyva'!$B:$B,'[1]Jan Customer Duplicate Hyva'!$A:$A,"NOT FOUND"),"")</f>
        <v>CUST-352</v>
      </c>
      <c r="D254" s="8" t="s">
        <v>164</v>
      </c>
      <c r="E254" s="2"/>
      <c r="F254" s="2"/>
      <c r="G254" s="2"/>
      <c r="H254" s="2"/>
      <c r="I254" s="2"/>
      <c r="J254" s="2"/>
      <c r="K254" s="2"/>
      <c r="L254" s="8" t="s">
        <v>116</v>
      </c>
      <c r="M254" s="9">
        <v>1</v>
      </c>
      <c r="N254" s="6">
        <v>5500</v>
      </c>
      <c r="O254" s="6">
        <f t="shared" si="30"/>
        <v>5500</v>
      </c>
      <c r="P254" s="6">
        <v>5500</v>
      </c>
      <c r="Q254" s="6">
        <f t="shared" si="31"/>
        <v>0</v>
      </c>
      <c r="R254" s="2" t="str">
        <f t="shared" si="36"/>
        <v>PAID</v>
      </c>
      <c r="S254" s="2"/>
      <c r="T254" s="2">
        <f t="shared" si="32"/>
        <v>5500</v>
      </c>
      <c r="U254" s="2" t="str">
        <f t="shared" si="33"/>
        <v>OK</v>
      </c>
      <c r="V254" s="7">
        <f t="shared" si="34"/>
        <v>0</v>
      </c>
      <c r="W254" s="2" t="str">
        <f t="shared" si="35"/>
        <v>OK</v>
      </c>
      <c r="X254" s="2" t="s">
        <v>26</v>
      </c>
      <c r="Y254" s="2" t="s">
        <v>27</v>
      </c>
      <c r="Z254" s="2" t="s">
        <v>28</v>
      </c>
      <c r="AA254" t="s">
        <v>245</v>
      </c>
      <c r="AB254" t="s">
        <v>245</v>
      </c>
      <c r="AC254" t="s">
        <v>245</v>
      </c>
    </row>
    <row r="255" spans="1:29" x14ac:dyDescent="0.2">
      <c r="A255" t="str">
        <f t="shared" si="29"/>
        <v>TRIP-TR-254</v>
      </c>
      <c r="B255" s="3">
        <v>45852</v>
      </c>
      <c r="C255" t="str">
        <f>IF(X255="CUSTOMER DELIVERY",_xlfn.XLOOKUP(D255,'[1]Jan Customer Duplicate Hyva'!$B:$B,'[1]Jan Customer Duplicate Hyva'!$A:$A,"NOT FOUND"),"")</f>
        <v>CUST-352</v>
      </c>
      <c r="D255" s="8" t="s">
        <v>164</v>
      </c>
      <c r="E255" s="2"/>
      <c r="F255" s="2"/>
      <c r="G255" s="2"/>
      <c r="H255" s="2"/>
      <c r="I255" s="2"/>
      <c r="J255" s="2"/>
      <c r="K255" s="2"/>
      <c r="L255" s="8" t="s">
        <v>129</v>
      </c>
      <c r="M255" s="9">
        <v>1</v>
      </c>
      <c r="N255" s="6">
        <v>5500</v>
      </c>
      <c r="O255" s="6">
        <f t="shared" si="30"/>
        <v>5500</v>
      </c>
      <c r="P255" s="6">
        <v>5500</v>
      </c>
      <c r="Q255" s="6">
        <f t="shared" si="31"/>
        <v>0</v>
      </c>
      <c r="R255" s="2" t="str">
        <f t="shared" si="36"/>
        <v>PAID</v>
      </c>
      <c r="S255" s="2"/>
      <c r="T255" s="2">
        <f t="shared" si="32"/>
        <v>5500</v>
      </c>
      <c r="U255" s="2" t="str">
        <f t="shared" si="33"/>
        <v>OK</v>
      </c>
      <c r="V255" s="7">
        <f t="shared" si="34"/>
        <v>0</v>
      </c>
      <c r="W255" s="2" t="str">
        <f t="shared" si="35"/>
        <v>OK</v>
      </c>
      <c r="X255" s="2" t="s">
        <v>26</v>
      </c>
      <c r="Y255" s="2" t="s">
        <v>27</v>
      </c>
      <c r="Z255" s="2" t="s">
        <v>28</v>
      </c>
      <c r="AA255" t="s">
        <v>245</v>
      </c>
      <c r="AB255" t="s">
        <v>245</v>
      </c>
      <c r="AC255" t="s">
        <v>245</v>
      </c>
    </row>
    <row r="256" spans="1:29" x14ac:dyDescent="0.2">
      <c r="A256" t="str">
        <f t="shared" si="29"/>
        <v>TRIP-TR-255</v>
      </c>
      <c r="B256" s="3">
        <v>45852</v>
      </c>
      <c r="C256" t="str">
        <f>IF(X256="CUSTOMER DELIVERY",_xlfn.XLOOKUP(D256,'[1]Jan Customer Duplicate Hyva'!$B:$B,'[1]Jan Customer Duplicate Hyva'!$A:$A,"NOT FOUND"),"")</f>
        <v>CUST-372</v>
      </c>
      <c r="D256" s="8" t="s">
        <v>174</v>
      </c>
      <c r="E256" s="2"/>
      <c r="F256" s="2"/>
      <c r="G256" s="2"/>
      <c r="H256" s="2"/>
      <c r="I256" s="2"/>
      <c r="J256" s="2"/>
      <c r="K256" s="2"/>
      <c r="L256" s="8" t="s">
        <v>38</v>
      </c>
      <c r="M256" s="9">
        <v>1</v>
      </c>
      <c r="N256" s="6">
        <v>4000</v>
      </c>
      <c r="O256" s="6">
        <f t="shared" si="30"/>
        <v>4000</v>
      </c>
      <c r="P256" s="6">
        <v>4000</v>
      </c>
      <c r="Q256" s="6">
        <f t="shared" si="31"/>
        <v>0</v>
      </c>
      <c r="R256" s="2" t="str">
        <f t="shared" si="36"/>
        <v>PAID</v>
      </c>
      <c r="S256" s="2"/>
      <c r="T256" s="2">
        <f t="shared" si="32"/>
        <v>4000</v>
      </c>
      <c r="U256" s="2" t="str">
        <f t="shared" si="33"/>
        <v>OK</v>
      </c>
      <c r="V256" s="7">
        <f t="shared" si="34"/>
        <v>0</v>
      </c>
      <c r="W256" s="2" t="str">
        <f t="shared" si="35"/>
        <v>OK</v>
      </c>
      <c r="X256" s="2" t="s">
        <v>26</v>
      </c>
      <c r="Y256" s="2" t="s">
        <v>27</v>
      </c>
      <c r="Z256" s="2" t="s">
        <v>28</v>
      </c>
      <c r="AA256" t="s">
        <v>245</v>
      </c>
      <c r="AB256" t="s">
        <v>245</v>
      </c>
      <c r="AC256" t="s">
        <v>245</v>
      </c>
    </row>
    <row r="257" spans="1:29" x14ac:dyDescent="0.2">
      <c r="A257" t="str">
        <f t="shared" si="29"/>
        <v>TRIP-TR-256</v>
      </c>
      <c r="B257" s="3">
        <v>45852</v>
      </c>
      <c r="C257" t="str">
        <f>IF(X257="CUSTOMER DELIVERY",_xlfn.XLOOKUP(D257,'[1]Jan Customer Duplicate Hyva'!$B:$B,'[1]Jan Customer Duplicate Hyva'!$A:$A,"NOT FOUND"),"")</f>
        <v>CUST-372</v>
      </c>
      <c r="D257" s="8" t="s">
        <v>174</v>
      </c>
      <c r="E257" s="2"/>
      <c r="F257" s="2"/>
      <c r="G257" s="2"/>
      <c r="H257" s="2"/>
      <c r="I257" s="2"/>
      <c r="J257" s="2"/>
      <c r="K257" s="2"/>
      <c r="L257" s="8" t="s">
        <v>38</v>
      </c>
      <c r="M257" s="9">
        <v>1</v>
      </c>
      <c r="N257" s="6">
        <v>4500</v>
      </c>
      <c r="O257" s="6">
        <f t="shared" si="30"/>
        <v>4500</v>
      </c>
      <c r="P257" s="6">
        <v>4500</v>
      </c>
      <c r="Q257" s="6">
        <f t="shared" si="31"/>
        <v>0</v>
      </c>
      <c r="R257" s="2" t="str">
        <f t="shared" si="36"/>
        <v>PAID</v>
      </c>
      <c r="S257" s="2"/>
      <c r="T257" s="2">
        <f t="shared" si="32"/>
        <v>4500</v>
      </c>
      <c r="U257" s="2" t="str">
        <f t="shared" si="33"/>
        <v>OK</v>
      </c>
      <c r="V257" s="7">
        <f t="shared" si="34"/>
        <v>0</v>
      </c>
      <c r="W257" s="2" t="str">
        <f t="shared" si="35"/>
        <v>OK</v>
      </c>
      <c r="X257" s="2" t="s">
        <v>26</v>
      </c>
      <c r="Y257" s="2" t="s">
        <v>27</v>
      </c>
      <c r="Z257" s="2" t="s">
        <v>28</v>
      </c>
      <c r="AA257" t="s">
        <v>245</v>
      </c>
      <c r="AB257" t="s">
        <v>245</v>
      </c>
      <c r="AC257" t="s">
        <v>245</v>
      </c>
    </row>
    <row r="258" spans="1:29" x14ac:dyDescent="0.2">
      <c r="A258" t="str">
        <f t="shared" si="29"/>
        <v>TRIP-TR-257</v>
      </c>
      <c r="B258" s="3">
        <v>45852</v>
      </c>
      <c r="C258" t="str">
        <f>IF(X258="CUSTOMER DELIVERY",_xlfn.XLOOKUP(D258,'[1]Jan Customer Duplicate Hyva'!$B:$B,'[1]Jan Customer Duplicate Hyva'!$A:$A,"NOT FOUND"),"")</f>
        <v>CUST-390</v>
      </c>
      <c r="D258" s="10" t="s">
        <v>50</v>
      </c>
      <c r="E258" s="2"/>
      <c r="F258" s="2"/>
      <c r="G258" s="2"/>
      <c r="H258" s="2"/>
      <c r="I258" s="2"/>
      <c r="J258" s="2"/>
      <c r="K258" s="2"/>
      <c r="L258" s="4" t="s">
        <v>33</v>
      </c>
      <c r="M258" s="5">
        <v>1</v>
      </c>
      <c r="N258" s="6">
        <v>4000</v>
      </c>
      <c r="O258" s="6">
        <f t="shared" si="30"/>
        <v>4000</v>
      </c>
      <c r="P258" s="6">
        <v>4000</v>
      </c>
      <c r="Q258" s="6">
        <f t="shared" si="31"/>
        <v>0</v>
      </c>
      <c r="R258" s="2" t="str">
        <f t="shared" si="36"/>
        <v>PAID</v>
      </c>
      <c r="S258" s="2"/>
      <c r="T258" s="2">
        <f t="shared" si="32"/>
        <v>4000</v>
      </c>
      <c r="U258" s="2" t="str">
        <f t="shared" si="33"/>
        <v>OK</v>
      </c>
      <c r="V258" s="7">
        <f t="shared" si="34"/>
        <v>0</v>
      </c>
      <c r="W258" s="2" t="str">
        <f t="shared" si="35"/>
        <v>OK</v>
      </c>
      <c r="X258" s="2" t="s">
        <v>26</v>
      </c>
      <c r="Y258" s="2" t="s">
        <v>27</v>
      </c>
      <c r="Z258" s="2" t="s">
        <v>28</v>
      </c>
      <c r="AA258" t="s">
        <v>245</v>
      </c>
      <c r="AB258" t="s">
        <v>245</v>
      </c>
      <c r="AC258" t="s">
        <v>245</v>
      </c>
    </row>
    <row r="259" spans="1:29" x14ac:dyDescent="0.2">
      <c r="A259" t="str">
        <f t="shared" ref="A259:A322" si="37">"TRIP-TR-"&amp;TEXT(ROW()-1,"000")</f>
        <v>TRIP-TR-258</v>
      </c>
      <c r="B259" s="3">
        <v>45853</v>
      </c>
      <c r="C259" t="str">
        <f>IF(X259="CUSTOMER DELIVERY",_xlfn.XLOOKUP(D259,'[1]Jan Customer Duplicate Hyva'!$B:$B,'[1]Jan Customer Duplicate Hyva'!$A:$A,"NOT FOUND"),"")</f>
        <v>CUST-390</v>
      </c>
      <c r="D259" s="10" t="s">
        <v>50</v>
      </c>
      <c r="E259" s="2"/>
      <c r="F259" s="2"/>
      <c r="G259" s="2"/>
      <c r="H259" s="2"/>
      <c r="I259" s="2"/>
      <c r="J259" s="2"/>
      <c r="K259" s="2"/>
      <c r="L259" s="8" t="s">
        <v>33</v>
      </c>
      <c r="M259" s="9">
        <v>1</v>
      </c>
      <c r="N259" s="6">
        <v>4000</v>
      </c>
      <c r="O259" s="6">
        <f t="shared" si="30"/>
        <v>4000</v>
      </c>
      <c r="P259" s="6">
        <v>4000</v>
      </c>
      <c r="Q259" s="6">
        <f t="shared" si="31"/>
        <v>0</v>
      </c>
      <c r="R259" s="2" t="str">
        <f t="shared" si="36"/>
        <v>PAID</v>
      </c>
      <c r="S259" s="2"/>
      <c r="T259" s="2">
        <f t="shared" si="32"/>
        <v>4000</v>
      </c>
      <c r="U259" s="2" t="str">
        <f t="shared" si="33"/>
        <v>OK</v>
      </c>
      <c r="V259" s="7">
        <f t="shared" si="34"/>
        <v>0</v>
      </c>
      <c r="W259" s="2" t="str">
        <f t="shared" si="35"/>
        <v>OK</v>
      </c>
      <c r="X259" s="2" t="s">
        <v>26</v>
      </c>
      <c r="Y259" s="2" t="s">
        <v>27</v>
      </c>
      <c r="Z259" s="2" t="s">
        <v>28</v>
      </c>
      <c r="AA259" t="s">
        <v>245</v>
      </c>
      <c r="AB259" t="s">
        <v>245</v>
      </c>
      <c r="AC259" t="s">
        <v>245</v>
      </c>
    </row>
    <row r="260" spans="1:29" x14ac:dyDescent="0.2">
      <c r="A260" t="str">
        <f t="shared" si="37"/>
        <v>TRIP-TR-259</v>
      </c>
      <c r="B260" s="3">
        <v>45853</v>
      </c>
      <c r="C260" t="str">
        <f>IF(X260="CUSTOMER DELIVERY",_xlfn.XLOOKUP(D260,'[1]Jan Customer Duplicate Hyva'!$B:$B,'[1]Jan Customer Duplicate Hyva'!$A:$A,"NOT FOUND"),"")</f>
        <v>CUST-040</v>
      </c>
      <c r="D260" s="8" t="s">
        <v>158</v>
      </c>
      <c r="E260" s="2"/>
      <c r="F260" s="2"/>
      <c r="G260" s="2"/>
      <c r="H260" s="2"/>
      <c r="I260" s="2"/>
      <c r="J260" s="2"/>
      <c r="K260" s="2"/>
      <c r="L260" s="8" t="s">
        <v>33</v>
      </c>
      <c r="M260" s="9">
        <v>1</v>
      </c>
      <c r="N260" s="6">
        <v>4000</v>
      </c>
      <c r="O260" s="6">
        <f t="shared" si="30"/>
        <v>4000</v>
      </c>
      <c r="P260" s="6"/>
      <c r="Q260" s="6">
        <f t="shared" si="31"/>
        <v>4000</v>
      </c>
      <c r="R260" s="2" t="str">
        <f t="shared" si="36"/>
        <v>UNPAID</v>
      </c>
      <c r="S260" s="2"/>
      <c r="T260" s="2">
        <f t="shared" si="32"/>
        <v>4000</v>
      </c>
      <c r="U260" s="2" t="str">
        <f t="shared" si="33"/>
        <v>OK</v>
      </c>
      <c r="V260" s="7">
        <f t="shared" si="34"/>
        <v>4000</v>
      </c>
      <c r="W260" s="2" t="str">
        <f t="shared" si="35"/>
        <v>OK</v>
      </c>
      <c r="X260" s="2" t="s">
        <v>26</v>
      </c>
      <c r="Y260" s="2" t="s">
        <v>27</v>
      </c>
      <c r="Z260" s="2" t="s">
        <v>28</v>
      </c>
      <c r="AA260" t="s">
        <v>245</v>
      </c>
      <c r="AB260" t="s">
        <v>245</v>
      </c>
      <c r="AC260" t="s">
        <v>245</v>
      </c>
    </row>
    <row r="261" spans="1:29" x14ac:dyDescent="0.2">
      <c r="A261" t="str">
        <f t="shared" si="37"/>
        <v>TRIP-TR-260</v>
      </c>
      <c r="B261" s="3">
        <v>45853</v>
      </c>
      <c r="C261" t="str">
        <f>IF(X261="CUSTOMER DELIVERY",_xlfn.XLOOKUP(D261,'[1]Jan Customer Duplicate Hyva'!$B:$B,'[1]Jan Customer Duplicate Hyva'!$A:$A,"NOT FOUND"),"")</f>
        <v>CUST-042</v>
      </c>
      <c r="D261" s="8" t="s">
        <v>250</v>
      </c>
      <c r="E261" s="2"/>
      <c r="F261" s="2"/>
      <c r="G261" s="2"/>
      <c r="H261" s="2"/>
      <c r="I261" s="2"/>
      <c r="J261" s="2"/>
      <c r="K261" s="2"/>
      <c r="L261" s="8" t="s">
        <v>42</v>
      </c>
      <c r="M261" s="9">
        <v>2</v>
      </c>
      <c r="N261" s="6">
        <v>4500</v>
      </c>
      <c r="O261" s="6">
        <f t="shared" si="30"/>
        <v>9000</v>
      </c>
      <c r="P261" s="6"/>
      <c r="Q261" s="6">
        <f t="shared" si="31"/>
        <v>9000</v>
      </c>
      <c r="R261" s="2" t="str">
        <f t="shared" si="36"/>
        <v>UNPAID</v>
      </c>
      <c r="S261" s="2"/>
      <c r="T261" s="2">
        <f t="shared" si="32"/>
        <v>9000</v>
      </c>
      <c r="U261" s="2" t="str">
        <f t="shared" si="33"/>
        <v>OK</v>
      </c>
      <c r="V261" s="7">
        <f t="shared" si="34"/>
        <v>9000</v>
      </c>
      <c r="W261" s="2" t="str">
        <f t="shared" si="35"/>
        <v>OK</v>
      </c>
      <c r="X261" s="2" t="s">
        <v>26</v>
      </c>
      <c r="Y261" s="2" t="s">
        <v>27</v>
      </c>
      <c r="Z261" s="2" t="s">
        <v>28</v>
      </c>
      <c r="AA261" t="s">
        <v>245</v>
      </c>
      <c r="AB261" t="s">
        <v>245</v>
      </c>
      <c r="AC261" t="s">
        <v>245</v>
      </c>
    </row>
    <row r="262" spans="1:29" x14ac:dyDescent="0.2">
      <c r="A262" t="str">
        <f t="shared" si="37"/>
        <v>TRIP-TR-261</v>
      </c>
      <c r="B262" s="3">
        <v>45854</v>
      </c>
      <c r="C262" t="str">
        <f>IF(X262="CUSTOMER DELIVERY",_xlfn.XLOOKUP(D262,'[1]Jan Customer Duplicate Hyva'!$B:$B,'[1]Jan Customer Duplicate Hyva'!$A:$A,"NOT FOUND"),"")</f>
        <v>CUST-073</v>
      </c>
      <c r="D262" s="8" t="s">
        <v>182</v>
      </c>
      <c r="E262" s="2"/>
      <c r="F262" s="2"/>
      <c r="G262" s="2"/>
      <c r="H262" s="2"/>
      <c r="I262" s="2"/>
      <c r="J262" s="2"/>
      <c r="K262" s="2"/>
      <c r="L262" s="8" t="s">
        <v>33</v>
      </c>
      <c r="M262" s="9">
        <v>1</v>
      </c>
      <c r="N262" s="6">
        <v>4000</v>
      </c>
      <c r="O262" s="6">
        <f t="shared" si="30"/>
        <v>4000</v>
      </c>
      <c r="P262" s="6"/>
      <c r="Q262" s="6">
        <f t="shared" si="31"/>
        <v>4000</v>
      </c>
      <c r="R262" s="2" t="str">
        <f t="shared" si="36"/>
        <v>UNPAID</v>
      </c>
      <c r="S262" s="2"/>
      <c r="T262" s="2">
        <f t="shared" si="32"/>
        <v>4000</v>
      </c>
      <c r="U262" s="2" t="str">
        <f t="shared" si="33"/>
        <v>OK</v>
      </c>
      <c r="V262" s="7">
        <f t="shared" si="34"/>
        <v>4000</v>
      </c>
      <c r="W262" s="2" t="str">
        <f t="shared" si="35"/>
        <v>OK</v>
      </c>
      <c r="X262" s="2" t="s">
        <v>26</v>
      </c>
      <c r="Y262" s="2" t="s">
        <v>27</v>
      </c>
      <c r="Z262" s="2" t="s">
        <v>28</v>
      </c>
      <c r="AA262" t="s">
        <v>245</v>
      </c>
      <c r="AB262" t="s">
        <v>245</v>
      </c>
      <c r="AC262" t="s">
        <v>245</v>
      </c>
    </row>
    <row r="263" spans="1:29" x14ac:dyDescent="0.2">
      <c r="A263" t="str">
        <f t="shared" si="37"/>
        <v>TRIP-TR-262</v>
      </c>
      <c r="B263" s="3">
        <v>45855</v>
      </c>
      <c r="C263" t="str">
        <f>IF(X263="CUSTOMER DELIVERY",_xlfn.XLOOKUP(D263,'[1]Jan Customer Duplicate Hyva'!$B:$B,'[1]Jan Customer Duplicate Hyva'!$A:$A,"NOT FOUND"),"")</f>
        <v>CUST-073</v>
      </c>
      <c r="D263" s="8" t="s">
        <v>182</v>
      </c>
      <c r="E263" s="2"/>
      <c r="F263" s="2"/>
      <c r="G263" s="2"/>
      <c r="H263" s="2"/>
      <c r="I263" s="2"/>
      <c r="J263" s="2"/>
      <c r="K263" s="2"/>
      <c r="L263" s="8" t="s">
        <v>33</v>
      </c>
      <c r="M263" s="9">
        <v>1</v>
      </c>
      <c r="N263" s="6">
        <v>4000</v>
      </c>
      <c r="O263" s="6">
        <f t="shared" si="30"/>
        <v>4000</v>
      </c>
      <c r="P263" s="6"/>
      <c r="Q263" s="6">
        <f t="shared" si="31"/>
        <v>4000</v>
      </c>
      <c r="R263" s="2" t="str">
        <f t="shared" si="36"/>
        <v>UNPAID</v>
      </c>
      <c r="S263" s="2"/>
      <c r="T263" s="2">
        <f t="shared" si="32"/>
        <v>4000</v>
      </c>
      <c r="U263" s="2" t="str">
        <f t="shared" si="33"/>
        <v>OK</v>
      </c>
      <c r="V263" s="7">
        <f t="shared" si="34"/>
        <v>4000</v>
      </c>
      <c r="W263" s="2" t="str">
        <f t="shared" si="35"/>
        <v>OK</v>
      </c>
      <c r="X263" s="2" t="s">
        <v>26</v>
      </c>
      <c r="Y263" s="2" t="s">
        <v>27</v>
      </c>
      <c r="Z263" s="2" t="s">
        <v>28</v>
      </c>
      <c r="AA263" t="s">
        <v>245</v>
      </c>
      <c r="AB263" t="s">
        <v>245</v>
      </c>
      <c r="AC263" t="s">
        <v>245</v>
      </c>
    </row>
    <row r="264" spans="1:29" x14ac:dyDescent="0.2">
      <c r="A264" t="str">
        <f t="shared" si="37"/>
        <v>TRIP-TR-263</v>
      </c>
      <c r="B264" s="3">
        <v>45855</v>
      </c>
      <c r="C264" t="str">
        <f>IF(X264="CUSTOMER DELIVERY",_xlfn.XLOOKUP(D264,'[1]Jan Customer Duplicate Hyva'!$B:$B,'[1]Jan Customer Duplicate Hyva'!$A:$A,"NOT FOUND"),"")</f>
        <v>CUST-073</v>
      </c>
      <c r="D264" s="8" t="s">
        <v>182</v>
      </c>
      <c r="E264" s="2"/>
      <c r="F264" s="2"/>
      <c r="G264" s="2"/>
      <c r="H264" s="2"/>
      <c r="I264" s="2"/>
      <c r="J264" s="2"/>
      <c r="K264" s="2"/>
      <c r="L264" s="8" t="s">
        <v>33</v>
      </c>
      <c r="M264" s="9">
        <v>1</v>
      </c>
      <c r="N264" s="6">
        <v>4000</v>
      </c>
      <c r="O264" s="6">
        <f t="shared" si="30"/>
        <v>4000</v>
      </c>
      <c r="P264" s="6"/>
      <c r="Q264" s="6">
        <f t="shared" si="31"/>
        <v>4000</v>
      </c>
      <c r="R264" s="2" t="str">
        <f t="shared" si="36"/>
        <v>UNPAID</v>
      </c>
      <c r="S264" s="2"/>
      <c r="T264" s="2">
        <f t="shared" si="32"/>
        <v>4000</v>
      </c>
      <c r="U264" s="2" t="str">
        <f t="shared" si="33"/>
        <v>OK</v>
      </c>
      <c r="V264" s="7">
        <f t="shared" si="34"/>
        <v>4000</v>
      </c>
      <c r="W264" s="2" t="str">
        <f t="shared" si="35"/>
        <v>OK</v>
      </c>
      <c r="X264" s="2" t="s">
        <v>26</v>
      </c>
      <c r="Y264" s="2" t="s">
        <v>27</v>
      </c>
      <c r="Z264" s="2" t="s">
        <v>28</v>
      </c>
      <c r="AA264" t="s">
        <v>245</v>
      </c>
      <c r="AB264" t="s">
        <v>245</v>
      </c>
      <c r="AC264" t="s">
        <v>245</v>
      </c>
    </row>
    <row r="265" spans="1:29" x14ac:dyDescent="0.2">
      <c r="A265" t="str">
        <f t="shared" si="37"/>
        <v>TRIP-TR-264</v>
      </c>
      <c r="B265" s="3">
        <v>45857</v>
      </c>
      <c r="C265" t="str">
        <f>IF(X265="CUSTOMER DELIVERY",_xlfn.XLOOKUP(D265,'[1]Jan Customer Duplicate Hyva'!$B:$B,'[1]Jan Customer Duplicate Hyva'!$A:$A,"NOT FOUND"),"")</f>
        <v>CUST-110</v>
      </c>
      <c r="D265" s="14" t="s">
        <v>190</v>
      </c>
      <c r="E265" s="2"/>
      <c r="F265" s="2"/>
      <c r="G265" s="2"/>
      <c r="H265" s="2"/>
      <c r="I265" s="2"/>
      <c r="J265" s="2"/>
      <c r="K265" s="2"/>
      <c r="L265" s="14" t="s">
        <v>33</v>
      </c>
      <c r="M265" s="9">
        <v>2</v>
      </c>
      <c r="N265" s="6">
        <v>3500</v>
      </c>
      <c r="O265" s="6">
        <f t="shared" ref="O265:O282" si="38">N265*M265</f>
        <v>7000</v>
      </c>
      <c r="P265" s="6">
        <v>7000</v>
      </c>
      <c r="Q265" s="6">
        <f t="shared" ref="Q265:Q282" si="39">O265-P265</f>
        <v>0</v>
      </c>
      <c r="R265" s="2" t="str">
        <f t="shared" si="36"/>
        <v>PAID</v>
      </c>
      <c r="S265" s="2"/>
      <c r="T265" s="2">
        <f t="shared" ref="T265:T328" si="40">M265*N265</f>
        <v>7000</v>
      </c>
      <c r="U265" s="2" t="str">
        <f t="shared" ref="U265:U328" si="41">IF(ROUND(T265,2)=ROUND(O265,2),"OK","CHECK")</f>
        <v>OK</v>
      </c>
      <c r="V265" s="7">
        <f t="shared" ref="V265:V328" si="42">O265-P265</f>
        <v>0</v>
      </c>
      <c r="W265" s="2" t="str">
        <f t="shared" ref="W265:W328" si="43">IF(ROUND(V265,2)=ROUND(Q265,2),"OK","CHECK")</f>
        <v>OK</v>
      </c>
      <c r="X265" s="2" t="s">
        <v>26</v>
      </c>
      <c r="Y265" s="2" t="s">
        <v>27</v>
      </c>
      <c r="Z265" s="2" t="s">
        <v>28</v>
      </c>
      <c r="AA265" t="s">
        <v>245</v>
      </c>
      <c r="AB265" t="s">
        <v>245</v>
      </c>
      <c r="AC265" t="s">
        <v>245</v>
      </c>
    </row>
    <row r="266" spans="1:29" x14ac:dyDescent="0.2">
      <c r="A266" t="str">
        <f t="shared" si="37"/>
        <v>TRIP-TR-265</v>
      </c>
      <c r="B266" s="3">
        <v>45857</v>
      </c>
      <c r="C266" t="str">
        <f>IF(X266="CUSTOMER DELIVERY",_xlfn.XLOOKUP(D266,'[1]Jan Customer Duplicate Hyva'!$B:$B,'[1]Jan Customer Duplicate Hyva'!$A:$A,"NOT FOUND"),"")</f>
        <v>CUST-165</v>
      </c>
      <c r="D266" s="8" t="s">
        <v>149</v>
      </c>
      <c r="E266" s="2"/>
      <c r="F266" s="2"/>
      <c r="G266" s="2"/>
      <c r="H266" s="2"/>
      <c r="I266" s="2"/>
      <c r="J266" s="2"/>
      <c r="K266" s="2"/>
      <c r="L266" s="8" t="s">
        <v>38</v>
      </c>
      <c r="M266" s="9">
        <v>1</v>
      </c>
      <c r="N266" s="6">
        <v>4000</v>
      </c>
      <c r="O266" s="6">
        <f t="shared" si="38"/>
        <v>4000</v>
      </c>
      <c r="P266" s="6">
        <v>4000</v>
      </c>
      <c r="Q266" s="6">
        <f t="shared" si="39"/>
        <v>0</v>
      </c>
      <c r="R266" s="2" t="str">
        <f t="shared" ref="R266:R329" si="44">IF(Q266=0,"PAID",IF(P266=0,"UNPAID","PARTIAL"))</f>
        <v>PAID</v>
      </c>
      <c r="S266" s="2"/>
      <c r="T266" s="2">
        <f t="shared" si="40"/>
        <v>4000</v>
      </c>
      <c r="U266" s="2" t="str">
        <f t="shared" si="41"/>
        <v>OK</v>
      </c>
      <c r="V266" s="7">
        <f t="shared" si="42"/>
        <v>0</v>
      </c>
      <c r="W266" s="2" t="str">
        <f t="shared" si="43"/>
        <v>OK</v>
      </c>
      <c r="X266" s="2" t="s">
        <v>26</v>
      </c>
      <c r="Y266" s="2" t="s">
        <v>27</v>
      </c>
      <c r="Z266" s="2" t="s">
        <v>28</v>
      </c>
      <c r="AA266" t="s">
        <v>245</v>
      </c>
      <c r="AB266" t="s">
        <v>245</v>
      </c>
      <c r="AC266" t="s">
        <v>245</v>
      </c>
    </row>
    <row r="267" spans="1:29" x14ac:dyDescent="0.2">
      <c r="A267" t="str">
        <f t="shared" si="37"/>
        <v>TRIP-TR-266</v>
      </c>
      <c r="B267" s="3">
        <v>45857</v>
      </c>
      <c r="C267" t="str">
        <f>IF(X267="CUSTOMER DELIVERY",_xlfn.XLOOKUP(D267,'[1]Jan Customer Duplicate Hyva'!$B:$B,'[1]Jan Customer Duplicate Hyva'!$A:$A,"NOT FOUND"),"")</f>
        <v>CUST-173</v>
      </c>
      <c r="D267" s="4" t="s">
        <v>251</v>
      </c>
      <c r="E267" s="2"/>
      <c r="F267" s="2"/>
      <c r="G267" s="2"/>
      <c r="H267" s="2"/>
      <c r="I267" s="2"/>
      <c r="J267" s="2"/>
      <c r="K267" s="2"/>
      <c r="L267" s="4" t="s">
        <v>153</v>
      </c>
      <c r="M267" s="5">
        <v>1</v>
      </c>
      <c r="N267" s="6">
        <v>3000</v>
      </c>
      <c r="O267" s="6">
        <f t="shared" si="38"/>
        <v>3000</v>
      </c>
      <c r="P267" s="6">
        <v>3000</v>
      </c>
      <c r="Q267" s="6">
        <f t="shared" si="39"/>
        <v>0</v>
      </c>
      <c r="R267" s="2" t="str">
        <f t="shared" si="44"/>
        <v>PAID</v>
      </c>
      <c r="S267" s="2"/>
      <c r="T267" s="2">
        <f t="shared" si="40"/>
        <v>3000</v>
      </c>
      <c r="U267" s="2" t="str">
        <f t="shared" si="41"/>
        <v>OK</v>
      </c>
      <c r="V267" s="7">
        <f t="shared" si="42"/>
        <v>0</v>
      </c>
      <c r="W267" s="2" t="str">
        <f t="shared" si="43"/>
        <v>OK</v>
      </c>
      <c r="X267" s="2" t="s">
        <v>26</v>
      </c>
      <c r="Y267" s="2" t="s">
        <v>27</v>
      </c>
      <c r="Z267" s="2" t="s">
        <v>28</v>
      </c>
      <c r="AA267" t="s">
        <v>245</v>
      </c>
      <c r="AB267" t="s">
        <v>245</v>
      </c>
      <c r="AC267" t="s">
        <v>245</v>
      </c>
    </row>
    <row r="268" spans="1:29" x14ac:dyDescent="0.2">
      <c r="A268" t="str">
        <f t="shared" si="37"/>
        <v>TRIP-TR-267</v>
      </c>
      <c r="B268" s="3">
        <v>45857</v>
      </c>
      <c r="C268" t="str">
        <f>IF(X268="CUSTOMER DELIVERY",_xlfn.XLOOKUP(D268,'[1]Jan Customer Duplicate Hyva'!$B:$B,'[1]Jan Customer Duplicate Hyva'!$A:$A,"NOT FOUND"),"")</f>
        <v>CUST-197</v>
      </c>
      <c r="D268" s="8" t="s">
        <v>191</v>
      </c>
      <c r="E268" s="2"/>
      <c r="F268" s="2"/>
      <c r="G268" s="2"/>
      <c r="H268" s="2"/>
      <c r="I268" s="2"/>
      <c r="J268" s="2"/>
      <c r="K268" s="2"/>
      <c r="L268" s="8" t="s">
        <v>38</v>
      </c>
      <c r="M268" s="9">
        <v>1</v>
      </c>
      <c r="N268" s="6">
        <v>4000</v>
      </c>
      <c r="O268" s="6">
        <f t="shared" si="38"/>
        <v>4000</v>
      </c>
      <c r="P268" s="6">
        <v>4000</v>
      </c>
      <c r="Q268" s="6">
        <f t="shared" si="39"/>
        <v>0</v>
      </c>
      <c r="R268" s="2" t="str">
        <f t="shared" si="44"/>
        <v>PAID</v>
      </c>
      <c r="S268" s="2"/>
      <c r="T268" s="2">
        <f t="shared" si="40"/>
        <v>4000</v>
      </c>
      <c r="U268" s="2" t="str">
        <f t="shared" si="41"/>
        <v>OK</v>
      </c>
      <c r="V268" s="7">
        <f t="shared" si="42"/>
        <v>0</v>
      </c>
      <c r="W268" s="2" t="str">
        <f t="shared" si="43"/>
        <v>OK</v>
      </c>
      <c r="X268" s="2" t="s">
        <v>26</v>
      </c>
      <c r="Y268" s="2" t="s">
        <v>27</v>
      </c>
      <c r="Z268" s="2" t="s">
        <v>28</v>
      </c>
      <c r="AA268" t="s">
        <v>245</v>
      </c>
      <c r="AB268" t="s">
        <v>245</v>
      </c>
      <c r="AC268" t="s">
        <v>245</v>
      </c>
    </row>
    <row r="269" spans="1:29" x14ac:dyDescent="0.2">
      <c r="A269" t="str">
        <f t="shared" si="37"/>
        <v>TRIP-TR-268</v>
      </c>
      <c r="B269" s="3">
        <v>45868</v>
      </c>
      <c r="C269" t="str">
        <f>IF(X269="CUSTOMER DELIVERY",_xlfn.XLOOKUP(D269,'[1]Jan Customer Duplicate Hyva'!$B:$B,'[1]Jan Customer Duplicate Hyva'!$A:$A,"NOT FOUND"),"")</f>
        <v>CUST-197</v>
      </c>
      <c r="D269" s="8" t="s">
        <v>191</v>
      </c>
      <c r="E269" s="2"/>
      <c r="F269" s="2"/>
      <c r="G269" s="2"/>
      <c r="H269" s="2"/>
      <c r="I269" s="2"/>
      <c r="J269" s="2"/>
      <c r="K269" s="2"/>
      <c r="L269" s="8" t="s">
        <v>38</v>
      </c>
      <c r="M269" s="9">
        <v>1</v>
      </c>
      <c r="N269" s="6">
        <v>4000</v>
      </c>
      <c r="O269" s="6">
        <f t="shared" si="38"/>
        <v>4000</v>
      </c>
      <c r="P269" s="6">
        <v>4000</v>
      </c>
      <c r="Q269" s="6">
        <f t="shared" si="39"/>
        <v>0</v>
      </c>
      <c r="R269" s="2" t="str">
        <f t="shared" si="44"/>
        <v>PAID</v>
      </c>
      <c r="S269" s="2"/>
      <c r="T269" s="2">
        <f t="shared" si="40"/>
        <v>4000</v>
      </c>
      <c r="U269" s="2" t="str">
        <f t="shared" si="41"/>
        <v>OK</v>
      </c>
      <c r="V269" s="7">
        <f t="shared" si="42"/>
        <v>0</v>
      </c>
      <c r="W269" s="2" t="str">
        <f t="shared" si="43"/>
        <v>OK</v>
      </c>
      <c r="X269" s="2" t="s">
        <v>26</v>
      </c>
      <c r="Y269" s="2" t="s">
        <v>27</v>
      </c>
      <c r="Z269" s="2" t="s">
        <v>28</v>
      </c>
      <c r="AA269" t="s">
        <v>245</v>
      </c>
      <c r="AB269" t="s">
        <v>245</v>
      </c>
      <c r="AC269" t="s">
        <v>245</v>
      </c>
    </row>
    <row r="270" spans="1:29" x14ac:dyDescent="0.2">
      <c r="A270" t="str">
        <f t="shared" si="37"/>
        <v>TRIP-TR-269</v>
      </c>
      <c r="B270" s="3">
        <v>45869</v>
      </c>
      <c r="C270" t="str">
        <f>IF(X270="CUSTOMER DELIVERY",_xlfn.XLOOKUP(D270,'[1]Jan Customer Duplicate Hyva'!$B:$B,'[1]Jan Customer Duplicate Hyva'!$A:$A,"NOT FOUND"),"")</f>
        <v>CUST-216</v>
      </c>
      <c r="D270" s="4" t="s">
        <v>248</v>
      </c>
      <c r="E270" s="2"/>
      <c r="F270" s="2"/>
      <c r="G270" s="2"/>
      <c r="H270" s="2"/>
      <c r="I270" s="2"/>
      <c r="J270" s="2"/>
      <c r="K270" s="2"/>
      <c r="L270" s="4" t="s">
        <v>33</v>
      </c>
      <c r="M270" s="5">
        <v>1</v>
      </c>
      <c r="N270" s="6">
        <v>4000</v>
      </c>
      <c r="O270" s="6">
        <f t="shared" si="38"/>
        <v>4000</v>
      </c>
      <c r="P270" s="6">
        <v>4000</v>
      </c>
      <c r="Q270" s="6">
        <f t="shared" si="39"/>
        <v>0</v>
      </c>
      <c r="R270" s="2" t="str">
        <f t="shared" si="44"/>
        <v>PAID</v>
      </c>
      <c r="S270" s="2"/>
      <c r="T270" s="2">
        <f t="shared" si="40"/>
        <v>4000</v>
      </c>
      <c r="U270" s="2" t="str">
        <f t="shared" si="41"/>
        <v>OK</v>
      </c>
      <c r="V270" s="7">
        <f t="shared" si="42"/>
        <v>0</v>
      </c>
      <c r="W270" s="2" t="str">
        <f t="shared" si="43"/>
        <v>OK</v>
      </c>
      <c r="X270" s="2" t="s">
        <v>26</v>
      </c>
      <c r="Y270" s="2" t="s">
        <v>27</v>
      </c>
      <c r="Z270" s="2" t="s">
        <v>28</v>
      </c>
      <c r="AA270" t="s">
        <v>245</v>
      </c>
      <c r="AB270" t="s">
        <v>245</v>
      </c>
      <c r="AC270" t="s">
        <v>245</v>
      </c>
    </row>
    <row r="271" spans="1:29" x14ac:dyDescent="0.2">
      <c r="A271" t="str">
        <f t="shared" si="37"/>
        <v>TRIP-TR-270</v>
      </c>
      <c r="B271" s="3">
        <v>45869</v>
      </c>
      <c r="C271" t="str">
        <f>IF(X271="CUSTOMER DELIVERY",_xlfn.XLOOKUP(D271,'[1]Jan Customer Duplicate Hyva'!$B:$B,'[1]Jan Customer Duplicate Hyva'!$A:$A,"NOT FOUND"),"")</f>
        <v>CUST-216</v>
      </c>
      <c r="D271" s="4" t="s">
        <v>248</v>
      </c>
      <c r="E271" s="2"/>
      <c r="F271" s="2"/>
      <c r="G271" s="2"/>
      <c r="H271" s="2"/>
      <c r="I271" s="2"/>
      <c r="J271" s="2"/>
      <c r="K271" s="2"/>
      <c r="L271" s="4" t="s">
        <v>33</v>
      </c>
      <c r="M271" s="5">
        <v>1</v>
      </c>
      <c r="N271" s="6">
        <v>4000</v>
      </c>
      <c r="O271" s="6">
        <f t="shared" si="38"/>
        <v>4000</v>
      </c>
      <c r="P271" s="6">
        <v>4000</v>
      </c>
      <c r="Q271" s="6">
        <f t="shared" si="39"/>
        <v>0</v>
      </c>
      <c r="R271" s="2" t="str">
        <f t="shared" si="44"/>
        <v>PAID</v>
      </c>
      <c r="S271" s="2"/>
      <c r="T271" s="2">
        <f t="shared" si="40"/>
        <v>4000</v>
      </c>
      <c r="U271" s="2" t="str">
        <f t="shared" si="41"/>
        <v>OK</v>
      </c>
      <c r="V271" s="7">
        <f t="shared" si="42"/>
        <v>0</v>
      </c>
      <c r="W271" s="2" t="str">
        <f t="shared" si="43"/>
        <v>OK</v>
      </c>
      <c r="X271" s="2" t="s">
        <v>26</v>
      </c>
      <c r="Y271" s="2" t="s">
        <v>27</v>
      </c>
      <c r="Z271" s="2" t="s">
        <v>28</v>
      </c>
      <c r="AA271" t="s">
        <v>245</v>
      </c>
      <c r="AB271" t="s">
        <v>245</v>
      </c>
      <c r="AC271" t="s">
        <v>245</v>
      </c>
    </row>
    <row r="272" spans="1:29" x14ac:dyDescent="0.2">
      <c r="A272" t="str">
        <f t="shared" si="37"/>
        <v>TRIP-TR-271</v>
      </c>
      <c r="B272" s="3">
        <v>45869</v>
      </c>
      <c r="C272" t="str">
        <f>IF(X272="CUSTOMER DELIVERY",_xlfn.XLOOKUP(D272,'[1]Jan Customer Duplicate Hyva'!$B:$B,'[1]Jan Customer Duplicate Hyva'!$A:$A,"NOT FOUND"),"")</f>
        <v>CUST-248</v>
      </c>
      <c r="D272" s="4" t="s">
        <v>192</v>
      </c>
      <c r="E272" s="2"/>
      <c r="F272" s="2"/>
      <c r="G272" s="2"/>
      <c r="H272" s="2"/>
      <c r="I272" s="2"/>
      <c r="J272" s="2"/>
      <c r="K272" s="2"/>
      <c r="L272" s="4" t="s">
        <v>193</v>
      </c>
      <c r="M272" s="5">
        <v>1</v>
      </c>
      <c r="N272" s="6">
        <v>4000</v>
      </c>
      <c r="O272" s="6">
        <f t="shared" si="38"/>
        <v>4000</v>
      </c>
      <c r="P272" s="6">
        <v>4000</v>
      </c>
      <c r="Q272" s="6">
        <f t="shared" si="39"/>
        <v>0</v>
      </c>
      <c r="R272" s="2" t="str">
        <f t="shared" si="44"/>
        <v>PAID</v>
      </c>
      <c r="S272" s="2"/>
      <c r="T272" s="2">
        <f t="shared" si="40"/>
        <v>4000</v>
      </c>
      <c r="U272" s="2" t="str">
        <f t="shared" si="41"/>
        <v>OK</v>
      </c>
      <c r="V272" s="7">
        <f t="shared" si="42"/>
        <v>0</v>
      </c>
      <c r="W272" s="2" t="str">
        <f t="shared" si="43"/>
        <v>OK</v>
      </c>
      <c r="X272" s="2" t="s">
        <v>26</v>
      </c>
      <c r="Y272" s="2" t="s">
        <v>27</v>
      </c>
      <c r="Z272" s="2" t="s">
        <v>28</v>
      </c>
      <c r="AA272" t="s">
        <v>245</v>
      </c>
      <c r="AB272" t="s">
        <v>245</v>
      </c>
      <c r="AC272" t="s">
        <v>245</v>
      </c>
    </row>
    <row r="273" spans="1:29" x14ac:dyDescent="0.2">
      <c r="A273" t="str">
        <f t="shared" si="37"/>
        <v>TRIP-TR-272</v>
      </c>
      <c r="B273" s="3">
        <v>45870</v>
      </c>
      <c r="C273" t="str">
        <f>IF(X273="CUSTOMER DELIVERY",_xlfn.XLOOKUP(D273,'[1]Jan Customer Duplicate Hyva'!$B:$B,'[1]Jan Customer Duplicate Hyva'!$A:$A,"NOT FOUND"),"")</f>
        <v>CUST-394</v>
      </c>
      <c r="D273" s="8" t="s">
        <v>245</v>
      </c>
      <c r="E273" s="2"/>
      <c r="F273" s="2"/>
      <c r="G273" s="2"/>
      <c r="H273" s="2"/>
      <c r="I273" s="2"/>
      <c r="J273" s="2"/>
      <c r="K273" s="2"/>
      <c r="L273" s="8" t="s">
        <v>42</v>
      </c>
      <c r="M273" s="9">
        <v>1</v>
      </c>
      <c r="N273" s="6">
        <v>4700</v>
      </c>
      <c r="O273" s="6">
        <f t="shared" si="38"/>
        <v>4700</v>
      </c>
      <c r="P273" s="6">
        <v>4700</v>
      </c>
      <c r="Q273" s="6">
        <f t="shared" si="39"/>
        <v>0</v>
      </c>
      <c r="R273" s="2" t="str">
        <f t="shared" si="44"/>
        <v>PAID</v>
      </c>
      <c r="S273" s="2"/>
      <c r="T273" s="2">
        <f t="shared" si="40"/>
        <v>4700</v>
      </c>
      <c r="U273" s="2" t="str">
        <f t="shared" si="41"/>
        <v>OK</v>
      </c>
      <c r="V273" s="7">
        <f t="shared" si="42"/>
        <v>0</v>
      </c>
      <c r="W273" s="2" t="str">
        <f t="shared" si="43"/>
        <v>OK</v>
      </c>
      <c r="X273" s="2" t="s">
        <v>26</v>
      </c>
      <c r="Y273" s="2" t="s">
        <v>27</v>
      </c>
      <c r="Z273" s="2" t="s">
        <v>28</v>
      </c>
      <c r="AA273" t="s">
        <v>245</v>
      </c>
      <c r="AB273" t="s">
        <v>245</v>
      </c>
      <c r="AC273" t="s">
        <v>245</v>
      </c>
    </row>
    <row r="274" spans="1:29" x14ac:dyDescent="0.2">
      <c r="A274" t="str">
        <f t="shared" si="37"/>
        <v>TRIP-TR-273</v>
      </c>
      <c r="B274" s="3">
        <v>45870</v>
      </c>
      <c r="C274" t="str">
        <f>IF(X274="CUSTOMER DELIVERY",_xlfn.XLOOKUP(D274,'[1]Jan Customer Duplicate Hyva'!$B:$B,'[1]Jan Customer Duplicate Hyva'!$A:$A,"NOT FOUND"),"")</f>
        <v>CUST-248</v>
      </c>
      <c r="D274" s="4" t="s">
        <v>192</v>
      </c>
      <c r="E274" s="2"/>
      <c r="F274" s="2"/>
      <c r="G274" s="2"/>
      <c r="H274" s="2"/>
      <c r="I274" s="2"/>
      <c r="J274" s="2"/>
      <c r="K274" s="2"/>
      <c r="L274" s="4" t="s">
        <v>193</v>
      </c>
      <c r="M274" s="9">
        <v>1</v>
      </c>
      <c r="N274" s="6">
        <v>4000</v>
      </c>
      <c r="O274" s="6">
        <f t="shared" si="38"/>
        <v>4000</v>
      </c>
      <c r="P274" s="6">
        <v>4000</v>
      </c>
      <c r="Q274" s="6">
        <f t="shared" si="39"/>
        <v>0</v>
      </c>
      <c r="R274" s="2" t="str">
        <f t="shared" si="44"/>
        <v>PAID</v>
      </c>
      <c r="S274" s="2"/>
      <c r="T274" s="2">
        <f t="shared" si="40"/>
        <v>4000</v>
      </c>
      <c r="U274" s="2" t="str">
        <f t="shared" si="41"/>
        <v>OK</v>
      </c>
      <c r="V274" s="7">
        <f t="shared" si="42"/>
        <v>0</v>
      </c>
      <c r="W274" s="2" t="str">
        <f t="shared" si="43"/>
        <v>OK</v>
      </c>
      <c r="X274" s="2" t="s">
        <v>26</v>
      </c>
      <c r="Y274" s="2" t="s">
        <v>27</v>
      </c>
      <c r="Z274" s="2" t="s">
        <v>28</v>
      </c>
      <c r="AA274" t="s">
        <v>245</v>
      </c>
      <c r="AB274" t="s">
        <v>245</v>
      </c>
      <c r="AC274" t="s">
        <v>245</v>
      </c>
    </row>
    <row r="275" spans="1:29" x14ac:dyDescent="0.2">
      <c r="A275" t="str">
        <f t="shared" si="37"/>
        <v>TRIP-TR-274</v>
      </c>
      <c r="B275" s="3">
        <v>45870</v>
      </c>
      <c r="C275" t="str">
        <f>IF(X275="CUSTOMER DELIVERY",_xlfn.XLOOKUP(D275,'[1]Jan Customer Duplicate Hyva'!$B:$B,'[1]Jan Customer Duplicate Hyva'!$A:$A,"NOT FOUND"),"")</f>
        <v>CUST-248</v>
      </c>
      <c r="D275" s="8" t="s">
        <v>192</v>
      </c>
      <c r="E275" s="2"/>
      <c r="F275" s="2"/>
      <c r="G275" s="2"/>
      <c r="H275" s="2"/>
      <c r="I275" s="2"/>
      <c r="J275" s="2"/>
      <c r="K275" s="2"/>
      <c r="L275" s="8" t="s">
        <v>192</v>
      </c>
      <c r="M275" s="9">
        <v>1</v>
      </c>
      <c r="N275" s="6">
        <v>4000</v>
      </c>
      <c r="O275" s="6">
        <f t="shared" si="38"/>
        <v>4000</v>
      </c>
      <c r="P275" s="6"/>
      <c r="Q275" s="6">
        <f t="shared" si="39"/>
        <v>4000</v>
      </c>
      <c r="R275" s="2" t="str">
        <f t="shared" si="44"/>
        <v>UNPAID</v>
      </c>
      <c r="S275" s="2"/>
      <c r="T275" s="2">
        <f t="shared" si="40"/>
        <v>4000</v>
      </c>
      <c r="U275" s="2" t="str">
        <f t="shared" si="41"/>
        <v>OK</v>
      </c>
      <c r="V275" s="7">
        <f t="shared" si="42"/>
        <v>4000</v>
      </c>
      <c r="W275" s="2" t="str">
        <f t="shared" si="43"/>
        <v>OK</v>
      </c>
      <c r="X275" s="2" t="s">
        <v>26</v>
      </c>
      <c r="Y275" s="2" t="s">
        <v>27</v>
      </c>
      <c r="Z275" s="2" t="s">
        <v>28</v>
      </c>
      <c r="AA275" t="s">
        <v>245</v>
      </c>
      <c r="AB275" t="s">
        <v>245</v>
      </c>
      <c r="AC275" t="s">
        <v>245</v>
      </c>
    </row>
    <row r="276" spans="1:29" x14ac:dyDescent="0.2">
      <c r="A276" t="str">
        <f t="shared" si="37"/>
        <v>TRIP-TR-275</v>
      </c>
      <c r="B276" s="3">
        <v>45870</v>
      </c>
      <c r="C276" t="str">
        <f>IF(X276="CUSTOMER DELIVERY",_xlfn.XLOOKUP(D276,'[1]Jan Customer Duplicate Hyva'!$B:$B,'[1]Jan Customer Duplicate Hyva'!$A:$A,"NOT FOUND"),"")</f>
        <v>CUST-346</v>
      </c>
      <c r="D276" s="4" t="s">
        <v>189</v>
      </c>
      <c r="E276" s="2"/>
      <c r="F276" s="2"/>
      <c r="G276" s="2"/>
      <c r="H276" s="2"/>
      <c r="I276" s="2"/>
      <c r="J276" s="2"/>
      <c r="K276" s="2"/>
      <c r="L276" s="4" t="s">
        <v>38</v>
      </c>
      <c r="M276" s="5">
        <v>1</v>
      </c>
      <c r="N276" s="6">
        <v>4000</v>
      </c>
      <c r="O276" s="6">
        <f t="shared" si="38"/>
        <v>4000</v>
      </c>
      <c r="P276" s="6">
        <v>4000</v>
      </c>
      <c r="Q276" s="6">
        <f t="shared" si="39"/>
        <v>0</v>
      </c>
      <c r="R276" s="2" t="str">
        <f t="shared" si="44"/>
        <v>PAID</v>
      </c>
      <c r="S276" s="2"/>
      <c r="T276" s="2">
        <f t="shared" si="40"/>
        <v>4000</v>
      </c>
      <c r="U276" s="2" t="str">
        <f t="shared" si="41"/>
        <v>OK</v>
      </c>
      <c r="V276" s="7">
        <f t="shared" si="42"/>
        <v>0</v>
      </c>
      <c r="W276" s="2" t="str">
        <f t="shared" si="43"/>
        <v>OK</v>
      </c>
      <c r="X276" s="2" t="s">
        <v>26</v>
      </c>
      <c r="Y276" s="2" t="s">
        <v>27</v>
      </c>
      <c r="Z276" s="2" t="s">
        <v>28</v>
      </c>
      <c r="AA276" t="s">
        <v>245</v>
      </c>
      <c r="AB276" t="s">
        <v>245</v>
      </c>
      <c r="AC276" t="s">
        <v>245</v>
      </c>
    </row>
    <row r="277" spans="1:29" x14ac:dyDescent="0.2">
      <c r="A277" t="str">
        <f t="shared" si="37"/>
        <v>TRIP-TR-276</v>
      </c>
      <c r="B277" s="3">
        <v>45870</v>
      </c>
      <c r="C277" t="str">
        <f>IF(X277="CUSTOMER DELIVERY",_xlfn.XLOOKUP(D277,'[1]Jan Customer Duplicate Hyva'!$B:$B,'[1]Jan Customer Duplicate Hyva'!$A:$A,"NOT FOUND"),"")</f>
        <v>CUST-346</v>
      </c>
      <c r="D277" s="4" t="s">
        <v>189</v>
      </c>
      <c r="E277" s="2"/>
      <c r="F277" s="2"/>
      <c r="G277" s="2"/>
      <c r="H277" s="2"/>
      <c r="I277" s="2"/>
      <c r="J277" s="2"/>
      <c r="K277" s="2"/>
      <c r="L277" s="4" t="s">
        <v>38</v>
      </c>
      <c r="M277" s="5">
        <v>1</v>
      </c>
      <c r="N277" s="6">
        <v>4000</v>
      </c>
      <c r="O277" s="6">
        <f t="shared" si="38"/>
        <v>4000</v>
      </c>
      <c r="P277" s="6">
        <v>4000</v>
      </c>
      <c r="Q277" s="6">
        <f t="shared" si="39"/>
        <v>0</v>
      </c>
      <c r="R277" s="2" t="str">
        <f t="shared" si="44"/>
        <v>PAID</v>
      </c>
      <c r="S277" s="2"/>
      <c r="T277" s="2">
        <f t="shared" si="40"/>
        <v>4000</v>
      </c>
      <c r="U277" s="2" t="str">
        <f t="shared" si="41"/>
        <v>OK</v>
      </c>
      <c r="V277" s="7">
        <f t="shared" si="42"/>
        <v>0</v>
      </c>
      <c r="W277" s="2" t="str">
        <f t="shared" si="43"/>
        <v>OK</v>
      </c>
      <c r="X277" s="2" t="s">
        <v>26</v>
      </c>
      <c r="Y277" s="2" t="s">
        <v>27</v>
      </c>
      <c r="Z277" s="2" t="s">
        <v>28</v>
      </c>
      <c r="AA277" t="s">
        <v>245</v>
      </c>
      <c r="AB277" t="s">
        <v>245</v>
      </c>
      <c r="AC277" t="s">
        <v>245</v>
      </c>
    </row>
    <row r="278" spans="1:29" x14ac:dyDescent="0.2">
      <c r="A278" t="str">
        <f t="shared" si="37"/>
        <v>TRIP-TR-277</v>
      </c>
      <c r="B278" s="3">
        <v>45870</v>
      </c>
      <c r="C278" t="str">
        <f>IF(X278="CUSTOMER DELIVERY",_xlfn.XLOOKUP(D278,'[1]Jan Customer Duplicate Hyva'!$B:$B,'[1]Jan Customer Duplicate Hyva'!$A:$A,"NOT FOUND"),"")</f>
        <v>CUST-346</v>
      </c>
      <c r="D278" s="4" t="s">
        <v>189</v>
      </c>
      <c r="E278" s="2"/>
      <c r="F278" s="2"/>
      <c r="G278" s="2"/>
      <c r="H278" s="2"/>
      <c r="I278" s="2"/>
      <c r="J278" s="2"/>
      <c r="K278" s="2"/>
      <c r="L278" s="4" t="s">
        <v>38</v>
      </c>
      <c r="M278" s="5">
        <v>1</v>
      </c>
      <c r="N278" s="6">
        <v>4000</v>
      </c>
      <c r="O278" s="6">
        <f t="shared" si="38"/>
        <v>4000</v>
      </c>
      <c r="P278" s="6">
        <v>4000</v>
      </c>
      <c r="Q278" s="6">
        <f t="shared" si="39"/>
        <v>0</v>
      </c>
      <c r="R278" s="2" t="str">
        <f t="shared" si="44"/>
        <v>PAID</v>
      </c>
      <c r="S278" s="2"/>
      <c r="T278" s="2">
        <f t="shared" si="40"/>
        <v>4000</v>
      </c>
      <c r="U278" s="2" t="str">
        <f t="shared" si="41"/>
        <v>OK</v>
      </c>
      <c r="V278" s="7">
        <f t="shared" si="42"/>
        <v>0</v>
      </c>
      <c r="W278" s="2" t="str">
        <f t="shared" si="43"/>
        <v>OK</v>
      </c>
      <c r="X278" s="2" t="s">
        <v>26</v>
      </c>
      <c r="Y278" s="2" t="s">
        <v>27</v>
      </c>
      <c r="Z278" s="2" t="s">
        <v>28</v>
      </c>
      <c r="AA278" t="s">
        <v>245</v>
      </c>
      <c r="AB278" t="s">
        <v>245</v>
      </c>
      <c r="AC278" t="s">
        <v>245</v>
      </c>
    </row>
    <row r="279" spans="1:29" x14ac:dyDescent="0.2">
      <c r="A279" t="str">
        <f t="shared" si="37"/>
        <v>TRIP-TR-278</v>
      </c>
      <c r="B279" s="3">
        <v>45870</v>
      </c>
      <c r="C279" t="str">
        <f>IF(X279="CUSTOMER DELIVERY",_xlfn.XLOOKUP(D279,'[1]Jan Customer Duplicate Hyva'!$B:$B,'[1]Jan Customer Duplicate Hyva'!$A:$A,"NOT FOUND"),"")</f>
        <v>CUST-346</v>
      </c>
      <c r="D279" s="4" t="s">
        <v>189</v>
      </c>
      <c r="E279" s="2"/>
      <c r="F279" s="2"/>
      <c r="G279" s="2"/>
      <c r="H279" s="2"/>
      <c r="I279" s="2"/>
      <c r="J279" s="2"/>
      <c r="K279" s="2"/>
      <c r="L279" s="8" t="s">
        <v>38</v>
      </c>
      <c r="M279" s="9">
        <v>1</v>
      </c>
      <c r="N279" s="6">
        <v>4000</v>
      </c>
      <c r="O279" s="6">
        <f t="shared" si="38"/>
        <v>4000</v>
      </c>
      <c r="P279" s="6">
        <v>4000</v>
      </c>
      <c r="Q279" s="6">
        <f t="shared" si="39"/>
        <v>0</v>
      </c>
      <c r="R279" s="2" t="str">
        <f t="shared" si="44"/>
        <v>PAID</v>
      </c>
      <c r="S279" s="2"/>
      <c r="T279" s="2">
        <f t="shared" si="40"/>
        <v>4000</v>
      </c>
      <c r="U279" s="2" t="str">
        <f t="shared" si="41"/>
        <v>OK</v>
      </c>
      <c r="V279" s="7">
        <f t="shared" si="42"/>
        <v>0</v>
      </c>
      <c r="W279" s="2" t="str">
        <f t="shared" si="43"/>
        <v>OK</v>
      </c>
      <c r="X279" s="2" t="s">
        <v>26</v>
      </c>
      <c r="Y279" s="2" t="s">
        <v>27</v>
      </c>
      <c r="Z279" s="2" t="s">
        <v>28</v>
      </c>
      <c r="AA279" t="s">
        <v>245</v>
      </c>
      <c r="AB279" t="s">
        <v>245</v>
      </c>
      <c r="AC279" t="s">
        <v>245</v>
      </c>
    </row>
    <row r="280" spans="1:29" x14ac:dyDescent="0.2">
      <c r="A280" t="str">
        <f t="shared" si="37"/>
        <v>TRIP-TR-279</v>
      </c>
      <c r="B280" s="3">
        <v>45871</v>
      </c>
      <c r="C280" t="str">
        <f>IF(X280="CUSTOMER DELIVERY",_xlfn.XLOOKUP(D280,'[1]Jan Customer Duplicate Hyva'!$B:$B,'[1]Jan Customer Duplicate Hyva'!$A:$A,"NOT FOUND"),"")</f>
        <v>CUST-346</v>
      </c>
      <c r="D280" s="4" t="s">
        <v>189</v>
      </c>
      <c r="E280" s="2"/>
      <c r="F280" s="2"/>
      <c r="G280" s="2"/>
      <c r="H280" s="2"/>
      <c r="I280" s="2"/>
      <c r="J280" s="2"/>
      <c r="K280" s="2"/>
      <c r="L280" s="4" t="s">
        <v>38</v>
      </c>
      <c r="M280" s="5">
        <v>1</v>
      </c>
      <c r="N280" s="6">
        <v>4000</v>
      </c>
      <c r="O280" s="6">
        <f t="shared" si="38"/>
        <v>4000</v>
      </c>
      <c r="P280" s="6">
        <v>4000</v>
      </c>
      <c r="Q280" s="6">
        <f t="shared" si="39"/>
        <v>0</v>
      </c>
      <c r="R280" s="2" t="str">
        <f t="shared" si="44"/>
        <v>PAID</v>
      </c>
      <c r="S280" s="2"/>
      <c r="T280" s="2">
        <f t="shared" si="40"/>
        <v>4000</v>
      </c>
      <c r="U280" s="2" t="str">
        <f t="shared" si="41"/>
        <v>OK</v>
      </c>
      <c r="V280" s="7">
        <f t="shared" si="42"/>
        <v>0</v>
      </c>
      <c r="W280" s="2" t="str">
        <f t="shared" si="43"/>
        <v>OK</v>
      </c>
      <c r="X280" s="2" t="s">
        <v>26</v>
      </c>
      <c r="Y280" s="2" t="s">
        <v>27</v>
      </c>
      <c r="Z280" s="2" t="s">
        <v>28</v>
      </c>
      <c r="AA280" t="s">
        <v>245</v>
      </c>
      <c r="AB280" t="s">
        <v>245</v>
      </c>
      <c r="AC280" t="s">
        <v>245</v>
      </c>
    </row>
    <row r="281" spans="1:29" x14ac:dyDescent="0.2">
      <c r="A281" t="str">
        <f t="shared" si="37"/>
        <v>TRIP-TR-280</v>
      </c>
      <c r="B281" s="3">
        <v>45871</v>
      </c>
      <c r="C281" t="str">
        <f>IF(X281="CUSTOMER DELIVERY",_xlfn.XLOOKUP(D281,'[1]Jan Customer Duplicate Hyva'!$B:$B,'[1]Jan Customer Duplicate Hyva'!$A:$A,"NOT FOUND"),"")</f>
        <v>CUST-372</v>
      </c>
      <c r="D281" s="8" t="s">
        <v>174</v>
      </c>
      <c r="E281" s="2"/>
      <c r="F281" s="2"/>
      <c r="G281" s="2"/>
      <c r="H281" s="2"/>
      <c r="I281" s="2"/>
      <c r="J281" s="2"/>
      <c r="K281" s="2"/>
      <c r="L281" s="8" t="s">
        <v>38</v>
      </c>
      <c r="M281" s="9">
        <v>1</v>
      </c>
      <c r="N281" s="6">
        <v>4000</v>
      </c>
      <c r="O281" s="6">
        <f t="shared" si="38"/>
        <v>4000</v>
      </c>
      <c r="P281" s="6">
        <v>4000</v>
      </c>
      <c r="Q281" s="6">
        <f t="shared" si="39"/>
        <v>0</v>
      </c>
      <c r="R281" s="2" t="str">
        <f t="shared" si="44"/>
        <v>PAID</v>
      </c>
      <c r="S281" s="2"/>
      <c r="T281" s="2">
        <f t="shared" si="40"/>
        <v>4000</v>
      </c>
      <c r="U281" s="2" t="str">
        <f t="shared" si="41"/>
        <v>OK</v>
      </c>
      <c r="V281" s="7">
        <f t="shared" si="42"/>
        <v>0</v>
      </c>
      <c r="W281" s="2" t="str">
        <f t="shared" si="43"/>
        <v>OK</v>
      </c>
      <c r="X281" s="2" t="s">
        <v>26</v>
      </c>
      <c r="Y281" s="2" t="s">
        <v>27</v>
      </c>
      <c r="Z281" s="2" t="s">
        <v>28</v>
      </c>
      <c r="AA281" t="s">
        <v>245</v>
      </c>
      <c r="AB281" t="s">
        <v>245</v>
      </c>
      <c r="AC281" t="s">
        <v>245</v>
      </c>
    </row>
    <row r="282" spans="1:29" x14ac:dyDescent="0.2">
      <c r="A282" t="str">
        <f t="shared" si="37"/>
        <v>TRIP-TR-281</v>
      </c>
      <c r="B282" s="3">
        <v>45872</v>
      </c>
      <c r="C282" t="str">
        <f>IF(X282="CUSTOMER DELIVERY",_xlfn.XLOOKUP(D282,'[1]Jan Customer Duplicate Hyva'!$B:$B,'[1]Jan Customer Duplicate Hyva'!$A:$A,"NOT FOUND"),"")</f>
        <v>CUST-378</v>
      </c>
      <c r="D282" s="8" t="s">
        <v>252</v>
      </c>
      <c r="E282" s="2"/>
      <c r="F282" s="2"/>
      <c r="G282" s="2"/>
      <c r="H282" s="2"/>
      <c r="I282" s="2"/>
      <c r="J282" s="2"/>
      <c r="K282" s="2"/>
      <c r="L282" s="8" t="s">
        <v>194</v>
      </c>
      <c r="M282" s="9">
        <v>1</v>
      </c>
      <c r="N282" s="6">
        <v>4000</v>
      </c>
      <c r="O282" s="6">
        <f t="shared" si="38"/>
        <v>4000</v>
      </c>
      <c r="P282" s="6">
        <v>4000</v>
      </c>
      <c r="Q282" s="6">
        <f t="shared" si="39"/>
        <v>0</v>
      </c>
      <c r="R282" s="2" t="str">
        <f t="shared" si="44"/>
        <v>PAID</v>
      </c>
      <c r="S282" s="2"/>
      <c r="T282" s="2">
        <f t="shared" si="40"/>
        <v>4000</v>
      </c>
      <c r="U282" s="2" t="str">
        <f t="shared" si="41"/>
        <v>OK</v>
      </c>
      <c r="V282" s="7">
        <f t="shared" si="42"/>
        <v>0</v>
      </c>
      <c r="W282" s="2" t="str">
        <f t="shared" si="43"/>
        <v>OK</v>
      </c>
      <c r="X282" s="2" t="s">
        <v>26</v>
      </c>
      <c r="Y282" s="2" t="s">
        <v>27</v>
      </c>
      <c r="Z282" s="2" t="s">
        <v>28</v>
      </c>
      <c r="AA282" t="s">
        <v>245</v>
      </c>
      <c r="AB282" t="s">
        <v>245</v>
      </c>
      <c r="AC282" t="s">
        <v>245</v>
      </c>
    </row>
    <row r="283" spans="1:29" x14ac:dyDescent="0.2">
      <c r="A283" t="str">
        <f t="shared" si="37"/>
        <v>TRIP-TR-282</v>
      </c>
      <c r="B283" s="3">
        <v>45872</v>
      </c>
      <c r="C283" t="str">
        <f>IF(X283="CUSTOMER DELIVERY",_xlfn.XLOOKUP(D283,'[1]Jan Customer Duplicate Hyva'!$B:$B,'[1]Jan Customer Duplicate Hyva'!$A:$A,"NOT FOUND"),"")</f>
        <v/>
      </c>
      <c r="D283" s="20" t="s">
        <v>215</v>
      </c>
      <c r="E283" s="2"/>
      <c r="F283" s="2"/>
      <c r="G283" s="2"/>
      <c r="H283" s="2"/>
      <c r="I283" s="2"/>
      <c r="J283" s="2"/>
      <c r="K283" s="2"/>
      <c r="L283" s="10" t="s">
        <v>195</v>
      </c>
      <c r="M283" s="11">
        <v>10</v>
      </c>
      <c r="N283" s="2"/>
      <c r="O283" s="2"/>
      <c r="P283" s="2"/>
      <c r="Q283" s="2"/>
      <c r="R283" s="2" t="str">
        <f t="shared" si="44"/>
        <v>PAID</v>
      </c>
      <c r="S283" s="2"/>
      <c r="T283" s="2">
        <f t="shared" si="40"/>
        <v>0</v>
      </c>
      <c r="U283" s="2" t="str">
        <f t="shared" si="41"/>
        <v>OK</v>
      </c>
      <c r="V283" s="7">
        <f t="shared" si="42"/>
        <v>0</v>
      </c>
      <c r="W283" s="2" t="str">
        <f t="shared" si="43"/>
        <v>OK</v>
      </c>
      <c r="X283" s="2" t="s">
        <v>196</v>
      </c>
      <c r="Y283" s="2" t="s">
        <v>27</v>
      </c>
      <c r="Z283" s="2" t="s">
        <v>28</v>
      </c>
      <c r="AA283" t="s">
        <v>245</v>
      </c>
      <c r="AB283" t="s">
        <v>245</v>
      </c>
      <c r="AC283" t="s">
        <v>245</v>
      </c>
    </row>
    <row r="284" spans="1:29" x14ac:dyDescent="0.2">
      <c r="A284" t="str">
        <f t="shared" si="37"/>
        <v>TRIP-TR-283</v>
      </c>
      <c r="B284" s="3">
        <v>45873</v>
      </c>
      <c r="C284" t="str">
        <f>IF(X284="CUSTOMER DELIVERY",_xlfn.XLOOKUP(D284,'[1]Jan Customer Duplicate Hyva'!$B:$B,'[1]Jan Customer Duplicate Hyva'!$A:$A,"NOT FOUND"),"")</f>
        <v/>
      </c>
      <c r="D284" s="20" t="s">
        <v>215</v>
      </c>
      <c r="E284" s="2"/>
      <c r="F284" s="2"/>
      <c r="G284" s="2"/>
      <c r="H284" s="2"/>
      <c r="I284" s="2"/>
      <c r="J284" s="2"/>
      <c r="K284" s="2"/>
      <c r="L284" s="10" t="s">
        <v>195</v>
      </c>
      <c r="M284" s="11">
        <v>14</v>
      </c>
      <c r="N284" s="2"/>
      <c r="O284" s="2"/>
      <c r="P284" s="2"/>
      <c r="Q284" s="2"/>
      <c r="R284" s="2" t="str">
        <f t="shared" si="44"/>
        <v>PAID</v>
      </c>
      <c r="S284" s="2"/>
      <c r="T284" s="2">
        <f t="shared" si="40"/>
        <v>0</v>
      </c>
      <c r="U284" s="2" t="str">
        <f t="shared" si="41"/>
        <v>OK</v>
      </c>
      <c r="V284" s="7">
        <f t="shared" si="42"/>
        <v>0</v>
      </c>
      <c r="W284" s="2" t="str">
        <f t="shared" si="43"/>
        <v>OK</v>
      </c>
      <c r="X284" s="2" t="s">
        <v>196</v>
      </c>
      <c r="Y284" s="2" t="s">
        <v>27</v>
      </c>
      <c r="Z284" s="2" t="s">
        <v>28</v>
      </c>
      <c r="AA284" t="s">
        <v>245</v>
      </c>
      <c r="AB284" t="s">
        <v>245</v>
      </c>
      <c r="AC284" t="s">
        <v>245</v>
      </c>
    </row>
    <row r="285" spans="1:29" x14ac:dyDescent="0.2">
      <c r="A285" t="str">
        <f t="shared" si="37"/>
        <v>TRIP-TR-284</v>
      </c>
      <c r="B285" s="3">
        <v>45873</v>
      </c>
      <c r="C285" t="str">
        <f>IF(X285="CUSTOMER DELIVERY",_xlfn.XLOOKUP(D285,'[1]Jan Customer Duplicate Hyva'!$B:$B,'[1]Jan Customer Duplicate Hyva'!$A:$A,"NOT FOUND"),"")</f>
        <v/>
      </c>
      <c r="D285" s="20" t="s">
        <v>215</v>
      </c>
      <c r="E285" s="2"/>
      <c r="F285" s="2"/>
      <c r="G285" s="2"/>
      <c r="H285" s="2"/>
      <c r="I285" s="2"/>
      <c r="J285" s="2"/>
      <c r="K285" s="2"/>
      <c r="L285" s="10" t="s">
        <v>195</v>
      </c>
      <c r="M285" s="9">
        <v>12</v>
      </c>
      <c r="N285" s="2"/>
      <c r="O285" s="2"/>
      <c r="P285" s="2"/>
      <c r="Q285" s="2"/>
      <c r="R285" s="2" t="str">
        <f t="shared" si="44"/>
        <v>PAID</v>
      </c>
      <c r="S285" s="2"/>
      <c r="T285" s="2">
        <f t="shared" si="40"/>
        <v>0</v>
      </c>
      <c r="U285" s="2" t="str">
        <f t="shared" si="41"/>
        <v>OK</v>
      </c>
      <c r="V285" s="7">
        <f t="shared" si="42"/>
        <v>0</v>
      </c>
      <c r="W285" s="2" t="str">
        <f t="shared" si="43"/>
        <v>OK</v>
      </c>
      <c r="X285" s="2" t="s">
        <v>196</v>
      </c>
      <c r="Y285" s="2" t="s">
        <v>27</v>
      </c>
      <c r="Z285" s="2" t="s">
        <v>28</v>
      </c>
      <c r="AA285" t="s">
        <v>245</v>
      </c>
      <c r="AB285" t="s">
        <v>245</v>
      </c>
      <c r="AC285" t="s">
        <v>245</v>
      </c>
    </row>
    <row r="286" spans="1:29" x14ac:dyDescent="0.2">
      <c r="A286" t="str">
        <f t="shared" si="37"/>
        <v>TRIP-TR-285</v>
      </c>
      <c r="B286" s="3">
        <v>45874</v>
      </c>
      <c r="C286" t="str">
        <f>IF(X286="CUSTOMER DELIVERY",_xlfn.XLOOKUP(D286,'[1]Jan Customer Duplicate Hyva'!$B:$B,'[1]Jan Customer Duplicate Hyva'!$A:$A,"NOT FOUND"),"")</f>
        <v/>
      </c>
      <c r="D286" s="20" t="s">
        <v>215</v>
      </c>
      <c r="E286" s="2"/>
      <c r="F286" s="2"/>
      <c r="G286" s="2"/>
      <c r="H286" s="2"/>
      <c r="I286" s="2"/>
      <c r="J286" s="2"/>
      <c r="K286" s="2"/>
      <c r="L286" s="10" t="s">
        <v>195</v>
      </c>
      <c r="M286" s="11">
        <v>6</v>
      </c>
      <c r="N286" s="2"/>
      <c r="O286" s="2"/>
      <c r="P286" s="2"/>
      <c r="Q286" s="2"/>
      <c r="R286" s="2" t="str">
        <f t="shared" si="44"/>
        <v>PAID</v>
      </c>
      <c r="S286" s="2"/>
      <c r="T286" s="2">
        <f t="shared" si="40"/>
        <v>0</v>
      </c>
      <c r="U286" s="2" t="str">
        <f t="shared" si="41"/>
        <v>OK</v>
      </c>
      <c r="V286" s="7">
        <f t="shared" si="42"/>
        <v>0</v>
      </c>
      <c r="W286" s="2" t="str">
        <f t="shared" si="43"/>
        <v>OK</v>
      </c>
      <c r="X286" s="2" t="s">
        <v>196</v>
      </c>
      <c r="Y286" s="2" t="s">
        <v>27</v>
      </c>
      <c r="Z286" s="2" t="s">
        <v>28</v>
      </c>
      <c r="AA286" t="s">
        <v>245</v>
      </c>
      <c r="AB286" t="s">
        <v>245</v>
      </c>
      <c r="AC286" t="s">
        <v>245</v>
      </c>
    </row>
    <row r="287" spans="1:29" x14ac:dyDescent="0.2">
      <c r="A287" t="str">
        <f t="shared" si="37"/>
        <v>TRIP-TR-286</v>
      </c>
      <c r="B287" s="3">
        <v>45874</v>
      </c>
      <c r="C287" t="str">
        <f>IF(X287="CUSTOMER DELIVERY",_xlfn.XLOOKUP(D287,'[1]Jan Customer Duplicate Hyva'!$B:$B,'[1]Jan Customer Duplicate Hyva'!$A:$A,"NOT FOUND"),"")</f>
        <v/>
      </c>
      <c r="D287" s="20" t="s">
        <v>215</v>
      </c>
      <c r="E287" s="2"/>
      <c r="F287" s="2"/>
      <c r="G287" s="2"/>
      <c r="H287" s="2"/>
      <c r="I287" s="2"/>
      <c r="J287" s="2"/>
      <c r="K287" s="2"/>
      <c r="L287" s="10" t="s">
        <v>195</v>
      </c>
      <c r="M287" s="9">
        <v>9</v>
      </c>
      <c r="N287" s="2"/>
      <c r="O287" s="2"/>
      <c r="P287" s="2"/>
      <c r="Q287" s="2"/>
      <c r="R287" s="2" t="str">
        <f t="shared" si="44"/>
        <v>PAID</v>
      </c>
      <c r="S287" s="2"/>
      <c r="T287" s="2">
        <f t="shared" si="40"/>
        <v>0</v>
      </c>
      <c r="U287" s="2" t="str">
        <f t="shared" si="41"/>
        <v>OK</v>
      </c>
      <c r="V287" s="7">
        <f t="shared" si="42"/>
        <v>0</v>
      </c>
      <c r="W287" s="2" t="str">
        <f t="shared" si="43"/>
        <v>OK</v>
      </c>
      <c r="X287" s="2" t="s">
        <v>196</v>
      </c>
      <c r="Y287" s="2" t="s">
        <v>27</v>
      </c>
      <c r="Z287" s="2" t="s">
        <v>28</v>
      </c>
      <c r="AA287" t="s">
        <v>245</v>
      </c>
      <c r="AB287" t="s">
        <v>245</v>
      </c>
      <c r="AC287" t="s">
        <v>245</v>
      </c>
    </row>
    <row r="288" spans="1:29" x14ac:dyDescent="0.2">
      <c r="A288" t="str">
        <f t="shared" si="37"/>
        <v>TRIP-TR-287</v>
      </c>
      <c r="B288" s="3">
        <v>45875</v>
      </c>
      <c r="C288" t="str">
        <f>IF(X288="CUSTOMER DELIVERY",_xlfn.XLOOKUP(D288,'[1]Jan Customer Duplicate Hyva'!$B:$B,'[1]Jan Customer Duplicate Hyva'!$A:$A,"NOT FOUND"),"")</f>
        <v/>
      </c>
      <c r="D288" s="20" t="s">
        <v>215</v>
      </c>
      <c r="E288" s="2"/>
      <c r="F288" s="2"/>
      <c r="G288" s="2"/>
      <c r="H288" s="2"/>
      <c r="I288" s="2"/>
      <c r="J288" s="2"/>
      <c r="K288" s="2"/>
      <c r="L288" s="10" t="s">
        <v>195</v>
      </c>
      <c r="M288" s="11">
        <v>8</v>
      </c>
      <c r="N288" s="2"/>
      <c r="O288" s="2"/>
      <c r="P288" s="2"/>
      <c r="Q288" s="2"/>
      <c r="R288" s="2" t="str">
        <f t="shared" si="44"/>
        <v>PAID</v>
      </c>
      <c r="S288" s="2"/>
      <c r="T288" s="2">
        <f t="shared" si="40"/>
        <v>0</v>
      </c>
      <c r="U288" s="2" t="str">
        <f t="shared" si="41"/>
        <v>OK</v>
      </c>
      <c r="V288" s="7">
        <f t="shared" si="42"/>
        <v>0</v>
      </c>
      <c r="W288" s="2" t="str">
        <f t="shared" si="43"/>
        <v>OK</v>
      </c>
      <c r="X288" s="2" t="s">
        <v>196</v>
      </c>
      <c r="Y288" s="2" t="s">
        <v>27</v>
      </c>
      <c r="Z288" s="2" t="s">
        <v>28</v>
      </c>
      <c r="AA288" t="s">
        <v>245</v>
      </c>
      <c r="AB288" t="s">
        <v>245</v>
      </c>
      <c r="AC288" t="s">
        <v>245</v>
      </c>
    </row>
    <row r="289" spans="1:29" x14ac:dyDescent="0.2">
      <c r="A289" t="str">
        <f t="shared" si="37"/>
        <v>TRIP-TR-288</v>
      </c>
      <c r="B289" s="3">
        <v>45875</v>
      </c>
      <c r="D289" s="20" t="s">
        <v>215</v>
      </c>
      <c r="E289" s="2"/>
      <c r="F289" s="2"/>
      <c r="G289" s="2"/>
      <c r="H289" s="2"/>
      <c r="I289" s="2"/>
      <c r="J289" s="2"/>
      <c r="K289" s="2"/>
      <c r="L289" s="10" t="s">
        <v>195</v>
      </c>
      <c r="M289" s="11">
        <v>2</v>
      </c>
      <c r="N289" s="2"/>
      <c r="O289" s="2"/>
      <c r="P289" s="2"/>
      <c r="Q289" s="2"/>
      <c r="R289" s="2" t="str">
        <f t="shared" si="44"/>
        <v>PAID</v>
      </c>
      <c r="S289" s="2"/>
      <c r="T289" s="2">
        <f t="shared" si="40"/>
        <v>0</v>
      </c>
      <c r="U289" s="2" t="str">
        <f t="shared" si="41"/>
        <v>OK</v>
      </c>
      <c r="V289" s="7">
        <f t="shared" si="42"/>
        <v>0</v>
      </c>
      <c r="W289" s="2" t="str">
        <f t="shared" si="43"/>
        <v>OK</v>
      </c>
      <c r="X289" s="2" t="s">
        <v>196</v>
      </c>
      <c r="Y289" s="2" t="s">
        <v>27</v>
      </c>
      <c r="Z289" s="2" t="s">
        <v>28</v>
      </c>
      <c r="AA289" t="s">
        <v>245</v>
      </c>
      <c r="AB289" t="s">
        <v>245</v>
      </c>
      <c r="AC289" t="s">
        <v>245</v>
      </c>
    </row>
    <row r="290" spans="1:29" x14ac:dyDescent="0.2">
      <c r="A290" t="str">
        <f t="shared" si="37"/>
        <v>TRIP-TR-289</v>
      </c>
      <c r="B290" s="3">
        <v>45875</v>
      </c>
      <c r="C290" t="str">
        <f>IF(X290="CUSTOMER DELIVERY",_xlfn.XLOOKUP(D290,'[1]Jan Customer Duplicate Hyva'!$B:$B,'[1]Jan Customer Duplicate Hyva'!$A:$A,"NOT FOUND"),"")</f>
        <v/>
      </c>
      <c r="D290" s="20" t="s">
        <v>215</v>
      </c>
      <c r="E290" s="2"/>
      <c r="F290" s="2"/>
      <c r="G290" s="2"/>
      <c r="H290" s="2"/>
      <c r="I290" s="2"/>
      <c r="J290" s="2"/>
      <c r="K290" s="2"/>
      <c r="L290" s="10" t="s">
        <v>195</v>
      </c>
      <c r="M290" s="9">
        <v>18</v>
      </c>
      <c r="N290" s="2"/>
      <c r="O290" s="2"/>
      <c r="P290" s="2"/>
      <c r="Q290" s="2"/>
      <c r="R290" s="2" t="str">
        <f t="shared" si="44"/>
        <v>PAID</v>
      </c>
      <c r="S290" s="2"/>
      <c r="T290" s="2">
        <f t="shared" si="40"/>
        <v>0</v>
      </c>
      <c r="U290" s="2" t="str">
        <f t="shared" si="41"/>
        <v>OK</v>
      </c>
      <c r="V290" s="7">
        <f t="shared" si="42"/>
        <v>0</v>
      </c>
      <c r="W290" s="2" t="str">
        <f t="shared" si="43"/>
        <v>OK</v>
      </c>
      <c r="X290" s="2" t="s">
        <v>196</v>
      </c>
      <c r="Y290" s="2" t="s">
        <v>27</v>
      </c>
      <c r="Z290" s="2" t="s">
        <v>28</v>
      </c>
      <c r="AA290" t="s">
        <v>245</v>
      </c>
      <c r="AB290" t="s">
        <v>245</v>
      </c>
      <c r="AC290" t="s">
        <v>245</v>
      </c>
    </row>
    <row r="291" spans="1:29" x14ac:dyDescent="0.2">
      <c r="A291" t="str">
        <f t="shared" si="37"/>
        <v>TRIP-TR-290</v>
      </c>
      <c r="B291" s="3">
        <v>45875</v>
      </c>
      <c r="C291" t="str">
        <f>IF(X291="CUSTOMER DELIVERY",_xlfn.XLOOKUP(D291,'[1]Jan Customer Duplicate Hyva'!$B:$B,'[1]Jan Customer Duplicate Hyva'!$A:$A,"NOT FOUND"),"")</f>
        <v/>
      </c>
      <c r="D291" s="20" t="s">
        <v>215</v>
      </c>
      <c r="E291" s="2"/>
      <c r="F291" s="2"/>
      <c r="G291" s="2"/>
      <c r="H291" s="2"/>
      <c r="I291" s="2"/>
      <c r="J291" s="2"/>
      <c r="K291" s="2"/>
      <c r="L291" s="10" t="s">
        <v>195</v>
      </c>
      <c r="M291" s="9">
        <v>12</v>
      </c>
      <c r="N291" s="2"/>
      <c r="O291" s="2"/>
      <c r="P291" s="2"/>
      <c r="Q291" s="2"/>
      <c r="R291" s="2" t="str">
        <f t="shared" si="44"/>
        <v>PAID</v>
      </c>
      <c r="S291" s="2"/>
      <c r="T291" s="2">
        <f t="shared" si="40"/>
        <v>0</v>
      </c>
      <c r="U291" s="2" t="str">
        <f t="shared" si="41"/>
        <v>OK</v>
      </c>
      <c r="V291" s="7">
        <f t="shared" si="42"/>
        <v>0</v>
      </c>
      <c r="W291" s="2" t="str">
        <f t="shared" si="43"/>
        <v>OK</v>
      </c>
      <c r="X291" s="2" t="s">
        <v>196</v>
      </c>
      <c r="Y291" s="2" t="s">
        <v>27</v>
      </c>
      <c r="Z291" s="2" t="s">
        <v>28</v>
      </c>
      <c r="AA291" t="s">
        <v>245</v>
      </c>
      <c r="AB291" t="s">
        <v>245</v>
      </c>
      <c r="AC291" t="s">
        <v>245</v>
      </c>
    </row>
    <row r="292" spans="1:29" x14ac:dyDescent="0.2">
      <c r="A292" t="str">
        <f t="shared" si="37"/>
        <v>TRIP-TR-291</v>
      </c>
      <c r="B292" s="3">
        <v>45876</v>
      </c>
      <c r="C292" t="str">
        <f>IF(X292="CUSTOMER DELIVERY",_xlfn.XLOOKUP(D292,'[1]Jan Customer Duplicate Hyva'!$B:$B,'[1]Jan Customer Duplicate Hyva'!$A:$A,"NOT FOUND"),"")</f>
        <v/>
      </c>
      <c r="D292" s="20" t="s">
        <v>215</v>
      </c>
      <c r="E292" s="2"/>
      <c r="F292" s="2"/>
      <c r="G292" s="2"/>
      <c r="H292" s="2"/>
      <c r="I292" s="2"/>
      <c r="J292" s="2"/>
      <c r="K292" s="2"/>
      <c r="L292" s="10" t="s">
        <v>195</v>
      </c>
      <c r="M292" s="9">
        <v>17</v>
      </c>
      <c r="N292" s="2"/>
      <c r="O292" s="2"/>
      <c r="P292" s="2"/>
      <c r="Q292" s="2"/>
      <c r="R292" s="2" t="str">
        <f t="shared" si="44"/>
        <v>PAID</v>
      </c>
      <c r="S292" s="2"/>
      <c r="T292" s="2">
        <f t="shared" si="40"/>
        <v>0</v>
      </c>
      <c r="U292" s="2" t="str">
        <f t="shared" si="41"/>
        <v>OK</v>
      </c>
      <c r="V292" s="7">
        <f t="shared" si="42"/>
        <v>0</v>
      </c>
      <c r="W292" s="2" t="str">
        <f t="shared" si="43"/>
        <v>OK</v>
      </c>
      <c r="X292" s="2" t="s">
        <v>196</v>
      </c>
      <c r="Y292" s="2" t="s">
        <v>27</v>
      </c>
      <c r="Z292" s="2" t="s">
        <v>28</v>
      </c>
      <c r="AA292" t="s">
        <v>245</v>
      </c>
      <c r="AB292" t="s">
        <v>245</v>
      </c>
      <c r="AC292" t="s">
        <v>245</v>
      </c>
    </row>
    <row r="293" spans="1:29" x14ac:dyDescent="0.2">
      <c r="A293" t="str">
        <f t="shared" si="37"/>
        <v>TRIP-TR-292</v>
      </c>
      <c r="B293" s="3">
        <v>45876</v>
      </c>
      <c r="C293" t="str">
        <f>IF(X293="CUSTOMER DELIVERY",_xlfn.XLOOKUP(D293,'[1]Jan Customer Duplicate Hyva'!$B:$B,'[1]Jan Customer Duplicate Hyva'!$A:$A,"NOT FOUND"),"")</f>
        <v/>
      </c>
      <c r="D293" s="20" t="s">
        <v>215</v>
      </c>
      <c r="E293" s="2"/>
      <c r="F293" s="2"/>
      <c r="G293" s="2"/>
      <c r="H293" s="2"/>
      <c r="I293" s="2"/>
      <c r="J293" s="2"/>
      <c r="K293" s="2"/>
      <c r="L293" s="10" t="s">
        <v>195</v>
      </c>
      <c r="M293" s="9">
        <v>16</v>
      </c>
      <c r="N293" s="2"/>
      <c r="O293" s="2"/>
      <c r="P293" s="2"/>
      <c r="Q293" s="2"/>
      <c r="R293" s="2" t="str">
        <f t="shared" si="44"/>
        <v>PAID</v>
      </c>
      <c r="S293" s="2"/>
      <c r="T293" s="2">
        <f t="shared" si="40"/>
        <v>0</v>
      </c>
      <c r="U293" s="2" t="str">
        <f t="shared" si="41"/>
        <v>OK</v>
      </c>
      <c r="V293" s="7">
        <f t="shared" si="42"/>
        <v>0</v>
      </c>
      <c r="W293" s="2" t="str">
        <f t="shared" si="43"/>
        <v>OK</v>
      </c>
      <c r="X293" s="2" t="s">
        <v>196</v>
      </c>
      <c r="Y293" s="2" t="s">
        <v>27</v>
      </c>
      <c r="Z293" s="2" t="s">
        <v>28</v>
      </c>
      <c r="AA293" t="s">
        <v>245</v>
      </c>
      <c r="AB293" t="s">
        <v>245</v>
      </c>
      <c r="AC293" t="s">
        <v>245</v>
      </c>
    </row>
    <row r="294" spans="1:29" x14ac:dyDescent="0.2">
      <c r="A294" t="str">
        <f t="shared" si="37"/>
        <v>TRIP-TR-293</v>
      </c>
      <c r="B294" s="3">
        <v>45876</v>
      </c>
      <c r="C294" t="str">
        <f>IF(X294="CUSTOMER DELIVERY",_xlfn.XLOOKUP(D294,'[1]Jan Customer Duplicate Hyva'!$B:$B,'[1]Jan Customer Duplicate Hyva'!$A:$A,"NOT FOUND"),"")</f>
        <v/>
      </c>
      <c r="D294" s="20" t="s">
        <v>215</v>
      </c>
      <c r="E294" s="2"/>
      <c r="F294" s="2"/>
      <c r="G294" s="2"/>
      <c r="H294" s="2"/>
      <c r="I294" s="2"/>
      <c r="J294" s="2"/>
      <c r="K294" s="2"/>
      <c r="L294" s="10" t="s">
        <v>195</v>
      </c>
      <c r="M294" s="9">
        <v>16</v>
      </c>
      <c r="N294" s="2"/>
      <c r="O294" s="2"/>
      <c r="P294" s="2"/>
      <c r="Q294" s="2"/>
      <c r="R294" s="2" t="str">
        <f t="shared" si="44"/>
        <v>PAID</v>
      </c>
      <c r="S294" s="2"/>
      <c r="T294" s="2">
        <f t="shared" si="40"/>
        <v>0</v>
      </c>
      <c r="U294" s="2" t="str">
        <f t="shared" si="41"/>
        <v>OK</v>
      </c>
      <c r="V294" s="7">
        <f t="shared" si="42"/>
        <v>0</v>
      </c>
      <c r="W294" s="2" t="str">
        <f t="shared" si="43"/>
        <v>OK</v>
      </c>
      <c r="X294" s="2" t="s">
        <v>196</v>
      </c>
      <c r="Y294" s="2" t="s">
        <v>27</v>
      </c>
      <c r="Z294" s="2" t="s">
        <v>28</v>
      </c>
      <c r="AA294" t="s">
        <v>245</v>
      </c>
      <c r="AB294" t="s">
        <v>245</v>
      </c>
      <c r="AC294" t="s">
        <v>245</v>
      </c>
    </row>
    <row r="295" spans="1:29" x14ac:dyDescent="0.2">
      <c r="A295" t="str">
        <f t="shared" si="37"/>
        <v>TRIP-TR-294</v>
      </c>
      <c r="B295" s="3">
        <v>45877</v>
      </c>
      <c r="C295" t="str">
        <f>IF(X295="CUSTOMER DELIVERY",_xlfn.XLOOKUP(D295,'[1]Jan Customer Duplicate Hyva'!$B:$B,'[1]Jan Customer Duplicate Hyva'!$A:$A,"NOT FOUND"),"")</f>
        <v/>
      </c>
      <c r="D295" s="20" t="s">
        <v>215</v>
      </c>
      <c r="E295" s="2"/>
      <c r="F295" s="2"/>
      <c r="G295" s="2"/>
      <c r="H295" s="2"/>
      <c r="I295" s="2"/>
      <c r="J295" s="2"/>
      <c r="K295" s="2"/>
      <c r="L295" s="10" t="s">
        <v>195</v>
      </c>
      <c r="M295" s="9">
        <v>1</v>
      </c>
      <c r="N295" s="2"/>
      <c r="O295" s="2"/>
      <c r="P295" s="2"/>
      <c r="Q295" s="2"/>
      <c r="R295" s="2" t="str">
        <f t="shared" si="44"/>
        <v>PAID</v>
      </c>
      <c r="S295" s="2"/>
      <c r="T295" s="2">
        <f t="shared" si="40"/>
        <v>0</v>
      </c>
      <c r="U295" s="2" t="str">
        <f t="shared" si="41"/>
        <v>OK</v>
      </c>
      <c r="V295" s="7">
        <f t="shared" si="42"/>
        <v>0</v>
      </c>
      <c r="W295" s="2" t="str">
        <f t="shared" si="43"/>
        <v>OK</v>
      </c>
      <c r="X295" s="2" t="s">
        <v>196</v>
      </c>
      <c r="Y295" s="2" t="s">
        <v>27</v>
      </c>
      <c r="Z295" s="2" t="s">
        <v>28</v>
      </c>
      <c r="AA295" t="s">
        <v>245</v>
      </c>
      <c r="AB295" t="s">
        <v>245</v>
      </c>
      <c r="AC295" t="s">
        <v>245</v>
      </c>
    </row>
    <row r="296" spans="1:29" x14ac:dyDescent="0.2">
      <c r="A296" t="str">
        <f t="shared" si="37"/>
        <v>TRIP-TR-295</v>
      </c>
      <c r="B296" s="3">
        <v>45879</v>
      </c>
      <c r="C296" t="str">
        <f>IF(X296="CUSTOMER DELIVERY",_xlfn.XLOOKUP(D296,'[1]Jan Customer Duplicate Hyva'!$B:$B,'[1]Jan Customer Duplicate Hyva'!$A:$A,"NOT FOUND"),"")</f>
        <v/>
      </c>
      <c r="D296" s="20" t="s">
        <v>215</v>
      </c>
      <c r="E296" s="2"/>
      <c r="F296" s="2"/>
      <c r="G296" s="2"/>
      <c r="H296" s="2"/>
      <c r="I296" s="2"/>
      <c r="J296" s="2"/>
      <c r="K296" s="2"/>
      <c r="L296" s="10" t="s">
        <v>195</v>
      </c>
      <c r="M296" s="9">
        <v>2</v>
      </c>
      <c r="N296" s="2"/>
      <c r="O296" s="2"/>
      <c r="P296" s="2"/>
      <c r="Q296" s="2"/>
      <c r="R296" s="2" t="str">
        <f t="shared" si="44"/>
        <v>PAID</v>
      </c>
      <c r="S296" s="2"/>
      <c r="T296" s="2">
        <f t="shared" si="40"/>
        <v>0</v>
      </c>
      <c r="U296" s="2" t="str">
        <f t="shared" si="41"/>
        <v>OK</v>
      </c>
      <c r="V296" s="7">
        <f t="shared" si="42"/>
        <v>0</v>
      </c>
      <c r="W296" s="2" t="str">
        <f t="shared" si="43"/>
        <v>OK</v>
      </c>
      <c r="X296" s="2" t="s">
        <v>196</v>
      </c>
      <c r="Y296" s="2" t="s">
        <v>27</v>
      </c>
      <c r="Z296" s="2" t="s">
        <v>28</v>
      </c>
      <c r="AA296" t="s">
        <v>245</v>
      </c>
      <c r="AB296" t="s">
        <v>245</v>
      </c>
      <c r="AC296" t="s">
        <v>245</v>
      </c>
    </row>
    <row r="297" spans="1:29" x14ac:dyDescent="0.2">
      <c r="A297" t="str">
        <f t="shared" si="37"/>
        <v>TRIP-TR-296</v>
      </c>
      <c r="B297" s="3">
        <v>45879</v>
      </c>
      <c r="C297" t="str">
        <f>IF(X297="CUSTOMER DELIVERY",_xlfn.XLOOKUP(D297,'[1]Jan Customer Duplicate Hyva'!$B:$B,'[1]Jan Customer Duplicate Hyva'!$A:$A,"NOT FOUND"),"")</f>
        <v/>
      </c>
      <c r="D297" s="20" t="s">
        <v>215</v>
      </c>
      <c r="E297" s="2"/>
      <c r="F297" s="2"/>
      <c r="G297" s="2"/>
      <c r="H297" s="2"/>
      <c r="I297" s="2"/>
      <c r="J297" s="2"/>
      <c r="K297" s="2"/>
      <c r="L297" s="10" t="s">
        <v>195</v>
      </c>
      <c r="M297" s="9">
        <v>7</v>
      </c>
      <c r="N297" s="2"/>
      <c r="O297" s="2"/>
      <c r="P297" s="2"/>
      <c r="Q297" s="2"/>
      <c r="R297" s="2" t="str">
        <f t="shared" si="44"/>
        <v>PAID</v>
      </c>
      <c r="S297" s="2"/>
      <c r="T297" s="2">
        <f t="shared" si="40"/>
        <v>0</v>
      </c>
      <c r="U297" s="2" t="str">
        <f t="shared" si="41"/>
        <v>OK</v>
      </c>
      <c r="V297" s="7">
        <f t="shared" si="42"/>
        <v>0</v>
      </c>
      <c r="W297" s="2" t="str">
        <f t="shared" si="43"/>
        <v>OK</v>
      </c>
      <c r="X297" s="2" t="s">
        <v>196</v>
      </c>
      <c r="Y297" s="2" t="s">
        <v>27</v>
      </c>
      <c r="Z297" s="2" t="s">
        <v>28</v>
      </c>
      <c r="AA297" t="s">
        <v>245</v>
      </c>
      <c r="AB297" t="s">
        <v>245</v>
      </c>
      <c r="AC297" t="s">
        <v>245</v>
      </c>
    </row>
    <row r="298" spans="1:29" x14ac:dyDescent="0.2">
      <c r="A298" t="str">
        <f t="shared" si="37"/>
        <v>TRIP-TR-297</v>
      </c>
      <c r="B298" s="3">
        <v>45879</v>
      </c>
      <c r="C298" t="str">
        <f>IF(X298="CUSTOMER DELIVERY",_xlfn.XLOOKUP(D298,'[1]Jan Customer Duplicate Hyva'!$B:$B,'[1]Jan Customer Duplicate Hyva'!$A:$A,"NOT FOUND"),"")</f>
        <v/>
      </c>
      <c r="D298" s="20" t="s">
        <v>215</v>
      </c>
      <c r="E298" s="2"/>
      <c r="F298" s="2"/>
      <c r="G298" s="2"/>
      <c r="H298" s="2"/>
      <c r="I298" s="2"/>
      <c r="J298" s="2"/>
      <c r="K298" s="2"/>
      <c r="L298" s="10" t="s">
        <v>195</v>
      </c>
      <c r="M298" s="9">
        <v>14</v>
      </c>
      <c r="N298" s="2"/>
      <c r="O298" s="2"/>
      <c r="P298" s="2"/>
      <c r="Q298" s="2"/>
      <c r="R298" s="2" t="str">
        <f t="shared" si="44"/>
        <v>PAID</v>
      </c>
      <c r="S298" s="2"/>
      <c r="T298" s="2">
        <f t="shared" si="40"/>
        <v>0</v>
      </c>
      <c r="U298" s="2" t="str">
        <f t="shared" si="41"/>
        <v>OK</v>
      </c>
      <c r="V298" s="7">
        <f t="shared" si="42"/>
        <v>0</v>
      </c>
      <c r="W298" s="2" t="str">
        <f t="shared" si="43"/>
        <v>OK</v>
      </c>
      <c r="X298" s="2" t="s">
        <v>196</v>
      </c>
      <c r="Y298" s="2" t="s">
        <v>27</v>
      </c>
      <c r="Z298" s="2" t="s">
        <v>28</v>
      </c>
      <c r="AA298" t="s">
        <v>245</v>
      </c>
      <c r="AB298" t="s">
        <v>245</v>
      </c>
      <c r="AC298" t="s">
        <v>245</v>
      </c>
    </row>
    <row r="299" spans="1:29" x14ac:dyDescent="0.2">
      <c r="A299" t="str">
        <f t="shared" si="37"/>
        <v>TRIP-TR-298</v>
      </c>
      <c r="B299" s="3">
        <v>45880</v>
      </c>
      <c r="C299" t="str">
        <f>IF(X299="CUSTOMER DELIVERY",_xlfn.XLOOKUP(D299,'[1]Jan Customer Duplicate Hyva'!$B:$B,'[1]Jan Customer Duplicate Hyva'!$A:$A,"NOT FOUND"),"")</f>
        <v/>
      </c>
      <c r="D299" s="20" t="s">
        <v>215</v>
      </c>
      <c r="E299" s="2"/>
      <c r="F299" s="2"/>
      <c r="G299" s="2"/>
      <c r="H299" s="2"/>
      <c r="I299" s="2"/>
      <c r="J299" s="2"/>
      <c r="K299" s="2"/>
      <c r="L299" s="10" t="s">
        <v>195</v>
      </c>
      <c r="M299" s="9">
        <v>7</v>
      </c>
      <c r="N299" s="2"/>
      <c r="O299" s="2"/>
      <c r="P299" s="2"/>
      <c r="Q299" s="2"/>
      <c r="R299" s="2" t="str">
        <f t="shared" si="44"/>
        <v>PAID</v>
      </c>
      <c r="S299" s="2"/>
      <c r="T299" s="2">
        <f t="shared" si="40"/>
        <v>0</v>
      </c>
      <c r="U299" s="2" t="str">
        <f t="shared" si="41"/>
        <v>OK</v>
      </c>
      <c r="V299" s="7">
        <f t="shared" si="42"/>
        <v>0</v>
      </c>
      <c r="W299" s="2" t="str">
        <f t="shared" si="43"/>
        <v>OK</v>
      </c>
      <c r="X299" s="2" t="s">
        <v>196</v>
      </c>
      <c r="Y299" s="2" t="s">
        <v>27</v>
      </c>
      <c r="Z299" s="2" t="s">
        <v>28</v>
      </c>
      <c r="AA299" t="s">
        <v>245</v>
      </c>
      <c r="AB299" t="s">
        <v>245</v>
      </c>
      <c r="AC299" t="s">
        <v>245</v>
      </c>
    </row>
    <row r="300" spans="1:29" x14ac:dyDescent="0.2">
      <c r="A300" t="str">
        <f t="shared" si="37"/>
        <v>TRIP-TR-299</v>
      </c>
      <c r="B300" s="3">
        <v>45880</v>
      </c>
      <c r="C300" t="str">
        <f>IF(X300="CUSTOMER DELIVERY",_xlfn.XLOOKUP(D300,'[1]Jan Customer Duplicate Hyva'!$B:$B,'[1]Jan Customer Duplicate Hyva'!$A:$A,"NOT FOUND"),"")</f>
        <v/>
      </c>
      <c r="D300" s="20" t="s">
        <v>215</v>
      </c>
      <c r="E300" s="2"/>
      <c r="F300" s="2"/>
      <c r="G300" s="2"/>
      <c r="H300" s="2"/>
      <c r="I300" s="2"/>
      <c r="J300" s="2"/>
      <c r="K300" s="2"/>
      <c r="L300" s="10" t="s">
        <v>195</v>
      </c>
      <c r="M300" s="9">
        <v>22</v>
      </c>
      <c r="N300" s="2"/>
      <c r="O300" s="2"/>
      <c r="P300" s="2"/>
      <c r="Q300" s="2"/>
      <c r="R300" s="2" t="str">
        <f t="shared" si="44"/>
        <v>PAID</v>
      </c>
      <c r="S300" s="2"/>
      <c r="T300" s="2">
        <f t="shared" si="40"/>
        <v>0</v>
      </c>
      <c r="U300" s="2" t="str">
        <f t="shared" si="41"/>
        <v>OK</v>
      </c>
      <c r="V300" s="7">
        <f t="shared" si="42"/>
        <v>0</v>
      </c>
      <c r="W300" s="2" t="str">
        <f t="shared" si="43"/>
        <v>OK</v>
      </c>
      <c r="X300" s="2" t="s">
        <v>196</v>
      </c>
      <c r="Y300" s="2" t="s">
        <v>27</v>
      </c>
      <c r="Z300" s="2" t="s">
        <v>28</v>
      </c>
      <c r="AA300" t="s">
        <v>245</v>
      </c>
      <c r="AB300" t="s">
        <v>245</v>
      </c>
      <c r="AC300" t="s">
        <v>245</v>
      </c>
    </row>
    <row r="301" spans="1:29" x14ac:dyDescent="0.2">
      <c r="A301" t="str">
        <f t="shared" si="37"/>
        <v>TRIP-TR-300</v>
      </c>
      <c r="B301" s="3">
        <v>45880</v>
      </c>
      <c r="C301" t="str">
        <f>IF(X301="CUSTOMER DELIVERY",_xlfn.XLOOKUP(D301,'[1]Jan Customer Duplicate Hyva'!$B:$B,'[1]Jan Customer Duplicate Hyva'!$A:$A,"NOT FOUND"),"")</f>
        <v/>
      </c>
      <c r="D301" s="20" t="s">
        <v>215</v>
      </c>
      <c r="E301" s="2"/>
      <c r="F301" s="2"/>
      <c r="G301" s="2"/>
      <c r="H301" s="2"/>
      <c r="I301" s="2"/>
      <c r="J301" s="2"/>
      <c r="K301" s="2"/>
      <c r="L301" s="10" t="s">
        <v>195</v>
      </c>
      <c r="M301" s="9">
        <v>10</v>
      </c>
      <c r="N301" s="2"/>
      <c r="O301" s="2"/>
      <c r="P301" s="2"/>
      <c r="Q301" s="2"/>
      <c r="R301" s="2" t="str">
        <f t="shared" si="44"/>
        <v>PAID</v>
      </c>
      <c r="S301" s="2"/>
      <c r="T301" s="2">
        <f t="shared" si="40"/>
        <v>0</v>
      </c>
      <c r="U301" s="2" t="str">
        <f t="shared" si="41"/>
        <v>OK</v>
      </c>
      <c r="V301" s="7">
        <f t="shared" si="42"/>
        <v>0</v>
      </c>
      <c r="W301" s="2" t="str">
        <f t="shared" si="43"/>
        <v>OK</v>
      </c>
      <c r="X301" s="2" t="s">
        <v>196</v>
      </c>
      <c r="Y301" s="2" t="s">
        <v>27</v>
      </c>
      <c r="Z301" s="2" t="s">
        <v>28</v>
      </c>
      <c r="AA301" t="s">
        <v>245</v>
      </c>
      <c r="AB301" t="s">
        <v>245</v>
      </c>
      <c r="AC301" t="s">
        <v>245</v>
      </c>
    </row>
    <row r="302" spans="1:29" x14ac:dyDescent="0.2">
      <c r="A302" t="str">
        <f t="shared" si="37"/>
        <v>TRIP-TR-301</v>
      </c>
      <c r="B302" s="3">
        <v>45880</v>
      </c>
      <c r="C302" t="str">
        <f>IF(X302="CUSTOMER DELIVERY",_xlfn.XLOOKUP(D302,'[1]Jan Customer Duplicate Hyva'!$B:$B,'[1]Jan Customer Duplicate Hyva'!$A:$A,"NOT FOUND"),"")</f>
        <v/>
      </c>
      <c r="D302" s="20" t="s">
        <v>215</v>
      </c>
      <c r="E302" s="2"/>
      <c r="F302" s="2"/>
      <c r="G302" s="2"/>
      <c r="H302" s="2"/>
      <c r="I302" s="2"/>
      <c r="J302" s="2"/>
      <c r="K302" s="2"/>
      <c r="L302" s="10" t="s">
        <v>195</v>
      </c>
      <c r="M302" s="9">
        <v>21</v>
      </c>
      <c r="N302" s="2"/>
      <c r="O302" s="2"/>
      <c r="P302" s="2"/>
      <c r="Q302" s="2"/>
      <c r="R302" s="2" t="str">
        <f t="shared" si="44"/>
        <v>PAID</v>
      </c>
      <c r="S302" s="2"/>
      <c r="T302" s="2">
        <f t="shared" si="40"/>
        <v>0</v>
      </c>
      <c r="U302" s="2" t="str">
        <f t="shared" si="41"/>
        <v>OK</v>
      </c>
      <c r="V302" s="7">
        <f t="shared" si="42"/>
        <v>0</v>
      </c>
      <c r="W302" s="2" t="str">
        <f t="shared" si="43"/>
        <v>OK</v>
      </c>
      <c r="X302" s="2" t="s">
        <v>196</v>
      </c>
      <c r="Y302" s="2" t="s">
        <v>27</v>
      </c>
      <c r="Z302" s="2" t="s">
        <v>28</v>
      </c>
      <c r="AA302" t="s">
        <v>245</v>
      </c>
      <c r="AB302" t="s">
        <v>245</v>
      </c>
      <c r="AC302" t="s">
        <v>245</v>
      </c>
    </row>
    <row r="303" spans="1:29" x14ac:dyDescent="0.2">
      <c r="A303" t="str">
        <f t="shared" si="37"/>
        <v>TRIP-TR-302</v>
      </c>
      <c r="B303" s="3">
        <v>45881</v>
      </c>
      <c r="C303" t="str">
        <f>IF(X303="CUSTOMER DELIVERY",_xlfn.XLOOKUP(D303,'[1]Jan Customer Duplicate Hyva'!$B:$B,'[1]Jan Customer Duplicate Hyva'!$A:$A,"NOT FOUND"),"")</f>
        <v/>
      </c>
      <c r="D303" s="20" t="s">
        <v>215</v>
      </c>
      <c r="E303" s="2"/>
      <c r="F303" s="2"/>
      <c r="G303" s="2"/>
      <c r="H303" s="2"/>
      <c r="I303" s="2"/>
      <c r="J303" s="2"/>
      <c r="K303" s="2"/>
      <c r="L303" s="10" t="s">
        <v>195</v>
      </c>
      <c r="M303" s="11">
        <v>16</v>
      </c>
      <c r="N303" s="2"/>
      <c r="O303" s="2"/>
      <c r="P303" s="2"/>
      <c r="Q303" s="2"/>
      <c r="R303" s="2" t="str">
        <f t="shared" si="44"/>
        <v>PAID</v>
      </c>
      <c r="S303" s="2"/>
      <c r="T303" s="2">
        <f t="shared" si="40"/>
        <v>0</v>
      </c>
      <c r="U303" s="2" t="str">
        <f t="shared" si="41"/>
        <v>OK</v>
      </c>
      <c r="V303" s="7">
        <f t="shared" si="42"/>
        <v>0</v>
      </c>
      <c r="W303" s="2" t="str">
        <f t="shared" si="43"/>
        <v>OK</v>
      </c>
      <c r="X303" s="2" t="s">
        <v>196</v>
      </c>
      <c r="Y303" s="2" t="s">
        <v>27</v>
      </c>
      <c r="Z303" s="2" t="s">
        <v>28</v>
      </c>
      <c r="AA303" t="s">
        <v>245</v>
      </c>
      <c r="AB303" t="s">
        <v>245</v>
      </c>
      <c r="AC303" t="s">
        <v>245</v>
      </c>
    </row>
    <row r="304" spans="1:29" x14ac:dyDescent="0.2">
      <c r="A304" t="str">
        <f t="shared" si="37"/>
        <v>TRIP-TR-303</v>
      </c>
      <c r="B304" s="3">
        <v>45881</v>
      </c>
      <c r="C304" t="str">
        <f>IF(X304="CUSTOMER DELIVERY",_xlfn.XLOOKUP(D304,'[1]Jan Customer Duplicate Hyva'!$B:$B,'[1]Jan Customer Duplicate Hyva'!$A:$A,"NOT FOUND"),"")</f>
        <v/>
      </c>
      <c r="D304" s="20" t="s">
        <v>215</v>
      </c>
      <c r="E304" s="2"/>
      <c r="F304" s="2"/>
      <c r="G304" s="2"/>
      <c r="H304" s="2"/>
      <c r="I304" s="2"/>
      <c r="J304" s="2"/>
      <c r="K304" s="2"/>
      <c r="L304" s="10" t="s">
        <v>195</v>
      </c>
      <c r="M304" s="11">
        <v>15</v>
      </c>
      <c r="N304" s="2"/>
      <c r="O304" s="2"/>
      <c r="P304" s="2"/>
      <c r="Q304" s="2"/>
      <c r="R304" s="2" t="str">
        <f t="shared" si="44"/>
        <v>PAID</v>
      </c>
      <c r="S304" s="2"/>
      <c r="T304" s="2">
        <f t="shared" si="40"/>
        <v>0</v>
      </c>
      <c r="U304" s="2" t="str">
        <f t="shared" si="41"/>
        <v>OK</v>
      </c>
      <c r="V304" s="7">
        <f t="shared" si="42"/>
        <v>0</v>
      </c>
      <c r="W304" s="2" t="str">
        <f t="shared" si="43"/>
        <v>OK</v>
      </c>
      <c r="X304" s="2" t="s">
        <v>196</v>
      </c>
      <c r="Y304" s="2" t="s">
        <v>27</v>
      </c>
      <c r="Z304" s="2" t="s">
        <v>28</v>
      </c>
      <c r="AA304" t="s">
        <v>245</v>
      </c>
      <c r="AB304" t="s">
        <v>245</v>
      </c>
      <c r="AC304" t="s">
        <v>245</v>
      </c>
    </row>
    <row r="305" spans="1:29" x14ac:dyDescent="0.2">
      <c r="A305" t="str">
        <f t="shared" si="37"/>
        <v>TRIP-TR-304</v>
      </c>
      <c r="B305" s="3">
        <v>45881</v>
      </c>
      <c r="C305" t="str">
        <f>IF(X305="CUSTOMER DELIVERY",_xlfn.XLOOKUP(D305,'[1]Jan Customer Duplicate Hyva'!$B:$B,'[1]Jan Customer Duplicate Hyva'!$A:$A,"NOT FOUND"),"")</f>
        <v/>
      </c>
      <c r="D305" s="20" t="s">
        <v>215</v>
      </c>
      <c r="E305" s="2"/>
      <c r="F305" s="2"/>
      <c r="G305" s="2"/>
      <c r="H305" s="2"/>
      <c r="I305" s="2"/>
      <c r="J305" s="2"/>
      <c r="K305" s="2"/>
      <c r="L305" s="10" t="s">
        <v>195</v>
      </c>
      <c r="M305" s="9">
        <v>18</v>
      </c>
      <c r="N305" s="2"/>
      <c r="O305" s="2"/>
      <c r="P305" s="2"/>
      <c r="Q305" s="2"/>
      <c r="R305" s="2" t="str">
        <f t="shared" si="44"/>
        <v>PAID</v>
      </c>
      <c r="S305" s="2"/>
      <c r="T305" s="2">
        <f t="shared" si="40"/>
        <v>0</v>
      </c>
      <c r="U305" s="2" t="str">
        <f t="shared" si="41"/>
        <v>OK</v>
      </c>
      <c r="V305" s="7">
        <f t="shared" si="42"/>
        <v>0</v>
      </c>
      <c r="W305" s="2" t="str">
        <f t="shared" si="43"/>
        <v>OK</v>
      </c>
      <c r="X305" s="2" t="s">
        <v>196</v>
      </c>
      <c r="Y305" s="2" t="s">
        <v>27</v>
      </c>
      <c r="Z305" s="2" t="s">
        <v>28</v>
      </c>
      <c r="AA305" t="s">
        <v>245</v>
      </c>
      <c r="AB305" t="s">
        <v>245</v>
      </c>
      <c r="AC305" t="s">
        <v>245</v>
      </c>
    </row>
    <row r="306" spans="1:29" x14ac:dyDescent="0.2">
      <c r="A306" t="str">
        <f t="shared" si="37"/>
        <v>TRIP-TR-305</v>
      </c>
      <c r="B306" s="3">
        <v>45886</v>
      </c>
      <c r="C306" t="str">
        <f>IF(X306="CUSTOMER DELIVERY",_xlfn.XLOOKUP(D306,'[1]Jan Customer Duplicate Hyva'!$B:$B,'[1]Jan Customer Duplicate Hyva'!$A:$A,"NOT FOUND"),"")</f>
        <v/>
      </c>
      <c r="D306" s="20" t="s">
        <v>215</v>
      </c>
      <c r="E306" s="2"/>
      <c r="F306" s="2"/>
      <c r="G306" s="2"/>
      <c r="H306" s="2"/>
      <c r="I306" s="2"/>
      <c r="J306" s="2"/>
      <c r="K306" s="2"/>
      <c r="L306" s="10" t="s">
        <v>195</v>
      </c>
      <c r="M306" s="11">
        <v>14</v>
      </c>
      <c r="N306" s="2"/>
      <c r="O306" s="2"/>
      <c r="P306" s="2"/>
      <c r="Q306" s="2"/>
      <c r="R306" s="2" t="str">
        <f t="shared" si="44"/>
        <v>PAID</v>
      </c>
      <c r="S306" s="2"/>
      <c r="T306" s="2">
        <f t="shared" si="40"/>
        <v>0</v>
      </c>
      <c r="U306" s="2" t="str">
        <f t="shared" si="41"/>
        <v>OK</v>
      </c>
      <c r="V306" s="7">
        <f t="shared" si="42"/>
        <v>0</v>
      </c>
      <c r="W306" s="2" t="str">
        <f t="shared" si="43"/>
        <v>OK</v>
      </c>
      <c r="X306" s="2" t="s">
        <v>196</v>
      </c>
      <c r="Y306" s="2" t="s">
        <v>27</v>
      </c>
      <c r="Z306" s="2" t="s">
        <v>28</v>
      </c>
      <c r="AA306" t="s">
        <v>245</v>
      </c>
      <c r="AB306" t="s">
        <v>245</v>
      </c>
      <c r="AC306" t="s">
        <v>245</v>
      </c>
    </row>
    <row r="307" spans="1:29" x14ac:dyDescent="0.2">
      <c r="A307" t="str">
        <f t="shared" si="37"/>
        <v>TRIP-TR-306</v>
      </c>
      <c r="B307" s="3">
        <v>45886</v>
      </c>
      <c r="C307" t="str">
        <f>IF(X307="CUSTOMER DELIVERY",_xlfn.XLOOKUP(D307,'[1]Jan Customer Duplicate Hyva'!$B:$B,'[1]Jan Customer Duplicate Hyva'!$A:$A,"NOT FOUND"),"")</f>
        <v/>
      </c>
      <c r="D307" s="20" t="s">
        <v>215</v>
      </c>
      <c r="E307" s="2"/>
      <c r="F307" s="2"/>
      <c r="G307" s="2"/>
      <c r="H307" s="2"/>
      <c r="I307" s="2"/>
      <c r="J307" s="2"/>
      <c r="K307" s="2"/>
      <c r="L307" s="10" t="s">
        <v>195</v>
      </c>
      <c r="M307" s="9">
        <v>20</v>
      </c>
      <c r="N307" s="2"/>
      <c r="O307" s="2"/>
      <c r="P307" s="2"/>
      <c r="Q307" s="2"/>
      <c r="R307" s="2" t="str">
        <f t="shared" si="44"/>
        <v>PAID</v>
      </c>
      <c r="S307" s="2"/>
      <c r="T307" s="2">
        <f t="shared" si="40"/>
        <v>0</v>
      </c>
      <c r="U307" s="2" t="str">
        <f t="shared" si="41"/>
        <v>OK</v>
      </c>
      <c r="V307" s="7">
        <f t="shared" si="42"/>
        <v>0</v>
      </c>
      <c r="W307" s="2" t="str">
        <f t="shared" si="43"/>
        <v>OK</v>
      </c>
      <c r="X307" s="2" t="s">
        <v>196</v>
      </c>
      <c r="Y307" s="2" t="s">
        <v>27</v>
      </c>
      <c r="Z307" s="2" t="s">
        <v>28</v>
      </c>
      <c r="AA307" t="s">
        <v>245</v>
      </c>
      <c r="AB307" t="s">
        <v>245</v>
      </c>
      <c r="AC307" t="s">
        <v>245</v>
      </c>
    </row>
    <row r="308" spans="1:29" x14ac:dyDescent="0.2">
      <c r="A308" t="str">
        <f t="shared" si="37"/>
        <v>TRIP-TR-307</v>
      </c>
      <c r="B308" s="3">
        <v>45886</v>
      </c>
      <c r="C308" t="str">
        <f>IF(X308="CUSTOMER DELIVERY",_xlfn.XLOOKUP(D308,'[1]Jan Customer Duplicate Hyva'!$B:$B,'[1]Jan Customer Duplicate Hyva'!$A:$A,"NOT FOUND"),"")</f>
        <v/>
      </c>
      <c r="D308" s="20" t="s">
        <v>215</v>
      </c>
      <c r="E308" s="2"/>
      <c r="F308" s="2"/>
      <c r="G308" s="2"/>
      <c r="H308" s="2"/>
      <c r="I308" s="2"/>
      <c r="J308" s="2"/>
      <c r="K308" s="2"/>
      <c r="L308" s="10" t="s">
        <v>195</v>
      </c>
      <c r="M308" s="11">
        <v>23</v>
      </c>
      <c r="N308" s="2"/>
      <c r="O308" s="2"/>
      <c r="P308" s="2"/>
      <c r="Q308" s="2"/>
      <c r="R308" s="2" t="str">
        <f t="shared" si="44"/>
        <v>PAID</v>
      </c>
      <c r="S308" s="2"/>
      <c r="T308" s="2">
        <f t="shared" si="40"/>
        <v>0</v>
      </c>
      <c r="U308" s="2" t="str">
        <f t="shared" si="41"/>
        <v>OK</v>
      </c>
      <c r="V308" s="7">
        <f t="shared" si="42"/>
        <v>0</v>
      </c>
      <c r="W308" s="2" t="str">
        <f t="shared" si="43"/>
        <v>OK</v>
      </c>
      <c r="X308" s="2" t="s">
        <v>196</v>
      </c>
      <c r="Y308" s="2" t="s">
        <v>27</v>
      </c>
      <c r="Z308" s="2" t="s">
        <v>28</v>
      </c>
      <c r="AA308" t="s">
        <v>245</v>
      </c>
      <c r="AB308" t="s">
        <v>245</v>
      </c>
      <c r="AC308" t="s">
        <v>245</v>
      </c>
    </row>
    <row r="309" spans="1:29" x14ac:dyDescent="0.2">
      <c r="A309" t="str">
        <f t="shared" si="37"/>
        <v>TRIP-TR-308</v>
      </c>
      <c r="B309" s="3">
        <v>45889</v>
      </c>
      <c r="C309" t="str">
        <f>IF(X309="CUSTOMER DELIVERY",_xlfn.XLOOKUP(D309,'[1]Jan Customer Duplicate Hyva'!$B:$B,'[1]Jan Customer Duplicate Hyva'!$A:$A,"NOT FOUND"),"")</f>
        <v/>
      </c>
      <c r="D309" s="20" t="s">
        <v>215</v>
      </c>
      <c r="E309" s="2"/>
      <c r="F309" s="2"/>
      <c r="G309" s="2"/>
      <c r="H309" s="2"/>
      <c r="I309" s="2"/>
      <c r="J309" s="2"/>
      <c r="K309" s="2"/>
      <c r="L309" s="10" t="s">
        <v>197</v>
      </c>
      <c r="M309" s="11">
        <v>20</v>
      </c>
      <c r="N309" s="2"/>
      <c r="O309" s="2"/>
      <c r="P309" s="2"/>
      <c r="Q309" s="2"/>
      <c r="R309" s="2" t="str">
        <f t="shared" si="44"/>
        <v>PAID</v>
      </c>
      <c r="S309" s="2"/>
      <c r="T309" s="2">
        <f t="shared" si="40"/>
        <v>0</v>
      </c>
      <c r="U309" s="2" t="str">
        <f t="shared" si="41"/>
        <v>OK</v>
      </c>
      <c r="V309" s="7">
        <f t="shared" si="42"/>
        <v>0</v>
      </c>
      <c r="W309" s="2" t="str">
        <f t="shared" si="43"/>
        <v>OK</v>
      </c>
      <c r="X309" s="2" t="s">
        <v>196</v>
      </c>
      <c r="Y309" s="2" t="s">
        <v>27</v>
      </c>
      <c r="Z309" s="2" t="s">
        <v>28</v>
      </c>
      <c r="AA309" t="s">
        <v>245</v>
      </c>
      <c r="AB309" t="s">
        <v>245</v>
      </c>
      <c r="AC309" t="s">
        <v>245</v>
      </c>
    </row>
    <row r="310" spans="1:29" x14ac:dyDescent="0.2">
      <c r="A310" t="str">
        <f t="shared" si="37"/>
        <v>TRIP-TR-309</v>
      </c>
      <c r="B310" s="3">
        <v>45889</v>
      </c>
      <c r="C310" t="str">
        <f>IF(X310="CUSTOMER DELIVERY",_xlfn.XLOOKUP(D310,'[1]Jan Customer Duplicate Hyva'!$B:$B,'[1]Jan Customer Duplicate Hyva'!$A:$A,"NOT FOUND"),"")</f>
        <v/>
      </c>
      <c r="D310" s="20" t="s">
        <v>215</v>
      </c>
      <c r="E310" s="2"/>
      <c r="F310" s="2"/>
      <c r="G310" s="2"/>
      <c r="H310" s="2"/>
      <c r="I310" s="2"/>
      <c r="J310" s="2"/>
      <c r="K310" s="2"/>
      <c r="L310" s="10" t="s">
        <v>195</v>
      </c>
      <c r="M310" s="11">
        <v>23</v>
      </c>
      <c r="N310" s="2"/>
      <c r="O310" s="2"/>
      <c r="P310" s="2"/>
      <c r="Q310" s="2"/>
      <c r="R310" s="2" t="str">
        <f t="shared" si="44"/>
        <v>PAID</v>
      </c>
      <c r="S310" s="2"/>
      <c r="T310" s="2">
        <f t="shared" si="40"/>
        <v>0</v>
      </c>
      <c r="U310" s="2" t="str">
        <f t="shared" si="41"/>
        <v>OK</v>
      </c>
      <c r="V310" s="7">
        <f t="shared" si="42"/>
        <v>0</v>
      </c>
      <c r="W310" s="2" t="str">
        <f t="shared" si="43"/>
        <v>OK</v>
      </c>
      <c r="X310" s="2" t="s">
        <v>196</v>
      </c>
      <c r="Y310" s="2" t="s">
        <v>27</v>
      </c>
      <c r="Z310" s="2" t="s">
        <v>28</v>
      </c>
      <c r="AA310" t="s">
        <v>245</v>
      </c>
      <c r="AB310" t="s">
        <v>245</v>
      </c>
      <c r="AC310" t="s">
        <v>245</v>
      </c>
    </row>
    <row r="311" spans="1:29" x14ac:dyDescent="0.2">
      <c r="A311" t="str">
        <f t="shared" si="37"/>
        <v>TRIP-TR-310</v>
      </c>
      <c r="B311" s="3">
        <v>45890</v>
      </c>
      <c r="C311" t="str">
        <f>IF(X311="CUSTOMER DELIVERY",_xlfn.XLOOKUP(D311,'[1]Jan Customer Duplicate Hyva'!$B:$B,'[1]Jan Customer Duplicate Hyva'!$A:$A,"NOT FOUND"),"")</f>
        <v/>
      </c>
      <c r="D311" s="20" t="s">
        <v>215</v>
      </c>
      <c r="E311" s="2"/>
      <c r="F311" s="2"/>
      <c r="G311" s="2"/>
      <c r="H311" s="2"/>
      <c r="I311" s="2"/>
      <c r="J311" s="2"/>
      <c r="K311" s="2"/>
      <c r="L311" s="10" t="s">
        <v>195</v>
      </c>
      <c r="M311" s="9">
        <v>21</v>
      </c>
      <c r="N311" s="2"/>
      <c r="O311" s="2"/>
      <c r="P311" s="2"/>
      <c r="Q311" s="2"/>
      <c r="R311" s="2" t="str">
        <f t="shared" si="44"/>
        <v>PAID</v>
      </c>
      <c r="S311" s="2"/>
      <c r="T311" s="2">
        <f t="shared" si="40"/>
        <v>0</v>
      </c>
      <c r="U311" s="2" t="str">
        <f t="shared" si="41"/>
        <v>OK</v>
      </c>
      <c r="V311" s="7">
        <f t="shared" si="42"/>
        <v>0</v>
      </c>
      <c r="W311" s="2" t="str">
        <f t="shared" si="43"/>
        <v>OK</v>
      </c>
      <c r="X311" s="2" t="s">
        <v>196</v>
      </c>
      <c r="Y311" s="2" t="s">
        <v>27</v>
      </c>
      <c r="Z311" s="2" t="s">
        <v>28</v>
      </c>
      <c r="AA311" t="s">
        <v>245</v>
      </c>
      <c r="AB311" t="s">
        <v>245</v>
      </c>
      <c r="AC311" t="s">
        <v>245</v>
      </c>
    </row>
    <row r="312" spans="1:29" x14ac:dyDescent="0.2">
      <c r="A312" t="str">
        <f t="shared" si="37"/>
        <v>TRIP-TR-311</v>
      </c>
      <c r="B312" s="3">
        <v>45891</v>
      </c>
      <c r="C312" t="str">
        <f>IF(X312="CUSTOMER DELIVERY",_xlfn.XLOOKUP(D312,'[1]Jan Customer Duplicate Hyva'!$B:$B,'[1]Jan Customer Duplicate Hyva'!$A:$A,"NOT FOUND"),"")</f>
        <v/>
      </c>
      <c r="D312" s="20" t="s">
        <v>215</v>
      </c>
      <c r="E312" s="2"/>
      <c r="F312" s="2"/>
      <c r="G312" s="2"/>
      <c r="H312" s="2"/>
      <c r="I312" s="2"/>
      <c r="J312" s="2"/>
      <c r="K312" s="2"/>
      <c r="L312" s="10" t="s">
        <v>195</v>
      </c>
      <c r="M312" s="9">
        <v>18</v>
      </c>
      <c r="N312" s="2"/>
      <c r="O312" s="2"/>
      <c r="P312" s="2"/>
      <c r="Q312" s="2"/>
      <c r="R312" s="2" t="str">
        <f t="shared" si="44"/>
        <v>PAID</v>
      </c>
      <c r="S312" s="2"/>
      <c r="T312" s="2">
        <f t="shared" si="40"/>
        <v>0</v>
      </c>
      <c r="U312" s="2" t="str">
        <f t="shared" si="41"/>
        <v>OK</v>
      </c>
      <c r="V312" s="7">
        <f t="shared" si="42"/>
        <v>0</v>
      </c>
      <c r="W312" s="2" t="str">
        <f t="shared" si="43"/>
        <v>OK</v>
      </c>
      <c r="X312" s="2" t="s">
        <v>196</v>
      </c>
      <c r="Y312" s="2" t="s">
        <v>27</v>
      </c>
      <c r="Z312" s="2" t="s">
        <v>28</v>
      </c>
      <c r="AA312" t="s">
        <v>245</v>
      </c>
      <c r="AB312" t="s">
        <v>245</v>
      </c>
      <c r="AC312" t="s">
        <v>245</v>
      </c>
    </row>
    <row r="313" spans="1:29" x14ac:dyDescent="0.2">
      <c r="A313" t="str">
        <f t="shared" si="37"/>
        <v>TRIP-TR-312</v>
      </c>
      <c r="B313" s="3">
        <v>45891</v>
      </c>
      <c r="C313" t="str">
        <f>IF(X313="CUSTOMER DELIVERY",_xlfn.XLOOKUP(D313,'[1]Jan Customer Duplicate Hyva'!$B:$B,'[1]Jan Customer Duplicate Hyva'!$A:$A,"NOT FOUND"),"")</f>
        <v/>
      </c>
      <c r="D313" s="20" t="s">
        <v>215</v>
      </c>
      <c r="E313" s="2"/>
      <c r="F313" s="2"/>
      <c r="G313" s="2"/>
      <c r="H313" s="2"/>
      <c r="I313" s="2"/>
      <c r="J313" s="2"/>
      <c r="K313" s="2"/>
      <c r="L313" s="10" t="s">
        <v>195</v>
      </c>
      <c r="M313" s="9">
        <v>19</v>
      </c>
      <c r="N313" s="2"/>
      <c r="O313" s="2"/>
      <c r="P313" s="2"/>
      <c r="Q313" s="2"/>
      <c r="R313" s="2" t="str">
        <f t="shared" si="44"/>
        <v>PAID</v>
      </c>
      <c r="S313" s="2"/>
      <c r="T313" s="2">
        <f t="shared" si="40"/>
        <v>0</v>
      </c>
      <c r="U313" s="2" t="str">
        <f t="shared" si="41"/>
        <v>OK</v>
      </c>
      <c r="V313" s="7">
        <f t="shared" si="42"/>
        <v>0</v>
      </c>
      <c r="W313" s="2" t="str">
        <f t="shared" si="43"/>
        <v>OK</v>
      </c>
      <c r="X313" s="2" t="s">
        <v>196</v>
      </c>
      <c r="Y313" s="2" t="s">
        <v>27</v>
      </c>
      <c r="Z313" s="2" t="s">
        <v>28</v>
      </c>
      <c r="AA313" t="s">
        <v>245</v>
      </c>
      <c r="AB313" t="s">
        <v>245</v>
      </c>
      <c r="AC313" t="s">
        <v>245</v>
      </c>
    </row>
    <row r="314" spans="1:29" x14ac:dyDescent="0.2">
      <c r="A314" t="str">
        <f t="shared" si="37"/>
        <v>TRIP-TR-313</v>
      </c>
      <c r="B314" s="3">
        <v>45891</v>
      </c>
      <c r="C314" t="str">
        <f>IF(X314="CUSTOMER DELIVERY",_xlfn.XLOOKUP(D314,'[1]Jan Customer Duplicate Hyva'!$B:$B,'[1]Jan Customer Duplicate Hyva'!$A:$A,"NOT FOUND"),"")</f>
        <v/>
      </c>
      <c r="D314" s="20" t="s">
        <v>215</v>
      </c>
      <c r="E314" s="2"/>
      <c r="F314" s="2"/>
      <c r="G314" s="2"/>
      <c r="H314" s="2"/>
      <c r="I314" s="2"/>
      <c r="J314" s="2"/>
      <c r="K314" s="2"/>
      <c r="L314" s="10" t="s">
        <v>195</v>
      </c>
      <c r="M314" s="9">
        <v>15</v>
      </c>
      <c r="N314" s="2"/>
      <c r="O314" s="2"/>
      <c r="P314" s="2"/>
      <c r="Q314" s="2"/>
      <c r="R314" s="2" t="str">
        <f t="shared" si="44"/>
        <v>PAID</v>
      </c>
      <c r="S314" s="2"/>
      <c r="T314" s="2">
        <f t="shared" si="40"/>
        <v>0</v>
      </c>
      <c r="U314" s="2" t="str">
        <f t="shared" si="41"/>
        <v>OK</v>
      </c>
      <c r="V314" s="7">
        <f t="shared" si="42"/>
        <v>0</v>
      </c>
      <c r="W314" s="2" t="str">
        <f t="shared" si="43"/>
        <v>OK</v>
      </c>
      <c r="X314" s="2" t="s">
        <v>196</v>
      </c>
      <c r="Y314" s="2" t="s">
        <v>27</v>
      </c>
      <c r="Z314" s="2" t="s">
        <v>28</v>
      </c>
      <c r="AA314" t="s">
        <v>245</v>
      </c>
      <c r="AB314" t="s">
        <v>245</v>
      </c>
      <c r="AC314" t="s">
        <v>245</v>
      </c>
    </row>
    <row r="315" spans="1:29" x14ac:dyDescent="0.2">
      <c r="A315" t="str">
        <f t="shared" si="37"/>
        <v>TRIP-TR-314</v>
      </c>
      <c r="B315" s="3">
        <v>45892</v>
      </c>
      <c r="C315" t="str">
        <f>IF(X315="CUSTOMER DELIVERY",_xlfn.XLOOKUP(D315,'[1]Jan Customer Duplicate Hyva'!$B:$B,'[1]Jan Customer Duplicate Hyva'!$A:$A,"NOT FOUND"),"")</f>
        <v/>
      </c>
      <c r="D315" s="20" t="s">
        <v>215</v>
      </c>
      <c r="E315" s="2"/>
      <c r="F315" s="2"/>
      <c r="G315" s="2"/>
      <c r="H315" s="2"/>
      <c r="I315" s="2"/>
      <c r="J315" s="2"/>
      <c r="K315" s="2"/>
      <c r="L315" s="10" t="s">
        <v>197</v>
      </c>
      <c r="M315" s="9">
        <v>23</v>
      </c>
      <c r="N315" s="2"/>
      <c r="O315" s="2"/>
      <c r="P315" s="2"/>
      <c r="Q315" s="2"/>
      <c r="R315" s="2" t="str">
        <f t="shared" si="44"/>
        <v>PAID</v>
      </c>
      <c r="S315" s="2"/>
      <c r="T315" s="2">
        <f t="shared" si="40"/>
        <v>0</v>
      </c>
      <c r="U315" s="2" t="str">
        <f t="shared" si="41"/>
        <v>OK</v>
      </c>
      <c r="V315" s="7">
        <f t="shared" si="42"/>
        <v>0</v>
      </c>
      <c r="W315" s="2" t="str">
        <f t="shared" si="43"/>
        <v>OK</v>
      </c>
      <c r="X315" s="2" t="s">
        <v>196</v>
      </c>
      <c r="Y315" s="2" t="s">
        <v>27</v>
      </c>
      <c r="Z315" s="2" t="s">
        <v>28</v>
      </c>
      <c r="AA315" t="s">
        <v>245</v>
      </c>
      <c r="AB315" t="s">
        <v>245</v>
      </c>
      <c r="AC315" t="s">
        <v>245</v>
      </c>
    </row>
    <row r="316" spans="1:29" x14ac:dyDescent="0.2">
      <c r="A316" t="str">
        <f t="shared" si="37"/>
        <v>TRIP-TR-315</v>
      </c>
      <c r="B316" s="3">
        <v>45894</v>
      </c>
      <c r="C316" t="str">
        <f>IF(X316="CUSTOMER DELIVERY",_xlfn.XLOOKUP(D316,'[1]Jan Customer Duplicate Hyva'!$B:$B,'[1]Jan Customer Duplicate Hyva'!$A:$A,"NOT FOUND"),"")</f>
        <v/>
      </c>
      <c r="D316" s="20" t="s">
        <v>215</v>
      </c>
      <c r="E316" s="2"/>
      <c r="F316" s="2"/>
      <c r="G316" s="2"/>
      <c r="H316" s="2"/>
      <c r="I316" s="2"/>
      <c r="J316" s="2"/>
      <c r="K316" s="2"/>
      <c r="L316" s="10" t="s">
        <v>195</v>
      </c>
      <c r="M316" s="9">
        <v>21</v>
      </c>
      <c r="N316" s="2"/>
      <c r="O316" s="2"/>
      <c r="P316" s="2"/>
      <c r="Q316" s="2"/>
      <c r="R316" s="2" t="str">
        <f t="shared" si="44"/>
        <v>PAID</v>
      </c>
      <c r="S316" s="2"/>
      <c r="T316" s="2">
        <f t="shared" si="40"/>
        <v>0</v>
      </c>
      <c r="U316" s="2" t="str">
        <f t="shared" si="41"/>
        <v>OK</v>
      </c>
      <c r="V316" s="7">
        <f t="shared" si="42"/>
        <v>0</v>
      </c>
      <c r="W316" s="2" t="str">
        <f t="shared" si="43"/>
        <v>OK</v>
      </c>
      <c r="X316" s="2" t="s">
        <v>196</v>
      </c>
      <c r="Y316" s="2" t="s">
        <v>27</v>
      </c>
      <c r="Z316" s="2" t="s">
        <v>28</v>
      </c>
      <c r="AA316" t="s">
        <v>245</v>
      </c>
      <c r="AB316" t="s">
        <v>245</v>
      </c>
      <c r="AC316" t="s">
        <v>245</v>
      </c>
    </row>
    <row r="317" spans="1:29" x14ac:dyDescent="0.2">
      <c r="A317" t="str">
        <f t="shared" si="37"/>
        <v>TRIP-TR-316</v>
      </c>
      <c r="B317" s="3">
        <v>45894</v>
      </c>
      <c r="C317" t="str">
        <f>IF(X317="CUSTOMER DELIVERY",_xlfn.XLOOKUP(D317,'[1]Jan Customer Duplicate Hyva'!$B:$B,'[1]Jan Customer Duplicate Hyva'!$A:$A,"NOT FOUND"),"")</f>
        <v/>
      </c>
      <c r="D317" s="20" t="s">
        <v>215</v>
      </c>
      <c r="E317" s="2"/>
      <c r="F317" s="2"/>
      <c r="G317" s="2"/>
      <c r="H317" s="2"/>
      <c r="I317" s="2"/>
      <c r="J317" s="2"/>
      <c r="K317" s="2"/>
      <c r="L317" s="10" t="s">
        <v>195</v>
      </c>
      <c r="M317" s="9">
        <v>12</v>
      </c>
      <c r="N317" s="2"/>
      <c r="O317" s="2"/>
      <c r="P317" s="2"/>
      <c r="Q317" s="2"/>
      <c r="R317" s="2" t="str">
        <f t="shared" si="44"/>
        <v>PAID</v>
      </c>
      <c r="S317" s="2"/>
      <c r="T317" s="2">
        <f t="shared" si="40"/>
        <v>0</v>
      </c>
      <c r="U317" s="2" t="str">
        <f t="shared" si="41"/>
        <v>OK</v>
      </c>
      <c r="V317" s="7">
        <f t="shared" si="42"/>
        <v>0</v>
      </c>
      <c r="W317" s="2" t="str">
        <f t="shared" si="43"/>
        <v>OK</v>
      </c>
      <c r="X317" s="2" t="s">
        <v>196</v>
      </c>
      <c r="Y317" s="2" t="s">
        <v>27</v>
      </c>
      <c r="Z317" s="2" t="s">
        <v>28</v>
      </c>
      <c r="AA317" t="s">
        <v>245</v>
      </c>
      <c r="AB317" t="s">
        <v>245</v>
      </c>
      <c r="AC317" t="s">
        <v>245</v>
      </c>
    </row>
    <row r="318" spans="1:29" x14ac:dyDescent="0.2">
      <c r="A318" t="str">
        <f t="shared" si="37"/>
        <v>TRIP-TR-317</v>
      </c>
      <c r="B318" s="3">
        <v>45894</v>
      </c>
      <c r="C318" t="str">
        <f>IF(X318="CUSTOMER DELIVERY",_xlfn.XLOOKUP(D318,'[1]Jan Customer Duplicate Hyva'!$B:$B,'[1]Jan Customer Duplicate Hyva'!$A:$A,"NOT FOUND"),"")</f>
        <v/>
      </c>
      <c r="D318" s="20" t="s">
        <v>215</v>
      </c>
      <c r="E318" s="2"/>
      <c r="F318" s="2"/>
      <c r="G318" s="2"/>
      <c r="H318" s="2"/>
      <c r="I318" s="2"/>
      <c r="J318" s="2"/>
      <c r="K318" s="2"/>
      <c r="L318" s="10" t="s">
        <v>195</v>
      </c>
      <c r="M318" s="9">
        <v>16</v>
      </c>
      <c r="N318" s="2"/>
      <c r="O318" s="2"/>
      <c r="P318" s="2"/>
      <c r="Q318" s="2"/>
      <c r="R318" s="2" t="str">
        <f t="shared" si="44"/>
        <v>PAID</v>
      </c>
      <c r="S318" s="2"/>
      <c r="T318" s="2">
        <f t="shared" si="40"/>
        <v>0</v>
      </c>
      <c r="U318" s="2" t="str">
        <f t="shared" si="41"/>
        <v>OK</v>
      </c>
      <c r="V318" s="7">
        <f t="shared" si="42"/>
        <v>0</v>
      </c>
      <c r="W318" s="2" t="str">
        <f t="shared" si="43"/>
        <v>OK</v>
      </c>
      <c r="X318" s="2" t="s">
        <v>196</v>
      </c>
      <c r="Y318" s="2" t="s">
        <v>27</v>
      </c>
      <c r="Z318" s="2" t="s">
        <v>28</v>
      </c>
      <c r="AA318" t="s">
        <v>245</v>
      </c>
      <c r="AB318" t="s">
        <v>245</v>
      </c>
      <c r="AC318" t="s">
        <v>245</v>
      </c>
    </row>
    <row r="319" spans="1:29" x14ac:dyDescent="0.2">
      <c r="A319" t="str">
        <f t="shared" si="37"/>
        <v>TRIP-TR-318</v>
      </c>
      <c r="B319" s="3">
        <v>45894</v>
      </c>
      <c r="C319" t="str">
        <f>IF(X319="CUSTOMER DELIVERY",_xlfn.XLOOKUP(D319,'[1]Jan Customer Duplicate Hyva'!$B:$B,'[1]Jan Customer Duplicate Hyva'!$A:$A,"NOT FOUND"),"")</f>
        <v/>
      </c>
      <c r="D319" s="20" t="s">
        <v>215</v>
      </c>
      <c r="E319" s="2"/>
      <c r="F319" s="2"/>
      <c r="G319" s="2"/>
      <c r="H319" s="2"/>
      <c r="I319" s="2"/>
      <c r="J319" s="2"/>
      <c r="K319" s="2"/>
      <c r="L319" s="10" t="s">
        <v>197</v>
      </c>
      <c r="M319" s="9">
        <v>15</v>
      </c>
      <c r="N319" s="2"/>
      <c r="O319" s="2"/>
      <c r="P319" s="2"/>
      <c r="Q319" s="2"/>
      <c r="R319" s="2" t="str">
        <f t="shared" si="44"/>
        <v>PAID</v>
      </c>
      <c r="S319" s="2"/>
      <c r="T319" s="2">
        <f t="shared" si="40"/>
        <v>0</v>
      </c>
      <c r="U319" s="2" t="str">
        <f t="shared" si="41"/>
        <v>OK</v>
      </c>
      <c r="V319" s="7">
        <f t="shared" si="42"/>
        <v>0</v>
      </c>
      <c r="W319" s="2" t="str">
        <f t="shared" si="43"/>
        <v>OK</v>
      </c>
      <c r="X319" s="2" t="s">
        <v>196</v>
      </c>
      <c r="Y319" s="2" t="s">
        <v>27</v>
      </c>
      <c r="Z319" s="2" t="s">
        <v>28</v>
      </c>
      <c r="AA319" t="s">
        <v>245</v>
      </c>
      <c r="AB319" t="s">
        <v>245</v>
      </c>
      <c r="AC319" t="s">
        <v>245</v>
      </c>
    </row>
    <row r="320" spans="1:29" x14ac:dyDescent="0.2">
      <c r="A320" t="str">
        <f t="shared" si="37"/>
        <v>TRIP-TR-319</v>
      </c>
      <c r="B320" s="3">
        <v>45895</v>
      </c>
      <c r="C320" t="str">
        <f>IF(X320="CUSTOMER DELIVERY",_xlfn.XLOOKUP(D320,'[1]Jan Customer Duplicate Hyva'!$B:$B,'[1]Jan Customer Duplicate Hyva'!$A:$A,"NOT FOUND"),"")</f>
        <v/>
      </c>
      <c r="D320" s="20" t="s">
        <v>215</v>
      </c>
      <c r="E320" s="2"/>
      <c r="F320" s="2"/>
      <c r="G320" s="2"/>
      <c r="H320" s="2"/>
      <c r="I320" s="2"/>
      <c r="J320" s="2"/>
      <c r="K320" s="2"/>
      <c r="L320" s="10" t="s">
        <v>195</v>
      </c>
      <c r="M320" s="9">
        <v>18</v>
      </c>
      <c r="N320" s="2"/>
      <c r="O320" s="2"/>
      <c r="P320" s="2"/>
      <c r="Q320" s="2"/>
      <c r="R320" s="2" t="str">
        <f t="shared" si="44"/>
        <v>PAID</v>
      </c>
      <c r="S320" s="2"/>
      <c r="T320" s="2">
        <f t="shared" si="40"/>
        <v>0</v>
      </c>
      <c r="U320" s="2" t="str">
        <f t="shared" si="41"/>
        <v>OK</v>
      </c>
      <c r="V320" s="7">
        <f t="shared" si="42"/>
        <v>0</v>
      </c>
      <c r="W320" s="2" t="str">
        <f t="shared" si="43"/>
        <v>OK</v>
      </c>
      <c r="X320" s="2" t="s">
        <v>196</v>
      </c>
      <c r="Y320" s="2" t="s">
        <v>27</v>
      </c>
      <c r="Z320" s="2" t="s">
        <v>28</v>
      </c>
      <c r="AA320" t="s">
        <v>245</v>
      </c>
      <c r="AB320" t="s">
        <v>245</v>
      </c>
      <c r="AC320" t="s">
        <v>245</v>
      </c>
    </row>
    <row r="321" spans="1:29" x14ac:dyDescent="0.2">
      <c r="A321" t="str">
        <f t="shared" si="37"/>
        <v>TRIP-TR-320</v>
      </c>
      <c r="B321" s="3">
        <v>45896</v>
      </c>
      <c r="C321" t="str">
        <f>IF(X321="CUSTOMER DELIVERY",_xlfn.XLOOKUP(D321,'[1]Jan Customer Duplicate Hyva'!$B:$B,'[1]Jan Customer Duplicate Hyva'!$A:$A,"NOT FOUND"),"")</f>
        <v/>
      </c>
      <c r="D321" s="20" t="s">
        <v>215</v>
      </c>
      <c r="E321" s="2"/>
      <c r="F321" s="2"/>
      <c r="G321" s="2"/>
      <c r="H321" s="2"/>
      <c r="I321" s="2"/>
      <c r="J321" s="2"/>
      <c r="K321" s="2"/>
      <c r="L321" s="10" t="s">
        <v>195</v>
      </c>
      <c r="M321" s="9">
        <v>17</v>
      </c>
      <c r="N321" s="2"/>
      <c r="O321" s="2"/>
      <c r="P321" s="2"/>
      <c r="Q321" s="2"/>
      <c r="R321" s="2" t="str">
        <f t="shared" si="44"/>
        <v>PAID</v>
      </c>
      <c r="S321" s="2"/>
      <c r="T321" s="2">
        <f t="shared" si="40"/>
        <v>0</v>
      </c>
      <c r="U321" s="2" t="str">
        <f t="shared" si="41"/>
        <v>OK</v>
      </c>
      <c r="V321" s="7">
        <f t="shared" si="42"/>
        <v>0</v>
      </c>
      <c r="W321" s="2" t="str">
        <f t="shared" si="43"/>
        <v>OK</v>
      </c>
      <c r="X321" s="2" t="s">
        <v>196</v>
      </c>
      <c r="Y321" s="2" t="s">
        <v>27</v>
      </c>
      <c r="Z321" s="2" t="s">
        <v>28</v>
      </c>
      <c r="AA321" t="s">
        <v>245</v>
      </c>
      <c r="AB321" t="s">
        <v>245</v>
      </c>
      <c r="AC321" t="s">
        <v>245</v>
      </c>
    </row>
    <row r="322" spans="1:29" x14ac:dyDescent="0.2">
      <c r="A322" t="str">
        <f t="shared" si="37"/>
        <v>TRIP-TR-321</v>
      </c>
      <c r="B322" s="3">
        <v>45900</v>
      </c>
      <c r="C322" t="str">
        <f>IF(X322="CUSTOMER DELIVERY",_xlfn.XLOOKUP(D322,'[1]Jan Customer Duplicate Hyva'!$B:$B,'[1]Jan Customer Duplicate Hyva'!$A:$A,"NOT FOUND"),"")</f>
        <v/>
      </c>
      <c r="D322" s="20" t="s">
        <v>215</v>
      </c>
      <c r="E322" s="2"/>
      <c r="F322" s="2"/>
      <c r="G322" s="2"/>
      <c r="H322" s="2"/>
      <c r="I322" s="2"/>
      <c r="J322" s="2"/>
      <c r="K322" s="2"/>
      <c r="L322" s="10" t="s">
        <v>195</v>
      </c>
      <c r="M322" s="9">
        <v>22</v>
      </c>
      <c r="N322" s="2"/>
      <c r="O322" s="2"/>
      <c r="P322" s="2"/>
      <c r="Q322" s="2"/>
      <c r="R322" s="2" t="str">
        <f t="shared" si="44"/>
        <v>PAID</v>
      </c>
      <c r="S322" s="2"/>
      <c r="T322" s="2">
        <f t="shared" si="40"/>
        <v>0</v>
      </c>
      <c r="U322" s="2" t="str">
        <f t="shared" si="41"/>
        <v>OK</v>
      </c>
      <c r="V322" s="7">
        <f t="shared" si="42"/>
        <v>0</v>
      </c>
      <c r="W322" s="2" t="str">
        <f t="shared" si="43"/>
        <v>OK</v>
      </c>
      <c r="X322" s="2" t="s">
        <v>196</v>
      </c>
      <c r="Y322" s="2" t="s">
        <v>27</v>
      </c>
      <c r="Z322" s="2" t="s">
        <v>28</v>
      </c>
      <c r="AA322" t="s">
        <v>245</v>
      </c>
      <c r="AB322" t="s">
        <v>245</v>
      </c>
      <c r="AC322" t="s">
        <v>245</v>
      </c>
    </row>
    <row r="323" spans="1:29" x14ac:dyDescent="0.2">
      <c r="A323" t="str">
        <f t="shared" ref="A323:A386" si="45">"TRIP-TR-"&amp;TEXT(ROW()-1,"000")</f>
        <v>TRIP-TR-322</v>
      </c>
      <c r="B323" s="3">
        <v>45900</v>
      </c>
      <c r="C323" t="str">
        <f>IF(X323="CUSTOMER DELIVERY",_xlfn.XLOOKUP(D323,'[1]Jan Customer Duplicate Hyva'!$B:$B,'[1]Jan Customer Duplicate Hyva'!$A:$A,"NOT FOUND"),"")</f>
        <v/>
      </c>
      <c r="D323" s="20" t="s">
        <v>215</v>
      </c>
      <c r="E323" s="2"/>
      <c r="F323" s="2"/>
      <c r="G323" s="2"/>
      <c r="H323" s="2"/>
      <c r="I323" s="2"/>
      <c r="J323" s="2"/>
      <c r="K323" s="2"/>
      <c r="L323" s="10" t="s">
        <v>195</v>
      </c>
      <c r="M323" s="9">
        <v>15</v>
      </c>
      <c r="N323" s="2"/>
      <c r="O323" s="2"/>
      <c r="P323" s="2"/>
      <c r="Q323" s="2"/>
      <c r="R323" s="2" t="str">
        <f t="shared" si="44"/>
        <v>PAID</v>
      </c>
      <c r="S323" s="2"/>
      <c r="T323" s="2">
        <f t="shared" si="40"/>
        <v>0</v>
      </c>
      <c r="U323" s="2" t="str">
        <f t="shared" si="41"/>
        <v>OK</v>
      </c>
      <c r="V323" s="7">
        <f t="shared" si="42"/>
        <v>0</v>
      </c>
      <c r="W323" s="2" t="str">
        <f t="shared" si="43"/>
        <v>OK</v>
      </c>
      <c r="X323" s="2" t="s">
        <v>196</v>
      </c>
      <c r="Y323" s="2" t="s">
        <v>27</v>
      </c>
      <c r="Z323" s="2" t="s">
        <v>28</v>
      </c>
      <c r="AA323" t="s">
        <v>245</v>
      </c>
      <c r="AB323" t="s">
        <v>245</v>
      </c>
      <c r="AC323" t="s">
        <v>245</v>
      </c>
    </row>
    <row r="324" spans="1:29" x14ac:dyDescent="0.2">
      <c r="A324" t="str">
        <f t="shared" si="45"/>
        <v>TRIP-TR-323</v>
      </c>
      <c r="B324" s="3">
        <v>45901</v>
      </c>
      <c r="C324" t="str">
        <f>IF(X324="CUSTOMER DELIVERY",_xlfn.XLOOKUP(D324,'[1]Jan Customer Duplicate Hyva'!$B:$B,'[1]Jan Customer Duplicate Hyva'!$A:$A,"NOT FOUND"),"")</f>
        <v/>
      </c>
      <c r="D324" s="20" t="s">
        <v>215</v>
      </c>
      <c r="E324" s="2"/>
      <c r="F324" s="2"/>
      <c r="G324" s="2"/>
      <c r="H324" s="2"/>
      <c r="I324" s="2"/>
      <c r="J324" s="2"/>
      <c r="K324" s="2"/>
      <c r="L324" s="10" t="s">
        <v>195</v>
      </c>
      <c r="M324" s="9">
        <v>17</v>
      </c>
      <c r="N324" s="2"/>
      <c r="O324" s="2"/>
      <c r="P324" s="2"/>
      <c r="Q324" s="2"/>
      <c r="R324" s="2" t="str">
        <f t="shared" si="44"/>
        <v>PAID</v>
      </c>
      <c r="S324" s="2"/>
      <c r="T324" s="2">
        <f t="shared" si="40"/>
        <v>0</v>
      </c>
      <c r="U324" s="2" t="str">
        <f t="shared" si="41"/>
        <v>OK</v>
      </c>
      <c r="V324" s="7">
        <f t="shared" si="42"/>
        <v>0</v>
      </c>
      <c r="W324" s="2" t="str">
        <f t="shared" si="43"/>
        <v>OK</v>
      </c>
      <c r="X324" s="2" t="s">
        <v>196</v>
      </c>
      <c r="Y324" s="2" t="s">
        <v>27</v>
      </c>
      <c r="Z324" s="2" t="s">
        <v>28</v>
      </c>
      <c r="AA324" t="s">
        <v>245</v>
      </c>
      <c r="AB324" t="s">
        <v>245</v>
      </c>
      <c r="AC324" t="s">
        <v>245</v>
      </c>
    </row>
    <row r="325" spans="1:29" x14ac:dyDescent="0.2">
      <c r="A325" t="str">
        <f t="shared" si="45"/>
        <v>TRIP-TR-324</v>
      </c>
      <c r="B325" s="3">
        <v>45908</v>
      </c>
      <c r="C325" t="str">
        <f>IF(X325="CUSTOMER DELIVERY",_xlfn.XLOOKUP(D325,'[1]Jan Customer Duplicate Hyva'!$B:$B,'[1]Jan Customer Duplicate Hyva'!$A:$A,"NOT FOUND"),"")</f>
        <v/>
      </c>
      <c r="D325" s="20" t="s">
        <v>215</v>
      </c>
      <c r="E325" s="2"/>
      <c r="F325" s="2"/>
      <c r="G325" s="2"/>
      <c r="H325" s="2"/>
      <c r="I325" s="2"/>
      <c r="J325" s="2"/>
      <c r="K325" s="2"/>
      <c r="L325" s="10" t="s">
        <v>195</v>
      </c>
      <c r="M325" s="9">
        <v>20</v>
      </c>
      <c r="N325" s="2"/>
      <c r="O325" s="2"/>
      <c r="P325" s="2"/>
      <c r="Q325" s="2"/>
      <c r="R325" s="2" t="str">
        <f t="shared" si="44"/>
        <v>PAID</v>
      </c>
      <c r="S325" s="2"/>
      <c r="T325" s="2">
        <f t="shared" si="40"/>
        <v>0</v>
      </c>
      <c r="U325" s="2" t="str">
        <f t="shared" si="41"/>
        <v>OK</v>
      </c>
      <c r="V325" s="7">
        <f t="shared" si="42"/>
        <v>0</v>
      </c>
      <c r="W325" s="2" t="str">
        <f t="shared" si="43"/>
        <v>OK</v>
      </c>
      <c r="X325" s="2" t="s">
        <v>196</v>
      </c>
      <c r="Y325" s="2" t="s">
        <v>27</v>
      </c>
      <c r="Z325" s="2" t="s">
        <v>28</v>
      </c>
      <c r="AA325" t="s">
        <v>245</v>
      </c>
      <c r="AB325" t="s">
        <v>245</v>
      </c>
      <c r="AC325" t="s">
        <v>245</v>
      </c>
    </row>
    <row r="326" spans="1:29" x14ac:dyDescent="0.2">
      <c r="A326" t="str">
        <f t="shared" si="45"/>
        <v>TRIP-TR-325</v>
      </c>
      <c r="B326" s="3">
        <v>45908</v>
      </c>
      <c r="C326" t="str">
        <f>IF(X326="CUSTOMER DELIVERY",_xlfn.XLOOKUP(D326,'[1]Jan Customer Duplicate Hyva'!$B:$B,'[1]Jan Customer Duplicate Hyva'!$A:$A,"NOT FOUND"),"")</f>
        <v/>
      </c>
      <c r="D326" s="20" t="s">
        <v>215</v>
      </c>
      <c r="E326" s="2"/>
      <c r="F326" s="2"/>
      <c r="G326" s="2"/>
      <c r="H326" s="2"/>
      <c r="I326" s="2"/>
      <c r="J326" s="2"/>
      <c r="K326" s="2"/>
      <c r="L326" s="10" t="s">
        <v>195</v>
      </c>
      <c r="M326" s="9">
        <v>23</v>
      </c>
      <c r="N326" s="2"/>
      <c r="O326" s="2"/>
      <c r="P326" s="2"/>
      <c r="Q326" s="2"/>
      <c r="R326" s="2" t="str">
        <f t="shared" si="44"/>
        <v>PAID</v>
      </c>
      <c r="S326" s="2"/>
      <c r="T326" s="2">
        <f t="shared" si="40"/>
        <v>0</v>
      </c>
      <c r="U326" s="2" t="str">
        <f t="shared" si="41"/>
        <v>OK</v>
      </c>
      <c r="V326" s="7">
        <f t="shared" si="42"/>
        <v>0</v>
      </c>
      <c r="W326" s="2" t="str">
        <f t="shared" si="43"/>
        <v>OK</v>
      </c>
      <c r="X326" s="2" t="s">
        <v>196</v>
      </c>
      <c r="Y326" s="2" t="s">
        <v>27</v>
      </c>
      <c r="Z326" s="2" t="s">
        <v>28</v>
      </c>
      <c r="AA326" t="s">
        <v>245</v>
      </c>
      <c r="AB326" t="s">
        <v>245</v>
      </c>
      <c r="AC326" t="s">
        <v>245</v>
      </c>
    </row>
    <row r="327" spans="1:29" x14ac:dyDescent="0.2">
      <c r="A327" t="str">
        <f t="shared" si="45"/>
        <v>TRIP-TR-326</v>
      </c>
      <c r="B327" s="3">
        <v>45908</v>
      </c>
      <c r="C327" t="str">
        <f>IF(X327="CUSTOMER DELIVERY",_xlfn.XLOOKUP(D327,'[1]Jan Customer Duplicate Hyva'!$B:$B,'[1]Jan Customer Duplicate Hyva'!$A:$A,"NOT FOUND"),"")</f>
        <v/>
      </c>
      <c r="D327" s="20" t="s">
        <v>215</v>
      </c>
      <c r="E327" s="2"/>
      <c r="F327" s="2"/>
      <c r="G327" s="2"/>
      <c r="H327" s="2"/>
      <c r="I327" s="2"/>
      <c r="J327" s="2"/>
      <c r="K327" s="2"/>
      <c r="L327" s="10" t="s">
        <v>195</v>
      </c>
      <c r="M327" s="9">
        <v>19</v>
      </c>
      <c r="N327" s="2"/>
      <c r="O327" s="2"/>
      <c r="P327" s="2"/>
      <c r="Q327" s="2"/>
      <c r="R327" s="2" t="str">
        <f t="shared" si="44"/>
        <v>PAID</v>
      </c>
      <c r="S327" s="2"/>
      <c r="T327" s="2">
        <f t="shared" si="40"/>
        <v>0</v>
      </c>
      <c r="U327" s="2" t="str">
        <f t="shared" si="41"/>
        <v>OK</v>
      </c>
      <c r="V327" s="7">
        <f t="shared" si="42"/>
        <v>0</v>
      </c>
      <c r="W327" s="2" t="str">
        <f t="shared" si="43"/>
        <v>OK</v>
      </c>
      <c r="X327" s="2" t="s">
        <v>196</v>
      </c>
      <c r="Y327" s="2" t="s">
        <v>27</v>
      </c>
      <c r="Z327" s="2" t="s">
        <v>28</v>
      </c>
      <c r="AA327" t="s">
        <v>245</v>
      </c>
      <c r="AB327" t="s">
        <v>245</v>
      </c>
      <c r="AC327" t="s">
        <v>245</v>
      </c>
    </row>
    <row r="328" spans="1:29" x14ac:dyDescent="0.2">
      <c r="A328" t="str">
        <f t="shared" si="45"/>
        <v>TRIP-TR-327</v>
      </c>
      <c r="B328" s="3">
        <v>45908</v>
      </c>
      <c r="C328" t="str">
        <f>IF(X328="CUSTOMER DELIVERY",_xlfn.XLOOKUP(D328,'[1]Jan Customer Duplicate Hyva'!$B:$B,'[1]Jan Customer Duplicate Hyva'!$A:$A,"NOT FOUND"),"")</f>
        <v/>
      </c>
      <c r="D328" s="20" t="s">
        <v>215</v>
      </c>
      <c r="E328" s="2"/>
      <c r="F328" s="2"/>
      <c r="G328" s="2"/>
      <c r="H328" s="2"/>
      <c r="I328" s="2"/>
      <c r="J328" s="2"/>
      <c r="K328" s="2"/>
      <c r="L328" s="10" t="s">
        <v>195</v>
      </c>
      <c r="M328" s="9">
        <v>22</v>
      </c>
      <c r="N328" s="2"/>
      <c r="O328" s="2"/>
      <c r="P328" s="2"/>
      <c r="Q328" s="2"/>
      <c r="R328" s="2" t="str">
        <f t="shared" si="44"/>
        <v>PAID</v>
      </c>
      <c r="S328" s="2"/>
      <c r="T328" s="2">
        <f t="shared" si="40"/>
        <v>0</v>
      </c>
      <c r="U328" s="2" t="str">
        <f t="shared" si="41"/>
        <v>OK</v>
      </c>
      <c r="V328" s="7">
        <f t="shared" si="42"/>
        <v>0</v>
      </c>
      <c r="W328" s="2" t="str">
        <f t="shared" si="43"/>
        <v>OK</v>
      </c>
      <c r="X328" s="2" t="s">
        <v>196</v>
      </c>
      <c r="Y328" s="2" t="s">
        <v>27</v>
      </c>
      <c r="Z328" s="2" t="s">
        <v>28</v>
      </c>
      <c r="AA328" t="s">
        <v>245</v>
      </c>
      <c r="AB328" t="s">
        <v>245</v>
      </c>
      <c r="AC328" t="s">
        <v>245</v>
      </c>
    </row>
    <row r="329" spans="1:29" x14ac:dyDescent="0.2">
      <c r="A329" t="str">
        <f t="shared" si="45"/>
        <v>TRIP-TR-328</v>
      </c>
      <c r="B329" s="3">
        <v>45908</v>
      </c>
      <c r="C329" t="str">
        <f>IF(X329="CUSTOMER DELIVERY",_xlfn.XLOOKUP(D329,'[1]Jan Customer Duplicate Hyva'!$B:$B,'[1]Jan Customer Duplicate Hyva'!$A:$A,"NOT FOUND"),"")</f>
        <v/>
      </c>
      <c r="D329" s="20" t="s">
        <v>215</v>
      </c>
      <c r="E329" s="2"/>
      <c r="F329" s="2"/>
      <c r="G329" s="2"/>
      <c r="H329" s="2"/>
      <c r="I329" s="2"/>
      <c r="J329" s="2"/>
      <c r="K329" s="2"/>
      <c r="L329" s="10" t="s">
        <v>195</v>
      </c>
      <c r="M329" s="9">
        <v>15</v>
      </c>
      <c r="N329" s="2"/>
      <c r="O329" s="2"/>
      <c r="P329" s="2"/>
      <c r="Q329" s="2"/>
      <c r="R329" s="2" t="str">
        <f t="shared" si="44"/>
        <v>PAID</v>
      </c>
      <c r="S329" s="2"/>
      <c r="T329" s="2">
        <f t="shared" ref="T329:T392" si="46">M329*N329</f>
        <v>0</v>
      </c>
      <c r="U329" s="2" t="str">
        <f t="shared" ref="U329:U392" si="47">IF(ROUND(T329,2)=ROUND(O329,2),"OK","CHECK")</f>
        <v>OK</v>
      </c>
      <c r="V329" s="7">
        <f t="shared" ref="V329:V392" si="48">O329-P329</f>
        <v>0</v>
      </c>
      <c r="W329" s="2" t="str">
        <f t="shared" ref="W329:W392" si="49">IF(ROUND(V329,2)=ROUND(Q329,2),"OK","CHECK")</f>
        <v>OK</v>
      </c>
      <c r="X329" s="2" t="s">
        <v>196</v>
      </c>
      <c r="Y329" s="2" t="s">
        <v>27</v>
      </c>
      <c r="Z329" s="2" t="s">
        <v>28</v>
      </c>
      <c r="AA329" t="s">
        <v>245</v>
      </c>
      <c r="AB329" t="s">
        <v>245</v>
      </c>
      <c r="AC329" t="s">
        <v>245</v>
      </c>
    </row>
    <row r="330" spans="1:29" x14ac:dyDescent="0.2">
      <c r="A330" t="str">
        <f t="shared" si="45"/>
        <v>TRIP-TR-329</v>
      </c>
      <c r="B330" s="3">
        <v>45908</v>
      </c>
      <c r="C330" t="str">
        <f>IF(X330="CUSTOMER DELIVERY",_xlfn.XLOOKUP(D330,'[1]Jan Customer Duplicate Hyva'!$B:$B,'[1]Jan Customer Duplicate Hyva'!$A:$A,"NOT FOUND"),"")</f>
        <v/>
      </c>
      <c r="D330" s="20" t="s">
        <v>215</v>
      </c>
      <c r="E330" s="2"/>
      <c r="F330" s="2"/>
      <c r="G330" s="2"/>
      <c r="H330" s="2"/>
      <c r="I330" s="2"/>
      <c r="J330" s="2"/>
      <c r="K330" s="2"/>
      <c r="L330" s="10" t="s">
        <v>195</v>
      </c>
      <c r="M330" s="9">
        <v>17</v>
      </c>
      <c r="N330" s="2"/>
      <c r="O330" s="2"/>
      <c r="P330" s="2"/>
      <c r="Q330" s="2"/>
      <c r="R330" s="2" t="str">
        <f t="shared" ref="R330:R393" si="50">IF(Q330=0,"PAID",IF(P330=0,"UNPAID","PARTIAL"))</f>
        <v>PAID</v>
      </c>
      <c r="S330" s="2"/>
      <c r="T330" s="2">
        <f t="shared" si="46"/>
        <v>0</v>
      </c>
      <c r="U330" s="2" t="str">
        <f t="shared" si="47"/>
        <v>OK</v>
      </c>
      <c r="V330" s="7">
        <f t="shared" si="48"/>
        <v>0</v>
      </c>
      <c r="W330" s="2" t="str">
        <f t="shared" si="49"/>
        <v>OK</v>
      </c>
      <c r="X330" s="2" t="s">
        <v>196</v>
      </c>
      <c r="Y330" s="2" t="s">
        <v>27</v>
      </c>
      <c r="Z330" s="2" t="s">
        <v>28</v>
      </c>
      <c r="AA330" t="s">
        <v>245</v>
      </c>
      <c r="AB330" t="s">
        <v>245</v>
      </c>
      <c r="AC330" t="s">
        <v>245</v>
      </c>
    </row>
    <row r="331" spans="1:29" x14ac:dyDescent="0.2">
      <c r="A331" t="str">
        <f t="shared" si="45"/>
        <v>TRIP-TR-330</v>
      </c>
      <c r="B331" s="3">
        <v>45909</v>
      </c>
      <c r="C331" t="str">
        <f>IF(X331="CUSTOMER DELIVERY",_xlfn.XLOOKUP(D331,'[1]Jan Customer Duplicate Hyva'!$B:$B,'[1]Jan Customer Duplicate Hyva'!$A:$A,"NOT FOUND"),"")</f>
        <v/>
      </c>
      <c r="D331" s="20" t="s">
        <v>215</v>
      </c>
      <c r="E331" s="2"/>
      <c r="F331" s="2"/>
      <c r="G331" s="2"/>
      <c r="H331" s="2"/>
      <c r="I331" s="2"/>
      <c r="J331" s="2"/>
      <c r="K331" s="2"/>
      <c r="L331" s="10" t="s">
        <v>195</v>
      </c>
      <c r="M331" s="9">
        <v>19</v>
      </c>
      <c r="N331" s="2"/>
      <c r="O331" s="2"/>
      <c r="P331" s="2"/>
      <c r="Q331" s="2"/>
      <c r="R331" s="2" t="str">
        <f t="shared" si="50"/>
        <v>PAID</v>
      </c>
      <c r="S331" s="2"/>
      <c r="T331" s="2">
        <f t="shared" si="46"/>
        <v>0</v>
      </c>
      <c r="U331" s="2" t="str">
        <f t="shared" si="47"/>
        <v>OK</v>
      </c>
      <c r="V331" s="7">
        <f t="shared" si="48"/>
        <v>0</v>
      </c>
      <c r="W331" s="2" t="str">
        <f t="shared" si="49"/>
        <v>OK</v>
      </c>
      <c r="X331" s="2" t="s">
        <v>196</v>
      </c>
      <c r="Y331" s="2" t="s">
        <v>27</v>
      </c>
      <c r="Z331" s="2" t="s">
        <v>28</v>
      </c>
      <c r="AA331" t="s">
        <v>245</v>
      </c>
      <c r="AB331" t="s">
        <v>245</v>
      </c>
      <c r="AC331" t="s">
        <v>245</v>
      </c>
    </row>
    <row r="332" spans="1:29" x14ac:dyDescent="0.2">
      <c r="A332" t="str">
        <f t="shared" si="45"/>
        <v>TRIP-TR-331</v>
      </c>
      <c r="B332" s="3">
        <v>45911</v>
      </c>
      <c r="C332" t="str">
        <f>IF(X332="CUSTOMER DELIVERY",_xlfn.XLOOKUP(D332,'[1]Jan Customer Duplicate Hyva'!$B:$B,'[1]Jan Customer Duplicate Hyva'!$A:$A,"NOT FOUND"),"")</f>
        <v/>
      </c>
      <c r="D332" s="20" t="s">
        <v>215</v>
      </c>
      <c r="E332" s="2"/>
      <c r="F332" s="2"/>
      <c r="G332" s="2"/>
      <c r="H332" s="2"/>
      <c r="I332" s="2"/>
      <c r="J332" s="2"/>
      <c r="K332" s="2"/>
      <c r="L332" s="10" t="s">
        <v>195</v>
      </c>
      <c r="M332" s="9">
        <v>16</v>
      </c>
      <c r="N332" s="2"/>
      <c r="O332" s="2"/>
      <c r="P332" s="2"/>
      <c r="Q332" s="2"/>
      <c r="R332" s="2" t="str">
        <f t="shared" si="50"/>
        <v>PAID</v>
      </c>
      <c r="S332" s="2"/>
      <c r="T332" s="2">
        <f t="shared" si="46"/>
        <v>0</v>
      </c>
      <c r="U332" s="2" t="str">
        <f t="shared" si="47"/>
        <v>OK</v>
      </c>
      <c r="V332" s="7">
        <f t="shared" si="48"/>
        <v>0</v>
      </c>
      <c r="W332" s="2" t="str">
        <f t="shared" si="49"/>
        <v>OK</v>
      </c>
      <c r="X332" s="2" t="s">
        <v>196</v>
      </c>
      <c r="Y332" s="2" t="s">
        <v>27</v>
      </c>
      <c r="Z332" s="2" t="s">
        <v>28</v>
      </c>
      <c r="AA332" t="s">
        <v>245</v>
      </c>
      <c r="AB332" t="s">
        <v>245</v>
      </c>
      <c r="AC332" t="s">
        <v>245</v>
      </c>
    </row>
    <row r="333" spans="1:29" x14ac:dyDescent="0.2">
      <c r="A333" t="str">
        <f t="shared" si="45"/>
        <v>TRIP-TR-332</v>
      </c>
      <c r="B333" s="3">
        <v>45915</v>
      </c>
      <c r="C333" t="str">
        <f>IF(X333="CUSTOMER DELIVERY",_xlfn.XLOOKUP(D333,'[1]Jan Customer Duplicate Hyva'!$B:$B,'[1]Jan Customer Duplicate Hyva'!$A:$A,"NOT FOUND"),"")</f>
        <v/>
      </c>
      <c r="D333" s="20" t="s">
        <v>215</v>
      </c>
      <c r="E333" s="2"/>
      <c r="F333" s="2"/>
      <c r="G333" s="2"/>
      <c r="H333" s="2"/>
      <c r="I333" s="2"/>
      <c r="J333" s="2"/>
      <c r="K333" s="2"/>
      <c r="L333" s="10" t="s">
        <v>195</v>
      </c>
      <c r="M333" s="11">
        <v>19</v>
      </c>
      <c r="N333" s="2"/>
      <c r="O333" s="2"/>
      <c r="P333" s="2"/>
      <c r="Q333" s="2"/>
      <c r="R333" s="2" t="str">
        <f t="shared" si="50"/>
        <v>PAID</v>
      </c>
      <c r="S333" s="2"/>
      <c r="T333" s="2">
        <f t="shared" si="46"/>
        <v>0</v>
      </c>
      <c r="U333" s="2" t="str">
        <f t="shared" si="47"/>
        <v>OK</v>
      </c>
      <c r="V333" s="7">
        <f t="shared" si="48"/>
        <v>0</v>
      </c>
      <c r="W333" s="2" t="str">
        <f t="shared" si="49"/>
        <v>OK</v>
      </c>
      <c r="X333" s="2" t="s">
        <v>196</v>
      </c>
      <c r="Y333" s="2" t="s">
        <v>27</v>
      </c>
      <c r="Z333" s="2" t="s">
        <v>28</v>
      </c>
      <c r="AA333" t="s">
        <v>245</v>
      </c>
      <c r="AB333" t="s">
        <v>245</v>
      </c>
      <c r="AC333" t="s">
        <v>245</v>
      </c>
    </row>
    <row r="334" spans="1:29" x14ac:dyDescent="0.2">
      <c r="A334" t="str">
        <f t="shared" si="45"/>
        <v>TRIP-TR-333</v>
      </c>
      <c r="B334" s="3">
        <v>45915</v>
      </c>
      <c r="C334" t="str">
        <f>IF(X334="CUSTOMER DELIVERY",_xlfn.XLOOKUP(D334,'[1]Jan Customer Duplicate Hyva'!$B:$B,'[1]Jan Customer Duplicate Hyva'!$A:$A,"NOT FOUND"),"")</f>
        <v/>
      </c>
      <c r="D334" s="20" t="s">
        <v>215</v>
      </c>
      <c r="E334" s="2"/>
      <c r="F334" s="2"/>
      <c r="G334" s="2"/>
      <c r="H334" s="2"/>
      <c r="I334" s="2"/>
      <c r="J334" s="2"/>
      <c r="K334" s="2"/>
      <c r="L334" s="10" t="s">
        <v>195</v>
      </c>
      <c r="M334" s="11">
        <v>16</v>
      </c>
      <c r="N334" s="2"/>
      <c r="O334" s="2"/>
      <c r="P334" s="2"/>
      <c r="Q334" s="2"/>
      <c r="R334" s="2" t="str">
        <f t="shared" si="50"/>
        <v>PAID</v>
      </c>
      <c r="S334" s="2"/>
      <c r="T334" s="2">
        <f t="shared" si="46"/>
        <v>0</v>
      </c>
      <c r="U334" s="2" t="str">
        <f t="shared" si="47"/>
        <v>OK</v>
      </c>
      <c r="V334" s="7">
        <f t="shared" si="48"/>
        <v>0</v>
      </c>
      <c r="W334" s="2" t="str">
        <f t="shared" si="49"/>
        <v>OK</v>
      </c>
      <c r="X334" s="2" t="s">
        <v>196</v>
      </c>
      <c r="Y334" s="2" t="s">
        <v>27</v>
      </c>
      <c r="Z334" s="2" t="s">
        <v>28</v>
      </c>
      <c r="AA334" t="s">
        <v>245</v>
      </c>
      <c r="AB334" t="s">
        <v>245</v>
      </c>
      <c r="AC334" t="s">
        <v>245</v>
      </c>
    </row>
    <row r="335" spans="1:29" x14ac:dyDescent="0.2">
      <c r="A335" t="str">
        <f t="shared" si="45"/>
        <v>TRIP-TR-334</v>
      </c>
      <c r="B335" s="3">
        <v>45915</v>
      </c>
      <c r="C335" t="str">
        <f>IF(X335="CUSTOMER DELIVERY",_xlfn.XLOOKUP(D335,'[1]Jan Customer Duplicate Hyva'!$B:$B,'[1]Jan Customer Duplicate Hyva'!$A:$A,"NOT FOUND"),"")</f>
        <v/>
      </c>
      <c r="D335" s="20" t="s">
        <v>215</v>
      </c>
      <c r="E335" s="2"/>
      <c r="F335" s="2"/>
      <c r="G335" s="2"/>
      <c r="H335" s="2"/>
      <c r="I335" s="2"/>
      <c r="J335" s="2"/>
      <c r="K335" s="2"/>
      <c r="L335" s="10" t="s">
        <v>195</v>
      </c>
      <c r="M335" s="9">
        <v>13</v>
      </c>
      <c r="N335" s="2"/>
      <c r="O335" s="2"/>
      <c r="P335" s="2"/>
      <c r="Q335" s="2"/>
      <c r="R335" s="2" t="str">
        <f t="shared" si="50"/>
        <v>PAID</v>
      </c>
      <c r="S335" s="2"/>
      <c r="T335" s="2">
        <f t="shared" si="46"/>
        <v>0</v>
      </c>
      <c r="U335" s="2" t="str">
        <f t="shared" si="47"/>
        <v>OK</v>
      </c>
      <c r="V335" s="7">
        <f t="shared" si="48"/>
        <v>0</v>
      </c>
      <c r="W335" s="2" t="str">
        <f t="shared" si="49"/>
        <v>OK</v>
      </c>
      <c r="X335" s="2" t="s">
        <v>196</v>
      </c>
      <c r="Y335" s="2" t="s">
        <v>27</v>
      </c>
      <c r="Z335" s="2" t="s">
        <v>28</v>
      </c>
      <c r="AA335" t="s">
        <v>245</v>
      </c>
      <c r="AB335" t="s">
        <v>245</v>
      </c>
      <c r="AC335" t="s">
        <v>245</v>
      </c>
    </row>
    <row r="336" spans="1:29" x14ac:dyDescent="0.2">
      <c r="A336" t="str">
        <f t="shared" si="45"/>
        <v>TRIP-TR-335</v>
      </c>
      <c r="B336" s="3">
        <v>45915</v>
      </c>
      <c r="C336" t="str">
        <f>IF(X336="CUSTOMER DELIVERY",_xlfn.XLOOKUP(D336,'[1]Jan Customer Duplicate Hyva'!$B:$B,'[1]Jan Customer Duplicate Hyva'!$A:$A,"NOT FOUND"),"")</f>
        <v/>
      </c>
      <c r="D336" s="20" t="s">
        <v>215</v>
      </c>
      <c r="E336" s="2"/>
      <c r="F336" s="2"/>
      <c r="G336" s="2"/>
      <c r="H336" s="2"/>
      <c r="I336" s="2"/>
      <c r="J336" s="2"/>
      <c r="K336" s="2"/>
      <c r="L336" s="10" t="s">
        <v>195</v>
      </c>
      <c r="M336" s="11">
        <v>11</v>
      </c>
      <c r="N336" s="2"/>
      <c r="O336" s="2"/>
      <c r="P336" s="2"/>
      <c r="Q336" s="2"/>
      <c r="R336" s="2" t="str">
        <f t="shared" si="50"/>
        <v>PAID</v>
      </c>
      <c r="S336" s="2"/>
      <c r="T336" s="2">
        <f t="shared" si="46"/>
        <v>0</v>
      </c>
      <c r="U336" s="2" t="str">
        <f t="shared" si="47"/>
        <v>OK</v>
      </c>
      <c r="V336" s="7">
        <f t="shared" si="48"/>
        <v>0</v>
      </c>
      <c r="W336" s="2" t="str">
        <f t="shared" si="49"/>
        <v>OK</v>
      </c>
      <c r="X336" s="2" t="s">
        <v>196</v>
      </c>
      <c r="Y336" s="2" t="s">
        <v>27</v>
      </c>
      <c r="Z336" s="2" t="s">
        <v>28</v>
      </c>
      <c r="AA336" t="s">
        <v>245</v>
      </c>
      <c r="AB336" t="s">
        <v>245</v>
      </c>
      <c r="AC336" t="s">
        <v>245</v>
      </c>
    </row>
    <row r="337" spans="1:29" x14ac:dyDescent="0.2">
      <c r="A337" t="str">
        <f t="shared" si="45"/>
        <v>TRIP-TR-336</v>
      </c>
      <c r="B337" s="3">
        <v>45915</v>
      </c>
      <c r="C337" t="str">
        <f>IF(X337="CUSTOMER DELIVERY",_xlfn.XLOOKUP(D337,'[1]Jan Customer Duplicate Hyva'!$B:$B,'[1]Jan Customer Duplicate Hyva'!$A:$A,"NOT FOUND"),"")</f>
        <v/>
      </c>
      <c r="D337" s="20" t="s">
        <v>215</v>
      </c>
      <c r="E337" s="2"/>
      <c r="F337" s="2"/>
      <c r="G337" s="2"/>
      <c r="H337" s="2"/>
      <c r="I337" s="2"/>
      <c r="J337" s="2"/>
      <c r="K337" s="2"/>
      <c r="L337" s="10" t="s">
        <v>195</v>
      </c>
      <c r="M337" s="9">
        <v>2</v>
      </c>
      <c r="N337" s="2"/>
      <c r="O337" s="2"/>
      <c r="P337" s="2"/>
      <c r="Q337" s="2"/>
      <c r="R337" s="2" t="str">
        <f t="shared" si="50"/>
        <v>PAID</v>
      </c>
      <c r="S337" s="2"/>
      <c r="T337" s="2">
        <f t="shared" si="46"/>
        <v>0</v>
      </c>
      <c r="U337" s="2" t="str">
        <f t="shared" si="47"/>
        <v>OK</v>
      </c>
      <c r="V337" s="7">
        <f t="shared" si="48"/>
        <v>0</v>
      </c>
      <c r="W337" s="2" t="str">
        <f t="shared" si="49"/>
        <v>OK</v>
      </c>
      <c r="X337" s="2" t="s">
        <v>196</v>
      </c>
      <c r="Y337" s="2" t="s">
        <v>27</v>
      </c>
      <c r="Z337" s="2" t="s">
        <v>28</v>
      </c>
      <c r="AA337" t="s">
        <v>245</v>
      </c>
      <c r="AB337" t="s">
        <v>245</v>
      </c>
      <c r="AC337" t="s">
        <v>245</v>
      </c>
    </row>
    <row r="338" spans="1:29" x14ac:dyDescent="0.2">
      <c r="A338" t="str">
        <f t="shared" si="45"/>
        <v>TRIP-TR-337</v>
      </c>
      <c r="B338" s="3">
        <v>45915</v>
      </c>
      <c r="C338" t="str">
        <f>IF(X338="CUSTOMER DELIVERY",_xlfn.XLOOKUP(D338,'[1]Jan Customer Duplicate Hyva'!$B:$B,'[1]Jan Customer Duplicate Hyva'!$A:$A,"NOT FOUND"),"")</f>
        <v/>
      </c>
      <c r="D338" s="20" t="s">
        <v>215</v>
      </c>
      <c r="E338" s="2"/>
      <c r="F338" s="2"/>
      <c r="G338" s="2"/>
      <c r="H338" s="2"/>
      <c r="I338" s="2"/>
      <c r="J338" s="2"/>
      <c r="K338" s="2"/>
      <c r="L338" s="10" t="s">
        <v>195</v>
      </c>
      <c r="M338" s="11">
        <v>6</v>
      </c>
      <c r="N338" s="2"/>
      <c r="O338" s="2"/>
      <c r="P338" s="2"/>
      <c r="Q338" s="2"/>
      <c r="R338" s="2" t="str">
        <f t="shared" si="50"/>
        <v>PAID</v>
      </c>
      <c r="S338" s="2"/>
      <c r="T338" s="2">
        <f t="shared" si="46"/>
        <v>0</v>
      </c>
      <c r="U338" s="2" t="str">
        <f t="shared" si="47"/>
        <v>OK</v>
      </c>
      <c r="V338" s="7">
        <f t="shared" si="48"/>
        <v>0</v>
      </c>
      <c r="W338" s="2" t="str">
        <f t="shared" si="49"/>
        <v>OK</v>
      </c>
      <c r="X338" s="2" t="s">
        <v>196</v>
      </c>
      <c r="Y338" s="2" t="s">
        <v>27</v>
      </c>
      <c r="Z338" s="2" t="s">
        <v>28</v>
      </c>
      <c r="AA338" t="s">
        <v>245</v>
      </c>
      <c r="AB338" t="s">
        <v>245</v>
      </c>
      <c r="AC338" t="s">
        <v>245</v>
      </c>
    </row>
    <row r="339" spans="1:29" x14ac:dyDescent="0.2">
      <c r="A339" t="str">
        <f t="shared" si="45"/>
        <v>TRIP-TR-338</v>
      </c>
      <c r="B339" s="3">
        <v>45915</v>
      </c>
      <c r="C339" t="str">
        <f>IF(X339="CUSTOMER DELIVERY",_xlfn.XLOOKUP(D339,'[1]Jan Customer Duplicate Hyva'!$B:$B,'[1]Jan Customer Duplicate Hyva'!$A:$A,"NOT FOUND"),"")</f>
        <v/>
      </c>
      <c r="D339" s="20" t="s">
        <v>215</v>
      </c>
      <c r="E339" s="2"/>
      <c r="F339" s="2"/>
      <c r="G339" s="2"/>
      <c r="H339" s="2"/>
      <c r="I339" s="2"/>
      <c r="J339" s="2"/>
      <c r="K339" s="2"/>
      <c r="L339" s="10" t="s">
        <v>195</v>
      </c>
      <c r="M339" s="11">
        <v>13</v>
      </c>
      <c r="N339" s="2"/>
      <c r="O339" s="2"/>
      <c r="P339" s="2"/>
      <c r="Q339" s="2"/>
      <c r="R339" s="2" t="str">
        <f t="shared" si="50"/>
        <v>PAID</v>
      </c>
      <c r="S339" s="2"/>
      <c r="T339" s="2">
        <f t="shared" si="46"/>
        <v>0</v>
      </c>
      <c r="U339" s="2" t="str">
        <f t="shared" si="47"/>
        <v>OK</v>
      </c>
      <c r="V339" s="7">
        <f t="shared" si="48"/>
        <v>0</v>
      </c>
      <c r="W339" s="2" t="str">
        <f t="shared" si="49"/>
        <v>OK</v>
      </c>
      <c r="X339" s="2" t="s">
        <v>196</v>
      </c>
      <c r="Y339" s="2" t="s">
        <v>27</v>
      </c>
      <c r="Z339" s="2" t="s">
        <v>28</v>
      </c>
      <c r="AA339" t="s">
        <v>245</v>
      </c>
      <c r="AB339" t="s">
        <v>245</v>
      </c>
      <c r="AC339" t="s">
        <v>245</v>
      </c>
    </row>
    <row r="340" spans="1:29" x14ac:dyDescent="0.2">
      <c r="A340" t="str">
        <f t="shared" si="45"/>
        <v>TRIP-TR-339</v>
      </c>
      <c r="B340" s="3">
        <v>45916</v>
      </c>
      <c r="C340" t="str">
        <f>IF(X340="CUSTOMER DELIVERY",_xlfn.XLOOKUP(D340,'[1]Jan Customer Duplicate Hyva'!$B:$B,'[1]Jan Customer Duplicate Hyva'!$A:$A,"NOT FOUND"),"")</f>
        <v/>
      </c>
      <c r="D340" s="20" t="s">
        <v>215</v>
      </c>
      <c r="E340" s="2"/>
      <c r="F340" s="2"/>
      <c r="G340" s="2"/>
      <c r="H340" s="2"/>
      <c r="I340" s="2"/>
      <c r="J340" s="2"/>
      <c r="K340" s="2"/>
      <c r="L340" s="10" t="s">
        <v>195</v>
      </c>
      <c r="M340" s="9">
        <v>15</v>
      </c>
      <c r="N340" s="2"/>
      <c r="O340" s="2"/>
      <c r="P340" s="2"/>
      <c r="Q340" s="2"/>
      <c r="R340" s="2" t="str">
        <f t="shared" si="50"/>
        <v>PAID</v>
      </c>
      <c r="S340" s="2"/>
      <c r="T340" s="2">
        <f t="shared" si="46"/>
        <v>0</v>
      </c>
      <c r="U340" s="2" t="str">
        <f t="shared" si="47"/>
        <v>OK</v>
      </c>
      <c r="V340" s="7">
        <f t="shared" si="48"/>
        <v>0</v>
      </c>
      <c r="W340" s="2" t="str">
        <f t="shared" si="49"/>
        <v>OK</v>
      </c>
      <c r="X340" s="2" t="s">
        <v>196</v>
      </c>
      <c r="Y340" s="2" t="s">
        <v>27</v>
      </c>
      <c r="Z340" s="2" t="s">
        <v>28</v>
      </c>
      <c r="AA340" t="s">
        <v>245</v>
      </c>
      <c r="AB340" t="s">
        <v>245</v>
      </c>
      <c r="AC340" t="s">
        <v>245</v>
      </c>
    </row>
    <row r="341" spans="1:29" x14ac:dyDescent="0.2">
      <c r="A341" t="str">
        <f t="shared" si="45"/>
        <v>TRIP-TR-340</v>
      </c>
      <c r="B341" s="3">
        <v>45916</v>
      </c>
      <c r="C341" t="str">
        <f>IF(X341="CUSTOMER DELIVERY",_xlfn.XLOOKUP(D341,'[1]Jan Customer Duplicate Hyva'!$B:$B,'[1]Jan Customer Duplicate Hyva'!$A:$A,"NOT FOUND"),"")</f>
        <v/>
      </c>
      <c r="D341" s="20" t="s">
        <v>215</v>
      </c>
      <c r="E341" s="2"/>
      <c r="F341" s="2"/>
      <c r="G341" s="2"/>
      <c r="H341" s="2"/>
      <c r="I341" s="2"/>
      <c r="J341" s="2"/>
      <c r="K341" s="2"/>
      <c r="L341" s="10" t="s">
        <v>195</v>
      </c>
      <c r="M341" s="9">
        <v>15</v>
      </c>
      <c r="N341" s="2"/>
      <c r="O341" s="2"/>
      <c r="P341" s="2"/>
      <c r="Q341" s="2"/>
      <c r="R341" s="2" t="str">
        <f t="shared" si="50"/>
        <v>PAID</v>
      </c>
      <c r="S341" s="2"/>
      <c r="T341" s="2">
        <f t="shared" si="46"/>
        <v>0</v>
      </c>
      <c r="U341" s="2" t="str">
        <f t="shared" si="47"/>
        <v>OK</v>
      </c>
      <c r="V341" s="7">
        <f t="shared" si="48"/>
        <v>0</v>
      </c>
      <c r="W341" s="2" t="str">
        <f t="shared" si="49"/>
        <v>OK</v>
      </c>
      <c r="X341" s="2" t="s">
        <v>196</v>
      </c>
      <c r="Y341" s="2" t="s">
        <v>27</v>
      </c>
      <c r="Z341" s="2" t="s">
        <v>28</v>
      </c>
      <c r="AA341" t="s">
        <v>245</v>
      </c>
      <c r="AB341" t="s">
        <v>245</v>
      </c>
      <c r="AC341" t="s">
        <v>245</v>
      </c>
    </row>
    <row r="342" spans="1:29" x14ac:dyDescent="0.2">
      <c r="A342" t="str">
        <f t="shared" si="45"/>
        <v>TRIP-TR-341</v>
      </c>
      <c r="B342" s="3">
        <v>45918</v>
      </c>
      <c r="C342" t="str">
        <f>IF(X342="CUSTOMER DELIVERY",_xlfn.XLOOKUP(D342,'[1]Jan Customer Duplicate Hyva'!$B:$B,'[1]Jan Customer Duplicate Hyva'!$A:$A,"NOT FOUND"),"")</f>
        <v/>
      </c>
      <c r="D342" s="20" t="s">
        <v>215</v>
      </c>
      <c r="E342" s="2"/>
      <c r="F342" s="2"/>
      <c r="G342" s="2"/>
      <c r="H342" s="2"/>
      <c r="I342" s="2"/>
      <c r="J342" s="2"/>
      <c r="K342" s="2"/>
      <c r="L342" s="10" t="s">
        <v>195</v>
      </c>
      <c r="M342" s="9">
        <v>8</v>
      </c>
      <c r="N342" s="2"/>
      <c r="O342" s="2"/>
      <c r="P342" s="2"/>
      <c r="Q342" s="2"/>
      <c r="R342" s="2" t="str">
        <f t="shared" si="50"/>
        <v>PAID</v>
      </c>
      <c r="S342" s="2"/>
      <c r="T342" s="2">
        <f t="shared" si="46"/>
        <v>0</v>
      </c>
      <c r="U342" s="2" t="str">
        <f t="shared" si="47"/>
        <v>OK</v>
      </c>
      <c r="V342" s="7">
        <f t="shared" si="48"/>
        <v>0</v>
      </c>
      <c r="W342" s="2" t="str">
        <f t="shared" si="49"/>
        <v>OK</v>
      </c>
      <c r="X342" s="2" t="s">
        <v>196</v>
      </c>
      <c r="Y342" s="2" t="s">
        <v>27</v>
      </c>
      <c r="Z342" s="2" t="s">
        <v>28</v>
      </c>
      <c r="AA342" t="s">
        <v>245</v>
      </c>
      <c r="AB342" t="s">
        <v>245</v>
      </c>
      <c r="AC342" t="s">
        <v>245</v>
      </c>
    </row>
    <row r="343" spans="1:29" x14ac:dyDescent="0.2">
      <c r="A343" t="str">
        <f t="shared" si="45"/>
        <v>TRIP-TR-342</v>
      </c>
      <c r="B343" s="3">
        <v>45918</v>
      </c>
      <c r="C343" t="str">
        <f>IF(X343="CUSTOMER DELIVERY",_xlfn.XLOOKUP(D343,'[1]Jan Customer Duplicate Hyva'!$B:$B,'[1]Jan Customer Duplicate Hyva'!$A:$A,"NOT FOUND"),"")</f>
        <v/>
      </c>
      <c r="D343" s="20" t="s">
        <v>215</v>
      </c>
      <c r="E343" s="2"/>
      <c r="F343" s="2"/>
      <c r="G343" s="2"/>
      <c r="H343" s="2"/>
      <c r="I343" s="2"/>
      <c r="J343" s="2"/>
      <c r="K343" s="2"/>
      <c r="L343" s="10" t="s">
        <v>195</v>
      </c>
      <c r="M343" s="9">
        <v>19</v>
      </c>
      <c r="N343" s="2"/>
      <c r="O343" s="2"/>
      <c r="P343" s="2"/>
      <c r="Q343" s="2"/>
      <c r="R343" s="2" t="str">
        <f t="shared" si="50"/>
        <v>PAID</v>
      </c>
      <c r="S343" s="2"/>
      <c r="T343" s="2">
        <f t="shared" si="46"/>
        <v>0</v>
      </c>
      <c r="U343" s="2" t="str">
        <f t="shared" si="47"/>
        <v>OK</v>
      </c>
      <c r="V343" s="7">
        <f t="shared" si="48"/>
        <v>0</v>
      </c>
      <c r="W343" s="2" t="str">
        <f t="shared" si="49"/>
        <v>OK</v>
      </c>
      <c r="X343" s="2" t="s">
        <v>196</v>
      </c>
      <c r="Y343" s="2" t="s">
        <v>27</v>
      </c>
      <c r="Z343" s="2" t="s">
        <v>28</v>
      </c>
      <c r="AA343" t="s">
        <v>245</v>
      </c>
      <c r="AB343" t="s">
        <v>245</v>
      </c>
      <c r="AC343" t="s">
        <v>245</v>
      </c>
    </row>
    <row r="344" spans="1:29" x14ac:dyDescent="0.2">
      <c r="A344" t="str">
        <f t="shared" si="45"/>
        <v>TRIP-TR-343</v>
      </c>
      <c r="B344" s="3">
        <v>45919</v>
      </c>
      <c r="C344" t="str">
        <f>IF(X344="CUSTOMER DELIVERY",_xlfn.XLOOKUP(D344,'[1]Jan Customer Duplicate Hyva'!$B:$B,'[1]Jan Customer Duplicate Hyva'!$A:$A,"NOT FOUND"),"")</f>
        <v/>
      </c>
      <c r="D344" s="20" t="s">
        <v>215</v>
      </c>
      <c r="E344" s="2"/>
      <c r="F344" s="2"/>
      <c r="G344" s="2"/>
      <c r="H344" s="2"/>
      <c r="I344" s="2"/>
      <c r="J344" s="2"/>
      <c r="K344" s="2"/>
      <c r="L344" s="10" t="s">
        <v>195</v>
      </c>
      <c r="M344" s="9">
        <v>9</v>
      </c>
      <c r="N344" s="2"/>
      <c r="O344" s="2"/>
      <c r="P344" s="2"/>
      <c r="Q344" s="2"/>
      <c r="R344" s="2" t="str">
        <f t="shared" si="50"/>
        <v>PAID</v>
      </c>
      <c r="S344" s="2"/>
      <c r="T344" s="2">
        <f t="shared" si="46"/>
        <v>0</v>
      </c>
      <c r="U344" s="2" t="str">
        <f t="shared" si="47"/>
        <v>OK</v>
      </c>
      <c r="V344" s="7">
        <f t="shared" si="48"/>
        <v>0</v>
      </c>
      <c r="W344" s="2" t="str">
        <f t="shared" si="49"/>
        <v>OK</v>
      </c>
      <c r="X344" s="2" t="s">
        <v>196</v>
      </c>
      <c r="Y344" s="2" t="s">
        <v>27</v>
      </c>
      <c r="Z344" s="2" t="s">
        <v>28</v>
      </c>
      <c r="AA344" t="s">
        <v>245</v>
      </c>
      <c r="AB344" t="s">
        <v>245</v>
      </c>
      <c r="AC344" t="s">
        <v>245</v>
      </c>
    </row>
    <row r="345" spans="1:29" x14ac:dyDescent="0.2">
      <c r="A345" t="str">
        <f t="shared" si="45"/>
        <v>TRIP-TR-344</v>
      </c>
      <c r="B345" s="3">
        <v>45919</v>
      </c>
      <c r="C345" t="str">
        <f>IF(X345="CUSTOMER DELIVERY",_xlfn.XLOOKUP(D345,'[1]Jan Customer Duplicate Hyva'!$B:$B,'[1]Jan Customer Duplicate Hyva'!$A:$A,"NOT FOUND"),"")</f>
        <v/>
      </c>
      <c r="D345" s="20" t="s">
        <v>215</v>
      </c>
      <c r="E345" s="2"/>
      <c r="F345" s="2"/>
      <c r="G345" s="2"/>
      <c r="H345" s="2"/>
      <c r="I345" s="2"/>
      <c r="J345" s="2"/>
      <c r="K345" s="2"/>
      <c r="L345" s="10" t="s">
        <v>195</v>
      </c>
      <c r="M345" s="9">
        <v>10</v>
      </c>
      <c r="N345" s="2"/>
      <c r="O345" s="2"/>
      <c r="P345" s="2"/>
      <c r="Q345" s="2"/>
      <c r="R345" s="2" t="str">
        <f t="shared" si="50"/>
        <v>PAID</v>
      </c>
      <c r="S345" s="2"/>
      <c r="T345" s="2">
        <f t="shared" si="46"/>
        <v>0</v>
      </c>
      <c r="U345" s="2" t="str">
        <f t="shared" si="47"/>
        <v>OK</v>
      </c>
      <c r="V345" s="7">
        <f t="shared" si="48"/>
        <v>0</v>
      </c>
      <c r="W345" s="2" t="str">
        <f t="shared" si="49"/>
        <v>OK</v>
      </c>
      <c r="X345" s="2" t="s">
        <v>196</v>
      </c>
      <c r="Y345" s="2" t="s">
        <v>27</v>
      </c>
      <c r="Z345" s="2" t="s">
        <v>28</v>
      </c>
      <c r="AA345" t="s">
        <v>245</v>
      </c>
      <c r="AB345" t="s">
        <v>245</v>
      </c>
      <c r="AC345" t="s">
        <v>245</v>
      </c>
    </row>
    <row r="346" spans="1:29" x14ac:dyDescent="0.2">
      <c r="A346" t="str">
        <f t="shared" si="45"/>
        <v>TRIP-TR-345</v>
      </c>
      <c r="B346" s="3">
        <v>45919</v>
      </c>
      <c r="C346" t="str">
        <f>IF(X346="CUSTOMER DELIVERY",_xlfn.XLOOKUP(D346,'[1]Jan Customer Duplicate Hyva'!$B:$B,'[1]Jan Customer Duplicate Hyva'!$A:$A,"NOT FOUND"),"")</f>
        <v/>
      </c>
      <c r="D346" s="20" t="s">
        <v>215</v>
      </c>
      <c r="E346" s="2"/>
      <c r="F346" s="2"/>
      <c r="G346" s="2"/>
      <c r="H346" s="2"/>
      <c r="I346" s="2"/>
      <c r="J346" s="2"/>
      <c r="K346" s="2"/>
      <c r="L346" s="10" t="s">
        <v>195</v>
      </c>
      <c r="M346" s="9">
        <v>15</v>
      </c>
      <c r="N346" s="2"/>
      <c r="O346" s="2"/>
      <c r="P346" s="2"/>
      <c r="Q346" s="2"/>
      <c r="R346" s="2" t="str">
        <f t="shared" si="50"/>
        <v>PAID</v>
      </c>
      <c r="S346" s="2"/>
      <c r="T346" s="2">
        <f t="shared" si="46"/>
        <v>0</v>
      </c>
      <c r="U346" s="2" t="str">
        <f t="shared" si="47"/>
        <v>OK</v>
      </c>
      <c r="V346" s="7">
        <f t="shared" si="48"/>
        <v>0</v>
      </c>
      <c r="W346" s="2" t="str">
        <f t="shared" si="49"/>
        <v>OK</v>
      </c>
      <c r="X346" s="2" t="s">
        <v>196</v>
      </c>
      <c r="Y346" s="2" t="s">
        <v>27</v>
      </c>
      <c r="Z346" s="2" t="s">
        <v>28</v>
      </c>
      <c r="AA346" t="s">
        <v>245</v>
      </c>
      <c r="AB346" t="s">
        <v>245</v>
      </c>
      <c r="AC346" t="s">
        <v>245</v>
      </c>
    </row>
    <row r="347" spans="1:29" x14ac:dyDescent="0.2">
      <c r="A347" t="str">
        <f t="shared" si="45"/>
        <v>TRIP-TR-346</v>
      </c>
      <c r="B347" s="3">
        <v>45919</v>
      </c>
      <c r="C347" t="str">
        <f>IF(X347="CUSTOMER DELIVERY",_xlfn.XLOOKUP(D347,'[1]Jan Customer Duplicate Hyva'!$B:$B,'[1]Jan Customer Duplicate Hyva'!$A:$A,"NOT FOUND"),"")</f>
        <v/>
      </c>
      <c r="D347" s="20" t="s">
        <v>215</v>
      </c>
      <c r="E347" s="2"/>
      <c r="F347" s="2"/>
      <c r="G347" s="2"/>
      <c r="H347" s="2"/>
      <c r="I347" s="2"/>
      <c r="J347" s="2"/>
      <c r="K347" s="2"/>
      <c r="L347" s="10" t="s">
        <v>195</v>
      </c>
      <c r="M347" s="9">
        <v>13</v>
      </c>
      <c r="N347" s="2"/>
      <c r="O347" s="2"/>
      <c r="P347" s="2"/>
      <c r="Q347" s="2"/>
      <c r="R347" s="2" t="str">
        <f t="shared" si="50"/>
        <v>PAID</v>
      </c>
      <c r="S347" s="2"/>
      <c r="T347" s="2">
        <f t="shared" si="46"/>
        <v>0</v>
      </c>
      <c r="U347" s="2" t="str">
        <f t="shared" si="47"/>
        <v>OK</v>
      </c>
      <c r="V347" s="7">
        <f t="shared" si="48"/>
        <v>0</v>
      </c>
      <c r="W347" s="2" t="str">
        <f t="shared" si="49"/>
        <v>OK</v>
      </c>
      <c r="X347" s="2" t="s">
        <v>196</v>
      </c>
      <c r="Y347" s="2" t="s">
        <v>27</v>
      </c>
      <c r="Z347" s="2" t="s">
        <v>28</v>
      </c>
      <c r="AA347" t="s">
        <v>245</v>
      </c>
      <c r="AB347" t="s">
        <v>245</v>
      </c>
      <c r="AC347" t="s">
        <v>245</v>
      </c>
    </row>
    <row r="348" spans="1:29" x14ac:dyDescent="0.2">
      <c r="A348" t="str">
        <f t="shared" si="45"/>
        <v>TRIP-TR-347</v>
      </c>
      <c r="B348" s="3">
        <v>45919</v>
      </c>
      <c r="C348" t="str">
        <f>IF(X348="CUSTOMER DELIVERY",_xlfn.XLOOKUP(D348,'[1]Jan Customer Duplicate Hyva'!$B:$B,'[1]Jan Customer Duplicate Hyva'!$A:$A,"NOT FOUND"),"")</f>
        <v/>
      </c>
      <c r="D348" s="20" t="s">
        <v>215</v>
      </c>
      <c r="E348" s="2"/>
      <c r="F348" s="2"/>
      <c r="G348" s="2"/>
      <c r="H348" s="2"/>
      <c r="I348" s="2"/>
      <c r="J348" s="2"/>
      <c r="K348" s="2"/>
      <c r="L348" s="10" t="s">
        <v>195</v>
      </c>
      <c r="M348" s="9">
        <v>11</v>
      </c>
      <c r="N348" s="2"/>
      <c r="O348" s="2"/>
      <c r="P348" s="2"/>
      <c r="Q348" s="2"/>
      <c r="R348" s="2" t="str">
        <f t="shared" si="50"/>
        <v>PAID</v>
      </c>
      <c r="S348" s="2"/>
      <c r="T348" s="2">
        <f t="shared" si="46"/>
        <v>0</v>
      </c>
      <c r="U348" s="2" t="str">
        <f t="shared" si="47"/>
        <v>OK</v>
      </c>
      <c r="V348" s="7">
        <f t="shared" si="48"/>
        <v>0</v>
      </c>
      <c r="W348" s="2" t="str">
        <f t="shared" si="49"/>
        <v>OK</v>
      </c>
      <c r="X348" s="2" t="s">
        <v>196</v>
      </c>
      <c r="Y348" s="2" t="s">
        <v>27</v>
      </c>
      <c r="Z348" s="2" t="s">
        <v>28</v>
      </c>
      <c r="AA348" t="s">
        <v>245</v>
      </c>
      <c r="AB348" t="s">
        <v>245</v>
      </c>
      <c r="AC348" t="s">
        <v>245</v>
      </c>
    </row>
    <row r="349" spans="1:29" x14ac:dyDescent="0.2">
      <c r="A349" t="str">
        <f t="shared" si="45"/>
        <v>TRIP-TR-348</v>
      </c>
      <c r="B349" s="3">
        <v>45919</v>
      </c>
      <c r="C349" t="str">
        <f>IF(X349="CUSTOMER DELIVERY",_xlfn.XLOOKUP(D349,'[1]Jan Customer Duplicate Hyva'!$B:$B,'[1]Jan Customer Duplicate Hyva'!$A:$A,"NOT FOUND"),"")</f>
        <v/>
      </c>
      <c r="D349" s="20" t="s">
        <v>215</v>
      </c>
      <c r="E349" s="2"/>
      <c r="F349" s="2"/>
      <c r="G349" s="2"/>
      <c r="H349" s="2"/>
      <c r="I349" s="2"/>
      <c r="J349" s="2"/>
      <c r="K349" s="2"/>
      <c r="L349" s="10" t="s">
        <v>195</v>
      </c>
      <c r="M349" s="9">
        <v>19</v>
      </c>
      <c r="N349" s="2"/>
      <c r="O349" s="2"/>
      <c r="P349" s="2"/>
      <c r="Q349" s="2"/>
      <c r="R349" s="2" t="str">
        <f t="shared" si="50"/>
        <v>PAID</v>
      </c>
      <c r="S349" s="2"/>
      <c r="T349" s="2">
        <f t="shared" si="46"/>
        <v>0</v>
      </c>
      <c r="U349" s="2" t="str">
        <f t="shared" si="47"/>
        <v>OK</v>
      </c>
      <c r="V349" s="7">
        <f t="shared" si="48"/>
        <v>0</v>
      </c>
      <c r="W349" s="2" t="str">
        <f t="shared" si="49"/>
        <v>OK</v>
      </c>
      <c r="X349" s="2" t="s">
        <v>196</v>
      </c>
      <c r="Y349" s="2" t="s">
        <v>27</v>
      </c>
      <c r="Z349" s="2" t="s">
        <v>28</v>
      </c>
      <c r="AA349" t="s">
        <v>245</v>
      </c>
      <c r="AB349" t="s">
        <v>245</v>
      </c>
      <c r="AC349" t="s">
        <v>245</v>
      </c>
    </row>
    <row r="350" spans="1:29" x14ac:dyDescent="0.2">
      <c r="A350" t="str">
        <f t="shared" si="45"/>
        <v>TRIP-TR-349</v>
      </c>
      <c r="B350" s="3">
        <v>45920</v>
      </c>
      <c r="C350" t="str">
        <f>IF(X350="CUSTOMER DELIVERY",_xlfn.XLOOKUP(D350,'[1]Jan Customer Duplicate Hyva'!$B:$B,'[1]Jan Customer Duplicate Hyva'!$A:$A,"NOT FOUND"),"")</f>
        <v/>
      </c>
      <c r="D350" s="20" t="s">
        <v>215</v>
      </c>
      <c r="E350" s="2"/>
      <c r="F350" s="2"/>
      <c r="G350" s="2"/>
      <c r="H350" s="2"/>
      <c r="I350" s="2"/>
      <c r="J350" s="2"/>
      <c r="K350" s="2"/>
      <c r="L350" s="10" t="s">
        <v>195</v>
      </c>
      <c r="M350" s="9">
        <v>18</v>
      </c>
      <c r="N350" s="2"/>
      <c r="O350" s="2"/>
      <c r="P350" s="2"/>
      <c r="Q350" s="2"/>
      <c r="R350" s="2" t="str">
        <f t="shared" si="50"/>
        <v>PAID</v>
      </c>
      <c r="S350" s="2"/>
      <c r="T350" s="2">
        <f t="shared" si="46"/>
        <v>0</v>
      </c>
      <c r="U350" s="2" t="str">
        <f t="shared" si="47"/>
        <v>OK</v>
      </c>
      <c r="V350" s="7">
        <f t="shared" si="48"/>
        <v>0</v>
      </c>
      <c r="W350" s="2" t="str">
        <f t="shared" si="49"/>
        <v>OK</v>
      </c>
      <c r="X350" s="2" t="s">
        <v>196</v>
      </c>
      <c r="Y350" s="2" t="s">
        <v>27</v>
      </c>
      <c r="Z350" s="2" t="s">
        <v>28</v>
      </c>
      <c r="AA350" t="s">
        <v>245</v>
      </c>
      <c r="AB350" t="s">
        <v>245</v>
      </c>
      <c r="AC350" t="s">
        <v>245</v>
      </c>
    </row>
    <row r="351" spans="1:29" x14ac:dyDescent="0.2">
      <c r="A351" t="str">
        <f t="shared" si="45"/>
        <v>TRIP-TR-350</v>
      </c>
      <c r="B351" s="3">
        <v>45920</v>
      </c>
      <c r="C351" t="str">
        <f>IF(X351="CUSTOMER DELIVERY",_xlfn.XLOOKUP(D351,'[1]Jan Customer Duplicate Hyva'!$B:$B,'[1]Jan Customer Duplicate Hyva'!$A:$A,"NOT FOUND"),"")</f>
        <v/>
      </c>
      <c r="D351" s="20" t="s">
        <v>215</v>
      </c>
      <c r="E351" s="2"/>
      <c r="F351" s="2"/>
      <c r="G351" s="2"/>
      <c r="H351" s="2"/>
      <c r="I351" s="2"/>
      <c r="J351" s="2"/>
      <c r="K351" s="2"/>
      <c r="L351" s="10" t="s">
        <v>195</v>
      </c>
      <c r="M351" s="9">
        <v>15</v>
      </c>
      <c r="N351" s="2"/>
      <c r="O351" s="2"/>
      <c r="P351" s="2"/>
      <c r="Q351" s="2"/>
      <c r="R351" s="2" t="str">
        <f t="shared" si="50"/>
        <v>PAID</v>
      </c>
      <c r="S351" s="2"/>
      <c r="T351" s="2">
        <f t="shared" si="46"/>
        <v>0</v>
      </c>
      <c r="U351" s="2" t="str">
        <f t="shared" si="47"/>
        <v>OK</v>
      </c>
      <c r="V351" s="7">
        <f t="shared" si="48"/>
        <v>0</v>
      </c>
      <c r="W351" s="2" t="str">
        <f t="shared" si="49"/>
        <v>OK</v>
      </c>
      <c r="X351" s="2" t="s">
        <v>196</v>
      </c>
      <c r="Y351" s="2" t="s">
        <v>27</v>
      </c>
      <c r="Z351" s="2" t="s">
        <v>28</v>
      </c>
      <c r="AA351" t="s">
        <v>245</v>
      </c>
      <c r="AB351" t="s">
        <v>245</v>
      </c>
      <c r="AC351" t="s">
        <v>245</v>
      </c>
    </row>
    <row r="352" spans="1:29" x14ac:dyDescent="0.2">
      <c r="A352" t="str">
        <f t="shared" si="45"/>
        <v>TRIP-TR-351</v>
      </c>
      <c r="B352" s="3">
        <v>45921</v>
      </c>
      <c r="C352" t="str">
        <f>IF(X352="CUSTOMER DELIVERY",_xlfn.XLOOKUP(D352,'[1]Jan Customer Duplicate Hyva'!$B:$B,'[1]Jan Customer Duplicate Hyva'!$A:$A,"NOT FOUND"),"")</f>
        <v/>
      </c>
      <c r="D352" s="20" t="s">
        <v>215</v>
      </c>
      <c r="E352" s="2"/>
      <c r="F352" s="2"/>
      <c r="G352" s="2"/>
      <c r="H352" s="2"/>
      <c r="I352" s="2"/>
      <c r="J352" s="2"/>
      <c r="K352" s="2"/>
      <c r="L352" s="10" t="s">
        <v>195</v>
      </c>
      <c r="M352" s="9">
        <v>7</v>
      </c>
      <c r="N352" s="2"/>
      <c r="O352" s="2"/>
      <c r="P352" s="2"/>
      <c r="Q352" s="2"/>
      <c r="R352" s="2" t="str">
        <f t="shared" si="50"/>
        <v>PAID</v>
      </c>
      <c r="S352" s="2"/>
      <c r="T352" s="2">
        <f t="shared" si="46"/>
        <v>0</v>
      </c>
      <c r="U352" s="2" t="str">
        <f t="shared" si="47"/>
        <v>OK</v>
      </c>
      <c r="V352" s="7">
        <f t="shared" si="48"/>
        <v>0</v>
      </c>
      <c r="W352" s="2" t="str">
        <f t="shared" si="49"/>
        <v>OK</v>
      </c>
      <c r="X352" s="2" t="s">
        <v>196</v>
      </c>
      <c r="Y352" s="2" t="s">
        <v>27</v>
      </c>
      <c r="Z352" s="2" t="s">
        <v>28</v>
      </c>
      <c r="AA352" t="s">
        <v>245</v>
      </c>
      <c r="AB352" t="s">
        <v>245</v>
      </c>
      <c r="AC352" t="s">
        <v>245</v>
      </c>
    </row>
    <row r="353" spans="1:29" x14ac:dyDescent="0.2">
      <c r="A353" t="str">
        <f t="shared" si="45"/>
        <v>TRIP-TR-352</v>
      </c>
      <c r="B353" s="3">
        <v>45921</v>
      </c>
      <c r="C353" t="str">
        <f>IF(X353="CUSTOMER DELIVERY",_xlfn.XLOOKUP(D353,'[1]Jan Customer Duplicate Hyva'!$B:$B,'[1]Jan Customer Duplicate Hyva'!$A:$A,"NOT FOUND"),"")</f>
        <v/>
      </c>
      <c r="D353" s="20" t="s">
        <v>215</v>
      </c>
      <c r="E353" s="2"/>
      <c r="F353" s="2"/>
      <c r="G353" s="2"/>
      <c r="H353" s="2"/>
      <c r="I353" s="2"/>
      <c r="J353" s="2"/>
      <c r="K353" s="2"/>
      <c r="L353" s="10" t="s">
        <v>195</v>
      </c>
      <c r="M353" s="9">
        <v>13</v>
      </c>
      <c r="N353" s="2"/>
      <c r="O353" s="2"/>
      <c r="P353" s="2"/>
      <c r="Q353" s="2"/>
      <c r="R353" s="2" t="str">
        <f t="shared" si="50"/>
        <v>PAID</v>
      </c>
      <c r="S353" s="2"/>
      <c r="T353" s="2">
        <f t="shared" si="46"/>
        <v>0</v>
      </c>
      <c r="U353" s="2" t="str">
        <f t="shared" si="47"/>
        <v>OK</v>
      </c>
      <c r="V353" s="7">
        <f t="shared" si="48"/>
        <v>0</v>
      </c>
      <c r="W353" s="2" t="str">
        <f t="shared" si="49"/>
        <v>OK</v>
      </c>
      <c r="X353" s="2" t="s">
        <v>196</v>
      </c>
      <c r="Y353" s="2" t="s">
        <v>27</v>
      </c>
      <c r="Z353" s="2" t="s">
        <v>28</v>
      </c>
      <c r="AA353" t="s">
        <v>245</v>
      </c>
      <c r="AB353" t="s">
        <v>245</v>
      </c>
      <c r="AC353" t="s">
        <v>245</v>
      </c>
    </row>
    <row r="354" spans="1:29" x14ac:dyDescent="0.2">
      <c r="A354" t="str">
        <f t="shared" si="45"/>
        <v>TRIP-TR-353</v>
      </c>
      <c r="B354" s="3">
        <v>45921</v>
      </c>
      <c r="C354" t="str">
        <f>IF(X354="CUSTOMER DELIVERY",_xlfn.XLOOKUP(D354,'[1]Jan Customer Duplicate Hyva'!$B:$B,'[1]Jan Customer Duplicate Hyva'!$A:$A,"NOT FOUND"),"")</f>
        <v/>
      </c>
      <c r="D354" s="20" t="s">
        <v>215</v>
      </c>
      <c r="E354" s="2"/>
      <c r="F354" s="2"/>
      <c r="G354" s="2"/>
      <c r="H354" s="2"/>
      <c r="I354" s="2"/>
      <c r="J354" s="2"/>
      <c r="K354" s="2"/>
      <c r="L354" s="10" t="s">
        <v>195</v>
      </c>
      <c r="M354" s="9">
        <v>12</v>
      </c>
      <c r="N354" s="2"/>
      <c r="O354" s="2"/>
      <c r="P354" s="2"/>
      <c r="Q354" s="2"/>
      <c r="R354" s="2" t="str">
        <f t="shared" si="50"/>
        <v>PAID</v>
      </c>
      <c r="S354" s="2"/>
      <c r="T354" s="2">
        <f t="shared" si="46"/>
        <v>0</v>
      </c>
      <c r="U354" s="2" t="str">
        <f t="shared" si="47"/>
        <v>OK</v>
      </c>
      <c r="V354" s="7">
        <f t="shared" si="48"/>
        <v>0</v>
      </c>
      <c r="W354" s="2" t="str">
        <f t="shared" si="49"/>
        <v>OK</v>
      </c>
      <c r="X354" s="2" t="s">
        <v>196</v>
      </c>
      <c r="Y354" s="2" t="s">
        <v>27</v>
      </c>
      <c r="Z354" s="2" t="s">
        <v>28</v>
      </c>
      <c r="AA354" t="s">
        <v>245</v>
      </c>
      <c r="AB354" t="s">
        <v>245</v>
      </c>
      <c r="AC354" t="s">
        <v>245</v>
      </c>
    </row>
    <row r="355" spans="1:29" x14ac:dyDescent="0.2">
      <c r="A355" t="str">
        <f t="shared" si="45"/>
        <v>TRIP-TR-354</v>
      </c>
      <c r="B355" s="3">
        <v>45921</v>
      </c>
      <c r="C355" t="str">
        <f>IF(X355="CUSTOMER DELIVERY",_xlfn.XLOOKUP(D355,'[1]Jan Customer Duplicate Hyva'!$B:$B,'[1]Jan Customer Duplicate Hyva'!$A:$A,"NOT FOUND"),"")</f>
        <v/>
      </c>
      <c r="D355" s="20" t="s">
        <v>215</v>
      </c>
      <c r="E355" s="2"/>
      <c r="F355" s="2"/>
      <c r="G355" s="2"/>
      <c r="H355" s="2"/>
      <c r="I355" s="2"/>
      <c r="J355" s="2"/>
      <c r="K355" s="2"/>
      <c r="L355" s="10" t="s">
        <v>197</v>
      </c>
      <c r="M355" s="9">
        <v>3</v>
      </c>
      <c r="N355" s="2"/>
      <c r="O355" s="2"/>
      <c r="P355" s="2"/>
      <c r="Q355" s="2"/>
      <c r="R355" s="2" t="str">
        <f t="shared" si="50"/>
        <v>PAID</v>
      </c>
      <c r="S355" s="2"/>
      <c r="T355" s="2">
        <f t="shared" si="46"/>
        <v>0</v>
      </c>
      <c r="U355" s="2" t="str">
        <f t="shared" si="47"/>
        <v>OK</v>
      </c>
      <c r="V355" s="7">
        <f t="shared" si="48"/>
        <v>0</v>
      </c>
      <c r="W355" s="2" t="str">
        <f t="shared" si="49"/>
        <v>OK</v>
      </c>
      <c r="X355" s="2" t="s">
        <v>196</v>
      </c>
      <c r="Y355" s="2" t="s">
        <v>27</v>
      </c>
      <c r="Z355" s="2" t="s">
        <v>28</v>
      </c>
      <c r="AA355" t="s">
        <v>245</v>
      </c>
      <c r="AB355" t="s">
        <v>245</v>
      </c>
      <c r="AC355" t="s">
        <v>245</v>
      </c>
    </row>
    <row r="356" spans="1:29" x14ac:dyDescent="0.2">
      <c r="A356" t="str">
        <f t="shared" si="45"/>
        <v>TRIP-TR-355</v>
      </c>
      <c r="B356" s="3">
        <v>45921</v>
      </c>
      <c r="C356" t="str">
        <f>IF(X356="CUSTOMER DELIVERY",_xlfn.XLOOKUP(D356,'[1]Jan Customer Duplicate Hyva'!$B:$B,'[1]Jan Customer Duplicate Hyva'!$A:$A,"NOT FOUND"),"")</f>
        <v/>
      </c>
      <c r="D356" s="20" t="s">
        <v>215</v>
      </c>
      <c r="E356" s="2"/>
      <c r="F356" s="2"/>
      <c r="G356" s="2"/>
      <c r="H356" s="2"/>
      <c r="I356" s="2"/>
      <c r="J356" s="2"/>
      <c r="K356" s="2"/>
      <c r="L356" s="10" t="s">
        <v>195</v>
      </c>
      <c r="M356" s="9">
        <v>17</v>
      </c>
      <c r="N356" s="2"/>
      <c r="O356" s="2"/>
      <c r="P356" s="2"/>
      <c r="Q356" s="2"/>
      <c r="R356" s="2" t="str">
        <f t="shared" si="50"/>
        <v>PAID</v>
      </c>
      <c r="S356" s="2"/>
      <c r="T356" s="2">
        <f t="shared" si="46"/>
        <v>0</v>
      </c>
      <c r="U356" s="2" t="str">
        <f t="shared" si="47"/>
        <v>OK</v>
      </c>
      <c r="V356" s="7">
        <f t="shared" si="48"/>
        <v>0</v>
      </c>
      <c r="W356" s="2" t="str">
        <f t="shared" si="49"/>
        <v>OK</v>
      </c>
      <c r="X356" s="2" t="s">
        <v>196</v>
      </c>
      <c r="Y356" s="2" t="s">
        <v>27</v>
      </c>
      <c r="Z356" s="2" t="s">
        <v>28</v>
      </c>
      <c r="AA356" t="s">
        <v>245</v>
      </c>
      <c r="AB356" t="s">
        <v>245</v>
      </c>
      <c r="AC356" t="s">
        <v>245</v>
      </c>
    </row>
    <row r="357" spans="1:29" x14ac:dyDescent="0.2">
      <c r="A357" t="str">
        <f t="shared" si="45"/>
        <v>TRIP-TR-356</v>
      </c>
      <c r="B357" s="3">
        <v>45921</v>
      </c>
      <c r="C357" t="str">
        <f>IF(X357="CUSTOMER DELIVERY",_xlfn.XLOOKUP(D357,'[1]Jan Customer Duplicate Hyva'!$B:$B,'[1]Jan Customer Duplicate Hyva'!$A:$A,"NOT FOUND"),"")</f>
        <v/>
      </c>
      <c r="D357" s="20" t="s">
        <v>215</v>
      </c>
      <c r="E357" s="2"/>
      <c r="F357" s="2"/>
      <c r="G357" s="2"/>
      <c r="H357" s="2"/>
      <c r="I357" s="2"/>
      <c r="J357" s="2"/>
      <c r="K357" s="2"/>
      <c r="L357" s="10" t="s">
        <v>195</v>
      </c>
      <c r="M357" s="9">
        <v>19</v>
      </c>
      <c r="N357" s="2"/>
      <c r="O357" s="2"/>
      <c r="P357" s="2"/>
      <c r="Q357" s="2"/>
      <c r="R357" s="2" t="str">
        <f t="shared" si="50"/>
        <v>PAID</v>
      </c>
      <c r="S357" s="2"/>
      <c r="T357" s="2">
        <f t="shared" si="46"/>
        <v>0</v>
      </c>
      <c r="U357" s="2" t="str">
        <f t="shared" si="47"/>
        <v>OK</v>
      </c>
      <c r="V357" s="7">
        <f t="shared" si="48"/>
        <v>0</v>
      </c>
      <c r="W357" s="2" t="str">
        <f t="shared" si="49"/>
        <v>OK</v>
      </c>
      <c r="X357" s="2" t="s">
        <v>196</v>
      </c>
      <c r="Y357" s="2" t="s">
        <v>27</v>
      </c>
      <c r="Z357" s="2" t="s">
        <v>28</v>
      </c>
      <c r="AA357" t="s">
        <v>245</v>
      </c>
      <c r="AB357" t="s">
        <v>245</v>
      </c>
      <c r="AC357" t="s">
        <v>245</v>
      </c>
    </row>
    <row r="358" spans="1:29" x14ac:dyDescent="0.2">
      <c r="A358" t="str">
        <f t="shared" si="45"/>
        <v>TRIP-TR-357</v>
      </c>
      <c r="B358" s="3">
        <v>45921</v>
      </c>
      <c r="C358" t="str">
        <f>IF(X358="CUSTOMER DELIVERY",_xlfn.XLOOKUP(D358,'[1]Jan Customer Duplicate Hyva'!$B:$B,'[1]Jan Customer Duplicate Hyva'!$A:$A,"NOT FOUND"),"")</f>
        <v/>
      </c>
      <c r="D358" s="20" t="s">
        <v>215</v>
      </c>
      <c r="E358" s="2"/>
      <c r="F358" s="2"/>
      <c r="G358" s="2"/>
      <c r="H358" s="2"/>
      <c r="I358" s="2"/>
      <c r="J358" s="2"/>
      <c r="K358" s="2"/>
      <c r="L358" s="10" t="s">
        <v>195</v>
      </c>
      <c r="M358" s="9">
        <v>17</v>
      </c>
      <c r="N358" s="2"/>
      <c r="O358" s="2"/>
      <c r="P358" s="2"/>
      <c r="Q358" s="2"/>
      <c r="R358" s="2" t="str">
        <f t="shared" si="50"/>
        <v>PAID</v>
      </c>
      <c r="S358" s="2"/>
      <c r="T358" s="2">
        <f t="shared" si="46"/>
        <v>0</v>
      </c>
      <c r="U358" s="2" t="str">
        <f t="shared" si="47"/>
        <v>OK</v>
      </c>
      <c r="V358" s="7">
        <f t="shared" si="48"/>
        <v>0</v>
      </c>
      <c r="W358" s="2" t="str">
        <f t="shared" si="49"/>
        <v>OK</v>
      </c>
      <c r="X358" s="2" t="s">
        <v>196</v>
      </c>
      <c r="Y358" s="2" t="s">
        <v>27</v>
      </c>
      <c r="Z358" s="2" t="s">
        <v>28</v>
      </c>
      <c r="AA358" t="s">
        <v>245</v>
      </c>
      <c r="AB358" t="s">
        <v>245</v>
      </c>
      <c r="AC358" t="s">
        <v>245</v>
      </c>
    </row>
    <row r="359" spans="1:29" x14ac:dyDescent="0.2">
      <c r="A359" t="str">
        <f t="shared" si="45"/>
        <v>TRIP-TR-358</v>
      </c>
      <c r="B359" s="3">
        <v>45922</v>
      </c>
      <c r="C359" t="str">
        <f>IF(X359="CUSTOMER DELIVERY",_xlfn.XLOOKUP(D359,'[1]Jan Customer Duplicate Hyva'!$B:$B,'[1]Jan Customer Duplicate Hyva'!$A:$A,"NOT FOUND"),"")</f>
        <v/>
      </c>
      <c r="D359" s="20" t="s">
        <v>215</v>
      </c>
      <c r="E359" s="2"/>
      <c r="F359" s="2"/>
      <c r="G359" s="2"/>
      <c r="H359" s="2"/>
      <c r="I359" s="2"/>
      <c r="J359" s="2"/>
      <c r="K359" s="2"/>
      <c r="L359" s="10" t="s">
        <v>195</v>
      </c>
      <c r="M359" s="9">
        <v>11</v>
      </c>
      <c r="N359" s="2"/>
      <c r="O359" s="2"/>
      <c r="P359" s="2"/>
      <c r="Q359" s="2"/>
      <c r="R359" s="2" t="str">
        <f t="shared" si="50"/>
        <v>PAID</v>
      </c>
      <c r="S359" s="2"/>
      <c r="T359" s="2">
        <f t="shared" si="46"/>
        <v>0</v>
      </c>
      <c r="U359" s="2" t="str">
        <f t="shared" si="47"/>
        <v>OK</v>
      </c>
      <c r="V359" s="7">
        <f t="shared" si="48"/>
        <v>0</v>
      </c>
      <c r="W359" s="2" t="str">
        <f t="shared" si="49"/>
        <v>OK</v>
      </c>
      <c r="X359" s="2" t="s">
        <v>196</v>
      </c>
      <c r="Y359" s="2" t="s">
        <v>27</v>
      </c>
      <c r="Z359" s="2" t="s">
        <v>28</v>
      </c>
      <c r="AA359" t="s">
        <v>245</v>
      </c>
      <c r="AB359" t="s">
        <v>245</v>
      </c>
      <c r="AC359" t="s">
        <v>245</v>
      </c>
    </row>
    <row r="360" spans="1:29" x14ac:dyDescent="0.2">
      <c r="A360" t="str">
        <f t="shared" si="45"/>
        <v>TRIP-TR-359</v>
      </c>
      <c r="B360" s="3">
        <v>45922</v>
      </c>
      <c r="C360" t="str">
        <f>IF(X360="CUSTOMER DELIVERY",_xlfn.XLOOKUP(D360,'[1]Jan Customer Duplicate Hyva'!$B:$B,'[1]Jan Customer Duplicate Hyva'!$A:$A,"NOT FOUND"),"")</f>
        <v/>
      </c>
      <c r="D360" s="20" t="s">
        <v>215</v>
      </c>
      <c r="E360" s="2"/>
      <c r="F360" s="2"/>
      <c r="G360" s="2"/>
      <c r="H360" s="2"/>
      <c r="I360" s="2"/>
      <c r="J360" s="2"/>
      <c r="K360" s="2"/>
      <c r="L360" s="10" t="s">
        <v>195</v>
      </c>
      <c r="M360" s="9">
        <v>19</v>
      </c>
      <c r="N360" s="2"/>
      <c r="O360" s="2"/>
      <c r="P360" s="2"/>
      <c r="Q360" s="2"/>
      <c r="R360" s="2" t="str">
        <f t="shared" si="50"/>
        <v>PAID</v>
      </c>
      <c r="S360" s="2"/>
      <c r="T360" s="2">
        <f t="shared" si="46"/>
        <v>0</v>
      </c>
      <c r="U360" s="2" t="str">
        <f t="shared" si="47"/>
        <v>OK</v>
      </c>
      <c r="V360" s="7">
        <f t="shared" si="48"/>
        <v>0</v>
      </c>
      <c r="W360" s="2" t="str">
        <f t="shared" si="49"/>
        <v>OK</v>
      </c>
      <c r="X360" s="2" t="s">
        <v>196</v>
      </c>
      <c r="Y360" s="2" t="s">
        <v>27</v>
      </c>
      <c r="Z360" s="2" t="s">
        <v>28</v>
      </c>
      <c r="AA360" t="s">
        <v>245</v>
      </c>
      <c r="AB360" t="s">
        <v>245</v>
      </c>
      <c r="AC360" t="s">
        <v>245</v>
      </c>
    </row>
    <row r="361" spans="1:29" x14ac:dyDescent="0.2">
      <c r="A361" t="str">
        <f t="shared" si="45"/>
        <v>TRIP-TR-360</v>
      </c>
      <c r="B361" s="3">
        <v>45922</v>
      </c>
      <c r="C361" t="str">
        <f>IF(X361="CUSTOMER DELIVERY",_xlfn.XLOOKUP(D361,'[1]Jan Customer Duplicate Hyva'!$B:$B,'[1]Jan Customer Duplicate Hyva'!$A:$A,"NOT FOUND"),"")</f>
        <v/>
      </c>
      <c r="D361" s="20" t="s">
        <v>215</v>
      </c>
      <c r="E361" s="2"/>
      <c r="F361" s="2"/>
      <c r="G361" s="2"/>
      <c r="H361" s="2"/>
      <c r="I361" s="2"/>
      <c r="J361" s="2"/>
      <c r="K361" s="2"/>
      <c r="L361" s="10" t="s">
        <v>195</v>
      </c>
      <c r="M361" s="9">
        <v>15</v>
      </c>
      <c r="N361" s="2"/>
      <c r="O361" s="2"/>
      <c r="P361" s="2"/>
      <c r="Q361" s="2"/>
      <c r="R361" s="2" t="str">
        <f t="shared" si="50"/>
        <v>PAID</v>
      </c>
      <c r="S361" s="2"/>
      <c r="T361" s="2">
        <f t="shared" si="46"/>
        <v>0</v>
      </c>
      <c r="U361" s="2" t="str">
        <f t="shared" si="47"/>
        <v>OK</v>
      </c>
      <c r="V361" s="7">
        <f t="shared" si="48"/>
        <v>0</v>
      </c>
      <c r="W361" s="2" t="str">
        <f t="shared" si="49"/>
        <v>OK</v>
      </c>
      <c r="X361" s="2" t="s">
        <v>196</v>
      </c>
      <c r="Y361" s="2" t="s">
        <v>27</v>
      </c>
      <c r="Z361" s="2" t="s">
        <v>28</v>
      </c>
      <c r="AA361" t="s">
        <v>245</v>
      </c>
      <c r="AB361" t="s">
        <v>245</v>
      </c>
      <c r="AC361" t="s">
        <v>245</v>
      </c>
    </row>
    <row r="362" spans="1:29" x14ac:dyDescent="0.2">
      <c r="A362" t="str">
        <f t="shared" si="45"/>
        <v>TRIP-TR-361</v>
      </c>
      <c r="B362" s="3">
        <v>45922</v>
      </c>
      <c r="C362" t="str">
        <f>IF(X362="CUSTOMER DELIVERY",_xlfn.XLOOKUP(D362,'[1]Jan Customer Duplicate Hyva'!$B:$B,'[1]Jan Customer Duplicate Hyva'!$A:$A,"NOT FOUND"),"")</f>
        <v/>
      </c>
      <c r="D362" s="20" t="s">
        <v>215</v>
      </c>
      <c r="E362" s="2"/>
      <c r="F362" s="2"/>
      <c r="G362" s="2"/>
      <c r="H362" s="2"/>
      <c r="I362" s="2"/>
      <c r="J362" s="2"/>
      <c r="K362" s="2"/>
      <c r="L362" s="10" t="s">
        <v>195</v>
      </c>
      <c r="M362" s="11">
        <v>18</v>
      </c>
      <c r="N362" s="2"/>
      <c r="O362" s="2"/>
      <c r="P362" s="2"/>
      <c r="Q362" s="2"/>
      <c r="R362" s="2" t="str">
        <f t="shared" si="50"/>
        <v>PAID</v>
      </c>
      <c r="S362" s="2"/>
      <c r="T362" s="2">
        <f t="shared" si="46"/>
        <v>0</v>
      </c>
      <c r="U362" s="2" t="str">
        <f t="shared" si="47"/>
        <v>OK</v>
      </c>
      <c r="V362" s="7">
        <f t="shared" si="48"/>
        <v>0</v>
      </c>
      <c r="W362" s="2" t="str">
        <f t="shared" si="49"/>
        <v>OK</v>
      </c>
      <c r="X362" s="2" t="s">
        <v>196</v>
      </c>
      <c r="Y362" s="2" t="s">
        <v>27</v>
      </c>
      <c r="Z362" s="2" t="s">
        <v>28</v>
      </c>
      <c r="AA362" t="s">
        <v>245</v>
      </c>
      <c r="AB362" t="s">
        <v>245</v>
      </c>
      <c r="AC362" t="s">
        <v>245</v>
      </c>
    </row>
    <row r="363" spans="1:29" x14ac:dyDescent="0.2">
      <c r="A363" t="str">
        <f t="shared" si="45"/>
        <v>TRIP-TR-362</v>
      </c>
      <c r="B363" s="3">
        <v>45923</v>
      </c>
      <c r="C363" t="str">
        <f>IF(X363="CUSTOMER DELIVERY",_xlfn.XLOOKUP(D363,'[1]Jan Customer Duplicate Hyva'!$B:$B,'[1]Jan Customer Duplicate Hyva'!$A:$A,"NOT FOUND"),"")</f>
        <v/>
      </c>
      <c r="D363" s="20" t="s">
        <v>215</v>
      </c>
      <c r="E363" s="2"/>
      <c r="F363" s="2"/>
      <c r="G363" s="2"/>
      <c r="H363" s="2"/>
      <c r="I363" s="2"/>
      <c r="J363" s="2"/>
      <c r="K363" s="2"/>
      <c r="L363" s="10" t="s">
        <v>195</v>
      </c>
      <c r="M363" s="11">
        <v>19</v>
      </c>
      <c r="N363" s="2"/>
      <c r="O363" s="2"/>
      <c r="P363" s="2"/>
      <c r="Q363" s="2"/>
      <c r="R363" s="2" t="str">
        <f t="shared" si="50"/>
        <v>PAID</v>
      </c>
      <c r="S363" s="2"/>
      <c r="T363" s="2">
        <f t="shared" si="46"/>
        <v>0</v>
      </c>
      <c r="U363" s="2" t="str">
        <f t="shared" si="47"/>
        <v>OK</v>
      </c>
      <c r="V363" s="7">
        <f t="shared" si="48"/>
        <v>0</v>
      </c>
      <c r="W363" s="2" t="str">
        <f t="shared" si="49"/>
        <v>OK</v>
      </c>
      <c r="X363" s="2" t="s">
        <v>196</v>
      </c>
      <c r="Y363" s="2" t="s">
        <v>27</v>
      </c>
      <c r="Z363" s="2" t="s">
        <v>28</v>
      </c>
      <c r="AA363" t="s">
        <v>245</v>
      </c>
      <c r="AB363" t="s">
        <v>245</v>
      </c>
      <c r="AC363" t="s">
        <v>245</v>
      </c>
    </row>
    <row r="364" spans="1:29" x14ac:dyDescent="0.2">
      <c r="A364" t="str">
        <f t="shared" si="45"/>
        <v>TRIP-TR-363</v>
      </c>
      <c r="B364" s="3">
        <v>45923</v>
      </c>
      <c r="C364" t="str">
        <f>IF(X364="CUSTOMER DELIVERY",_xlfn.XLOOKUP(D364,'[1]Jan Customer Duplicate Hyva'!$B:$B,'[1]Jan Customer Duplicate Hyva'!$A:$A,"NOT FOUND"),"")</f>
        <v/>
      </c>
      <c r="D364" s="20" t="s">
        <v>215</v>
      </c>
      <c r="E364" s="2"/>
      <c r="F364" s="2"/>
      <c r="G364" s="2"/>
      <c r="H364" s="2"/>
      <c r="I364" s="2"/>
      <c r="J364" s="2"/>
      <c r="K364" s="2"/>
      <c r="L364" s="10" t="s">
        <v>195</v>
      </c>
      <c r="M364" s="11">
        <v>15</v>
      </c>
      <c r="N364" s="2"/>
      <c r="O364" s="2"/>
      <c r="P364" s="2"/>
      <c r="Q364" s="2"/>
      <c r="R364" s="2" t="str">
        <f t="shared" si="50"/>
        <v>PAID</v>
      </c>
      <c r="S364" s="2"/>
      <c r="T364" s="2">
        <f t="shared" si="46"/>
        <v>0</v>
      </c>
      <c r="U364" s="2" t="str">
        <f t="shared" si="47"/>
        <v>OK</v>
      </c>
      <c r="V364" s="7">
        <f t="shared" si="48"/>
        <v>0</v>
      </c>
      <c r="W364" s="2" t="str">
        <f t="shared" si="49"/>
        <v>OK</v>
      </c>
      <c r="X364" s="2" t="s">
        <v>196</v>
      </c>
      <c r="Y364" s="2" t="s">
        <v>27</v>
      </c>
      <c r="Z364" s="2" t="s">
        <v>28</v>
      </c>
      <c r="AA364" t="s">
        <v>245</v>
      </c>
      <c r="AB364" t="s">
        <v>245</v>
      </c>
      <c r="AC364" t="s">
        <v>245</v>
      </c>
    </row>
    <row r="365" spans="1:29" x14ac:dyDescent="0.2">
      <c r="A365" t="str">
        <f t="shared" si="45"/>
        <v>TRIP-TR-364</v>
      </c>
      <c r="B365" s="3">
        <v>45923</v>
      </c>
      <c r="C365" t="str">
        <f>IF(X365="CUSTOMER DELIVERY",_xlfn.XLOOKUP(D365,'[1]Jan Customer Duplicate Hyva'!$B:$B,'[1]Jan Customer Duplicate Hyva'!$A:$A,"NOT FOUND"),"")</f>
        <v/>
      </c>
      <c r="D365" s="20" t="s">
        <v>215</v>
      </c>
      <c r="E365" s="2"/>
      <c r="F365" s="2"/>
      <c r="G365" s="2"/>
      <c r="H365" s="2"/>
      <c r="I365" s="2"/>
      <c r="J365" s="2"/>
      <c r="K365" s="2"/>
      <c r="L365" s="10" t="s">
        <v>195</v>
      </c>
      <c r="M365" s="11">
        <v>8</v>
      </c>
      <c r="N365" s="2"/>
      <c r="O365" s="2"/>
      <c r="P365" s="2"/>
      <c r="Q365" s="2"/>
      <c r="R365" s="2" t="str">
        <f t="shared" si="50"/>
        <v>PAID</v>
      </c>
      <c r="S365" s="2"/>
      <c r="T365" s="2">
        <f t="shared" si="46"/>
        <v>0</v>
      </c>
      <c r="U365" s="2" t="str">
        <f t="shared" si="47"/>
        <v>OK</v>
      </c>
      <c r="V365" s="7">
        <f t="shared" si="48"/>
        <v>0</v>
      </c>
      <c r="W365" s="2" t="str">
        <f t="shared" si="49"/>
        <v>OK</v>
      </c>
      <c r="X365" s="2" t="s">
        <v>196</v>
      </c>
      <c r="Y365" s="2" t="s">
        <v>27</v>
      </c>
      <c r="Z365" s="2" t="s">
        <v>28</v>
      </c>
      <c r="AA365" t="s">
        <v>245</v>
      </c>
      <c r="AB365" t="s">
        <v>245</v>
      </c>
      <c r="AC365" t="s">
        <v>245</v>
      </c>
    </row>
    <row r="366" spans="1:29" x14ac:dyDescent="0.2">
      <c r="A366" t="str">
        <f t="shared" si="45"/>
        <v>TRIP-TR-365</v>
      </c>
      <c r="B366" s="3">
        <v>45924</v>
      </c>
      <c r="C366" t="str">
        <f>IF(X366="CUSTOMER DELIVERY",_xlfn.XLOOKUP(D366,'[1]Jan Customer Duplicate Hyva'!$B:$B,'[1]Jan Customer Duplicate Hyva'!$A:$A,"NOT FOUND"),"")</f>
        <v/>
      </c>
      <c r="D366" s="20" t="s">
        <v>215</v>
      </c>
      <c r="E366" s="2"/>
      <c r="F366" s="2"/>
      <c r="G366" s="2"/>
      <c r="H366" s="2"/>
      <c r="I366" s="2"/>
      <c r="J366" s="2"/>
      <c r="K366" s="2"/>
      <c r="L366" s="10" t="s">
        <v>195</v>
      </c>
      <c r="M366" s="11">
        <v>13</v>
      </c>
      <c r="N366" s="2"/>
      <c r="O366" s="2"/>
      <c r="P366" s="2"/>
      <c r="Q366" s="2"/>
      <c r="R366" s="2" t="str">
        <f t="shared" si="50"/>
        <v>PAID</v>
      </c>
      <c r="S366" s="2"/>
      <c r="T366" s="2">
        <f t="shared" si="46"/>
        <v>0</v>
      </c>
      <c r="U366" s="2" t="str">
        <f t="shared" si="47"/>
        <v>OK</v>
      </c>
      <c r="V366" s="7">
        <f t="shared" si="48"/>
        <v>0</v>
      </c>
      <c r="W366" s="2" t="str">
        <f t="shared" si="49"/>
        <v>OK</v>
      </c>
      <c r="X366" s="2" t="s">
        <v>196</v>
      </c>
      <c r="Y366" s="2" t="s">
        <v>27</v>
      </c>
      <c r="Z366" s="2" t="s">
        <v>28</v>
      </c>
      <c r="AA366" t="s">
        <v>245</v>
      </c>
      <c r="AB366" t="s">
        <v>245</v>
      </c>
      <c r="AC366" t="s">
        <v>245</v>
      </c>
    </row>
    <row r="367" spans="1:29" x14ac:dyDescent="0.2">
      <c r="A367" t="str">
        <f t="shared" si="45"/>
        <v>TRIP-TR-366</v>
      </c>
      <c r="B367" s="3">
        <v>45924</v>
      </c>
      <c r="C367" t="str">
        <f>IF(X367="CUSTOMER DELIVERY",_xlfn.XLOOKUP(D367,'[1]Jan Customer Duplicate Hyva'!$B:$B,'[1]Jan Customer Duplicate Hyva'!$A:$A,"NOT FOUND"),"")</f>
        <v/>
      </c>
      <c r="D367" s="20" t="s">
        <v>215</v>
      </c>
      <c r="E367" s="2"/>
      <c r="F367" s="2"/>
      <c r="G367" s="2"/>
      <c r="H367" s="2"/>
      <c r="I367" s="2"/>
      <c r="J367" s="2"/>
      <c r="K367" s="2"/>
      <c r="L367" s="10" t="s">
        <v>195</v>
      </c>
      <c r="M367" s="9">
        <v>18</v>
      </c>
      <c r="N367" s="2"/>
      <c r="O367" s="2"/>
      <c r="P367" s="2"/>
      <c r="Q367" s="2"/>
      <c r="R367" s="2" t="str">
        <f t="shared" si="50"/>
        <v>PAID</v>
      </c>
      <c r="S367" s="2"/>
      <c r="T367" s="2">
        <f t="shared" si="46"/>
        <v>0</v>
      </c>
      <c r="U367" s="2" t="str">
        <f t="shared" si="47"/>
        <v>OK</v>
      </c>
      <c r="V367" s="7">
        <f t="shared" si="48"/>
        <v>0</v>
      </c>
      <c r="W367" s="2" t="str">
        <f t="shared" si="49"/>
        <v>OK</v>
      </c>
      <c r="X367" s="2" t="s">
        <v>196</v>
      </c>
      <c r="Y367" s="2" t="s">
        <v>27</v>
      </c>
      <c r="Z367" s="2" t="s">
        <v>28</v>
      </c>
      <c r="AA367" t="s">
        <v>245</v>
      </c>
      <c r="AB367" t="s">
        <v>245</v>
      </c>
      <c r="AC367" t="s">
        <v>245</v>
      </c>
    </row>
    <row r="368" spans="1:29" x14ac:dyDescent="0.2">
      <c r="A368" t="str">
        <f t="shared" si="45"/>
        <v>TRIP-TR-367</v>
      </c>
      <c r="B368" s="3">
        <v>45929</v>
      </c>
      <c r="C368" t="str">
        <f>IF(X368="CUSTOMER DELIVERY",_xlfn.XLOOKUP(D368,'[1]Jan Customer Duplicate Hyva'!$B:$B,'[1]Jan Customer Duplicate Hyva'!$A:$A,"NOT FOUND"),"")</f>
        <v/>
      </c>
      <c r="D368" s="20" t="s">
        <v>215</v>
      </c>
      <c r="E368" s="2"/>
      <c r="F368" s="2"/>
      <c r="G368" s="2"/>
      <c r="H368" s="2"/>
      <c r="I368" s="2"/>
      <c r="J368" s="2"/>
      <c r="K368" s="2"/>
      <c r="L368" s="10" t="s">
        <v>195</v>
      </c>
      <c r="M368" s="9">
        <v>8</v>
      </c>
      <c r="N368" s="2"/>
      <c r="O368" s="2"/>
      <c r="P368" s="2"/>
      <c r="Q368" s="2"/>
      <c r="R368" s="2" t="str">
        <f t="shared" si="50"/>
        <v>PAID</v>
      </c>
      <c r="S368" s="2"/>
      <c r="T368" s="2">
        <f t="shared" si="46"/>
        <v>0</v>
      </c>
      <c r="U368" s="2" t="str">
        <f t="shared" si="47"/>
        <v>OK</v>
      </c>
      <c r="V368" s="7">
        <f t="shared" si="48"/>
        <v>0</v>
      </c>
      <c r="W368" s="2" t="str">
        <f t="shared" si="49"/>
        <v>OK</v>
      </c>
      <c r="X368" s="2" t="s">
        <v>196</v>
      </c>
      <c r="Y368" s="2" t="s">
        <v>27</v>
      </c>
      <c r="Z368" s="2" t="s">
        <v>28</v>
      </c>
      <c r="AA368" t="s">
        <v>245</v>
      </c>
      <c r="AB368" t="s">
        <v>245</v>
      </c>
      <c r="AC368" t="s">
        <v>245</v>
      </c>
    </row>
    <row r="369" spans="1:29" x14ac:dyDescent="0.2">
      <c r="A369" t="str">
        <f t="shared" si="45"/>
        <v>TRIP-TR-368</v>
      </c>
      <c r="B369" s="3">
        <v>45929</v>
      </c>
      <c r="C369" t="str">
        <f>IF(X369="CUSTOMER DELIVERY",_xlfn.XLOOKUP(D369,'[1]Jan Customer Duplicate Hyva'!$B:$B,'[1]Jan Customer Duplicate Hyva'!$A:$A,"NOT FOUND"),"")</f>
        <v/>
      </c>
      <c r="D369" s="20" t="s">
        <v>215</v>
      </c>
      <c r="E369" s="2"/>
      <c r="F369" s="2"/>
      <c r="G369" s="2"/>
      <c r="H369" s="2"/>
      <c r="I369" s="2"/>
      <c r="J369" s="2"/>
      <c r="K369" s="2"/>
      <c r="L369" s="10" t="s">
        <v>195</v>
      </c>
      <c r="M369" s="9">
        <v>10</v>
      </c>
      <c r="N369" s="2"/>
      <c r="O369" s="2"/>
      <c r="P369" s="2"/>
      <c r="Q369" s="2"/>
      <c r="R369" s="2" t="str">
        <f t="shared" si="50"/>
        <v>PAID</v>
      </c>
      <c r="S369" s="2"/>
      <c r="T369" s="2">
        <f t="shared" si="46"/>
        <v>0</v>
      </c>
      <c r="U369" s="2" t="str">
        <f t="shared" si="47"/>
        <v>OK</v>
      </c>
      <c r="V369" s="7">
        <f t="shared" si="48"/>
        <v>0</v>
      </c>
      <c r="W369" s="2" t="str">
        <f t="shared" si="49"/>
        <v>OK</v>
      </c>
      <c r="X369" s="2" t="s">
        <v>196</v>
      </c>
      <c r="Y369" s="2" t="s">
        <v>27</v>
      </c>
      <c r="Z369" s="2" t="s">
        <v>28</v>
      </c>
      <c r="AA369" t="s">
        <v>245</v>
      </c>
      <c r="AB369" t="s">
        <v>245</v>
      </c>
      <c r="AC369" t="s">
        <v>245</v>
      </c>
    </row>
    <row r="370" spans="1:29" x14ac:dyDescent="0.2">
      <c r="A370" t="str">
        <f t="shared" si="45"/>
        <v>TRIP-TR-369</v>
      </c>
      <c r="B370" s="3">
        <v>45929</v>
      </c>
      <c r="C370" t="str">
        <f>IF(X370="CUSTOMER DELIVERY",_xlfn.XLOOKUP(D370,'[1]Jan Customer Duplicate Hyva'!$B:$B,'[1]Jan Customer Duplicate Hyva'!$A:$A,"NOT FOUND"),"")</f>
        <v/>
      </c>
      <c r="D370" s="20" t="s">
        <v>215</v>
      </c>
      <c r="E370" s="2"/>
      <c r="F370" s="2"/>
      <c r="G370" s="2"/>
      <c r="H370" s="2"/>
      <c r="I370" s="2"/>
      <c r="J370" s="2"/>
      <c r="K370" s="2"/>
      <c r="L370" s="10" t="s">
        <v>195</v>
      </c>
      <c r="M370" s="9">
        <v>23</v>
      </c>
      <c r="N370" s="2"/>
      <c r="O370" s="2"/>
      <c r="P370" s="2"/>
      <c r="Q370" s="2"/>
      <c r="R370" s="2" t="str">
        <f t="shared" si="50"/>
        <v>PAID</v>
      </c>
      <c r="S370" s="2"/>
      <c r="T370" s="2">
        <f t="shared" si="46"/>
        <v>0</v>
      </c>
      <c r="U370" s="2" t="str">
        <f t="shared" si="47"/>
        <v>OK</v>
      </c>
      <c r="V370" s="7">
        <f t="shared" si="48"/>
        <v>0</v>
      </c>
      <c r="W370" s="2" t="str">
        <f t="shared" si="49"/>
        <v>OK</v>
      </c>
      <c r="X370" s="2" t="s">
        <v>196</v>
      </c>
      <c r="Y370" s="2" t="s">
        <v>27</v>
      </c>
      <c r="Z370" s="2" t="s">
        <v>28</v>
      </c>
      <c r="AA370" t="s">
        <v>245</v>
      </c>
      <c r="AB370" t="s">
        <v>245</v>
      </c>
      <c r="AC370" t="s">
        <v>245</v>
      </c>
    </row>
    <row r="371" spans="1:29" x14ac:dyDescent="0.2">
      <c r="A371" t="str">
        <f t="shared" si="45"/>
        <v>TRIP-TR-370</v>
      </c>
      <c r="B371" s="3">
        <v>45929</v>
      </c>
      <c r="C371" t="str">
        <f>IF(X371="CUSTOMER DELIVERY",_xlfn.XLOOKUP(D371,'[1]Jan Customer Duplicate Hyva'!$B:$B,'[1]Jan Customer Duplicate Hyva'!$A:$A,"NOT FOUND"),"")</f>
        <v/>
      </c>
      <c r="D371" s="20" t="s">
        <v>215</v>
      </c>
      <c r="E371" s="2"/>
      <c r="F371" s="2"/>
      <c r="G371" s="2"/>
      <c r="H371" s="2"/>
      <c r="I371" s="2"/>
      <c r="J371" s="2"/>
      <c r="K371" s="2"/>
      <c r="L371" s="10" t="s">
        <v>195</v>
      </c>
      <c r="M371" s="9">
        <v>16</v>
      </c>
      <c r="N371" s="2"/>
      <c r="O371" s="2"/>
      <c r="P371" s="2"/>
      <c r="Q371" s="2"/>
      <c r="R371" s="2" t="str">
        <f t="shared" si="50"/>
        <v>PAID</v>
      </c>
      <c r="S371" s="2"/>
      <c r="T371" s="2">
        <f t="shared" si="46"/>
        <v>0</v>
      </c>
      <c r="U371" s="2" t="str">
        <f t="shared" si="47"/>
        <v>OK</v>
      </c>
      <c r="V371" s="7">
        <f t="shared" si="48"/>
        <v>0</v>
      </c>
      <c r="W371" s="2" t="str">
        <f t="shared" si="49"/>
        <v>OK</v>
      </c>
      <c r="X371" s="2" t="s">
        <v>196</v>
      </c>
      <c r="Y371" s="2" t="s">
        <v>27</v>
      </c>
      <c r="Z371" s="2" t="s">
        <v>28</v>
      </c>
      <c r="AA371" t="s">
        <v>245</v>
      </c>
      <c r="AB371" t="s">
        <v>245</v>
      </c>
      <c r="AC371" t="s">
        <v>245</v>
      </c>
    </row>
    <row r="372" spans="1:29" x14ac:dyDescent="0.2">
      <c r="A372" t="str">
        <f t="shared" si="45"/>
        <v>TRIP-TR-371</v>
      </c>
      <c r="B372" s="3">
        <v>45929</v>
      </c>
      <c r="C372" t="str">
        <f>IF(X372="CUSTOMER DELIVERY",_xlfn.XLOOKUP(D372,'[1]Jan Customer Duplicate Hyva'!$B:$B,'[1]Jan Customer Duplicate Hyva'!$A:$A,"NOT FOUND"),"")</f>
        <v/>
      </c>
      <c r="D372" s="20" t="s">
        <v>215</v>
      </c>
      <c r="E372" s="2"/>
      <c r="F372" s="2"/>
      <c r="G372" s="2"/>
      <c r="H372" s="2"/>
      <c r="I372" s="2"/>
      <c r="J372" s="2"/>
      <c r="K372" s="2"/>
      <c r="L372" s="10" t="s">
        <v>195</v>
      </c>
      <c r="M372" s="9">
        <v>16</v>
      </c>
      <c r="N372" s="2"/>
      <c r="O372" s="2"/>
      <c r="P372" s="2"/>
      <c r="Q372" s="2"/>
      <c r="R372" s="2" t="str">
        <f t="shared" si="50"/>
        <v>PAID</v>
      </c>
      <c r="S372" s="2"/>
      <c r="T372" s="2">
        <f t="shared" si="46"/>
        <v>0</v>
      </c>
      <c r="U372" s="2" t="str">
        <f t="shared" si="47"/>
        <v>OK</v>
      </c>
      <c r="V372" s="7">
        <f t="shared" si="48"/>
        <v>0</v>
      </c>
      <c r="W372" s="2" t="str">
        <f t="shared" si="49"/>
        <v>OK</v>
      </c>
      <c r="X372" s="2" t="s">
        <v>196</v>
      </c>
      <c r="Y372" s="2" t="s">
        <v>27</v>
      </c>
      <c r="Z372" s="2" t="s">
        <v>28</v>
      </c>
      <c r="AA372" t="s">
        <v>245</v>
      </c>
      <c r="AB372" t="s">
        <v>245</v>
      </c>
      <c r="AC372" t="s">
        <v>245</v>
      </c>
    </row>
    <row r="373" spans="1:29" x14ac:dyDescent="0.2">
      <c r="A373" t="str">
        <f t="shared" si="45"/>
        <v>TRIP-TR-372</v>
      </c>
      <c r="B373" s="3">
        <v>45929</v>
      </c>
      <c r="C373" t="str">
        <f>IF(X373="CUSTOMER DELIVERY",_xlfn.XLOOKUP(D373,'[1]Jan Customer Duplicate Hyva'!$B:$B,'[1]Jan Customer Duplicate Hyva'!$A:$A,"NOT FOUND"),"")</f>
        <v/>
      </c>
      <c r="D373" s="20" t="s">
        <v>215</v>
      </c>
      <c r="E373" s="2"/>
      <c r="F373" s="2"/>
      <c r="G373" s="2"/>
      <c r="H373" s="2"/>
      <c r="I373" s="2"/>
      <c r="J373" s="2"/>
      <c r="K373" s="2"/>
      <c r="L373" s="10" t="s">
        <v>195</v>
      </c>
      <c r="M373" s="9">
        <v>12</v>
      </c>
      <c r="N373" s="2"/>
      <c r="O373" s="2"/>
      <c r="P373" s="2"/>
      <c r="Q373" s="2"/>
      <c r="R373" s="2" t="str">
        <f t="shared" si="50"/>
        <v>PAID</v>
      </c>
      <c r="S373" s="2"/>
      <c r="T373" s="2">
        <f t="shared" si="46"/>
        <v>0</v>
      </c>
      <c r="U373" s="2" t="str">
        <f t="shared" si="47"/>
        <v>OK</v>
      </c>
      <c r="V373" s="7">
        <f t="shared" si="48"/>
        <v>0</v>
      </c>
      <c r="W373" s="2" t="str">
        <f t="shared" si="49"/>
        <v>OK</v>
      </c>
      <c r="X373" s="2" t="s">
        <v>196</v>
      </c>
      <c r="Y373" s="2" t="s">
        <v>27</v>
      </c>
      <c r="Z373" s="2" t="s">
        <v>28</v>
      </c>
      <c r="AA373" t="s">
        <v>245</v>
      </c>
      <c r="AB373" t="s">
        <v>245</v>
      </c>
      <c r="AC373" t="s">
        <v>245</v>
      </c>
    </row>
    <row r="374" spans="1:29" x14ac:dyDescent="0.2">
      <c r="A374" t="str">
        <f t="shared" si="45"/>
        <v>TRIP-TR-373</v>
      </c>
      <c r="B374" s="3">
        <v>45934</v>
      </c>
      <c r="C374" t="str">
        <f>IF(X374="CUSTOMER DELIVERY",_xlfn.XLOOKUP(D374,'[1]Jan Customer Duplicate Hyva'!$B:$B,'[1]Jan Customer Duplicate Hyva'!$A:$A,"NOT FOUND"),"")</f>
        <v/>
      </c>
      <c r="D374" s="20" t="s">
        <v>215</v>
      </c>
      <c r="E374" s="2"/>
      <c r="F374" s="2"/>
      <c r="G374" s="2"/>
      <c r="H374" s="2"/>
      <c r="I374" s="2"/>
      <c r="J374" s="2"/>
      <c r="K374" s="2"/>
      <c r="L374" s="10" t="s">
        <v>195</v>
      </c>
      <c r="M374" s="9">
        <v>11</v>
      </c>
      <c r="N374" s="2"/>
      <c r="O374" s="2"/>
      <c r="P374" s="2"/>
      <c r="Q374" s="2"/>
      <c r="R374" s="2" t="str">
        <f t="shared" si="50"/>
        <v>PAID</v>
      </c>
      <c r="S374" s="2"/>
      <c r="T374" s="2">
        <f t="shared" si="46"/>
        <v>0</v>
      </c>
      <c r="U374" s="2" t="str">
        <f t="shared" si="47"/>
        <v>OK</v>
      </c>
      <c r="V374" s="7">
        <f t="shared" si="48"/>
        <v>0</v>
      </c>
      <c r="W374" s="2" t="str">
        <f t="shared" si="49"/>
        <v>OK</v>
      </c>
      <c r="X374" s="2" t="s">
        <v>196</v>
      </c>
      <c r="Y374" s="2" t="s">
        <v>27</v>
      </c>
      <c r="Z374" s="2" t="s">
        <v>28</v>
      </c>
      <c r="AA374" t="s">
        <v>245</v>
      </c>
      <c r="AB374" t="s">
        <v>245</v>
      </c>
      <c r="AC374" t="s">
        <v>245</v>
      </c>
    </row>
    <row r="375" spans="1:29" x14ac:dyDescent="0.2">
      <c r="A375" t="str">
        <f t="shared" si="45"/>
        <v>TRIP-TR-374</v>
      </c>
      <c r="B375" s="3">
        <v>45934</v>
      </c>
      <c r="C375" t="str">
        <f>IF(X375="CUSTOMER DELIVERY",_xlfn.XLOOKUP(D375,'[1]Jan Customer Duplicate Hyva'!$B:$B,'[1]Jan Customer Duplicate Hyva'!$A:$A,"NOT FOUND"),"")</f>
        <v/>
      </c>
      <c r="D375" s="20" t="s">
        <v>215</v>
      </c>
      <c r="E375" s="2"/>
      <c r="F375" s="2"/>
      <c r="G375" s="2"/>
      <c r="H375" s="2"/>
      <c r="I375" s="2"/>
      <c r="J375" s="2"/>
      <c r="K375" s="2"/>
      <c r="L375" s="10" t="s">
        <v>195</v>
      </c>
      <c r="M375" s="9">
        <v>13</v>
      </c>
      <c r="N375" s="2"/>
      <c r="O375" s="2"/>
      <c r="P375" s="2"/>
      <c r="Q375" s="2"/>
      <c r="R375" s="2" t="str">
        <f t="shared" si="50"/>
        <v>PAID</v>
      </c>
      <c r="S375" s="2"/>
      <c r="T375" s="2">
        <f t="shared" si="46"/>
        <v>0</v>
      </c>
      <c r="U375" s="2" t="str">
        <f t="shared" si="47"/>
        <v>OK</v>
      </c>
      <c r="V375" s="7">
        <f t="shared" si="48"/>
        <v>0</v>
      </c>
      <c r="W375" s="2" t="str">
        <f t="shared" si="49"/>
        <v>OK</v>
      </c>
      <c r="X375" s="2" t="s">
        <v>196</v>
      </c>
      <c r="Y375" s="2" t="s">
        <v>27</v>
      </c>
      <c r="Z375" s="2" t="s">
        <v>28</v>
      </c>
      <c r="AA375" t="s">
        <v>245</v>
      </c>
      <c r="AB375" t="s">
        <v>245</v>
      </c>
      <c r="AC375" t="s">
        <v>245</v>
      </c>
    </row>
    <row r="376" spans="1:29" x14ac:dyDescent="0.2">
      <c r="A376" t="str">
        <f t="shared" si="45"/>
        <v>TRIP-TR-375</v>
      </c>
      <c r="B376" s="3">
        <v>45936</v>
      </c>
      <c r="C376" t="str">
        <f>IF(X376="CUSTOMER DELIVERY",_xlfn.XLOOKUP(D376,'[1]Jan Customer Duplicate Hyva'!$B:$B,'[1]Jan Customer Duplicate Hyva'!$A:$A,"NOT FOUND"),"")</f>
        <v/>
      </c>
      <c r="D376" s="20" t="s">
        <v>215</v>
      </c>
      <c r="E376" s="2"/>
      <c r="F376" s="2"/>
      <c r="G376" s="2"/>
      <c r="H376" s="2"/>
      <c r="I376" s="2"/>
      <c r="J376" s="2"/>
      <c r="K376" s="2"/>
      <c r="L376" s="10" t="s">
        <v>195</v>
      </c>
      <c r="M376" s="9">
        <v>11</v>
      </c>
      <c r="N376" s="2"/>
      <c r="O376" s="2"/>
      <c r="P376" s="2"/>
      <c r="Q376" s="2"/>
      <c r="R376" s="2" t="str">
        <f t="shared" si="50"/>
        <v>PAID</v>
      </c>
      <c r="S376" s="2"/>
      <c r="T376" s="2">
        <f t="shared" si="46"/>
        <v>0</v>
      </c>
      <c r="U376" s="2" t="str">
        <f t="shared" si="47"/>
        <v>OK</v>
      </c>
      <c r="V376" s="7">
        <f t="shared" si="48"/>
        <v>0</v>
      </c>
      <c r="W376" s="2" t="str">
        <f t="shared" si="49"/>
        <v>OK</v>
      </c>
      <c r="X376" s="2" t="s">
        <v>196</v>
      </c>
      <c r="Y376" s="2" t="s">
        <v>27</v>
      </c>
      <c r="Z376" s="2" t="s">
        <v>28</v>
      </c>
      <c r="AA376" t="s">
        <v>245</v>
      </c>
      <c r="AB376" t="s">
        <v>245</v>
      </c>
      <c r="AC376" t="s">
        <v>245</v>
      </c>
    </row>
    <row r="377" spans="1:29" x14ac:dyDescent="0.2">
      <c r="A377" t="str">
        <f t="shared" si="45"/>
        <v>TRIP-TR-376</v>
      </c>
      <c r="B377" s="3">
        <v>45938</v>
      </c>
      <c r="C377" t="str">
        <f>IF(X377="CUSTOMER DELIVERY",_xlfn.XLOOKUP(D377,'[1]Jan Customer Duplicate Hyva'!$B:$B,'[1]Jan Customer Duplicate Hyva'!$A:$A,"NOT FOUND"),"")</f>
        <v/>
      </c>
      <c r="D377" s="20" t="s">
        <v>215</v>
      </c>
      <c r="E377" s="2"/>
      <c r="F377" s="2"/>
      <c r="G377" s="2"/>
      <c r="H377" s="2"/>
      <c r="I377" s="2"/>
      <c r="J377" s="2"/>
      <c r="K377" s="2"/>
      <c r="L377" s="10" t="s">
        <v>195</v>
      </c>
      <c r="M377" s="9">
        <v>11</v>
      </c>
      <c r="N377" s="2"/>
      <c r="O377" s="2"/>
      <c r="P377" s="2"/>
      <c r="Q377" s="2"/>
      <c r="R377" s="2" t="str">
        <f t="shared" si="50"/>
        <v>PAID</v>
      </c>
      <c r="S377" s="2"/>
      <c r="T377" s="2">
        <f t="shared" si="46"/>
        <v>0</v>
      </c>
      <c r="U377" s="2" t="str">
        <f t="shared" si="47"/>
        <v>OK</v>
      </c>
      <c r="V377" s="7">
        <f t="shared" si="48"/>
        <v>0</v>
      </c>
      <c r="W377" s="2" t="str">
        <f t="shared" si="49"/>
        <v>OK</v>
      </c>
      <c r="X377" s="2" t="s">
        <v>196</v>
      </c>
      <c r="Y377" s="2" t="s">
        <v>27</v>
      </c>
      <c r="Z377" s="2" t="s">
        <v>28</v>
      </c>
      <c r="AA377" t="s">
        <v>245</v>
      </c>
      <c r="AB377" t="s">
        <v>245</v>
      </c>
      <c r="AC377" t="s">
        <v>245</v>
      </c>
    </row>
    <row r="378" spans="1:29" x14ac:dyDescent="0.2">
      <c r="A378" t="str">
        <f t="shared" si="45"/>
        <v>TRIP-TR-377</v>
      </c>
      <c r="B378" s="3">
        <v>45938</v>
      </c>
      <c r="C378" t="str">
        <f>IF(X378="CUSTOMER DELIVERY",_xlfn.XLOOKUP(D378,'[1]Jan Customer Duplicate Hyva'!$B:$B,'[1]Jan Customer Duplicate Hyva'!$A:$A,"NOT FOUND"),"")</f>
        <v/>
      </c>
      <c r="D378" s="20" t="s">
        <v>215</v>
      </c>
      <c r="E378" s="2"/>
      <c r="F378" s="2"/>
      <c r="G378" s="2"/>
      <c r="H378" s="2"/>
      <c r="I378" s="2"/>
      <c r="J378" s="2"/>
      <c r="K378" s="2"/>
      <c r="L378" s="10" t="s">
        <v>195</v>
      </c>
      <c r="M378" s="9">
        <v>13</v>
      </c>
      <c r="N378" s="2"/>
      <c r="O378" s="2"/>
      <c r="P378" s="2"/>
      <c r="Q378" s="2"/>
      <c r="R378" s="2" t="str">
        <f t="shared" si="50"/>
        <v>PAID</v>
      </c>
      <c r="S378" s="2"/>
      <c r="T378" s="2">
        <f t="shared" si="46"/>
        <v>0</v>
      </c>
      <c r="U378" s="2" t="str">
        <f t="shared" si="47"/>
        <v>OK</v>
      </c>
      <c r="V378" s="7">
        <f t="shared" si="48"/>
        <v>0</v>
      </c>
      <c r="W378" s="2" t="str">
        <f t="shared" si="49"/>
        <v>OK</v>
      </c>
      <c r="X378" s="2" t="s">
        <v>196</v>
      </c>
      <c r="Y378" s="2" t="s">
        <v>27</v>
      </c>
      <c r="Z378" s="2" t="s">
        <v>28</v>
      </c>
      <c r="AA378" t="s">
        <v>245</v>
      </c>
      <c r="AB378" t="s">
        <v>245</v>
      </c>
      <c r="AC378" t="s">
        <v>245</v>
      </c>
    </row>
    <row r="379" spans="1:29" x14ac:dyDescent="0.2">
      <c r="A379" t="str">
        <f t="shared" si="45"/>
        <v>TRIP-TR-378</v>
      </c>
      <c r="B379" s="3">
        <v>45938</v>
      </c>
      <c r="C379" t="str">
        <f>IF(X379="CUSTOMER DELIVERY",_xlfn.XLOOKUP(D379,'[1]Jan Customer Duplicate Hyva'!$B:$B,'[1]Jan Customer Duplicate Hyva'!$A:$A,"NOT FOUND"),"")</f>
        <v/>
      </c>
      <c r="D379" s="20" t="s">
        <v>215</v>
      </c>
      <c r="E379" s="2"/>
      <c r="F379" s="2"/>
      <c r="G379" s="2"/>
      <c r="H379" s="2"/>
      <c r="I379" s="2"/>
      <c r="J379" s="2"/>
      <c r="K379" s="2"/>
      <c r="L379" s="10" t="s">
        <v>195</v>
      </c>
      <c r="M379" s="9">
        <v>14</v>
      </c>
      <c r="N379" s="2"/>
      <c r="O379" s="2"/>
      <c r="P379" s="2"/>
      <c r="Q379" s="2"/>
      <c r="R379" s="2" t="str">
        <f t="shared" si="50"/>
        <v>PAID</v>
      </c>
      <c r="S379" s="2"/>
      <c r="T379" s="2">
        <f t="shared" si="46"/>
        <v>0</v>
      </c>
      <c r="U379" s="2" t="str">
        <f t="shared" si="47"/>
        <v>OK</v>
      </c>
      <c r="V379" s="7">
        <f t="shared" si="48"/>
        <v>0</v>
      </c>
      <c r="W379" s="2" t="str">
        <f t="shared" si="49"/>
        <v>OK</v>
      </c>
      <c r="X379" s="2" t="s">
        <v>196</v>
      </c>
      <c r="Y379" s="2" t="s">
        <v>27</v>
      </c>
      <c r="Z379" s="2" t="s">
        <v>28</v>
      </c>
      <c r="AA379" t="s">
        <v>245</v>
      </c>
      <c r="AB379" t="s">
        <v>245</v>
      </c>
      <c r="AC379" t="s">
        <v>245</v>
      </c>
    </row>
    <row r="380" spans="1:29" x14ac:dyDescent="0.2">
      <c r="A380" t="str">
        <f t="shared" si="45"/>
        <v>TRIP-TR-379</v>
      </c>
      <c r="B380" s="3">
        <v>45938</v>
      </c>
      <c r="C380" t="str">
        <f>IF(X380="CUSTOMER DELIVERY",_xlfn.XLOOKUP(D380,'[1]Jan Customer Duplicate Hyva'!$B:$B,'[1]Jan Customer Duplicate Hyva'!$A:$A,"NOT FOUND"),"")</f>
        <v/>
      </c>
      <c r="D380" s="20" t="s">
        <v>215</v>
      </c>
      <c r="E380" s="2"/>
      <c r="F380" s="2"/>
      <c r="G380" s="2"/>
      <c r="H380" s="2"/>
      <c r="I380" s="2"/>
      <c r="J380" s="2"/>
      <c r="K380" s="2"/>
      <c r="L380" s="10" t="s">
        <v>195</v>
      </c>
      <c r="M380" s="9">
        <v>13</v>
      </c>
      <c r="N380" s="2"/>
      <c r="O380" s="2"/>
      <c r="P380" s="2"/>
      <c r="Q380" s="2"/>
      <c r="R380" s="2" t="str">
        <f t="shared" si="50"/>
        <v>PAID</v>
      </c>
      <c r="S380" s="2"/>
      <c r="T380" s="2">
        <f t="shared" si="46"/>
        <v>0</v>
      </c>
      <c r="U380" s="2" t="str">
        <f t="shared" si="47"/>
        <v>OK</v>
      </c>
      <c r="V380" s="7">
        <f t="shared" si="48"/>
        <v>0</v>
      </c>
      <c r="W380" s="2" t="str">
        <f t="shared" si="49"/>
        <v>OK</v>
      </c>
      <c r="X380" s="2" t="s">
        <v>196</v>
      </c>
      <c r="Y380" s="2" t="s">
        <v>27</v>
      </c>
      <c r="Z380" s="2" t="s">
        <v>28</v>
      </c>
      <c r="AA380" t="s">
        <v>245</v>
      </c>
      <c r="AB380" t="s">
        <v>245</v>
      </c>
      <c r="AC380" t="s">
        <v>245</v>
      </c>
    </row>
    <row r="381" spans="1:29" x14ac:dyDescent="0.2">
      <c r="A381" t="str">
        <f t="shared" si="45"/>
        <v>TRIP-TR-380</v>
      </c>
      <c r="B381" s="3">
        <v>45939</v>
      </c>
      <c r="C381" t="str">
        <f>IF(X381="CUSTOMER DELIVERY",_xlfn.XLOOKUP(D381,'[1]Jan Customer Duplicate Hyva'!$B:$B,'[1]Jan Customer Duplicate Hyva'!$A:$A,"NOT FOUND"),"")</f>
        <v/>
      </c>
      <c r="D381" s="20" t="s">
        <v>215</v>
      </c>
      <c r="E381" s="2"/>
      <c r="F381" s="2"/>
      <c r="G381" s="2"/>
      <c r="H381" s="2"/>
      <c r="I381" s="2"/>
      <c r="J381" s="2"/>
      <c r="K381" s="2"/>
      <c r="L381" s="10" t="s">
        <v>195</v>
      </c>
      <c r="M381" s="9">
        <v>15</v>
      </c>
      <c r="N381" s="2"/>
      <c r="O381" s="2"/>
      <c r="P381" s="2"/>
      <c r="Q381" s="2"/>
      <c r="R381" s="2" t="str">
        <f t="shared" si="50"/>
        <v>PAID</v>
      </c>
      <c r="S381" s="2"/>
      <c r="T381" s="2">
        <f t="shared" si="46"/>
        <v>0</v>
      </c>
      <c r="U381" s="2" t="str">
        <f t="shared" si="47"/>
        <v>OK</v>
      </c>
      <c r="V381" s="7">
        <f t="shared" si="48"/>
        <v>0</v>
      </c>
      <c r="W381" s="2" t="str">
        <f t="shared" si="49"/>
        <v>OK</v>
      </c>
      <c r="X381" s="2" t="s">
        <v>196</v>
      </c>
      <c r="Y381" s="2" t="s">
        <v>27</v>
      </c>
      <c r="Z381" s="2" t="s">
        <v>28</v>
      </c>
      <c r="AA381" t="s">
        <v>245</v>
      </c>
      <c r="AB381" t="s">
        <v>245</v>
      </c>
      <c r="AC381" t="s">
        <v>245</v>
      </c>
    </row>
    <row r="382" spans="1:29" x14ac:dyDescent="0.2">
      <c r="A382" t="str">
        <f t="shared" si="45"/>
        <v>TRIP-TR-381</v>
      </c>
      <c r="B382" s="3">
        <v>45939</v>
      </c>
      <c r="C382" t="str">
        <f>IF(X382="CUSTOMER DELIVERY",_xlfn.XLOOKUP(D382,'[1]Jan Customer Duplicate Hyva'!$B:$B,'[1]Jan Customer Duplicate Hyva'!$A:$A,"NOT FOUND"),"")</f>
        <v/>
      </c>
      <c r="D382" s="20" t="s">
        <v>215</v>
      </c>
      <c r="E382" s="2"/>
      <c r="F382" s="2"/>
      <c r="G382" s="2"/>
      <c r="H382" s="2"/>
      <c r="I382" s="2"/>
      <c r="J382" s="2"/>
      <c r="K382" s="2"/>
      <c r="L382" s="10" t="s">
        <v>195</v>
      </c>
      <c r="M382" s="9">
        <v>12</v>
      </c>
      <c r="N382" s="2"/>
      <c r="O382" s="2"/>
      <c r="P382" s="2"/>
      <c r="Q382" s="2"/>
      <c r="R382" s="2" t="str">
        <f t="shared" si="50"/>
        <v>PAID</v>
      </c>
      <c r="S382" s="2"/>
      <c r="T382" s="2">
        <f t="shared" si="46"/>
        <v>0</v>
      </c>
      <c r="U382" s="2" t="str">
        <f t="shared" si="47"/>
        <v>OK</v>
      </c>
      <c r="V382" s="7">
        <f t="shared" si="48"/>
        <v>0</v>
      </c>
      <c r="W382" s="2" t="str">
        <f t="shared" si="49"/>
        <v>OK</v>
      </c>
      <c r="X382" s="2" t="s">
        <v>196</v>
      </c>
      <c r="Y382" s="2" t="s">
        <v>27</v>
      </c>
      <c r="Z382" s="2" t="s">
        <v>28</v>
      </c>
      <c r="AA382" t="s">
        <v>245</v>
      </c>
      <c r="AB382" t="s">
        <v>245</v>
      </c>
      <c r="AC382" t="s">
        <v>245</v>
      </c>
    </row>
    <row r="383" spans="1:29" x14ac:dyDescent="0.2">
      <c r="A383" t="str">
        <f t="shared" si="45"/>
        <v>TRIP-TR-382</v>
      </c>
      <c r="B383" s="3">
        <v>45939</v>
      </c>
      <c r="C383" t="str">
        <f>IF(X383="CUSTOMER DELIVERY",_xlfn.XLOOKUP(D383,'[1]Jan Customer Duplicate Hyva'!$B:$B,'[1]Jan Customer Duplicate Hyva'!$A:$A,"NOT FOUND"),"")</f>
        <v/>
      </c>
      <c r="D383" s="20" t="s">
        <v>215</v>
      </c>
      <c r="E383" s="2"/>
      <c r="F383" s="2"/>
      <c r="G383" s="2"/>
      <c r="H383" s="2"/>
      <c r="I383" s="2"/>
      <c r="J383" s="2"/>
      <c r="K383" s="2"/>
      <c r="L383" s="10" t="s">
        <v>195</v>
      </c>
      <c r="M383" s="9">
        <v>1</v>
      </c>
      <c r="N383" s="2"/>
      <c r="O383" s="2"/>
      <c r="P383" s="2"/>
      <c r="Q383" s="2"/>
      <c r="R383" s="2" t="str">
        <f t="shared" si="50"/>
        <v>PAID</v>
      </c>
      <c r="S383" s="2"/>
      <c r="T383" s="2">
        <f t="shared" si="46"/>
        <v>0</v>
      </c>
      <c r="U383" s="2" t="str">
        <f t="shared" si="47"/>
        <v>OK</v>
      </c>
      <c r="V383" s="7">
        <f t="shared" si="48"/>
        <v>0</v>
      </c>
      <c r="W383" s="2" t="str">
        <f t="shared" si="49"/>
        <v>OK</v>
      </c>
      <c r="X383" s="2" t="s">
        <v>196</v>
      </c>
      <c r="Y383" s="2" t="s">
        <v>27</v>
      </c>
      <c r="Z383" s="2" t="s">
        <v>28</v>
      </c>
      <c r="AA383" t="s">
        <v>245</v>
      </c>
      <c r="AB383" t="s">
        <v>245</v>
      </c>
      <c r="AC383" t="s">
        <v>245</v>
      </c>
    </row>
    <row r="384" spans="1:29" x14ac:dyDescent="0.2">
      <c r="A384" t="str">
        <f t="shared" si="45"/>
        <v>TRIP-TR-383</v>
      </c>
      <c r="B384" s="3">
        <v>45939</v>
      </c>
      <c r="C384" t="str">
        <f>IF(X384="CUSTOMER DELIVERY",_xlfn.XLOOKUP(D384,'[1]Jan Customer Duplicate Hyva'!$B:$B,'[1]Jan Customer Duplicate Hyva'!$A:$A,"NOT FOUND"),"")</f>
        <v/>
      </c>
      <c r="D384" s="20" t="s">
        <v>215</v>
      </c>
      <c r="E384" s="2"/>
      <c r="F384" s="2"/>
      <c r="G384" s="2"/>
      <c r="H384" s="2"/>
      <c r="I384" s="2"/>
      <c r="J384" s="2"/>
      <c r="K384" s="2"/>
      <c r="L384" s="10" t="s">
        <v>195</v>
      </c>
      <c r="M384" s="9">
        <v>12</v>
      </c>
      <c r="N384" s="2"/>
      <c r="O384" s="2"/>
      <c r="P384" s="2"/>
      <c r="Q384" s="2"/>
      <c r="R384" s="2" t="str">
        <f t="shared" si="50"/>
        <v>PAID</v>
      </c>
      <c r="S384" s="2"/>
      <c r="T384" s="2">
        <f t="shared" si="46"/>
        <v>0</v>
      </c>
      <c r="U384" s="2" t="str">
        <f t="shared" si="47"/>
        <v>OK</v>
      </c>
      <c r="V384" s="7">
        <f t="shared" si="48"/>
        <v>0</v>
      </c>
      <c r="W384" s="2" t="str">
        <f t="shared" si="49"/>
        <v>OK</v>
      </c>
      <c r="X384" s="2" t="s">
        <v>196</v>
      </c>
      <c r="Y384" s="2" t="s">
        <v>27</v>
      </c>
      <c r="Z384" s="2" t="s">
        <v>28</v>
      </c>
      <c r="AA384" t="s">
        <v>245</v>
      </c>
      <c r="AB384" t="s">
        <v>245</v>
      </c>
      <c r="AC384" t="s">
        <v>245</v>
      </c>
    </row>
    <row r="385" spans="1:29" x14ac:dyDescent="0.2">
      <c r="A385" t="str">
        <f t="shared" si="45"/>
        <v>TRIP-TR-384</v>
      </c>
      <c r="B385" s="3">
        <v>45939</v>
      </c>
      <c r="C385" t="str">
        <f>IF(X385="CUSTOMER DELIVERY",_xlfn.XLOOKUP(D385,'[1]Jan Customer Duplicate Hyva'!$B:$B,'[1]Jan Customer Duplicate Hyva'!$A:$A,"NOT FOUND"),"")</f>
        <v/>
      </c>
      <c r="D385" s="20" t="s">
        <v>215</v>
      </c>
      <c r="E385" s="2"/>
      <c r="F385" s="2"/>
      <c r="G385" s="2"/>
      <c r="H385" s="2"/>
      <c r="I385" s="2"/>
      <c r="J385" s="2"/>
      <c r="K385" s="2"/>
      <c r="L385" s="10" t="s">
        <v>195</v>
      </c>
      <c r="M385" s="9">
        <v>8</v>
      </c>
      <c r="N385" s="2"/>
      <c r="O385" s="2"/>
      <c r="P385" s="2"/>
      <c r="Q385" s="2"/>
      <c r="R385" s="2" t="str">
        <f t="shared" si="50"/>
        <v>PAID</v>
      </c>
      <c r="S385" s="2"/>
      <c r="T385" s="2">
        <f t="shared" si="46"/>
        <v>0</v>
      </c>
      <c r="U385" s="2" t="str">
        <f t="shared" si="47"/>
        <v>OK</v>
      </c>
      <c r="V385" s="7">
        <f t="shared" si="48"/>
        <v>0</v>
      </c>
      <c r="W385" s="2" t="str">
        <f t="shared" si="49"/>
        <v>OK</v>
      </c>
      <c r="X385" s="2" t="s">
        <v>196</v>
      </c>
      <c r="Y385" s="2" t="s">
        <v>27</v>
      </c>
      <c r="Z385" s="2" t="s">
        <v>28</v>
      </c>
      <c r="AA385" t="s">
        <v>245</v>
      </c>
      <c r="AB385" t="s">
        <v>245</v>
      </c>
      <c r="AC385" t="s">
        <v>245</v>
      </c>
    </row>
    <row r="386" spans="1:29" x14ac:dyDescent="0.2">
      <c r="A386" t="str">
        <f t="shared" si="45"/>
        <v>TRIP-TR-385</v>
      </c>
      <c r="B386" s="3">
        <v>45939</v>
      </c>
      <c r="C386" t="str">
        <f>IF(X386="CUSTOMER DELIVERY",_xlfn.XLOOKUP(D386,'[1]Jan Customer Duplicate Hyva'!$B:$B,'[1]Jan Customer Duplicate Hyva'!$A:$A,"NOT FOUND"),"")</f>
        <v/>
      </c>
      <c r="D386" s="20" t="s">
        <v>215</v>
      </c>
      <c r="E386" s="2"/>
      <c r="F386" s="2"/>
      <c r="G386" s="2"/>
      <c r="H386" s="2"/>
      <c r="I386" s="2"/>
      <c r="J386" s="2"/>
      <c r="K386" s="2"/>
      <c r="L386" s="10" t="s">
        <v>197</v>
      </c>
      <c r="M386" s="9">
        <v>19</v>
      </c>
      <c r="N386" s="2"/>
      <c r="O386" s="2"/>
      <c r="P386" s="2"/>
      <c r="Q386" s="2"/>
      <c r="R386" s="2" t="str">
        <f t="shared" si="50"/>
        <v>PAID</v>
      </c>
      <c r="S386" s="2"/>
      <c r="T386" s="2">
        <f t="shared" si="46"/>
        <v>0</v>
      </c>
      <c r="U386" s="2" t="str">
        <f t="shared" si="47"/>
        <v>OK</v>
      </c>
      <c r="V386" s="7">
        <f t="shared" si="48"/>
        <v>0</v>
      </c>
      <c r="W386" s="2" t="str">
        <f t="shared" si="49"/>
        <v>OK</v>
      </c>
      <c r="X386" s="2" t="s">
        <v>196</v>
      </c>
      <c r="Y386" s="2" t="s">
        <v>27</v>
      </c>
      <c r="Z386" s="2" t="s">
        <v>28</v>
      </c>
      <c r="AA386" t="s">
        <v>245</v>
      </c>
      <c r="AB386" t="s">
        <v>245</v>
      </c>
      <c r="AC386" t="s">
        <v>245</v>
      </c>
    </row>
    <row r="387" spans="1:29" x14ac:dyDescent="0.2">
      <c r="A387" t="str">
        <f t="shared" ref="A387:A450" si="51">"TRIP-TR-"&amp;TEXT(ROW()-1,"000")</f>
        <v>TRIP-TR-386</v>
      </c>
      <c r="B387" s="3">
        <v>45940</v>
      </c>
      <c r="C387" t="str">
        <f>IF(X387="CUSTOMER DELIVERY",_xlfn.XLOOKUP(D387,'[1]Jan Customer Duplicate Hyva'!$B:$B,'[1]Jan Customer Duplicate Hyva'!$A:$A,"NOT FOUND"),"")</f>
        <v/>
      </c>
      <c r="D387" s="20" t="s">
        <v>215</v>
      </c>
      <c r="E387" s="2"/>
      <c r="F387" s="2"/>
      <c r="G387" s="2"/>
      <c r="H387" s="2"/>
      <c r="I387" s="2"/>
      <c r="J387" s="2"/>
      <c r="K387" s="2"/>
      <c r="L387" s="10" t="s">
        <v>195</v>
      </c>
      <c r="M387" s="9">
        <v>12</v>
      </c>
      <c r="N387" s="2"/>
      <c r="O387" s="2"/>
      <c r="P387" s="2"/>
      <c r="Q387" s="2"/>
      <c r="R387" s="2" t="str">
        <f t="shared" si="50"/>
        <v>PAID</v>
      </c>
      <c r="S387" s="2"/>
      <c r="T387" s="2">
        <f t="shared" si="46"/>
        <v>0</v>
      </c>
      <c r="U387" s="2" t="str">
        <f t="shared" si="47"/>
        <v>OK</v>
      </c>
      <c r="V387" s="7">
        <f t="shared" si="48"/>
        <v>0</v>
      </c>
      <c r="W387" s="2" t="str">
        <f t="shared" si="49"/>
        <v>OK</v>
      </c>
      <c r="X387" s="2" t="s">
        <v>196</v>
      </c>
      <c r="Y387" s="2" t="s">
        <v>27</v>
      </c>
      <c r="Z387" s="2" t="s">
        <v>28</v>
      </c>
      <c r="AA387" t="s">
        <v>245</v>
      </c>
      <c r="AB387" t="s">
        <v>245</v>
      </c>
      <c r="AC387" t="s">
        <v>245</v>
      </c>
    </row>
    <row r="388" spans="1:29" x14ac:dyDescent="0.2">
      <c r="A388" t="str">
        <f t="shared" si="51"/>
        <v>TRIP-TR-387</v>
      </c>
      <c r="B388" s="3">
        <v>45940</v>
      </c>
      <c r="C388" t="str">
        <f>IF(X388="CUSTOMER DELIVERY",_xlfn.XLOOKUP(D388,'[1]Jan Customer Duplicate Hyva'!$B:$B,'[1]Jan Customer Duplicate Hyva'!$A:$A,"NOT FOUND"),"")</f>
        <v/>
      </c>
      <c r="D388" s="20" t="s">
        <v>215</v>
      </c>
      <c r="E388" s="2"/>
      <c r="F388" s="2"/>
      <c r="G388" s="2"/>
      <c r="H388" s="2"/>
      <c r="I388" s="2"/>
      <c r="J388" s="2"/>
      <c r="K388" s="2"/>
      <c r="L388" s="10" t="s">
        <v>197</v>
      </c>
      <c r="M388" s="9">
        <v>2</v>
      </c>
      <c r="N388" s="2"/>
      <c r="O388" s="2"/>
      <c r="P388" s="2"/>
      <c r="Q388" s="2"/>
      <c r="R388" s="2" t="str">
        <f t="shared" si="50"/>
        <v>PAID</v>
      </c>
      <c r="S388" s="2"/>
      <c r="T388" s="2">
        <f t="shared" si="46"/>
        <v>0</v>
      </c>
      <c r="U388" s="2" t="str">
        <f t="shared" si="47"/>
        <v>OK</v>
      </c>
      <c r="V388" s="7">
        <f t="shared" si="48"/>
        <v>0</v>
      </c>
      <c r="W388" s="2" t="str">
        <f t="shared" si="49"/>
        <v>OK</v>
      </c>
      <c r="X388" s="2" t="s">
        <v>196</v>
      </c>
      <c r="Y388" s="2" t="s">
        <v>27</v>
      </c>
      <c r="Z388" s="2" t="s">
        <v>28</v>
      </c>
      <c r="AA388" t="s">
        <v>245</v>
      </c>
      <c r="AB388" t="s">
        <v>245</v>
      </c>
      <c r="AC388" t="s">
        <v>245</v>
      </c>
    </row>
    <row r="389" spans="1:29" x14ac:dyDescent="0.2">
      <c r="A389" t="str">
        <f t="shared" si="51"/>
        <v>TRIP-TR-388</v>
      </c>
      <c r="B389" s="3">
        <v>45940</v>
      </c>
      <c r="C389" t="str">
        <f>IF(X389="CUSTOMER DELIVERY",_xlfn.XLOOKUP(D389,'[1]Jan Customer Duplicate Hyva'!$B:$B,'[1]Jan Customer Duplicate Hyva'!$A:$A,"NOT FOUND"),"")</f>
        <v/>
      </c>
      <c r="D389" s="20" t="s">
        <v>215</v>
      </c>
      <c r="E389" s="2"/>
      <c r="F389" s="2"/>
      <c r="G389" s="2"/>
      <c r="H389" s="2"/>
      <c r="I389" s="2"/>
      <c r="J389" s="2"/>
      <c r="K389" s="2"/>
      <c r="L389" s="10" t="s">
        <v>195</v>
      </c>
      <c r="M389" s="9">
        <v>14</v>
      </c>
      <c r="N389" s="2"/>
      <c r="O389" s="2"/>
      <c r="P389" s="2"/>
      <c r="Q389" s="2"/>
      <c r="R389" s="2" t="str">
        <f t="shared" si="50"/>
        <v>PAID</v>
      </c>
      <c r="S389" s="2"/>
      <c r="T389" s="2">
        <f t="shared" si="46"/>
        <v>0</v>
      </c>
      <c r="U389" s="2" t="str">
        <f t="shared" si="47"/>
        <v>OK</v>
      </c>
      <c r="V389" s="7">
        <f t="shared" si="48"/>
        <v>0</v>
      </c>
      <c r="W389" s="2" t="str">
        <f t="shared" si="49"/>
        <v>OK</v>
      </c>
      <c r="X389" s="2" t="s">
        <v>196</v>
      </c>
      <c r="Y389" s="2" t="s">
        <v>27</v>
      </c>
      <c r="Z389" s="2" t="s">
        <v>28</v>
      </c>
      <c r="AA389" t="s">
        <v>245</v>
      </c>
      <c r="AB389" t="s">
        <v>245</v>
      </c>
      <c r="AC389" t="s">
        <v>245</v>
      </c>
    </row>
    <row r="390" spans="1:29" x14ac:dyDescent="0.2">
      <c r="A390" t="str">
        <f t="shared" si="51"/>
        <v>TRIP-TR-389</v>
      </c>
      <c r="B390" s="3">
        <v>45940</v>
      </c>
      <c r="C390" t="str">
        <f>IF(X390="CUSTOMER DELIVERY",_xlfn.XLOOKUP(D390,'[1]Jan Customer Duplicate Hyva'!$B:$B,'[1]Jan Customer Duplicate Hyva'!$A:$A,"NOT FOUND"),"")</f>
        <v/>
      </c>
      <c r="D390" s="20" t="s">
        <v>215</v>
      </c>
      <c r="E390" s="2"/>
      <c r="F390" s="2"/>
      <c r="G390" s="2"/>
      <c r="H390" s="2"/>
      <c r="I390" s="2"/>
      <c r="J390" s="2"/>
      <c r="K390" s="2"/>
      <c r="L390" s="10" t="s">
        <v>195</v>
      </c>
      <c r="M390" s="9">
        <v>14</v>
      </c>
      <c r="N390" s="2"/>
      <c r="O390" s="2"/>
      <c r="P390" s="2"/>
      <c r="Q390" s="2"/>
      <c r="R390" s="2" t="str">
        <f t="shared" si="50"/>
        <v>PAID</v>
      </c>
      <c r="S390" s="2"/>
      <c r="T390" s="2">
        <f t="shared" si="46"/>
        <v>0</v>
      </c>
      <c r="U390" s="2" t="str">
        <f t="shared" si="47"/>
        <v>OK</v>
      </c>
      <c r="V390" s="7">
        <f t="shared" si="48"/>
        <v>0</v>
      </c>
      <c r="W390" s="2" t="str">
        <f t="shared" si="49"/>
        <v>OK</v>
      </c>
      <c r="X390" s="2" t="s">
        <v>196</v>
      </c>
      <c r="Y390" s="2" t="s">
        <v>27</v>
      </c>
      <c r="Z390" s="2" t="s">
        <v>28</v>
      </c>
      <c r="AA390" t="s">
        <v>245</v>
      </c>
      <c r="AB390" t="s">
        <v>245</v>
      </c>
      <c r="AC390" t="s">
        <v>245</v>
      </c>
    </row>
    <row r="391" spans="1:29" x14ac:dyDescent="0.2">
      <c r="A391" t="str">
        <f t="shared" si="51"/>
        <v>TRIP-TR-390</v>
      </c>
      <c r="B391" s="3">
        <v>45940</v>
      </c>
      <c r="C391" t="str">
        <f>IF(X391="CUSTOMER DELIVERY",_xlfn.XLOOKUP(D391,'[1]Jan Customer Duplicate Hyva'!$B:$B,'[1]Jan Customer Duplicate Hyva'!$A:$A,"NOT FOUND"),"")</f>
        <v/>
      </c>
      <c r="D391" s="20" t="s">
        <v>215</v>
      </c>
      <c r="E391" s="2"/>
      <c r="F391" s="2"/>
      <c r="G391" s="2"/>
      <c r="H391" s="2"/>
      <c r="I391" s="2"/>
      <c r="J391" s="2"/>
      <c r="K391" s="2"/>
      <c r="L391" s="10" t="s">
        <v>197</v>
      </c>
      <c r="M391" s="9">
        <v>29</v>
      </c>
      <c r="N391" s="2"/>
      <c r="O391" s="2"/>
      <c r="P391" s="2"/>
      <c r="Q391" s="2"/>
      <c r="R391" s="2" t="str">
        <f t="shared" si="50"/>
        <v>PAID</v>
      </c>
      <c r="S391" s="2"/>
      <c r="T391" s="2">
        <f t="shared" si="46"/>
        <v>0</v>
      </c>
      <c r="U391" s="2" t="str">
        <f t="shared" si="47"/>
        <v>OK</v>
      </c>
      <c r="V391" s="7">
        <f t="shared" si="48"/>
        <v>0</v>
      </c>
      <c r="W391" s="2" t="str">
        <f t="shared" si="49"/>
        <v>OK</v>
      </c>
      <c r="X391" s="2" t="s">
        <v>196</v>
      </c>
      <c r="Y391" s="2" t="s">
        <v>27</v>
      </c>
      <c r="Z391" s="2" t="s">
        <v>28</v>
      </c>
      <c r="AA391" t="s">
        <v>245</v>
      </c>
      <c r="AB391" t="s">
        <v>245</v>
      </c>
      <c r="AC391" t="s">
        <v>245</v>
      </c>
    </row>
    <row r="392" spans="1:29" x14ac:dyDescent="0.2">
      <c r="A392" t="str">
        <f t="shared" si="51"/>
        <v>TRIP-TR-391</v>
      </c>
      <c r="B392" s="3">
        <v>45940</v>
      </c>
      <c r="C392" t="str">
        <f>IF(X392="CUSTOMER DELIVERY",_xlfn.XLOOKUP(D392,'[1]Jan Customer Duplicate Hyva'!$B:$B,'[1]Jan Customer Duplicate Hyva'!$A:$A,"NOT FOUND"),"")</f>
        <v/>
      </c>
      <c r="D392" s="20" t="s">
        <v>215</v>
      </c>
      <c r="E392" s="2"/>
      <c r="F392" s="2"/>
      <c r="G392" s="2"/>
      <c r="H392" s="2"/>
      <c r="I392" s="2"/>
      <c r="J392" s="2"/>
      <c r="K392" s="2"/>
      <c r="L392" s="10" t="s">
        <v>195</v>
      </c>
      <c r="M392" s="9">
        <v>13</v>
      </c>
      <c r="N392" s="2"/>
      <c r="O392" s="2"/>
      <c r="P392" s="2"/>
      <c r="Q392" s="2"/>
      <c r="R392" s="2" t="str">
        <f t="shared" si="50"/>
        <v>PAID</v>
      </c>
      <c r="S392" s="2"/>
      <c r="T392" s="2">
        <f t="shared" si="46"/>
        <v>0</v>
      </c>
      <c r="U392" s="2" t="str">
        <f t="shared" si="47"/>
        <v>OK</v>
      </c>
      <c r="V392" s="7">
        <f t="shared" si="48"/>
        <v>0</v>
      </c>
      <c r="W392" s="2" t="str">
        <f t="shared" si="49"/>
        <v>OK</v>
      </c>
      <c r="X392" s="2" t="s">
        <v>196</v>
      </c>
      <c r="Y392" s="2" t="s">
        <v>27</v>
      </c>
      <c r="Z392" s="2" t="s">
        <v>28</v>
      </c>
      <c r="AA392" t="s">
        <v>245</v>
      </c>
      <c r="AB392" t="s">
        <v>245</v>
      </c>
      <c r="AC392" t="s">
        <v>245</v>
      </c>
    </row>
    <row r="393" spans="1:29" x14ac:dyDescent="0.2">
      <c r="A393" t="str">
        <f t="shared" si="51"/>
        <v>TRIP-TR-392</v>
      </c>
      <c r="B393" s="3">
        <v>45941</v>
      </c>
      <c r="C393" t="str">
        <f>IF(X393="CUSTOMER DELIVERY",_xlfn.XLOOKUP(D393,'[1]Jan Customer Duplicate Hyva'!$B:$B,'[1]Jan Customer Duplicate Hyva'!$A:$A,"NOT FOUND"),"")</f>
        <v/>
      </c>
      <c r="D393" s="20" t="s">
        <v>215</v>
      </c>
      <c r="E393" s="2"/>
      <c r="F393" s="2"/>
      <c r="G393" s="2"/>
      <c r="H393" s="2"/>
      <c r="I393" s="2"/>
      <c r="J393" s="2"/>
      <c r="K393" s="2"/>
      <c r="L393" s="10" t="s">
        <v>197</v>
      </c>
      <c r="M393" s="9">
        <v>13</v>
      </c>
      <c r="N393" s="2"/>
      <c r="O393" s="2"/>
      <c r="P393" s="2"/>
      <c r="Q393" s="2"/>
      <c r="R393" s="2" t="str">
        <f t="shared" si="50"/>
        <v>PAID</v>
      </c>
      <c r="S393" s="2"/>
      <c r="T393" s="2">
        <f t="shared" ref="T393:T456" si="52">M393*N393</f>
        <v>0</v>
      </c>
      <c r="U393" s="2" t="str">
        <f t="shared" ref="U393:U456" si="53">IF(ROUND(T393,2)=ROUND(O393,2),"OK","CHECK")</f>
        <v>OK</v>
      </c>
      <c r="V393" s="7">
        <f t="shared" ref="V393:V456" si="54">O393-P393</f>
        <v>0</v>
      </c>
      <c r="W393" s="2" t="str">
        <f t="shared" ref="W393:W456" si="55">IF(ROUND(V393,2)=ROUND(Q393,2),"OK","CHECK")</f>
        <v>OK</v>
      </c>
      <c r="X393" s="2" t="s">
        <v>196</v>
      </c>
      <c r="Y393" s="2" t="s">
        <v>27</v>
      </c>
      <c r="Z393" s="2" t="s">
        <v>28</v>
      </c>
      <c r="AA393" t="s">
        <v>245</v>
      </c>
      <c r="AB393" t="s">
        <v>245</v>
      </c>
      <c r="AC393" t="s">
        <v>245</v>
      </c>
    </row>
    <row r="394" spans="1:29" x14ac:dyDescent="0.2">
      <c r="A394" t="str">
        <f t="shared" si="51"/>
        <v>TRIP-TR-393</v>
      </c>
      <c r="B394" s="3">
        <v>45941</v>
      </c>
      <c r="C394" t="str">
        <f>IF(X394="CUSTOMER DELIVERY",_xlfn.XLOOKUP(D394,'[1]Jan Customer Duplicate Hyva'!$B:$B,'[1]Jan Customer Duplicate Hyva'!$A:$A,"NOT FOUND"),"")</f>
        <v/>
      </c>
      <c r="D394" s="20" t="s">
        <v>215</v>
      </c>
      <c r="E394" s="2"/>
      <c r="F394" s="2"/>
      <c r="G394" s="2"/>
      <c r="H394" s="2"/>
      <c r="I394" s="2"/>
      <c r="J394" s="2"/>
      <c r="K394" s="2"/>
      <c r="L394" s="10" t="s">
        <v>195</v>
      </c>
      <c r="M394" s="11">
        <v>18</v>
      </c>
      <c r="N394" s="2"/>
      <c r="O394" s="2"/>
      <c r="P394" s="2"/>
      <c r="Q394" s="2"/>
      <c r="R394" s="2" t="str">
        <f t="shared" ref="R394:R457" si="56">IF(Q394=0,"PAID",IF(P394=0,"UNPAID","PARTIAL"))</f>
        <v>PAID</v>
      </c>
      <c r="S394" s="2"/>
      <c r="T394" s="2">
        <f t="shared" si="52"/>
        <v>0</v>
      </c>
      <c r="U394" s="2" t="str">
        <f t="shared" si="53"/>
        <v>OK</v>
      </c>
      <c r="V394" s="7">
        <f t="shared" si="54"/>
        <v>0</v>
      </c>
      <c r="W394" s="2" t="str">
        <f t="shared" si="55"/>
        <v>OK</v>
      </c>
      <c r="X394" s="2" t="s">
        <v>196</v>
      </c>
      <c r="Y394" s="2" t="s">
        <v>27</v>
      </c>
      <c r="Z394" s="2" t="s">
        <v>28</v>
      </c>
      <c r="AA394" t="s">
        <v>245</v>
      </c>
      <c r="AB394" t="s">
        <v>245</v>
      </c>
      <c r="AC394" t="s">
        <v>245</v>
      </c>
    </row>
    <row r="395" spans="1:29" x14ac:dyDescent="0.2">
      <c r="A395" t="str">
        <f t="shared" si="51"/>
        <v>TRIP-TR-394</v>
      </c>
      <c r="B395" s="3">
        <v>45941</v>
      </c>
      <c r="C395" t="str">
        <f>IF(X395="CUSTOMER DELIVERY",_xlfn.XLOOKUP(D395,'[1]Jan Customer Duplicate Hyva'!$B:$B,'[1]Jan Customer Duplicate Hyva'!$A:$A,"NOT FOUND"),"")</f>
        <v/>
      </c>
      <c r="D395" s="20" t="s">
        <v>215</v>
      </c>
      <c r="E395" s="2"/>
      <c r="F395" s="2"/>
      <c r="G395" s="2"/>
      <c r="H395" s="2"/>
      <c r="I395" s="2"/>
      <c r="J395" s="2"/>
      <c r="K395" s="2"/>
      <c r="L395" s="10" t="s">
        <v>195</v>
      </c>
      <c r="M395" s="11">
        <v>16</v>
      </c>
      <c r="N395" s="2"/>
      <c r="O395" s="2"/>
      <c r="P395" s="2"/>
      <c r="Q395" s="2"/>
      <c r="R395" s="2" t="str">
        <f t="shared" si="56"/>
        <v>PAID</v>
      </c>
      <c r="S395" s="2"/>
      <c r="T395" s="2">
        <f t="shared" si="52"/>
        <v>0</v>
      </c>
      <c r="U395" s="2" t="str">
        <f t="shared" si="53"/>
        <v>OK</v>
      </c>
      <c r="V395" s="7">
        <f t="shared" si="54"/>
        <v>0</v>
      </c>
      <c r="W395" s="2" t="str">
        <f t="shared" si="55"/>
        <v>OK</v>
      </c>
      <c r="X395" s="2" t="s">
        <v>196</v>
      </c>
      <c r="Y395" s="2" t="s">
        <v>27</v>
      </c>
      <c r="Z395" s="2" t="s">
        <v>28</v>
      </c>
      <c r="AA395" t="s">
        <v>245</v>
      </c>
      <c r="AB395" t="s">
        <v>245</v>
      </c>
      <c r="AC395" t="s">
        <v>245</v>
      </c>
    </row>
    <row r="396" spans="1:29" x14ac:dyDescent="0.2">
      <c r="A396" t="str">
        <f t="shared" si="51"/>
        <v>TRIP-TR-395</v>
      </c>
      <c r="B396" s="3">
        <v>45942</v>
      </c>
      <c r="C396" t="str">
        <f>IF(X396="CUSTOMER DELIVERY",_xlfn.XLOOKUP(D396,'[1]Jan Customer Duplicate Hyva'!$B:$B,'[1]Jan Customer Duplicate Hyva'!$A:$A,"NOT FOUND"),"")</f>
        <v/>
      </c>
      <c r="D396" s="20" t="s">
        <v>215</v>
      </c>
      <c r="E396" s="2"/>
      <c r="F396" s="2"/>
      <c r="G396" s="2"/>
      <c r="H396" s="2"/>
      <c r="I396" s="2"/>
      <c r="J396" s="2"/>
      <c r="K396" s="2"/>
      <c r="L396" s="10" t="s">
        <v>197</v>
      </c>
      <c r="M396" s="9">
        <v>8</v>
      </c>
      <c r="N396" s="2"/>
      <c r="O396" s="2"/>
      <c r="P396" s="2"/>
      <c r="Q396" s="2"/>
      <c r="R396" s="2" t="str">
        <f t="shared" si="56"/>
        <v>PAID</v>
      </c>
      <c r="S396" s="2"/>
      <c r="T396" s="2">
        <f t="shared" si="52"/>
        <v>0</v>
      </c>
      <c r="U396" s="2" t="str">
        <f t="shared" si="53"/>
        <v>OK</v>
      </c>
      <c r="V396" s="7">
        <f t="shared" si="54"/>
        <v>0</v>
      </c>
      <c r="W396" s="2" t="str">
        <f t="shared" si="55"/>
        <v>OK</v>
      </c>
      <c r="X396" s="2" t="s">
        <v>196</v>
      </c>
      <c r="Y396" s="2" t="s">
        <v>27</v>
      </c>
      <c r="Z396" s="2" t="s">
        <v>28</v>
      </c>
      <c r="AA396" t="s">
        <v>245</v>
      </c>
      <c r="AB396" t="s">
        <v>245</v>
      </c>
      <c r="AC396" t="s">
        <v>245</v>
      </c>
    </row>
    <row r="397" spans="1:29" x14ac:dyDescent="0.2">
      <c r="A397" t="str">
        <f t="shared" si="51"/>
        <v>TRIP-TR-396</v>
      </c>
      <c r="B397" s="3">
        <v>45943</v>
      </c>
      <c r="C397" t="str">
        <f>IF(X397="CUSTOMER DELIVERY",_xlfn.XLOOKUP(D397,'[1]Jan Customer Duplicate Hyva'!$B:$B,'[1]Jan Customer Duplicate Hyva'!$A:$A,"NOT FOUND"),"")</f>
        <v/>
      </c>
      <c r="D397" s="20" t="s">
        <v>215</v>
      </c>
      <c r="E397" s="2"/>
      <c r="F397" s="2"/>
      <c r="G397" s="2"/>
      <c r="H397" s="2"/>
      <c r="I397" s="2"/>
      <c r="J397" s="2"/>
      <c r="K397" s="2"/>
      <c r="L397" s="10" t="s">
        <v>195</v>
      </c>
      <c r="M397" s="11">
        <v>16</v>
      </c>
      <c r="N397" s="2"/>
      <c r="O397" s="2"/>
      <c r="P397" s="2"/>
      <c r="Q397" s="2"/>
      <c r="R397" s="2" t="str">
        <f t="shared" si="56"/>
        <v>PAID</v>
      </c>
      <c r="S397" s="2"/>
      <c r="T397" s="2">
        <f t="shared" si="52"/>
        <v>0</v>
      </c>
      <c r="U397" s="2" t="str">
        <f t="shared" si="53"/>
        <v>OK</v>
      </c>
      <c r="V397" s="7">
        <f t="shared" si="54"/>
        <v>0</v>
      </c>
      <c r="W397" s="2" t="str">
        <f t="shared" si="55"/>
        <v>OK</v>
      </c>
      <c r="X397" s="2" t="s">
        <v>196</v>
      </c>
      <c r="Y397" s="2" t="s">
        <v>27</v>
      </c>
      <c r="Z397" s="2" t="s">
        <v>28</v>
      </c>
      <c r="AA397" t="s">
        <v>245</v>
      </c>
      <c r="AB397" t="s">
        <v>245</v>
      </c>
      <c r="AC397" t="s">
        <v>245</v>
      </c>
    </row>
    <row r="398" spans="1:29" x14ac:dyDescent="0.2">
      <c r="A398" t="str">
        <f t="shared" si="51"/>
        <v>TRIP-TR-397</v>
      </c>
      <c r="B398" s="3">
        <v>45943</v>
      </c>
      <c r="C398" t="str">
        <f>IF(X398="CUSTOMER DELIVERY",_xlfn.XLOOKUP(D398,'[1]Jan Customer Duplicate Hyva'!$B:$B,'[1]Jan Customer Duplicate Hyva'!$A:$A,"NOT FOUND"),"")</f>
        <v/>
      </c>
      <c r="D398" s="20" t="s">
        <v>215</v>
      </c>
      <c r="E398" s="2"/>
      <c r="F398" s="2"/>
      <c r="G398" s="2"/>
      <c r="H398" s="2"/>
      <c r="I398" s="2"/>
      <c r="J398" s="2"/>
      <c r="K398" s="2"/>
      <c r="L398" s="10" t="s">
        <v>197</v>
      </c>
      <c r="M398" s="9">
        <v>24</v>
      </c>
      <c r="N398" s="2"/>
      <c r="O398" s="2"/>
      <c r="P398" s="2"/>
      <c r="Q398" s="2"/>
      <c r="R398" s="2" t="str">
        <f t="shared" si="56"/>
        <v>PAID</v>
      </c>
      <c r="S398" s="2"/>
      <c r="T398" s="2">
        <f t="shared" si="52"/>
        <v>0</v>
      </c>
      <c r="U398" s="2" t="str">
        <f t="shared" si="53"/>
        <v>OK</v>
      </c>
      <c r="V398" s="7">
        <f t="shared" si="54"/>
        <v>0</v>
      </c>
      <c r="W398" s="2" t="str">
        <f t="shared" si="55"/>
        <v>OK</v>
      </c>
      <c r="X398" s="2" t="s">
        <v>196</v>
      </c>
      <c r="Y398" s="2" t="s">
        <v>27</v>
      </c>
      <c r="Z398" s="2" t="s">
        <v>28</v>
      </c>
      <c r="AA398" t="s">
        <v>245</v>
      </c>
      <c r="AB398" t="s">
        <v>245</v>
      </c>
      <c r="AC398" t="s">
        <v>245</v>
      </c>
    </row>
    <row r="399" spans="1:29" x14ac:dyDescent="0.2">
      <c r="A399" t="str">
        <f t="shared" si="51"/>
        <v>TRIP-TR-398</v>
      </c>
      <c r="B399" s="3">
        <v>45944</v>
      </c>
      <c r="C399" t="str">
        <f>IF(X399="CUSTOMER DELIVERY",_xlfn.XLOOKUP(D399,'[1]Jan Customer Duplicate Hyva'!$B:$B,'[1]Jan Customer Duplicate Hyva'!$A:$A,"NOT FOUND"),"")</f>
        <v/>
      </c>
      <c r="D399" s="20" t="s">
        <v>215</v>
      </c>
      <c r="E399" s="2"/>
      <c r="F399" s="2"/>
      <c r="G399" s="2"/>
      <c r="H399" s="2"/>
      <c r="I399" s="2"/>
      <c r="J399" s="2"/>
      <c r="K399" s="2"/>
      <c r="L399" s="10" t="s">
        <v>195</v>
      </c>
      <c r="M399" s="11">
        <v>10</v>
      </c>
      <c r="N399" s="2"/>
      <c r="O399" s="2"/>
      <c r="P399" s="2"/>
      <c r="Q399" s="2"/>
      <c r="R399" s="2" t="str">
        <f t="shared" si="56"/>
        <v>PAID</v>
      </c>
      <c r="S399" s="2"/>
      <c r="T399" s="2">
        <f t="shared" si="52"/>
        <v>0</v>
      </c>
      <c r="U399" s="2" t="str">
        <f t="shared" si="53"/>
        <v>OK</v>
      </c>
      <c r="V399" s="7">
        <f t="shared" si="54"/>
        <v>0</v>
      </c>
      <c r="W399" s="2" t="str">
        <f t="shared" si="55"/>
        <v>OK</v>
      </c>
      <c r="X399" s="2" t="s">
        <v>196</v>
      </c>
      <c r="Y399" s="2" t="s">
        <v>27</v>
      </c>
      <c r="Z399" s="2" t="s">
        <v>28</v>
      </c>
      <c r="AA399" t="s">
        <v>245</v>
      </c>
      <c r="AB399" t="s">
        <v>245</v>
      </c>
      <c r="AC399" t="s">
        <v>245</v>
      </c>
    </row>
    <row r="400" spans="1:29" x14ac:dyDescent="0.2">
      <c r="A400" t="str">
        <f t="shared" si="51"/>
        <v>TRIP-TR-399</v>
      </c>
      <c r="B400" s="3">
        <v>45945</v>
      </c>
      <c r="C400" t="str">
        <f>IF(X400="CUSTOMER DELIVERY",_xlfn.XLOOKUP(D400,'[1]Jan Customer Duplicate Hyva'!$B:$B,'[1]Jan Customer Duplicate Hyva'!$A:$A,"NOT FOUND"),"")</f>
        <v/>
      </c>
      <c r="D400" s="20" t="s">
        <v>215</v>
      </c>
      <c r="E400" s="2"/>
      <c r="F400" s="2"/>
      <c r="G400" s="2"/>
      <c r="H400" s="2"/>
      <c r="I400" s="2"/>
      <c r="J400" s="2"/>
      <c r="K400" s="2"/>
      <c r="L400" s="10" t="s">
        <v>195</v>
      </c>
      <c r="M400" s="11">
        <v>9</v>
      </c>
      <c r="N400" s="2"/>
      <c r="O400" s="2"/>
      <c r="P400" s="2"/>
      <c r="Q400" s="2"/>
      <c r="R400" s="2" t="str">
        <f t="shared" si="56"/>
        <v>PAID</v>
      </c>
      <c r="S400" s="2"/>
      <c r="T400" s="2">
        <f t="shared" si="52"/>
        <v>0</v>
      </c>
      <c r="U400" s="2" t="str">
        <f t="shared" si="53"/>
        <v>OK</v>
      </c>
      <c r="V400" s="7">
        <f t="shared" si="54"/>
        <v>0</v>
      </c>
      <c r="W400" s="2" t="str">
        <f t="shared" si="55"/>
        <v>OK</v>
      </c>
      <c r="X400" s="2" t="s">
        <v>196</v>
      </c>
      <c r="Y400" s="2" t="s">
        <v>27</v>
      </c>
      <c r="Z400" s="2" t="s">
        <v>28</v>
      </c>
      <c r="AA400" t="s">
        <v>245</v>
      </c>
      <c r="AB400" t="s">
        <v>245</v>
      </c>
      <c r="AC400" t="s">
        <v>245</v>
      </c>
    </row>
    <row r="401" spans="1:29" x14ac:dyDescent="0.2">
      <c r="A401" t="str">
        <f t="shared" si="51"/>
        <v>TRIP-TR-400</v>
      </c>
      <c r="B401" s="3">
        <v>45945</v>
      </c>
      <c r="C401" t="str">
        <f>IF(X401="CUSTOMER DELIVERY",_xlfn.XLOOKUP(D401,'[1]Jan Customer Duplicate Hyva'!$B:$B,'[1]Jan Customer Duplicate Hyva'!$A:$A,"NOT FOUND"),"")</f>
        <v/>
      </c>
      <c r="D401" s="20" t="s">
        <v>215</v>
      </c>
      <c r="E401" s="2"/>
      <c r="F401" s="2"/>
      <c r="G401" s="2"/>
      <c r="H401" s="2"/>
      <c r="I401" s="2"/>
      <c r="J401" s="2"/>
      <c r="K401" s="2"/>
      <c r="L401" s="10" t="s">
        <v>197</v>
      </c>
      <c r="M401" s="9">
        <v>34</v>
      </c>
      <c r="N401" s="2"/>
      <c r="O401" s="2"/>
      <c r="P401" s="2"/>
      <c r="Q401" s="2"/>
      <c r="R401" s="2" t="str">
        <f t="shared" si="56"/>
        <v>PAID</v>
      </c>
      <c r="S401" s="2"/>
      <c r="T401" s="2">
        <f t="shared" si="52"/>
        <v>0</v>
      </c>
      <c r="U401" s="2" t="str">
        <f t="shared" si="53"/>
        <v>OK</v>
      </c>
      <c r="V401" s="7">
        <f t="shared" si="54"/>
        <v>0</v>
      </c>
      <c r="W401" s="2" t="str">
        <f t="shared" si="55"/>
        <v>OK</v>
      </c>
      <c r="X401" s="2" t="s">
        <v>196</v>
      </c>
      <c r="Y401" s="2" t="s">
        <v>27</v>
      </c>
      <c r="Z401" s="2" t="s">
        <v>28</v>
      </c>
      <c r="AA401" t="s">
        <v>245</v>
      </c>
      <c r="AB401" t="s">
        <v>245</v>
      </c>
      <c r="AC401" t="s">
        <v>245</v>
      </c>
    </row>
    <row r="402" spans="1:29" x14ac:dyDescent="0.2">
      <c r="A402" t="str">
        <f t="shared" si="51"/>
        <v>TRIP-TR-401</v>
      </c>
      <c r="B402" s="3">
        <v>45945</v>
      </c>
      <c r="C402" t="str">
        <f>IF(X402="CUSTOMER DELIVERY",_xlfn.XLOOKUP(D402,'[1]Jan Customer Duplicate Hyva'!$B:$B,'[1]Jan Customer Duplicate Hyva'!$A:$A,"NOT FOUND"),"")</f>
        <v/>
      </c>
      <c r="D402" s="20" t="s">
        <v>215</v>
      </c>
      <c r="E402" s="2"/>
      <c r="F402" s="2"/>
      <c r="G402" s="2"/>
      <c r="H402" s="2"/>
      <c r="I402" s="2"/>
      <c r="J402" s="2"/>
      <c r="K402" s="2"/>
      <c r="L402" s="10" t="s">
        <v>195</v>
      </c>
      <c r="M402" s="9">
        <v>10</v>
      </c>
      <c r="N402" s="2"/>
      <c r="O402" s="2"/>
      <c r="P402" s="2"/>
      <c r="Q402" s="2"/>
      <c r="R402" s="2" t="str">
        <f t="shared" si="56"/>
        <v>PAID</v>
      </c>
      <c r="S402" s="2"/>
      <c r="T402" s="2">
        <f t="shared" si="52"/>
        <v>0</v>
      </c>
      <c r="U402" s="2" t="str">
        <f t="shared" si="53"/>
        <v>OK</v>
      </c>
      <c r="V402" s="7">
        <f t="shared" si="54"/>
        <v>0</v>
      </c>
      <c r="W402" s="2" t="str">
        <f t="shared" si="55"/>
        <v>OK</v>
      </c>
      <c r="X402" s="2" t="s">
        <v>196</v>
      </c>
      <c r="Y402" s="2" t="s">
        <v>27</v>
      </c>
      <c r="Z402" s="2" t="s">
        <v>28</v>
      </c>
      <c r="AA402" t="s">
        <v>245</v>
      </c>
      <c r="AB402" t="s">
        <v>245</v>
      </c>
      <c r="AC402" t="s">
        <v>245</v>
      </c>
    </row>
    <row r="403" spans="1:29" x14ac:dyDescent="0.2">
      <c r="A403" t="str">
        <f t="shared" si="51"/>
        <v>TRIP-TR-402</v>
      </c>
      <c r="B403" s="3">
        <v>45946</v>
      </c>
      <c r="C403" t="str">
        <f>IF(X403="CUSTOMER DELIVERY",_xlfn.XLOOKUP(D403,'[1]Jan Customer Duplicate Hyva'!$B:$B,'[1]Jan Customer Duplicate Hyva'!$A:$A,"NOT FOUND"),"")</f>
        <v/>
      </c>
      <c r="D403" s="20" t="s">
        <v>215</v>
      </c>
      <c r="E403" s="2"/>
      <c r="F403" s="2"/>
      <c r="G403" s="2"/>
      <c r="H403" s="2"/>
      <c r="I403" s="2"/>
      <c r="J403" s="2"/>
      <c r="K403" s="2"/>
      <c r="L403" s="10" t="s">
        <v>195</v>
      </c>
      <c r="M403" s="9">
        <v>18</v>
      </c>
      <c r="N403" s="2"/>
      <c r="O403" s="2"/>
      <c r="P403" s="2"/>
      <c r="Q403" s="2"/>
      <c r="R403" s="2" t="str">
        <f t="shared" si="56"/>
        <v>PAID</v>
      </c>
      <c r="S403" s="2"/>
      <c r="T403" s="2">
        <f t="shared" si="52"/>
        <v>0</v>
      </c>
      <c r="U403" s="2" t="str">
        <f t="shared" si="53"/>
        <v>OK</v>
      </c>
      <c r="V403" s="7">
        <f t="shared" si="54"/>
        <v>0</v>
      </c>
      <c r="W403" s="2" t="str">
        <f t="shared" si="55"/>
        <v>OK</v>
      </c>
      <c r="X403" s="2" t="s">
        <v>196</v>
      </c>
      <c r="Y403" s="2" t="s">
        <v>27</v>
      </c>
      <c r="Z403" s="2" t="s">
        <v>28</v>
      </c>
      <c r="AA403" t="s">
        <v>245</v>
      </c>
      <c r="AB403" t="s">
        <v>245</v>
      </c>
      <c r="AC403" t="s">
        <v>245</v>
      </c>
    </row>
    <row r="404" spans="1:29" x14ac:dyDescent="0.2">
      <c r="A404" t="str">
        <f t="shared" si="51"/>
        <v>TRIP-TR-403</v>
      </c>
      <c r="B404" s="3">
        <v>45946</v>
      </c>
      <c r="C404" t="str">
        <f>IF(X404="CUSTOMER DELIVERY",_xlfn.XLOOKUP(D404,'[1]Jan Customer Duplicate Hyva'!$B:$B,'[1]Jan Customer Duplicate Hyva'!$A:$A,"NOT FOUND"),"")</f>
        <v/>
      </c>
      <c r="D404" s="20" t="s">
        <v>215</v>
      </c>
      <c r="E404" s="2"/>
      <c r="F404" s="2"/>
      <c r="G404" s="2"/>
      <c r="H404" s="2"/>
      <c r="I404" s="2"/>
      <c r="J404" s="2"/>
      <c r="K404" s="2"/>
      <c r="L404" s="10" t="s">
        <v>195</v>
      </c>
      <c r="M404" s="9">
        <v>9</v>
      </c>
      <c r="N404" s="2"/>
      <c r="O404" s="2"/>
      <c r="P404" s="2"/>
      <c r="Q404" s="2"/>
      <c r="R404" s="2" t="str">
        <f t="shared" si="56"/>
        <v>PAID</v>
      </c>
      <c r="S404" s="2"/>
      <c r="T404" s="2">
        <f t="shared" si="52"/>
        <v>0</v>
      </c>
      <c r="U404" s="2" t="str">
        <f t="shared" si="53"/>
        <v>OK</v>
      </c>
      <c r="V404" s="7">
        <f t="shared" si="54"/>
        <v>0</v>
      </c>
      <c r="W404" s="2" t="str">
        <f t="shared" si="55"/>
        <v>OK</v>
      </c>
      <c r="X404" s="2" t="s">
        <v>196</v>
      </c>
      <c r="Y404" s="2" t="s">
        <v>27</v>
      </c>
      <c r="Z404" s="2" t="s">
        <v>28</v>
      </c>
      <c r="AA404" t="s">
        <v>245</v>
      </c>
      <c r="AB404" t="s">
        <v>245</v>
      </c>
      <c r="AC404" t="s">
        <v>245</v>
      </c>
    </row>
    <row r="405" spans="1:29" x14ac:dyDescent="0.2">
      <c r="A405" t="str">
        <f t="shared" si="51"/>
        <v>TRIP-TR-404</v>
      </c>
      <c r="B405" s="3">
        <v>45946</v>
      </c>
      <c r="C405" t="str">
        <f>IF(X405="CUSTOMER DELIVERY",_xlfn.XLOOKUP(D405,'[1]Jan Customer Duplicate Hyva'!$B:$B,'[1]Jan Customer Duplicate Hyva'!$A:$A,"NOT FOUND"),"")</f>
        <v/>
      </c>
      <c r="D405" s="20" t="s">
        <v>215</v>
      </c>
      <c r="E405" s="2"/>
      <c r="F405" s="2"/>
      <c r="G405" s="2"/>
      <c r="H405" s="2"/>
      <c r="I405" s="2"/>
      <c r="J405" s="2"/>
      <c r="K405" s="2"/>
      <c r="L405" s="10" t="s">
        <v>195</v>
      </c>
      <c r="M405" s="9">
        <v>10</v>
      </c>
      <c r="N405" s="2"/>
      <c r="O405" s="2"/>
      <c r="P405" s="2"/>
      <c r="Q405" s="2"/>
      <c r="R405" s="2" t="str">
        <f t="shared" si="56"/>
        <v>PAID</v>
      </c>
      <c r="S405" s="2"/>
      <c r="T405" s="2">
        <f t="shared" si="52"/>
        <v>0</v>
      </c>
      <c r="U405" s="2" t="str">
        <f t="shared" si="53"/>
        <v>OK</v>
      </c>
      <c r="V405" s="7">
        <f t="shared" si="54"/>
        <v>0</v>
      </c>
      <c r="W405" s="2" t="str">
        <f t="shared" si="55"/>
        <v>OK</v>
      </c>
      <c r="X405" s="2" t="s">
        <v>196</v>
      </c>
      <c r="Y405" s="2" t="s">
        <v>27</v>
      </c>
      <c r="Z405" s="2" t="s">
        <v>28</v>
      </c>
      <c r="AA405" t="s">
        <v>245</v>
      </c>
      <c r="AB405" t="s">
        <v>245</v>
      </c>
      <c r="AC405" t="s">
        <v>245</v>
      </c>
    </row>
    <row r="406" spans="1:29" x14ac:dyDescent="0.2">
      <c r="A406" t="str">
        <f t="shared" si="51"/>
        <v>TRIP-TR-405</v>
      </c>
      <c r="B406" s="3">
        <v>45947</v>
      </c>
      <c r="C406" t="str">
        <f>IF(X406="CUSTOMER DELIVERY",_xlfn.XLOOKUP(D406,'[1]Jan Customer Duplicate Hyva'!$B:$B,'[1]Jan Customer Duplicate Hyva'!$A:$A,"NOT FOUND"),"")</f>
        <v/>
      </c>
      <c r="D406" s="20" t="s">
        <v>215</v>
      </c>
      <c r="E406" s="2"/>
      <c r="F406" s="2"/>
      <c r="G406" s="2"/>
      <c r="H406" s="2"/>
      <c r="I406" s="2"/>
      <c r="J406" s="2"/>
      <c r="K406" s="2"/>
      <c r="L406" s="10" t="s">
        <v>197</v>
      </c>
      <c r="M406" s="9">
        <v>14</v>
      </c>
      <c r="N406" s="2"/>
      <c r="O406" s="2"/>
      <c r="P406" s="2"/>
      <c r="Q406" s="2"/>
      <c r="R406" s="2" t="str">
        <f t="shared" si="56"/>
        <v>PAID</v>
      </c>
      <c r="S406" s="2"/>
      <c r="T406" s="2">
        <f t="shared" si="52"/>
        <v>0</v>
      </c>
      <c r="U406" s="2" t="str">
        <f t="shared" si="53"/>
        <v>OK</v>
      </c>
      <c r="V406" s="7">
        <f t="shared" si="54"/>
        <v>0</v>
      </c>
      <c r="W406" s="2" t="str">
        <f t="shared" si="55"/>
        <v>OK</v>
      </c>
      <c r="X406" s="2" t="s">
        <v>196</v>
      </c>
      <c r="Y406" s="2" t="s">
        <v>27</v>
      </c>
      <c r="Z406" s="2" t="s">
        <v>28</v>
      </c>
      <c r="AA406" t="s">
        <v>245</v>
      </c>
      <c r="AB406" t="s">
        <v>245</v>
      </c>
      <c r="AC406" t="s">
        <v>245</v>
      </c>
    </row>
    <row r="407" spans="1:29" x14ac:dyDescent="0.2">
      <c r="A407" t="str">
        <f t="shared" si="51"/>
        <v>TRIP-TR-406</v>
      </c>
      <c r="B407" s="3">
        <v>45948</v>
      </c>
      <c r="C407" t="str">
        <f>IF(X407="CUSTOMER DELIVERY",_xlfn.XLOOKUP(D407,'[1]Jan Customer Duplicate Hyva'!$B:$B,'[1]Jan Customer Duplicate Hyva'!$A:$A,"NOT FOUND"),"")</f>
        <v/>
      </c>
      <c r="D407" s="20" t="s">
        <v>215</v>
      </c>
      <c r="E407" s="2"/>
      <c r="F407" s="2"/>
      <c r="G407" s="2"/>
      <c r="H407" s="2"/>
      <c r="I407" s="2"/>
      <c r="J407" s="2"/>
      <c r="K407" s="2"/>
      <c r="L407" s="10" t="s">
        <v>195</v>
      </c>
      <c r="M407" s="9">
        <v>3</v>
      </c>
      <c r="N407" s="2"/>
      <c r="O407" s="2"/>
      <c r="P407" s="2"/>
      <c r="Q407" s="2"/>
      <c r="R407" s="2" t="str">
        <f t="shared" si="56"/>
        <v>PAID</v>
      </c>
      <c r="S407" s="2"/>
      <c r="T407" s="2">
        <f t="shared" si="52"/>
        <v>0</v>
      </c>
      <c r="U407" s="2" t="str">
        <f t="shared" si="53"/>
        <v>OK</v>
      </c>
      <c r="V407" s="7">
        <f t="shared" si="54"/>
        <v>0</v>
      </c>
      <c r="W407" s="2" t="str">
        <f t="shared" si="55"/>
        <v>OK</v>
      </c>
      <c r="X407" s="2" t="s">
        <v>196</v>
      </c>
      <c r="Y407" s="2" t="s">
        <v>27</v>
      </c>
      <c r="Z407" s="2" t="s">
        <v>28</v>
      </c>
      <c r="AA407" t="s">
        <v>245</v>
      </c>
      <c r="AB407" t="s">
        <v>245</v>
      </c>
      <c r="AC407" t="s">
        <v>245</v>
      </c>
    </row>
    <row r="408" spans="1:29" x14ac:dyDescent="0.2">
      <c r="A408" t="str">
        <f t="shared" si="51"/>
        <v>TRIP-TR-407</v>
      </c>
      <c r="B408" s="3">
        <v>45948</v>
      </c>
      <c r="C408" t="str">
        <f>IF(X408="CUSTOMER DELIVERY",_xlfn.XLOOKUP(D408,'[1]Jan Customer Duplicate Hyva'!$B:$B,'[1]Jan Customer Duplicate Hyva'!$A:$A,"NOT FOUND"),"")</f>
        <v/>
      </c>
      <c r="D408" s="20" t="s">
        <v>215</v>
      </c>
      <c r="E408" s="2"/>
      <c r="F408" s="2"/>
      <c r="G408" s="2"/>
      <c r="H408" s="2"/>
      <c r="I408" s="2"/>
      <c r="J408" s="2"/>
      <c r="K408" s="2"/>
      <c r="L408" s="10" t="s">
        <v>195</v>
      </c>
      <c r="M408" s="9">
        <v>11</v>
      </c>
      <c r="N408" s="2"/>
      <c r="O408" s="2"/>
      <c r="P408" s="2"/>
      <c r="Q408" s="2"/>
      <c r="R408" s="2" t="str">
        <f t="shared" si="56"/>
        <v>PAID</v>
      </c>
      <c r="S408" s="2"/>
      <c r="T408" s="2">
        <f t="shared" si="52"/>
        <v>0</v>
      </c>
      <c r="U408" s="2" t="str">
        <f t="shared" si="53"/>
        <v>OK</v>
      </c>
      <c r="V408" s="7">
        <f t="shared" si="54"/>
        <v>0</v>
      </c>
      <c r="W408" s="2" t="str">
        <f t="shared" si="55"/>
        <v>OK</v>
      </c>
      <c r="X408" s="2" t="s">
        <v>196</v>
      </c>
      <c r="Y408" s="2" t="s">
        <v>27</v>
      </c>
      <c r="Z408" s="2" t="s">
        <v>28</v>
      </c>
      <c r="AA408" t="s">
        <v>245</v>
      </c>
      <c r="AB408" t="s">
        <v>245</v>
      </c>
      <c r="AC408" t="s">
        <v>245</v>
      </c>
    </row>
    <row r="409" spans="1:29" x14ac:dyDescent="0.2">
      <c r="A409" t="str">
        <f t="shared" si="51"/>
        <v>TRIP-TR-408</v>
      </c>
      <c r="B409" s="3">
        <v>45949</v>
      </c>
      <c r="C409" t="str">
        <f>IF(X409="CUSTOMER DELIVERY",_xlfn.XLOOKUP(D409,'[1]Jan Customer Duplicate Hyva'!$B:$B,'[1]Jan Customer Duplicate Hyva'!$A:$A,"NOT FOUND"),"")</f>
        <v/>
      </c>
      <c r="D409" s="20" t="s">
        <v>215</v>
      </c>
      <c r="E409" s="2"/>
      <c r="F409" s="2"/>
      <c r="G409" s="2"/>
      <c r="H409" s="2"/>
      <c r="I409" s="2"/>
      <c r="J409" s="2"/>
      <c r="K409" s="2"/>
      <c r="L409" s="10" t="s">
        <v>195</v>
      </c>
      <c r="M409" s="9">
        <v>13</v>
      </c>
      <c r="N409" s="2"/>
      <c r="O409" s="2"/>
      <c r="P409" s="2"/>
      <c r="Q409" s="2"/>
      <c r="R409" s="2" t="str">
        <f t="shared" si="56"/>
        <v>PAID</v>
      </c>
      <c r="S409" s="2"/>
      <c r="T409" s="2">
        <f t="shared" si="52"/>
        <v>0</v>
      </c>
      <c r="U409" s="2" t="str">
        <f t="shared" si="53"/>
        <v>OK</v>
      </c>
      <c r="V409" s="7">
        <f t="shared" si="54"/>
        <v>0</v>
      </c>
      <c r="W409" s="2" t="str">
        <f t="shared" si="55"/>
        <v>OK</v>
      </c>
      <c r="X409" s="2" t="s">
        <v>196</v>
      </c>
      <c r="Y409" s="2" t="s">
        <v>27</v>
      </c>
      <c r="Z409" s="2" t="s">
        <v>28</v>
      </c>
      <c r="AA409" t="s">
        <v>245</v>
      </c>
      <c r="AB409" t="s">
        <v>245</v>
      </c>
      <c r="AC409" t="s">
        <v>245</v>
      </c>
    </row>
    <row r="410" spans="1:29" x14ac:dyDescent="0.2">
      <c r="A410" t="str">
        <f t="shared" si="51"/>
        <v>TRIP-TR-409</v>
      </c>
      <c r="B410" s="3">
        <v>45954</v>
      </c>
      <c r="C410" t="str">
        <f>IF(X410="CUSTOMER DELIVERY",_xlfn.XLOOKUP(D410,'[1]Jan Customer Duplicate Hyva'!$B:$B,'[1]Jan Customer Duplicate Hyva'!$A:$A,"NOT FOUND"),"")</f>
        <v/>
      </c>
      <c r="D410" s="20" t="s">
        <v>215</v>
      </c>
      <c r="E410" s="2"/>
      <c r="F410" s="2"/>
      <c r="G410" s="2"/>
      <c r="H410" s="2"/>
      <c r="I410" s="2"/>
      <c r="J410" s="2"/>
      <c r="K410" s="2"/>
      <c r="L410" s="10" t="s">
        <v>195</v>
      </c>
      <c r="M410" s="9">
        <v>8</v>
      </c>
      <c r="N410" s="2"/>
      <c r="O410" s="2"/>
      <c r="P410" s="2"/>
      <c r="Q410" s="2"/>
      <c r="R410" s="2" t="str">
        <f t="shared" si="56"/>
        <v>PAID</v>
      </c>
      <c r="S410" s="2"/>
      <c r="T410" s="2">
        <f t="shared" si="52"/>
        <v>0</v>
      </c>
      <c r="U410" s="2" t="str">
        <f t="shared" si="53"/>
        <v>OK</v>
      </c>
      <c r="V410" s="7">
        <f t="shared" si="54"/>
        <v>0</v>
      </c>
      <c r="W410" s="2" t="str">
        <f t="shared" si="55"/>
        <v>OK</v>
      </c>
      <c r="X410" s="2" t="s">
        <v>196</v>
      </c>
      <c r="Y410" s="2" t="s">
        <v>27</v>
      </c>
      <c r="Z410" s="2" t="s">
        <v>28</v>
      </c>
      <c r="AA410" t="s">
        <v>245</v>
      </c>
      <c r="AB410" t="s">
        <v>245</v>
      </c>
      <c r="AC410" t="s">
        <v>245</v>
      </c>
    </row>
    <row r="411" spans="1:29" x14ac:dyDescent="0.2">
      <c r="A411" t="str">
        <f t="shared" si="51"/>
        <v>TRIP-TR-410</v>
      </c>
      <c r="B411" s="3">
        <v>45954</v>
      </c>
      <c r="C411" t="str">
        <f>IF(X411="CUSTOMER DELIVERY",_xlfn.XLOOKUP(D411,'[1]Jan Customer Duplicate Hyva'!$B:$B,'[1]Jan Customer Duplicate Hyva'!$A:$A,"NOT FOUND"),"")</f>
        <v/>
      </c>
      <c r="D411" s="20" t="s">
        <v>215</v>
      </c>
      <c r="E411" s="2"/>
      <c r="F411" s="2"/>
      <c r="G411" s="2"/>
      <c r="H411" s="2"/>
      <c r="I411" s="2"/>
      <c r="J411" s="2"/>
      <c r="K411" s="2"/>
      <c r="L411" s="10" t="s">
        <v>197</v>
      </c>
      <c r="M411" s="9">
        <v>13</v>
      </c>
      <c r="N411" s="2"/>
      <c r="O411" s="2"/>
      <c r="P411" s="2"/>
      <c r="Q411" s="2"/>
      <c r="R411" s="2" t="str">
        <f t="shared" si="56"/>
        <v>PAID</v>
      </c>
      <c r="S411" s="2"/>
      <c r="T411" s="2">
        <f t="shared" si="52"/>
        <v>0</v>
      </c>
      <c r="U411" s="2" t="str">
        <f t="shared" si="53"/>
        <v>OK</v>
      </c>
      <c r="V411" s="7">
        <f t="shared" si="54"/>
        <v>0</v>
      </c>
      <c r="W411" s="2" t="str">
        <f t="shared" si="55"/>
        <v>OK</v>
      </c>
      <c r="X411" s="2" t="s">
        <v>196</v>
      </c>
      <c r="Y411" s="2" t="s">
        <v>27</v>
      </c>
      <c r="Z411" s="2" t="s">
        <v>28</v>
      </c>
      <c r="AA411" t="s">
        <v>245</v>
      </c>
      <c r="AB411" t="s">
        <v>245</v>
      </c>
      <c r="AC411" t="s">
        <v>245</v>
      </c>
    </row>
    <row r="412" spans="1:29" x14ac:dyDescent="0.2">
      <c r="A412" t="str">
        <f t="shared" si="51"/>
        <v>TRIP-TR-411</v>
      </c>
      <c r="B412" s="3">
        <v>45955</v>
      </c>
      <c r="C412" t="str">
        <f>IF(X412="CUSTOMER DELIVERY",_xlfn.XLOOKUP(D412,'[1]Jan Customer Duplicate Hyva'!$B:$B,'[1]Jan Customer Duplicate Hyva'!$A:$A,"NOT FOUND"),"")</f>
        <v/>
      </c>
      <c r="D412" s="20" t="s">
        <v>215</v>
      </c>
      <c r="E412" s="2"/>
      <c r="F412" s="2"/>
      <c r="G412" s="2"/>
      <c r="H412" s="2"/>
      <c r="I412" s="2"/>
      <c r="J412" s="2"/>
      <c r="K412" s="2"/>
      <c r="L412" s="10" t="s">
        <v>195</v>
      </c>
      <c r="M412" s="9">
        <v>14</v>
      </c>
      <c r="N412" s="2"/>
      <c r="O412" s="2"/>
      <c r="P412" s="2"/>
      <c r="Q412" s="2"/>
      <c r="R412" s="2" t="str">
        <f t="shared" si="56"/>
        <v>PAID</v>
      </c>
      <c r="S412" s="2"/>
      <c r="T412" s="2">
        <f t="shared" si="52"/>
        <v>0</v>
      </c>
      <c r="U412" s="2" t="str">
        <f t="shared" si="53"/>
        <v>OK</v>
      </c>
      <c r="V412" s="7">
        <f t="shared" si="54"/>
        <v>0</v>
      </c>
      <c r="W412" s="2" t="str">
        <f t="shared" si="55"/>
        <v>OK</v>
      </c>
      <c r="X412" s="2" t="s">
        <v>196</v>
      </c>
      <c r="Y412" s="2" t="s">
        <v>27</v>
      </c>
      <c r="Z412" s="2" t="s">
        <v>28</v>
      </c>
      <c r="AA412" t="s">
        <v>245</v>
      </c>
      <c r="AB412" t="s">
        <v>245</v>
      </c>
      <c r="AC412" t="s">
        <v>245</v>
      </c>
    </row>
    <row r="413" spans="1:29" x14ac:dyDescent="0.2">
      <c r="A413" t="str">
        <f t="shared" si="51"/>
        <v>TRIP-TR-412</v>
      </c>
      <c r="B413" s="3">
        <v>45957</v>
      </c>
      <c r="C413" t="str">
        <f>IF(X413="CUSTOMER DELIVERY",_xlfn.XLOOKUP(D413,'[1]Jan Customer Duplicate Hyva'!$B:$B,'[1]Jan Customer Duplicate Hyva'!$A:$A,"NOT FOUND"),"")</f>
        <v/>
      </c>
      <c r="D413" s="20" t="s">
        <v>215</v>
      </c>
      <c r="E413" s="2"/>
      <c r="F413" s="2"/>
      <c r="G413" s="2"/>
      <c r="H413" s="2"/>
      <c r="I413" s="2"/>
      <c r="J413" s="2"/>
      <c r="K413" s="2"/>
      <c r="L413" s="10" t="s">
        <v>197</v>
      </c>
      <c r="M413" s="9">
        <v>2</v>
      </c>
      <c r="N413" s="2"/>
      <c r="O413" s="2"/>
      <c r="P413" s="2"/>
      <c r="Q413" s="2"/>
      <c r="R413" s="2" t="str">
        <f t="shared" si="56"/>
        <v>PAID</v>
      </c>
      <c r="S413" s="2"/>
      <c r="T413" s="2">
        <f t="shared" si="52"/>
        <v>0</v>
      </c>
      <c r="U413" s="2" t="str">
        <f t="shared" si="53"/>
        <v>OK</v>
      </c>
      <c r="V413" s="7">
        <f t="shared" si="54"/>
        <v>0</v>
      </c>
      <c r="W413" s="2" t="str">
        <f t="shared" si="55"/>
        <v>OK</v>
      </c>
      <c r="X413" s="2" t="s">
        <v>196</v>
      </c>
      <c r="Y413" s="2" t="s">
        <v>27</v>
      </c>
      <c r="Z413" s="2" t="s">
        <v>28</v>
      </c>
      <c r="AA413" t="s">
        <v>245</v>
      </c>
      <c r="AB413" t="s">
        <v>245</v>
      </c>
      <c r="AC413" t="s">
        <v>245</v>
      </c>
    </row>
    <row r="414" spans="1:29" x14ac:dyDescent="0.2">
      <c r="A414" t="str">
        <f t="shared" si="51"/>
        <v>TRIP-TR-413</v>
      </c>
      <c r="B414" s="3">
        <v>45957</v>
      </c>
      <c r="C414" t="str">
        <f>IF(X414="CUSTOMER DELIVERY",_xlfn.XLOOKUP(D414,'[1]Jan Customer Duplicate Hyva'!$B:$B,'[1]Jan Customer Duplicate Hyva'!$A:$A,"NOT FOUND"),"")</f>
        <v/>
      </c>
      <c r="D414" s="20" t="s">
        <v>215</v>
      </c>
      <c r="E414" s="2"/>
      <c r="F414" s="2"/>
      <c r="G414" s="2"/>
      <c r="H414" s="2"/>
      <c r="I414" s="2"/>
      <c r="J414" s="2"/>
      <c r="K414" s="2"/>
      <c r="L414" s="10" t="s">
        <v>195</v>
      </c>
      <c r="M414" s="9">
        <v>12</v>
      </c>
      <c r="N414" s="2"/>
      <c r="O414" s="2"/>
      <c r="P414" s="2"/>
      <c r="Q414" s="2"/>
      <c r="R414" s="2" t="str">
        <f t="shared" si="56"/>
        <v>PAID</v>
      </c>
      <c r="S414" s="2"/>
      <c r="T414" s="2">
        <f t="shared" si="52"/>
        <v>0</v>
      </c>
      <c r="U414" s="2" t="str">
        <f t="shared" si="53"/>
        <v>OK</v>
      </c>
      <c r="V414" s="7">
        <f t="shared" si="54"/>
        <v>0</v>
      </c>
      <c r="W414" s="2" t="str">
        <f t="shared" si="55"/>
        <v>OK</v>
      </c>
      <c r="X414" s="2" t="s">
        <v>196</v>
      </c>
      <c r="Y414" s="2" t="s">
        <v>27</v>
      </c>
      <c r="Z414" s="2" t="s">
        <v>28</v>
      </c>
      <c r="AA414" t="s">
        <v>245</v>
      </c>
      <c r="AB414" t="s">
        <v>245</v>
      </c>
      <c r="AC414" t="s">
        <v>245</v>
      </c>
    </row>
    <row r="415" spans="1:29" x14ac:dyDescent="0.2">
      <c r="A415" t="str">
        <f t="shared" si="51"/>
        <v>TRIP-TR-414</v>
      </c>
      <c r="B415" s="3">
        <v>45957</v>
      </c>
      <c r="C415" t="str">
        <f>IF(X415="CUSTOMER DELIVERY",_xlfn.XLOOKUP(D415,'[1]Jan Customer Duplicate Hyva'!$B:$B,'[1]Jan Customer Duplicate Hyva'!$A:$A,"NOT FOUND"),"")</f>
        <v/>
      </c>
      <c r="D415" s="20" t="s">
        <v>215</v>
      </c>
      <c r="E415" s="2"/>
      <c r="F415" s="2"/>
      <c r="G415" s="2"/>
      <c r="H415" s="2"/>
      <c r="I415" s="2"/>
      <c r="J415" s="2"/>
      <c r="K415" s="2"/>
      <c r="L415" s="10" t="s">
        <v>195</v>
      </c>
      <c r="M415" s="9">
        <v>15</v>
      </c>
      <c r="N415" s="2"/>
      <c r="O415" s="2"/>
      <c r="P415" s="2"/>
      <c r="Q415" s="2"/>
      <c r="R415" s="2" t="str">
        <f t="shared" si="56"/>
        <v>PAID</v>
      </c>
      <c r="S415" s="2"/>
      <c r="T415" s="2">
        <f t="shared" si="52"/>
        <v>0</v>
      </c>
      <c r="U415" s="2" t="str">
        <f t="shared" si="53"/>
        <v>OK</v>
      </c>
      <c r="V415" s="7">
        <f t="shared" si="54"/>
        <v>0</v>
      </c>
      <c r="W415" s="2" t="str">
        <f t="shared" si="55"/>
        <v>OK</v>
      </c>
      <c r="X415" s="2" t="s">
        <v>196</v>
      </c>
      <c r="Y415" s="2" t="s">
        <v>27</v>
      </c>
      <c r="Z415" s="2" t="s">
        <v>28</v>
      </c>
      <c r="AA415" t="s">
        <v>245</v>
      </c>
      <c r="AB415" t="s">
        <v>245</v>
      </c>
      <c r="AC415" t="s">
        <v>245</v>
      </c>
    </row>
    <row r="416" spans="1:29" x14ac:dyDescent="0.2">
      <c r="A416" t="str">
        <f t="shared" si="51"/>
        <v>TRIP-TR-415</v>
      </c>
      <c r="B416" s="3">
        <v>45958</v>
      </c>
      <c r="C416" t="str">
        <f>IF(X416="CUSTOMER DELIVERY",_xlfn.XLOOKUP(D416,'[1]Jan Customer Duplicate Hyva'!$B:$B,'[1]Jan Customer Duplicate Hyva'!$A:$A,"NOT FOUND"),"")</f>
        <v/>
      </c>
      <c r="D416" s="20" t="s">
        <v>215</v>
      </c>
      <c r="E416" s="2"/>
      <c r="F416" s="2"/>
      <c r="G416" s="2"/>
      <c r="H416" s="2"/>
      <c r="I416" s="2"/>
      <c r="J416" s="2"/>
      <c r="K416" s="2"/>
      <c r="L416" s="10" t="s">
        <v>195</v>
      </c>
      <c r="M416" s="9">
        <v>15</v>
      </c>
      <c r="N416" s="2"/>
      <c r="O416" s="2"/>
      <c r="P416" s="2"/>
      <c r="Q416" s="2"/>
      <c r="R416" s="2" t="str">
        <f t="shared" si="56"/>
        <v>PAID</v>
      </c>
      <c r="S416" s="2"/>
      <c r="T416" s="2">
        <f t="shared" si="52"/>
        <v>0</v>
      </c>
      <c r="U416" s="2" t="str">
        <f t="shared" si="53"/>
        <v>OK</v>
      </c>
      <c r="V416" s="7">
        <f t="shared" si="54"/>
        <v>0</v>
      </c>
      <c r="W416" s="2" t="str">
        <f t="shared" si="55"/>
        <v>OK</v>
      </c>
      <c r="X416" s="2" t="s">
        <v>196</v>
      </c>
      <c r="Y416" s="2" t="s">
        <v>27</v>
      </c>
      <c r="Z416" s="2" t="s">
        <v>28</v>
      </c>
      <c r="AA416" t="s">
        <v>245</v>
      </c>
      <c r="AB416" t="s">
        <v>245</v>
      </c>
      <c r="AC416" t="s">
        <v>245</v>
      </c>
    </row>
    <row r="417" spans="1:29" x14ac:dyDescent="0.2">
      <c r="A417" t="str">
        <f t="shared" si="51"/>
        <v>TRIP-TR-416</v>
      </c>
      <c r="B417" s="3">
        <v>45958</v>
      </c>
      <c r="C417" t="str">
        <f>IF(X417="CUSTOMER DELIVERY",_xlfn.XLOOKUP(D417,'[1]Jan Customer Duplicate Hyva'!$B:$B,'[1]Jan Customer Duplicate Hyva'!$A:$A,"NOT FOUND"),"")</f>
        <v/>
      </c>
      <c r="D417" s="20" t="s">
        <v>215</v>
      </c>
      <c r="E417" s="2"/>
      <c r="F417" s="2"/>
      <c r="G417" s="2"/>
      <c r="H417" s="2"/>
      <c r="I417" s="2"/>
      <c r="J417" s="2"/>
      <c r="K417" s="2"/>
      <c r="L417" s="10" t="s">
        <v>195</v>
      </c>
      <c r="M417" s="9">
        <v>10</v>
      </c>
      <c r="N417" s="2"/>
      <c r="O417" s="2"/>
      <c r="P417" s="2"/>
      <c r="Q417" s="2"/>
      <c r="R417" s="2" t="str">
        <f t="shared" si="56"/>
        <v>PAID</v>
      </c>
      <c r="S417" s="2"/>
      <c r="T417" s="2">
        <f t="shared" si="52"/>
        <v>0</v>
      </c>
      <c r="U417" s="2" t="str">
        <f t="shared" si="53"/>
        <v>OK</v>
      </c>
      <c r="V417" s="7">
        <f t="shared" si="54"/>
        <v>0</v>
      </c>
      <c r="W417" s="2" t="str">
        <f t="shared" si="55"/>
        <v>OK</v>
      </c>
      <c r="X417" s="2" t="s">
        <v>196</v>
      </c>
      <c r="Y417" s="2" t="s">
        <v>27</v>
      </c>
      <c r="Z417" s="2" t="s">
        <v>28</v>
      </c>
      <c r="AA417" t="s">
        <v>245</v>
      </c>
      <c r="AB417" t="s">
        <v>245</v>
      </c>
      <c r="AC417" t="s">
        <v>245</v>
      </c>
    </row>
    <row r="418" spans="1:29" x14ac:dyDescent="0.2">
      <c r="A418" t="str">
        <f t="shared" si="51"/>
        <v>TRIP-TR-417</v>
      </c>
      <c r="B418" s="3">
        <v>45958</v>
      </c>
      <c r="C418" t="str">
        <f>IF(X418="CUSTOMER DELIVERY",_xlfn.XLOOKUP(D418,'[1]Jan Customer Duplicate Hyva'!$B:$B,'[1]Jan Customer Duplicate Hyva'!$A:$A,"NOT FOUND"),"")</f>
        <v/>
      </c>
      <c r="D418" s="20" t="s">
        <v>215</v>
      </c>
      <c r="E418" s="2"/>
      <c r="F418" s="2"/>
      <c r="G418" s="2"/>
      <c r="H418" s="2"/>
      <c r="I418" s="2"/>
      <c r="J418" s="2"/>
      <c r="K418" s="2"/>
      <c r="L418" s="10" t="s">
        <v>197</v>
      </c>
      <c r="M418" s="9">
        <v>6</v>
      </c>
      <c r="N418" s="2"/>
      <c r="O418" s="2"/>
      <c r="P418" s="2"/>
      <c r="Q418" s="2"/>
      <c r="R418" s="2" t="str">
        <f t="shared" si="56"/>
        <v>PAID</v>
      </c>
      <c r="S418" s="2"/>
      <c r="T418" s="2">
        <f t="shared" si="52"/>
        <v>0</v>
      </c>
      <c r="U418" s="2" t="str">
        <f t="shared" si="53"/>
        <v>OK</v>
      </c>
      <c r="V418" s="7">
        <f t="shared" si="54"/>
        <v>0</v>
      </c>
      <c r="W418" s="2" t="str">
        <f t="shared" si="55"/>
        <v>OK</v>
      </c>
      <c r="X418" s="2" t="s">
        <v>196</v>
      </c>
      <c r="Y418" s="2" t="s">
        <v>27</v>
      </c>
      <c r="Z418" s="2" t="s">
        <v>28</v>
      </c>
      <c r="AA418" t="s">
        <v>245</v>
      </c>
      <c r="AB418" t="s">
        <v>245</v>
      </c>
      <c r="AC418" t="s">
        <v>245</v>
      </c>
    </row>
    <row r="419" spans="1:29" x14ac:dyDescent="0.2">
      <c r="A419" t="str">
        <f t="shared" si="51"/>
        <v>TRIP-TR-418</v>
      </c>
      <c r="B419" s="3">
        <v>45958</v>
      </c>
      <c r="C419" t="str">
        <f>IF(X419="CUSTOMER DELIVERY",_xlfn.XLOOKUP(D419,'[1]Jan Customer Duplicate Hyva'!$B:$B,'[1]Jan Customer Duplicate Hyva'!$A:$A,"NOT FOUND"),"")</f>
        <v/>
      </c>
      <c r="D419" s="20" t="s">
        <v>215</v>
      </c>
      <c r="E419" s="2"/>
      <c r="F419" s="2"/>
      <c r="G419" s="2"/>
      <c r="H419" s="2"/>
      <c r="I419" s="2"/>
      <c r="J419" s="2"/>
      <c r="K419" s="2"/>
      <c r="L419" s="10" t="s">
        <v>195</v>
      </c>
      <c r="M419" s="9">
        <v>7</v>
      </c>
      <c r="N419" s="2"/>
      <c r="O419" s="2"/>
      <c r="P419" s="2"/>
      <c r="Q419" s="2"/>
      <c r="R419" s="2" t="str">
        <f t="shared" si="56"/>
        <v>PAID</v>
      </c>
      <c r="S419" s="2"/>
      <c r="T419" s="2">
        <f t="shared" si="52"/>
        <v>0</v>
      </c>
      <c r="U419" s="2" t="str">
        <f t="shared" si="53"/>
        <v>OK</v>
      </c>
      <c r="V419" s="7">
        <f t="shared" si="54"/>
        <v>0</v>
      </c>
      <c r="W419" s="2" t="str">
        <f t="shared" si="55"/>
        <v>OK</v>
      </c>
      <c r="X419" s="2" t="s">
        <v>196</v>
      </c>
      <c r="Y419" s="2" t="s">
        <v>27</v>
      </c>
      <c r="Z419" s="2" t="s">
        <v>28</v>
      </c>
      <c r="AA419" t="s">
        <v>245</v>
      </c>
      <c r="AB419" t="s">
        <v>245</v>
      </c>
      <c r="AC419" t="s">
        <v>245</v>
      </c>
    </row>
    <row r="420" spans="1:29" x14ac:dyDescent="0.2">
      <c r="A420" t="str">
        <f t="shared" si="51"/>
        <v>TRIP-TR-419</v>
      </c>
      <c r="B420" s="3">
        <v>45959</v>
      </c>
      <c r="C420" t="str">
        <f>IF(X420="CUSTOMER DELIVERY",_xlfn.XLOOKUP(D420,'[1]Jan Customer Duplicate Hyva'!$B:$B,'[1]Jan Customer Duplicate Hyva'!$A:$A,"NOT FOUND"),"")</f>
        <v/>
      </c>
      <c r="D420" s="20" t="s">
        <v>215</v>
      </c>
      <c r="E420" s="2"/>
      <c r="F420" s="2"/>
      <c r="G420" s="2"/>
      <c r="H420" s="2"/>
      <c r="I420" s="2"/>
      <c r="J420" s="2"/>
      <c r="K420" s="2"/>
      <c r="L420" s="10" t="s">
        <v>197</v>
      </c>
      <c r="M420" s="9">
        <v>10</v>
      </c>
      <c r="N420" s="2"/>
      <c r="O420" s="2"/>
      <c r="P420" s="2"/>
      <c r="Q420" s="2"/>
      <c r="R420" s="2" t="str">
        <f t="shared" si="56"/>
        <v>PAID</v>
      </c>
      <c r="S420" s="2"/>
      <c r="T420" s="2">
        <f t="shared" si="52"/>
        <v>0</v>
      </c>
      <c r="U420" s="2" t="str">
        <f t="shared" si="53"/>
        <v>OK</v>
      </c>
      <c r="V420" s="7">
        <f t="shared" si="54"/>
        <v>0</v>
      </c>
      <c r="W420" s="2" t="str">
        <f t="shared" si="55"/>
        <v>OK</v>
      </c>
      <c r="X420" s="2" t="s">
        <v>196</v>
      </c>
      <c r="Y420" s="2" t="s">
        <v>27</v>
      </c>
      <c r="Z420" s="2" t="s">
        <v>28</v>
      </c>
      <c r="AA420" t="s">
        <v>245</v>
      </c>
      <c r="AB420" t="s">
        <v>245</v>
      </c>
      <c r="AC420" t="s">
        <v>245</v>
      </c>
    </row>
    <row r="421" spans="1:29" x14ac:dyDescent="0.2">
      <c r="A421" t="str">
        <f t="shared" si="51"/>
        <v>TRIP-TR-420</v>
      </c>
      <c r="B421" s="3">
        <v>45959</v>
      </c>
      <c r="C421" t="str">
        <f>IF(X421="CUSTOMER DELIVERY",_xlfn.XLOOKUP(D421,'[1]Jan Customer Duplicate Hyva'!$B:$B,'[1]Jan Customer Duplicate Hyva'!$A:$A,"NOT FOUND"),"")</f>
        <v/>
      </c>
      <c r="D421" s="20" t="s">
        <v>215</v>
      </c>
      <c r="E421" s="2"/>
      <c r="F421" s="2"/>
      <c r="G421" s="2"/>
      <c r="H421" s="2"/>
      <c r="I421" s="2"/>
      <c r="J421" s="2"/>
      <c r="K421" s="2"/>
      <c r="L421" s="10" t="s">
        <v>195</v>
      </c>
      <c r="M421" s="9">
        <v>9</v>
      </c>
      <c r="N421" s="2"/>
      <c r="O421" s="2"/>
      <c r="P421" s="2"/>
      <c r="Q421" s="2"/>
      <c r="R421" s="2" t="str">
        <f t="shared" si="56"/>
        <v>PAID</v>
      </c>
      <c r="S421" s="2"/>
      <c r="T421" s="2">
        <f t="shared" si="52"/>
        <v>0</v>
      </c>
      <c r="U421" s="2" t="str">
        <f t="shared" si="53"/>
        <v>OK</v>
      </c>
      <c r="V421" s="7">
        <f t="shared" si="54"/>
        <v>0</v>
      </c>
      <c r="W421" s="2" t="str">
        <f t="shared" si="55"/>
        <v>OK</v>
      </c>
      <c r="X421" s="2" t="s">
        <v>196</v>
      </c>
      <c r="Y421" s="2" t="s">
        <v>27</v>
      </c>
      <c r="Z421" s="2" t="s">
        <v>28</v>
      </c>
      <c r="AA421" t="s">
        <v>245</v>
      </c>
      <c r="AB421" t="s">
        <v>245</v>
      </c>
      <c r="AC421" t="s">
        <v>245</v>
      </c>
    </row>
    <row r="422" spans="1:29" x14ac:dyDescent="0.2">
      <c r="A422" t="str">
        <f t="shared" si="51"/>
        <v>TRIP-TR-421</v>
      </c>
      <c r="B422" s="3">
        <v>45959</v>
      </c>
      <c r="C422" t="str">
        <f>IF(X422="CUSTOMER DELIVERY",_xlfn.XLOOKUP(D422,'[1]Jan Customer Duplicate Hyva'!$B:$B,'[1]Jan Customer Duplicate Hyva'!$A:$A,"NOT FOUND"),"")</f>
        <v/>
      </c>
      <c r="D422" s="20" t="s">
        <v>215</v>
      </c>
      <c r="E422" s="2"/>
      <c r="F422" s="2"/>
      <c r="G422" s="2"/>
      <c r="H422" s="2"/>
      <c r="I422" s="2"/>
      <c r="J422" s="2"/>
      <c r="K422" s="2"/>
      <c r="L422" s="10" t="s">
        <v>195</v>
      </c>
      <c r="M422" s="9">
        <v>7</v>
      </c>
      <c r="N422" s="2"/>
      <c r="O422" s="2"/>
      <c r="P422" s="2"/>
      <c r="Q422" s="2"/>
      <c r="R422" s="2" t="str">
        <f t="shared" si="56"/>
        <v>PAID</v>
      </c>
      <c r="S422" s="2"/>
      <c r="T422" s="2">
        <f t="shared" si="52"/>
        <v>0</v>
      </c>
      <c r="U422" s="2" t="str">
        <f t="shared" si="53"/>
        <v>OK</v>
      </c>
      <c r="V422" s="7">
        <f t="shared" si="54"/>
        <v>0</v>
      </c>
      <c r="W422" s="2" t="str">
        <f t="shared" si="55"/>
        <v>OK</v>
      </c>
      <c r="X422" s="2" t="s">
        <v>196</v>
      </c>
      <c r="Y422" s="2" t="s">
        <v>27</v>
      </c>
      <c r="Z422" s="2" t="s">
        <v>28</v>
      </c>
      <c r="AA422" t="s">
        <v>245</v>
      </c>
      <c r="AB422" t="s">
        <v>245</v>
      </c>
      <c r="AC422" t="s">
        <v>245</v>
      </c>
    </row>
    <row r="423" spans="1:29" x14ac:dyDescent="0.2">
      <c r="A423" t="str">
        <f t="shared" si="51"/>
        <v>TRIP-TR-422</v>
      </c>
      <c r="B423" s="3">
        <v>45959</v>
      </c>
      <c r="C423" t="str">
        <f>IF(X423="CUSTOMER DELIVERY",_xlfn.XLOOKUP(D423,'[1]Jan Customer Duplicate Hyva'!$B:$B,'[1]Jan Customer Duplicate Hyva'!$A:$A,"NOT FOUND"),"")</f>
        <v/>
      </c>
      <c r="D423" s="20" t="s">
        <v>215</v>
      </c>
      <c r="E423" s="2"/>
      <c r="F423" s="2"/>
      <c r="G423" s="2"/>
      <c r="H423" s="2"/>
      <c r="I423" s="2"/>
      <c r="J423" s="2"/>
      <c r="K423" s="2"/>
      <c r="L423" s="10" t="s">
        <v>197</v>
      </c>
      <c r="M423" s="9">
        <v>19</v>
      </c>
      <c r="N423" s="2"/>
      <c r="O423" s="2"/>
      <c r="P423" s="2"/>
      <c r="Q423" s="2"/>
      <c r="R423" s="2" t="str">
        <f t="shared" si="56"/>
        <v>PAID</v>
      </c>
      <c r="S423" s="2"/>
      <c r="T423" s="2">
        <f t="shared" si="52"/>
        <v>0</v>
      </c>
      <c r="U423" s="2" t="str">
        <f t="shared" si="53"/>
        <v>OK</v>
      </c>
      <c r="V423" s="7">
        <f t="shared" si="54"/>
        <v>0</v>
      </c>
      <c r="W423" s="2" t="str">
        <f t="shared" si="55"/>
        <v>OK</v>
      </c>
      <c r="X423" s="2" t="s">
        <v>196</v>
      </c>
      <c r="Y423" s="2" t="s">
        <v>27</v>
      </c>
      <c r="Z423" s="2" t="s">
        <v>28</v>
      </c>
      <c r="AA423" t="s">
        <v>245</v>
      </c>
      <c r="AB423" t="s">
        <v>245</v>
      </c>
      <c r="AC423" t="s">
        <v>245</v>
      </c>
    </row>
    <row r="424" spans="1:29" x14ac:dyDescent="0.2">
      <c r="A424" t="str">
        <f t="shared" si="51"/>
        <v>TRIP-TR-423</v>
      </c>
      <c r="B424" s="3">
        <v>45963</v>
      </c>
      <c r="C424" t="str">
        <f>IF(X424="CUSTOMER DELIVERY",_xlfn.XLOOKUP(D424,'[1]Jan Customer Duplicate Hyva'!$B:$B,'[1]Jan Customer Duplicate Hyva'!$A:$A,"NOT FOUND"),"")</f>
        <v/>
      </c>
      <c r="D424" s="20" t="s">
        <v>215</v>
      </c>
      <c r="E424" s="2"/>
      <c r="F424" s="2"/>
      <c r="G424" s="2"/>
      <c r="H424" s="2"/>
      <c r="I424" s="2"/>
      <c r="J424" s="2"/>
      <c r="K424" s="2"/>
      <c r="L424" s="10" t="s">
        <v>195</v>
      </c>
      <c r="M424" s="9">
        <v>10</v>
      </c>
      <c r="N424" s="2"/>
      <c r="O424" s="2"/>
      <c r="P424" s="2"/>
      <c r="Q424" s="2"/>
      <c r="R424" s="2" t="str">
        <f t="shared" si="56"/>
        <v>PAID</v>
      </c>
      <c r="S424" s="2"/>
      <c r="T424" s="2">
        <f t="shared" si="52"/>
        <v>0</v>
      </c>
      <c r="U424" s="2" t="str">
        <f t="shared" si="53"/>
        <v>OK</v>
      </c>
      <c r="V424" s="7">
        <f t="shared" si="54"/>
        <v>0</v>
      </c>
      <c r="W424" s="2" t="str">
        <f t="shared" si="55"/>
        <v>OK</v>
      </c>
      <c r="X424" s="2" t="s">
        <v>196</v>
      </c>
      <c r="Y424" s="2" t="s">
        <v>27</v>
      </c>
      <c r="Z424" s="2" t="s">
        <v>28</v>
      </c>
      <c r="AA424" t="s">
        <v>245</v>
      </c>
      <c r="AB424" t="s">
        <v>245</v>
      </c>
      <c r="AC424" t="s">
        <v>245</v>
      </c>
    </row>
    <row r="425" spans="1:29" x14ac:dyDescent="0.2">
      <c r="A425" t="str">
        <f t="shared" si="51"/>
        <v>TRIP-TR-424</v>
      </c>
      <c r="B425" s="3">
        <v>45963</v>
      </c>
      <c r="C425" t="str">
        <f>IF(X425="CUSTOMER DELIVERY",_xlfn.XLOOKUP(D425,'[1]Jan Customer Duplicate Hyva'!$B:$B,'[1]Jan Customer Duplicate Hyva'!$A:$A,"NOT FOUND"),"")</f>
        <v/>
      </c>
      <c r="D425" s="20" t="s">
        <v>215</v>
      </c>
      <c r="E425" s="2"/>
      <c r="F425" s="2"/>
      <c r="G425" s="2"/>
      <c r="H425" s="2"/>
      <c r="I425" s="2"/>
      <c r="J425" s="2"/>
      <c r="K425" s="2"/>
      <c r="L425" s="10" t="s">
        <v>195</v>
      </c>
      <c r="M425" s="9">
        <v>9</v>
      </c>
      <c r="N425" s="2"/>
      <c r="O425" s="2"/>
      <c r="P425" s="2"/>
      <c r="Q425" s="2"/>
      <c r="R425" s="2" t="str">
        <f t="shared" si="56"/>
        <v>PAID</v>
      </c>
      <c r="S425" s="2"/>
      <c r="T425" s="2">
        <f t="shared" si="52"/>
        <v>0</v>
      </c>
      <c r="U425" s="2" t="str">
        <f t="shared" si="53"/>
        <v>OK</v>
      </c>
      <c r="V425" s="7">
        <f t="shared" si="54"/>
        <v>0</v>
      </c>
      <c r="W425" s="2" t="str">
        <f t="shared" si="55"/>
        <v>OK</v>
      </c>
      <c r="X425" s="2" t="s">
        <v>196</v>
      </c>
      <c r="Y425" s="2" t="s">
        <v>27</v>
      </c>
      <c r="Z425" s="2" t="s">
        <v>28</v>
      </c>
      <c r="AA425" t="s">
        <v>245</v>
      </c>
      <c r="AB425" t="s">
        <v>245</v>
      </c>
      <c r="AC425" t="s">
        <v>245</v>
      </c>
    </row>
    <row r="426" spans="1:29" x14ac:dyDescent="0.2">
      <c r="A426" t="str">
        <f t="shared" si="51"/>
        <v>TRIP-TR-425</v>
      </c>
      <c r="B426" s="3">
        <v>45964</v>
      </c>
      <c r="C426" t="str">
        <f>IF(X426="CUSTOMER DELIVERY",_xlfn.XLOOKUP(D426,'[1]Jan Customer Duplicate Hyva'!$B:$B,'[1]Jan Customer Duplicate Hyva'!$A:$A,"NOT FOUND"),"")</f>
        <v/>
      </c>
      <c r="D426" s="20" t="s">
        <v>215</v>
      </c>
      <c r="E426" s="2"/>
      <c r="F426" s="2"/>
      <c r="G426" s="2"/>
      <c r="H426" s="2"/>
      <c r="I426" s="2"/>
      <c r="J426" s="2"/>
      <c r="K426" s="2"/>
      <c r="L426" s="10" t="s">
        <v>197</v>
      </c>
      <c r="M426" s="9">
        <v>13</v>
      </c>
      <c r="N426" s="2"/>
      <c r="O426" s="2"/>
      <c r="P426" s="2"/>
      <c r="Q426" s="2"/>
      <c r="R426" s="2" t="str">
        <f t="shared" si="56"/>
        <v>PAID</v>
      </c>
      <c r="S426" s="2"/>
      <c r="T426" s="2">
        <f t="shared" si="52"/>
        <v>0</v>
      </c>
      <c r="U426" s="2" t="str">
        <f t="shared" si="53"/>
        <v>OK</v>
      </c>
      <c r="V426" s="7">
        <f t="shared" si="54"/>
        <v>0</v>
      </c>
      <c r="W426" s="2" t="str">
        <f t="shared" si="55"/>
        <v>OK</v>
      </c>
      <c r="X426" s="2" t="s">
        <v>196</v>
      </c>
      <c r="Y426" s="2" t="s">
        <v>27</v>
      </c>
      <c r="Z426" s="2" t="s">
        <v>28</v>
      </c>
      <c r="AA426" t="s">
        <v>245</v>
      </c>
      <c r="AB426" t="s">
        <v>245</v>
      </c>
      <c r="AC426" t="s">
        <v>245</v>
      </c>
    </row>
    <row r="427" spans="1:29" x14ac:dyDescent="0.2">
      <c r="A427" t="str">
        <f t="shared" si="51"/>
        <v>TRIP-TR-426</v>
      </c>
      <c r="B427" s="3">
        <v>45964</v>
      </c>
      <c r="C427" t="str">
        <f>IF(X427="CUSTOMER DELIVERY",_xlfn.XLOOKUP(D427,'[1]Jan Customer Duplicate Hyva'!$B:$B,'[1]Jan Customer Duplicate Hyva'!$A:$A,"NOT FOUND"),"")</f>
        <v/>
      </c>
      <c r="D427" s="20" t="s">
        <v>215</v>
      </c>
      <c r="E427" s="2"/>
      <c r="F427" s="2"/>
      <c r="G427" s="2"/>
      <c r="H427" s="2"/>
      <c r="I427" s="2"/>
      <c r="J427" s="2"/>
      <c r="K427" s="2"/>
      <c r="L427" s="10" t="s">
        <v>195</v>
      </c>
      <c r="M427" s="9">
        <v>3</v>
      </c>
      <c r="N427" s="2"/>
      <c r="O427" s="2"/>
      <c r="P427" s="2"/>
      <c r="Q427" s="2"/>
      <c r="R427" s="2" t="str">
        <f t="shared" si="56"/>
        <v>PAID</v>
      </c>
      <c r="S427" s="2"/>
      <c r="T427" s="2">
        <f t="shared" si="52"/>
        <v>0</v>
      </c>
      <c r="U427" s="2" t="str">
        <f t="shared" si="53"/>
        <v>OK</v>
      </c>
      <c r="V427" s="7">
        <f t="shared" si="54"/>
        <v>0</v>
      </c>
      <c r="W427" s="2" t="str">
        <f t="shared" si="55"/>
        <v>OK</v>
      </c>
      <c r="X427" s="2" t="s">
        <v>196</v>
      </c>
      <c r="Y427" s="2" t="s">
        <v>27</v>
      </c>
      <c r="Z427" s="2" t="s">
        <v>28</v>
      </c>
      <c r="AA427" t="s">
        <v>245</v>
      </c>
      <c r="AB427" t="s">
        <v>245</v>
      </c>
      <c r="AC427" t="s">
        <v>245</v>
      </c>
    </row>
    <row r="428" spans="1:29" x14ac:dyDescent="0.2">
      <c r="A428" t="str">
        <f t="shared" si="51"/>
        <v>TRIP-TR-427</v>
      </c>
      <c r="B428" s="3">
        <v>45964</v>
      </c>
      <c r="C428" t="str">
        <f>IF(X428="CUSTOMER DELIVERY",_xlfn.XLOOKUP(D428,'[1]Jan Customer Duplicate Hyva'!$B:$B,'[1]Jan Customer Duplicate Hyva'!$A:$A,"NOT FOUND"),"")</f>
        <v/>
      </c>
      <c r="D428" s="20" t="s">
        <v>215</v>
      </c>
      <c r="E428" s="2"/>
      <c r="F428" s="2"/>
      <c r="G428" s="2"/>
      <c r="H428" s="2"/>
      <c r="I428" s="2"/>
      <c r="J428" s="2"/>
      <c r="K428" s="2"/>
      <c r="L428" s="10" t="s">
        <v>198</v>
      </c>
      <c r="M428" s="9">
        <v>2</v>
      </c>
      <c r="N428" s="2"/>
      <c r="O428" s="2"/>
      <c r="P428" s="2"/>
      <c r="Q428" s="2"/>
      <c r="R428" s="2" t="str">
        <f t="shared" si="56"/>
        <v>PAID</v>
      </c>
      <c r="S428" s="2"/>
      <c r="T428" s="2">
        <f t="shared" si="52"/>
        <v>0</v>
      </c>
      <c r="U428" s="2" t="str">
        <f t="shared" si="53"/>
        <v>OK</v>
      </c>
      <c r="V428" s="7">
        <f t="shared" si="54"/>
        <v>0</v>
      </c>
      <c r="W428" s="2" t="str">
        <f t="shared" si="55"/>
        <v>OK</v>
      </c>
      <c r="X428" s="2" t="s">
        <v>196</v>
      </c>
      <c r="Y428" s="2" t="s">
        <v>27</v>
      </c>
      <c r="Z428" s="2" t="s">
        <v>28</v>
      </c>
      <c r="AA428" t="s">
        <v>245</v>
      </c>
      <c r="AB428" t="s">
        <v>245</v>
      </c>
      <c r="AC428" t="s">
        <v>245</v>
      </c>
    </row>
    <row r="429" spans="1:29" x14ac:dyDescent="0.2">
      <c r="A429" t="str">
        <f t="shared" si="51"/>
        <v>TRIP-TR-428</v>
      </c>
      <c r="B429" s="3">
        <v>45965</v>
      </c>
      <c r="C429" t="str">
        <f>IF(X429="CUSTOMER DELIVERY",_xlfn.XLOOKUP(D429,'[1]Jan Customer Duplicate Hyva'!$B:$B,'[1]Jan Customer Duplicate Hyva'!$A:$A,"NOT FOUND"),"")</f>
        <v/>
      </c>
      <c r="D429" s="20" t="s">
        <v>215</v>
      </c>
      <c r="E429" s="2"/>
      <c r="F429" s="2"/>
      <c r="G429" s="2"/>
      <c r="H429" s="2"/>
      <c r="I429" s="2"/>
      <c r="J429" s="2"/>
      <c r="K429" s="2"/>
      <c r="L429" s="10" t="s">
        <v>199</v>
      </c>
      <c r="M429" s="9">
        <v>2</v>
      </c>
      <c r="N429" s="2"/>
      <c r="O429" s="2"/>
      <c r="P429" s="2"/>
      <c r="Q429" s="2"/>
      <c r="R429" s="2" t="str">
        <f t="shared" si="56"/>
        <v>PAID</v>
      </c>
      <c r="S429" s="2"/>
      <c r="T429" s="2">
        <f t="shared" si="52"/>
        <v>0</v>
      </c>
      <c r="U429" s="2" t="str">
        <f t="shared" si="53"/>
        <v>OK</v>
      </c>
      <c r="V429" s="7">
        <f t="shared" si="54"/>
        <v>0</v>
      </c>
      <c r="W429" s="2" t="str">
        <f t="shared" si="55"/>
        <v>OK</v>
      </c>
      <c r="X429" s="2" t="s">
        <v>196</v>
      </c>
      <c r="Y429" s="2" t="s">
        <v>27</v>
      </c>
      <c r="Z429" s="2" t="s">
        <v>28</v>
      </c>
      <c r="AA429" t="s">
        <v>245</v>
      </c>
      <c r="AB429" t="s">
        <v>245</v>
      </c>
      <c r="AC429" t="s">
        <v>245</v>
      </c>
    </row>
    <row r="430" spans="1:29" x14ac:dyDescent="0.2">
      <c r="A430" t="str">
        <f t="shared" si="51"/>
        <v>TRIP-TR-429</v>
      </c>
      <c r="B430" s="3">
        <v>45967</v>
      </c>
      <c r="C430" t="str">
        <f>IF(X430="CUSTOMER DELIVERY",_xlfn.XLOOKUP(D430,'[1]Jan Customer Duplicate Hyva'!$B:$B,'[1]Jan Customer Duplicate Hyva'!$A:$A,"NOT FOUND"),"")</f>
        <v/>
      </c>
      <c r="D430" s="20" t="s">
        <v>215</v>
      </c>
      <c r="E430" s="2"/>
      <c r="F430" s="2"/>
      <c r="G430" s="2"/>
      <c r="H430" s="2"/>
      <c r="I430" s="2"/>
      <c r="J430" s="2"/>
      <c r="K430" s="2"/>
      <c r="L430" s="10" t="s">
        <v>197</v>
      </c>
      <c r="M430" s="9">
        <v>10</v>
      </c>
      <c r="N430" s="2"/>
      <c r="O430" s="2"/>
      <c r="P430" s="2"/>
      <c r="Q430" s="2"/>
      <c r="R430" s="2" t="str">
        <f t="shared" si="56"/>
        <v>PAID</v>
      </c>
      <c r="S430" s="2"/>
      <c r="T430" s="2">
        <f t="shared" si="52"/>
        <v>0</v>
      </c>
      <c r="U430" s="2" t="str">
        <f t="shared" si="53"/>
        <v>OK</v>
      </c>
      <c r="V430" s="7">
        <f t="shared" si="54"/>
        <v>0</v>
      </c>
      <c r="W430" s="2" t="str">
        <f t="shared" si="55"/>
        <v>OK</v>
      </c>
      <c r="X430" s="2" t="s">
        <v>196</v>
      </c>
      <c r="Y430" s="2" t="s">
        <v>27</v>
      </c>
      <c r="Z430" s="2" t="s">
        <v>28</v>
      </c>
      <c r="AA430" t="s">
        <v>245</v>
      </c>
      <c r="AB430" t="s">
        <v>245</v>
      </c>
      <c r="AC430" t="s">
        <v>245</v>
      </c>
    </row>
    <row r="431" spans="1:29" x14ac:dyDescent="0.2">
      <c r="A431" t="str">
        <f t="shared" si="51"/>
        <v>TRIP-TR-430</v>
      </c>
      <c r="B431" s="3">
        <v>45967</v>
      </c>
      <c r="C431" t="str">
        <f>IF(X431="CUSTOMER DELIVERY",_xlfn.XLOOKUP(D431,'[1]Jan Customer Duplicate Hyva'!$B:$B,'[1]Jan Customer Duplicate Hyva'!$A:$A,"NOT FOUND"),"")</f>
        <v/>
      </c>
      <c r="D431" s="20" t="s">
        <v>215</v>
      </c>
      <c r="E431" s="2"/>
      <c r="F431" s="2"/>
      <c r="G431" s="2"/>
      <c r="H431" s="2"/>
      <c r="I431" s="2"/>
      <c r="J431" s="2"/>
      <c r="K431" s="2"/>
      <c r="L431" s="10" t="s">
        <v>195</v>
      </c>
      <c r="M431" s="9">
        <v>2</v>
      </c>
      <c r="N431" s="2"/>
      <c r="O431" s="2"/>
      <c r="P431" s="2"/>
      <c r="Q431" s="2"/>
      <c r="R431" s="2" t="str">
        <f t="shared" si="56"/>
        <v>PAID</v>
      </c>
      <c r="S431" s="2"/>
      <c r="T431" s="2">
        <f t="shared" si="52"/>
        <v>0</v>
      </c>
      <c r="U431" s="2" t="str">
        <f t="shared" si="53"/>
        <v>OK</v>
      </c>
      <c r="V431" s="7">
        <f t="shared" si="54"/>
        <v>0</v>
      </c>
      <c r="W431" s="2" t="str">
        <f t="shared" si="55"/>
        <v>OK</v>
      </c>
      <c r="X431" s="2" t="s">
        <v>196</v>
      </c>
      <c r="Y431" s="2" t="s">
        <v>27</v>
      </c>
      <c r="Z431" s="2" t="s">
        <v>28</v>
      </c>
      <c r="AA431" t="s">
        <v>245</v>
      </c>
      <c r="AB431" t="s">
        <v>245</v>
      </c>
      <c r="AC431" t="s">
        <v>245</v>
      </c>
    </row>
    <row r="432" spans="1:29" x14ac:dyDescent="0.2">
      <c r="A432" t="str">
        <f t="shared" si="51"/>
        <v>TRIP-TR-431</v>
      </c>
      <c r="B432" s="3">
        <v>45967</v>
      </c>
      <c r="C432" t="str">
        <f>IF(X432="CUSTOMER DELIVERY",_xlfn.XLOOKUP(D432,'[1]Jan Customer Duplicate Hyva'!$B:$B,'[1]Jan Customer Duplicate Hyva'!$A:$A,"NOT FOUND"),"")</f>
        <v/>
      </c>
      <c r="D432" s="20" t="s">
        <v>215</v>
      </c>
      <c r="E432" s="2"/>
      <c r="F432" s="2"/>
      <c r="G432" s="2"/>
      <c r="H432" s="2"/>
      <c r="I432" s="2"/>
      <c r="J432" s="2"/>
      <c r="K432" s="2"/>
      <c r="L432" s="10" t="s">
        <v>199</v>
      </c>
      <c r="M432" s="9">
        <v>2</v>
      </c>
      <c r="N432" s="2"/>
      <c r="O432" s="2"/>
      <c r="P432" s="2"/>
      <c r="Q432" s="2"/>
      <c r="R432" s="2" t="str">
        <f t="shared" si="56"/>
        <v>PAID</v>
      </c>
      <c r="S432" s="2"/>
      <c r="T432" s="2">
        <f t="shared" si="52"/>
        <v>0</v>
      </c>
      <c r="U432" s="2" t="str">
        <f t="shared" si="53"/>
        <v>OK</v>
      </c>
      <c r="V432" s="7">
        <f t="shared" si="54"/>
        <v>0</v>
      </c>
      <c r="W432" s="2" t="str">
        <f t="shared" si="55"/>
        <v>OK</v>
      </c>
      <c r="X432" s="2" t="s">
        <v>196</v>
      </c>
      <c r="Y432" s="2" t="s">
        <v>27</v>
      </c>
      <c r="Z432" s="2" t="s">
        <v>28</v>
      </c>
      <c r="AA432" t="s">
        <v>245</v>
      </c>
      <c r="AB432" t="s">
        <v>245</v>
      </c>
      <c r="AC432" t="s">
        <v>245</v>
      </c>
    </row>
    <row r="433" spans="1:29" x14ac:dyDescent="0.2">
      <c r="A433" t="str">
        <f t="shared" si="51"/>
        <v>TRIP-TR-432</v>
      </c>
      <c r="B433" s="3">
        <v>45967</v>
      </c>
      <c r="C433" t="str">
        <f>IF(X433="CUSTOMER DELIVERY",_xlfn.XLOOKUP(D433,'[1]Jan Customer Duplicate Hyva'!$B:$B,'[1]Jan Customer Duplicate Hyva'!$A:$A,"NOT FOUND"),"")</f>
        <v/>
      </c>
      <c r="D433" s="20" t="s">
        <v>215</v>
      </c>
      <c r="E433" s="2"/>
      <c r="F433" s="2"/>
      <c r="G433" s="2"/>
      <c r="H433" s="2"/>
      <c r="I433" s="2"/>
      <c r="J433" s="2"/>
      <c r="K433" s="2"/>
      <c r="L433" s="8" t="s">
        <v>200</v>
      </c>
      <c r="M433" s="9">
        <v>1</v>
      </c>
      <c r="N433" s="2"/>
      <c r="O433" s="2"/>
      <c r="P433" s="2"/>
      <c r="Q433" s="2"/>
      <c r="R433" s="2" t="str">
        <f t="shared" si="56"/>
        <v>PAID</v>
      </c>
      <c r="S433" s="2"/>
      <c r="T433" s="2">
        <f t="shared" si="52"/>
        <v>0</v>
      </c>
      <c r="U433" s="2" t="str">
        <f t="shared" si="53"/>
        <v>OK</v>
      </c>
      <c r="V433" s="7">
        <f t="shared" si="54"/>
        <v>0</v>
      </c>
      <c r="W433" s="2" t="str">
        <f t="shared" si="55"/>
        <v>OK</v>
      </c>
      <c r="X433" s="2" t="s">
        <v>196</v>
      </c>
      <c r="Y433" s="2" t="s">
        <v>27</v>
      </c>
      <c r="Z433" s="2" t="s">
        <v>28</v>
      </c>
      <c r="AA433" t="s">
        <v>245</v>
      </c>
      <c r="AB433" t="s">
        <v>245</v>
      </c>
      <c r="AC433" t="s">
        <v>245</v>
      </c>
    </row>
    <row r="434" spans="1:29" x14ac:dyDescent="0.2">
      <c r="A434" t="str">
        <f t="shared" si="51"/>
        <v>TRIP-TR-433</v>
      </c>
      <c r="B434" s="3">
        <v>45969</v>
      </c>
      <c r="C434" t="str">
        <f>IF(X434="CUSTOMER DELIVERY",_xlfn.XLOOKUP(D434,'[1]Jan Customer Duplicate Hyva'!$B:$B,'[1]Jan Customer Duplicate Hyva'!$A:$A,"NOT FOUND"),"")</f>
        <v/>
      </c>
      <c r="D434" s="20" t="s">
        <v>215</v>
      </c>
      <c r="E434" s="2"/>
      <c r="F434" s="2"/>
      <c r="G434" s="2"/>
      <c r="H434" s="2"/>
      <c r="I434" s="2"/>
      <c r="J434" s="2"/>
      <c r="K434" s="2"/>
      <c r="L434" s="8" t="s">
        <v>201</v>
      </c>
      <c r="M434" s="9">
        <v>2</v>
      </c>
      <c r="N434" s="2"/>
      <c r="O434" s="2"/>
      <c r="P434" s="2"/>
      <c r="Q434" s="2"/>
      <c r="R434" s="2" t="str">
        <f t="shared" si="56"/>
        <v>PAID</v>
      </c>
      <c r="S434" s="2"/>
      <c r="T434" s="2">
        <f t="shared" si="52"/>
        <v>0</v>
      </c>
      <c r="U434" s="2" t="str">
        <f t="shared" si="53"/>
        <v>OK</v>
      </c>
      <c r="V434" s="7">
        <f t="shared" si="54"/>
        <v>0</v>
      </c>
      <c r="W434" s="2" t="str">
        <f t="shared" si="55"/>
        <v>OK</v>
      </c>
      <c r="X434" s="2" t="s">
        <v>196</v>
      </c>
      <c r="Y434" s="2" t="s">
        <v>27</v>
      </c>
      <c r="Z434" s="2" t="s">
        <v>28</v>
      </c>
      <c r="AA434" t="s">
        <v>245</v>
      </c>
      <c r="AB434" t="s">
        <v>245</v>
      </c>
      <c r="AC434" t="s">
        <v>245</v>
      </c>
    </row>
    <row r="435" spans="1:29" x14ac:dyDescent="0.2">
      <c r="A435" t="str">
        <f t="shared" si="51"/>
        <v>TRIP-TR-434</v>
      </c>
      <c r="B435" s="3">
        <v>45969</v>
      </c>
      <c r="C435" t="str">
        <f>IF(X435="CUSTOMER DELIVERY",_xlfn.XLOOKUP(D435,'[1]Jan Customer Duplicate Hyva'!$B:$B,'[1]Jan Customer Duplicate Hyva'!$A:$A,"NOT FOUND"),"")</f>
        <v/>
      </c>
      <c r="D435" s="20" t="s">
        <v>215</v>
      </c>
      <c r="E435" s="2"/>
      <c r="F435" s="2"/>
      <c r="G435" s="2"/>
      <c r="H435" s="2"/>
      <c r="I435" s="2"/>
      <c r="J435" s="2"/>
      <c r="K435" s="2"/>
      <c r="L435" s="8" t="s">
        <v>202</v>
      </c>
      <c r="M435" s="9">
        <v>1</v>
      </c>
      <c r="N435" s="2"/>
      <c r="O435" s="2"/>
      <c r="P435" s="2"/>
      <c r="Q435" s="2"/>
      <c r="R435" s="2" t="str">
        <f t="shared" si="56"/>
        <v>PAID</v>
      </c>
      <c r="S435" s="2"/>
      <c r="T435" s="2">
        <f t="shared" si="52"/>
        <v>0</v>
      </c>
      <c r="U435" s="2" t="str">
        <f t="shared" si="53"/>
        <v>OK</v>
      </c>
      <c r="V435" s="7">
        <f t="shared" si="54"/>
        <v>0</v>
      </c>
      <c r="W435" s="2" t="str">
        <f t="shared" si="55"/>
        <v>OK</v>
      </c>
      <c r="X435" s="2" t="s">
        <v>196</v>
      </c>
      <c r="Y435" s="2" t="s">
        <v>27</v>
      </c>
      <c r="Z435" s="2" t="s">
        <v>28</v>
      </c>
      <c r="AA435" t="s">
        <v>245</v>
      </c>
      <c r="AB435" t="s">
        <v>245</v>
      </c>
      <c r="AC435" t="s">
        <v>245</v>
      </c>
    </row>
    <row r="436" spans="1:29" x14ac:dyDescent="0.2">
      <c r="A436" t="str">
        <f t="shared" si="51"/>
        <v>TRIP-TR-435</v>
      </c>
      <c r="B436" s="3">
        <v>45969</v>
      </c>
      <c r="C436" t="str">
        <f>IF(X436="CUSTOMER DELIVERY",_xlfn.XLOOKUP(D436,'[1]Jan Customer Duplicate Hyva'!$B:$B,'[1]Jan Customer Duplicate Hyva'!$A:$A,"NOT FOUND"),"")</f>
        <v/>
      </c>
      <c r="D436" s="20" t="s">
        <v>215</v>
      </c>
      <c r="E436" s="2"/>
      <c r="F436" s="2"/>
      <c r="G436" s="2"/>
      <c r="H436" s="2"/>
      <c r="I436" s="2"/>
      <c r="J436" s="2"/>
      <c r="K436" s="2"/>
      <c r="L436" s="8" t="s">
        <v>201</v>
      </c>
      <c r="M436" s="9">
        <v>1</v>
      </c>
      <c r="N436" s="2"/>
      <c r="O436" s="2"/>
      <c r="P436" s="2"/>
      <c r="Q436" s="2"/>
      <c r="R436" s="2" t="str">
        <f t="shared" si="56"/>
        <v>PAID</v>
      </c>
      <c r="S436" s="2"/>
      <c r="T436" s="2">
        <f t="shared" si="52"/>
        <v>0</v>
      </c>
      <c r="U436" s="2" t="str">
        <f t="shared" si="53"/>
        <v>OK</v>
      </c>
      <c r="V436" s="7">
        <f t="shared" si="54"/>
        <v>0</v>
      </c>
      <c r="W436" s="2" t="str">
        <f t="shared" si="55"/>
        <v>OK</v>
      </c>
      <c r="X436" s="2" t="s">
        <v>196</v>
      </c>
      <c r="Y436" s="2" t="s">
        <v>27</v>
      </c>
      <c r="Z436" s="2" t="s">
        <v>28</v>
      </c>
      <c r="AA436" t="s">
        <v>245</v>
      </c>
      <c r="AB436" t="s">
        <v>245</v>
      </c>
      <c r="AC436" t="s">
        <v>245</v>
      </c>
    </row>
    <row r="437" spans="1:29" x14ac:dyDescent="0.2">
      <c r="A437" t="str">
        <f t="shared" si="51"/>
        <v>TRIP-TR-436</v>
      </c>
      <c r="B437" s="3">
        <v>45970</v>
      </c>
      <c r="C437" t="str">
        <f>IF(X437="CUSTOMER DELIVERY",_xlfn.XLOOKUP(D437,'[1]Jan Customer Duplicate Hyva'!$B:$B,'[1]Jan Customer Duplicate Hyva'!$A:$A,"NOT FOUND"),"")</f>
        <v/>
      </c>
      <c r="D437" s="20" t="s">
        <v>215</v>
      </c>
      <c r="E437" s="2"/>
      <c r="F437" s="2"/>
      <c r="G437" s="2"/>
      <c r="H437" s="2"/>
      <c r="I437" s="2"/>
      <c r="J437" s="2"/>
      <c r="K437" s="2"/>
      <c r="L437" s="8" t="s">
        <v>202</v>
      </c>
      <c r="M437" s="9">
        <v>4</v>
      </c>
      <c r="N437" s="2"/>
      <c r="O437" s="2"/>
      <c r="P437" s="2"/>
      <c r="Q437" s="2"/>
      <c r="R437" s="2" t="str">
        <f t="shared" si="56"/>
        <v>PAID</v>
      </c>
      <c r="S437" s="2"/>
      <c r="T437" s="2">
        <f t="shared" si="52"/>
        <v>0</v>
      </c>
      <c r="U437" s="2" t="str">
        <f t="shared" si="53"/>
        <v>OK</v>
      </c>
      <c r="V437" s="7">
        <f t="shared" si="54"/>
        <v>0</v>
      </c>
      <c r="W437" s="2" t="str">
        <f t="shared" si="55"/>
        <v>OK</v>
      </c>
      <c r="X437" s="2" t="s">
        <v>196</v>
      </c>
      <c r="Y437" s="2" t="s">
        <v>27</v>
      </c>
      <c r="Z437" s="2" t="s">
        <v>28</v>
      </c>
      <c r="AA437" t="s">
        <v>245</v>
      </c>
      <c r="AB437" t="s">
        <v>245</v>
      </c>
      <c r="AC437" t="s">
        <v>245</v>
      </c>
    </row>
    <row r="438" spans="1:29" x14ac:dyDescent="0.2">
      <c r="A438" t="str">
        <f t="shared" si="51"/>
        <v>TRIP-TR-437</v>
      </c>
      <c r="B438" s="3">
        <v>45970</v>
      </c>
      <c r="C438" t="str">
        <f>IF(X438="CUSTOMER DELIVERY",_xlfn.XLOOKUP(D438,'[1]Jan Customer Duplicate Hyva'!$B:$B,'[1]Jan Customer Duplicate Hyva'!$A:$A,"NOT FOUND"),"")</f>
        <v/>
      </c>
      <c r="D438" s="20" t="s">
        <v>215</v>
      </c>
      <c r="E438" s="2"/>
      <c r="F438" s="2"/>
      <c r="G438" s="2"/>
      <c r="H438" s="2"/>
      <c r="I438" s="2"/>
      <c r="J438" s="2"/>
      <c r="K438" s="2"/>
      <c r="L438" s="8" t="s">
        <v>202</v>
      </c>
      <c r="M438" s="9">
        <v>1</v>
      </c>
      <c r="N438" s="2"/>
      <c r="O438" s="2"/>
      <c r="P438" s="2"/>
      <c r="Q438" s="2"/>
      <c r="R438" s="2" t="str">
        <f t="shared" si="56"/>
        <v>PAID</v>
      </c>
      <c r="S438" s="2"/>
      <c r="T438" s="2">
        <f t="shared" si="52"/>
        <v>0</v>
      </c>
      <c r="U438" s="2" t="str">
        <f t="shared" si="53"/>
        <v>OK</v>
      </c>
      <c r="V438" s="7">
        <f t="shared" si="54"/>
        <v>0</v>
      </c>
      <c r="W438" s="2" t="str">
        <f t="shared" si="55"/>
        <v>OK</v>
      </c>
      <c r="X438" s="2" t="s">
        <v>196</v>
      </c>
      <c r="Y438" s="2" t="s">
        <v>27</v>
      </c>
      <c r="Z438" s="2" t="s">
        <v>28</v>
      </c>
      <c r="AA438" t="s">
        <v>245</v>
      </c>
      <c r="AB438" t="s">
        <v>245</v>
      </c>
      <c r="AC438" t="s">
        <v>245</v>
      </c>
    </row>
    <row r="439" spans="1:29" x14ac:dyDescent="0.2">
      <c r="A439" t="str">
        <f t="shared" si="51"/>
        <v>TRIP-TR-438</v>
      </c>
      <c r="B439" s="3">
        <v>45971</v>
      </c>
      <c r="C439" t="str">
        <f>IF(X439="CUSTOMER DELIVERY",_xlfn.XLOOKUP(D439,'[1]Jan Customer Duplicate Hyva'!$B:$B,'[1]Jan Customer Duplicate Hyva'!$A:$A,"NOT FOUND"),"")</f>
        <v/>
      </c>
      <c r="D439" s="20" t="s">
        <v>215</v>
      </c>
      <c r="E439" s="2"/>
      <c r="F439" s="2"/>
      <c r="G439" s="2"/>
      <c r="H439" s="2"/>
      <c r="I439" s="2"/>
      <c r="J439" s="2"/>
      <c r="K439" s="2"/>
      <c r="L439" s="8" t="s">
        <v>202</v>
      </c>
      <c r="M439" s="9">
        <v>6</v>
      </c>
      <c r="N439" s="2"/>
      <c r="O439" s="2"/>
      <c r="P439" s="2"/>
      <c r="Q439" s="2"/>
      <c r="R439" s="2" t="str">
        <f t="shared" si="56"/>
        <v>PAID</v>
      </c>
      <c r="S439" s="2"/>
      <c r="T439" s="2">
        <f t="shared" si="52"/>
        <v>0</v>
      </c>
      <c r="U439" s="2" t="str">
        <f t="shared" si="53"/>
        <v>OK</v>
      </c>
      <c r="V439" s="7">
        <f t="shared" si="54"/>
        <v>0</v>
      </c>
      <c r="W439" s="2" t="str">
        <f t="shared" si="55"/>
        <v>OK</v>
      </c>
      <c r="X439" s="2" t="s">
        <v>196</v>
      </c>
      <c r="Y439" s="2" t="s">
        <v>27</v>
      </c>
      <c r="Z439" s="2" t="s">
        <v>28</v>
      </c>
      <c r="AA439" t="s">
        <v>245</v>
      </c>
      <c r="AB439" t="s">
        <v>245</v>
      </c>
      <c r="AC439" t="s">
        <v>245</v>
      </c>
    </row>
    <row r="440" spans="1:29" x14ac:dyDescent="0.2">
      <c r="A440" t="str">
        <f t="shared" si="51"/>
        <v>TRIP-TR-439</v>
      </c>
      <c r="B440" s="3">
        <v>45971</v>
      </c>
      <c r="C440" t="str">
        <f>IF(X440="CUSTOMER DELIVERY",_xlfn.XLOOKUP(D440,'[1]Jan Customer Duplicate Hyva'!$B:$B,'[1]Jan Customer Duplicate Hyva'!$A:$A,"NOT FOUND"),"")</f>
        <v/>
      </c>
      <c r="D440" s="20" t="s">
        <v>215</v>
      </c>
      <c r="E440" s="2"/>
      <c r="F440" s="2"/>
      <c r="G440" s="2"/>
      <c r="H440" s="2"/>
      <c r="I440" s="2"/>
      <c r="J440" s="2"/>
      <c r="K440" s="2"/>
      <c r="L440" s="8" t="s">
        <v>202</v>
      </c>
      <c r="M440" s="9">
        <v>2</v>
      </c>
      <c r="N440" s="2"/>
      <c r="O440" s="2"/>
      <c r="P440" s="2"/>
      <c r="Q440" s="2"/>
      <c r="R440" s="2" t="str">
        <f t="shared" si="56"/>
        <v>PAID</v>
      </c>
      <c r="S440" s="2"/>
      <c r="T440" s="2">
        <f t="shared" si="52"/>
        <v>0</v>
      </c>
      <c r="U440" s="2" t="str">
        <f t="shared" si="53"/>
        <v>OK</v>
      </c>
      <c r="V440" s="7">
        <f t="shared" si="54"/>
        <v>0</v>
      </c>
      <c r="W440" s="2" t="str">
        <f t="shared" si="55"/>
        <v>OK</v>
      </c>
      <c r="X440" s="2" t="s">
        <v>196</v>
      </c>
      <c r="Y440" s="2" t="s">
        <v>27</v>
      </c>
      <c r="Z440" s="2" t="s">
        <v>28</v>
      </c>
      <c r="AA440" t="s">
        <v>245</v>
      </c>
      <c r="AB440" t="s">
        <v>245</v>
      </c>
      <c r="AC440" t="s">
        <v>245</v>
      </c>
    </row>
    <row r="441" spans="1:29" x14ac:dyDescent="0.2">
      <c r="A441" t="str">
        <f t="shared" si="51"/>
        <v>TRIP-TR-440</v>
      </c>
      <c r="B441" s="3">
        <v>45972</v>
      </c>
      <c r="C441" t="str">
        <f>IF(X441="CUSTOMER DELIVERY",_xlfn.XLOOKUP(D441,'[1]Jan Customer Duplicate Hyva'!$B:$B,'[1]Jan Customer Duplicate Hyva'!$A:$A,"NOT FOUND"),"")</f>
        <v/>
      </c>
      <c r="D441" s="20" t="s">
        <v>215</v>
      </c>
      <c r="E441" s="2"/>
      <c r="F441" s="2"/>
      <c r="G441" s="2"/>
      <c r="H441" s="2"/>
      <c r="I441" s="2"/>
      <c r="J441" s="2"/>
      <c r="K441" s="2"/>
      <c r="L441" s="8" t="s">
        <v>203</v>
      </c>
      <c r="M441" s="9">
        <v>8</v>
      </c>
      <c r="N441" s="2"/>
      <c r="O441" s="2"/>
      <c r="P441" s="2"/>
      <c r="Q441" s="2"/>
      <c r="R441" s="2" t="str">
        <f t="shared" si="56"/>
        <v>PAID</v>
      </c>
      <c r="S441" s="2"/>
      <c r="T441" s="2">
        <f t="shared" si="52"/>
        <v>0</v>
      </c>
      <c r="U441" s="2" t="str">
        <f t="shared" si="53"/>
        <v>OK</v>
      </c>
      <c r="V441" s="7">
        <f t="shared" si="54"/>
        <v>0</v>
      </c>
      <c r="W441" s="2" t="str">
        <f t="shared" si="55"/>
        <v>OK</v>
      </c>
      <c r="X441" s="2" t="s">
        <v>196</v>
      </c>
      <c r="Y441" s="2" t="s">
        <v>27</v>
      </c>
      <c r="Z441" s="2" t="s">
        <v>28</v>
      </c>
      <c r="AA441" t="s">
        <v>245</v>
      </c>
      <c r="AB441" t="s">
        <v>245</v>
      </c>
      <c r="AC441" t="s">
        <v>245</v>
      </c>
    </row>
    <row r="442" spans="1:29" x14ac:dyDescent="0.2">
      <c r="A442" t="str">
        <f t="shared" si="51"/>
        <v>TRIP-TR-441</v>
      </c>
      <c r="B442" s="3">
        <v>45972</v>
      </c>
      <c r="C442" t="str">
        <f>IF(X442="CUSTOMER DELIVERY",_xlfn.XLOOKUP(D442,'[1]Jan Customer Duplicate Hyva'!$B:$B,'[1]Jan Customer Duplicate Hyva'!$A:$A,"NOT FOUND"),"")</f>
        <v/>
      </c>
      <c r="D442" s="20" t="s">
        <v>215</v>
      </c>
      <c r="E442" s="2"/>
      <c r="F442" s="2"/>
      <c r="G442" s="2"/>
      <c r="H442" s="2"/>
      <c r="I442" s="2"/>
      <c r="J442" s="2"/>
      <c r="K442" s="2"/>
      <c r="L442" s="8" t="s">
        <v>202</v>
      </c>
      <c r="M442" s="9">
        <v>1</v>
      </c>
      <c r="N442" s="2"/>
      <c r="O442" s="2"/>
      <c r="P442" s="2"/>
      <c r="Q442" s="2"/>
      <c r="R442" s="2" t="str">
        <f t="shared" si="56"/>
        <v>PAID</v>
      </c>
      <c r="S442" s="2"/>
      <c r="T442" s="2">
        <f t="shared" si="52"/>
        <v>0</v>
      </c>
      <c r="U442" s="2" t="str">
        <f t="shared" si="53"/>
        <v>OK</v>
      </c>
      <c r="V442" s="7">
        <f t="shared" si="54"/>
        <v>0</v>
      </c>
      <c r="W442" s="2" t="str">
        <f t="shared" si="55"/>
        <v>OK</v>
      </c>
      <c r="X442" s="2" t="s">
        <v>196</v>
      </c>
      <c r="Y442" s="2" t="s">
        <v>27</v>
      </c>
      <c r="Z442" s="2" t="s">
        <v>28</v>
      </c>
      <c r="AA442" t="s">
        <v>245</v>
      </c>
      <c r="AB442" t="s">
        <v>245</v>
      </c>
      <c r="AC442" t="s">
        <v>245</v>
      </c>
    </row>
    <row r="443" spans="1:29" x14ac:dyDescent="0.2">
      <c r="A443" t="str">
        <f t="shared" si="51"/>
        <v>TRIP-TR-442</v>
      </c>
      <c r="B443" s="3">
        <v>45972</v>
      </c>
      <c r="C443" t="str">
        <f>IF(X443="CUSTOMER DELIVERY",_xlfn.XLOOKUP(D443,'[1]Jan Customer Duplicate Hyva'!$B:$B,'[1]Jan Customer Duplicate Hyva'!$A:$A,"NOT FOUND"),"")</f>
        <v/>
      </c>
      <c r="D443" s="20" t="s">
        <v>215</v>
      </c>
      <c r="E443" s="2"/>
      <c r="F443" s="2"/>
      <c r="G443" s="2"/>
      <c r="H443" s="2"/>
      <c r="I443" s="2"/>
      <c r="J443" s="2"/>
      <c r="K443" s="2"/>
      <c r="L443" s="8" t="s">
        <v>204</v>
      </c>
      <c r="M443" s="9">
        <v>6</v>
      </c>
      <c r="N443" s="2"/>
      <c r="O443" s="2"/>
      <c r="P443" s="2"/>
      <c r="Q443" s="2"/>
      <c r="R443" s="2" t="str">
        <f t="shared" si="56"/>
        <v>PAID</v>
      </c>
      <c r="S443" s="2"/>
      <c r="T443" s="2">
        <f t="shared" si="52"/>
        <v>0</v>
      </c>
      <c r="U443" s="2" t="str">
        <f t="shared" si="53"/>
        <v>OK</v>
      </c>
      <c r="V443" s="7">
        <f t="shared" si="54"/>
        <v>0</v>
      </c>
      <c r="W443" s="2" t="str">
        <f t="shared" si="55"/>
        <v>OK</v>
      </c>
      <c r="X443" s="2" t="s">
        <v>196</v>
      </c>
      <c r="Y443" s="2" t="s">
        <v>27</v>
      </c>
      <c r="Z443" s="2" t="s">
        <v>28</v>
      </c>
      <c r="AA443" t="s">
        <v>245</v>
      </c>
      <c r="AB443" t="s">
        <v>245</v>
      </c>
      <c r="AC443" t="s">
        <v>245</v>
      </c>
    </row>
    <row r="444" spans="1:29" x14ac:dyDescent="0.2">
      <c r="A444" t="str">
        <f t="shared" si="51"/>
        <v>TRIP-TR-443</v>
      </c>
      <c r="B444" s="3">
        <v>45972</v>
      </c>
      <c r="C444" t="str">
        <f>IF(X444="CUSTOMER DELIVERY",_xlfn.XLOOKUP(D444,'[1]Jan Customer Duplicate Hyva'!$B:$B,'[1]Jan Customer Duplicate Hyva'!$A:$A,"NOT FOUND"),"")</f>
        <v/>
      </c>
      <c r="D444" s="20" t="s">
        <v>215</v>
      </c>
      <c r="E444" s="2"/>
      <c r="F444" s="2"/>
      <c r="G444" s="2"/>
      <c r="H444" s="2"/>
      <c r="I444" s="2"/>
      <c r="J444" s="2"/>
      <c r="K444" s="2"/>
      <c r="L444" s="8" t="s">
        <v>202</v>
      </c>
      <c r="M444" s="9">
        <v>1</v>
      </c>
      <c r="N444" s="2"/>
      <c r="O444" s="2"/>
      <c r="P444" s="2"/>
      <c r="Q444" s="2"/>
      <c r="R444" s="2" t="str">
        <f t="shared" si="56"/>
        <v>PAID</v>
      </c>
      <c r="S444" s="2"/>
      <c r="T444" s="2">
        <f t="shared" si="52"/>
        <v>0</v>
      </c>
      <c r="U444" s="2" t="str">
        <f t="shared" si="53"/>
        <v>OK</v>
      </c>
      <c r="V444" s="7">
        <f t="shared" si="54"/>
        <v>0</v>
      </c>
      <c r="W444" s="2" t="str">
        <f t="shared" si="55"/>
        <v>OK</v>
      </c>
      <c r="X444" s="2" t="s">
        <v>196</v>
      </c>
      <c r="Y444" s="2" t="s">
        <v>27</v>
      </c>
      <c r="Z444" s="2" t="s">
        <v>28</v>
      </c>
      <c r="AA444" t="s">
        <v>245</v>
      </c>
      <c r="AB444" t="s">
        <v>245</v>
      </c>
      <c r="AC444" t="s">
        <v>245</v>
      </c>
    </row>
    <row r="445" spans="1:29" x14ac:dyDescent="0.2">
      <c r="A445" t="str">
        <f t="shared" si="51"/>
        <v>TRIP-TR-444</v>
      </c>
      <c r="B445" s="3">
        <v>45973</v>
      </c>
      <c r="C445" t="str">
        <f>IF(X445="CUSTOMER DELIVERY",_xlfn.XLOOKUP(D445,'[1]Jan Customer Duplicate Hyva'!$B:$B,'[1]Jan Customer Duplicate Hyva'!$A:$A,"NOT FOUND"),"")</f>
        <v/>
      </c>
      <c r="D445" s="20" t="s">
        <v>215</v>
      </c>
      <c r="E445" s="2"/>
      <c r="F445" s="2"/>
      <c r="G445" s="2"/>
      <c r="H445" s="2"/>
      <c r="I445" s="2"/>
      <c r="J445" s="2"/>
      <c r="K445" s="2"/>
      <c r="L445" s="8" t="s">
        <v>203</v>
      </c>
      <c r="M445" s="9">
        <v>12</v>
      </c>
      <c r="N445" s="2"/>
      <c r="O445" s="2"/>
      <c r="P445" s="2"/>
      <c r="Q445" s="2"/>
      <c r="R445" s="2" t="str">
        <f t="shared" si="56"/>
        <v>PAID</v>
      </c>
      <c r="S445" s="2"/>
      <c r="T445" s="2">
        <f t="shared" si="52"/>
        <v>0</v>
      </c>
      <c r="U445" s="2" t="str">
        <f t="shared" si="53"/>
        <v>OK</v>
      </c>
      <c r="V445" s="7">
        <f t="shared" si="54"/>
        <v>0</v>
      </c>
      <c r="W445" s="2" t="str">
        <f t="shared" si="55"/>
        <v>OK</v>
      </c>
      <c r="X445" s="2" t="s">
        <v>196</v>
      </c>
      <c r="Y445" s="2" t="s">
        <v>27</v>
      </c>
      <c r="Z445" s="2" t="s">
        <v>28</v>
      </c>
      <c r="AA445" t="s">
        <v>245</v>
      </c>
      <c r="AB445" t="s">
        <v>245</v>
      </c>
      <c r="AC445" t="s">
        <v>245</v>
      </c>
    </row>
    <row r="446" spans="1:29" x14ac:dyDescent="0.2">
      <c r="A446" t="str">
        <f t="shared" si="51"/>
        <v>TRIP-TR-445</v>
      </c>
      <c r="B446" s="3">
        <v>45973</v>
      </c>
      <c r="C446" t="str">
        <f>IF(X446="CUSTOMER DELIVERY",_xlfn.XLOOKUP(D446,'[1]Jan Customer Duplicate Hyva'!$B:$B,'[1]Jan Customer Duplicate Hyva'!$A:$A,"NOT FOUND"),"")</f>
        <v/>
      </c>
      <c r="D446" s="20" t="s">
        <v>215</v>
      </c>
      <c r="E446" s="2"/>
      <c r="F446" s="2"/>
      <c r="G446" s="2"/>
      <c r="H446" s="2"/>
      <c r="I446" s="2"/>
      <c r="J446" s="2"/>
      <c r="K446" s="2"/>
      <c r="L446" s="8" t="s">
        <v>204</v>
      </c>
      <c r="M446" s="9">
        <v>5</v>
      </c>
      <c r="N446" s="2"/>
      <c r="O446" s="2"/>
      <c r="P446" s="2"/>
      <c r="Q446" s="2"/>
      <c r="R446" s="2" t="str">
        <f t="shared" si="56"/>
        <v>PAID</v>
      </c>
      <c r="S446" s="2"/>
      <c r="T446" s="2">
        <f t="shared" si="52"/>
        <v>0</v>
      </c>
      <c r="U446" s="2" t="str">
        <f t="shared" si="53"/>
        <v>OK</v>
      </c>
      <c r="V446" s="7">
        <f t="shared" si="54"/>
        <v>0</v>
      </c>
      <c r="W446" s="2" t="str">
        <f t="shared" si="55"/>
        <v>OK</v>
      </c>
      <c r="X446" s="2" t="s">
        <v>196</v>
      </c>
      <c r="Y446" s="2" t="s">
        <v>27</v>
      </c>
      <c r="Z446" s="2" t="s">
        <v>28</v>
      </c>
      <c r="AA446" t="s">
        <v>245</v>
      </c>
      <c r="AB446" t="s">
        <v>245</v>
      </c>
      <c r="AC446" t="s">
        <v>245</v>
      </c>
    </row>
    <row r="447" spans="1:29" x14ac:dyDescent="0.2">
      <c r="A447" t="str">
        <f t="shared" si="51"/>
        <v>TRIP-TR-446</v>
      </c>
      <c r="B447" s="3">
        <v>45973</v>
      </c>
      <c r="C447" t="str">
        <f>IF(X447="CUSTOMER DELIVERY",_xlfn.XLOOKUP(D447,'[1]Jan Customer Duplicate Hyva'!$B:$B,'[1]Jan Customer Duplicate Hyva'!$A:$A,"NOT FOUND"),"")</f>
        <v/>
      </c>
      <c r="D447" s="20" t="s">
        <v>215</v>
      </c>
      <c r="E447" s="2"/>
      <c r="F447" s="2"/>
      <c r="G447" s="2"/>
      <c r="H447" s="2"/>
      <c r="I447" s="2"/>
      <c r="J447" s="2"/>
      <c r="K447" s="2"/>
      <c r="L447" s="8" t="s">
        <v>203</v>
      </c>
      <c r="M447" s="9">
        <v>11</v>
      </c>
      <c r="N447" s="2"/>
      <c r="O447" s="2"/>
      <c r="P447" s="2"/>
      <c r="Q447" s="2"/>
      <c r="R447" s="2" t="str">
        <f t="shared" si="56"/>
        <v>PAID</v>
      </c>
      <c r="S447" s="2"/>
      <c r="T447" s="2">
        <f t="shared" si="52"/>
        <v>0</v>
      </c>
      <c r="U447" s="2" t="str">
        <f t="shared" si="53"/>
        <v>OK</v>
      </c>
      <c r="V447" s="7">
        <f t="shared" si="54"/>
        <v>0</v>
      </c>
      <c r="W447" s="2" t="str">
        <f t="shared" si="55"/>
        <v>OK</v>
      </c>
      <c r="X447" s="2" t="s">
        <v>196</v>
      </c>
      <c r="Y447" s="2" t="s">
        <v>27</v>
      </c>
      <c r="Z447" s="2" t="s">
        <v>28</v>
      </c>
      <c r="AA447" t="s">
        <v>245</v>
      </c>
      <c r="AB447" t="s">
        <v>245</v>
      </c>
      <c r="AC447" t="s">
        <v>245</v>
      </c>
    </row>
    <row r="448" spans="1:29" x14ac:dyDescent="0.2">
      <c r="A448" t="str">
        <f t="shared" si="51"/>
        <v>TRIP-TR-447</v>
      </c>
      <c r="B448" s="3">
        <v>45974</v>
      </c>
      <c r="C448" t="str">
        <f>IF(X448="CUSTOMER DELIVERY",_xlfn.XLOOKUP(D448,'[1]Jan Customer Duplicate Hyva'!$B:$B,'[1]Jan Customer Duplicate Hyva'!$A:$A,"NOT FOUND"),"")</f>
        <v/>
      </c>
      <c r="D448" s="20" t="s">
        <v>215</v>
      </c>
      <c r="E448" s="2"/>
      <c r="F448" s="2"/>
      <c r="G448" s="2"/>
      <c r="H448" s="2"/>
      <c r="I448" s="2"/>
      <c r="J448" s="2"/>
      <c r="K448" s="2"/>
      <c r="L448" s="8" t="s">
        <v>203</v>
      </c>
      <c r="M448" s="9">
        <v>1</v>
      </c>
      <c r="N448" s="2"/>
      <c r="O448" s="2"/>
      <c r="P448" s="2"/>
      <c r="Q448" s="2"/>
      <c r="R448" s="2" t="str">
        <f t="shared" si="56"/>
        <v>PAID</v>
      </c>
      <c r="S448" s="2"/>
      <c r="T448" s="2">
        <f t="shared" si="52"/>
        <v>0</v>
      </c>
      <c r="U448" s="2" t="str">
        <f t="shared" si="53"/>
        <v>OK</v>
      </c>
      <c r="V448" s="7">
        <f t="shared" si="54"/>
        <v>0</v>
      </c>
      <c r="W448" s="2" t="str">
        <f t="shared" si="55"/>
        <v>OK</v>
      </c>
      <c r="X448" s="2" t="s">
        <v>196</v>
      </c>
      <c r="Y448" s="2" t="s">
        <v>27</v>
      </c>
      <c r="Z448" s="2" t="s">
        <v>28</v>
      </c>
      <c r="AA448" t="s">
        <v>245</v>
      </c>
      <c r="AB448" t="s">
        <v>245</v>
      </c>
      <c r="AC448" t="s">
        <v>245</v>
      </c>
    </row>
    <row r="449" spans="1:29" x14ac:dyDescent="0.2">
      <c r="A449" t="str">
        <f t="shared" si="51"/>
        <v>TRIP-TR-448</v>
      </c>
      <c r="B449" s="3">
        <v>45974</v>
      </c>
      <c r="C449" t="str">
        <f>IF(X449="CUSTOMER DELIVERY",_xlfn.XLOOKUP(D449,'[1]Jan Customer Duplicate Hyva'!$B:$B,'[1]Jan Customer Duplicate Hyva'!$A:$A,"NOT FOUND"),"")</f>
        <v/>
      </c>
      <c r="D449" s="20" t="s">
        <v>215</v>
      </c>
      <c r="E449" s="2"/>
      <c r="F449" s="2"/>
      <c r="G449" s="2"/>
      <c r="H449" s="2"/>
      <c r="I449" s="2"/>
      <c r="J449" s="2"/>
      <c r="K449" s="2"/>
      <c r="L449" s="8" t="s">
        <v>202</v>
      </c>
      <c r="M449" s="9">
        <v>3</v>
      </c>
      <c r="N449" s="2"/>
      <c r="O449" s="2"/>
      <c r="P449" s="2"/>
      <c r="Q449" s="2"/>
      <c r="R449" s="2" t="str">
        <f t="shared" si="56"/>
        <v>PAID</v>
      </c>
      <c r="S449" s="2"/>
      <c r="T449" s="2">
        <f t="shared" si="52"/>
        <v>0</v>
      </c>
      <c r="U449" s="2" t="str">
        <f t="shared" si="53"/>
        <v>OK</v>
      </c>
      <c r="V449" s="7">
        <f t="shared" si="54"/>
        <v>0</v>
      </c>
      <c r="W449" s="2" t="str">
        <f t="shared" si="55"/>
        <v>OK</v>
      </c>
      <c r="X449" s="2" t="s">
        <v>196</v>
      </c>
      <c r="Y449" s="2" t="s">
        <v>27</v>
      </c>
      <c r="Z449" s="2" t="s">
        <v>28</v>
      </c>
      <c r="AA449" t="s">
        <v>245</v>
      </c>
      <c r="AB449" t="s">
        <v>245</v>
      </c>
      <c r="AC449" t="s">
        <v>245</v>
      </c>
    </row>
    <row r="450" spans="1:29" x14ac:dyDescent="0.2">
      <c r="A450" t="str">
        <f t="shared" si="51"/>
        <v>TRIP-TR-449</v>
      </c>
      <c r="B450" s="3">
        <v>45974</v>
      </c>
      <c r="C450" t="str">
        <f>IF(X450="CUSTOMER DELIVERY",_xlfn.XLOOKUP(D450,'[1]Jan Customer Duplicate Hyva'!$B:$B,'[1]Jan Customer Duplicate Hyva'!$A:$A,"NOT FOUND"),"")</f>
        <v/>
      </c>
      <c r="D450" s="20" t="s">
        <v>215</v>
      </c>
      <c r="E450" s="2"/>
      <c r="F450" s="2"/>
      <c r="G450" s="2"/>
      <c r="H450" s="2"/>
      <c r="I450" s="2"/>
      <c r="J450" s="2"/>
      <c r="K450" s="2"/>
      <c r="L450" s="8" t="s">
        <v>201</v>
      </c>
      <c r="M450" s="9">
        <v>1</v>
      </c>
      <c r="N450" s="2"/>
      <c r="O450" s="2"/>
      <c r="P450" s="2"/>
      <c r="Q450" s="2"/>
      <c r="R450" s="2" t="str">
        <f t="shared" si="56"/>
        <v>PAID</v>
      </c>
      <c r="S450" s="2"/>
      <c r="T450" s="2">
        <f t="shared" si="52"/>
        <v>0</v>
      </c>
      <c r="U450" s="2" t="str">
        <f t="shared" si="53"/>
        <v>OK</v>
      </c>
      <c r="V450" s="7">
        <f t="shared" si="54"/>
        <v>0</v>
      </c>
      <c r="W450" s="2" t="str">
        <f t="shared" si="55"/>
        <v>OK</v>
      </c>
      <c r="X450" s="2" t="s">
        <v>196</v>
      </c>
      <c r="Y450" s="2" t="s">
        <v>27</v>
      </c>
      <c r="Z450" s="2" t="s">
        <v>28</v>
      </c>
      <c r="AA450" t="s">
        <v>245</v>
      </c>
      <c r="AB450" t="s">
        <v>245</v>
      </c>
      <c r="AC450" t="s">
        <v>245</v>
      </c>
    </row>
    <row r="451" spans="1:29" x14ac:dyDescent="0.2">
      <c r="A451" t="str">
        <f t="shared" ref="A451:A514" si="57">"TRIP-TR-"&amp;TEXT(ROW()-1,"000")</f>
        <v>TRIP-TR-450</v>
      </c>
      <c r="B451" s="3">
        <v>45974</v>
      </c>
      <c r="C451" t="str">
        <f>IF(X451="CUSTOMER DELIVERY",_xlfn.XLOOKUP(D451,'[1]Jan Customer Duplicate Hyva'!$B:$B,'[1]Jan Customer Duplicate Hyva'!$A:$A,"NOT FOUND"),"")</f>
        <v/>
      </c>
      <c r="D451" s="20" t="s">
        <v>215</v>
      </c>
      <c r="E451" s="2"/>
      <c r="F451" s="2"/>
      <c r="G451" s="2"/>
      <c r="H451" s="2"/>
      <c r="I451" s="2"/>
      <c r="J451" s="2"/>
      <c r="K451" s="2"/>
      <c r="L451" s="8" t="s">
        <v>202</v>
      </c>
      <c r="M451" s="9">
        <v>3</v>
      </c>
      <c r="N451" s="2"/>
      <c r="O451" s="2"/>
      <c r="P451" s="2"/>
      <c r="Q451" s="2"/>
      <c r="R451" s="2" t="str">
        <f t="shared" si="56"/>
        <v>PAID</v>
      </c>
      <c r="S451" s="2"/>
      <c r="T451" s="2">
        <f t="shared" si="52"/>
        <v>0</v>
      </c>
      <c r="U451" s="2" t="str">
        <f t="shared" si="53"/>
        <v>OK</v>
      </c>
      <c r="V451" s="7">
        <f t="shared" si="54"/>
        <v>0</v>
      </c>
      <c r="W451" s="2" t="str">
        <f t="shared" si="55"/>
        <v>OK</v>
      </c>
      <c r="X451" s="2" t="s">
        <v>196</v>
      </c>
      <c r="Y451" s="2" t="s">
        <v>27</v>
      </c>
      <c r="Z451" s="2" t="s">
        <v>28</v>
      </c>
      <c r="AA451" t="s">
        <v>245</v>
      </c>
      <c r="AB451" t="s">
        <v>245</v>
      </c>
      <c r="AC451" t="s">
        <v>245</v>
      </c>
    </row>
    <row r="452" spans="1:29" x14ac:dyDescent="0.2">
      <c r="A452" t="str">
        <f t="shared" si="57"/>
        <v>TRIP-TR-451</v>
      </c>
      <c r="B452" s="3">
        <v>45974</v>
      </c>
      <c r="C452" t="str">
        <f>IF(X452="CUSTOMER DELIVERY",_xlfn.XLOOKUP(D452,'[1]Jan Customer Duplicate Hyva'!$B:$B,'[1]Jan Customer Duplicate Hyva'!$A:$A,"NOT FOUND"),"")</f>
        <v/>
      </c>
      <c r="D452" s="20" t="s">
        <v>215</v>
      </c>
      <c r="E452" s="2"/>
      <c r="F452" s="2"/>
      <c r="G452" s="2"/>
      <c r="H452" s="2"/>
      <c r="I452" s="2"/>
      <c r="J452" s="2"/>
      <c r="K452" s="2"/>
      <c r="L452" s="8" t="s">
        <v>202</v>
      </c>
      <c r="M452" s="9">
        <v>3</v>
      </c>
      <c r="N452" s="2"/>
      <c r="O452" s="2"/>
      <c r="P452" s="2"/>
      <c r="Q452" s="2"/>
      <c r="R452" s="2" t="str">
        <f t="shared" si="56"/>
        <v>PAID</v>
      </c>
      <c r="S452" s="2"/>
      <c r="T452" s="2">
        <f t="shared" si="52"/>
        <v>0</v>
      </c>
      <c r="U452" s="2" t="str">
        <f t="shared" si="53"/>
        <v>OK</v>
      </c>
      <c r="V452" s="7">
        <f t="shared" si="54"/>
        <v>0</v>
      </c>
      <c r="W452" s="2" t="str">
        <f t="shared" si="55"/>
        <v>OK</v>
      </c>
      <c r="X452" s="2" t="s">
        <v>196</v>
      </c>
      <c r="Y452" s="2" t="s">
        <v>27</v>
      </c>
      <c r="Z452" s="2" t="s">
        <v>28</v>
      </c>
      <c r="AA452" t="s">
        <v>245</v>
      </c>
      <c r="AB452" t="s">
        <v>245</v>
      </c>
      <c r="AC452" t="s">
        <v>245</v>
      </c>
    </row>
    <row r="453" spans="1:29" x14ac:dyDescent="0.2">
      <c r="A453" t="str">
        <f t="shared" si="57"/>
        <v>TRIP-TR-452</v>
      </c>
      <c r="B453" s="3">
        <v>45974</v>
      </c>
      <c r="C453" t="str">
        <f>IF(X453="CUSTOMER DELIVERY",_xlfn.XLOOKUP(D453,'[1]Jan Customer Duplicate Hyva'!$B:$B,'[1]Jan Customer Duplicate Hyva'!$A:$A,"NOT FOUND"),"")</f>
        <v/>
      </c>
      <c r="D453" s="20" t="s">
        <v>215</v>
      </c>
      <c r="E453" s="2"/>
      <c r="F453" s="2"/>
      <c r="G453" s="2"/>
      <c r="H453" s="2"/>
      <c r="I453" s="2"/>
      <c r="J453" s="2"/>
      <c r="K453" s="2"/>
      <c r="L453" s="8" t="s">
        <v>203</v>
      </c>
      <c r="M453" s="9">
        <v>7</v>
      </c>
      <c r="N453" s="2"/>
      <c r="O453" s="2"/>
      <c r="P453" s="2"/>
      <c r="Q453" s="2"/>
      <c r="R453" s="2" t="str">
        <f t="shared" si="56"/>
        <v>PAID</v>
      </c>
      <c r="S453" s="2"/>
      <c r="T453" s="2">
        <f t="shared" si="52"/>
        <v>0</v>
      </c>
      <c r="U453" s="2" t="str">
        <f t="shared" si="53"/>
        <v>OK</v>
      </c>
      <c r="V453" s="7">
        <f t="shared" si="54"/>
        <v>0</v>
      </c>
      <c r="W453" s="2" t="str">
        <f t="shared" si="55"/>
        <v>OK</v>
      </c>
      <c r="X453" s="2" t="s">
        <v>196</v>
      </c>
      <c r="Y453" s="2" t="s">
        <v>27</v>
      </c>
      <c r="Z453" s="2" t="s">
        <v>28</v>
      </c>
      <c r="AA453" t="s">
        <v>245</v>
      </c>
      <c r="AB453" t="s">
        <v>245</v>
      </c>
      <c r="AC453" t="s">
        <v>245</v>
      </c>
    </row>
    <row r="454" spans="1:29" x14ac:dyDescent="0.2">
      <c r="A454" t="str">
        <f t="shared" si="57"/>
        <v>TRIP-TR-453</v>
      </c>
      <c r="B454" s="3">
        <v>45975</v>
      </c>
      <c r="C454" t="str">
        <f>IF(X454="CUSTOMER DELIVERY",_xlfn.XLOOKUP(D454,'[1]Jan Customer Duplicate Hyva'!$B:$B,'[1]Jan Customer Duplicate Hyva'!$A:$A,"NOT FOUND"),"")</f>
        <v/>
      </c>
      <c r="D454" s="20" t="s">
        <v>215</v>
      </c>
      <c r="E454" s="2"/>
      <c r="F454" s="2"/>
      <c r="G454" s="2"/>
      <c r="H454" s="2"/>
      <c r="I454" s="2"/>
      <c r="J454" s="2"/>
      <c r="K454" s="2"/>
      <c r="L454" s="8" t="s">
        <v>203</v>
      </c>
      <c r="M454" s="9">
        <v>8</v>
      </c>
      <c r="N454" s="2"/>
      <c r="O454" s="2"/>
      <c r="P454" s="2"/>
      <c r="Q454" s="2"/>
      <c r="R454" s="2" t="str">
        <f t="shared" si="56"/>
        <v>PAID</v>
      </c>
      <c r="S454" s="2"/>
      <c r="T454" s="2">
        <f t="shared" si="52"/>
        <v>0</v>
      </c>
      <c r="U454" s="2" t="str">
        <f t="shared" si="53"/>
        <v>OK</v>
      </c>
      <c r="V454" s="7">
        <f t="shared" si="54"/>
        <v>0</v>
      </c>
      <c r="W454" s="2" t="str">
        <f t="shared" si="55"/>
        <v>OK</v>
      </c>
      <c r="X454" s="2" t="s">
        <v>196</v>
      </c>
      <c r="Y454" s="2" t="s">
        <v>27</v>
      </c>
      <c r="Z454" s="2" t="s">
        <v>28</v>
      </c>
      <c r="AA454" t="s">
        <v>245</v>
      </c>
      <c r="AB454" t="s">
        <v>245</v>
      </c>
      <c r="AC454" t="s">
        <v>245</v>
      </c>
    </row>
    <row r="455" spans="1:29" x14ac:dyDescent="0.2">
      <c r="A455" t="str">
        <f t="shared" si="57"/>
        <v>TRIP-TR-454</v>
      </c>
      <c r="B455" s="3">
        <v>45975</v>
      </c>
      <c r="C455" t="str">
        <f>IF(X455="CUSTOMER DELIVERY",_xlfn.XLOOKUP(D455,'[1]Jan Customer Duplicate Hyva'!$B:$B,'[1]Jan Customer Duplicate Hyva'!$A:$A,"NOT FOUND"),"")</f>
        <v/>
      </c>
      <c r="D455" s="20" t="s">
        <v>215</v>
      </c>
      <c r="E455" s="2"/>
      <c r="F455" s="2"/>
      <c r="G455" s="2"/>
      <c r="H455" s="2"/>
      <c r="I455" s="2"/>
      <c r="J455" s="2"/>
      <c r="K455" s="2"/>
      <c r="L455" s="8" t="s">
        <v>201</v>
      </c>
      <c r="M455" s="9">
        <v>1</v>
      </c>
      <c r="N455" s="2"/>
      <c r="O455" s="2"/>
      <c r="P455" s="2"/>
      <c r="Q455" s="2"/>
      <c r="R455" s="2" t="str">
        <f t="shared" si="56"/>
        <v>PAID</v>
      </c>
      <c r="S455" s="2"/>
      <c r="T455" s="2">
        <f t="shared" si="52"/>
        <v>0</v>
      </c>
      <c r="U455" s="2" t="str">
        <f t="shared" si="53"/>
        <v>OK</v>
      </c>
      <c r="V455" s="7">
        <f t="shared" si="54"/>
        <v>0</v>
      </c>
      <c r="W455" s="2" t="str">
        <f t="shared" si="55"/>
        <v>OK</v>
      </c>
      <c r="X455" s="2" t="s">
        <v>196</v>
      </c>
      <c r="Y455" s="2" t="s">
        <v>27</v>
      </c>
      <c r="Z455" s="2" t="s">
        <v>28</v>
      </c>
      <c r="AA455" t="s">
        <v>245</v>
      </c>
      <c r="AB455" t="s">
        <v>245</v>
      </c>
      <c r="AC455" t="s">
        <v>245</v>
      </c>
    </row>
    <row r="456" spans="1:29" x14ac:dyDescent="0.2">
      <c r="A456" t="str">
        <f t="shared" si="57"/>
        <v>TRIP-TR-455</v>
      </c>
      <c r="B456" s="3">
        <v>45975</v>
      </c>
      <c r="C456" t="str">
        <f>IF(X456="CUSTOMER DELIVERY",_xlfn.XLOOKUP(D456,'[1]Jan Customer Duplicate Hyva'!$B:$B,'[1]Jan Customer Duplicate Hyva'!$A:$A,"NOT FOUND"),"")</f>
        <v/>
      </c>
      <c r="D456" s="20" t="s">
        <v>215</v>
      </c>
      <c r="E456" s="2"/>
      <c r="F456" s="2"/>
      <c r="G456" s="2"/>
      <c r="H456" s="2"/>
      <c r="I456" s="2"/>
      <c r="J456" s="2"/>
      <c r="K456" s="2"/>
      <c r="L456" s="8" t="s">
        <v>205</v>
      </c>
      <c r="M456" s="9">
        <v>2</v>
      </c>
      <c r="N456" s="2"/>
      <c r="O456" s="2"/>
      <c r="P456" s="2"/>
      <c r="Q456" s="2"/>
      <c r="R456" s="2" t="str">
        <f t="shared" si="56"/>
        <v>PAID</v>
      </c>
      <c r="S456" s="2"/>
      <c r="T456" s="2">
        <f t="shared" si="52"/>
        <v>0</v>
      </c>
      <c r="U456" s="2" t="str">
        <f t="shared" si="53"/>
        <v>OK</v>
      </c>
      <c r="V456" s="7">
        <f t="shared" si="54"/>
        <v>0</v>
      </c>
      <c r="W456" s="2" t="str">
        <f t="shared" si="55"/>
        <v>OK</v>
      </c>
      <c r="X456" s="2" t="s">
        <v>196</v>
      </c>
      <c r="Y456" s="2" t="s">
        <v>27</v>
      </c>
      <c r="Z456" s="2" t="s">
        <v>28</v>
      </c>
      <c r="AA456" t="s">
        <v>245</v>
      </c>
      <c r="AB456" t="s">
        <v>245</v>
      </c>
      <c r="AC456" t="s">
        <v>245</v>
      </c>
    </row>
    <row r="457" spans="1:29" x14ac:dyDescent="0.2">
      <c r="A457" t="str">
        <f t="shared" si="57"/>
        <v>TRIP-TR-456</v>
      </c>
      <c r="B457" s="3">
        <v>45975</v>
      </c>
      <c r="C457" t="str">
        <f>IF(X457="CUSTOMER DELIVERY",_xlfn.XLOOKUP(D457,'[1]Jan Customer Duplicate Hyva'!$B:$B,'[1]Jan Customer Duplicate Hyva'!$A:$A,"NOT FOUND"),"")</f>
        <v/>
      </c>
      <c r="D457" s="20" t="s">
        <v>215</v>
      </c>
      <c r="E457" s="2"/>
      <c r="F457" s="2"/>
      <c r="G457" s="2"/>
      <c r="H457" s="2"/>
      <c r="I457" s="2"/>
      <c r="J457" s="2"/>
      <c r="K457" s="2"/>
      <c r="L457" s="8" t="s">
        <v>202</v>
      </c>
      <c r="M457" s="9">
        <v>2</v>
      </c>
      <c r="N457" s="2"/>
      <c r="O457" s="2"/>
      <c r="P457" s="2"/>
      <c r="Q457" s="2"/>
      <c r="R457" s="2" t="str">
        <f t="shared" si="56"/>
        <v>PAID</v>
      </c>
      <c r="S457" s="2"/>
      <c r="T457" s="2">
        <f t="shared" ref="T457:T520" si="58">M457*N457</f>
        <v>0</v>
      </c>
      <c r="U457" s="2" t="str">
        <f t="shared" ref="U457:U520" si="59">IF(ROUND(T457,2)=ROUND(O457,2),"OK","CHECK")</f>
        <v>OK</v>
      </c>
      <c r="V457" s="7">
        <f t="shared" ref="V457:V520" si="60">O457-P457</f>
        <v>0</v>
      </c>
      <c r="W457" s="2" t="str">
        <f t="shared" ref="W457:W520" si="61">IF(ROUND(V457,2)=ROUND(Q457,2),"OK","CHECK")</f>
        <v>OK</v>
      </c>
      <c r="X457" s="2" t="s">
        <v>196</v>
      </c>
      <c r="Y457" s="2" t="s">
        <v>27</v>
      </c>
      <c r="Z457" s="2" t="s">
        <v>28</v>
      </c>
      <c r="AA457" t="s">
        <v>245</v>
      </c>
      <c r="AB457" t="s">
        <v>245</v>
      </c>
      <c r="AC457" t="s">
        <v>245</v>
      </c>
    </row>
    <row r="458" spans="1:29" x14ac:dyDescent="0.2">
      <c r="A458" t="str">
        <f t="shared" si="57"/>
        <v>TRIP-TR-457</v>
      </c>
      <c r="B458" s="3">
        <v>45976</v>
      </c>
      <c r="C458" t="str">
        <f>IF(X458="CUSTOMER DELIVERY",_xlfn.XLOOKUP(D458,'[1]Jan Customer Duplicate Hyva'!$B:$B,'[1]Jan Customer Duplicate Hyva'!$A:$A,"NOT FOUND"),"")</f>
        <v/>
      </c>
      <c r="D458" s="20" t="s">
        <v>215</v>
      </c>
      <c r="E458" s="2"/>
      <c r="F458" s="2"/>
      <c r="G458" s="2"/>
      <c r="H458" s="2"/>
      <c r="I458" s="2"/>
      <c r="J458" s="2"/>
      <c r="K458" s="2"/>
      <c r="L458" s="8" t="s">
        <v>203</v>
      </c>
      <c r="M458" s="9">
        <v>13</v>
      </c>
      <c r="N458" s="2"/>
      <c r="O458" s="2"/>
      <c r="P458" s="2"/>
      <c r="Q458" s="2"/>
      <c r="R458" s="2" t="str">
        <f t="shared" ref="R458:R521" si="62">IF(Q458=0,"PAID",IF(P458=0,"UNPAID","PARTIAL"))</f>
        <v>PAID</v>
      </c>
      <c r="S458" s="2"/>
      <c r="T458" s="2">
        <f t="shared" si="58"/>
        <v>0</v>
      </c>
      <c r="U458" s="2" t="str">
        <f t="shared" si="59"/>
        <v>OK</v>
      </c>
      <c r="V458" s="7">
        <f t="shared" si="60"/>
        <v>0</v>
      </c>
      <c r="W458" s="2" t="str">
        <f t="shared" si="61"/>
        <v>OK</v>
      </c>
      <c r="X458" s="2" t="s">
        <v>196</v>
      </c>
      <c r="Y458" s="2" t="s">
        <v>27</v>
      </c>
      <c r="Z458" s="2" t="s">
        <v>28</v>
      </c>
      <c r="AA458" t="s">
        <v>245</v>
      </c>
      <c r="AB458" t="s">
        <v>245</v>
      </c>
      <c r="AC458" t="s">
        <v>245</v>
      </c>
    </row>
    <row r="459" spans="1:29" x14ac:dyDescent="0.2">
      <c r="A459" t="str">
        <f t="shared" si="57"/>
        <v>TRIP-TR-458</v>
      </c>
      <c r="B459" s="3">
        <v>45976</v>
      </c>
      <c r="C459" t="str">
        <f>IF(X459="CUSTOMER DELIVERY",_xlfn.XLOOKUP(D459,'[1]Jan Customer Duplicate Hyva'!$B:$B,'[1]Jan Customer Duplicate Hyva'!$A:$A,"NOT FOUND"),"")</f>
        <v/>
      </c>
      <c r="D459" s="20" t="s">
        <v>215</v>
      </c>
      <c r="E459" s="2"/>
      <c r="F459" s="2"/>
      <c r="G459" s="2"/>
      <c r="H459" s="2"/>
      <c r="I459" s="2"/>
      <c r="J459" s="2"/>
      <c r="K459" s="2"/>
      <c r="L459" s="8" t="s">
        <v>205</v>
      </c>
      <c r="M459" s="9">
        <v>8</v>
      </c>
      <c r="N459" s="2"/>
      <c r="O459" s="2"/>
      <c r="P459" s="2"/>
      <c r="Q459" s="2"/>
      <c r="R459" s="2" t="str">
        <f t="shared" si="62"/>
        <v>PAID</v>
      </c>
      <c r="S459" s="2"/>
      <c r="T459" s="2">
        <f t="shared" si="58"/>
        <v>0</v>
      </c>
      <c r="U459" s="2" t="str">
        <f t="shared" si="59"/>
        <v>OK</v>
      </c>
      <c r="V459" s="7">
        <f t="shared" si="60"/>
        <v>0</v>
      </c>
      <c r="W459" s="2" t="str">
        <f t="shared" si="61"/>
        <v>OK</v>
      </c>
      <c r="X459" s="2" t="s">
        <v>196</v>
      </c>
      <c r="Y459" s="2" t="s">
        <v>27</v>
      </c>
      <c r="Z459" s="2" t="s">
        <v>28</v>
      </c>
      <c r="AA459" t="s">
        <v>245</v>
      </c>
      <c r="AB459" t="s">
        <v>245</v>
      </c>
      <c r="AC459" t="s">
        <v>245</v>
      </c>
    </row>
    <row r="460" spans="1:29" x14ac:dyDescent="0.2">
      <c r="A460" t="str">
        <f t="shared" si="57"/>
        <v>TRIP-TR-459</v>
      </c>
      <c r="B460" s="3">
        <v>45976</v>
      </c>
      <c r="C460" t="str">
        <f>IF(X460="CUSTOMER DELIVERY",_xlfn.XLOOKUP(D460,'[1]Jan Customer Duplicate Hyva'!$B:$B,'[1]Jan Customer Duplicate Hyva'!$A:$A,"NOT FOUND"),"")</f>
        <v/>
      </c>
      <c r="D460" s="20" t="s">
        <v>215</v>
      </c>
      <c r="E460" s="2"/>
      <c r="F460" s="2"/>
      <c r="G460" s="2"/>
      <c r="H460" s="2"/>
      <c r="I460" s="2"/>
      <c r="J460" s="2"/>
      <c r="K460" s="2"/>
      <c r="L460" s="8" t="s">
        <v>203</v>
      </c>
      <c r="M460" s="9">
        <v>26</v>
      </c>
      <c r="N460" s="2"/>
      <c r="O460" s="2"/>
      <c r="P460" s="2"/>
      <c r="Q460" s="2"/>
      <c r="R460" s="2" t="str">
        <f t="shared" si="62"/>
        <v>PAID</v>
      </c>
      <c r="S460" s="2"/>
      <c r="T460" s="2">
        <f t="shared" si="58"/>
        <v>0</v>
      </c>
      <c r="U460" s="2" t="str">
        <f t="shared" si="59"/>
        <v>OK</v>
      </c>
      <c r="V460" s="7">
        <f t="shared" si="60"/>
        <v>0</v>
      </c>
      <c r="W460" s="2" t="str">
        <f t="shared" si="61"/>
        <v>OK</v>
      </c>
      <c r="X460" s="2" t="s">
        <v>196</v>
      </c>
      <c r="Y460" s="2" t="s">
        <v>27</v>
      </c>
      <c r="Z460" s="2" t="s">
        <v>28</v>
      </c>
      <c r="AA460" t="s">
        <v>245</v>
      </c>
      <c r="AB460" t="s">
        <v>245</v>
      </c>
      <c r="AC460" t="s">
        <v>245</v>
      </c>
    </row>
    <row r="461" spans="1:29" x14ac:dyDescent="0.2">
      <c r="A461" t="str">
        <f t="shared" si="57"/>
        <v>TRIP-TR-460</v>
      </c>
      <c r="B461" s="3">
        <v>45977</v>
      </c>
      <c r="C461" t="str">
        <f>IF(X461="CUSTOMER DELIVERY",_xlfn.XLOOKUP(D461,'[1]Jan Customer Duplicate Hyva'!$B:$B,'[1]Jan Customer Duplicate Hyva'!$A:$A,"NOT FOUND"),"")</f>
        <v/>
      </c>
      <c r="D461" s="20" t="s">
        <v>215</v>
      </c>
      <c r="E461" s="2"/>
      <c r="F461" s="2"/>
      <c r="G461" s="2"/>
      <c r="H461" s="2"/>
      <c r="I461" s="2"/>
      <c r="J461" s="2"/>
      <c r="K461" s="2"/>
      <c r="L461" s="8" t="s">
        <v>201</v>
      </c>
      <c r="M461" s="9">
        <v>1</v>
      </c>
      <c r="N461" s="2"/>
      <c r="O461" s="2"/>
      <c r="P461" s="2"/>
      <c r="Q461" s="2"/>
      <c r="R461" s="2" t="str">
        <f t="shared" si="62"/>
        <v>PAID</v>
      </c>
      <c r="S461" s="2"/>
      <c r="T461" s="2">
        <f t="shared" si="58"/>
        <v>0</v>
      </c>
      <c r="U461" s="2" t="str">
        <f t="shared" si="59"/>
        <v>OK</v>
      </c>
      <c r="V461" s="7">
        <f t="shared" si="60"/>
        <v>0</v>
      </c>
      <c r="W461" s="2" t="str">
        <f t="shared" si="61"/>
        <v>OK</v>
      </c>
      <c r="X461" s="2" t="s">
        <v>196</v>
      </c>
      <c r="Y461" s="2" t="s">
        <v>27</v>
      </c>
      <c r="Z461" s="2" t="s">
        <v>28</v>
      </c>
      <c r="AA461" t="s">
        <v>245</v>
      </c>
      <c r="AB461" t="s">
        <v>245</v>
      </c>
      <c r="AC461" t="s">
        <v>245</v>
      </c>
    </row>
    <row r="462" spans="1:29" x14ac:dyDescent="0.2">
      <c r="A462" t="str">
        <f t="shared" si="57"/>
        <v>TRIP-TR-461</v>
      </c>
      <c r="B462" s="3">
        <v>45977</v>
      </c>
      <c r="C462" t="str">
        <f>IF(X462="CUSTOMER DELIVERY",_xlfn.XLOOKUP(D462,'[1]Jan Customer Duplicate Hyva'!$B:$B,'[1]Jan Customer Duplicate Hyva'!$A:$A,"NOT FOUND"),"")</f>
        <v/>
      </c>
      <c r="D462" s="20" t="s">
        <v>215</v>
      </c>
      <c r="E462" s="2"/>
      <c r="F462" s="2"/>
      <c r="G462" s="2"/>
      <c r="H462" s="2"/>
      <c r="I462" s="2"/>
      <c r="J462" s="2"/>
      <c r="K462" s="2"/>
      <c r="L462" s="8" t="s">
        <v>203</v>
      </c>
      <c r="M462" s="9">
        <v>22</v>
      </c>
      <c r="N462" s="2"/>
      <c r="O462" s="2"/>
      <c r="P462" s="2"/>
      <c r="Q462" s="2"/>
      <c r="R462" s="2" t="str">
        <f t="shared" si="62"/>
        <v>PAID</v>
      </c>
      <c r="S462" s="2"/>
      <c r="T462" s="2">
        <f t="shared" si="58"/>
        <v>0</v>
      </c>
      <c r="U462" s="2" t="str">
        <f t="shared" si="59"/>
        <v>OK</v>
      </c>
      <c r="V462" s="7">
        <f t="shared" si="60"/>
        <v>0</v>
      </c>
      <c r="W462" s="2" t="str">
        <f t="shared" si="61"/>
        <v>OK</v>
      </c>
      <c r="X462" s="2" t="s">
        <v>196</v>
      </c>
      <c r="Y462" s="2" t="s">
        <v>27</v>
      </c>
      <c r="Z462" s="2" t="s">
        <v>28</v>
      </c>
      <c r="AA462" t="s">
        <v>245</v>
      </c>
      <c r="AB462" t="s">
        <v>245</v>
      </c>
      <c r="AC462" t="s">
        <v>245</v>
      </c>
    </row>
    <row r="463" spans="1:29" x14ac:dyDescent="0.2">
      <c r="A463" t="str">
        <f t="shared" si="57"/>
        <v>TRIP-TR-462</v>
      </c>
      <c r="B463" s="3">
        <v>45977</v>
      </c>
      <c r="C463" t="str">
        <f>IF(X463="CUSTOMER DELIVERY",_xlfn.XLOOKUP(D463,'[1]Jan Customer Duplicate Hyva'!$B:$B,'[1]Jan Customer Duplicate Hyva'!$A:$A,"NOT FOUND"),"")</f>
        <v/>
      </c>
      <c r="D463" s="20" t="s">
        <v>215</v>
      </c>
      <c r="E463" s="2"/>
      <c r="F463" s="2"/>
      <c r="G463" s="2"/>
      <c r="H463" s="2"/>
      <c r="I463" s="2"/>
      <c r="J463" s="2"/>
      <c r="K463" s="2"/>
      <c r="L463" s="8" t="s">
        <v>203</v>
      </c>
      <c r="M463" s="9">
        <v>22</v>
      </c>
      <c r="N463" s="2"/>
      <c r="O463" s="2"/>
      <c r="P463" s="2"/>
      <c r="Q463" s="2"/>
      <c r="R463" s="2" t="str">
        <f t="shared" si="62"/>
        <v>PAID</v>
      </c>
      <c r="S463" s="2"/>
      <c r="T463" s="2">
        <f t="shared" si="58"/>
        <v>0</v>
      </c>
      <c r="U463" s="2" t="str">
        <f t="shared" si="59"/>
        <v>OK</v>
      </c>
      <c r="V463" s="7">
        <f t="shared" si="60"/>
        <v>0</v>
      </c>
      <c r="W463" s="2" t="str">
        <f t="shared" si="61"/>
        <v>OK</v>
      </c>
      <c r="X463" s="2" t="s">
        <v>196</v>
      </c>
      <c r="Y463" s="2" t="s">
        <v>27</v>
      </c>
      <c r="Z463" s="2" t="s">
        <v>28</v>
      </c>
      <c r="AA463" t="s">
        <v>245</v>
      </c>
      <c r="AB463" t="s">
        <v>245</v>
      </c>
      <c r="AC463" t="s">
        <v>245</v>
      </c>
    </row>
    <row r="464" spans="1:29" x14ac:dyDescent="0.2">
      <c r="A464" t="str">
        <f t="shared" si="57"/>
        <v>TRIP-TR-463</v>
      </c>
      <c r="B464" s="3">
        <v>45977</v>
      </c>
      <c r="C464" t="str">
        <f>IF(X464="CUSTOMER DELIVERY",_xlfn.XLOOKUP(D464,'[1]Jan Customer Duplicate Hyva'!$B:$B,'[1]Jan Customer Duplicate Hyva'!$A:$A,"NOT FOUND"),"")</f>
        <v/>
      </c>
      <c r="D464" s="20" t="s">
        <v>215</v>
      </c>
      <c r="E464" s="2"/>
      <c r="F464" s="2"/>
      <c r="G464" s="2"/>
      <c r="H464" s="2"/>
      <c r="I464" s="2"/>
      <c r="J464" s="2"/>
      <c r="K464" s="2"/>
      <c r="L464" s="8" t="s">
        <v>203</v>
      </c>
      <c r="M464" s="9">
        <v>15</v>
      </c>
      <c r="N464" s="2"/>
      <c r="O464" s="2"/>
      <c r="P464" s="2"/>
      <c r="Q464" s="2"/>
      <c r="R464" s="2" t="str">
        <f t="shared" si="62"/>
        <v>PAID</v>
      </c>
      <c r="S464" s="2"/>
      <c r="T464" s="2">
        <f t="shared" si="58"/>
        <v>0</v>
      </c>
      <c r="U464" s="2" t="str">
        <f t="shared" si="59"/>
        <v>OK</v>
      </c>
      <c r="V464" s="7">
        <f t="shared" si="60"/>
        <v>0</v>
      </c>
      <c r="W464" s="2" t="str">
        <f t="shared" si="61"/>
        <v>OK</v>
      </c>
      <c r="X464" s="2" t="s">
        <v>196</v>
      </c>
      <c r="Y464" s="2" t="s">
        <v>27</v>
      </c>
      <c r="Z464" s="2" t="s">
        <v>28</v>
      </c>
      <c r="AA464" t="s">
        <v>245</v>
      </c>
      <c r="AB464" t="s">
        <v>245</v>
      </c>
      <c r="AC464" t="s">
        <v>245</v>
      </c>
    </row>
    <row r="465" spans="1:29" x14ac:dyDescent="0.2">
      <c r="A465" t="str">
        <f t="shared" si="57"/>
        <v>TRIP-TR-464</v>
      </c>
      <c r="B465" s="3">
        <v>45977</v>
      </c>
      <c r="C465" t="str">
        <f>IF(X465="CUSTOMER DELIVERY",_xlfn.XLOOKUP(D465,'[1]Jan Customer Duplicate Hyva'!$B:$B,'[1]Jan Customer Duplicate Hyva'!$A:$A,"NOT FOUND"),"")</f>
        <v/>
      </c>
      <c r="D465" s="20" t="s">
        <v>215</v>
      </c>
      <c r="E465" s="2"/>
      <c r="F465" s="2"/>
      <c r="G465" s="2"/>
      <c r="H465" s="2"/>
      <c r="I465" s="2"/>
      <c r="J465" s="2"/>
      <c r="K465" s="2"/>
      <c r="L465" s="8" t="s">
        <v>205</v>
      </c>
      <c r="M465" s="9">
        <v>5</v>
      </c>
      <c r="N465" s="2"/>
      <c r="O465" s="2"/>
      <c r="P465" s="2"/>
      <c r="Q465" s="2"/>
      <c r="R465" s="2" t="str">
        <f t="shared" si="62"/>
        <v>PAID</v>
      </c>
      <c r="S465" s="2"/>
      <c r="T465" s="2">
        <f t="shared" si="58"/>
        <v>0</v>
      </c>
      <c r="U465" s="2" t="str">
        <f t="shared" si="59"/>
        <v>OK</v>
      </c>
      <c r="V465" s="7">
        <f t="shared" si="60"/>
        <v>0</v>
      </c>
      <c r="W465" s="2" t="str">
        <f t="shared" si="61"/>
        <v>OK</v>
      </c>
      <c r="X465" s="2" t="s">
        <v>196</v>
      </c>
      <c r="Y465" s="2" t="s">
        <v>27</v>
      </c>
      <c r="Z465" s="2" t="s">
        <v>28</v>
      </c>
      <c r="AA465" t="s">
        <v>245</v>
      </c>
      <c r="AB465" t="s">
        <v>245</v>
      </c>
      <c r="AC465" t="s">
        <v>245</v>
      </c>
    </row>
    <row r="466" spans="1:29" x14ac:dyDescent="0.2">
      <c r="A466" t="str">
        <f t="shared" si="57"/>
        <v>TRIP-TR-465</v>
      </c>
      <c r="B466" s="3">
        <v>45978</v>
      </c>
      <c r="C466" t="str">
        <f>IF(X466="CUSTOMER DELIVERY",_xlfn.XLOOKUP(D466,'[1]Jan Customer Duplicate Hyva'!$B:$B,'[1]Jan Customer Duplicate Hyva'!$A:$A,"NOT FOUND"),"")</f>
        <v/>
      </c>
      <c r="D466" s="20" t="s">
        <v>215</v>
      </c>
      <c r="E466" s="2"/>
      <c r="F466" s="2"/>
      <c r="G466" s="2"/>
      <c r="H466" s="2"/>
      <c r="I466" s="2"/>
      <c r="J466" s="2"/>
      <c r="K466" s="2"/>
      <c r="L466" s="8" t="s">
        <v>203</v>
      </c>
      <c r="M466" s="9">
        <v>18</v>
      </c>
      <c r="N466" s="2"/>
      <c r="O466" s="2"/>
      <c r="P466" s="2"/>
      <c r="Q466" s="2"/>
      <c r="R466" s="2" t="str">
        <f t="shared" si="62"/>
        <v>PAID</v>
      </c>
      <c r="S466" s="2"/>
      <c r="T466" s="2">
        <f t="shared" si="58"/>
        <v>0</v>
      </c>
      <c r="U466" s="2" t="str">
        <f t="shared" si="59"/>
        <v>OK</v>
      </c>
      <c r="V466" s="7">
        <f t="shared" si="60"/>
        <v>0</v>
      </c>
      <c r="W466" s="2" t="str">
        <f t="shared" si="61"/>
        <v>OK</v>
      </c>
      <c r="X466" s="2" t="s">
        <v>196</v>
      </c>
      <c r="Y466" s="2" t="s">
        <v>27</v>
      </c>
      <c r="Z466" s="2" t="s">
        <v>28</v>
      </c>
      <c r="AA466" t="s">
        <v>245</v>
      </c>
      <c r="AB466" t="s">
        <v>245</v>
      </c>
      <c r="AC466" t="s">
        <v>245</v>
      </c>
    </row>
    <row r="467" spans="1:29" x14ac:dyDescent="0.2">
      <c r="A467" t="str">
        <f t="shared" si="57"/>
        <v>TRIP-TR-466</v>
      </c>
      <c r="B467" s="3">
        <v>45978</v>
      </c>
      <c r="C467" t="str">
        <f>IF(X467="CUSTOMER DELIVERY",_xlfn.XLOOKUP(D467,'[1]Jan Customer Duplicate Hyva'!$B:$B,'[1]Jan Customer Duplicate Hyva'!$A:$A,"NOT FOUND"),"")</f>
        <v/>
      </c>
      <c r="D467" s="20" t="s">
        <v>215</v>
      </c>
      <c r="E467" s="2"/>
      <c r="F467" s="2"/>
      <c r="G467" s="2"/>
      <c r="H467" s="2"/>
      <c r="I467" s="2"/>
      <c r="J467" s="2"/>
      <c r="K467" s="2"/>
      <c r="L467" s="8" t="s">
        <v>203</v>
      </c>
      <c r="M467" s="9">
        <v>15</v>
      </c>
      <c r="N467" s="2"/>
      <c r="O467" s="2"/>
      <c r="P467" s="2"/>
      <c r="Q467" s="2"/>
      <c r="R467" s="2" t="str">
        <f t="shared" si="62"/>
        <v>PAID</v>
      </c>
      <c r="S467" s="2"/>
      <c r="T467" s="2">
        <f t="shared" si="58"/>
        <v>0</v>
      </c>
      <c r="U467" s="2" t="str">
        <f t="shared" si="59"/>
        <v>OK</v>
      </c>
      <c r="V467" s="7">
        <f t="shared" si="60"/>
        <v>0</v>
      </c>
      <c r="W467" s="2" t="str">
        <f t="shared" si="61"/>
        <v>OK</v>
      </c>
      <c r="X467" s="2" t="s">
        <v>196</v>
      </c>
      <c r="Y467" s="2" t="s">
        <v>27</v>
      </c>
      <c r="Z467" s="2" t="s">
        <v>28</v>
      </c>
      <c r="AA467" t="s">
        <v>245</v>
      </c>
      <c r="AB467" t="s">
        <v>245</v>
      </c>
      <c r="AC467" t="s">
        <v>245</v>
      </c>
    </row>
    <row r="468" spans="1:29" x14ac:dyDescent="0.2">
      <c r="A468" t="str">
        <f t="shared" si="57"/>
        <v>TRIP-TR-467</v>
      </c>
      <c r="B468" s="3">
        <v>45978</v>
      </c>
      <c r="C468" t="str">
        <f>IF(X468="CUSTOMER DELIVERY",_xlfn.XLOOKUP(D468,'[1]Jan Customer Duplicate Hyva'!$B:$B,'[1]Jan Customer Duplicate Hyva'!$A:$A,"NOT FOUND"),"")</f>
        <v/>
      </c>
      <c r="D468" s="20" t="s">
        <v>215</v>
      </c>
      <c r="E468" s="2"/>
      <c r="F468" s="2"/>
      <c r="G468" s="2"/>
      <c r="H468" s="2"/>
      <c r="I468" s="2"/>
      <c r="J468" s="2"/>
      <c r="K468" s="2"/>
      <c r="L468" s="8" t="s">
        <v>203</v>
      </c>
      <c r="M468" s="9">
        <v>19</v>
      </c>
      <c r="N468" s="2"/>
      <c r="O468" s="2"/>
      <c r="P468" s="2"/>
      <c r="Q468" s="2"/>
      <c r="R468" s="2" t="str">
        <f t="shared" si="62"/>
        <v>PAID</v>
      </c>
      <c r="S468" s="2"/>
      <c r="T468" s="2">
        <f t="shared" si="58"/>
        <v>0</v>
      </c>
      <c r="U468" s="2" t="str">
        <f t="shared" si="59"/>
        <v>OK</v>
      </c>
      <c r="V468" s="7">
        <f t="shared" si="60"/>
        <v>0</v>
      </c>
      <c r="W468" s="2" t="str">
        <f t="shared" si="61"/>
        <v>OK</v>
      </c>
      <c r="X468" s="2" t="s">
        <v>196</v>
      </c>
      <c r="Y468" s="2" t="s">
        <v>27</v>
      </c>
      <c r="Z468" s="2" t="s">
        <v>28</v>
      </c>
      <c r="AA468" t="s">
        <v>245</v>
      </c>
      <c r="AB468" t="s">
        <v>245</v>
      </c>
      <c r="AC468" t="s">
        <v>245</v>
      </c>
    </row>
    <row r="469" spans="1:29" x14ac:dyDescent="0.2">
      <c r="A469" t="str">
        <f t="shared" si="57"/>
        <v>TRIP-TR-468</v>
      </c>
      <c r="B469" s="3">
        <v>45978</v>
      </c>
      <c r="C469" t="str">
        <f>IF(X469="CUSTOMER DELIVERY",_xlfn.XLOOKUP(D469,'[1]Jan Customer Duplicate Hyva'!$B:$B,'[1]Jan Customer Duplicate Hyva'!$A:$A,"NOT FOUND"),"")</f>
        <v/>
      </c>
      <c r="D469" s="20" t="s">
        <v>215</v>
      </c>
      <c r="E469" s="2"/>
      <c r="F469" s="2"/>
      <c r="G469" s="2"/>
      <c r="H469" s="2"/>
      <c r="I469" s="2"/>
      <c r="J469" s="2"/>
      <c r="K469" s="2"/>
      <c r="L469" s="8" t="s">
        <v>203</v>
      </c>
      <c r="M469" s="9">
        <v>11</v>
      </c>
      <c r="N469" s="2"/>
      <c r="O469" s="2"/>
      <c r="P469" s="2"/>
      <c r="Q469" s="2"/>
      <c r="R469" s="2" t="str">
        <f t="shared" si="62"/>
        <v>PAID</v>
      </c>
      <c r="S469" s="2"/>
      <c r="T469" s="2">
        <f t="shared" si="58"/>
        <v>0</v>
      </c>
      <c r="U469" s="2" t="str">
        <f t="shared" si="59"/>
        <v>OK</v>
      </c>
      <c r="V469" s="7">
        <f t="shared" si="60"/>
        <v>0</v>
      </c>
      <c r="W469" s="2" t="str">
        <f t="shared" si="61"/>
        <v>OK</v>
      </c>
      <c r="X469" s="2" t="s">
        <v>196</v>
      </c>
      <c r="Y469" s="2" t="s">
        <v>27</v>
      </c>
      <c r="Z469" s="2" t="s">
        <v>28</v>
      </c>
      <c r="AA469" t="s">
        <v>245</v>
      </c>
      <c r="AB469" t="s">
        <v>245</v>
      </c>
      <c r="AC469" t="s">
        <v>245</v>
      </c>
    </row>
    <row r="470" spans="1:29" x14ac:dyDescent="0.2">
      <c r="A470" t="str">
        <f t="shared" si="57"/>
        <v>TRIP-TR-469</v>
      </c>
      <c r="B470" s="3">
        <v>45978</v>
      </c>
      <c r="C470" t="str">
        <f>IF(X470="CUSTOMER DELIVERY",_xlfn.XLOOKUP(D470,'[1]Jan Customer Duplicate Hyva'!$B:$B,'[1]Jan Customer Duplicate Hyva'!$A:$A,"NOT FOUND"),"")</f>
        <v/>
      </c>
      <c r="D470" s="20" t="s">
        <v>215</v>
      </c>
      <c r="E470" s="2"/>
      <c r="F470" s="2"/>
      <c r="G470" s="2"/>
      <c r="H470" s="2"/>
      <c r="I470" s="2"/>
      <c r="J470" s="2"/>
      <c r="K470" s="2"/>
      <c r="L470" s="8" t="s">
        <v>205</v>
      </c>
      <c r="M470" s="9">
        <v>1</v>
      </c>
      <c r="N470" s="2"/>
      <c r="O470" s="2"/>
      <c r="P470" s="2"/>
      <c r="Q470" s="2"/>
      <c r="R470" s="2" t="str">
        <f t="shared" si="62"/>
        <v>PAID</v>
      </c>
      <c r="S470" s="2"/>
      <c r="T470" s="2">
        <f t="shared" si="58"/>
        <v>0</v>
      </c>
      <c r="U470" s="2" t="str">
        <f t="shared" si="59"/>
        <v>OK</v>
      </c>
      <c r="V470" s="7">
        <f t="shared" si="60"/>
        <v>0</v>
      </c>
      <c r="W470" s="2" t="str">
        <f t="shared" si="61"/>
        <v>OK</v>
      </c>
      <c r="X470" s="2" t="s">
        <v>196</v>
      </c>
      <c r="Y470" s="2" t="s">
        <v>27</v>
      </c>
      <c r="Z470" s="2" t="s">
        <v>28</v>
      </c>
      <c r="AA470" t="s">
        <v>245</v>
      </c>
      <c r="AB470" t="s">
        <v>245</v>
      </c>
      <c r="AC470" t="s">
        <v>245</v>
      </c>
    </row>
    <row r="471" spans="1:29" x14ac:dyDescent="0.2">
      <c r="A471" t="str">
        <f t="shared" si="57"/>
        <v>TRIP-TR-470</v>
      </c>
      <c r="B471" s="3">
        <v>45979</v>
      </c>
      <c r="C471" t="str">
        <f>IF(X471="CUSTOMER DELIVERY",_xlfn.XLOOKUP(D471,'[1]Jan Customer Duplicate Hyva'!$B:$B,'[1]Jan Customer Duplicate Hyva'!$A:$A,"NOT FOUND"),"")</f>
        <v/>
      </c>
      <c r="D471" s="20" t="s">
        <v>215</v>
      </c>
      <c r="E471" s="2"/>
      <c r="F471" s="2"/>
      <c r="G471" s="2"/>
      <c r="H471" s="2"/>
      <c r="I471" s="2"/>
      <c r="J471" s="2"/>
      <c r="K471" s="2"/>
      <c r="L471" s="8" t="s">
        <v>205</v>
      </c>
      <c r="M471" s="9">
        <v>4</v>
      </c>
      <c r="N471" s="2"/>
      <c r="O471" s="2"/>
      <c r="P471" s="2"/>
      <c r="Q471" s="2"/>
      <c r="R471" s="2" t="str">
        <f t="shared" si="62"/>
        <v>PAID</v>
      </c>
      <c r="S471" s="2"/>
      <c r="T471" s="2">
        <f t="shared" si="58"/>
        <v>0</v>
      </c>
      <c r="U471" s="2" t="str">
        <f t="shared" si="59"/>
        <v>OK</v>
      </c>
      <c r="V471" s="7">
        <f t="shared" si="60"/>
        <v>0</v>
      </c>
      <c r="W471" s="2" t="str">
        <f t="shared" si="61"/>
        <v>OK</v>
      </c>
      <c r="X471" s="2" t="s">
        <v>196</v>
      </c>
      <c r="Y471" s="2" t="s">
        <v>27</v>
      </c>
      <c r="Z471" s="2" t="s">
        <v>28</v>
      </c>
      <c r="AA471" t="s">
        <v>245</v>
      </c>
      <c r="AB471" t="s">
        <v>245</v>
      </c>
      <c r="AC471" t="s">
        <v>245</v>
      </c>
    </row>
    <row r="472" spans="1:29" x14ac:dyDescent="0.2">
      <c r="A472" t="str">
        <f t="shared" si="57"/>
        <v>TRIP-TR-471</v>
      </c>
      <c r="B472" s="3">
        <v>45979</v>
      </c>
      <c r="C472" t="str">
        <f>IF(X472="CUSTOMER DELIVERY",_xlfn.XLOOKUP(D472,'[1]Jan Customer Duplicate Hyva'!$B:$B,'[1]Jan Customer Duplicate Hyva'!$A:$A,"NOT FOUND"),"")</f>
        <v/>
      </c>
      <c r="D472" s="20" t="s">
        <v>215</v>
      </c>
      <c r="E472" s="2"/>
      <c r="F472" s="2"/>
      <c r="G472" s="2"/>
      <c r="H472" s="2"/>
      <c r="I472" s="2"/>
      <c r="J472" s="2"/>
      <c r="K472" s="2"/>
      <c r="L472" s="8" t="s">
        <v>205</v>
      </c>
      <c r="M472" s="9">
        <v>5</v>
      </c>
      <c r="N472" s="2"/>
      <c r="O472" s="2"/>
      <c r="P472" s="2"/>
      <c r="Q472" s="2"/>
      <c r="R472" s="2" t="str">
        <f t="shared" si="62"/>
        <v>PAID</v>
      </c>
      <c r="S472" s="2"/>
      <c r="T472" s="2">
        <f t="shared" si="58"/>
        <v>0</v>
      </c>
      <c r="U472" s="2" t="str">
        <f t="shared" si="59"/>
        <v>OK</v>
      </c>
      <c r="V472" s="7">
        <f t="shared" si="60"/>
        <v>0</v>
      </c>
      <c r="W472" s="2" t="str">
        <f t="shared" si="61"/>
        <v>OK</v>
      </c>
      <c r="X472" s="2" t="s">
        <v>196</v>
      </c>
      <c r="Y472" s="2" t="s">
        <v>27</v>
      </c>
      <c r="Z472" s="2" t="s">
        <v>28</v>
      </c>
      <c r="AA472" t="s">
        <v>245</v>
      </c>
      <c r="AB472" t="s">
        <v>245</v>
      </c>
      <c r="AC472" t="s">
        <v>245</v>
      </c>
    </row>
    <row r="473" spans="1:29" x14ac:dyDescent="0.2">
      <c r="A473" t="str">
        <f t="shared" si="57"/>
        <v>TRIP-TR-472</v>
      </c>
      <c r="B473" s="3">
        <v>45979</v>
      </c>
      <c r="C473" t="str">
        <f>IF(X473="CUSTOMER DELIVERY",_xlfn.XLOOKUP(D473,'[1]Jan Customer Duplicate Hyva'!$B:$B,'[1]Jan Customer Duplicate Hyva'!$A:$A,"NOT FOUND"),"")</f>
        <v/>
      </c>
      <c r="D473" s="20" t="s">
        <v>215</v>
      </c>
      <c r="E473" s="2"/>
      <c r="F473" s="2"/>
      <c r="G473" s="2"/>
      <c r="H473" s="2"/>
      <c r="I473" s="2"/>
      <c r="J473" s="2"/>
      <c r="K473" s="2"/>
      <c r="L473" s="8" t="s">
        <v>203</v>
      </c>
      <c r="M473" s="9">
        <v>7</v>
      </c>
      <c r="N473" s="2"/>
      <c r="O473" s="2"/>
      <c r="P473" s="2"/>
      <c r="Q473" s="2"/>
      <c r="R473" s="2" t="str">
        <f t="shared" si="62"/>
        <v>PAID</v>
      </c>
      <c r="S473" s="2"/>
      <c r="T473" s="2">
        <f t="shared" si="58"/>
        <v>0</v>
      </c>
      <c r="U473" s="2" t="str">
        <f t="shared" si="59"/>
        <v>OK</v>
      </c>
      <c r="V473" s="7">
        <f t="shared" si="60"/>
        <v>0</v>
      </c>
      <c r="W473" s="2" t="str">
        <f t="shared" si="61"/>
        <v>OK</v>
      </c>
      <c r="X473" s="2" t="s">
        <v>196</v>
      </c>
      <c r="Y473" s="2" t="s">
        <v>27</v>
      </c>
      <c r="Z473" s="2" t="s">
        <v>28</v>
      </c>
      <c r="AA473" t="s">
        <v>245</v>
      </c>
      <c r="AB473" t="s">
        <v>245</v>
      </c>
      <c r="AC473" t="s">
        <v>245</v>
      </c>
    </row>
    <row r="474" spans="1:29" x14ac:dyDescent="0.2">
      <c r="A474" t="str">
        <f t="shared" si="57"/>
        <v>TRIP-TR-473</v>
      </c>
      <c r="B474" s="3">
        <v>45979</v>
      </c>
      <c r="C474" t="str">
        <f>IF(X474="CUSTOMER DELIVERY",_xlfn.XLOOKUP(D474,'[1]Jan Customer Duplicate Hyva'!$B:$B,'[1]Jan Customer Duplicate Hyva'!$A:$A,"NOT FOUND"),"")</f>
        <v/>
      </c>
      <c r="D474" s="20" t="s">
        <v>215</v>
      </c>
      <c r="E474" s="2"/>
      <c r="F474" s="2"/>
      <c r="G474" s="2"/>
      <c r="H474" s="2"/>
      <c r="I474" s="2"/>
      <c r="J474" s="2"/>
      <c r="K474" s="2"/>
      <c r="L474" s="8" t="s">
        <v>206</v>
      </c>
      <c r="M474" s="9">
        <v>5</v>
      </c>
      <c r="N474" s="2"/>
      <c r="O474" s="2"/>
      <c r="P474" s="2"/>
      <c r="Q474" s="2"/>
      <c r="R474" s="2" t="str">
        <f t="shared" si="62"/>
        <v>PAID</v>
      </c>
      <c r="S474" s="2"/>
      <c r="T474" s="2">
        <f t="shared" si="58"/>
        <v>0</v>
      </c>
      <c r="U474" s="2" t="str">
        <f t="shared" si="59"/>
        <v>OK</v>
      </c>
      <c r="V474" s="7">
        <f t="shared" si="60"/>
        <v>0</v>
      </c>
      <c r="W474" s="2" t="str">
        <f t="shared" si="61"/>
        <v>OK</v>
      </c>
      <c r="X474" s="2" t="s">
        <v>196</v>
      </c>
      <c r="Y474" s="2" t="s">
        <v>27</v>
      </c>
      <c r="Z474" s="2" t="s">
        <v>28</v>
      </c>
      <c r="AA474" t="s">
        <v>245</v>
      </c>
      <c r="AB474" t="s">
        <v>245</v>
      </c>
      <c r="AC474" t="s">
        <v>245</v>
      </c>
    </row>
    <row r="475" spans="1:29" x14ac:dyDescent="0.2">
      <c r="A475" t="str">
        <f t="shared" si="57"/>
        <v>TRIP-TR-474</v>
      </c>
      <c r="B475" s="3">
        <v>45980</v>
      </c>
      <c r="C475" t="str">
        <f>IF(X475="CUSTOMER DELIVERY",_xlfn.XLOOKUP(D475,'[1]Jan Customer Duplicate Hyva'!$B:$B,'[1]Jan Customer Duplicate Hyva'!$A:$A,"NOT FOUND"),"")</f>
        <v/>
      </c>
      <c r="D475" s="20" t="s">
        <v>215</v>
      </c>
      <c r="E475" s="2"/>
      <c r="F475" s="2"/>
      <c r="G475" s="2"/>
      <c r="H475" s="2"/>
      <c r="I475" s="2"/>
      <c r="J475" s="2"/>
      <c r="K475" s="2"/>
      <c r="L475" s="8" t="s">
        <v>203</v>
      </c>
      <c r="M475" s="9">
        <v>2</v>
      </c>
      <c r="N475" s="2"/>
      <c r="O475" s="2"/>
      <c r="P475" s="2"/>
      <c r="Q475" s="2"/>
      <c r="R475" s="2" t="str">
        <f t="shared" si="62"/>
        <v>PAID</v>
      </c>
      <c r="S475" s="2"/>
      <c r="T475" s="2">
        <f t="shared" si="58"/>
        <v>0</v>
      </c>
      <c r="U475" s="2" t="str">
        <f t="shared" si="59"/>
        <v>OK</v>
      </c>
      <c r="V475" s="7">
        <f t="shared" si="60"/>
        <v>0</v>
      </c>
      <c r="W475" s="2" t="str">
        <f t="shared" si="61"/>
        <v>OK</v>
      </c>
      <c r="X475" s="2" t="s">
        <v>196</v>
      </c>
      <c r="Y475" s="2" t="s">
        <v>27</v>
      </c>
      <c r="Z475" s="2" t="s">
        <v>28</v>
      </c>
      <c r="AA475" t="s">
        <v>245</v>
      </c>
      <c r="AB475" t="s">
        <v>245</v>
      </c>
      <c r="AC475" t="s">
        <v>245</v>
      </c>
    </row>
    <row r="476" spans="1:29" x14ac:dyDescent="0.2">
      <c r="A476" t="str">
        <f t="shared" si="57"/>
        <v>TRIP-TR-475</v>
      </c>
      <c r="B476" s="3">
        <v>45980</v>
      </c>
      <c r="C476" t="str">
        <f>IF(X476="CUSTOMER DELIVERY",_xlfn.XLOOKUP(D476,'[1]Jan Customer Duplicate Hyva'!$B:$B,'[1]Jan Customer Duplicate Hyva'!$A:$A,"NOT FOUND"),"")</f>
        <v/>
      </c>
      <c r="D476" s="20" t="s">
        <v>215</v>
      </c>
      <c r="E476" s="2"/>
      <c r="F476" s="2"/>
      <c r="G476" s="2"/>
      <c r="H476" s="2"/>
      <c r="I476" s="2"/>
      <c r="J476" s="2"/>
      <c r="K476" s="2"/>
      <c r="L476" s="8" t="s">
        <v>206</v>
      </c>
      <c r="M476" s="9">
        <v>5</v>
      </c>
      <c r="N476" s="2"/>
      <c r="O476" s="2"/>
      <c r="P476" s="2"/>
      <c r="Q476" s="2"/>
      <c r="R476" s="2" t="str">
        <f t="shared" si="62"/>
        <v>PAID</v>
      </c>
      <c r="S476" s="2"/>
      <c r="T476" s="2">
        <f t="shared" si="58"/>
        <v>0</v>
      </c>
      <c r="U476" s="2" t="str">
        <f t="shared" si="59"/>
        <v>OK</v>
      </c>
      <c r="V476" s="7">
        <f t="shared" si="60"/>
        <v>0</v>
      </c>
      <c r="W476" s="2" t="str">
        <f t="shared" si="61"/>
        <v>OK</v>
      </c>
      <c r="X476" s="2" t="s">
        <v>196</v>
      </c>
      <c r="Y476" s="2" t="s">
        <v>27</v>
      </c>
      <c r="Z476" s="2" t="s">
        <v>28</v>
      </c>
      <c r="AA476" t="s">
        <v>245</v>
      </c>
      <c r="AB476" t="s">
        <v>245</v>
      </c>
      <c r="AC476" t="s">
        <v>245</v>
      </c>
    </row>
    <row r="477" spans="1:29" x14ac:dyDescent="0.2">
      <c r="A477" t="str">
        <f t="shared" si="57"/>
        <v>TRIP-TR-476</v>
      </c>
      <c r="B477" s="3">
        <v>45980</v>
      </c>
      <c r="C477" t="str">
        <f>IF(X477="CUSTOMER DELIVERY",_xlfn.XLOOKUP(D477,'[1]Jan Customer Duplicate Hyva'!$B:$B,'[1]Jan Customer Duplicate Hyva'!$A:$A,"NOT FOUND"),"")</f>
        <v/>
      </c>
      <c r="D477" s="20" t="s">
        <v>215</v>
      </c>
      <c r="E477" s="2"/>
      <c r="F477" s="2"/>
      <c r="G477" s="2"/>
      <c r="H477" s="2"/>
      <c r="I477" s="2"/>
      <c r="J477" s="2"/>
      <c r="K477" s="2"/>
      <c r="L477" s="8" t="s">
        <v>203</v>
      </c>
      <c r="M477" s="9">
        <v>2</v>
      </c>
      <c r="N477" s="2"/>
      <c r="O477" s="2"/>
      <c r="P477" s="2"/>
      <c r="Q477" s="2"/>
      <c r="R477" s="2" t="str">
        <f t="shared" si="62"/>
        <v>PAID</v>
      </c>
      <c r="S477" s="2"/>
      <c r="T477" s="2">
        <f t="shared" si="58"/>
        <v>0</v>
      </c>
      <c r="U477" s="2" t="str">
        <f t="shared" si="59"/>
        <v>OK</v>
      </c>
      <c r="V477" s="7">
        <f t="shared" si="60"/>
        <v>0</v>
      </c>
      <c r="W477" s="2" t="str">
        <f t="shared" si="61"/>
        <v>OK</v>
      </c>
      <c r="X477" s="2" t="s">
        <v>196</v>
      </c>
      <c r="Y477" s="2" t="s">
        <v>27</v>
      </c>
      <c r="Z477" s="2" t="s">
        <v>28</v>
      </c>
      <c r="AA477" t="s">
        <v>245</v>
      </c>
      <c r="AB477" t="s">
        <v>245</v>
      </c>
      <c r="AC477" t="s">
        <v>245</v>
      </c>
    </row>
    <row r="478" spans="1:29" x14ac:dyDescent="0.2">
      <c r="A478" t="str">
        <f t="shared" si="57"/>
        <v>TRIP-TR-477</v>
      </c>
      <c r="B478" s="3">
        <v>45981</v>
      </c>
      <c r="C478" t="str">
        <f>IF(X478="CUSTOMER DELIVERY",_xlfn.XLOOKUP(D478,'[1]Jan Customer Duplicate Hyva'!$B:$B,'[1]Jan Customer Duplicate Hyva'!$A:$A,"NOT FOUND"),"")</f>
        <v/>
      </c>
      <c r="D478" s="20" t="s">
        <v>215</v>
      </c>
      <c r="E478" s="2"/>
      <c r="F478" s="2"/>
      <c r="G478" s="2"/>
      <c r="H478" s="2"/>
      <c r="I478" s="2"/>
      <c r="J478" s="2"/>
      <c r="K478" s="2"/>
      <c r="L478" s="8" t="s">
        <v>201</v>
      </c>
      <c r="M478" s="9">
        <v>1</v>
      </c>
      <c r="N478" s="2"/>
      <c r="O478" s="2"/>
      <c r="P478" s="2"/>
      <c r="Q478" s="2"/>
      <c r="R478" s="2" t="str">
        <f t="shared" si="62"/>
        <v>PAID</v>
      </c>
      <c r="S478" s="2"/>
      <c r="T478" s="2">
        <f t="shared" si="58"/>
        <v>0</v>
      </c>
      <c r="U478" s="2" t="str">
        <f t="shared" si="59"/>
        <v>OK</v>
      </c>
      <c r="V478" s="7">
        <f t="shared" si="60"/>
        <v>0</v>
      </c>
      <c r="W478" s="2" t="str">
        <f t="shared" si="61"/>
        <v>OK</v>
      </c>
      <c r="X478" s="2" t="s">
        <v>196</v>
      </c>
      <c r="Y478" s="2" t="s">
        <v>27</v>
      </c>
      <c r="Z478" s="2" t="s">
        <v>28</v>
      </c>
      <c r="AA478" t="s">
        <v>245</v>
      </c>
      <c r="AB478" t="s">
        <v>245</v>
      </c>
      <c r="AC478" t="s">
        <v>245</v>
      </c>
    </row>
    <row r="479" spans="1:29" x14ac:dyDescent="0.2">
      <c r="A479" t="str">
        <f t="shared" si="57"/>
        <v>TRIP-TR-478</v>
      </c>
      <c r="B479" s="3">
        <v>45981</v>
      </c>
      <c r="C479" t="str">
        <f>IF(X479="CUSTOMER DELIVERY",_xlfn.XLOOKUP(D479,'[1]Jan Customer Duplicate Hyva'!$B:$B,'[1]Jan Customer Duplicate Hyva'!$A:$A,"NOT FOUND"),"")</f>
        <v/>
      </c>
      <c r="D479" s="20" t="s">
        <v>215</v>
      </c>
      <c r="E479" s="2"/>
      <c r="F479" s="2"/>
      <c r="G479" s="2"/>
      <c r="H479" s="2"/>
      <c r="I479" s="2"/>
      <c r="J479" s="2"/>
      <c r="K479" s="2"/>
      <c r="L479" s="8" t="s">
        <v>201</v>
      </c>
      <c r="M479" s="9">
        <v>3</v>
      </c>
      <c r="N479" s="2"/>
      <c r="O479" s="2"/>
      <c r="P479" s="2"/>
      <c r="Q479" s="2"/>
      <c r="R479" s="2" t="str">
        <f t="shared" si="62"/>
        <v>PAID</v>
      </c>
      <c r="S479" s="2"/>
      <c r="T479" s="2">
        <f t="shared" si="58"/>
        <v>0</v>
      </c>
      <c r="U479" s="2" t="str">
        <f t="shared" si="59"/>
        <v>OK</v>
      </c>
      <c r="V479" s="7">
        <f t="shared" si="60"/>
        <v>0</v>
      </c>
      <c r="W479" s="2" t="str">
        <f t="shared" si="61"/>
        <v>OK</v>
      </c>
      <c r="X479" s="2" t="s">
        <v>196</v>
      </c>
      <c r="Y479" s="2" t="s">
        <v>27</v>
      </c>
      <c r="Z479" s="2" t="s">
        <v>28</v>
      </c>
      <c r="AA479" t="s">
        <v>245</v>
      </c>
      <c r="AB479" t="s">
        <v>245</v>
      </c>
      <c r="AC479" t="s">
        <v>245</v>
      </c>
    </row>
    <row r="480" spans="1:29" x14ac:dyDescent="0.2">
      <c r="A480" t="str">
        <f t="shared" si="57"/>
        <v>TRIP-TR-479</v>
      </c>
      <c r="B480" s="3">
        <v>45982</v>
      </c>
      <c r="C480" t="str">
        <f>IF(X480="CUSTOMER DELIVERY",_xlfn.XLOOKUP(D480,'[1]Jan Customer Duplicate Hyva'!$B:$B,'[1]Jan Customer Duplicate Hyva'!$A:$A,"NOT FOUND"),"")</f>
        <v/>
      </c>
      <c r="D480" s="20" t="s">
        <v>215</v>
      </c>
      <c r="E480" s="2"/>
      <c r="F480" s="2"/>
      <c r="G480" s="2"/>
      <c r="H480" s="2"/>
      <c r="I480" s="2"/>
      <c r="J480" s="2"/>
      <c r="K480" s="2"/>
      <c r="L480" s="8" t="s">
        <v>201</v>
      </c>
      <c r="M480" s="9">
        <v>1</v>
      </c>
      <c r="N480" s="2"/>
      <c r="O480" s="2"/>
      <c r="P480" s="2"/>
      <c r="Q480" s="2"/>
      <c r="R480" s="2" t="str">
        <f t="shared" si="62"/>
        <v>PAID</v>
      </c>
      <c r="S480" s="2"/>
      <c r="T480" s="2">
        <f t="shared" si="58"/>
        <v>0</v>
      </c>
      <c r="U480" s="2" t="str">
        <f t="shared" si="59"/>
        <v>OK</v>
      </c>
      <c r="V480" s="7">
        <f t="shared" si="60"/>
        <v>0</v>
      </c>
      <c r="W480" s="2" t="str">
        <f t="shared" si="61"/>
        <v>OK</v>
      </c>
      <c r="X480" s="2" t="s">
        <v>196</v>
      </c>
      <c r="Y480" s="2" t="s">
        <v>27</v>
      </c>
      <c r="Z480" s="2" t="s">
        <v>28</v>
      </c>
      <c r="AA480" t="s">
        <v>245</v>
      </c>
      <c r="AB480" t="s">
        <v>245</v>
      </c>
      <c r="AC480" t="s">
        <v>245</v>
      </c>
    </row>
    <row r="481" spans="1:29" x14ac:dyDescent="0.2">
      <c r="A481" t="str">
        <f t="shared" si="57"/>
        <v>TRIP-TR-480</v>
      </c>
      <c r="B481" s="3">
        <v>45982</v>
      </c>
      <c r="C481" t="str">
        <f>IF(X481="CUSTOMER DELIVERY",_xlfn.XLOOKUP(D481,'[1]Jan Customer Duplicate Hyva'!$B:$B,'[1]Jan Customer Duplicate Hyva'!$A:$A,"NOT FOUND"),"")</f>
        <v/>
      </c>
      <c r="D481" s="20" t="s">
        <v>215</v>
      </c>
      <c r="E481" s="2"/>
      <c r="F481" s="2"/>
      <c r="G481" s="2"/>
      <c r="H481" s="2"/>
      <c r="I481" s="2"/>
      <c r="J481" s="2"/>
      <c r="K481" s="2"/>
      <c r="L481" s="8" t="s">
        <v>202</v>
      </c>
      <c r="M481" s="9">
        <v>6</v>
      </c>
      <c r="N481" s="2"/>
      <c r="O481" s="2"/>
      <c r="P481" s="2"/>
      <c r="Q481" s="2"/>
      <c r="R481" s="2" t="str">
        <f t="shared" si="62"/>
        <v>PAID</v>
      </c>
      <c r="S481" s="2"/>
      <c r="T481" s="2">
        <f t="shared" si="58"/>
        <v>0</v>
      </c>
      <c r="U481" s="2" t="str">
        <f t="shared" si="59"/>
        <v>OK</v>
      </c>
      <c r="V481" s="7">
        <f t="shared" si="60"/>
        <v>0</v>
      </c>
      <c r="W481" s="2" t="str">
        <f t="shared" si="61"/>
        <v>OK</v>
      </c>
      <c r="X481" s="2" t="s">
        <v>196</v>
      </c>
      <c r="Y481" s="2" t="s">
        <v>27</v>
      </c>
      <c r="Z481" s="2" t="s">
        <v>28</v>
      </c>
      <c r="AA481" t="s">
        <v>245</v>
      </c>
      <c r="AB481" t="s">
        <v>245</v>
      </c>
      <c r="AC481" t="s">
        <v>245</v>
      </c>
    </row>
    <row r="482" spans="1:29" x14ac:dyDescent="0.2">
      <c r="A482" t="str">
        <f t="shared" si="57"/>
        <v>TRIP-TR-481</v>
      </c>
      <c r="B482" s="3">
        <v>45982</v>
      </c>
      <c r="C482" t="str">
        <f>IF(X482="CUSTOMER DELIVERY",_xlfn.XLOOKUP(D482,'[1]Jan Customer Duplicate Hyva'!$B:$B,'[1]Jan Customer Duplicate Hyva'!$A:$A,"NOT FOUND"),"")</f>
        <v/>
      </c>
      <c r="D482" s="20" t="s">
        <v>215</v>
      </c>
      <c r="E482" s="2"/>
      <c r="F482" s="2"/>
      <c r="G482" s="2"/>
      <c r="H482" s="2"/>
      <c r="I482" s="2"/>
      <c r="J482" s="2"/>
      <c r="K482" s="2"/>
      <c r="L482" s="8" t="s">
        <v>203</v>
      </c>
      <c r="M482" s="9">
        <v>7</v>
      </c>
      <c r="N482" s="2"/>
      <c r="O482" s="2"/>
      <c r="P482" s="2"/>
      <c r="Q482" s="2"/>
      <c r="R482" s="2" t="str">
        <f t="shared" si="62"/>
        <v>PAID</v>
      </c>
      <c r="S482" s="2"/>
      <c r="T482" s="2">
        <f t="shared" si="58"/>
        <v>0</v>
      </c>
      <c r="U482" s="2" t="str">
        <f t="shared" si="59"/>
        <v>OK</v>
      </c>
      <c r="V482" s="7">
        <f t="shared" si="60"/>
        <v>0</v>
      </c>
      <c r="W482" s="2" t="str">
        <f t="shared" si="61"/>
        <v>OK</v>
      </c>
      <c r="X482" s="2" t="s">
        <v>196</v>
      </c>
      <c r="Y482" s="2" t="s">
        <v>27</v>
      </c>
      <c r="Z482" s="2" t="s">
        <v>28</v>
      </c>
      <c r="AA482" t="s">
        <v>245</v>
      </c>
      <c r="AB482" t="s">
        <v>245</v>
      </c>
      <c r="AC482" t="s">
        <v>245</v>
      </c>
    </row>
    <row r="483" spans="1:29" x14ac:dyDescent="0.2">
      <c r="A483" t="str">
        <f t="shared" si="57"/>
        <v>TRIP-TR-482</v>
      </c>
      <c r="B483" s="3">
        <v>45982</v>
      </c>
      <c r="C483" t="str">
        <f>IF(X483="CUSTOMER DELIVERY",_xlfn.XLOOKUP(D483,'[1]Jan Customer Duplicate Hyva'!$B:$B,'[1]Jan Customer Duplicate Hyva'!$A:$A,"NOT FOUND"),"")</f>
        <v/>
      </c>
      <c r="D483" s="20" t="s">
        <v>215</v>
      </c>
      <c r="E483" s="2"/>
      <c r="F483" s="2"/>
      <c r="G483" s="2"/>
      <c r="H483" s="2"/>
      <c r="I483" s="2"/>
      <c r="J483" s="2"/>
      <c r="K483" s="2"/>
      <c r="L483" s="8" t="s">
        <v>202</v>
      </c>
      <c r="M483" s="9">
        <v>8</v>
      </c>
      <c r="N483" s="2"/>
      <c r="O483" s="2"/>
      <c r="P483" s="2"/>
      <c r="Q483" s="2"/>
      <c r="R483" s="2" t="str">
        <f t="shared" si="62"/>
        <v>PAID</v>
      </c>
      <c r="S483" s="2"/>
      <c r="T483" s="2">
        <f t="shared" si="58"/>
        <v>0</v>
      </c>
      <c r="U483" s="2" t="str">
        <f t="shared" si="59"/>
        <v>OK</v>
      </c>
      <c r="V483" s="7">
        <f t="shared" si="60"/>
        <v>0</v>
      </c>
      <c r="W483" s="2" t="str">
        <f t="shared" si="61"/>
        <v>OK</v>
      </c>
      <c r="X483" s="2" t="s">
        <v>196</v>
      </c>
      <c r="Y483" s="2" t="s">
        <v>27</v>
      </c>
      <c r="Z483" s="2" t="s">
        <v>28</v>
      </c>
      <c r="AA483" t="s">
        <v>245</v>
      </c>
      <c r="AB483" t="s">
        <v>245</v>
      </c>
      <c r="AC483" t="s">
        <v>245</v>
      </c>
    </row>
    <row r="484" spans="1:29" x14ac:dyDescent="0.2">
      <c r="A484" t="str">
        <f t="shared" si="57"/>
        <v>TRIP-TR-483</v>
      </c>
      <c r="B484" s="3">
        <v>45984</v>
      </c>
      <c r="C484" t="str">
        <f>IF(X484="CUSTOMER DELIVERY",_xlfn.XLOOKUP(D484,'[1]Jan Customer Duplicate Hyva'!$B:$B,'[1]Jan Customer Duplicate Hyva'!$A:$A,"NOT FOUND"),"")</f>
        <v/>
      </c>
      <c r="D484" s="20" t="s">
        <v>215</v>
      </c>
      <c r="E484" s="2"/>
      <c r="F484" s="2"/>
      <c r="G484" s="2"/>
      <c r="H484" s="2"/>
      <c r="I484" s="2"/>
      <c r="J484" s="2"/>
      <c r="K484" s="2"/>
      <c r="L484" s="8" t="s">
        <v>203</v>
      </c>
      <c r="M484" s="9">
        <v>8</v>
      </c>
      <c r="N484" s="2"/>
      <c r="O484" s="2"/>
      <c r="P484" s="2"/>
      <c r="Q484" s="2"/>
      <c r="R484" s="2" t="str">
        <f t="shared" si="62"/>
        <v>PAID</v>
      </c>
      <c r="S484" s="2"/>
      <c r="T484" s="2">
        <f t="shared" si="58"/>
        <v>0</v>
      </c>
      <c r="U484" s="2" t="str">
        <f t="shared" si="59"/>
        <v>OK</v>
      </c>
      <c r="V484" s="7">
        <f t="shared" si="60"/>
        <v>0</v>
      </c>
      <c r="W484" s="2" t="str">
        <f t="shared" si="61"/>
        <v>OK</v>
      </c>
      <c r="X484" s="2" t="s">
        <v>196</v>
      </c>
      <c r="Y484" s="2" t="s">
        <v>27</v>
      </c>
      <c r="Z484" s="2" t="s">
        <v>28</v>
      </c>
      <c r="AA484" t="s">
        <v>245</v>
      </c>
      <c r="AB484" t="s">
        <v>245</v>
      </c>
      <c r="AC484" t="s">
        <v>245</v>
      </c>
    </row>
    <row r="485" spans="1:29" x14ac:dyDescent="0.2">
      <c r="A485" t="str">
        <f t="shared" si="57"/>
        <v>TRIP-TR-484</v>
      </c>
      <c r="B485" s="3">
        <v>45984</v>
      </c>
      <c r="C485" t="str">
        <f>IF(X485="CUSTOMER DELIVERY",_xlfn.XLOOKUP(D485,'[1]Jan Customer Duplicate Hyva'!$B:$B,'[1]Jan Customer Duplicate Hyva'!$A:$A,"NOT FOUND"),"")</f>
        <v/>
      </c>
      <c r="D485" s="20" t="s">
        <v>215</v>
      </c>
      <c r="E485" s="2"/>
      <c r="F485" s="2"/>
      <c r="G485" s="2"/>
      <c r="H485" s="2"/>
      <c r="I485" s="2"/>
      <c r="J485" s="2"/>
      <c r="K485" s="2"/>
      <c r="L485" s="8" t="s">
        <v>202</v>
      </c>
      <c r="M485" s="9">
        <v>12</v>
      </c>
      <c r="N485" s="2"/>
      <c r="O485" s="2"/>
      <c r="P485" s="2"/>
      <c r="Q485" s="2"/>
      <c r="R485" s="2" t="str">
        <f t="shared" si="62"/>
        <v>PAID</v>
      </c>
      <c r="S485" s="2"/>
      <c r="T485" s="2">
        <f t="shared" si="58"/>
        <v>0</v>
      </c>
      <c r="U485" s="2" t="str">
        <f t="shared" si="59"/>
        <v>OK</v>
      </c>
      <c r="V485" s="7">
        <f t="shared" si="60"/>
        <v>0</v>
      </c>
      <c r="W485" s="2" t="str">
        <f t="shared" si="61"/>
        <v>OK</v>
      </c>
      <c r="X485" s="2" t="s">
        <v>196</v>
      </c>
      <c r="Y485" s="2" t="s">
        <v>27</v>
      </c>
      <c r="Z485" s="2" t="s">
        <v>28</v>
      </c>
      <c r="AA485" t="s">
        <v>245</v>
      </c>
      <c r="AB485" t="s">
        <v>245</v>
      </c>
      <c r="AC485" t="s">
        <v>245</v>
      </c>
    </row>
    <row r="486" spans="1:29" x14ac:dyDescent="0.2">
      <c r="A486" t="str">
        <f t="shared" si="57"/>
        <v>TRIP-TR-485</v>
      </c>
      <c r="B486" s="3">
        <v>45984</v>
      </c>
      <c r="C486" t="str">
        <f>IF(X486="CUSTOMER DELIVERY",_xlfn.XLOOKUP(D486,'[1]Jan Customer Duplicate Hyva'!$B:$B,'[1]Jan Customer Duplicate Hyva'!$A:$A,"NOT FOUND"),"")</f>
        <v/>
      </c>
      <c r="D486" s="20" t="s">
        <v>215</v>
      </c>
      <c r="E486" s="2"/>
      <c r="F486" s="2"/>
      <c r="G486" s="2"/>
      <c r="H486" s="2"/>
      <c r="I486" s="2"/>
      <c r="J486" s="2"/>
      <c r="K486" s="2"/>
      <c r="L486" s="8" t="s">
        <v>203</v>
      </c>
      <c r="M486" s="9">
        <v>8</v>
      </c>
      <c r="N486" s="2"/>
      <c r="O486" s="2"/>
      <c r="P486" s="2"/>
      <c r="Q486" s="2"/>
      <c r="R486" s="2" t="str">
        <f t="shared" si="62"/>
        <v>PAID</v>
      </c>
      <c r="S486" s="2"/>
      <c r="T486" s="2">
        <f t="shared" si="58"/>
        <v>0</v>
      </c>
      <c r="U486" s="2" t="str">
        <f t="shared" si="59"/>
        <v>OK</v>
      </c>
      <c r="V486" s="7">
        <f t="shared" si="60"/>
        <v>0</v>
      </c>
      <c r="W486" s="2" t="str">
        <f t="shared" si="61"/>
        <v>OK</v>
      </c>
      <c r="X486" s="2" t="s">
        <v>196</v>
      </c>
      <c r="Y486" s="2" t="s">
        <v>27</v>
      </c>
      <c r="Z486" s="2" t="s">
        <v>28</v>
      </c>
      <c r="AA486" t="s">
        <v>245</v>
      </c>
      <c r="AB486" t="s">
        <v>245</v>
      </c>
      <c r="AC486" t="s">
        <v>245</v>
      </c>
    </row>
    <row r="487" spans="1:29" x14ac:dyDescent="0.2">
      <c r="A487" t="str">
        <f t="shared" si="57"/>
        <v>TRIP-TR-486</v>
      </c>
      <c r="B487" s="3">
        <v>45984</v>
      </c>
      <c r="C487" t="str">
        <f>IF(X487="CUSTOMER DELIVERY",_xlfn.XLOOKUP(D487,'[1]Jan Customer Duplicate Hyva'!$B:$B,'[1]Jan Customer Duplicate Hyva'!$A:$A,"NOT FOUND"),"")</f>
        <v/>
      </c>
      <c r="D487" s="20" t="s">
        <v>215</v>
      </c>
      <c r="E487" s="2"/>
      <c r="F487" s="2"/>
      <c r="G487" s="2"/>
      <c r="H487" s="2"/>
      <c r="I487" s="2"/>
      <c r="J487" s="2"/>
      <c r="K487" s="2"/>
      <c r="L487" s="8" t="s">
        <v>202</v>
      </c>
      <c r="M487" s="9">
        <v>8</v>
      </c>
      <c r="N487" s="2"/>
      <c r="O487" s="2"/>
      <c r="P487" s="2"/>
      <c r="Q487" s="2"/>
      <c r="R487" s="2" t="str">
        <f t="shared" si="62"/>
        <v>PAID</v>
      </c>
      <c r="S487" s="2"/>
      <c r="T487" s="2">
        <f t="shared" si="58"/>
        <v>0</v>
      </c>
      <c r="U487" s="2" t="str">
        <f t="shared" si="59"/>
        <v>OK</v>
      </c>
      <c r="V487" s="7">
        <f t="shared" si="60"/>
        <v>0</v>
      </c>
      <c r="W487" s="2" t="str">
        <f t="shared" si="61"/>
        <v>OK</v>
      </c>
      <c r="X487" s="2" t="s">
        <v>196</v>
      </c>
      <c r="Y487" s="2" t="s">
        <v>27</v>
      </c>
      <c r="Z487" s="2" t="s">
        <v>28</v>
      </c>
      <c r="AA487" t="s">
        <v>245</v>
      </c>
      <c r="AB487" t="s">
        <v>245</v>
      </c>
      <c r="AC487" t="s">
        <v>245</v>
      </c>
    </row>
    <row r="488" spans="1:29" x14ac:dyDescent="0.2">
      <c r="A488" t="str">
        <f t="shared" si="57"/>
        <v>TRIP-TR-487</v>
      </c>
      <c r="B488" s="3">
        <v>45985</v>
      </c>
      <c r="C488" t="str">
        <f>IF(X488="CUSTOMER DELIVERY",_xlfn.XLOOKUP(D488,'[1]Jan Customer Duplicate Hyva'!$B:$B,'[1]Jan Customer Duplicate Hyva'!$A:$A,"NOT FOUND"),"")</f>
        <v/>
      </c>
      <c r="D488" s="20" t="s">
        <v>215</v>
      </c>
      <c r="E488" s="2"/>
      <c r="F488" s="2"/>
      <c r="G488" s="2"/>
      <c r="H488" s="2"/>
      <c r="I488" s="2"/>
      <c r="J488" s="2"/>
      <c r="K488" s="2"/>
      <c r="L488" s="8" t="s">
        <v>203</v>
      </c>
      <c r="M488" s="9">
        <v>8</v>
      </c>
      <c r="N488" s="2"/>
      <c r="O488" s="2"/>
      <c r="P488" s="2"/>
      <c r="Q488" s="2"/>
      <c r="R488" s="2" t="str">
        <f t="shared" si="62"/>
        <v>PAID</v>
      </c>
      <c r="S488" s="2"/>
      <c r="T488" s="2">
        <f t="shared" si="58"/>
        <v>0</v>
      </c>
      <c r="U488" s="2" t="str">
        <f t="shared" si="59"/>
        <v>OK</v>
      </c>
      <c r="V488" s="7">
        <f t="shared" si="60"/>
        <v>0</v>
      </c>
      <c r="W488" s="2" t="str">
        <f t="shared" si="61"/>
        <v>OK</v>
      </c>
      <c r="X488" s="2" t="s">
        <v>196</v>
      </c>
      <c r="Y488" s="2" t="s">
        <v>27</v>
      </c>
      <c r="Z488" s="2" t="s">
        <v>28</v>
      </c>
      <c r="AA488" t="s">
        <v>245</v>
      </c>
      <c r="AB488" t="s">
        <v>245</v>
      </c>
      <c r="AC488" t="s">
        <v>245</v>
      </c>
    </row>
    <row r="489" spans="1:29" x14ac:dyDescent="0.2">
      <c r="A489" t="str">
        <f t="shared" si="57"/>
        <v>TRIP-TR-488</v>
      </c>
      <c r="B489" s="3">
        <v>45985</v>
      </c>
      <c r="C489" t="str">
        <f>IF(X489="CUSTOMER DELIVERY",_xlfn.XLOOKUP(D489,'[1]Jan Customer Duplicate Hyva'!$B:$B,'[1]Jan Customer Duplicate Hyva'!$A:$A,"NOT FOUND"),"")</f>
        <v/>
      </c>
      <c r="D489" s="20" t="s">
        <v>215</v>
      </c>
      <c r="E489" s="2"/>
      <c r="F489" s="2"/>
      <c r="G489" s="2"/>
      <c r="H489" s="2"/>
      <c r="I489" s="2"/>
      <c r="J489" s="2"/>
      <c r="K489" s="2"/>
      <c r="L489" s="8" t="s">
        <v>201</v>
      </c>
      <c r="M489" s="9">
        <v>1</v>
      </c>
      <c r="N489" s="2"/>
      <c r="O489" s="2"/>
      <c r="P489" s="2"/>
      <c r="Q489" s="2"/>
      <c r="R489" s="2" t="str">
        <f t="shared" si="62"/>
        <v>PAID</v>
      </c>
      <c r="S489" s="2"/>
      <c r="T489" s="2">
        <f t="shared" si="58"/>
        <v>0</v>
      </c>
      <c r="U489" s="2" t="str">
        <f t="shared" si="59"/>
        <v>OK</v>
      </c>
      <c r="V489" s="7">
        <f t="shared" si="60"/>
        <v>0</v>
      </c>
      <c r="W489" s="2" t="str">
        <f t="shared" si="61"/>
        <v>OK</v>
      </c>
      <c r="X489" s="2" t="s">
        <v>196</v>
      </c>
      <c r="Y489" s="2" t="s">
        <v>27</v>
      </c>
      <c r="Z489" s="2" t="s">
        <v>28</v>
      </c>
      <c r="AA489" t="s">
        <v>245</v>
      </c>
      <c r="AB489" t="s">
        <v>245</v>
      </c>
      <c r="AC489" t="s">
        <v>245</v>
      </c>
    </row>
    <row r="490" spans="1:29" x14ac:dyDescent="0.2">
      <c r="A490" t="str">
        <f t="shared" si="57"/>
        <v>TRIP-TR-489</v>
      </c>
      <c r="B490" s="3">
        <v>45985</v>
      </c>
      <c r="C490" t="str">
        <f>IF(X490="CUSTOMER DELIVERY",_xlfn.XLOOKUP(D490,'[1]Jan Customer Duplicate Hyva'!$B:$B,'[1]Jan Customer Duplicate Hyva'!$A:$A,"NOT FOUND"),"")</f>
        <v/>
      </c>
      <c r="D490" s="20" t="s">
        <v>215</v>
      </c>
      <c r="E490" s="2"/>
      <c r="F490" s="2"/>
      <c r="G490" s="2"/>
      <c r="H490" s="2"/>
      <c r="I490" s="2"/>
      <c r="J490" s="2"/>
      <c r="K490" s="2"/>
      <c r="L490" s="8" t="s">
        <v>202</v>
      </c>
      <c r="M490" s="9">
        <v>6</v>
      </c>
      <c r="N490" s="2"/>
      <c r="O490" s="2"/>
      <c r="P490" s="2"/>
      <c r="Q490" s="2"/>
      <c r="R490" s="2" t="str">
        <f t="shared" si="62"/>
        <v>PAID</v>
      </c>
      <c r="S490" s="2"/>
      <c r="T490" s="2">
        <f t="shared" si="58"/>
        <v>0</v>
      </c>
      <c r="U490" s="2" t="str">
        <f t="shared" si="59"/>
        <v>OK</v>
      </c>
      <c r="V490" s="7">
        <f t="shared" si="60"/>
        <v>0</v>
      </c>
      <c r="W490" s="2" t="str">
        <f t="shared" si="61"/>
        <v>OK</v>
      </c>
      <c r="X490" s="2" t="s">
        <v>196</v>
      </c>
      <c r="Y490" s="2" t="s">
        <v>27</v>
      </c>
      <c r="Z490" s="2" t="s">
        <v>28</v>
      </c>
      <c r="AA490" t="s">
        <v>245</v>
      </c>
      <c r="AB490" t="s">
        <v>245</v>
      </c>
      <c r="AC490" t="s">
        <v>245</v>
      </c>
    </row>
    <row r="491" spans="1:29" x14ac:dyDescent="0.2">
      <c r="A491" t="str">
        <f t="shared" si="57"/>
        <v>TRIP-TR-490</v>
      </c>
      <c r="B491" s="3">
        <v>45985</v>
      </c>
      <c r="C491" t="str">
        <f>IF(X491="CUSTOMER DELIVERY",_xlfn.XLOOKUP(D491,'[1]Jan Customer Duplicate Hyva'!$B:$B,'[1]Jan Customer Duplicate Hyva'!$A:$A,"NOT FOUND"),"")</f>
        <v/>
      </c>
      <c r="D491" s="20" t="s">
        <v>215</v>
      </c>
      <c r="E491" s="2"/>
      <c r="F491" s="2"/>
      <c r="G491" s="2"/>
      <c r="H491" s="2"/>
      <c r="I491" s="2"/>
      <c r="J491" s="2"/>
      <c r="K491" s="2"/>
      <c r="L491" s="8" t="s">
        <v>203</v>
      </c>
      <c r="M491" s="9">
        <v>7</v>
      </c>
      <c r="N491" s="2"/>
      <c r="O491" s="2"/>
      <c r="P491" s="2"/>
      <c r="Q491" s="2"/>
      <c r="R491" s="2" t="str">
        <f t="shared" si="62"/>
        <v>PAID</v>
      </c>
      <c r="S491" s="2"/>
      <c r="T491" s="2">
        <f t="shared" si="58"/>
        <v>0</v>
      </c>
      <c r="U491" s="2" t="str">
        <f t="shared" si="59"/>
        <v>OK</v>
      </c>
      <c r="V491" s="7">
        <f t="shared" si="60"/>
        <v>0</v>
      </c>
      <c r="W491" s="2" t="str">
        <f t="shared" si="61"/>
        <v>OK</v>
      </c>
      <c r="X491" s="2" t="s">
        <v>196</v>
      </c>
      <c r="Y491" s="2" t="s">
        <v>27</v>
      </c>
      <c r="Z491" s="2" t="s">
        <v>28</v>
      </c>
      <c r="AA491" t="s">
        <v>245</v>
      </c>
      <c r="AB491" t="s">
        <v>245</v>
      </c>
      <c r="AC491" t="s">
        <v>245</v>
      </c>
    </row>
    <row r="492" spans="1:29" x14ac:dyDescent="0.2">
      <c r="A492" t="str">
        <f t="shared" si="57"/>
        <v>TRIP-TR-491</v>
      </c>
      <c r="B492" s="3">
        <v>45985</v>
      </c>
      <c r="C492" t="str">
        <f>IF(X492="CUSTOMER DELIVERY",_xlfn.XLOOKUP(D492,'[1]Jan Customer Duplicate Hyva'!$B:$B,'[1]Jan Customer Duplicate Hyva'!$A:$A,"NOT FOUND"),"")</f>
        <v/>
      </c>
      <c r="D492" s="20" t="s">
        <v>215</v>
      </c>
      <c r="E492" s="2"/>
      <c r="F492" s="2"/>
      <c r="G492" s="2"/>
      <c r="H492" s="2"/>
      <c r="I492" s="2"/>
      <c r="J492" s="2"/>
      <c r="K492" s="2"/>
      <c r="L492" s="8" t="s">
        <v>207</v>
      </c>
      <c r="M492" s="9">
        <v>5</v>
      </c>
      <c r="N492" s="2"/>
      <c r="O492" s="2"/>
      <c r="P492" s="2"/>
      <c r="Q492" s="2"/>
      <c r="R492" s="2" t="str">
        <f t="shared" si="62"/>
        <v>PAID</v>
      </c>
      <c r="S492" s="2"/>
      <c r="T492" s="2">
        <f t="shared" si="58"/>
        <v>0</v>
      </c>
      <c r="U492" s="2" t="str">
        <f t="shared" si="59"/>
        <v>OK</v>
      </c>
      <c r="V492" s="7">
        <f t="shared" si="60"/>
        <v>0</v>
      </c>
      <c r="W492" s="2" t="str">
        <f t="shared" si="61"/>
        <v>OK</v>
      </c>
      <c r="X492" s="2" t="s">
        <v>196</v>
      </c>
      <c r="Y492" s="2" t="s">
        <v>27</v>
      </c>
      <c r="Z492" s="2" t="s">
        <v>28</v>
      </c>
      <c r="AA492" t="s">
        <v>245</v>
      </c>
      <c r="AB492" t="s">
        <v>245</v>
      </c>
      <c r="AC492" t="s">
        <v>245</v>
      </c>
    </row>
    <row r="493" spans="1:29" x14ac:dyDescent="0.2">
      <c r="A493" t="str">
        <f t="shared" si="57"/>
        <v>TRIP-TR-492</v>
      </c>
      <c r="B493" s="3">
        <v>45986</v>
      </c>
      <c r="C493" t="str">
        <f>IF(X493="CUSTOMER DELIVERY",_xlfn.XLOOKUP(D493,'[1]Jan Customer Duplicate Hyva'!$B:$B,'[1]Jan Customer Duplicate Hyva'!$A:$A,"NOT FOUND"),"")</f>
        <v/>
      </c>
      <c r="D493" s="20" t="s">
        <v>215</v>
      </c>
      <c r="E493" s="2"/>
      <c r="F493" s="2"/>
      <c r="G493" s="2"/>
      <c r="H493" s="2"/>
      <c r="I493" s="2"/>
      <c r="J493" s="2"/>
      <c r="K493" s="2"/>
      <c r="L493" s="8" t="s">
        <v>203</v>
      </c>
      <c r="M493" s="9">
        <v>6</v>
      </c>
      <c r="N493" s="2"/>
      <c r="O493" s="2"/>
      <c r="P493" s="2"/>
      <c r="Q493" s="2"/>
      <c r="R493" s="2" t="str">
        <f t="shared" si="62"/>
        <v>PAID</v>
      </c>
      <c r="S493" s="2"/>
      <c r="T493" s="2">
        <f t="shared" si="58"/>
        <v>0</v>
      </c>
      <c r="U493" s="2" t="str">
        <f t="shared" si="59"/>
        <v>OK</v>
      </c>
      <c r="V493" s="7">
        <f t="shared" si="60"/>
        <v>0</v>
      </c>
      <c r="W493" s="2" t="str">
        <f t="shared" si="61"/>
        <v>OK</v>
      </c>
      <c r="X493" s="2" t="s">
        <v>196</v>
      </c>
      <c r="Y493" s="2" t="s">
        <v>27</v>
      </c>
      <c r="Z493" s="2" t="s">
        <v>28</v>
      </c>
      <c r="AA493" t="s">
        <v>245</v>
      </c>
      <c r="AB493" t="s">
        <v>245</v>
      </c>
      <c r="AC493" t="s">
        <v>245</v>
      </c>
    </row>
    <row r="494" spans="1:29" x14ac:dyDescent="0.2">
      <c r="A494" t="str">
        <f t="shared" si="57"/>
        <v>TRIP-TR-493</v>
      </c>
      <c r="B494" s="3">
        <v>45986</v>
      </c>
      <c r="C494" t="str">
        <f>IF(X494="CUSTOMER DELIVERY",_xlfn.XLOOKUP(D494,'[1]Jan Customer Duplicate Hyva'!$B:$B,'[1]Jan Customer Duplicate Hyva'!$A:$A,"NOT FOUND"),"")</f>
        <v/>
      </c>
      <c r="D494" s="20" t="s">
        <v>215</v>
      </c>
      <c r="E494" s="2"/>
      <c r="F494" s="2"/>
      <c r="G494" s="2"/>
      <c r="H494" s="2"/>
      <c r="I494" s="2"/>
      <c r="J494" s="2"/>
      <c r="K494" s="2"/>
      <c r="L494" s="8" t="s">
        <v>201</v>
      </c>
      <c r="M494" s="9">
        <v>1</v>
      </c>
      <c r="N494" s="2"/>
      <c r="O494" s="2"/>
      <c r="P494" s="2"/>
      <c r="Q494" s="2"/>
      <c r="R494" s="2" t="str">
        <f t="shared" si="62"/>
        <v>PAID</v>
      </c>
      <c r="S494" s="2"/>
      <c r="T494" s="2">
        <f t="shared" si="58"/>
        <v>0</v>
      </c>
      <c r="U494" s="2" t="str">
        <f t="shared" si="59"/>
        <v>OK</v>
      </c>
      <c r="V494" s="7">
        <f t="shared" si="60"/>
        <v>0</v>
      </c>
      <c r="W494" s="2" t="str">
        <f t="shared" si="61"/>
        <v>OK</v>
      </c>
      <c r="X494" s="2" t="s">
        <v>196</v>
      </c>
      <c r="Y494" s="2" t="s">
        <v>27</v>
      </c>
      <c r="Z494" s="2" t="s">
        <v>28</v>
      </c>
      <c r="AA494" t="s">
        <v>245</v>
      </c>
      <c r="AB494" t="s">
        <v>245</v>
      </c>
      <c r="AC494" t="s">
        <v>245</v>
      </c>
    </row>
    <row r="495" spans="1:29" x14ac:dyDescent="0.2">
      <c r="A495" t="str">
        <f t="shared" si="57"/>
        <v>TRIP-TR-494</v>
      </c>
      <c r="B495" s="3">
        <v>45986</v>
      </c>
      <c r="C495" t="str">
        <f>IF(X495="CUSTOMER DELIVERY",_xlfn.XLOOKUP(D495,'[1]Jan Customer Duplicate Hyva'!$B:$B,'[1]Jan Customer Duplicate Hyva'!$A:$A,"NOT FOUND"),"")</f>
        <v/>
      </c>
      <c r="D495" s="20" t="s">
        <v>215</v>
      </c>
      <c r="E495" s="2"/>
      <c r="F495" s="2"/>
      <c r="G495" s="2"/>
      <c r="H495" s="2"/>
      <c r="I495" s="2"/>
      <c r="J495" s="2"/>
      <c r="K495" s="2"/>
      <c r="L495" s="8" t="s">
        <v>207</v>
      </c>
      <c r="M495" s="9">
        <v>6</v>
      </c>
      <c r="N495" s="2"/>
      <c r="O495" s="2"/>
      <c r="P495" s="2"/>
      <c r="Q495" s="2"/>
      <c r="R495" s="2" t="str">
        <f t="shared" si="62"/>
        <v>PAID</v>
      </c>
      <c r="S495" s="2"/>
      <c r="T495" s="2">
        <f t="shared" si="58"/>
        <v>0</v>
      </c>
      <c r="U495" s="2" t="str">
        <f t="shared" si="59"/>
        <v>OK</v>
      </c>
      <c r="V495" s="7">
        <f t="shared" si="60"/>
        <v>0</v>
      </c>
      <c r="W495" s="2" t="str">
        <f t="shared" si="61"/>
        <v>OK</v>
      </c>
      <c r="X495" s="2" t="s">
        <v>196</v>
      </c>
      <c r="Y495" s="2" t="s">
        <v>27</v>
      </c>
      <c r="Z495" s="2" t="s">
        <v>28</v>
      </c>
      <c r="AA495" t="s">
        <v>245</v>
      </c>
      <c r="AB495" t="s">
        <v>245</v>
      </c>
      <c r="AC495" t="s">
        <v>245</v>
      </c>
    </row>
    <row r="496" spans="1:29" x14ac:dyDescent="0.2">
      <c r="A496" t="str">
        <f t="shared" si="57"/>
        <v>TRIP-TR-495</v>
      </c>
      <c r="B496" s="3">
        <v>45986</v>
      </c>
      <c r="C496" t="str">
        <f>IF(X496="CUSTOMER DELIVERY",_xlfn.XLOOKUP(D496,'[1]Jan Customer Duplicate Hyva'!$B:$B,'[1]Jan Customer Duplicate Hyva'!$A:$A,"NOT FOUND"),"")</f>
        <v/>
      </c>
      <c r="D496" s="20" t="s">
        <v>215</v>
      </c>
      <c r="E496" s="2"/>
      <c r="F496" s="2"/>
      <c r="G496" s="2"/>
      <c r="H496" s="2"/>
      <c r="I496" s="2"/>
      <c r="J496" s="2"/>
      <c r="K496" s="2"/>
      <c r="L496" s="8" t="s">
        <v>203</v>
      </c>
      <c r="M496" s="9">
        <v>7</v>
      </c>
      <c r="N496" s="2"/>
      <c r="O496" s="2"/>
      <c r="P496" s="2"/>
      <c r="Q496" s="2"/>
      <c r="R496" s="2" t="str">
        <f t="shared" si="62"/>
        <v>PAID</v>
      </c>
      <c r="S496" s="2"/>
      <c r="T496" s="2">
        <f t="shared" si="58"/>
        <v>0</v>
      </c>
      <c r="U496" s="2" t="str">
        <f t="shared" si="59"/>
        <v>OK</v>
      </c>
      <c r="V496" s="7">
        <f t="shared" si="60"/>
        <v>0</v>
      </c>
      <c r="W496" s="2" t="str">
        <f t="shared" si="61"/>
        <v>OK</v>
      </c>
      <c r="X496" s="2" t="s">
        <v>196</v>
      </c>
      <c r="Y496" s="2" t="s">
        <v>27</v>
      </c>
      <c r="Z496" s="2" t="s">
        <v>28</v>
      </c>
      <c r="AA496" t="s">
        <v>245</v>
      </c>
      <c r="AB496" t="s">
        <v>245</v>
      </c>
      <c r="AC496" t="s">
        <v>245</v>
      </c>
    </row>
    <row r="497" spans="1:29" x14ac:dyDescent="0.2">
      <c r="A497" t="str">
        <f t="shared" si="57"/>
        <v>TRIP-TR-496</v>
      </c>
      <c r="B497" s="3">
        <v>45986</v>
      </c>
      <c r="C497" t="str">
        <f>IF(X497="CUSTOMER DELIVERY",_xlfn.XLOOKUP(D497,'[1]Jan Customer Duplicate Hyva'!$B:$B,'[1]Jan Customer Duplicate Hyva'!$A:$A,"NOT FOUND"),"")</f>
        <v/>
      </c>
      <c r="D497" s="20" t="s">
        <v>215</v>
      </c>
      <c r="E497" s="2"/>
      <c r="F497" s="2"/>
      <c r="G497" s="2"/>
      <c r="H497" s="2"/>
      <c r="I497" s="2"/>
      <c r="J497" s="2"/>
      <c r="K497" s="2"/>
      <c r="L497" s="8" t="s">
        <v>207</v>
      </c>
      <c r="M497" s="9">
        <v>2</v>
      </c>
      <c r="N497" s="2"/>
      <c r="O497" s="2"/>
      <c r="P497" s="2"/>
      <c r="Q497" s="2"/>
      <c r="R497" s="2" t="str">
        <f t="shared" si="62"/>
        <v>PAID</v>
      </c>
      <c r="S497" s="2"/>
      <c r="T497" s="2">
        <f t="shared" si="58"/>
        <v>0</v>
      </c>
      <c r="U497" s="2" t="str">
        <f t="shared" si="59"/>
        <v>OK</v>
      </c>
      <c r="V497" s="7">
        <f t="shared" si="60"/>
        <v>0</v>
      </c>
      <c r="W497" s="2" t="str">
        <f t="shared" si="61"/>
        <v>OK</v>
      </c>
      <c r="X497" s="2" t="s">
        <v>196</v>
      </c>
      <c r="Y497" s="2" t="s">
        <v>27</v>
      </c>
      <c r="Z497" s="2" t="s">
        <v>28</v>
      </c>
      <c r="AA497" t="s">
        <v>245</v>
      </c>
      <c r="AB497" t="s">
        <v>245</v>
      </c>
      <c r="AC497" t="s">
        <v>245</v>
      </c>
    </row>
    <row r="498" spans="1:29" x14ac:dyDescent="0.2">
      <c r="A498" t="str">
        <f t="shared" si="57"/>
        <v>TRIP-TR-497</v>
      </c>
      <c r="B498" s="3">
        <v>45987</v>
      </c>
      <c r="C498" t="str">
        <f>IF(X498="CUSTOMER DELIVERY",_xlfn.XLOOKUP(D498,'[1]Jan Customer Duplicate Hyva'!$B:$B,'[1]Jan Customer Duplicate Hyva'!$A:$A,"NOT FOUND"),"")</f>
        <v/>
      </c>
      <c r="D498" s="20" t="s">
        <v>215</v>
      </c>
      <c r="E498" s="2"/>
      <c r="F498" s="2"/>
      <c r="G498" s="2"/>
      <c r="H498" s="2"/>
      <c r="I498" s="2"/>
      <c r="J498" s="2"/>
      <c r="K498" s="2"/>
      <c r="L498" s="8" t="s">
        <v>207</v>
      </c>
      <c r="M498" s="9">
        <v>5</v>
      </c>
      <c r="N498" s="2"/>
      <c r="O498" s="2"/>
      <c r="P498" s="2"/>
      <c r="Q498" s="2"/>
      <c r="R498" s="2" t="str">
        <f t="shared" si="62"/>
        <v>PAID</v>
      </c>
      <c r="S498" s="2"/>
      <c r="T498" s="2">
        <f t="shared" si="58"/>
        <v>0</v>
      </c>
      <c r="U498" s="2" t="str">
        <f t="shared" si="59"/>
        <v>OK</v>
      </c>
      <c r="V498" s="7">
        <f t="shared" si="60"/>
        <v>0</v>
      </c>
      <c r="W498" s="2" t="str">
        <f t="shared" si="61"/>
        <v>OK</v>
      </c>
      <c r="X498" s="2" t="s">
        <v>196</v>
      </c>
      <c r="Y498" s="2" t="s">
        <v>27</v>
      </c>
      <c r="Z498" s="2" t="s">
        <v>28</v>
      </c>
      <c r="AA498" t="s">
        <v>245</v>
      </c>
      <c r="AB498" t="s">
        <v>245</v>
      </c>
      <c r="AC498" t="s">
        <v>245</v>
      </c>
    </row>
    <row r="499" spans="1:29" x14ac:dyDescent="0.2">
      <c r="A499" t="str">
        <f t="shared" si="57"/>
        <v>TRIP-TR-498</v>
      </c>
      <c r="B499" s="3">
        <v>45987</v>
      </c>
      <c r="C499" t="str">
        <f>IF(X499="CUSTOMER DELIVERY",_xlfn.XLOOKUP(D499,'[1]Jan Customer Duplicate Hyva'!$B:$B,'[1]Jan Customer Duplicate Hyva'!$A:$A,"NOT FOUND"),"")</f>
        <v/>
      </c>
      <c r="D499" s="20" t="s">
        <v>215</v>
      </c>
      <c r="E499" s="2"/>
      <c r="F499" s="2"/>
      <c r="G499" s="2"/>
      <c r="H499" s="2"/>
      <c r="I499" s="2"/>
      <c r="J499" s="2"/>
      <c r="K499" s="2"/>
      <c r="L499" s="8" t="s">
        <v>203</v>
      </c>
      <c r="M499" s="9">
        <v>8</v>
      </c>
      <c r="N499" s="2"/>
      <c r="O499" s="2"/>
      <c r="P499" s="2"/>
      <c r="Q499" s="2"/>
      <c r="R499" s="2" t="str">
        <f t="shared" si="62"/>
        <v>PAID</v>
      </c>
      <c r="S499" s="2"/>
      <c r="T499" s="2">
        <f t="shared" si="58"/>
        <v>0</v>
      </c>
      <c r="U499" s="2" t="str">
        <f t="shared" si="59"/>
        <v>OK</v>
      </c>
      <c r="V499" s="7">
        <f t="shared" si="60"/>
        <v>0</v>
      </c>
      <c r="W499" s="2" t="str">
        <f t="shared" si="61"/>
        <v>OK</v>
      </c>
      <c r="X499" s="2" t="s">
        <v>196</v>
      </c>
      <c r="Y499" s="2" t="s">
        <v>27</v>
      </c>
      <c r="Z499" s="2" t="s">
        <v>28</v>
      </c>
      <c r="AA499" t="s">
        <v>245</v>
      </c>
      <c r="AB499" t="s">
        <v>245</v>
      </c>
      <c r="AC499" t="s">
        <v>245</v>
      </c>
    </row>
    <row r="500" spans="1:29" x14ac:dyDescent="0.2">
      <c r="A500" t="str">
        <f t="shared" si="57"/>
        <v>TRIP-TR-499</v>
      </c>
      <c r="B500" s="3">
        <v>45988</v>
      </c>
      <c r="C500" t="str">
        <f>IF(X500="CUSTOMER DELIVERY",_xlfn.XLOOKUP(D500,'[1]Jan Customer Duplicate Hyva'!$B:$B,'[1]Jan Customer Duplicate Hyva'!$A:$A,"NOT FOUND"),"")</f>
        <v/>
      </c>
      <c r="D500" s="20" t="s">
        <v>215</v>
      </c>
      <c r="E500" s="2"/>
      <c r="F500" s="2"/>
      <c r="G500" s="2"/>
      <c r="H500" s="2"/>
      <c r="I500" s="2"/>
      <c r="J500" s="2"/>
      <c r="K500" s="2"/>
      <c r="L500" s="8" t="s">
        <v>207</v>
      </c>
      <c r="M500" s="9">
        <v>5</v>
      </c>
      <c r="N500" s="2"/>
      <c r="O500" s="2"/>
      <c r="P500" s="2"/>
      <c r="Q500" s="2"/>
      <c r="R500" s="2" t="str">
        <f t="shared" si="62"/>
        <v>PAID</v>
      </c>
      <c r="S500" s="2"/>
      <c r="T500" s="2">
        <f t="shared" si="58"/>
        <v>0</v>
      </c>
      <c r="U500" s="2" t="str">
        <f t="shared" si="59"/>
        <v>OK</v>
      </c>
      <c r="V500" s="7">
        <f t="shared" si="60"/>
        <v>0</v>
      </c>
      <c r="W500" s="2" t="str">
        <f t="shared" si="61"/>
        <v>OK</v>
      </c>
      <c r="X500" s="2" t="s">
        <v>196</v>
      </c>
      <c r="Y500" s="2" t="s">
        <v>27</v>
      </c>
      <c r="Z500" s="2" t="s">
        <v>28</v>
      </c>
      <c r="AA500" t="s">
        <v>245</v>
      </c>
      <c r="AB500" t="s">
        <v>245</v>
      </c>
      <c r="AC500" t="s">
        <v>245</v>
      </c>
    </row>
    <row r="501" spans="1:29" x14ac:dyDescent="0.2">
      <c r="A501" t="str">
        <f t="shared" si="57"/>
        <v>TRIP-TR-500</v>
      </c>
      <c r="B501" s="3">
        <v>45988</v>
      </c>
      <c r="C501" t="str">
        <f>IF(X501="CUSTOMER DELIVERY",_xlfn.XLOOKUP(D501,'[1]Jan Customer Duplicate Hyva'!$B:$B,'[1]Jan Customer Duplicate Hyva'!$A:$A,"NOT FOUND"),"")</f>
        <v/>
      </c>
      <c r="D501" s="20" t="s">
        <v>215</v>
      </c>
      <c r="E501" s="2"/>
      <c r="F501" s="2"/>
      <c r="G501" s="2"/>
      <c r="H501" s="2"/>
      <c r="I501" s="2"/>
      <c r="J501" s="2"/>
      <c r="K501" s="2"/>
      <c r="L501" s="8" t="s">
        <v>203</v>
      </c>
      <c r="M501" s="9">
        <v>13</v>
      </c>
      <c r="N501" s="2"/>
      <c r="O501" s="2"/>
      <c r="P501" s="2"/>
      <c r="Q501" s="2"/>
      <c r="R501" s="2" t="str">
        <f t="shared" si="62"/>
        <v>PAID</v>
      </c>
      <c r="S501" s="2"/>
      <c r="T501" s="2">
        <f t="shared" si="58"/>
        <v>0</v>
      </c>
      <c r="U501" s="2" t="str">
        <f t="shared" si="59"/>
        <v>OK</v>
      </c>
      <c r="V501" s="7">
        <f t="shared" si="60"/>
        <v>0</v>
      </c>
      <c r="W501" s="2" t="str">
        <f t="shared" si="61"/>
        <v>OK</v>
      </c>
      <c r="X501" s="2" t="s">
        <v>196</v>
      </c>
      <c r="Y501" s="2" t="s">
        <v>27</v>
      </c>
      <c r="Z501" s="2" t="s">
        <v>28</v>
      </c>
      <c r="AA501" t="s">
        <v>245</v>
      </c>
      <c r="AB501" t="s">
        <v>245</v>
      </c>
      <c r="AC501" t="s">
        <v>245</v>
      </c>
    </row>
    <row r="502" spans="1:29" x14ac:dyDescent="0.2">
      <c r="A502" t="str">
        <f t="shared" si="57"/>
        <v>TRIP-TR-501</v>
      </c>
      <c r="B502" s="3">
        <v>45989</v>
      </c>
      <c r="C502" t="str">
        <f>IF(X502="CUSTOMER DELIVERY",_xlfn.XLOOKUP(D502,'[1]Jan Customer Duplicate Hyva'!$B:$B,'[1]Jan Customer Duplicate Hyva'!$A:$A,"NOT FOUND"),"")</f>
        <v/>
      </c>
      <c r="D502" s="20" t="s">
        <v>215</v>
      </c>
      <c r="E502" s="2"/>
      <c r="F502" s="2"/>
      <c r="G502" s="2"/>
      <c r="H502" s="2"/>
      <c r="I502" s="2"/>
      <c r="J502" s="2"/>
      <c r="K502" s="2"/>
      <c r="L502" s="8" t="s">
        <v>207</v>
      </c>
      <c r="M502" s="9">
        <v>2</v>
      </c>
      <c r="N502" s="2"/>
      <c r="O502" s="2"/>
      <c r="P502" s="2"/>
      <c r="Q502" s="2"/>
      <c r="R502" s="2" t="str">
        <f t="shared" si="62"/>
        <v>PAID</v>
      </c>
      <c r="S502" s="2"/>
      <c r="T502" s="2">
        <f t="shared" si="58"/>
        <v>0</v>
      </c>
      <c r="U502" s="2" t="str">
        <f t="shared" si="59"/>
        <v>OK</v>
      </c>
      <c r="V502" s="7">
        <f t="shared" si="60"/>
        <v>0</v>
      </c>
      <c r="W502" s="2" t="str">
        <f t="shared" si="61"/>
        <v>OK</v>
      </c>
      <c r="X502" s="2" t="s">
        <v>196</v>
      </c>
      <c r="Y502" s="2" t="s">
        <v>27</v>
      </c>
      <c r="Z502" s="2" t="s">
        <v>28</v>
      </c>
      <c r="AA502" t="s">
        <v>245</v>
      </c>
      <c r="AB502" t="s">
        <v>245</v>
      </c>
      <c r="AC502" t="s">
        <v>245</v>
      </c>
    </row>
    <row r="503" spans="1:29" x14ac:dyDescent="0.2">
      <c r="A503" t="str">
        <f t="shared" si="57"/>
        <v>TRIP-TR-502</v>
      </c>
      <c r="B503" s="3">
        <v>45990</v>
      </c>
      <c r="C503" t="str">
        <f>IF(X503="CUSTOMER DELIVERY",_xlfn.XLOOKUP(D503,'[1]Jan Customer Duplicate Hyva'!$B:$B,'[1]Jan Customer Duplicate Hyva'!$A:$A,"NOT FOUND"),"")</f>
        <v/>
      </c>
      <c r="D503" s="20" t="s">
        <v>215</v>
      </c>
      <c r="E503" s="2"/>
      <c r="F503" s="2"/>
      <c r="G503" s="2"/>
      <c r="H503" s="2"/>
      <c r="I503" s="2"/>
      <c r="J503" s="2"/>
      <c r="K503" s="2"/>
      <c r="L503" s="8" t="s">
        <v>207</v>
      </c>
      <c r="M503" s="9">
        <v>4</v>
      </c>
      <c r="N503" s="2"/>
      <c r="O503" s="2"/>
      <c r="P503" s="2"/>
      <c r="Q503" s="2"/>
      <c r="R503" s="2" t="str">
        <f t="shared" si="62"/>
        <v>PAID</v>
      </c>
      <c r="S503" s="2"/>
      <c r="T503" s="2">
        <f t="shared" si="58"/>
        <v>0</v>
      </c>
      <c r="U503" s="2" t="str">
        <f t="shared" si="59"/>
        <v>OK</v>
      </c>
      <c r="V503" s="7">
        <f t="shared" si="60"/>
        <v>0</v>
      </c>
      <c r="W503" s="2" t="str">
        <f t="shared" si="61"/>
        <v>OK</v>
      </c>
      <c r="X503" s="2" t="s">
        <v>196</v>
      </c>
      <c r="Y503" s="2" t="s">
        <v>27</v>
      </c>
      <c r="Z503" s="2" t="s">
        <v>28</v>
      </c>
      <c r="AA503" t="s">
        <v>245</v>
      </c>
      <c r="AB503" t="s">
        <v>245</v>
      </c>
      <c r="AC503" t="s">
        <v>245</v>
      </c>
    </row>
    <row r="504" spans="1:29" x14ac:dyDescent="0.2">
      <c r="A504" t="str">
        <f t="shared" si="57"/>
        <v>TRIP-TR-503</v>
      </c>
      <c r="B504" s="3">
        <v>45990</v>
      </c>
      <c r="C504" t="str">
        <f>IF(X504="CUSTOMER DELIVERY",_xlfn.XLOOKUP(D504,'[1]Jan Customer Duplicate Hyva'!$B:$B,'[1]Jan Customer Duplicate Hyva'!$A:$A,"NOT FOUND"),"")</f>
        <v/>
      </c>
      <c r="D504" s="20" t="s">
        <v>215</v>
      </c>
      <c r="E504" s="2"/>
      <c r="F504" s="2"/>
      <c r="G504" s="2"/>
      <c r="H504" s="2"/>
      <c r="I504" s="2"/>
      <c r="J504" s="2"/>
      <c r="K504" s="2"/>
      <c r="L504" s="8" t="s">
        <v>203</v>
      </c>
      <c r="M504" s="9">
        <v>10</v>
      </c>
      <c r="N504" s="2"/>
      <c r="O504" s="2"/>
      <c r="P504" s="2"/>
      <c r="Q504" s="2"/>
      <c r="R504" s="2" t="str">
        <f t="shared" si="62"/>
        <v>PAID</v>
      </c>
      <c r="S504" s="2"/>
      <c r="T504" s="2">
        <f t="shared" si="58"/>
        <v>0</v>
      </c>
      <c r="U504" s="2" t="str">
        <f t="shared" si="59"/>
        <v>OK</v>
      </c>
      <c r="V504" s="7">
        <f t="shared" si="60"/>
        <v>0</v>
      </c>
      <c r="W504" s="2" t="str">
        <f t="shared" si="61"/>
        <v>OK</v>
      </c>
      <c r="X504" s="2" t="s">
        <v>196</v>
      </c>
      <c r="Y504" s="2" t="s">
        <v>27</v>
      </c>
      <c r="Z504" s="2" t="s">
        <v>28</v>
      </c>
      <c r="AA504" t="s">
        <v>245</v>
      </c>
      <c r="AB504" t="s">
        <v>245</v>
      </c>
      <c r="AC504" t="s">
        <v>245</v>
      </c>
    </row>
    <row r="505" spans="1:29" x14ac:dyDescent="0.2">
      <c r="A505" t="str">
        <f t="shared" si="57"/>
        <v>TRIP-TR-504</v>
      </c>
      <c r="B505" s="3">
        <v>45991</v>
      </c>
      <c r="C505" t="str">
        <f>IF(X505="CUSTOMER DELIVERY",_xlfn.XLOOKUP(D505,'[1]Jan Customer Duplicate Hyva'!$B:$B,'[1]Jan Customer Duplicate Hyva'!$A:$A,"NOT FOUND"),"")</f>
        <v/>
      </c>
      <c r="D505" s="20" t="s">
        <v>215</v>
      </c>
      <c r="E505" s="2"/>
      <c r="F505" s="2"/>
      <c r="G505" s="2"/>
      <c r="H505" s="2"/>
      <c r="I505" s="2"/>
      <c r="J505" s="2"/>
      <c r="K505" s="2"/>
      <c r="L505" s="8" t="s">
        <v>207</v>
      </c>
      <c r="M505" s="9">
        <v>6</v>
      </c>
      <c r="N505" s="2"/>
      <c r="O505" s="2"/>
      <c r="P505" s="2"/>
      <c r="Q505" s="2"/>
      <c r="R505" s="2" t="str">
        <f t="shared" si="62"/>
        <v>PAID</v>
      </c>
      <c r="S505" s="2"/>
      <c r="T505" s="2">
        <f t="shared" si="58"/>
        <v>0</v>
      </c>
      <c r="U505" s="2" t="str">
        <f t="shared" si="59"/>
        <v>OK</v>
      </c>
      <c r="V505" s="7">
        <f t="shared" si="60"/>
        <v>0</v>
      </c>
      <c r="W505" s="2" t="str">
        <f t="shared" si="61"/>
        <v>OK</v>
      </c>
      <c r="X505" s="2" t="s">
        <v>196</v>
      </c>
      <c r="Y505" s="2" t="s">
        <v>27</v>
      </c>
      <c r="Z505" s="2" t="s">
        <v>28</v>
      </c>
      <c r="AA505" t="s">
        <v>245</v>
      </c>
      <c r="AB505" t="s">
        <v>245</v>
      </c>
      <c r="AC505" t="s">
        <v>245</v>
      </c>
    </row>
    <row r="506" spans="1:29" x14ac:dyDescent="0.2">
      <c r="A506" t="str">
        <f t="shared" si="57"/>
        <v>TRIP-TR-505</v>
      </c>
      <c r="B506" s="3">
        <v>45992</v>
      </c>
      <c r="C506" t="str">
        <f>IF(X506="CUSTOMER DELIVERY",_xlfn.XLOOKUP(D506,'[1]Jan Customer Duplicate Hyva'!$B:$B,'[1]Jan Customer Duplicate Hyva'!$A:$A,"NOT FOUND"),"")</f>
        <v/>
      </c>
      <c r="D506" s="20" t="s">
        <v>215</v>
      </c>
      <c r="E506" s="2"/>
      <c r="F506" s="2"/>
      <c r="G506" s="2"/>
      <c r="H506" s="2"/>
      <c r="I506" s="2"/>
      <c r="J506" s="2"/>
      <c r="K506" s="2"/>
      <c r="L506" s="8" t="s">
        <v>203</v>
      </c>
      <c r="M506" s="9">
        <v>16</v>
      </c>
      <c r="N506" s="2"/>
      <c r="O506" s="2"/>
      <c r="P506" s="2"/>
      <c r="Q506" s="2"/>
      <c r="R506" s="2" t="str">
        <f t="shared" si="62"/>
        <v>PAID</v>
      </c>
      <c r="S506" s="2"/>
      <c r="T506" s="2">
        <f t="shared" si="58"/>
        <v>0</v>
      </c>
      <c r="U506" s="2" t="str">
        <f t="shared" si="59"/>
        <v>OK</v>
      </c>
      <c r="V506" s="7">
        <f t="shared" si="60"/>
        <v>0</v>
      </c>
      <c r="W506" s="2" t="str">
        <f t="shared" si="61"/>
        <v>OK</v>
      </c>
      <c r="X506" s="2" t="s">
        <v>196</v>
      </c>
      <c r="Y506" s="2" t="s">
        <v>27</v>
      </c>
      <c r="Z506" s="2" t="s">
        <v>28</v>
      </c>
      <c r="AA506" t="s">
        <v>245</v>
      </c>
      <c r="AB506" t="s">
        <v>245</v>
      </c>
      <c r="AC506" t="s">
        <v>245</v>
      </c>
    </row>
    <row r="507" spans="1:29" x14ac:dyDescent="0.2">
      <c r="A507" t="str">
        <f t="shared" si="57"/>
        <v>TRIP-TR-506</v>
      </c>
      <c r="B507" s="3">
        <v>45992</v>
      </c>
      <c r="C507" t="str">
        <f>IF(X507="CUSTOMER DELIVERY",_xlfn.XLOOKUP(D507,'[1]Jan Customer Duplicate Hyva'!$B:$B,'[1]Jan Customer Duplicate Hyva'!$A:$A,"NOT FOUND"),"")</f>
        <v/>
      </c>
      <c r="D507" s="20" t="s">
        <v>215</v>
      </c>
      <c r="E507" s="2"/>
      <c r="F507" s="2"/>
      <c r="G507" s="2"/>
      <c r="H507" s="2"/>
      <c r="I507" s="2"/>
      <c r="J507" s="2"/>
      <c r="K507" s="2"/>
      <c r="L507" s="8" t="s">
        <v>201</v>
      </c>
      <c r="M507" s="9">
        <v>1</v>
      </c>
      <c r="N507" s="2"/>
      <c r="O507" s="2"/>
      <c r="P507" s="2"/>
      <c r="Q507" s="2"/>
      <c r="R507" s="2" t="str">
        <f t="shared" si="62"/>
        <v>PAID</v>
      </c>
      <c r="S507" s="2"/>
      <c r="T507" s="2">
        <f t="shared" si="58"/>
        <v>0</v>
      </c>
      <c r="U507" s="2" t="str">
        <f t="shared" si="59"/>
        <v>OK</v>
      </c>
      <c r="V507" s="7">
        <f t="shared" si="60"/>
        <v>0</v>
      </c>
      <c r="W507" s="2" t="str">
        <f t="shared" si="61"/>
        <v>OK</v>
      </c>
      <c r="X507" s="2" t="s">
        <v>196</v>
      </c>
      <c r="Y507" s="2" t="s">
        <v>27</v>
      </c>
      <c r="Z507" s="2" t="s">
        <v>28</v>
      </c>
      <c r="AA507" t="s">
        <v>245</v>
      </c>
      <c r="AB507" t="s">
        <v>245</v>
      </c>
      <c r="AC507" t="s">
        <v>245</v>
      </c>
    </row>
    <row r="508" spans="1:29" x14ac:dyDescent="0.2">
      <c r="A508" t="str">
        <f t="shared" si="57"/>
        <v>TRIP-TR-507</v>
      </c>
      <c r="B508" s="3">
        <v>45993</v>
      </c>
      <c r="C508" t="str">
        <f>IF(X508="CUSTOMER DELIVERY",_xlfn.XLOOKUP(D508,'[1]Jan Customer Duplicate Hyva'!$B:$B,'[1]Jan Customer Duplicate Hyva'!$A:$A,"NOT FOUND"),"")</f>
        <v/>
      </c>
      <c r="D508" s="20" t="s">
        <v>215</v>
      </c>
      <c r="E508" s="2"/>
      <c r="F508" s="2"/>
      <c r="G508" s="2"/>
      <c r="H508" s="2"/>
      <c r="I508" s="2"/>
      <c r="J508" s="2"/>
      <c r="K508" s="2"/>
      <c r="L508" s="8" t="s">
        <v>201</v>
      </c>
      <c r="M508" s="9">
        <v>1</v>
      </c>
      <c r="N508" s="2"/>
      <c r="O508" s="2"/>
      <c r="P508" s="2"/>
      <c r="Q508" s="2"/>
      <c r="R508" s="2" t="str">
        <f t="shared" si="62"/>
        <v>PAID</v>
      </c>
      <c r="S508" s="2"/>
      <c r="T508" s="2">
        <f t="shared" si="58"/>
        <v>0</v>
      </c>
      <c r="U508" s="2" t="str">
        <f t="shared" si="59"/>
        <v>OK</v>
      </c>
      <c r="V508" s="7">
        <f t="shared" si="60"/>
        <v>0</v>
      </c>
      <c r="W508" s="2" t="str">
        <f t="shared" si="61"/>
        <v>OK</v>
      </c>
      <c r="X508" s="2" t="s">
        <v>196</v>
      </c>
      <c r="Y508" s="2" t="s">
        <v>27</v>
      </c>
      <c r="Z508" s="2" t="s">
        <v>28</v>
      </c>
      <c r="AA508" t="s">
        <v>245</v>
      </c>
      <c r="AB508" t="s">
        <v>245</v>
      </c>
      <c r="AC508" t="s">
        <v>245</v>
      </c>
    </row>
    <row r="509" spans="1:29" x14ac:dyDescent="0.2">
      <c r="A509" t="str">
        <f t="shared" si="57"/>
        <v>TRIP-TR-508</v>
      </c>
      <c r="B509" s="3">
        <v>45993</v>
      </c>
      <c r="C509" t="str">
        <f>IF(X509="CUSTOMER DELIVERY",_xlfn.XLOOKUP(D509,'[1]Jan Customer Duplicate Hyva'!$B:$B,'[1]Jan Customer Duplicate Hyva'!$A:$A,"NOT FOUND"),"")</f>
        <v/>
      </c>
      <c r="D509" s="20" t="s">
        <v>215</v>
      </c>
      <c r="E509" s="2"/>
      <c r="F509" s="2"/>
      <c r="G509" s="2"/>
      <c r="H509" s="2"/>
      <c r="I509" s="2"/>
      <c r="J509" s="2"/>
      <c r="K509" s="2"/>
      <c r="L509" s="8" t="s">
        <v>207</v>
      </c>
      <c r="M509" s="9">
        <v>8</v>
      </c>
      <c r="N509" s="2"/>
      <c r="O509" s="2"/>
      <c r="P509" s="2"/>
      <c r="Q509" s="2"/>
      <c r="R509" s="2" t="str">
        <f t="shared" si="62"/>
        <v>PAID</v>
      </c>
      <c r="S509" s="2"/>
      <c r="T509" s="2">
        <f t="shared" si="58"/>
        <v>0</v>
      </c>
      <c r="U509" s="2" t="str">
        <f t="shared" si="59"/>
        <v>OK</v>
      </c>
      <c r="V509" s="7">
        <f t="shared" si="60"/>
        <v>0</v>
      </c>
      <c r="W509" s="2" t="str">
        <f t="shared" si="61"/>
        <v>OK</v>
      </c>
      <c r="X509" s="2" t="s">
        <v>196</v>
      </c>
      <c r="Y509" s="2" t="s">
        <v>27</v>
      </c>
      <c r="Z509" s="2" t="s">
        <v>28</v>
      </c>
      <c r="AA509" t="s">
        <v>245</v>
      </c>
      <c r="AB509" t="s">
        <v>245</v>
      </c>
      <c r="AC509" t="s">
        <v>245</v>
      </c>
    </row>
    <row r="510" spans="1:29" x14ac:dyDescent="0.2">
      <c r="A510" t="str">
        <f t="shared" si="57"/>
        <v>TRIP-TR-509</v>
      </c>
      <c r="B510" s="3">
        <v>45994</v>
      </c>
      <c r="C510" t="str">
        <f>IF(X510="CUSTOMER DELIVERY",_xlfn.XLOOKUP(D510,'[1]Jan Customer Duplicate Hyva'!$B:$B,'[1]Jan Customer Duplicate Hyva'!$A:$A,"NOT FOUND"),"")</f>
        <v/>
      </c>
      <c r="D510" s="20" t="s">
        <v>215</v>
      </c>
      <c r="E510" s="2"/>
      <c r="F510" s="2"/>
      <c r="G510" s="2"/>
      <c r="H510" s="2"/>
      <c r="I510" s="2"/>
      <c r="J510" s="2"/>
      <c r="K510" s="2"/>
      <c r="L510" s="8" t="s">
        <v>203</v>
      </c>
      <c r="M510" s="9">
        <v>7</v>
      </c>
      <c r="N510" s="2"/>
      <c r="O510" s="2"/>
      <c r="P510" s="2"/>
      <c r="Q510" s="2"/>
      <c r="R510" s="2" t="str">
        <f t="shared" si="62"/>
        <v>PAID</v>
      </c>
      <c r="S510" s="2"/>
      <c r="T510" s="2">
        <f t="shared" si="58"/>
        <v>0</v>
      </c>
      <c r="U510" s="2" t="str">
        <f t="shared" si="59"/>
        <v>OK</v>
      </c>
      <c r="V510" s="7">
        <f t="shared" si="60"/>
        <v>0</v>
      </c>
      <c r="W510" s="2" t="str">
        <f t="shared" si="61"/>
        <v>OK</v>
      </c>
      <c r="X510" s="2" t="s">
        <v>196</v>
      </c>
      <c r="Y510" s="2" t="s">
        <v>27</v>
      </c>
      <c r="Z510" s="2" t="s">
        <v>28</v>
      </c>
      <c r="AA510" t="s">
        <v>245</v>
      </c>
      <c r="AB510" t="s">
        <v>245</v>
      </c>
      <c r="AC510" t="s">
        <v>245</v>
      </c>
    </row>
    <row r="511" spans="1:29" x14ac:dyDescent="0.2">
      <c r="A511" t="str">
        <f t="shared" si="57"/>
        <v>TRIP-TR-510</v>
      </c>
      <c r="B511" s="3">
        <v>45994</v>
      </c>
      <c r="C511" t="str">
        <f>IF(X511="CUSTOMER DELIVERY",_xlfn.XLOOKUP(D511,'[1]Jan Customer Duplicate Hyva'!$B:$B,'[1]Jan Customer Duplicate Hyva'!$A:$A,"NOT FOUND"),"")</f>
        <v/>
      </c>
      <c r="D511" s="20" t="s">
        <v>215</v>
      </c>
      <c r="E511" s="2"/>
      <c r="F511" s="2"/>
      <c r="G511" s="2"/>
      <c r="H511" s="2"/>
      <c r="I511" s="2"/>
      <c r="J511" s="2"/>
      <c r="K511" s="2"/>
      <c r="L511" s="8" t="s">
        <v>207</v>
      </c>
      <c r="M511" s="9">
        <v>9</v>
      </c>
      <c r="N511" s="2"/>
      <c r="O511" s="2"/>
      <c r="P511" s="2"/>
      <c r="Q511" s="2"/>
      <c r="R511" s="2" t="str">
        <f t="shared" si="62"/>
        <v>PAID</v>
      </c>
      <c r="S511" s="2"/>
      <c r="T511" s="2">
        <f t="shared" si="58"/>
        <v>0</v>
      </c>
      <c r="U511" s="2" t="str">
        <f t="shared" si="59"/>
        <v>OK</v>
      </c>
      <c r="V511" s="7">
        <f t="shared" si="60"/>
        <v>0</v>
      </c>
      <c r="W511" s="2" t="str">
        <f t="shared" si="61"/>
        <v>OK</v>
      </c>
      <c r="X511" s="2" t="s">
        <v>196</v>
      </c>
      <c r="Y511" s="2" t="s">
        <v>27</v>
      </c>
      <c r="Z511" s="2" t="s">
        <v>28</v>
      </c>
      <c r="AA511" t="s">
        <v>245</v>
      </c>
      <c r="AB511" t="s">
        <v>245</v>
      </c>
      <c r="AC511" t="s">
        <v>245</v>
      </c>
    </row>
    <row r="512" spans="1:29" x14ac:dyDescent="0.2">
      <c r="A512" t="str">
        <f t="shared" si="57"/>
        <v>TRIP-TR-511</v>
      </c>
      <c r="B512" s="3">
        <v>45995</v>
      </c>
      <c r="C512" t="str">
        <f>IF(X512="CUSTOMER DELIVERY",_xlfn.XLOOKUP(D512,'[1]Jan Customer Duplicate Hyva'!$B:$B,'[1]Jan Customer Duplicate Hyva'!$A:$A,"NOT FOUND"),"")</f>
        <v/>
      </c>
      <c r="D512" s="20" t="s">
        <v>215</v>
      </c>
      <c r="E512" s="2"/>
      <c r="F512" s="2"/>
      <c r="G512" s="2"/>
      <c r="H512" s="2"/>
      <c r="I512" s="2"/>
      <c r="J512" s="2"/>
      <c r="K512" s="2"/>
      <c r="L512" s="8" t="s">
        <v>201</v>
      </c>
      <c r="M512" s="9">
        <v>1</v>
      </c>
      <c r="N512" s="2"/>
      <c r="O512" s="2"/>
      <c r="P512" s="2"/>
      <c r="Q512" s="2"/>
      <c r="R512" s="2" t="str">
        <f t="shared" si="62"/>
        <v>PAID</v>
      </c>
      <c r="S512" s="2"/>
      <c r="T512" s="2">
        <f t="shared" si="58"/>
        <v>0</v>
      </c>
      <c r="U512" s="2" t="str">
        <f t="shared" si="59"/>
        <v>OK</v>
      </c>
      <c r="V512" s="7">
        <f t="shared" si="60"/>
        <v>0</v>
      </c>
      <c r="W512" s="2" t="str">
        <f t="shared" si="61"/>
        <v>OK</v>
      </c>
      <c r="X512" s="2" t="s">
        <v>196</v>
      </c>
      <c r="Y512" s="2" t="s">
        <v>27</v>
      </c>
      <c r="Z512" s="2" t="s">
        <v>28</v>
      </c>
      <c r="AA512" t="s">
        <v>245</v>
      </c>
      <c r="AB512" t="s">
        <v>245</v>
      </c>
      <c r="AC512" t="s">
        <v>245</v>
      </c>
    </row>
    <row r="513" spans="1:29" x14ac:dyDescent="0.2">
      <c r="A513" t="str">
        <f t="shared" si="57"/>
        <v>TRIP-TR-512</v>
      </c>
      <c r="B513" s="3">
        <v>45996</v>
      </c>
      <c r="C513" t="str">
        <f>IF(X513="CUSTOMER DELIVERY",_xlfn.XLOOKUP(D513,'[1]Jan Customer Duplicate Hyva'!$B:$B,'[1]Jan Customer Duplicate Hyva'!$A:$A,"NOT FOUND"),"")</f>
        <v/>
      </c>
      <c r="D513" s="20" t="s">
        <v>215</v>
      </c>
      <c r="E513" s="2"/>
      <c r="F513" s="2"/>
      <c r="G513" s="2"/>
      <c r="H513" s="2"/>
      <c r="I513" s="2"/>
      <c r="J513" s="2"/>
      <c r="K513" s="2"/>
      <c r="L513" s="8" t="s">
        <v>203</v>
      </c>
      <c r="M513" s="9">
        <v>8</v>
      </c>
      <c r="N513" s="2"/>
      <c r="O513" s="2"/>
      <c r="P513" s="2"/>
      <c r="Q513" s="2"/>
      <c r="R513" s="2" t="str">
        <f t="shared" si="62"/>
        <v>PAID</v>
      </c>
      <c r="S513" s="2"/>
      <c r="T513" s="2">
        <f t="shared" si="58"/>
        <v>0</v>
      </c>
      <c r="U513" s="2" t="str">
        <f t="shared" si="59"/>
        <v>OK</v>
      </c>
      <c r="V513" s="7">
        <f t="shared" si="60"/>
        <v>0</v>
      </c>
      <c r="W513" s="2" t="str">
        <f t="shared" si="61"/>
        <v>OK</v>
      </c>
      <c r="X513" s="2" t="s">
        <v>196</v>
      </c>
      <c r="Y513" s="2" t="s">
        <v>27</v>
      </c>
      <c r="Z513" s="2" t="s">
        <v>28</v>
      </c>
      <c r="AA513" t="s">
        <v>245</v>
      </c>
      <c r="AB513" t="s">
        <v>245</v>
      </c>
      <c r="AC513" t="s">
        <v>245</v>
      </c>
    </row>
    <row r="514" spans="1:29" x14ac:dyDescent="0.2">
      <c r="A514" t="str">
        <f t="shared" si="57"/>
        <v>TRIP-TR-513</v>
      </c>
      <c r="B514" s="3">
        <v>45996</v>
      </c>
      <c r="C514" t="str">
        <f>IF(X514="CUSTOMER DELIVERY",_xlfn.XLOOKUP(D514,'[1]Jan Customer Duplicate Hyva'!$B:$B,'[1]Jan Customer Duplicate Hyva'!$A:$A,"NOT FOUND"),"")</f>
        <v/>
      </c>
      <c r="D514" s="20" t="s">
        <v>215</v>
      </c>
      <c r="E514" s="2"/>
      <c r="F514" s="2"/>
      <c r="G514" s="2"/>
      <c r="H514" s="2"/>
      <c r="I514" s="2"/>
      <c r="J514" s="2"/>
      <c r="K514" s="2"/>
      <c r="L514" s="8" t="s">
        <v>205</v>
      </c>
      <c r="M514" s="9">
        <v>12</v>
      </c>
      <c r="N514" s="2"/>
      <c r="O514" s="2"/>
      <c r="P514" s="2"/>
      <c r="Q514" s="2"/>
      <c r="R514" s="2" t="str">
        <f t="shared" si="62"/>
        <v>PAID</v>
      </c>
      <c r="S514" s="2"/>
      <c r="T514" s="2">
        <f t="shared" si="58"/>
        <v>0</v>
      </c>
      <c r="U514" s="2" t="str">
        <f t="shared" si="59"/>
        <v>OK</v>
      </c>
      <c r="V514" s="7">
        <f t="shared" si="60"/>
        <v>0</v>
      </c>
      <c r="W514" s="2" t="str">
        <f t="shared" si="61"/>
        <v>OK</v>
      </c>
      <c r="X514" s="2" t="s">
        <v>196</v>
      </c>
      <c r="Y514" s="2" t="s">
        <v>27</v>
      </c>
      <c r="Z514" s="2" t="s">
        <v>28</v>
      </c>
      <c r="AA514" t="s">
        <v>245</v>
      </c>
      <c r="AB514" t="s">
        <v>245</v>
      </c>
      <c r="AC514" t="s">
        <v>245</v>
      </c>
    </row>
    <row r="515" spans="1:29" x14ac:dyDescent="0.2">
      <c r="A515" t="str">
        <f t="shared" ref="A515:A578" si="63">"TRIP-TR-"&amp;TEXT(ROW()-1,"000")</f>
        <v>TRIP-TR-514</v>
      </c>
      <c r="B515" s="3">
        <v>45996</v>
      </c>
      <c r="C515" t="str">
        <f>IF(X515="CUSTOMER DELIVERY",_xlfn.XLOOKUP(D515,'[1]Jan Customer Duplicate Hyva'!$B:$B,'[1]Jan Customer Duplicate Hyva'!$A:$A,"NOT FOUND"),"")</f>
        <v/>
      </c>
      <c r="D515" s="20" t="s">
        <v>215</v>
      </c>
      <c r="E515" s="2"/>
      <c r="F515" s="2"/>
      <c r="G515" s="2"/>
      <c r="H515" s="2"/>
      <c r="I515" s="2"/>
      <c r="J515" s="2"/>
      <c r="K515" s="2"/>
      <c r="L515" s="8" t="s">
        <v>201</v>
      </c>
      <c r="M515" s="9">
        <v>1</v>
      </c>
      <c r="N515" s="2"/>
      <c r="O515" s="2"/>
      <c r="P515" s="2"/>
      <c r="Q515" s="2"/>
      <c r="R515" s="2" t="str">
        <f t="shared" si="62"/>
        <v>PAID</v>
      </c>
      <c r="S515" s="2"/>
      <c r="T515" s="2">
        <f t="shared" si="58"/>
        <v>0</v>
      </c>
      <c r="U515" s="2" t="str">
        <f t="shared" si="59"/>
        <v>OK</v>
      </c>
      <c r="V515" s="7">
        <f t="shared" si="60"/>
        <v>0</v>
      </c>
      <c r="W515" s="2" t="str">
        <f t="shared" si="61"/>
        <v>OK</v>
      </c>
      <c r="X515" s="2" t="s">
        <v>196</v>
      </c>
      <c r="Y515" s="2" t="s">
        <v>27</v>
      </c>
      <c r="Z515" s="2" t="s">
        <v>28</v>
      </c>
      <c r="AA515" t="s">
        <v>245</v>
      </c>
      <c r="AB515" t="s">
        <v>245</v>
      </c>
      <c r="AC515" t="s">
        <v>245</v>
      </c>
    </row>
    <row r="516" spans="1:29" x14ac:dyDescent="0.2">
      <c r="A516" t="str">
        <f t="shared" si="63"/>
        <v>TRIP-TR-515</v>
      </c>
      <c r="B516" s="3">
        <v>45997</v>
      </c>
      <c r="C516" t="str">
        <f>IF(X516="CUSTOMER DELIVERY",_xlfn.XLOOKUP(D516,'[1]Jan Customer Duplicate Hyva'!$B:$B,'[1]Jan Customer Duplicate Hyva'!$A:$A,"NOT FOUND"),"")</f>
        <v/>
      </c>
      <c r="D516" s="20" t="s">
        <v>215</v>
      </c>
      <c r="E516" s="2"/>
      <c r="F516" s="2"/>
      <c r="G516" s="2"/>
      <c r="H516" s="2"/>
      <c r="I516" s="2"/>
      <c r="J516" s="2"/>
      <c r="K516" s="2"/>
      <c r="L516" s="8" t="s">
        <v>203</v>
      </c>
      <c r="M516" s="9">
        <v>8</v>
      </c>
      <c r="N516" s="2"/>
      <c r="O516" s="2"/>
      <c r="P516" s="2"/>
      <c r="Q516" s="2"/>
      <c r="R516" s="2" t="str">
        <f t="shared" si="62"/>
        <v>PAID</v>
      </c>
      <c r="S516" s="2"/>
      <c r="T516" s="2">
        <f t="shared" si="58"/>
        <v>0</v>
      </c>
      <c r="U516" s="2" t="str">
        <f t="shared" si="59"/>
        <v>OK</v>
      </c>
      <c r="V516" s="7">
        <f t="shared" si="60"/>
        <v>0</v>
      </c>
      <c r="W516" s="2" t="str">
        <f t="shared" si="61"/>
        <v>OK</v>
      </c>
      <c r="X516" s="2" t="s">
        <v>196</v>
      </c>
      <c r="Y516" s="2" t="s">
        <v>27</v>
      </c>
      <c r="Z516" s="2" t="s">
        <v>28</v>
      </c>
      <c r="AA516" t="s">
        <v>245</v>
      </c>
      <c r="AB516" t="s">
        <v>245</v>
      </c>
      <c r="AC516" t="s">
        <v>245</v>
      </c>
    </row>
    <row r="517" spans="1:29" x14ac:dyDescent="0.2">
      <c r="A517" t="str">
        <f t="shared" si="63"/>
        <v>TRIP-TR-516</v>
      </c>
      <c r="B517" s="3">
        <v>45997</v>
      </c>
      <c r="C517" t="str">
        <f>IF(X517="CUSTOMER DELIVERY",_xlfn.XLOOKUP(D517,'[1]Jan Customer Duplicate Hyva'!$B:$B,'[1]Jan Customer Duplicate Hyva'!$A:$A,"NOT FOUND"),"")</f>
        <v/>
      </c>
      <c r="D517" s="20" t="s">
        <v>215</v>
      </c>
      <c r="E517" s="2"/>
      <c r="F517" s="2"/>
      <c r="G517" s="2"/>
      <c r="H517" s="2"/>
      <c r="I517" s="2"/>
      <c r="J517" s="2"/>
      <c r="K517" s="2"/>
      <c r="L517" s="8" t="s">
        <v>205</v>
      </c>
      <c r="M517" s="9">
        <v>4</v>
      </c>
      <c r="N517" s="2"/>
      <c r="O517" s="2"/>
      <c r="P517" s="2"/>
      <c r="Q517" s="2"/>
      <c r="R517" s="2" t="str">
        <f t="shared" si="62"/>
        <v>PAID</v>
      </c>
      <c r="S517" s="2"/>
      <c r="T517" s="2">
        <f t="shared" si="58"/>
        <v>0</v>
      </c>
      <c r="U517" s="2" t="str">
        <f t="shared" si="59"/>
        <v>OK</v>
      </c>
      <c r="V517" s="7">
        <f t="shared" si="60"/>
        <v>0</v>
      </c>
      <c r="W517" s="2" t="str">
        <f t="shared" si="61"/>
        <v>OK</v>
      </c>
      <c r="X517" s="2" t="s">
        <v>196</v>
      </c>
      <c r="Y517" s="2" t="s">
        <v>27</v>
      </c>
      <c r="Z517" s="2" t="s">
        <v>28</v>
      </c>
      <c r="AA517" t="s">
        <v>245</v>
      </c>
      <c r="AB517" t="s">
        <v>245</v>
      </c>
      <c r="AC517" t="s">
        <v>245</v>
      </c>
    </row>
    <row r="518" spans="1:29" x14ac:dyDescent="0.2">
      <c r="A518" t="str">
        <f t="shared" si="63"/>
        <v>TRIP-TR-517</v>
      </c>
      <c r="B518" s="3">
        <v>45998</v>
      </c>
      <c r="C518" t="str">
        <f>IF(X518="CUSTOMER DELIVERY",_xlfn.XLOOKUP(D518,'[1]Jan Customer Duplicate Hyva'!$B:$B,'[1]Jan Customer Duplicate Hyva'!$A:$A,"NOT FOUND"),"")</f>
        <v/>
      </c>
      <c r="D518" s="20" t="s">
        <v>215</v>
      </c>
      <c r="E518" s="2"/>
      <c r="F518" s="2"/>
      <c r="G518" s="2"/>
      <c r="H518" s="2"/>
      <c r="I518" s="2"/>
      <c r="J518" s="2"/>
      <c r="K518" s="2"/>
      <c r="L518" s="8" t="s">
        <v>201</v>
      </c>
      <c r="M518" s="9">
        <v>1</v>
      </c>
      <c r="N518" s="2"/>
      <c r="O518" s="2"/>
      <c r="P518" s="2"/>
      <c r="Q518" s="2"/>
      <c r="R518" s="2" t="str">
        <f t="shared" si="62"/>
        <v>PAID</v>
      </c>
      <c r="S518" s="2"/>
      <c r="T518" s="2">
        <f t="shared" si="58"/>
        <v>0</v>
      </c>
      <c r="U518" s="2" t="str">
        <f t="shared" si="59"/>
        <v>OK</v>
      </c>
      <c r="V518" s="7">
        <f t="shared" si="60"/>
        <v>0</v>
      </c>
      <c r="W518" s="2" t="str">
        <f t="shared" si="61"/>
        <v>OK</v>
      </c>
      <c r="X518" s="2" t="s">
        <v>196</v>
      </c>
      <c r="Y518" s="2" t="s">
        <v>27</v>
      </c>
      <c r="Z518" s="2" t="s">
        <v>28</v>
      </c>
      <c r="AA518" t="s">
        <v>245</v>
      </c>
      <c r="AB518" t="s">
        <v>245</v>
      </c>
      <c r="AC518" t="s">
        <v>245</v>
      </c>
    </row>
    <row r="519" spans="1:29" x14ac:dyDescent="0.2">
      <c r="A519" t="str">
        <f t="shared" si="63"/>
        <v>TRIP-TR-518</v>
      </c>
      <c r="B519" s="3">
        <v>45999</v>
      </c>
      <c r="C519" t="str">
        <f>IF(X519="CUSTOMER DELIVERY",_xlfn.XLOOKUP(D519,'[1]Jan Customer Duplicate Hyva'!$B:$B,'[1]Jan Customer Duplicate Hyva'!$A:$A,"NOT FOUND"),"")</f>
        <v/>
      </c>
      <c r="D519" s="20" t="s">
        <v>215</v>
      </c>
      <c r="E519" s="2"/>
      <c r="F519" s="2"/>
      <c r="G519" s="2"/>
      <c r="H519" s="2"/>
      <c r="I519" s="2"/>
      <c r="J519" s="2"/>
      <c r="K519" s="2"/>
      <c r="L519" s="8" t="s">
        <v>203</v>
      </c>
      <c r="M519" s="9">
        <v>7</v>
      </c>
      <c r="N519" s="2"/>
      <c r="O519" s="2"/>
      <c r="P519" s="2"/>
      <c r="Q519" s="2"/>
      <c r="R519" s="2" t="str">
        <f t="shared" si="62"/>
        <v>PAID</v>
      </c>
      <c r="S519" s="2"/>
      <c r="T519" s="2">
        <f t="shared" si="58"/>
        <v>0</v>
      </c>
      <c r="U519" s="2" t="str">
        <f t="shared" si="59"/>
        <v>OK</v>
      </c>
      <c r="V519" s="7">
        <f t="shared" si="60"/>
        <v>0</v>
      </c>
      <c r="W519" s="2" t="str">
        <f t="shared" si="61"/>
        <v>OK</v>
      </c>
      <c r="X519" s="2" t="s">
        <v>196</v>
      </c>
      <c r="Y519" s="2" t="s">
        <v>27</v>
      </c>
      <c r="Z519" s="2" t="s">
        <v>28</v>
      </c>
      <c r="AA519" t="s">
        <v>245</v>
      </c>
      <c r="AB519" t="s">
        <v>245</v>
      </c>
      <c r="AC519" t="s">
        <v>245</v>
      </c>
    </row>
    <row r="520" spans="1:29" x14ac:dyDescent="0.2">
      <c r="A520" t="str">
        <f t="shared" si="63"/>
        <v>TRIP-TR-519</v>
      </c>
      <c r="B520" s="3">
        <v>45999</v>
      </c>
      <c r="C520" t="str">
        <f>IF(X520="CUSTOMER DELIVERY",_xlfn.XLOOKUP(D520,'[1]Jan Customer Duplicate Hyva'!$B:$B,'[1]Jan Customer Duplicate Hyva'!$A:$A,"NOT FOUND"),"")</f>
        <v/>
      </c>
      <c r="D520" s="20" t="s">
        <v>215</v>
      </c>
      <c r="E520" s="2"/>
      <c r="F520" s="2"/>
      <c r="G520" s="2"/>
      <c r="H520" s="2"/>
      <c r="I520" s="2"/>
      <c r="J520" s="2"/>
      <c r="K520" s="2"/>
      <c r="L520" s="8" t="s">
        <v>207</v>
      </c>
      <c r="M520" s="9">
        <v>4</v>
      </c>
      <c r="N520" s="2"/>
      <c r="O520" s="2"/>
      <c r="P520" s="2"/>
      <c r="Q520" s="2"/>
      <c r="R520" s="2" t="str">
        <f t="shared" si="62"/>
        <v>PAID</v>
      </c>
      <c r="S520" s="2"/>
      <c r="T520" s="2">
        <f t="shared" si="58"/>
        <v>0</v>
      </c>
      <c r="U520" s="2" t="str">
        <f t="shared" si="59"/>
        <v>OK</v>
      </c>
      <c r="V520" s="7">
        <f t="shared" si="60"/>
        <v>0</v>
      </c>
      <c r="W520" s="2" t="str">
        <f t="shared" si="61"/>
        <v>OK</v>
      </c>
      <c r="X520" s="2" t="s">
        <v>196</v>
      </c>
      <c r="Y520" s="2" t="s">
        <v>27</v>
      </c>
      <c r="Z520" s="2" t="s">
        <v>28</v>
      </c>
      <c r="AA520" t="s">
        <v>245</v>
      </c>
      <c r="AB520" t="s">
        <v>245</v>
      </c>
      <c r="AC520" t="s">
        <v>245</v>
      </c>
    </row>
    <row r="521" spans="1:29" x14ac:dyDescent="0.2">
      <c r="A521" t="str">
        <f t="shared" si="63"/>
        <v>TRIP-TR-520</v>
      </c>
      <c r="B521" s="3">
        <v>46000</v>
      </c>
      <c r="C521" t="str">
        <f>IF(X521="CUSTOMER DELIVERY",_xlfn.XLOOKUP(D521,'[1]Jan Customer Duplicate Hyva'!$B:$B,'[1]Jan Customer Duplicate Hyva'!$A:$A,"NOT FOUND"),"")</f>
        <v/>
      </c>
      <c r="D521" s="20" t="s">
        <v>215</v>
      </c>
      <c r="E521" s="2"/>
      <c r="F521" s="2"/>
      <c r="G521" s="2"/>
      <c r="H521" s="2"/>
      <c r="I521" s="2"/>
      <c r="J521" s="2"/>
      <c r="K521" s="2"/>
      <c r="L521" s="8" t="s">
        <v>203</v>
      </c>
      <c r="M521" s="9">
        <v>5</v>
      </c>
      <c r="N521" s="2"/>
      <c r="O521" s="2"/>
      <c r="P521" s="2"/>
      <c r="Q521" s="2"/>
      <c r="R521" s="2" t="str">
        <f t="shared" si="62"/>
        <v>PAID</v>
      </c>
      <c r="S521" s="2"/>
      <c r="T521" s="2">
        <f t="shared" ref="T521:T564" si="64">M521*N521</f>
        <v>0</v>
      </c>
      <c r="U521" s="2" t="str">
        <f t="shared" ref="U521:U564" si="65">IF(ROUND(T521,2)=ROUND(O521,2),"OK","CHECK")</f>
        <v>OK</v>
      </c>
      <c r="V521" s="7">
        <f t="shared" ref="V521:V564" si="66">O521-P521</f>
        <v>0</v>
      </c>
      <c r="W521" s="2" t="str">
        <f t="shared" ref="W521:W564" si="67">IF(ROUND(V521,2)=ROUND(Q521,2),"OK","CHECK")</f>
        <v>OK</v>
      </c>
      <c r="X521" s="2" t="s">
        <v>196</v>
      </c>
      <c r="Y521" s="2" t="s">
        <v>27</v>
      </c>
      <c r="Z521" s="2" t="s">
        <v>28</v>
      </c>
      <c r="AA521" t="s">
        <v>245</v>
      </c>
      <c r="AB521" t="s">
        <v>245</v>
      </c>
      <c r="AC521" t="s">
        <v>245</v>
      </c>
    </row>
    <row r="522" spans="1:29" x14ac:dyDescent="0.2">
      <c r="A522" t="str">
        <f t="shared" si="63"/>
        <v>TRIP-TR-521</v>
      </c>
      <c r="B522" s="3">
        <v>46001</v>
      </c>
      <c r="C522" t="str">
        <f>IF(X522="CUSTOMER DELIVERY",_xlfn.XLOOKUP(D522,'[1]Jan Customer Duplicate Hyva'!$B:$B,'[1]Jan Customer Duplicate Hyva'!$A:$A,"NOT FOUND"),"")</f>
        <v/>
      </c>
      <c r="D522" s="20" t="s">
        <v>215</v>
      </c>
      <c r="E522" s="2"/>
      <c r="F522" s="2"/>
      <c r="G522" s="2"/>
      <c r="H522" s="2"/>
      <c r="I522" s="2"/>
      <c r="J522" s="2"/>
      <c r="K522" s="2"/>
      <c r="L522" s="8" t="s">
        <v>205</v>
      </c>
      <c r="M522" s="9">
        <v>17</v>
      </c>
      <c r="N522" s="2"/>
      <c r="O522" s="2"/>
      <c r="P522" s="2"/>
      <c r="Q522" s="2"/>
      <c r="R522" s="2" t="str">
        <f t="shared" ref="R522:R564" si="68">IF(Q522=0,"PAID",IF(P522=0,"UNPAID","PARTIAL"))</f>
        <v>PAID</v>
      </c>
      <c r="S522" s="2"/>
      <c r="T522" s="2">
        <f t="shared" si="64"/>
        <v>0</v>
      </c>
      <c r="U522" s="2" t="str">
        <f t="shared" si="65"/>
        <v>OK</v>
      </c>
      <c r="V522" s="7">
        <f t="shared" si="66"/>
        <v>0</v>
      </c>
      <c r="W522" s="2" t="str">
        <f t="shared" si="67"/>
        <v>OK</v>
      </c>
      <c r="X522" s="2" t="s">
        <v>196</v>
      </c>
      <c r="Y522" s="2" t="s">
        <v>27</v>
      </c>
      <c r="Z522" s="2" t="s">
        <v>28</v>
      </c>
      <c r="AA522" t="s">
        <v>245</v>
      </c>
      <c r="AB522" t="s">
        <v>245</v>
      </c>
      <c r="AC522" t="s">
        <v>245</v>
      </c>
    </row>
    <row r="523" spans="1:29" x14ac:dyDescent="0.2">
      <c r="A523" t="str">
        <f t="shared" si="63"/>
        <v>TRIP-TR-522</v>
      </c>
      <c r="B523" s="3">
        <v>46002</v>
      </c>
      <c r="C523" t="str">
        <f>IF(X523="CUSTOMER DELIVERY",_xlfn.XLOOKUP(D523,'[1]Jan Customer Duplicate Hyva'!$B:$B,'[1]Jan Customer Duplicate Hyva'!$A:$A,"NOT FOUND"),"")</f>
        <v/>
      </c>
      <c r="D523" s="20" t="s">
        <v>215</v>
      </c>
      <c r="E523" s="2"/>
      <c r="F523" s="2"/>
      <c r="G523" s="2"/>
      <c r="H523" s="2"/>
      <c r="I523" s="2"/>
      <c r="J523" s="2"/>
      <c r="K523" s="2"/>
      <c r="L523" s="8" t="s">
        <v>201</v>
      </c>
      <c r="M523" s="9">
        <v>1</v>
      </c>
      <c r="N523" s="2"/>
      <c r="O523" s="2"/>
      <c r="P523" s="2"/>
      <c r="Q523" s="2"/>
      <c r="R523" s="2" t="str">
        <f t="shared" si="68"/>
        <v>PAID</v>
      </c>
      <c r="S523" s="2"/>
      <c r="T523" s="2">
        <f t="shared" si="64"/>
        <v>0</v>
      </c>
      <c r="U523" s="2" t="str">
        <f t="shared" si="65"/>
        <v>OK</v>
      </c>
      <c r="V523" s="7">
        <f t="shared" si="66"/>
        <v>0</v>
      </c>
      <c r="W523" s="2" t="str">
        <f t="shared" si="67"/>
        <v>OK</v>
      </c>
      <c r="X523" s="2" t="s">
        <v>196</v>
      </c>
      <c r="Y523" s="2" t="s">
        <v>27</v>
      </c>
      <c r="Z523" s="2" t="s">
        <v>28</v>
      </c>
      <c r="AA523" t="s">
        <v>245</v>
      </c>
      <c r="AB523" t="s">
        <v>245</v>
      </c>
      <c r="AC523" t="s">
        <v>245</v>
      </c>
    </row>
    <row r="524" spans="1:29" x14ac:dyDescent="0.2">
      <c r="A524" t="str">
        <f t="shared" si="63"/>
        <v>TRIP-TR-523</v>
      </c>
      <c r="B524" s="3">
        <v>46002</v>
      </c>
      <c r="C524" t="str">
        <f>IF(X524="CUSTOMER DELIVERY",_xlfn.XLOOKUP(D524,'[1]Jan Customer Duplicate Hyva'!$B:$B,'[1]Jan Customer Duplicate Hyva'!$A:$A,"NOT FOUND"),"")</f>
        <v/>
      </c>
      <c r="D524" s="20" t="s">
        <v>215</v>
      </c>
      <c r="E524" s="2"/>
      <c r="F524" s="2"/>
      <c r="G524" s="2"/>
      <c r="H524" s="2"/>
      <c r="I524" s="2"/>
      <c r="J524" s="2"/>
      <c r="K524" s="2"/>
      <c r="L524" s="8" t="s">
        <v>205</v>
      </c>
      <c r="M524" s="9">
        <v>11</v>
      </c>
      <c r="N524" s="2"/>
      <c r="O524" s="2"/>
      <c r="P524" s="2"/>
      <c r="Q524" s="2"/>
      <c r="R524" s="2" t="str">
        <f t="shared" si="68"/>
        <v>PAID</v>
      </c>
      <c r="S524" s="2"/>
      <c r="T524" s="2">
        <f t="shared" si="64"/>
        <v>0</v>
      </c>
      <c r="U524" s="2" t="str">
        <f t="shared" si="65"/>
        <v>OK</v>
      </c>
      <c r="V524" s="7">
        <f t="shared" si="66"/>
        <v>0</v>
      </c>
      <c r="W524" s="2" t="str">
        <f t="shared" si="67"/>
        <v>OK</v>
      </c>
      <c r="X524" s="2" t="s">
        <v>196</v>
      </c>
      <c r="Y524" s="2" t="s">
        <v>27</v>
      </c>
      <c r="Z524" s="2" t="s">
        <v>28</v>
      </c>
      <c r="AA524" t="s">
        <v>245</v>
      </c>
      <c r="AB524" t="s">
        <v>245</v>
      </c>
      <c r="AC524" t="s">
        <v>245</v>
      </c>
    </row>
    <row r="525" spans="1:29" x14ac:dyDescent="0.2">
      <c r="A525" t="str">
        <f t="shared" si="63"/>
        <v>TRIP-TR-524</v>
      </c>
      <c r="B525" s="3">
        <v>46002</v>
      </c>
      <c r="C525" t="str">
        <f>IF(X525="CUSTOMER DELIVERY",_xlfn.XLOOKUP(D525,'[1]Jan Customer Duplicate Hyva'!$B:$B,'[1]Jan Customer Duplicate Hyva'!$A:$A,"NOT FOUND"),"")</f>
        <v/>
      </c>
      <c r="D525" s="20" t="s">
        <v>215</v>
      </c>
      <c r="E525" s="2"/>
      <c r="F525" s="2"/>
      <c r="G525" s="2"/>
      <c r="H525" s="2"/>
      <c r="I525" s="2"/>
      <c r="J525" s="2"/>
      <c r="K525" s="2"/>
      <c r="L525" s="8" t="s">
        <v>205</v>
      </c>
      <c r="M525" s="9">
        <v>11</v>
      </c>
      <c r="N525" s="2"/>
      <c r="O525" s="2"/>
      <c r="P525" s="2"/>
      <c r="Q525" s="2"/>
      <c r="R525" s="2" t="str">
        <f t="shared" si="68"/>
        <v>PAID</v>
      </c>
      <c r="S525" s="2"/>
      <c r="T525" s="2">
        <f t="shared" si="64"/>
        <v>0</v>
      </c>
      <c r="U525" s="2" t="str">
        <f t="shared" si="65"/>
        <v>OK</v>
      </c>
      <c r="V525" s="7">
        <f t="shared" si="66"/>
        <v>0</v>
      </c>
      <c r="W525" s="2" t="str">
        <f t="shared" si="67"/>
        <v>OK</v>
      </c>
      <c r="X525" s="2" t="s">
        <v>196</v>
      </c>
      <c r="Y525" s="2" t="s">
        <v>27</v>
      </c>
      <c r="Z525" s="2" t="s">
        <v>28</v>
      </c>
      <c r="AA525" t="s">
        <v>245</v>
      </c>
      <c r="AB525" t="s">
        <v>245</v>
      </c>
      <c r="AC525" t="s">
        <v>245</v>
      </c>
    </row>
    <row r="526" spans="1:29" x14ac:dyDescent="0.2">
      <c r="A526" t="str">
        <f t="shared" si="63"/>
        <v>TRIP-TR-525</v>
      </c>
      <c r="B526" s="3">
        <v>46003</v>
      </c>
      <c r="C526" t="str">
        <f>IF(X526="CUSTOMER DELIVERY",_xlfn.XLOOKUP(D526,'[1]Jan Customer Duplicate Hyva'!$B:$B,'[1]Jan Customer Duplicate Hyva'!$A:$A,"NOT FOUND"),"")</f>
        <v/>
      </c>
      <c r="D526" s="20" t="s">
        <v>215</v>
      </c>
      <c r="E526" s="2"/>
      <c r="F526" s="2"/>
      <c r="G526" s="2"/>
      <c r="H526" s="2"/>
      <c r="I526" s="2"/>
      <c r="J526" s="2"/>
      <c r="K526" s="2"/>
      <c r="L526" s="8" t="s">
        <v>205</v>
      </c>
      <c r="M526" s="9">
        <v>11</v>
      </c>
      <c r="N526" s="2"/>
      <c r="O526" s="2"/>
      <c r="P526" s="2"/>
      <c r="Q526" s="2"/>
      <c r="R526" s="2" t="str">
        <f t="shared" si="68"/>
        <v>PAID</v>
      </c>
      <c r="S526" s="2"/>
      <c r="T526" s="2">
        <f t="shared" si="64"/>
        <v>0</v>
      </c>
      <c r="U526" s="2" t="str">
        <f t="shared" si="65"/>
        <v>OK</v>
      </c>
      <c r="V526" s="7">
        <f t="shared" si="66"/>
        <v>0</v>
      </c>
      <c r="W526" s="2" t="str">
        <f t="shared" si="67"/>
        <v>OK</v>
      </c>
      <c r="X526" s="2" t="s">
        <v>196</v>
      </c>
      <c r="Y526" s="2" t="s">
        <v>27</v>
      </c>
      <c r="Z526" s="2" t="s">
        <v>28</v>
      </c>
      <c r="AA526" t="s">
        <v>245</v>
      </c>
      <c r="AB526" t="s">
        <v>245</v>
      </c>
      <c r="AC526" t="s">
        <v>245</v>
      </c>
    </row>
    <row r="527" spans="1:29" x14ac:dyDescent="0.2">
      <c r="A527" t="str">
        <f t="shared" si="63"/>
        <v>TRIP-TR-526</v>
      </c>
      <c r="B527" s="3">
        <v>46003</v>
      </c>
      <c r="C527" t="str">
        <f>IF(X527="CUSTOMER DELIVERY",_xlfn.XLOOKUP(D527,'[1]Jan Customer Duplicate Hyva'!$B:$B,'[1]Jan Customer Duplicate Hyva'!$A:$A,"NOT FOUND"),"")</f>
        <v/>
      </c>
      <c r="D527" s="20" t="s">
        <v>215</v>
      </c>
      <c r="E527" s="2"/>
      <c r="F527" s="2"/>
      <c r="G527" s="2"/>
      <c r="H527" s="2"/>
      <c r="I527" s="2"/>
      <c r="J527" s="2"/>
      <c r="K527" s="2"/>
      <c r="L527" s="8" t="s">
        <v>201</v>
      </c>
      <c r="M527" s="9">
        <v>1</v>
      </c>
      <c r="N527" s="2"/>
      <c r="O527" s="2"/>
      <c r="P527" s="2"/>
      <c r="Q527" s="2"/>
      <c r="R527" s="2" t="str">
        <f t="shared" si="68"/>
        <v>PAID</v>
      </c>
      <c r="S527" s="2"/>
      <c r="T527" s="2">
        <f t="shared" si="64"/>
        <v>0</v>
      </c>
      <c r="U527" s="2" t="str">
        <f t="shared" si="65"/>
        <v>OK</v>
      </c>
      <c r="V527" s="7">
        <f t="shared" si="66"/>
        <v>0</v>
      </c>
      <c r="W527" s="2" t="str">
        <f t="shared" si="67"/>
        <v>OK</v>
      </c>
      <c r="X527" s="2" t="s">
        <v>196</v>
      </c>
      <c r="Y527" s="2" t="s">
        <v>27</v>
      </c>
      <c r="Z527" s="2" t="s">
        <v>28</v>
      </c>
      <c r="AA527" t="s">
        <v>245</v>
      </c>
      <c r="AB527" t="s">
        <v>245</v>
      </c>
      <c r="AC527" t="s">
        <v>245</v>
      </c>
    </row>
    <row r="528" spans="1:29" x14ac:dyDescent="0.2">
      <c r="A528" t="str">
        <f t="shared" si="63"/>
        <v>TRIP-TR-527</v>
      </c>
      <c r="B528" s="3">
        <v>46003</v>
      </c>
      <c r="C528" t="str">
        <f>IF(X528="CUSTOMER DELIVERY",_xlfn.XLOOKUP(D528,'[1]Jan Customer Duplicate Hyva'!$B:$B,'[1]Jan Customer Duplicate Hyva'!$A:$A,"NOT FOUND"),"")</f>
        <v/>
      </c>
      <c r="D528" s="20" t="s">
        <v>215</v>
      </c>
      <c r="E528" s="2"/>
      <c r="F528" s="2"/>
      <c r="G528" s="2"/>
      <c r="H528" s="2"/>
      <c r="I528" s="2"/>
      <c r="J528" s="2"/>
      <c r="K528" s="2"/>
      <c r="L528" s="8" t="s">
        <v>205</v>
      </c>
      <c r="M528" s="9">
        <v>19</v>
      </c>
      <c r="N528" s="2"/>
      <c r="O528" s="2"/>
      <c r="P528" s="2"/>
      <c r="Q528" s="2"/>
      <c r="R528" s="2" t="str">
        <f t="shared" si="68"/>
        <v>PAID</v>
      </c>
      <c r="S528" s="2"/>
      <c r="T528" s="2">
        <f t="shared" si="64"/>
        <v>0</v>
      </c>
      <c r="U528" s="2" t="str">
        <f t="shared" si="65"/>
        <v>OK</v>
      </c>
      <c r="V528" s="7">
        <f t="shared" si="66"/>
        <v>0</v>
      </c>
      <c r="W528" s="2" t="str">
        <f t="shared" si="67"/>
        <v>OK</v>
      </c>
      <c r="X528" s="2" t="s">
        <v>196</v>
      </c>
      <c r="Y528" s="2" t="s">
        <v>27</v>
      </c>
      <c r="Z528" s="2" t="s">
        <v>28</v>
      </c>
      <c r="AA528" t="s">
        <v>245</v>
      </c>
      <c r="AB528" t="s">
        <v>245</v>
      </c>
      <c r="AC528" t="s">
        <v>245</v>
      </c>
    </row>
    <row r="529" spans="1:29" x14ac:dyDescent="0.2">
      <c r="A529" t="str">
        <f t="shared" si="63"/>
        <v>TRIP-TR-528</v>
      </c>
      <c r="B529" s="3">
        <v>46003</v>
      </c>
      <c r="C529" t="str">
        <f>IF(X529="CUSTOMER DELIVERY",_xlfn.XLOOKUP(D529,'[1]Jan Customer Duplicate Hyva'!$B:$B,'[1]Jan Customer Duplicate Hyva'!$A:$A,"NOT FOUND"),"")</f>
        <v/>
      </c>
      <c r="D529" s="20" t="s">
        <v>215</v>
      </c>
      <c r="E529" s="2"/>
      <c r="F529" s="2"/>
      <c r="G529" s="2"/>
      <c r="H529" s="2"/>
      <c r="I529" s="2"/>
      <c r="J529" s="2"/>
      <c r="K529" s="2"/>
      <c r="L529" s="8" t="s">
        <v>205</v>
      </c>
      <c r="M529" s="9">
        <v>11</v>
      </c>
      <c r="N529" s="2"/>
      <c r="O529" s="2"/>
      <c r="P529" s="2"/>
      <c r="Q529" s="2"/>
      <c r="R529" s="2" t="str">
        <f t="shared" si="68"/>
        <v>PAID</v>
      </c>
      <c r="S529" s="2"/>
      <c r="T529" s="2">
        <f t="shared" si="64"/>
        <v>0</v>
      </c>
      <c r="U529" s="2" t="str">
        <f t="shared" si="65"/>
        <v>OK</v>
      </c>
      <c r="V529" s="7">
        <f t="shared" si="66"/>
        <v>0</v>
      </c>
      <c r="W529" s="2" t="str">
        <f t="shared" si="67"/>
        <v>OK</v>
      </c>
      <c r="X529" s="2" t="s">
        <v>196</v>
      </c>
      <c r="Y529" s="2" t="s">
        <v>27</v>
      </c>
      <c r="Z529" s="2" t="s">
        <v>28</v>
      </c>
      <c r="AA529" t="s">
        <v>245</v>
      </c>
      <c r="AB529" t="s">
        <v>245</v>
      </c>
      <c r="AC529" t="s">
        <v>245</v>
      </c>
    </row>
    <row r="530" spans="1:29" x14ac:dyDescent="0.2">
      <c r="A530" t="str">
        <f t="shared" si="63"/>
        <v>TRIP-TR-529</v>
      </c>
      <c r="B530" s="3">
        <v>46004</v>
      </c>
      <c r="C530" t="str">
        <f>IF(X530="CUSTOMER DELIVERY",_xlfn.XLOOKUP(D530,'[1]Jan Customer Duplicate Hyva'!$B:$B,'[1]Jan Customer Duplicate Hyva'!$A:$A,"NOT FOUND"),"")</f>
        <v/>
      </c>
      <c r="D530" s="20" t="s">
        <v>215</v>
      </c>
      <c r="E530" s="2"/>
      <c r="F530" s="2"/>
      <c r="G530" s="2"/>
      <c r="H530" s="2"/>
      <c r="I530" s="2"/>
      <c r="J530" s="2"/>
      <c r="K530" s="2"/>
      <c r="L530" s="8" t="s">
        <v>203</v>
      </c>
      <c r="M530" s="9">
        <v>5</v>
      </c>
      <c r="N530" s="2"/>
      <c r="O530" s="2"/>
      <c r="P530" s="2"/>
      <c r="Q530" s="2"/>
      <c r="R530" s="2" t="str">
        <f t="shared" si="68"/>
        <v>PAID</v>
      </c>
      <c r="S530" s="2"/>
      <c r="T530" s="2">
        <f t="shared" si="64"/>
        <v>0</v>
      </c>
      <c r="U530" s="2" t="str">
        <f t="shared" si="65"/>
        <v>OK</v>
      </c>
      <c r="V530" s="7">
        <f t="shared" si="66"/>
        <v>0</v>
      </c>
      <c r="W530" s="2" t="str">
        <f t="shared" si="67"/>
        <v>OK</v>
      </c>
      <c r="X530" s="2" t="s">
        <v>196</v>
      </c>
      <c r="Y530" s="2" t="s">
        <v>27</v>
      </c>
      <c r="Z530" s="2" t="s">
        <v>28</v>
      </c>
      <c r="AA530" t="s">
        <v>245</v>
      </c>
      <c r="AB530" t="s">
        <v>245</v>
      </c>
      <c r="AC530" t="s">
        <v>245</v>
      </c>
    </row>
    <row r="531" spans="1:29" x14ac:dyDescent="0.2">
      <c r="A531" t="str">
        <f t="shared" si="63"/>
        <v>TRIP-TR-530</v>
      </c>
      <c r="B531" s="3">
        <v>46005</v>
      </c>
      <c r="C531" t="str">
        <f>IF(X531="CUSTOMER DELIVERY",_xlfn.XLOOKUP(D531,'[1]Jan Customer Duplicate Hyva'!$B:$B,'[1]Jan Customer Duplicate Hyva'!$A:$A,"NOT FOUND"),"")</f>
        <v/>
      </c>
      <c r="D531" s="20" t="s">
        <v>215</v>
      </c>
      <c r="E531" s="2"/>
      <c r="F531" s="2"/>
      <c r="G531" s="2"/>
      <c r="H531" s="2"/>
      <c r="I531" s="2"/>
      <c r="J531" s="2"/>
      <c r="K531" s="2"/>
      <c r="L531" s="8" t="s">
        <v>205</v>
      </c>
      <c r="M531" s="9">
        <v>17</v>
      </c>
      <c r="N531" s="2"/>
      <c r="O531" s="2"/>
      <c r="P531" s="2"/>
      <c r="Q531" s="2"/>
      <c r="R531" s="2" t="str">
        <f t="shared" si="68"/>
        <v>PAID</v>
      </c>
      <c r="S531" s="2"/>
      <c r="T531" s="2">
        <f t="shared" si="64"/>
        <v>0</v>
      </c>
      <c r="U531" s="2" t="str">
        <f t="shared" si="65"/>
        <v>OK</v>
      </c>
      <c r="V531" s="7">
        <f t="shared" si="66"/>
        <v>0</v>
      </c>
      <c r="W531" s="2" t="str">
        <f t="shared" si="67"/>
        <v>OK</v>
      </c>
      <c r="X531" s="2" t="s">
        <v>196</v>
      </c>
      <c r="Y531" s="2" t="s">
        <v>27</v>
      </c>
      <c r="Z531" s="2" t="s">
        <v>28</v>
      </c>
      <c r="AA531" t="s">
        <v>245</v>
      </c>
      <c r="AB531" t="s">
        <v>245</v>
      </c>
      <c r="AC531" t="s">
        <v>245</v>
      </c>
    </row>
    <row r="532" spans="1:29" x14ac:dyDescent="0.2">
      <c r="A532" t="str">
        <f t="shared" si="63"/>
        <v>TRIP-TR-531</v>
      </c>
      <c r="B532" s="3">
        <v>46005</v>
      </c>
      <c r="C532" t="str">
        <f>IF(X532="CUSTOMER DELIVERY",_xlfn.XLOOKUP(D532,'[1]Jan Customer Duplicate Hyva'!$B:$B,'[1]Jan Customer Duplicate Hyva'!$A:$A,"NOT FOUND"),"")</f>
        <v/>
      </c>
      <c r="D532" s="20" t="s">
        <v>215</v>
      </c>
      <c r="E532" s="2"/>
      <c r="F532" s="2"/>
      <c r="G532" s="2"/>
      <c r="H532" s="2"/>
      <c r="I532" s="2"/>
      <c r="J532" s="2"/>
      <c r="K532" s="2"/>
      <c r="L532" s="8" t="s">
        <v>205</v>
      </c>
      <c r="M532" s="9">
        <v>21</v>
      </c>
      <c r="N532" s="2"/>
      <c r="O532" s="2"/>
      <c r="P532" s="2"/>
      <c r="Q532" s="2"/>
      <c r="R532" s="2" t="str">
        <f t="shared" si="68"/>
        <v>PAID</v>
      </c>
      <c r="S532" s="2"/>
      <c r="T532" s="2">
        <f t="shared" si="64"/>
        <v>0</v>
      </c>
      <c r="U532" s="2" t="str">
        <f t="shared" si="65"/>
        <v>OK</v>
      </c>
      <c r="V532" s="7">
        <f t="shared" si="66"/>
        <v>0</v>
      </c>
      <c r="W532" s="2" t="str">
        <f t="shared" si="67"/>
        <v>OK</v>
      </c>
      <c r="X532" s="2" t="s">
        <v>196</v>
      </c>
      <c r="Y532" s="2" t="s">
        <v>27</v>
      </c>
      <c r="Z532" s="2" t="s">
        <v>28</v>
      </c>
      <c r="AA532" t="s">
        <v>245</v>
      </c>
      <c r="AB532" t="s">
        <v>245</v>
      </c>
      <c r="AC532" t="s">
        <v>245</v>
      </c>
    </row>
    <row r="533" spans="1:29" x14ac:dyDescent="0.2">
      <c r="A533" t="str">
        <f t="shared" si="63"/>
        <v>TRIP-TR-532</v>
      </c>
      <c r="B533" s="3">
        <v>46005</v>
      </c>
      <c r="C533" t="str">
        <f>IF(X533="CUSTOMER DELIVERY",_xlfn.XLOOKUP(D533,'[1]Jan Customer Duplicate Hyva'!$B:$B,'[1]Jan Customer Duplicate Hyva'!$A:$A,"NOT FOUND"),"")</f>
        <v/>
      </c>
      <c r="D533" s="20" t="s">
        <v>215</v>
      </c>
      <c r="E533" s="2"/>
      <c r="F533" s="2"/>
      <c r="G533" s="2"/>
      <c r="H533" s="2"/>
      <c r="I533" s="2"/>
      <c r="J533" s="2"/>
      <c r="K533" s="2"/>
      <c r="L533" s="8" t="s">
        <v>205</v>
      </c>
      <c r="M533" s="9">
        <v>20</v>
      </c>
      <c r="N533" s="2"/>
      <c r="O533" s="2"/>
      <c r="P533" s="2"/>
      <c r="Q533" s="2"/>
      <c r="R533" s="2" t="str">
        <f t="shared" si="68"/>
        <v>PAID</v>
      </c>
      <c r="S533" s="2"/>
      <c r="T533" s="2">
        <f t="shared" si="64"/>
        <v>0</v>
      </c>
      <c r="U533" s="2" t="str">
        <f t="shared" si="65"/>
        <v>OK</v>
      </c>
      <c r="V533" s="7">
        <f t="shared" si="66"/>
        <v>0</v>
      </c>
      <c r="W533" s="2" t="str">
        <f t="shared" si="67"/>
        <v>OK</v>
      </c>
      <c r="X533" s="2" t="s">
        <v>196</v>
      </c>
      <c r="Y533" s="2" t="s">
        <v>27</v>
      </c>
      <c r="Z533" s="2" t="s">
        <v>28</v>
      </c>
      <c r="AA533" t="s">
        <v>245</v>
      </c>
      <c r="AB533" t="s">
        <v>245</v>
      </c>
      <c r="AC533" t="s">
        <v>245</v>
      </c>
    </row>
    <row r="534" spans="1:29" x14ac:dyDescent="0.2">
      <c r="A534" t="str">
        <f t="shared" si="63"/>
        <v>TRIP-TR-533</v>
      </c>
      <c r="B534" s="3">
        <v>46006</v>
      </c>
      <c r="C534" t="str">
        <f>IF(X534="CUSTOMER DELIVERY",_xlfn.XLOOKUP(D534,'[1]Jan Customer Duplicate Hyva'!$B:$B,'[1]Jan Customer Duplicate Hyva'!$A:$A,"NOT FOUND"),"")</f>
        <v/>
      </c>
      <c r="D534" s="20" t="s">
        <v>215</v>
      </c>
      <c r="E534" s="2"/>
      <c r="F534" s="2"/>
      <c r="G534" s="2"/>
      <c r="H534" s="2"/>
      <c r="I534" s="2"/>
      <c r="J534" s="2"/>
      <c r="K534" s="2"/>
      <c r="L534" s="8" t="s">
        <v>205</v>
      </c>
      <c r="M534" s="9">
        <v>17</v>
      </c>
      <c r="N534" s="2"/>
      <c r="O534" s="2"/>
      <c r="P534" s="2"/>
      <c r="Q534" s="2"/>
      <c r="R534" s="2" t="str">
        <f t="shared" si="68"/>
        <v>PAID</v>
      </c>
      <c r="S534" s="2"/>
      <c r="T534" s="2">
        <f t="shared" si="64"/>
        <v>0</v>
      </c>
      <c r="U534" s="2" t="str">
        <f t="shared" si="65"/>
        <v>OK</v>
      </c>
      <c r="V534" s="7">
        <f t="shared" si="66"/>
        <v>0</v>
      </c>
      <c r="W534" s="2" t="str">
        <f t="shared" si="67"/>
        <v>OK</v>
      </c>
      <c r="X534" s="2" t="s">
        <v>196</v>
      </c>
      <c r="Y534" s="2" t="s">
        <v>27</v>
      </c>
      <c r="Z534" s="2" t="s">
        <v>28</v>
      </c>
      <c r="AA534" t="s">
        <v>245</v>
      </c>
      <c r="AB534" t="s">
        <v>245</v>
      </c>
      <c r="AC534" t="s">
        <v>245</v>
      </c>
    </row>
    <row r="535" spans="1:29" x14ac:dyDescent="0.2">
      <c r="A535" t="str">
        <f t="shared" si="63"/>
        <v>TRIP-TR-534</v>
      </c>
      <c r="B535" s="3">
        <v>46006</v>
      </c>
      <c r="C535" t="str">
        <f>IF(X535="CUSTOMER DELIVERY",_xlfn.XLOOKUP(D535,'[1]Jan Customer Duplicate Hyva'!$B:$B,'[1]Jan Customer Duplicate Hyva'!$A:$A,"NOT FOUND"),"")</f>
        <v/>
      </c>
      <c r="D535" s="20" t="s">
        <v>215</v>
      </c>
      <c r="E535" s="2"/>
      <c r="F535" s="2"/>
      <c r="G535" s="2"/>
      <c r="H535" s="2"/>
      <c r="I535" s="2"/>
      <c r="J535" s="2"/>
      <c r="K535" s="2"/>
      <c r="L535" s="8" t="s">
        <v>205</v>
      </c>
      <c r="M535" s="9">
        <v>18</v>
      </c>
      <c r="N535" s="2"/>
      <c r="O535" s="2"/>
      <c r="P535" s="2"/>
      <c r="Q535" s="2"/>
      <c r="R535" s="2" t="str">
        <f t="shared" si="68"/>
        <v>PAID</v>
      </c>
      <c r="S535" s="2"/>
      <c r="T535" s="2">
        <f t="shared" si="64"/>
        <v>0</v>
      </c>
      <c r="U535" s="2" t="str">
        <f t="shared" si="65"/>
        <v>OK</v>
      </c>
      <c r="V535" s="7">
        <f t="shared" si="66"/>
        <v>0</v>
      </c>
      <c r="W535" s="2" t="str">
        <f t="shared" si="67"/>
        <v>OK</v>
      </c>
      <c r="X535" s="2" t="s">
        <v>196</v>
      </c>
      <c r="Y535" s="2" t="s">
        <v>27</v>
      </c>
      <c r="Z535" s="2" t="s">
        <v>28</v>
      </c>
      <c r="AA535" t="s">
        <v>245</v>
      </c>
      <c r="AB535" t="s">
        <v>245</v>
      </c>
      <c r="AC535" t="s">
        <v>245</v>
      </c>
    </row>
    <row r="536" spans="1:29" x14ac:dyDescent="0.2">
      <c r="A536" t="str">
        <f t="shared" si="63"/>
        <v>TRIP-TR-535</v>
      </c>
      <c r="B536" s="3">
        <v>46006</v>
      </c>
      <c r="C536" t="str">
        <f>IF(X536="CUSTOMER DELIVERY",_xlfn.XLOOKUP(D536,'[1]Jan Customer Duplicate Hyva'!$B:$B,'[1]Jan Customer Duplicate Hyva'!$A:$A,"NOT FOUND"),"")</f>
        <v/>
      </c>
      <c r="D536" s="20" t="s">
        <v>215</v>
      </c>
      <c r="E536" s="2"/>
      <c r="F536" s="2"/>
      <c r="G536" s="2"/>
      <c r="H536" s="2"/>
      <c r="I536" s="2"/>
      <c r="J536" s="2"/>
      <c r="K536" s="2"/>
      <c r="L536" s="8" t="s">
        <v>205</v>
      </c>
      <c r="M536" s="9">
        <v>15</v>
      </c>
      <c r="N536" s="2"/>
      <c r="O536" s="2"/>
      <c r="P536" s="2"/>
      <c r="Q536" s="2"/>
      <c r="R536" s="2" t="str">
        <f t="shared" si="68"/>
        <v>PAID</v>
      </c>
      <c r="S536" s="2"/>
      <c r="T536" s="2">
        <f t="shared" si="64"/>
        <v>0</v>
      </c>
      <c r="U536" s="2" t="str">
        <f t="shared" si="65"/>
        <v>OK</v>
      </c>
      <c r="V536" s="7">
        <f t="shared" si="66"/>
        <v>0</v>
      </c>
      <c r="W536" s="2" t="str">
        <f t="shared" si="67"/>
        <v>OK</v>
      </c>
      <c r="X536" s="2" t="s">
        <v>196</v>
      </c>
      <c r="Y536" s="2" t="s">
        <v>27</v>
      </c>
      <c r="Z536" s="2" t="s">
        <v>28</v>
      </c>
      <c r="AA536" t="s">
        <v>245</v>
      </c>
      <c r="AB536" t="s">
        <v>245</v>
      </c>
      <c r="AC536" t="s">
        <v>245</v>
      </c>
    </row>
    <row r="537" spans="1:29" x14ac:dyDescent="0.2">
      <c r="A537" t="str">
        <f t="shared" si="63"/>
        <v>TRIP-TR-536</v>
      </c>
      <c r="B537" s="3">
        <v>46007</v>
      </c>
      <c r="C537" t="str">
        <f>IF(X537="CUSTOMER DELIVERY",_xlfn.XLOOKUP(D537,'[1]Jan Customer Duplicate Hyva'!$B:$B,'[1]Jan Customer Duplicate Hyva'!$A:$A,"NOT FOUND"),"")</f>
        <v/>
      </c>
      <c r="D537" s="20" t="s">
        <v>215</v>
      </c>
      <c r="E537" s="2"/>
      <c r="F537" s="2"/>
      <c r="G537" s="2"/>
      <c r="H537" s="2"/>
      <c r="I537" s="2"/>
      <c r="J537" s="2"/>
      <c r="K537" s="2"/>
      <c r="L537" s="8" t="s">
        <v>205</v>
      </c>
      <c r="M537" s="9">
        <v>13</v>
      </c>
      <c r="N537" s="2"/>
      <c r="O537" s="2"/>
      <c r="P537" s="2"/>
      <c r="Q537" s="2"/>
      <c r="R537" s="2" t="str">
        <f t="shared" si="68"/>
        <v>PAID</v>
      </c>
      <c r="S537" s="2"/>
      <c r="T537" s="2">
        <f t="shared" si="64"/>
        <v>0</v>
      </c>
      <c r="U537" s="2" t="str">
        <f t="shared" si="65"/>
        <v>OK</v>
      </c>
      <c r="V537" s="7">
        <f t="shared" si="66"/>
        <v>0</v>
      </c>
      <c r="W537" s="2" t="str">
        <f t="shared" si="67"/>
        <v>OK</v>
      </c>
      <c r="X537" s="2" t="s">
        <v>196</v>
      </c>
      <c r="Y537" s="2" t="s">
        <v>27</v>
      </c>
      <c r="Z537" s="2" t="s">
        <v>28</v>
      </c>
      <c r="AA537" t="s">
        <v>245</v>
      </c>
      <c r="AB537" t="s">
        <v>245</v>
      </c>
      <c r="AC537" t="s">
        <v>245</v>
      </c>
    </row>
    <row r="538" spans="1:29" x14ac:dyDescent="0.2">
      <c r="A538" t="str">
        <f t="shared" si="63"/>
        <v>TRIP-TR-537</v>
      </c>
      <c r="B538" s="3">
        <v>46007</v>
      </c>
      <c r="C538" t="str">
        <f>IF(X538="CUSTOMER DELIVERY",_xlfn.XLOOKUP(D538,'[1]Jan Customer Duplicate Hyva'!$B:$B,'[1]Jan Customer Duplicate Hyva'!$A:$A,"NOT FOUND"),"")</f>
        <v/>
      </c>
      <c r="D538" s="20" t="s">
        <v>215</v>
      </c>
      <c r="E538" s="2"/>
      <c r="F538" s="2"/>
      <c r="G538" s="2"/>
      <c r="H538" s="2"/>
      <c r="I538" s="2"/>
      <c r="J538" s="2"/>
      <c r="K538" s="2"/>
      <c r="L538" s="8" t="s">
        <v>205</v>
      </c>
      <c r="M538" s="9">
        <v>17</v>
      </c>
      <c r="N538" s="2"/>
      <c r="O538" s="2"/>
      <c r="P538" s="2"/>
      <c r="Q538" s="2"/>
      <c r="R538" s="2" t="str">
        <f t="shared" si="68"/>
        <v>PAID</v>
      </c>
      <c r="S538" s="2"/>
      <c r="T538" s="2">
        <f t="shared" si="64"/>
        <v>0</v>
      </c>
      <c r="U538" s="2" t="str">
        <f t="shared" si="65"/>
        <v>OK</v>
      </c>
      <c r="V538" s="7">
        <f t="shared" si="66"/>
        <v>0</v>
      </c>
      <c r="W538" s="2" t="str">
        <f t="shared" si="67"/>
        <v>OK</v>
      </c>
      <c r="X538" s="2" t="s">
        <v>196</v>
      </c>
      <c r="Y538" s="2" t="s">
        <v>27</v>
      </c>
      <c r="Z538" s="2" t="s">
        <v>28</v>
      </c>
      <c r="AA538" t="s">
        <v>245</v>
      </c>
      <c r="AB538" t="s">
        <v>245</v>
      </c>
      <c r="AC538" t="s">
        <v>245</v>
      </c>
    </row>
    <row r="539" spans="1:29" x14ac:dyDescent="0.2">
      <c r="A539" t="str">
        <f t="shared" si="63"/>
        <v>TRIP-TR-538</v>
      </c>
      <c r="B539" s="3">
        <v>46008</v>
      </c>
      <c r="C539" t="str">
        <f>IF(X539="CUSTOMER DELIVERY",_xlfn.XLOOKUP(D539,'[1]Jan Customer Duplicate Hyva'!$B:$B,'[1]Jan Customer Duplicate Hyva'!$A:$A,"NOT FOUND"),"")</f>
        <v/>
      </c>
      <c r="D539" s="20" t="s">
        <v>215</v>
      </c>
      <c r="E539" s="2"/>
      <c r="F539" s="2"/>
      <c r="G539" s="2"/>
      <c r="H539" s="2"/>
      <c r="I539" s="2"/>
      <c r="J539" s="2"/>
      <c r="K539" s="2"/>
      <c r="L539" s="8" t="s">
        <v>205</v>
      </c>
      <c r="M539" s="9">
        <v>28</v>
      </c>
      <c r="N539" s="2"/>
      <c r="O539" s="2"/>
      <c r="P539" s="2"/>
      <c r="Q539" s="2"/>
      <c r="R539" s="2" t="str">
        <f t="shared" si="68"/>
        <v>PAID</v>
      </c>
      <c r="S539" s="2"/>
      <c r="T539" s="2">
        <f t="shared" si="64"/>
        <v>0</v>
      </c>
      <c r="U539" s="2" t="str">
        <f t="shared" si="65"/>
        <v>OK</v>
      </c>
      <c r="V539" s="7">
        <f t="shared" si="66"/>
        <v>0</v>
      </c>
      <c r="W539" s="2" t="str">
        <f t="shared" si="67"/>
        <v>OK</v>
      </c>
      <c r="X539" s="2" t="s">
        <v>196</v>
      </c>
      <c r="Y539" s="2" t="s">
        <v>27</v>
      </c>
      <c r="Z539" s="2" t="s">
        <v>28</v>
      </c>
      <c r="AA539" t="s">
        <v>245</v>
      </c>
      <c r="AB539" t="s">
        <v>245</v>
      </c>
      <c r="AC539" t="s">
        <v>245</v>
      </c>
    </row>
    <row r="540" spans="1:29" x14ac:dyDescent="0.2">
      <c r="A540" t="str">
        <f t="shared" si="63"/>
        <v>TRIP-TR-539</v>
      </c>
      <c r="B540" s="3">
        <v>46009</v>
      </c>
      <c r="C540" t="str">
        <f>IF(X540="CUSTOMER DELIVERY",_xlfn.XLOOKUP(D540,'[1]Jan Customer Duplicate Hyva'!$B:$B,'[1]Jan Customer Duplicate Hyva'!$A:$A,"NOT FOUND"),"")</f>
        <v/>
      </c>
      <c r="D540" s="20" t="s">
        <v>215</v>
      </c>
      <c r="E540" s="2"/>
      <c r="F540" s="2"/>
      <c r="G540" s="2"/>
      <c r="H540" s="2"/>
      <c r="I540" s="2"/>
      <c r="J540" s="2"/>
      <c r="K540" s="2"/>
      <c r="L540" s="8" t="s">
        <v>205</v>
      </c>
      <c r="M540" s="9">
        <v>23</v>
      </c>
      <c r="N540" s="2"/>
      <c r="O540" s="2"/>
      <c r="P540" s="2"/>
      <c r="Q540" s="2"/>
      <c r="R540" s="2" t="str">
        <f t="shared" si="68"/>
        <v>PAID</v>
      </c>
      <c r="S540" s="2"/>
      <c r="T540" s="2">
        <f t="shared" si="64"/>
        <v>0</v>
      </c>
      <c r="U540" s="2" t="str">
        <f t="shared" si="65"/>
        <v>OK</v>
      </c>
      <c r="V540" s="7">
        <f t="shared" si="66"/>
        <v>0</v>
      </c>
      <c r="W540" s="2" t="str">
        <f t="shared" si="67"/>
        <v>OK</v>
      </c>
      <c r="X540" s="2" t="s">
        <v>196</v>
      </c>
      <c r="Y540" s="2" t="s">
        <v>27</v>
      </c>
      <c r="Z540" s="2" t="s">
        <v>28</v>
      </c>
      <c r="AA540" t="s">
        <v>245</v>
      </c>
      <c r="AB540" t="s">
        <v>245</v>
      </c>
      <c r="AC540" t="s">
        <v>245</v>
      </c>
    </row>
    <row r="541" spans="1:29" x14ac:dyDescent="0.2">
      <c r="A541" t="str">
        <f t="shared" si="63"/>
        <v>TRIP-TR-540</v>
      </c>
      <c r="B541" s="3">
        <v>46010</v>
      </c>
      <c r="C541" t="str">
        <f>IF(X541="CUSTOMER DELIVERY",_xlfn.XLOOKUP(D541,'[1]Jan Customer Duplicate Hyva'!$B:$B,'[1]Jan Customer Duplicate Hyva'!$A:$A,"NOT FOUND"),"")</f>
        <v/>
      </c>
      <c r="D541" s="20" t="s">
        <v>215</v>
      </c>
      <c r="E541" s="2"/>
      <c r="F541" s="2"/>
      <c r="G541" s="2"/>
      <c r="H541" s="2"/>
      <c r="I541" s="2"/>
      <c r="J541" s="2"/>
      <c r="K541" s="2"/>
      <c r="L541" s="8" t="s">
        <v>205</v>
      </c>
      <c r="M541" s="9">
        <v>28</v>
      </c>
      <c r="N541" s="2"/>
      <c r="O541" s="2"/>
      <c r="P541" s="2"/>
      <c r="Q541" s="2"/>
      <c r="R541" s="2" t="str">
        <f t="shared" si="68"/>
        <v>PAID</v>
      </c>
      <c r="S541" s="2"/>
      <c r="T541" s="2">
        <f t="shared" si="64"/>
        <v>0</v>
      </c>
      <c r="U541" s="2" t="str">
        <f t="shared" si="65"/>
        <v>OK</v>
      </c>
      <c r="V541" s="7">
        <f t="shared" si="66"/>
        <v>0</v>
      </c>
      <c r="W541" s="2" t="str">
        <f t="shared" si="67"/>
        <v>OK</v>
      </c>
      <c r="X541" s="2" t="s">
        <v>196</v>
      </c>
      <c r="Y541" s="2" t="s">
        <v>27</v>
      </c>
      <c r="Z541" s="2" t="s">
        <v>28</v>
      </c>
      <c r="AA541" t="s">
        <v>245</v>
      </c>
      <c r="AB541" t="s">
        <v>245</v>
      </c>
      <c r="AC541" t="s">
        <v>245</v>
      </c>
    </row>
    <row r="542" spans="1:29" x14ac:dyDescent="0.2">
      <c r="A542" t="str">
        <f t="shared" si="63"/>
        <v>TRIP-TR-541</v>
      </c>
      <c r="B542" s="3">
        <v>46010</v>
      </c>
      <c r="C542" t="str">
        <f>IF(X542="CUSTOMER DELIVERY",_xlfn.XLOOKUP(D542,'[1]Jan Customer Duplicate Hyva'!$B:$B,'[1]Jan Customer Duplicate Hyva'!$A:$A,"NOT FOUND"),"")</f>
        <v/>
      </c>
      <c r="D542" s="20" t="s">
        <v>215</v>
      </c>
      <c r="E542" s="2"/>
      <c r="F542" s="2"/>
      <c r="G542" s="2"/>
      <c r="H542" s="2"/>
      <c r="I542" s="2"/>
      <c r="J542" s="2"/>
      <c r="K542" s="2"/>
      <c r="L542" s="8" t="s">
        <v>208</v>
      </c>
      <c r="M542" s="9">
        <v>2</v>
      </c>
      <c r="N542" s="2"/>
      <c r="O542" s="2"/>
      <c r="P542" s="2"/>
      <c r="Q542" s="2"/>
      <c r="R542" s="2" t="str">
        <f t="shared" si="68"/>
        <v>PAID</v>
      </c>
      <c r="S542" s="2"/>
      <c r="T542" s="2">
        <f t="shared" si="64"/>
        <v>0</v>
      </c>
      <c r="U542" s="2" t="str">
        <f t="shared" si="65"/>
        <v>OK</v>
      </c>
      <c r="V542" s="7">
        <f t="shared" si="66"/>
        <v>0</v>
      </c>
      <c r="W542" s="2" t="str">
        <f t="shared" si="67"/>
        <v>OK</v>
      </c>
      <c r="X542" s="2" t="s">
        <v>196</v>
      </c>
      <c r="Y542" s="2" t="s">
        <v>27</v>
      </c>
      <c r="Z542" s="2" t="s">
        <v>28</v>
      </c>
      <c r="AA542" t="s">
        <v>245</v>
      </c>
      <c r="AB542" t="s">
        <v>245</v>
      </c>
      <c r="AC542" t="s">
        <v>245</v>
      </c>
    </row>
    <row r="543" spans="1:29" x14ac:dyDescent="0.2">
      <c r="A543" t="str">
        <f t="shared" si="63"/>
        <v>TRIP-TR-542</v>
      </c>
      <c r="B543" s="3">
        <v>46011</v>
      </c>
      <c r="C543" t="str">
        <f>IF(X543="CUSTOMER DELIVERY",_xlfn.XLOOKUP(D543,'[1]Jan Customer Duplicate Hyva'!$B:$B,'[1]Jan Customer Duplicate Hyva'!$A:$A,"NOT FOUND"),"")</f>
        <v/>
      </c>
      <c r="D543" s="20" t="s">
        <v>215</v>
      </c>
      <c r="E543" s="2"/>
      <c r="F543" s="2"/>
      <c r="G543" s="2"/>
      <c r="H543" s="2"/>
      <c r="I543" s="2"/>
      <c r="J543" s="2"/>
      <c r="K543" s="2"/>
      <c r="L543" s="8" t="s">
        <v>205</v>
      </c>
      <c r="M543" s="9">
        <v>30</v>
      </c>
      <c r="N543" s="2"/>
      <c r="O543" s="2"/>
      <c r="P543" s="2"/>
      <c r="Q543" s="2"/>
      <c r="R543" s="2" t="str">
        <f t="shared" si="68"/>
        <v>PAID</v>
      </c>
      <c r="S543" s="2"/>
      <c r="T543" s="2">
        <f t="shared" si="64"/>
        <v>0</v>
      </c>
      <c r="U543" s="2" t="str">
        <f t="shared" si="65"/>
        <v>OK</v>
      </c>
      <c r="V543" s="7">
        <f t="shared" si="66"/>
        <v>0</v>
      </c>
      <c r="W543" s="2" t="str">
        <f t="shared" si="67"/>
        <v>OK</v>
      </c>
      <c r="X543" s="2" t="s">
        <v>196</v>
      </c>
      <c r="Y543" s="2" t="s">
        <v>27</v>
      </c>
      <c r="Z543" s="2" t="s">
        <v>28</v>
      </c>
      <c r="AA543" t="s">
        <v>245</v>
      </c>
      <c r="AB543" t="s">
        <v>245</v>
      </c>
      <c r="AC543" t="s">
        <v>245</v>
      </c>
    </row>
    <row r="544" spans="1:29" x14ac:dyDescent="0.2">
      <c r="A544" t="str">
        <f t="shared" si="63"/>
        <v>TRIP-TR-543</v>
      </c>
      <c r="B544" s="3">
        <v>46011</v>
      </c>
      <c r="C544" t="str">
        <f>IF(X544="CUSTOMER DELIVERY",_xlfn.XLOOKUP(D544,'[1]Jan Customer Duplicate Hyva'!$B:$B,'[1]Jan Customer Duplicate Hyva'!$A:$A,"NOT FOUND"),"")</f>
        <v/>
      </c>
      <c r="D544" s="20" t="s">
        <v>215</v>
      </c>
      <c r="E544" s="2"/>
      <c r="F544" s="2"/>
      <c r="G544" s="2"/>
      <c r="H544" s="2"/>
      <c r="I544" s="2"/>
      <c r="J544" s="2"/>
      <c r="K544" s="2"/>
      <c r="L544" s="8" t="s">
        <v>205</v>
      </c>
      <c r="M544" s="9">
        <v>25</v>
      </c>
      <c r="N544" s="2"/>
      <c r="O544" s="2"/>
      <c r="P544" s="2"/>
      <c r="Q544" s="2"/>
      <c r="R544" s="2" t="str">
        <f t="shared" si="68"/>
        <v>PAID</v>
      </c>
      <c r="S544" s="2"/>
      <c r="T544" s="2">
        <f t="shared" si="64"/>
        <v>0</v>
      </c>
      <c r="U544" s="2" t="str">
        <f t="shared" si="65"/>
        <v>OK</v>
      </c>
      <c r="V544" s="7">
        <f t="shared" si="66"/>
        <v>0</v>
      </c>
      <c r="W544" s="2" t="str">
        <f t="shared" si="67"/>
        <v>OK</v>
      </c>
      <c r="X544" s="2" t="s">
        <v>196</v>
      </c>
      <c r="Y544" s="2" t="s">
        <v>27</v>
      </c>
      <c r="Z544" s="2" t="s">
        <v>28</v>
      </c>
      <c r="AA544" t="s">
        <v>245</v>
      </c>
      <c r="AB544" t="s">
        <v>245</v>
      </c>
      <c r="AC544" t="s">
        <v>245</v>
      </c>
    </row>
    <row r="545" spans="1:29" x14ac:dyDescent="0.2">
      <c r="A545" t="str">
        <f t="shared" si="63"/>
        <v>TRIP-TR-544</v>
      </c>
      <c r="B545" s="3">
        <v>46011</v>
      </c>
      <c r="C545" t="str">
        <f>IF(X545="CUSTOMER DELIVERY",_xlfn.XLOOKUP(D545,'[1]Jan Customer Duplicate Hyva'!$B:$B,'[1]Jan Customer Duplicate Hyva'!$A:$A,"NOT FOUND"),"")</f>
        <v/>
      </c>
      <c r="D545" s="20" t="s">
        <v>215</v>
      </c>
      <c r="E545" s="2"/>
      <c r="F545" s="2"/>
      <c r="G545" s="2"/>
      <c r="H545" s="2"/>
      <c r="I545" s="2"/>
      <c r="J545" s="2"/>
      <c r="K545" s="2"/>
      <c r="L545" s="8" t="s">
        <v>209</v>
      </c>
      <c r="M545" s="9">
        <v>1</v>
      </c>
      <c r="N545" s="2"/>
      <c r="O545" s="2"/>
      <c r="P545" s="2"/>
      <c r="Q545" s="2"/>
      <c r="R545" s="2" t="str">
        <f t="shared" si="68"/>
        <v>PAID</v>
      </c>
      <c r="S545" s="2"/>
      <c r="T545" s="2">
        <f t="shared" si="64"/>
        <v>0</v>
      </c>
      <c r="U545" s="2" t="str">
        <f t="shared" si="65"/>
        <v>OK</v>
      </c>
      <c r="V545" s="7">
        <f t="shared" si="66"/>
        <v>0</v>
      </c>
      <c r="W545" s="2" t="str">
        <f t="shared" si="67"/>
        <v>OK</v>
      </c>
      <c r="X545" s="2" t="s">
        <v>196</v>
      </c>
      <c r="Y545" s="2" t="s">
        <v>27</v>
      </c>
      <c r="Z545" s="2" t="s">
        <v>28</v>
      </c>
      <c r="AA545" t="s">
        <v>245</v>
      </c>
      <c r="AB545" t="s">
        <v>245</v>
      </c>
      <c r="AC545" t="s">
        <v>245</v>
      </c>
    </row>
    <row r="546" spans="1:29" x14ac:dyDescent="0.2">
      <c r="A546" t="str">
        <f t="shared" si="63"/>
        <v>TRIP-TR-545</v>
      </c>
      <c r="B546" s="3">
        <v>46012</v>
      </c>
      <c r="C546" t="str">
        <f>IF(X546="CUSTOMER DELIVERY",_xlfn.XLOOKUP(D546,'[1]Jan Customer Duplicate Hyva'!$B:$B,'[1]Jan Customer Duplicate Hyva'!$A:$A,"NOT FOUND"),"")</f>
        <v/>
      </c>
      <c r="D546" s="20" t="s">
        <v>215</v>
      </c>
      <c r="E546" s="2"/>
      <c r="F546" s="2"/>
      <c r="G546" s="2"/>
      <c r="H546" s="2"/>
      <c r="I546" s="2"/>
      <c r="J546" s="2"/>
      <c r="K546" s="2"/>
      <c r="L546" s="8" t="s">
        <v>205</v>
      </c>
      <c r="M546" s="9">
        <v>28</v>
      </c>
      <c r="N546" s="2"/>
      <c r="O546" s="2"/>
      <c r="P546" s="2"/>
      <c r="Q546" s="2"/>
      <c r="R546" s="2" t="str">
        <f t="shared" si="68"/>
        <v>PAID</v>
      </c>
      <c r="S546" s="2"/>
      <c r="T546" s="2">
        <f t="shared" si="64"/>
        <v>0</v>
      </c>
      <c r="U546" s="2" t="str">
        <f t="shared" si="65"/>
        <v>OK</v>
      </c>
      <c r="V546" s="7">
        <f t="shared" si="66"/>
        <v>0</v>
      </c>
      <c r="W546" s="2" t="str">
        <f t="shared" si="67"/>
        <v>OK</v>
      </c>
      <c r="X546" s="2" t="s">
        <v>196</v>
      </c>
      <c r="Y546" s="2" t="s">
        <v>27</v>
      </c>
      <c r="Z546" s="2" t="s">
        <v>28</v>
      </c>
      <c r="AA546" t="s">
        <v>245</v>
      </c>
      <c r="AB546" t="s">
        <v>245</v>
      </c>
      <c r="AC546" t="s">
        <v>245</v>
      </c>
    </row>
    <row r="547" spans="1:29" x14ac:dyDescent="0.2">
      <c r="A547" t="str">
        <f t="shared" si="63"/>
        <v>TRIP-TR-546</v>
      </c>
      <c r="B547" s="3">
        <v>46013</v>
      </c>
      <c r="C547" t="str">
        <f>IF(X547="CUSTOMER DELIVERY",_xlfn.XLOOKUP(D547,'[1]Jan Customer Duplicate Hyva'!$B:$B,'[1]Jan Customer Duplicate Hyva'!$A:$A,"NOT FOUND"),"")</f>
        <v/>
      </c>
      <c r="D547" s="20" t="s">
        <v>215</v>
      </c>
      <c r="E547" s="2"/>
      <c r="F547" s="2"/>
      <c r="G547" s="2"/>
      <c r="H547" s="2"/>
      <c r="I547" s="2"/>
      <c r="J547" s="2"/>
      <c r="K547" s="2"/>
      <c r="L547" s="8" t="s">
        <v>205</v>
      </c>
      <c r="M547" s="9">
        <v>16</v>
      </c>
      <c r="N547" s="2"/>
      <c r="O547" s="2"/>
      <c r="P547" s="2"/>
      <c r="Q547" s="2"/>
      <c r="R547" s="2" t="str">
        <f t="shared" si="68"/>
        <v>PAID</v>
      </c>
      <c r="S547" s="2"/>
      <c r="T547" s="2">
        <f t="shared" si="64"/>
        <v>0</v>
      </c>
      <c r="U547" s="2" t="str">
        <f t="shared" si="65"/>
        <v>OK</v>
      </c>
      <c r="V547" s="7">
        <f t="shared" si="66"/>
        <v>0</v>
      </c>
      <c r="W547" s="2" t="str">
        <f t="shared" si="67"/>
        <v>OK</v>
      </c>
      <c r="X547" s="2" t="s">
        <v>196</v>
      </c>
      <c r="Y547" s="2" t="s">
        <v>27</v>
      </c>
      <c r="Z547" s="2" t="s">
        <v>28</v>
      </c>
      <c r="AA547" t="s">
        <v>245</v>
      </c>
      <c r="AB547" t="s">
        <v>245</v>
      </c>
      <c r="AC547" t="s">
        <v>245</v>
      </c>
    </row>
    <row r="548" spans="1:29" x14ac:dyDescent="0.2">
      <c r="A548" t="str">
        <f t="shared" si="63"/>
        <v>TRIP-TR-547</v>
      </c>
      <c r="B548" s="3">
        <v>46013</v>
      </c>
      <c r="C548" t="str">
        <f>IF(X548="CUSTOMER DELIVERY",_xlfn.XLOOKUP(D548,'[1]Jan Customer Duplicate Hyva'!$B:$B,'[1]Jan Customer Duplicate Hyva'!$A:$A,"NOT FOUND"),"")</f>
        <v/>
      </c>
      <c r="D548" s="20" t="s">
        <v>215</v>
      </c>
      <c r="E548" s="2"/>
      <c r="F548" s="2"/>
      <c r="G548" s="2"/>
      <c r="H548" s="2"/>
      <c r="I548" s="2"/>
      <c r="J548" s="2"/>
      <c r="K548" s="2"/>
      <c r="L548" s="8" t="s">
        <v>207</v>
      </c>
      <c r="M548" s="9">
        <v>7</v>
      </c>
      <c r="N548" s="2"/>
      <c r="O548" s="2"/>
      <c r="P548" s="2"/>
      <c r="Q548" s="2"/>
      <c r="R548" s="2" t="str">
        <f t="shared" si="68"/>
        <v>PAID</v>
      </c>
      <c r="S548" s="2"/>
      <c r="T548" s="2">
        <f t="shared" si="64"/>
        <v>0</v>
      </c>
      <c r="U548" s="2" t="str">
        <f t="shared" si="65"/>
        <v>OK</v>
      </c>
      <c r="V548" s="7">
        <f t="shared" si="66"/>
        <v>0</v>
      </c>
      <c r="W548" s="2" t="str">
        <f t="shared" si="67"/>
        <v>OK</v>
      </c>
      <c r="X548" s="2" t="s">
        <v>196</v>
      </c>
      <c r="Y548" s="2" t="s">
        <v>27</v>
      </c>
      <c r="Z548" s="2" t="s">
        <v>28</v>
      </c>
      <c r="AA548" t="s">
        <v>245</v>
      </c>
      <c r="AB548" t="s">
        <v>245</v>
      </c>
      <c r="AC548" t="s">
        <v>245</v>
      </c>
    </row>
    <row r="549" spans="1:29" x14ac:dyDescent="0.2">
      <c r="A549" t="str">
        <f t="shared" si="63"/>
        <v>TRIP-TR-548</v>
      </c>
      <c r="B549" s="3">
        <v>46013</v>
      </c>
      <c r="C549" t="str">
        <f>IF(X549="CUSTOMER DELIVERY",_xlfn.XLOOKUP(D549,'[1]Jan Customer Duplicate Hyva'!$B:$B,'[1]Jan Customer Duplicate Hyva'!$A:$A,"NOT FOUND"),"")</f>
        <v/>
      </c>
      <c r="D549" s="20" t="s">
        <v>215</v>
      </c>
      <c r="E549" s="2"/>
      <c r="F549" s="2"/>
      <c r="G549" s="2"/>
      <c r="H549" s="2"/>
      <c r="I549" s="2"/>
      <c r="J549" s="2"/>
      <c r="K549" s="2"/>
      <c r="L549" s="8" t="s">
        <v>205</v>
      </c>
      <c r="M549" s="9">
        <v>22</v>
      </c>
      <c r="N549" s="2"/>
      <c r="O549" s="2"/>
      <c r="P549" s="2"/>
      <c r="Q549" s="2"/>
      <c r="R549" s="2" t="str">
        <f t="shared" si="68"/>
        <v>PAID</v>
      </c>
      <c r="S549" s="2"/>
      <c r="T549" s="2">
        <f t="shared" si="64"/>
        <v>0</v>
      </c>
      <c r="U549" s="2" t="str">
        <f t="shared" si="65"/>
        <v>OK</v>
      </c>
      <c r="V549" s="7">
        <f t="shared" si="66"/>
        <v>0</v>
      </c>
      <c r="W549" s="2" t="str">
        <f t="shared" si="67"/>
        <v>OK</v>
      </c>
      <c r="X549" s="2" t="s">
        <v>196</v>
      </c>
      <c r="Y549" s="2" t="s">
        <v>27</v>
      </c>
      <c r="Z549" s="2" t="s">
        <v>28</v>
      </c>
      <c r="AA549" t="s">
        <v>245</v>
      </c>
      <c r="AB549" t="s">
        <v>245</v>
      </c>
      <c r="AC549" t="s">
        <v>245</v>
      </c>
    </row>
    <row r="550" spans="1:29" x14ac:dyDescent="0.2">
      <c r="A550" t="str">
        <f t="shared" si="63"/>
        <v>TRIP-TR-549</v>
      </c>
      <c r="B550" s="3">
        <v>46014</v>
      </c>
      <c r="C550" t="str">
        <f>IF(X550="CUSTOMER DELIVERY",_xlfn.XLOOKUP(D550,'[1]Jan Customer Duplicate Hyva'!$B:$B,'[1]Jan Customer Duplicate Hyva'!$A:$A,"NOT FOUND"),"")</f>
        <v/>
      </c>
      <c r="D550" s="20" t="s">
        <v>215</v>
      </c>
      <c r="E550" s="2"/>
      <c r="F550" s="2"/>
      <c r="G550" s="2"/>
      <c r="H550" s="2"/>
      <c r="I550" s="2"/>
      <c r="J550" s="2"/>
      <c r="K550" s="2"/>
      <c r="L550" s="8" t="s">
        <v>205</v>
      </c>
      <c r="M550" s="9">
        <v>24</v>
      </c>
      <c r="N550" s="2"/>
      <c r="O550" s="2"/>
      <c r="P550" s="2"/>
      <c r="Q550" s="2"/>
      <c r="R550" s="2" t="str">
        <f t="shared" si="68"/>
        <v>PAID</v>
      </c>
      <c r="S550" s="2"/>
      <c r="T550" s="2">
        <f t="shared" si="64"/>
        <v>0</v>
      </c>
      <c r="U550" s="2" t="str">
        <f t="shared" si="65"/>
        <v>OK</v>
      </c>
      <c r="V550" s="7">
        <f t="shared" si="66"/>
        <v>0</v>
      </c>
      <c r="W550" s="2" t="str">
        <f t="shared" si="67"/>
        <v>OK</v>
      </c>
      <c r="X550" s="2" t="s">
        <v>196</v>
      </c>
      <c r="Y550" s="2" t="s">
        <v>27</v>
      </c>
      <c r="Z550" s="2" t="s">
        <v>28</v>
      </c>
      <c r="AA550" t="s">
        <v>245</v>
      </c>
      <c r="AB550" t="s">
        <v>245</v>
      </c>
      <c r="AC550" t="s">
        <v>245</v>
      </c>
    </row>
    <row r="551" spans="1:29" x14ac:dyDescent="0.2">
      <c r="A551" t="str">
        <f t="shared" si="63"/>
        <v>TRIP-TR-550</v>
      </c>
      <c r="B551" s="3">
        <v>46014</v>
      </c>
      <c r="C551" t="str">
        <f>IF(X551="CUSTOMER DELIVERY",_xlfn.XLOOKUP(D551,'[1]Jan Customer Duplicate Hyva'!$B:$B,'[1]Jan Customer Duplicate Hyva'!$A:$A,"NOT FOUND"),"")</f>
        <v/>
      </c>
      <c r="D551" s="20" t="s">
        <v>215</v>
      </c>
      <c r="E551" s="2"/>
      <c r="F551" s="2"/>
      <c r="G551" s="2"/>
      <c r="H551" s="2"/>
      <c r="I551" s="2"/>
      <c r="J551" s="2"/>
      <c r="K551" s="2"/>
      <c r="L551" s="8" t="s">
        <v>209</v>
      </c>
      <c r="M551" s="9">
        <v>1</v>
      </c>
      <c r="N551" s="2"/>
      <c r="O551" s="2"/>
      <c r="P551" s="2"/>
      <c r="Q551" s="2"/>
      <c r="R551" s="2" t="str">
        <f t="shared" si="68"/>
        <v>PAID</v>
      </c>
      <c r="S551" s="2"/>
      <c r="T551" s="2">
        <f t="shared" si="64"/>
        <v>0</v>
      </c>
      <c r="U551" s="2" t="str">
        <f t="shared" si="65"/>
        <v>OK</v>
      </c>
      <c r="V551" s="7">
        <f t="shared" si="66"/>
        <v>0</v>
      </c>
      <c r="W551" s="2" t="str">
        <f t="shared" si="67"/>
        <v>OK</v>
      </c>
      <c r="X551" s="2" t="s">
        <v>196</v>
      </c>
      <c r="Y551" s="2" t="s">
        <v>27</v>
      </c>
      <c r="Z551" s="2" t="s">
        <v>28</v>
      </c>
      <c r="AA551" t="s">
        <v>245</v>
      </c>
      <c r="AB551" t="s">
        <v>245</v>
      </c>
      <c r="AC551" t="s">
        <v>245</v>
      </c>
    </row>
    <row r="552" spans="1:29" x14ac:dyDescent="0.2">
      <c r="A552" t="str">
        <f t="shared" si="63"/>
        <v>TRIP-TR-551</v>
      </c>
      <c r="B552" s="3">
        <v>46015</v>
      </c>
      <c r="C552" t="str">
        <f>IF(X552="CUSTOMER DELIVERY",_xlfn.XLOOKUP(D552,'[1]Jan Customer Duplicate Hyva'!$B:$B,'[1]Jan Customer Duplicate Hyva'!$A:$A,"NOT FOUND"),"")</f>
        <v/>
      </c>
      <c r="D552" s="20" t="s">
        <v>215</v>
      </c>
      <c r="E552" s="2"/>
      <c r="F552" s="2"/>
      <c r="G552" s="2"/>
      <c r="H552" s="2"/>
      <c r="I552" s="2"/>
      <c r="J552" s="2"/>
      <c r="K552" s="2"/>
      <c r="L552" s="8" t="s">
        <v>205</v>
      </c>
      <c r="M552" s="9">
        <v>21</v>
      </c>
      <c r="N552" s="2"/>
      <c r="O552" s="2"/>
      <c r="P552" s="2"/>
      <c r="Q552" s="2"/>
      <c r="R552" s="2" t="str">
        <f t="shared" si="68"/>
        <v>PAID</v>
      </c>
      <c r="S552" s="2"/>
      <c r="T552" s="2">
        <f t="shared" si="64"/>
        <v>0</v>
      </c>
      <c r="U552" s="2" t="str">
        <f t="shared" si="65"/>
        <v>OK</v>
      </c>
      <c r="V552" s="7">
        <f t="shared" si="66"/>
        <v>0</v>
      </c>
      <c r="W552" s="2" t="str">
        <f t="shared" si="67"/>
        <v>OK</v>
      </c>
      <c r="X552" s="2" t="s">
        <v>196</v>
      </c>
      <c r="Y552" s="2" t="s">
        <v>27</v>
      </c>
      <c r="Z552" s="2" t="s">
        <v>28</v>
      </c>
      <c r="AA552" t="s">
        <v>245</v>
      </c>
      <c r="AB552" t="s">
        <v>245</v>
      </c>
      <c r="AC552" t="s">
        <v>245</v>
      </c>
    </row>
    <row r="553" spans="1:29" x14ac:dyDescent="0.2">
      <c r="A553" t="str">
        <f t="shared" si="63"/>
        <v>TRIP-TR-552</v>
      </c>
      <c r="B553" s="3">
        <v>46015</v>
      </c>
      <c r="C553" t="str">
        <f>IF(X553="CUSTOMER DELIVERY",_xlfn.XLOOKUP(D553,'[1]Jan Customer Duplicate Hyva'!$B:$B,'[1]Jan Customer Duplicate Hyva'!$A:$A,"NOT FOUND"),"")</f>
        <v/>
      </c>
      <c r="D553" s="20" t="s">
        <v>215</v>
      </c>
      <c r="E553" s="2"/>
      <c r="F553" s="2"/>
      <c r="G553" s="2"/>
      <c r="H553" s="2"/>
      <c r="I553" s="2"/>
      <c r="J553" s="2"/>
      <c r="K553" s="2"/>
      <c r="L553" s="8" t="s">
        <v>205</v>
      </c>
      <c r="M553" s="9">
        <v>23</v>
      </c>
      <c r="N553" s="2"/>
      <c r="O553" s="2"/>
      <c r="P553" s="2"/>
      <c r="Q553" s="2"/>
      <c r="R553" s="2" t="str">
        <f t="shared" si="68"/>
        <v>PAID</v>
      </c>
      <c r="S553" s="2"/>
      <c r="T553" s="2">
        <f t="shared" si="64"/>
        <v>0</v>
      </c>
      <c r="U553" s="2" t="str">
        <f t="shared" si="65"/>
        <v>OK</v>
      </c>
      <c r="V553" s="7">
        <f t="shared" si="66"/>
        <v>0</v>
      </c>
      <c r="W553" s="2" t="str">
        <f t="shared" si="67"/>
        <v>OK</v>
      </c>
      <c r="X553" s="2" t="s">
        <v>196</v>
      </c>
      <c r="Y553" s="2" t="s">
        <v>27</v>
      </c>
      <c r="Z553" s="2" t="s">
        <v>28</v>
      </c>
      <c r="AA553" t="s">
        <v>245</v>
      </c>
      <c r="AB553" t="s">
        <v>245</v>
      </c>
      <c r="AC553" t="s">
        <v>245</v>
      </c>
    </row>
    <row r="554" spans="1:29" x14ac:dyDescent="0.2">
      <c r="A554" t="str">
        <f t="shared" si="63"/>
        <v>TRIP-TR-553</v>
      </c>
      <c r="B554" s="3">
        <v>46015</v>
      </c>
      <c r="C554" t="str">
        <f>IF(X554="CUSTOMER DELIVERY",_xlfn.XLOOKUP(D554,'[1]Jan Customer Duplicate Hyva'!$B:$B,'[1]Jan Customer Duplicate Hyva'!$A:$A,"NOT FOUND"),"")</f>
        <v/>
      </c>
      <c r="D554" s="20" t="s">
        <v>215</v>
      </c>
      <c r="E554" s="2"/>
      <c r="F554" s="2"/>
      <c r="G554" s="2"/>
      <c r="H554" s="2"/>
      <c r="I554" s="2"/>
      <c r="J554" s="2"/>
      <c r="K554" s="2"/>
      <c r="L554" s="8" t="s">
        <v>205</v>
      </c>
      <c r="M554" s="9">
        <v>26</v>
      </c>
      <c r="N554" s="2"/>
      <c r="O554" s="2"/>
      <c r="P554" s="2"/>
      <c r="Q554" s="2"/>
      <c r="R554" s="2" t="str">
        <f t="shared" si="68"/>
        <v>PAID</v>
      </c>
      <c r="S554" s="2"/>
      <c r="T554" s="2">
        <f t="shared" si="64"/>
        <v>0</v>
      </c>
      <c r="U554" s="2" t="str">
        <f t="shared" si="65"/>
        <v>OK</v>
      </c>
      <c r="V554" s="7">
        <f t="shared" si="66"/>
        <v>0</v>
      </c>
      <c r="W554" s="2" t="str">
        <f t="shared" si="67"/>
        <v>OK</v>
      </c>
      <c r="X554" s="2" t="s">
        <v>196</v>
      </c>
      <c r="Y554" s="2" t="s">
        <v>27</v>
      </c>
      <c r="Z554" s="2" t="s">
        <v>28</v>
      </c>
      <c r="AA554" t="s">
        <v>245</v>
      </c>
      <c r="AB554" t="s">
        <v>245</v>
      </c>
      <c r="AC554" t="s">
        <v>245</v>
      </c>
    </row>
    <row r="555" spans="1:29" x14ac:dyDescent="0.2">
      <c r="A555" t="str">
        <f t="shared" si="63"/>
        <v>TRIP-TR-554</v>
      </c>
      <c r="B555" s="3">
        <v>46016</v>
      </c>
      <c r="C555" t="str">
        <f>IF(X555="CUSTOMER DELIVERY",_xlfn.XLOOKUP(D555,'[1]Jan Customer Duplicate Hyva'!$B:$B,'[1]Jan Customer Duplicate Hyva'!$A:$A,"NOT FOUND"),"")</f>
        <v/>
      </c>
      <c r="D555" s="20" t="s">
        <v>215</v>
      </c>
      <c r="E555" s="2"/>
      <c r="F555" s="2"/>
      <c r="G555" s="2"/>
      <c r="H555" s="2"/>
      <c r="I555" s="2"/>
      <c r="J555" s="2"/>
      <c r="K555" s="2"/>
      <c r="L555" s="8" t="s">
        <v>205</v>
      </c>
      <c r="M555" s="9">
        <v>25</v>
      </c>
      <c r="N555" s="2"/>
      <c r="O555" s="2"/>
      <c r="P555" s="2"/>
      <c r="Q555" s="2"/>
      <c r="R555" s="2" t="str">
        <f t="shared" si="68"/>
        <v>PAID</v>
      </c>
      <c r="S555" s="2"/>
      <c r="T555" s="2">
        <f t="shared" si="64"/>
        <v>0</v>
      </c>
      <c r="U555" s="2" t="str">
        <f t="shared" si="65"/>
        <v>OK</v>
      </c>
      <c r="V555" s="7">
        <f t="shared" si="66"/>
        <v>0</v>
      </c>
      <c r="W555" s="2" t="str">
        <f t="shared" si="67"/>
        <v>OK</v>
      </c>
      <c r="X555" s="2" t="s">
        <v>196</v>
      </c>
      <c r="Y555" s="2" t="s">
        <v>27</v>
      </c>
      <c r="Z555" s="2" t="s">
        <v>28</v>
      </c>
      <c r="AA555" t="s">
        <v>245</v>
      </c>
      <c r="AB555" t="s">
        <v>245</v>
      </c>
      <c r="AC555" t="s">
        <v>245</v>
      </c>
    </row>
    <row r="556" spans="1:29" x14ac:dyDescent="0.2">
      <c r="A556" t="str">
        <f t="shared" si="63"/>
        <v>TRIP-TR-555</v>
      </c>
      <c r="B556" s="3">
        <v>46017</v>
      </c>
      <c r="C556" t="str">
        <f>IF(X556="CUSTOMER DELIVERY",_xlfn.XLOOKUP(D556,'[1]Jan Customer Duplicate Hyva'!$B:$B,'[1]Jan Customer Duplicate Hyva'!$A:$A,"NOT FOUND"),"")</f>
        <v/>
      </c>
      <c r="D556" s="20" t="s">
        <v>215</v>
      </c>
      <c r="E556" s="2"/>
      <c r="F556" s="2"/>
      <c r="G556" s="2"/>
      <c r="H556" s="2"/>
      <c r="I556" s="2"/>
      <c r="J556" s="2"/>
      <c r="K556" s="2"/>
      <c r="L556" s="8" t="s">
        <v>205</v>
      </c>
      <c r="M556" s="9">
        <v>26</v>
      </c>
      <c r="N556" s="2"/>
      <c r="O556" s="2"/>
      <c r="P556" s="2"/>
      <c r="Q556" s="2"/>
      <c r="R556" s="2" t="str">
        <f t="shared" si="68"/>
        <v>PAID</v>
      </c>
      <c r="S556" s="2"/>
      <c r="T556" s="2">
        <f t="shared" si="64"/>
        <v>0</v>
      </c>
      <c r="U556" s="2" t="str">
        <f t="shared" si="65"/>
        <v>OK</v>
      </c>
      <c r="V556" s="7">
        <f t="shared" si="66"/>
        <v>0</v>
      </c>
      <c r="W556" s="2" t="str">
        <f t="shared" si="67"/>
        <v>OK</v>
      </c>
      <c r="X556" s="2" t="s">
        <v>196</v>
      </c>
      <c r="Y556" s="2" t="s">
        <v>27</v>
      </c>
      <c r="Z556" s="2" t="s">
        <v>28</v>
      </c>
      <c r="AA556" t="s">
        <v>245</v>
      </c>
      <c r="AB556" t="s">
        <v>245</v>
      </c>
      <c r="AC556" t="s">
        <v>245</v>
      </c>
    </row>
    <row r="557" spans="1:29" x14ac:dyDescent="0.2">
      <c r="A557" t="str">
        <f t="shared" si="63"/>
        <v>TRIP-TR-556</v>
      </c>
      <c r="B557" s="3">
        <v>46018</v>
      </c>
      <c r="C557" t="str">
        <f>IF(X557="CUSTOMER DELIVERY",_xlfn.XLOOKUP(D557,'[1]Jan Customer Duplicate Hyva'!$B:$B,'[1]Jan Customer Duplicate Hyva'!$A:$A,"NOT FOUND"),"")</f>
        <v/>
      </c>
      <c r="D557" s="20" t="s">
        <v>215</v>
      </c>
      <c r="E557" s="2"/>
      <c r="F557" s="2"/>
      <c r="G557" s="2"/>
      <c r="H557" s="2"/>
      <c r="I557" s="2"/>
      <c r="J557" s="2"/>
      <c r="K557" s="2"/>
      <c r="L557" s="8" t="s">
        <v>205</v>
      </c>
      <c r="M557" s="9">
        <v>25</v>
      </c>
      <c r="N557" s="2"/>
      <c r="O557" s="2"/>
      <c r="P557" s="2"/>
      <c r="Q557" s="2"/>
      <c r="R557" s="2" t="str">
        <f t="shared" si="68"/>
        <v>PAID</v>
      </c>
      <c r="S557" s="2"/>
      <c r="T557" s="2">
        <f t="shared" si="64"/>
        <v>0</v>
      </c>
      <c r="U557" s="2" t="str">
        <f t="shared" si="65"/>
        <v>OK</v>
      </c>
      <c r="V557" s="7">
        <f t="shared" si="66"/>
        <v>0</v>
      </c>
      <c r="W557" s="2" t="str">
        <f t="shared" si="67"/>
        <v>OK</v>
      </c>
      <c r="X557" s="2" t="s">
        <v>196</v>
      </c>
      <c r="Y557" s="2" t="s">
        <v>27</v>
      </c>
      <c r="Z557" s="2" t="s">
        <v>28</v>
      </c>
      <c r="AA557" t="s">
        <v>245</v>
      </c>
      <c r="AB557" t="s">
        <v>245</v>
      </c>
      <c r="AC557" t="s">
        <v>245</v>
      </c>
    </row>
    <row r="558" spans="1:29" x14ac:dyDescent="0.2">
      <c r="A558" t="str">
        <f t="shared" si="63"/>
        <v>TRIP-TR-557</v>
      </c>
      <c r="B558" s="3">
        <v>46018</v>
      </c>
      <c r="C558" t="str">
        <f>IF(X558="CUSTOMER DELIVERY",_xlfn.XLOOKUP(D558,'[1]Jan Customer Duplicate Hyva'!$B:$B,'[1]Jan Customer Duplicate Hyva'!$A:$A,"NOT FOUND"),"")</f>
        <v/>
      </c>
      <c r="D558" s="20" t="s">
        <v>215</v>
      </c>
      <c r="E558" s="2"/>
      <c r="F558" s="2"/>
      <c r="G558" s="2"/>
      <c r="H558" s="2"/>
      <c r="I558" s="2"/>
      <c r="J558" s="2"/>
      <c r="K558" s="2"/>
      <c r="L558" s="8" t="s">
        <v>205</v>
      </c>
      <c r="M558" s="9">
        <v>14</v>
      </c>
      <c r="N558" s="2"/>
      <c r="O558" s="2"/>
      <c r="P558" s="2"/>
      <c r="Q558" s="2"/>
      <c r="R558" s="2" t="str">
        <f t="shared" si="68"/>
        <v>PAID</v>
      </c>
      <c r="S558" s="2"/>
      <c r="T558" s="2">
        <f t="shared" si="64"/>
        <v>0</v>
      </c>
      <c r="U558" s="2" t="str">
        <f t="shared" si="65"/>
        <v>OK</v>
      </c>
      <c r="V558" s="7">
        <f t="shared" si="66"/>
        <v>0</v>
      </c>
      <c r="W558" s="2" t="str">
        <f t="shared" si="67"/>
        <v>OK</v>
      </c>
      <c r="X558" s="2" t="s">
        <v>196</v>
      </c>
      <c r="Y558" s="2" t="s">
        <v>27</v>
      </c>
      <c r="Z558" s="2" t="s">
        <v>28</v>
      </c>
      <c r="AA558" t="s">
        <v>245</v>
      </c>
      <c r="AB558" t="s">
        <v>245</v>
      </c>
      <c r="AC558" t="s">
        <v>245</v>
      </c>
    </row>
    <row r="559" spans="1:29" x14ac:dyDescent="0.2">
      <c r="A559" t="str">
        <f t="shared" si="63"/>
        <v>TRIP-TR-558</v>
      </c>
      <c r="B559" s="3">
        <v>46019</v>
      </c>
      <c r="C559" t="str">
        <f>IF(X559="CUSTOMER DELIVERY",_xlfn.XLOOKUP(D559,'[1]Jan Customer Duplicate Hyva'!$B:$B,'[1]Jan Customer Duplicate Hyva'!$A:$A,"NOT FOUND"),"")</f>
        <v/>
      </c>
      <c r="D559" s="20" t="s">
        <v>215</v>
      </c>
      <c r="E559" s="2"/>
      <c r="F559" s="2"/>
      <c r="G559" s="2"/>
      <c r="H559" s="2"/>
      <c r="I559" s="2"/>
      <c r="J559" s="2"/>
      <c r="K559" s="2"/>
      <c r="L559" s="8" t="s">
        <v>205</v>
      </c>
      <c r="M559" s="9">
        <v>23</v>
      </c>
      <c r="N559" s="2"/>
      <c r="O559" s="2"/>
      <c r="P559" s="2"/>
      <c r="Q559" s="2"/>
      <c r="R559" s="2" t="str">
        <f t="shared" si="68"/>
        <v>PAID</v>
      </c>
      <c r="S559" s="2"/>
      <c r="T559" s="2">
        <f t="shared" si="64"/>
        <v>0</v>
      </c>
      <c r="U559" s="2" t="str">
        <f t="shared" si="65"/>
        <v>OK</v>
      </c>
      <c r="V559" s="7">
        <f t="shared" si="66"/>
        <v>0</v>
      </c>
      <c r="W559" s="2" t="str">
        <f t="shared" si="67"/>
        <v>OK</v>
      </c>
      <c r="X559" s="2" t="s">
        <v>196</v>
      </c>
      <c r="Y559" s="2" t="s">
        <v>27</v>
      </c>
      <c r="Z559" s="2" t="s">
        <v>28</v>
      </c>
      <c r="AA559" t="s">
        <v>245</v>
      </c>
      <c r="AB559" t="s">
        <v>245</v>
      </c>
      <c r="AC559" t="s">
        <v>245</v>
      </c>
    </row>
    <row r="560" spans="1:29" x14ac:dyDescent="0.2">
      <c r="A560" t="str">
        <f t="shared" si="63"/>
        <v>TRIP-TR-559</v>
      </c>
      <c r="B560" s="3">
        <v>46019</v>
      </c>
      <c r="C560" t="str">
        <f>IF(X560="CUSTOMER DELIVERY",_xlfn.XLOOKUP(D560,'[1]Jan Customer Duplicate Hyva'!$B:$B,'[1]Jan Customer Duplicate Hyva'!$A:$A,"NOT FOUND"),"")</f>
        <v/>
      </c>
      <c r="D560" s="20" t="s">
        <v>215</v>
      </c>
      <c r="E560" s="2"/>
      <c r="F560" s="2"/>
      <c r="G560" s="2"/>
      <c r="H560" s="2"/>
      <c r="I560" s="2"/>
      <c r="J560" s="2"/>
      <c r="K560" s="2"/>
      <c r="L560" s="8" t="s">
        <v>209</v>
      </c>
      <c r="M560" s="9">
        <v>1</v>
      </c>
      <c r="N560" s="2"/>
      <c r="O560" s="2"/>
      <c r="P560" s="2"/>
      <c r="Q560" s="2"/>
      <c r="R560" s="2" t="str">
        <f t="shared" si="68"/>
        <v>PAID</v>
      </c>
      <c r="S560" s="2"/>
      <c r="T560" s="2">
        <f t="shared" si="64"/>
        <v>0</v>
      </c>
      <c r="U560" s="2" t="str">
        <f t="shared" si="65"/>
        <v>OK</v>
      </c>
      <c r="V560" s="7">
        <f t="shared" si="66"/>
        <v>0</v>
      </c>
      <c r="W560" s="2" t="str">
        <f t="shared" si="67"/>
        <v>OK</v>
      </c>
      <c r="X560" s="2" t="s">
        <v>196</v>
      </c>
      <c r="Y560" s="2" t="s">
        <v>27</v>
      </c>
      <c r="Z560" s="2" t="s">
        <v>28</v>
      </c>
      <c r="AA560" t="s">
        <v>245</v>
      </c>
      <c r="AB560" t="s">
        <v>245</v>
      </c>
      <c r="AC560" t="s">
        <v>245</v>
      </c>
    </row>
    <row r="561" spans="1:29" x14ac:dyDescent="0.2">
      <c r="A561" t="str">
        <f t="shared" si="63"/>
        <v>TRIP-TR-560</v>
      </c>
      <c r="B561" s="3">
        <v>46020</v>
      </c>
      <c r="C561" t="str">
        <f>IF(X561="CUSTOMER DELIVERY",_xlfn.XLOOKUP(D561,'[1]Jan Customer Duplicate Hyva'!$B:$B,'[1]Jan Customer Duplicate Hyva'!$A:$A,"NOT FOUND"),"")</f>
        <v/>
      </c>
      <c r="D561" s="20" t="s">
        <v>215</v>
      </c>
      <c r="E561" s="2"/>
      <c r="F561" s="2"/>
      <c r="G561" s="2"/>
      <c r="H561" s="2"/>
      <c r="I561" s="2"/>
      <c r="J561" s="2"/>
      <c r="K561" s="2"/>
      <c r="L561" s="8" t="s">
        <v>205</v>
      </c>
      <c r="M561" s="9">
        <v>22</v>
      </c>
      <c r="N561" s="2"/>
      <c r="O561" s="2"/>
      <c r="P561" s="2"/>
      <c r="Q561" s="2"/>
      <c r="R561" s="2" t="str">
        <f t="shared" si="68"/>
        <v>PAID</v>
      </c>
      <c r="S561" s="2"/>
      <c r="T561" s="2">
        <f t="shared" si="64"/>
        <v>0</v>
      </c>
      <c r="U561" s="2" t="str">
        <f t="shared" si="65"/>
        <v>OK</v>
      </c>
      <c r="V561" s="7">
        <f t="shared" si="66"/>
        <v>0</v>
      </c>
      <c r="W561" s="2" t="str">
        <f t="shared" si="67"/>
        <v>OK</v>
      </c>
      <c r="X561" s="2" t="s">
        <v>196</v>
      </c>
      <c r="Y561" s="2" t="s">
        <v>27</v>
      </c>
      <c r="Z561" s="2" t="s">
        <v>28</v>
      </c>
      <c r="AA561" t="s">
        <v>245</v>
      </c>
      <c r="AB561" t="s">
        <v>245</v>
      </c>
      <c r="AC561" t="s">
        <v>245</v>
      </c>
    </row>
    <row r="562" spans="1:29" x14ac:dyDescent="0.2">
      <c r="A562" t="str">
        <f t="shared" si="63"/>
        <v>TRIP-TR-561</v>
      </c>
      <c r="B562" s="3">
        <v>46021</v>
      </c>
      <c r="C562" t="str">
        <f>IF(X562="CUSTOMER DELIVERY",_xlfn.XLOOKUP(D562,'[1]Jan Customer Duplicate Hyva'!$B:$B,'[1]Jan Customer Duplicate Hyva'!$A:$A,"NOT FOUND"),"")</f>
        <v/>
      </c>
      <c r="D562" s="20" t="s">
        <v>215</v>
      </c>
      <c r="E562" s="2"/>
      <c r="F562" s="2"/>
      <c r="G562" s="2"/>
      <c r="H562" s="2"/>
      <c r="I562" s="2"/>
      <c r="J562" s="2"/>
      <c r="K562" s="2"/>
      <c r="L562" s="8" t="s">
        <v>205</v>
      </c>
      <c r="M562" s="9">
        <v>18</v>
      </c>
      <c r="N562" s="2"/>
      <c r="O562" s="2"/>
      <c r="P562" s="2"/>
      <c r="Q562" s="2"/>
      <c r="R562" s="2" t="str">
        <f t="shared" si="68"/>
        <v>PAID</v>
      </c>
      <c r="S562" s="2"/>
      <c r="T562" s="2">
        <f t="shared" si="64"/>
        <v>0</v>
      </c>
      <c r="U562" s="2" t="str">
        <f t="shared" si="65"/>
        <v>OK</v>
      </c>
      <c r="V562" s="7">
        <f t="shared" si="66"/>
        <v>0</v>
      </c>
      <c r="W562" s="2" t="str">
        <f t="shared" si="67"/>
        <v>OK</v>
      </c>
      <c r="X562" s="2" t="s">
        <v>196</v>
      </c>
      <c r="Y562" s="2" t="s">
        <v>27</v>
      </c>
      <c r="Z562" s="2" t="s">
        <v>28</v>
      </c>
      <c r="AA562" t="s">
        <v>245</v>
      </c>
      <c r="AB562" t="s">
        <v>245</v>
      </c>
      <c r="AC562" t="s">
        <v>245</v>
      </c>
    </row>
    <row r="563" spans="1:29" x14ac:dyDescent="0.2">
      <c r="A563" t="str">
        <f t="shared" si="63"/>
        <v>TRIP-TR-562</v>
      </c>
      <c r="B563" s="3">
        <v>46021</v>
      </c>
      <c r="C563" t="str">
        <f>IF(X563="CUSTOMER DELIVERY",_xlfn.XLOOKUP(D563,'[1]Jan Customer Duplicate Hyva'!$B:$B,'[1]Jan Customer Duplicate Hyva'!$A:$A,"NOT FOUND"),"")</f>
        <v/>
      </c>
      <c r="D563" s="20" t="s">
        <v>215</v>
      </c>
      <c r="E563" s="2"/>
      <c r="F563" s="2"/>
      <c r="G563" s="2"/>
      <c r="H563" s="2"/>
      <c r="I563" s="2"/>
      <c r="J563" s="2"/>
      <c r="K563" s="2"/>
      <c r="L563" s="8" t="s">
        <v>205</v>
      </c>
      <c r="M563" s="9">
        <v>24</v>
      </c>
      <c r="N563" s="2"/>
      <c r="O563" s="2"/>
      <c r="P563" s="2"/>
      <c r="Q563" s="2"/>
      <c r="R563" s="2" t="str">
        <f t="shared" si="68"/>
        <v>PAID</v>
      </c>
      <c r="S563" s="2"/>
      <c r="T563" s="2">
        <f t="shared" si="64"/>
        <v>0</v>
      </c>
      <c r="U563" s="2" t="str">
        <f t="shared" si="65"/>
        <v>OK</v>
      </c>
      <c r="V563" s="7">
        <f t="shared" si="66"/>
        <v>0</v>
      </c>
      <c r="W563" s="2" t="str">
        <f t="shared" si="67"/>
        <v>OK</v>
      </c>
      <c r="X563" s="2" t="s">
        <v>196</v>
      </c>
      <c r="Y563" s="2" t="s">
        <v>27</v>
      </c>
      <c r="Z563" s="2" t="s">
        <v>28</v>
      </c>
      <c r="AA563" t="s">
        <v>245</v>
      </c>
      <c r="AB563" t="s">
        <v>245</v>
      </c>
      <c r="AC563" t="s">
        <v>245</v>
      </c>
    </row>
    <row r="564" spans="1:29" x14ac:dyDescent="0.2">
      <c r="A564" t="str">
        <f t="shared" si="63"/>
        <v>TRIP-TR-563</v>
      </c>
      <c r="B564" s="3">
        <v>46022</v>
      </c>
      <c r="C564" t="str">
        <f>IF(X564="CUSTOMER DELIVERY",_xlfn.XLOOKUP(D564,'[1]Jan Customer Duplicate Hyva'!$B:$B,'[1]Jan Customer Duplicate Hyva'!$A:$A,"NOT FOUND"),"")</f>
        <v/>
      </c>
      <c r="D564" s="20" t="s">
        <v>215</v>
      </c>
      <c r="E564" s="2"/>
      <c r="F564" s="2"/>
      <c r="G564" s="2"/>
      <c r="H564" s="2"/>
      <c r="I564" s="2"/>
      <c r="J564" s="2"/>
      <c r="K564" s="2"/>
      <c r="L564" s="8" t="s">
        <v>205</v>
      </c>
      <c r="M564" s="9">
        <v>16</v>
      </c>
      <c r="N564" s="2"/>
      <c r="O564" s="2"/>
      <c r="P564" s="2"/>
      <c r="Q564" s="2"/>
      <c r="R564" s="2" t="str">
        <f t="shared" si="68"/>
        <v>PAID</v>
      </c>
      <c r="S564" s="2"/>
      <c r="T564" s="2">
        <f t="shared" si="64"/>
        <v>0</v>
      </c>
      <c r="U564" s="2" t="str">
        <f t="shared" si="65"/>
        <v>OK</v>
      </c>
      <c r="V564" s="7">
        <f t="shared" si="66"/>
        <v>0</v>
      </c>
      <c r="W564" s="2" t="str">
        <f t="shared" si="67"/>
        <v>OK</v>
      </c>
      <c r="X564" s="2" t="s">
        <v>196</v>
      </c>
      <c r="Y564" s="2" t="s">
        <v>27</v>
      </c>
      <c r="Z564" s="2" t="s">
        <v>28</v>
      </c>
      <c r="AA564" t="s">
        <v>245</v>
      </c>
      <c r="AB564" t="s">
        <v>245</v>
      </c>
      <c r="AC564" t="s">
        <v>245</v>
      </c>
    </row>
    <row r="565" spans="1:29" x14ac:dyDescent="0.2">
      <c r="A565" t="str">
        <f t="shared" si="63"/>
        <v>TRIP-TR-564</v>
      </c>
      <c r="B565" s="15">
        <v>45682</v>
      </c>
      <c r="C565" t="str">
        <f>IF(X565="CUSTOMER DELIVERY",_xlfn.XLOOKUP(D565,'[1]Jan Customer Duplicate Hyva'!$B:$B,'[1]Jan Customer Duplicate Hyva'!$A:$A,"NOT FOUND"),"")</f>
        <v>CUST-394</v>
      </c>
      <c r="D565" s="20" t="s">
        <v>245</v>
      </c>
      <c r="L565" s="20" t="s">
        <v>42</v>
      </c>
      <c r="M565" s="21">
        <v>1</v>
      </c>
      <c r="N565" s="18">
        <v>4000</v>
      </c>
      <c r="O565" s="18">
        <f>N565*M565</f>
        <v>4000</v>
      </c>
      <c r="P565" s="18">
        <v>4000</v>
      </c>
      <c r="T565">
        <f t="shared" ref="T565:T589" si="69">M565*N565</f>
        <v>4000</v>
      </c>
      <c r="U565" t="str">
        <f t="shared" ref="U565:U589" si="70">IF(ROUND(T565,2)=ROUND(O565,2),"OK","CHECK")</f>
        <v>OK</v>
      </c>
      <c r="V565" s="19">
        <f t="shared" ref="V565:V589" si="71">O565-P565</f>
        <v>0</v>
      </c>
      <c r="W565" t="str">
        <f t="shared" ref="W565:W589" si="72">IF(ROUND(V565,2)=ROUND(Q565,2),"OK","CHECK")</f>
        <v>OK</v>
      </c>
      <c r="X565" t="s">
        <v>26</v>
      </c>
      <c r="Y565" t="s">
        <v>27</v>
      </c>
      <c r="Z565" t="s">
        <v>28</v>
      </c>
      <c r="AA565" t="s">
        <v>245</v>
      </c>
      <c r="AB565" t="s">
        <v>245</v>
      </c>
      <c r="AC565" t="s">
        <v>245</v>
      </c>
    </row>
    <row r="566" spans="1:29" x14ac:dyDescent="0.2">
      <c r="A566" t="str">
        <f t="shared" si="63"/>
        <v>TRIP-TR-565</v>
      </c>
      <c r="B566" s="15">
        <v>45658</v>
      </c>
      <c r="C566" t="str">
        <f>IF(X566="CUSTOMER DELIVERY",_xlfn.XLOOKUP(D566,'[1]Jan Customer Duplicate Hyva'!$B:$B,'[1]Jan Customer Duplicate Hyva'!$A:$A,"NOT FOUND"),"")</f>
        <v/>
      </c>
      <c r="D566" s="20" t="s">
        <v>215</v>
      </c>
      <c r="L566" s="20" t="s">
        <v>214</v>
      </c>
      <c r="M566" s="22">
        <v>1</v>
      </c>
      <c r="T566">
        <f t="shared" si="69"/>
        <v>0</v>
      </c>
      <c r="U566" t="str">
        <f t="shared" si="70"/>
        <v>OK</v>
      </c>
      <c r="V566" s="19">
        <f t="shared" si="71"/>
        <v>0</v>
      </c>
      <c r="W566" t="str">
        <f t="shared" si="72"/>
        <v>OK</v>
      </c>
      <c r="X566" t="s">
        <v>196</v>
      </c>
      <c r="Y566" t="s">
        <v>27</v>
      </c>
      <c r="Z566" t="s">
        <v>28</v>
      </c>
      <c r="AA566" t="s">
        <v>245</v>
      </c>
      <c r="AB566" t="s">
        <v>245</v>
      </c>
      <c r="AC566" t="s">
        <v>245</v>
      </c>
    </row>
    <row r="567" spans="1:29" x14ac:dyDescent="0.2">
      <c r="A567" t="str">
        <f t="shared" si="63"/>
        <v>TRIP-TR-566</v>
      </c>
      <c r="B567" s="15">
        <v>45666</v>
      </c>
      <c r="C567" t="str">
        <f>IF(X567="CUSTOMER DELIVERY",_xlfn.XLOOKUP(D567,'[1]Jan Customer Duplicate Hyva'!$B:$B,'[1]Jan Customer Duplicate Hyva'!$A:$A,"NOT FOUND"),"")</f>
        <v/>
      </c>
      <c r="D567" s="20" t="s">
        <v>215</v>
      </c>
      <c r="L567" s="20" t="s">
        <v>214</v>
      </c>
      <c r="M567" s="21">
        <v>3</v>
      </c>
      <c r="T567">
        <f t="shared" si="69"/>
        <v>0</v>
      </c>
      <c r="U567" t="str">
        <f t="shared" si="70"/>
        <v>OK</v>
      </c>
      <c r="V567" s="19">
        <f t="shared" si="71"/>
        <v>0</v>
      </c>
      <c r="W567" t="str">
        <f t="shared" si="72"/>
        <v>OK</v>
      </c>
      <c r="X567" t="s">
        <v>196</v>
      </c>
      <c r="Y567" t="s">
        <v>27</v>
      </c>
      <c r="Z567" t="s">
        <v>28</v>
      </c>
      <c r="AA567" t="s">
        <v>245</v>
      </c>
      <c r="AB567" t="s">
        <v>245</v>
      </c>
      <c r="AC567" t="s">
        <v>245</v>
      </c>
    </row>
    <row r="568" spans="1:29" x14ac:dyDescent="0.2">
      <c r="A568" t="str">
        <f t="shared" si="63"/>
        <v>TRIP-TR-567</v>
      </c>
      <c r="B568" s="15">
        <v>45667</v>
      </c>
      <c r="C568" t="str">
        <f>IF(X568="CUSTOMER DELIVERY",_xlfn.XLOOKUP(D568,'[1]Jan Customer Duplicate Hyva'!$B:$B,'[1]Jan Customer Duplicate Hyva'!$A:$A,"NOT FOUND"),"")</f>
        <v/>
      </c>
      <c r="D568" s="20" t="s">
        <v>215</v>
      </c>
      <c r="L568" s="20" t="s">
        <v>214</v>
      </c>
      <c r="M568" s="21">
        <v>7</v>
      </c>
      <c r="T568">
        <f t="shared" si="69"/>
        <v>0</v>
      </c>
      <c r="U568" t="str">
        <f t="shared" si="70"/>
        <v>OK</v>
      </c>
      <c r="V568" s="19">
        <f t="shared" si="71"/>
        <v>0</v>
      </c>
      <c r="W568" t="str">
        <f t="shared" si="72"/>
        <v>OK</v>
      </c>
      <c r="X568" t="s">
        <v>196</v>
      </c>
      <c r="Y568" t="s">
        <v>27</v>
      </c>
      <c r="Z568" t="s">
        <v>28</v>
      </c>
      <c r="AA568" t="s">
        <v>245</v>
      </c>
      <c r="AB568" t="s">
        <v>245</v>
      </c>
      <c r="AC568" t="s">
        <v>245</v>
      </c>
    </row>
    <row r="569" spans="1:29" x14ac:dyDescent="0.2">
      <c r="A569" t="str">
        <f t="shared" si="63"/>
        <v>TRIP-TR-568</v>
      </c>
      <c r="B569" s="15">
        <v>45668</v>
      </c>
      <c r="C569" t="str">
        <f>IF(X569="CUSTOMER DELIVERY",_xlfn.XLOOKUP(D569,'[1]Jan Customer Duplicate Hyva'!$B:$B,'[1]Jan Customer Duplicate Hyva'!$A:$A,"NOT FOUND"),"")</f>
        <v/>
      </c>
      <c r="D569" s="20" t="s">
        <v>215</v>
      </c>
      <c r="L569" s="20" t="s">
        <v>214</v>
      </c>
      <c r="M569" s="21">
        <v>13</v>
      </c>
      <c r="T569">
        <f t="shared" si="69"/>
        <v>0</v>
      </c>
      <c r="U569" t="str">
        <f t="shared" si="70"/>
        <v>OK</v>
      </c>
      <c r="V569" s="19">
        <f t="shared" si="71"/>
        <v>0</v>
      </c>
      <c r="W569" t="str">
        <f t="shared" si="72"/>
        <v>OK</v>
      </c>
      <c r="X569" t="s">
        <v>196</v>
      </c>
      <c r="Y569" t="s">
        <v>27</v>
      </c>
      <c r="Z569" t="s">
        <v>28</v>
      </c>
      <c r="AA569" t="s">
        <v>245</v>
      </c>
      <c r="AB569" t="s">
        <v>245</v>
      </c>
      <c r="AC569" t="s">
        <v>245</v>
      </c>
    </row>
    <row r="570" spans="1:29" x14ac:dyDescent="0.2">
      <c r="A570" t="str">
        <f t="shared" si="63"/>
        <v>TRIP-TR-569</v>
      </c>
      <c r="B570" s="15">
        <v>45669</v>
      </c>
      <c r="C570" t="str">
        <f>IF(X570="CUSTOMER DELIVERY",_xlfn.XLOOKUP(D570,'[1]Jan Customer Duplicate Hyva'!$B:$B,'[1]Jan Customer Duplicate Hyva'!$A:$A,"NOT FOUND"),"")</f>
        <v/>
      </c>
      <c r="D570" s="20" t="s">
        <v>215</v>
      </c>
      <c r="L570" s="20" t="s">
        <v>214</v>
      </c>
      <c r="M570" s="21">
        <v>11</v>
      </c>
      <c r="T570">
        <f t="shared" si="69"/>
        <v>0</v>
      </c>
      <c r="U570" t="str">
        <f t="shared" si="70"/>
        <v>OK</v>
      </c>
      <c r="V570" s="19">
        <f t="shared" si="71"/>
        <v>0</v>
      </c>
      <c r="W570" t="str">
        <f t="shared" si="72"/>
        <v>OK</v>
      </c>
      <c r="X570" t="s">
        <v>196</v>
      </c>
      <c r="Y570" t="s">
        <v>27</v>
      </c>
      <c r="Z570" t="s">
        <v>28</v>
      </c>
      <c r="AA570" t="s">
        <v>245</v>
      </c>
      <c r="AB570" t="s">
        <v>245</v>
      </c>
      <c r="AC570" t="s">
        <v>245</v>
      </c>
    </row>
    <row r="571" spans="1:29" x14ac:dyDescent="0.2">
      <c r="A571" t="str">
        <f t="shared" si="63"/>
        <v>TRIP-TR-570</v>
      </c>
      <c r="B571" s="15">
        <v>45670</v>
      </c>
      <c r="C571" t="str">
        <f>IF(X571="CUSTOMER DELIVERY",_xlfn.XLOOKUP(D571,'[1]Jan Customer Duplicate Hyva'!$B:$B,'[1]Jan Customer Duplicate Hyva'!$A:$A,"NOT FOUND"),"")</f>
        <v/>
      </c>
      <c r="D571" s="20" t="s">
        <v>215</v>
      </c>
      <c r="L571" s="20" t="s">
        <v>214</v>
      </c>
      <c r="M571" s="21">
        <v>12</v>
      </c>
      <c r="T571">
        <f t="shared" si="69"/>
        <v>0</v>
      </c>
      <c r="U571" t="str">
        <f t="shared" si="70"/>
        <v>OK</v>
      </c>
      <c r="V571" s="19">
        <f t="shared" si="71"/>
        <v>0</v>
      </c>
      <c r="W571" t="str">
        <f t="shared" si="72"/>
        <v>OK</v>
      </c>
      <c r="X571" t="s">
        <v>196</v>
      </c>
      <c r="Y571" t="s">
        <v>27</v>
      </c>
      <c r="Z571" t="s">
        <v>28</v>
      </c>
      <c r="AA571" t="s">
        <v>245</v>
      </c>
      <c r="AB571" t="s">
        <v>245</v>
      </c>
      <c r="AC571" t="s">
        <v>245</v>
      </c>
    </row>
    <row r="572" spans="1:29" x14ac:dyDescent="0.2">
      <c r="A572" t="str">
        <f t="shared" si="63"/>
        <v>TRIP-TR-571</v>
      </c>
      <c r="B572" s="15">
        <v>45671</v>
      </c>
      <c r="C572" t="str">
        <f>IF(X572="CUSTOMER DELIVERY",_xlfn.XLOOKUP(D572,'[1]Jan Customer Duplicate Hyva'!$B:$B,'[1]Jan Customer Duplicate Hyva'!$A:$A,"NOT FOUND"),"")</f>
        <v/>
      </c>
      <c r="D572" s="20" t="s">
        <v>215</v>
      </c>
      <c r="L572" s="20" t="s">
        <v>214</v>
      </c>
      <c r="M572" s="21">
        <v>16</v>
      </c>
      <c r="T572">
        <f t="shared" si="69"/>
        <v>0</v>
      </c>
      <c r="U572" t="str">
        <f t="shared" si="70"/>
        <v>OK</v>
      </c>
      <c r="V572" s="19">
        <f t="shared" si="71"/>
        <v>0</v>
      </c>
      <c r="W572" t="str">
        <f t="shared" si="72"/>
        <v>OK</v>
      </c>
      <c r="X572" t="s">
        <v>196</v>
      </c>
      <c r="Y572" t="s">
        <v>27</v>
      </c>
      <c r="Z572" t="s">
        <v>28</v>
      </c>
      <c r="AA572" t="s">
        <v>245</v>
      </c>
      <c r="AB572" t="s">
        <v>245</v>
      </c>
      <c r="AC572" t="s">
        <v>245</v>
      </c>
    </row>
    <row r="573" spans="1:29" x14ac:dyDescent="0.2">
      <c r="A573" t="str">
        <f t="shared" si="63"/>
        <v>TRIP-TR-572</v>
      </c>
      <c r="B573" s="15">
        <v>45672</v>
      </c>
      <c r="C573" t="str">
        <f>IF(X573="CUSTOMER DELIVERY",_xlfn.XLOOKUP(D573,'[1]Jan Customer Duplicate Hyva'!$B:$B,'[1]Jan Customer Duplicate Hyva'!$A:$A,"NOT FOUND"),"")</f>
        <v/>
      </c>
      <c r="D573" s="20" t="s">
        <v>215</v>
      </c>
      <c r="L573" s="20" t="s">
        <v>214</v>
      </c>
      <c r="M573" s="21">
        <v>10</v>
      </c>
      <c r="T573">
        <f t="shared" si="69"/>
        <v>0</v>
      </c>
      <c r="U573" t="str">
        <f t="shared" si="70"/>
        <v>OK</v>
      </c>
      <c r="V573" s="19">
        <f t="shared" si="71"/>
        <v>0</v>
      </c>
      <c r="W573" t="str">
        <f t="shared" si="72"/>
        <v>OK</v>
      </c>
      <c r="X573" t="s">
        <v>196</v>
      </c>
      <c r="Y573" t="s">
        <v>27</v>
      </c>
      <c r="Z573" t="s">
        <v>28</v>
      </c>
      <c r="AA573" t="s">
        <v>245</v>
      </c>
      <c r="AB573" t="s">
        <v>245</v>
      </c>
      <c r="AC573" t="s">
        <v>245</v>
      </c>
    </row>
    <row r="574" spans="1:29" x14ac:dyDescent="0.2">
      <c r="A574" t="str">
        <f t="shared" si="63"/>
        <v>TRIP-TR-573</v>
      </c>
      <c r="B574" s="15">
        <v>45673</v>
      </c>
      <c r="C574" t="str">
        <f>IF(X574="CUSTOMER DELIVERY",_xlfn.XLOOKUP(D574,'[1]Jan Customer Duplicate Hyva'!$B:$B,'[1]Jan Customer Duplicate Hyva'!$A:$A,"NOT FOUND"),"")</f>
        <v/>
      </c>
      <c r="D574" s="20" t="s">
        <v>215</v>
      </c>
      <c r="L574" s="20" t="s">
        <v>214</v>
      </c>
      <c r="M574" s="21">
        <v>10</v>
      </c>
      <c r="T574">
        <f t="shared" si="69"/>
        <v>0</v>
      </c>
      <c r="U574" t="str">
        <f t="shared" si="70"/>
        <v>OK</v>
      </c>
      <c r="V574" s="19">
        <f t="shared" si="71"/>
        <v>0</v>
      </c>
      <c r="W574" t="str">
        <f t="shared" si="72"/>
        <v>OK</v>
      </c>
      <c r="X574" t="s">
        <v>196</v>
      </c>
      <c r="Y574" t="s">
        <v>27</v>
      </c>
      <c r="Z574" t="s">
        <v>28</v>
      </c>
      <c r="AA574" t="s">
        <v>245</v>
      </c>
      <c r="AB574" t="s">
        <v>245</v>
      </c>
      <c r="AC574" t="s">
        <v>245</v>
      </c>
    </row>
    <row r="575" spans="1:29" x14ac:dyDescent="0.2">
      <c r="A575" t="str">
        <f t="shared" si="63"/>
        <v>TRIP-TR-574</v>
      </c>
      <c r="B575" s="15">
        <v>45674</v>
      </c>
      <c r="C575" t="str">
        <f>IF(X575="CUSTOMER DELIVERY",_xlfn.XLOOKUP(D575,'[1]Jan Customer Duplicate Hyva'!$B:$B,'[1]Jan Customer Duplicate Hyva'!$A:$A,"NOT FOUND"),"")</f>
        <v/>
      </c>
      <c r="D575" s="20" t="s">
        <v>215</v>
      </c>
      <c r="L575" s="20" t="s">
        <v>214</v>
      </c>
      <c r="M575" s="21">
        <v>11</v>
      </c>
      <c r="T575">
        <f t="shared" si="69"/>
        <v>0</v>
      </c>
      <c r="U575" t="str">
        <f t="shared" si="70"/>
        <v>OK</v>
      </c>
      <c r="V575" s="19">
        <f t="shared" si="71"/>
        <v>0</v>
      </c>
      <c r="W575" t="str">
        <f t="shared" si="72"/>
        <v>OK</v>
      </c>
      <c r="X575" t="s">
        <v>196</v>
      </c>
      <c r="Y575" t="s">
        <v>27</v>
      </c>
      <c r="Z575" t="s">
        <v>28</v>
      </c>
      <c r="AA575" t="s">
        <v>245</v>
      </c>
      <c r="AB575" t="s">
        <v>245</v>
      </c>
      <c r="AC575" t="s">
        <v>245</v>
      </c>
    </row>
    <row r="576" spans="1:29" x14ac:dyDescent="0.2">
      <c r="A576" t="str">
        <f t="shared" si="63"/>
        <v>TRIP-TR-575</v>
      </c>
      <c r="B576" s="15">
        <v>45675</v>
      </c>
      <c r="C576" t="str">
        <f>IF(X576="CUSTOMER DELIVERY",_xlfn.XLOOKUP(D576,'[1]Jan Customer Duplicate Hyva'!$B:$B,'[1]Jan Customer Duplicate Hyva'!$A:$A,"NOT FOUND"),"")</f>
        <v/>
      </c>
      <c r="D576" s="20" t="s">
        <v>215</v>
      </c>
      <c r="L576" s="20" t="s">
        <v>214</v>
      </c>
      <c r="M576" s="21">
        <v>15</v>
      </c>
      <c r="T576">
        <f t="shared" si="69"/>
        <v>0</v>
      </c>
      <c r="U576" t="str">
        <f t="shared" si="70"/>
        <v>OK</v>
      </c>
      <c r="V576" s="19">
        <f t="shared" si="71"/>
        <v>0</v>
      </c>
      <c r="W576" t="str">
        <f t="shared" si="72"/>
        <v>OK</v>
      </c>
      <c r="X576" t="s">
        <v>196</v>
      </c>
      <c r="Y576" t="s">
        <v>27</v>
      </c>
      <c r="Z576" t="s">
        <v>28</v>
      </c>
      <c r="AA576" t="s">
        <v>245</v>
      </c>
      <c r="AB576" t="s">
        <v>245</v>
      </c>
      <c r="AC576" t="s">
        <v>245</v>
      </c>
    </row>
    <row r="577" spans="1:29" x14ac:dyDescent="0.2">
      <c r="A577" t="str">
        <f t="shared" si="63"/>
        <v>TRIP-TR-576</v>
      </c>
      <c r="B577" s="15">
        <v>45676</v>
      </c>
      <c r="C577" t="str">
        <f>IF(X577="CUSTOMER DELIVERY",_xlfn.XLOOKUP(D577,'[1]Jan Customer Duplicate Hyva'!$B:$B,'[1]Jan Customer Duplicate Hyva'!$A:$A,"NOT FOUND"),"")</f>
        <v/>
      </c>
      <c r="D577" s="20" t="s">
        <v>215</v>
      </c>
      <c r="L577" s="20" t="s">
        <v>214</v>
      </c>
      <c r="M577" s="21">
        <v>5</v>
      </c>
      <c r="T577">
        <f t="shared" si="69"/>
        <v>0</v>
      </c>
      <c r="U577" t="str">
        <f t="shared" si="70"/>
        <v>OK</v>
      </c>
      <c r="V577" s="19">
        <f t="shared" si="71"/>
        <v>0</v>
      </c>
      <c r="W577" t="str">
        <f t="shared" si="72"/>
        <v>OK</v>
      </c>
      <c r="X577" t="s">
        <v>196</v>
      </c>
      <c r="Y577" t="s">
        <v>27</v>
      </c>
      <c r="Z577" t="s">
        <v>28</v>
      </c>
      <c r="AA577" t="s">
        <v>245</v>
      </c>
      <c r="AB577" t="s">
        <v>245</v>
      </c>
      <c r="AC577" t="s">
        <v>245</v>
      </c>
    </row>
    <row r="578" spans="1:29" x14ac:dyDescent="0.2">
      <c r="A578" t="str">
        <f t="shared" si="63"/>
        <v>TRIP-TR-577</v>
      </c>
      <c r="B578" s="15">
        <v>45677</v>
      </c>
      <c r="C578" t="str">
        <f>IF(X578="CUSTOMER DELIVERY",_xlfn.XLOOKUP(D578,'[1]Jan Customer Duplicate Hyva'!$B:$B,'[1]Jan Customer Duplicate Hyva'!$A:$A,"NOT FOUND"),"")</f>
        <v/>
      </c>
      <c r="D578" s="20" t="s">
        <v>215</v>
      </c>
      <c r="L578" s="20" t="s">
        <v>214</v>
      </c>
      <c r="M578" s="21">
        <v>7</v>
      </c>
      <c r="T578">
        <f t="shared" si="69"/>
        <v>0</v>
      </c>
      <c r="U578" t="str">
        <f t="shared" si="70"/>
        <v>OK</v>
      </c>
      <c r="V578" s="19">
        <f t="shared" si="71"/>
        <v>0</v>
      </c>
      <c r="W578" t="str">
        <f t="shared" si="72"/>
        <v>OK</v>
      </c>
      <c r="X578" t="s">
        <v>196</v>
      </c>
      <c r="Y578" t="s">
        <v>27</v>
      </c>
      <c r="Z578" t="s">
        <v>28</v>
      </c>
      <c r="AA578" t="s">
        <v>245</v>
      </c>
      <c r="AB578" t="s">
        <v>245</v>
      </c>
      <c r="AC578" t="s">
        <v>245</v>
      </c>
    </row>
    <row r="579" spans="1:29" x14ac:dyDescent="0.2">
      <c r="A579" t="str">
        <f t="shared" ref="A579:A589" si="73">"TRIP-TR-"&amp;TEXT(ROW()-1,"000")</f>
        <v>TRIP-TR-578</v>
      </c>
      <c r="B579" s="15">
        <v>45678</v>
      </c>
      <c r="C579" t="str">
        <f>IF(X579="CUSTOMER DELIVERY",_xlfn.XLOOKUP(D579,'[1]Jan Customer Duplicate Hyva'!$B:$B,'[1]Jan Customer Duplicate Hyva'!$A:$A,"NOT FOUND"),"")</f>
        <v/>
      </c>
      <c r="D579" s="20" t="s">
        <v>215</v>
      </c>
      <c r="L579" s="20" t="s">
        <v>214</v>
      </c>
      <c r="M579" s="21">
        <v>13</v>
      </c>
      <c r="T579">
        <f t="shared" si="69"/>
        <v>0</v>
      </c>
      <c r="U579" t="str">
        <f t="shared" si="70"/>
        <v>OK</v>
      </c>
      <c r="V579" s="19">
        <f t="shared" si="71"/>
        <v>0</v>
      </c>
      <c r="W579" t="str">
        <f t="shared" si="72"/>
        <v>OK</v>
      </c>
      <c r="X579" t="s">
        <v>196</v>
      </c>
      <c r="Y579" t="s">
        <v>27</v>
      </c>
      <c r="Z579" t="s">
        <v>28</v>
      </c>
      <c r="AA579" t="s">
        <v>245</v>
      </c>
      <c r="AB579" t="s">
        <v>245</v>
      </c>
      <c r="AC579" t="s">
        <v>245</v>
      </c>
    </row>
    <row r="580" spans="1:29" x14ac:dyDescent="0.2">
      <c r="A580" t="str">
        <f t="shared" si="73"/>
        <v>TRIP-TR-579</v>
      </c>
      <c r="B580" s="15">
        <v>45679</v>
      </c>
      <c r="C580" t="str">
        <f>IF(X580="CUSTOMER DELIVERY",_xlfn.XLOOKUP(D580,'[1]Jan Customer Duplicate Hyva'!$B:$B,'[1]Jan Customer Duplicate Hyva'!$A:$A,"NOT FOUND"),"")</f>
        <v/>
      </c>
      <c r="D580" s="20" t="s">
        <v>215</v>
      </c>
      <c r="L580" s="20" t="s">
        <v>214</v>
      </c>
      <c r="M580" s="21">
        <v>3</v>
      </c>
      <c r="T580">
        <f t="shared" si="69"/>
        <v>0</v>
      </c>
      <c r="U580" t="str">
        <f t="shared" si="70"/>
        <v>OK</v>
      </c>
      <c r="V580" s="19">
        <f t="shared" si="71"/>
        <v>0</v>
      </c>
      <c r="W580" t="str">
        <f t="shared" si="72"/>
        <v>OK</v>
      </c>
      <c r="X580" t="s">
        <v>196</v>
      </c>
      <c r="Y580" t="s">
        <v>27</v>
      </c>
      <c r="Z580" t="s">
        <v>28</v>
      </c>
      <c r="AA580" t="s">
        <v>245</v>
      </c>
      <c r="AB580" t="s">
        <v>245</v>
      </c>
      <c r="AC580" t="s">
        <v>245</v>
      </c>
    </row>
    <row r="581" spans="1:29" x14ac:dyDescent="0.2">
      <c r="A581" t="str">
        <f t="shared" si="73"/>
        <v>TRIP-TR-580</v>
      </c>
      <c r="B581" s="15">
        <v>45680</v>
      </c>
      <c r="C581" t="str">
        <f>IF(X581="CUSTOMER DELIVERY",_xlfn.XLOOKUP(D581,'[1]Jan Customer Duplicate Hyva'!$B:$B,'[1]Jan Customer Duplicate Hyva'!$A:$A,"NOT FOUND"),"")</f>
        <v/>
      </c>
      <c r="D581" s="20" t="s">
        <v>215</v>
      </c>
      <c r="L581" s="20" t="s">
        <v>214</v>
      </c>
      <c r="M581" s="21">
        <v>11</v>
      </c>
      <c r="T581">
        <f t="shared" si="69"/>
        <v>0</v>
      </c>
      <c r="U581" t="str">
        <f t="shared" si="70"/>
        <v>OK</v>
      </c>
      <c r="V581" s="19">
        <f t="shared" si="71"/>
        <v>0</v>
      </c>
      <c r="W581" t="str">
        <f t="shared" si="72"/>
        <v>OK</v>
      </c>
      <c r="X581" t="s">
        <v>196</v>
      </c>
      <c r="Y581" t="s">
        <v>27</v>
      </c>
      <c r="Z581" t="s">
        <v>28</v>
      </c>
      <c r="AA581" t="s">
        <v>245</v>
      </c>
      <c r="AB581" t="s">
        <v>245</v>
      </c>
      <c r="AC581" t="s">
        <v>245</v>
      </c>
    </row>
    <row r="582" spans="1:29" x14ac:dyDescent="0.2">
      <c r="A582" t="str">
        <f t="shared" si="73"/>
        <v>TRIP-TR-581</v>
      </c>
      <c r="B582" s="15">
        <v>45681</v>
      </c>
      <c r="C582" t="str">
        <f>IF(X582="CUSTOMER DELIVERY",_xlfn.XLOOKUP(D582,'[1]Jan Customer Duplicate Hyva'!$B:$B,'[1]Jan Customer Duplicate Hyva'!$A:$A,"NOT FOUND"),"")</f>
        <v/>
      </c>
      <c r="D582" s="20" t="s">
        <v>215</v>
      </c>
      <c r="L582" s="20" t="s">
        <v>214</v>
      </c>
      <c r="M582" s="21">
        <v>11</v>
      </c>
      <c r="T582">
        <f t="shared" si="69"/>
        <v>0</v>
      </c>
      <c r="U582" t="str">
        <f t="shared" si="70"/>
        <v>OK</v>
      </c>
      <c r="V582" s="19">
        <f t="shared" si="71"/>
        <v>0</v>
      </c>
      <c r="W582" t="str">
        <f t="shared" si="72"/>
        <v>OK</v>
      </c>
      <c r="X582" t="s">
        <v>196</v>
      </c>
      <c r="Y582" t="s">
        <v>27</v>
      </c>
      <c r="Z582" t="s">
        <v>28</v>
      </c>
      <c r="AA582" t="s">
        <v>245</v>
      </c>
      <c r="AB582" t="s">
        <v>245</v>
      </c>
      <c r="AC582" t="s">
        <v>245</v>
      </c>
    </row>
    <row r="583" spans="1:29" x14ac:dyDescent="0.2">
      <c r="A583" t="str">
        <f t="shared" si="73"/>
        <v>TRIP-TR-582</v>
      </c>
      <c r="B583" s="15">
        <v>45682</v>
      </c>
      <c r="C583" t="str">
        <f>IF(X583="CUSTOMER DELIVERY",_xlfn.XLOOKUP(D583,'[1]Jan Customer Duplicate Hyva'!$B:$B,'[1]Jan Customer Duplicate Hyva'!$A:$A,"NOT FOUND"),"")</f>
        <v/>
      </c>
      <c r="D583" s="20" t="s">
        <v>215</v>
      </c>
      <c r="L583" s="20" t="s">
        <v>214</v>
      </c>
      <c r="M583" s="21">
        <v>14</v>
      </c>
      <c r="T583">
        <f t="shared" si="69"/>
        <v>0</v>
      </c>
      <c r="U583" t="str">
        <f t="shared" si="70"/>
        <v>OK</v>
      </c>
      <c r="V583" s="19">
        <f t="shared" si="71"/>
        <v>0</v>
      </c>
      <c r="W583" t="str">
        <f t="shared" si="72"/>
        <v>OK</v>
      </c>
      <c r="X583" t="s">
        <v>196</v>
      </c>
      <c r="Y583" t="s">
        <v>27</v>
      </c>
      <c r="Z583" t="s">
        <v>28</v>
      </c>
      <c r="AA583" t="s">
        <v>245</v>
      </c>
      <c r="AB583" t="s">
        <v>245</v>
      </c>
      <c r="AC583" t="s">
        <v>245</v>
      </c>
    </row>
    <row r="584" spans="1:29" x14ac:dyDescent="0.2">
      <c r="A584" t="str">
        <f t="shared" si="73"/>
        <v>TRIP-TR-583</v>
      </c>
      <c r="B584" s="15">
        <v>45683</v>
      </c>
      <c r="C584" t="str">
        <f>IF(X584="CUSTOMER DELIVERY",_xlfn.XLOOKUP(D584,'[1]Jan Customer Duplicate Hyva'!$B:$B,'[1]Jan Customer Duplicate Hyva'!$A:$A,"NOT FOUND"),"")</f>
        <v/>
      </c>
      <c r="D584" s="20" t="s">
        <v>215</v>
      </c>
      <c r="L584" s="20" t="s">
        <v>214</v>
      </c>
      <c r="M584" s="21">
        <v>8</v>
      </c>
      <c r="T584">
        <f t="shared" si="69"/>
        <v>0</v>
      </c>
      <c r="U584" t="str">
        <f t="shared" si="70"/>
        <v>OK</v>
      </c>
      <c r="V584" s="19">
        <f t="shared" si="71"/>
        <v>0</v>
      </c>
      <c r="W584" t="str">
        <f t="shared" si="72"/>
        <v>OK</v>
      </c>
      <c r="X584" t="s">
        <v>196</v>
      </c>
      <c r="Y584" t="s">
        <v>27</v>
      </c>
      <c r="Z584" t="s">
        <v>28</v>
      </c>
      <c r="AA584" t="s">
        <v>245</v>
      </c>
      <c r="AB584" t="s">
        <v>245</v>
      </c>
      <c r="AC584" t="s">
        <v>245</v>
      </c>
    </row>
    <row r="585" spans="1:29" x14ac:dyDescent="0.2">
      <c r="A585" t="str">
        <f t="shared" si="73"/>
        <v>TRIP-TR-584</v>
      </c>
      <c r="B585" s="15">
        <v>45684</v>
      </c>
      <c r="C585" t="str">
        <f>IF(X585="CUSTOMER DELIVERY",_xlfn.XLOOKUP(D585,'[1]Jan Customer Duplicate Hyva'!$B:$B,'[1]Jan Customer Duplicate Hyva'!$A:$A,"NOT FOUND"),"")</f>
        <v/>
      </c>
      <c r="D585" s="20" t="s">
        <v>215</v>
      </c>
      <c r="L585" s="20" t="s">
        <v>214</v>
      </c>
      <c r="M585" s="21">
        <v>10</v>
      </c>
      <c r="T585">
        <f t="shared" si="69"/>
        <v>0</v>
      </c>
      <c r="U585" t="str">
        <f t="shared" si="70"/>
        <v>OK</v>
      </c>
      <c r="V585" s="19">
        <f t="shared" si="71"/>
        <v>0</v>
      </c>
      <c r="W585" t="str">
        <f t="shared" si="72"/>
        <v>OK</v>
      </c>
      <c r="X585" t="s">
        <v>196</v>
      </c>
      <c r="Y585" t="s">
        <v>27</v>
      </c>
      <c r="Z585" t="s">
        <v>28</v>
      </c>
      <c r="AA585" t="s">
        <v>245</v>
      </c>
      <c r="AB585" t="s">
        <v>245</v>
      </c>
      <c r="AC585" t="s">
        <v>245</v>
      </c>
    </row>
    <row r="586" spans="1:29" x14ac:dyDescent="0.2">
      <c r="A586" t="str">
        <f t="shared" si="73"/>
        <v>TRIP-TR-585</v>
      </c>
      <c r="B586" s="15">
        <v>45685</v>
      </c>
      <c r="C586" t="str">
        <f>IF(X586="CUSTOMER DELIVERY",_xlfn.XLOOKUP(D586,'[1]Jan Customer Duplicate Hyva'!$B:$B,'[1]Jan Customer Duplicate Hyva'!$A:$A,"NOT FOUND"),"")</f>
        <v/>
      </c>
      <c r="D586" s="20" t="s">
        <v>215</v>
      </c>
      <c r="L586" s="20" t="s">
        <v>214</v>
      </c>
      <c r="M586" s="21">
        <v>6</v>
      </c>
      <c r="T586">
        <f t="shared" si="69"/>
        <v>0</v>
      </c>
      <c r="U586" t="str">
        <f t="shared" si="70"/>
        <v>OK</v>
      </c>
      <c r="V586" s="19">
        <f t="shared" si="71"/>
        <v>0</v>
      </c>
      <c r="W586" t="str">
        <f t="shared" si="72"/>
        <v>OK</v>
      </c>
      <c r="X586" t="s">
        <v>196</v>
      </c>
      <c r="Y586" t="s">
        <v>27</v>
      </c>
      <c r="Z586" t="s">
        <v>28</v>
      </c>
      <c r="AA586" t="s">
        <v>245</v>
      </c>
      <c r="AB586" t="s">
        <v>245</v>
      </c>
      <c r="AC586" t="s">
        <v>245</v>
      </c>
    </row>
    <row r="587" spans="1:29" x14ac:dyDescent="0.2">
      <c r="A587" t="str">
        <f t="shared" si="73"/>
        <v>TRIP-TR-586</v>
      </c>
      <c r="B587" s="15">
        <v>45686</v>
      </c>
      <c r="C587" t="str">
        <f>IF(X587="CUSTOMER DELIVERY",_xlfn.XLOOKUP(D587,'[1]Jan Customer Duplicate Hyva'!$B:$B,'[1]Jan Customer Duplicate Hyva'!$A:$A,"NOT FOUND"),"")</f>
        <v/>
      </c>
      <c r="D587" s="20" t="s">
        <v>215</v>
      </c>
      <c r="L587" s="20" t="s">
        <v>214</v>
      </c>
      <c r="M587" s="21">
        <v>14</v>
      </c>
      <c r="T587">
        <f t="shared" si="69"/>
        <v>0</v>
      </c>
      <c r="U587" t="str">
        <f t="shared" si="70"/>
        <v>OK</v>
      </c>
      <c r="V587" s="19">
        <f t="shared" si="71"/>
        <v>0</v>
      </c>
      <c r="W587" t="str">
        <f t="shared" si="72"/>
        <v>OK</v>
      </c>
      <c r="X587" t="s">
        <v>196</v>
      </c>
      <c r="Y587" t="s">
        <v>27</v>
      </c>
      <c r="Z587" t="s">
        <v>28</v>
      </c>
      <c r="AA587" t="s">
        <v>245</v>
      </c>
      <c r="AB587" t="s">
        <v>245</v>
      </c>
      <c r="AC587" t="s">
        <v>245</v>
      </c>
    </row>
    <row r="588" spans="1:29" x14ac:dyDescent="0.2">
      <c r="A588" t="str">
        <f t="shared" si="73"/>
        <v>TRIP-TR-587</v>
      </c>
      <c r="B588" s="15">
        <v>45687</v>
      </c>
      <c r="C588" t="str">
        <f>IF(X588="CUSTOMER DELIVERY",_xlfn.XLOOKUP(D588,'[1]Jan Customer Duplicate Hyva'!$B:$B,'[1]Jan Customer Duplicate Hyva'!$A:$A,"NOT FOUND"),"")</f>
        <v/>
      </c>
      <c r="D588" s="20" t="s">
        <v>215</v>
      </c>
      <c r="L588" s="20" t="s">
        <v>214</v>
      </c>
      <c r="M588" s="21">
        <v>21</v>
      </c>
      <c r="T588">
        <f t="shared" si="69"/>
        <v>0</v>
      </c>
      <c r="U588" t="str">
        <f t="shared" si="70"/>
        <v>OK</v>
      </c>
      <c r="V588" s="19">
        <f t="shared" si="71"/>
        <v>0</v>
      </c>
      <c r="W588" t="str">
        <f t="shared" si="72"/>
        <v>OK</v>
      </c>
      <c r="X588" t="s">
        <v>196</v>
      </c>
      <c r="Y588" t="s">
        <v>27</v>
      </c>
      <c r="Z588" t="s">
        <v>28</v>
      </c>
      <c r="AA588" t="s">
        <v>245</v>
      </c>
      <c r="AB588" t="s">
        <v>245</v>
      </c>
      <c r="AC588" t="s">
        <v>245</v>
      </c>
    </row>
    <row r="589" spans="1:29" x14ac:dyDescent="0.2">
      <c r="A589" t="str">
        <f t="shared" si="73"/>
        <v>TRIP-TR-588</v>
      </c>
      <c r="B589" s="15">
        <v>45688</v>
      </c>
      <c r="C589" t="str">
        <f>IF(X589="CUSTOMER DELIVERY",_xlfn.XLOOKUP(D589,'[1]Jan Customer Duplicate Hyva'!$B:$B,'[1]Jan Customer Duplicate Hyva'!$A:$A,"NOT FOUND"),"")</f>
        <v/>
      </c>
      <c r="D589" s="20" t="s">
        <v>215</v>
      </c>
      <c r="L589" s="20" t="s">
        <v>214</v>
      </c>
      <c r="M589" s="21">
        <v>21</v>
      </c>
      <c r="T589">
        <f t="shared" si="69"/>
        <v>0</v>
      </c>
      <c r="U589" t="str">
        <f t="shared" si="70"/>
        <v>OK</v>
      </c>
      <c r="V589" s="19">
        <f t="shared" si="71"/>
        <v>0</v>
      </c>
      <c r="W589" t="str">
        <f t="shared" si="72"/>
        <v>OK</v>
      </c>
      <c r="X589" t="s">
        <v>196</v>
      </c>
      <c r="Y589" t="s">
        <v>27</v>
      </c>
      <c r="Z589" t="s">
        <v>28</v>
      </c>
      <c r="AA589" t="s">
        <v>245</v>
      </c>
      <c r="AB589" t="s">
        <v>245</v>
      </c>
      <c r="AC589" t="s">
        <v>245</v>
      </c>
    </row>
  </sheetData>
  <autoFilter ref="D1:D614" xr:uid="{843692F5-E92E-7146-8601-395376EBB00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Waghmare</dc:creator>
  <cp:lastModifiedBy>Sahil Waghmare</cp:lastModifiedBy>
  <dcterms:created xsi:type="dcterms:W3CDTF">2026-08-15T11:13:32Z</dcterms:created>
  <dcterms:modified xsi:type="dcterms:W3CDTF">2026-08-16T07:25:18Z</dcterms:modified>
</cp:coreProperties>
</file>