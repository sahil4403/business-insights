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13_ncr:1_{E111704F-EE81-1044-AC49-1229A7ACD6F4}" xr6:coauthVersionLast="47" xr6:coauthVersionMax="47" xr10:uidLastSave="{00000000-0000-0000-0000-000000000000}"/>
  <bookViews>
    <workbookView xWindow="0" yWindow="2340" windowWidth="36000" windowHeight="21000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Pending Amount Including All" sheetId="14" r:id="rId13"/>
  </sheets>
  <externalReferences>
    <externalReference r:id="rId14"/>
  </externalReferences>
  <definedNames>
    <definedName name="_xlnm.Print_Titles" localSheetId="0">January!$A:$C,January!$1:$4</definedName>
    <definedName name="Regular_Customer">[1]Regular!$A$1:$A$18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I6" i="14"/>
  <c r="I17" i="14"/>
  <c r="I40" i="14"/>
  <c r="I78" i="14"/>
  <c r="I146" i="14"/>
  <c r="G6" i="14"/>
  <c r="G7" i="14"/>
  <c r="I7" i="14" s="1"/>
  <c r="G8" i="14"/>
  <c r="I8" i="14" s="1"/>
  <c r="G11" i="14"/>
  <c r="I11" i="14" s="1"/>
  <c r="G12" i="14"/>
  <c r="I12" i="14" s="1"/>
  <c r="G13" i="14"/>
  <c r="I13" i="14" s="1"/>
  <c r="G16" i="14"/>
  <c r="I16" i="14" s="1"/>
  <c r="G17" i="14"/>
  <c r="G18" i="14"/>
  <c r="I18" i="14" s="1"/>
  <c r="G19" i="14"/>
  <c r="I19" i="14" s="1"/>
  <c r="G20" i="14"/>
  <c r="I20" i="14" s="1"/>
  <c r="G21" i="14"/>
  <c r="I21" i="14" s="1"/>
  <c r="G22" i="14"/>
  <c r="I22" i="14" s="1"/>
  <c r="G23" i="14"/>
  <c r="I23" i="14" s="1"/>
  <c r="G24" i="14"/>
  <c r="I24" i="14" s="1"/>
  <c r="G25" i="14"/>
  <c r="I25" i="14" s="1"/>
  <c r="G26" i="14"/>
  <c r="I26" i="14" s="1"/>
  <c r="G27" i="14"/>
  <c r="I27" i="14" s="1"/>
  <c r="G28" i="14"/>
  <c r="I28" i="14" s="1"/>
  <c r="G29" i="14"/>
  <c r="I29" i="14" s="1"/>
  <c r="G30" i="14"/>
  <c r="I30" i="14" s="1"/>
  <c r="G33" i="14"/>
  <c r="I33" i="14" s="1"/>
  <c r="G34" i="14"/>
  <c r="I34" i="14" s="1"/>
  <c r="G35" i="14"/>
  <c r="I35" i="14" s="1"/>
  <c r="G36" i="14"/>
  <c r="I36" i="14" s="1"/>
  <c r="G37" i="14"/>
  <c r="I37" i="14" s="1"/>
  <c r="G38" i="14"/>
  <c r="I38" i="14" s="1"/>
  <c r="G39" i="14"/>
  <c r="I39" i="14" s="1"/>
  <c r="G40" i="14"/>
  <c r="G41" i="14"/>
  <c r="I41" i="14" s="1"/>
  <c r="G42" i="14"/>
  <c r="I42" i="14" s="1"/>
  <c r="G45" i="14"/>
  <c r="I45" i="14" s="1"/>
  <c r="G46" i="14"/>
  <c r="I46" i="14" s="1"/>
  <c r="G47" i="14"/>
  <c r="I47" i="14" s="1"/>
  <c r="G48" i="14"/>
  <c r="I48" i="14" s="1"/>
  <c r="G49" i="14"/>
  <c r="I49" i="14" s="1"/>
  <c r="G50" i="14"/>
  <c r="I50" i="14" s="1"/>
  <c r="G51" i="14"/>
  <c r="I51" i="14" s="1"/>
  <c r="G52" i="14"/>
  <c r="I52" i="14" s="1"/>
  <c r="G53" i="14"/>
  <c r="I53" i="14" s="1"/>
  <c r="G54" i="14"/>
  <c r="I54" i="14" s="1"/>
  <c r="G55" i="14"/>
  <c r="I55" i="14" s="1"/>
  <c r="G56" i="14"/>
  <c r="I56" i="14" s="1"/>
  <c r="G57" i="14"/>
  <c r="I57" i="14" s="1"/>
  <c r="G58" i="14"/>
  <c r="I58" i="14" s="1"/>
  <c r="G59" i="14"/>
  <c r="I59" i="14" s="1"/>
  <c r="G60" i="14"/>
  <c r="I60" i="14" s="1"/>
  <c r="G61" i="14"/>
  <c r="I61" i="14" s="1"/>
  <c r="G64" i="14"/>
  <c r="I64" i="14" s="1"/>
  <c r="G65" i="14"/>
  <c r="I65" i="14" s="1"/>
  <c r="G66" i="14"/>
  <c r="I66" i="14" s="1"/>
  <c r="G67" i="14"/>
  <c r="I67" i="14" s="1"/>
  <c r="G68" i="14"/>
  <c r="I68" i="14" s="1"/>
  <c r="G69" i="14"/>
  <c r="I69" i="14" s="1"/>
  <c r="G70" i="14"/>
  <c r="I70" i="14" s="1"/>
  <c r="G71" i="14"/>
  <c r="I71" i="14" s="1"/>
  <c r="G74" i="14"/>
  <c r="I74" i="14" s="1"/>
  <c r="G77" i="14"/>
  <c r="I77" i="14" s="1"/>
  <c r="G78" i="14"/>
  <c r="G81" i="14"/>
  <c r="I81" i="14" s="1"/>
  <c r="G82" i="14"/>
  <c r="I82" i="14" s="1"/>
  <c r="G83" i="14"/>
  <c r="I83" i="14" s="1"/>
  <c r="G84" i="14"/>
  <c r="I84" i="14" s="1"/>
  <c r="G85" i="14"/>
  <c r="I85" i="14" s="1"/>
  <c r="G88" i="14"/>
  <c r="I88" i="14" s="1"/>
  <c r="G89" i="14"/>
  <c r="I89" i="14" s="1"/>
  <c r="G90" i="14"/>
  <c r="I90" i="14" s="1"/>
  <c r="G91" i="14"/>
  <c r="I91" i="14" s="1"/>
  <c r="G92" i="14"/>
  <c r="I92" i="14" s="1"/>
  <c r="G93" i="14"/>
  <c r="I93" i="14" s="1"/>
  <c r="G94" i="14"/>
  <c r="I94" i="14" s="1"/>
  <c r="G95" i="14"/>
  <c r="I95" i="14" s="1"/>
  <c r="G96" i="14"/>
  <c r="I96" i="14" s="1"/>
  <c r="G97" i="14"/>
  <c r="I97" i="14" s="1"/>
  <c r="G98" i="14"/>
  <c r="I98" i="14" s="1"/>
  <c r="G99" i="14"/>
  <c r="I99" i="14" s="1"/>
  <c r="G100" i="14"/>
  <c r="I100" i="14" s="1"/>
  <c r="G101" i="14"/>
  <c r="I101" i="14" s="1"/>
  <c r="G102" i="14"/>
  <c r="I102" i="14" s="1"/>
  <c r="G103" i="14"/>
  <c r="I103" i="14" s="1"/>
  <c r="G104" i="14"/>
  <c r="I104" i="14" s="1"/>
  <c r="G105" i="14"/>
  <c r="I105" i="14" s="1"/>
  <c r="G106" i="14"/>
  <c r="I106" i="14" s="1"/>
  <c r="G107" i="14"/>
  <c r="I107" i="14" s="1"/>
  <c r="G108" i="14"/>
  <c r="I108" i="14" s="1"/>
  <c r="G111" i="14"/>
  <c r="I111" i="14" s="1"/>
  <c r="G112" i="14"/>
  <c r="I112" i="14" s="1"/>
  <c r="G113" i="14"/>
  <c r="I113" i="14" s="1"/>
  <c r="G114" i="14"/>
  <c r="I114" i="14" s="1"/>
  <c r="G115" i="14"/>
  <c r="I115" i="14" s="1"/>
  <c r="G116" i="14"/>
  <c r="I116" i="14" s="1"/>
  <c r="G117" i="14"/>
  <c r="I117" i="14" s="1"/>
  <c r="G118" i="14"/>
  <c r="I118" i="14" s="1"/>
  <c r="G119" i="14"/>
  <c r="I119" i="14" s="1"/>
  <c r="G120" i="14"/>
  <c r="I120" i="14" s="1"/>
  <c r="G121" i="14"/>
  <c r="I121" i="14" s="1"/>
  <c r="G122" i="14"/>
  <c r="I122" i="14" s="1"/>
  <c r="G123" i="14"/>
  <c r="I123" i="14" s="1"/>
  <c r="G124" i="14"/>
  <c r="I124" i="14" s="1"/>
  <c r="G125" i="14"/>
  <c r="I125" i="14" s="1"/>
  <c r="G126" i="14"/>
  <c r="I126" i="14" s="1"/>
  <c r="G127" i="14"/>
  <c r="I127" i="14" s="1"/>
  <c r="G128" i="14"/>
  <c r="I128" i="14" s="1"/>
  <c r="G129" i="14"/>
  <c r="I129" i="14" s="1"/>
  <c r="G130" i="14"/>
  <c r="I130" i="14" s="1"/>
  <c r="G131" i="14"/>
  <c r="I131" i="14" s="1"/>
  <c r="G132" i="14"/>
  <c r="I132" i="14" s="1"/>
  <c r="G133" i="14"/>
  <c r="I133" i="14" s="1"/>
  <c r="G134" i="14"/>
  <c r="I134" i="14" s="1"/>
  <c r="G135" i="14"/>
  <c r="I135" i="14" s="1"/>
  <c r="G136" i="14"/>
  <c r="I136" i="14" s="1"/>
  <c r="G137" i="14"/>
  <c r="I137" i="14" s="1"/>
  <c r="G138" i="14"/>
  <c r="I138" i="14" s="1"/>
  <c r="G139" i="14"/>
  <c r="I139" i="14" s="1"/>
  <c r="G140" i="14"/>
  <c r="I140" i="14" s="1"/>
  <c r="G141" i="14"/>
  <c r="I141" i="14" s="1"/>
  <c r="G142" i="14"/>
  <c r="I142" i="14" s="1"/>
  <c r="G143" i="14"/>
  <c r="I143" i="14" s="1"/>
  <c r="G144" i="14"/>
  <c r="I144" i="14" s="1"/>
  <c r="G145" i="14"/>
  <c r="I145" i="14" s="1"/>
  <c r="G146" i="14"/>
  <c r="G147" i="14"/>
  <c r="I147" i="14" s="1"/>
  <c r="G148" i="14"/>
  <c r="I148" i="14" s="1"/>
  <c r="G149" i="14"/>
  <c r="I149" i="14" s="1"/>
  <c r="G150" i="14"/>
  <c r="I150" i="14" s="1"/>
  <c r="G151" i="14"/>
  <c r="I151" i="14" s="1"/>
  <c r="G152" i="14"/>
  <c r="I152" i="14" s="1"/>
  <c r="G153" i="14"/>
  <c r="I153" i="14" s="1"/>
  <c r="G154" i="14"/>
  <c r="I154" i="14" s="1"/>
  <c r="G155" i="14"/>
  <c r="I155" i="14" s="1"/>
  <c r="G156" i="14"/>
  <c r="I156" i="14" s="1"/>
  <c r="G157" i="14"/>
  <c r="I157" i="14" s="1"/>
  <c r="G158" i="14"/>
  <c r="I158" i="14" s="1"/>
  <c r="G159" i="14"/>
  <c r="I159" i="14" s="1"/>
  <c r="G160" i="14"/>
  <c r="I160" i="14" s="1"/>
  <c r="G161" i="14"/>
  <c r="I161" i="14" s="1"/>
  <c r="G162" i="14"/>
  <c r="I162" i="14" s="1"/>
  <c r="G163" i="14"/>
  <c r="I163" i="14" s="1"/>
  <c r="G164" i="14"/>
  <c r="I164" i="14" s="1"/>
  <c r="G165" i="14"/>
  <c r="I165" i="14" s="1"/>
  <c r="G166" i="14"/>
  <c r="I166" i="14" s="1"/>
  <c r="G167" i="14"/>
  <c r="I167" i="14" s="1"/>
  <c r="G168" i="14"/>
  <c r="I168" i="14" s="1"/>
  <c r="G169" i="14"/>
  <c r="I169" i="14" s="1"/>
  <c r="G170" i="14"/>
  <c r="I170" i="14" s="1"/>
  <c r="G171" i="14"/>
  <c r="I171" i="14" s="1"/>
  <c r="G172" i="14"/>
  <c r="I172" i="14" s="1"/>
  <c r="G173" i="14"/>
  <c r="I173" i="14" s="1"/>
  <c r="G174" i="14"/>
  <c r="I174" i="14" s="1"/>
  <c r="G175" i="14"/>
  <c r="I175" i="14" s="1"/>
  <c r="G176" i="14"/>
  <c r="I176" i="14" s="1"/>
  <c r="G177" i="14"/>
  <c r="I177" i="14" s="1"/>
  <c r="G178" i="14"/>
  <c r="I178" i="14" s="1"/>
  <c r="G179" i="14"/>
  <c r="I179" i="14" s="1"/>
  <c r="G180" i="14"/>
  <c r="I180" i="14" s="1"/>
  <c r="G5" i="14"/>
  <c r="I5" i="14" s="1"/>
  <c r="H184" i="14"/>
  <c r="E184" i="14"/>
  <c r="G4" i="10"/>
  <c r="G5" i="10"/>
  <c r="G116" i="12"/>
  <c r="I116" i="12" s="1"/>
  <c r="J116" i="12" s="1"/>
  <c r="G117" i="12"/>
  <c r="I117" i="12" s="1"/>
  <c r="J117" i="12" s="1"/>
  <c r="G118" i="12"/>
  <c r="I118" i="12" s="1"/>
  <c r="G119" i="12"/>
  <c r="I119" i="12" s="1"/>
  <c r="J119" i="12" s="1"/>
  <c r="G112" i="12"/>
  <c r="I112" i="12" s="1"/>
  <c r="J112" i="12" s="1"/>
  <c r="G115" i="12"/>
  <c r="I115" i="12" s="1"/>
  <c r="J115" i="12" s="1"/>
  <c r="G113" i="12"/>
  <c r="I113" i="12" s="1"/>
  <c r="J113" i="12" s="1"/>
  <c r="G114" i="12"/>
  <c r="I114" i="12" s="1"/>
  <c r="J114" i="12" s="1"/>
  <c r="G104" i="12"/>
  <c r="I104" i="12" s="1"/>
  <c r="J104" i="12" s="1"/>
  <c r="G110" i="12"/>
  <c r="I110" i="12" s="1"/>
  <c r="J110" i="12" s="1"/>
  <c r="G111" i="12"/>
  <c r="I111" i="12" s="1"/>
  <c r="G107" i="12"/>
  <c r="I107" i="12" s="1"/>
  <c r="J107" i="12" s="1"/>
  <c r="G108" i="12"/>
  <c r="I108" i="12" s="1"/>
  <c r="J108" i="12" s="1"/>
  <c r="G109" i="12"/>
  <c r="I109" i="12" s="1"/>
  <c r="J109" i="12" s="1"/>
  <c r="G105" i="12"/>
  <c r="I105" i="12" s="1"/>
  <c r="J105" i="12" s="1"/>
  <c r="G106" i="12"/>
  <c r="I106" i="12" s="1"/>
  <c r="J106" i="12" s="1"/>
  <c r="I184" i="14" l="1"/>
  <c r="J74" i="14"/>
  <c r="G184" i="14"/>
  <c r="J118" i="12"/>
  <c r="J111" i="12"/>
  <c r="G103" i="12"/>
  <c r="I103" i="12" s="1"/>
  <c r="J103" i="12" s="1"/>
  <c r="G100" i="12"/>
  <c r="I100" i="12" s="1"/>
  <c r="J100" i="12" s="1"/>
  <c r="G101" i="12"/>
  <c r="I101" i="12" s="1"/>
  <c r="J101" i="12" s="1"/>
  <c r="G102" i="12"/>
  <c r="I102" i="12" s="1"/>
  <c r="J102" i="12" s="1"/>
  <c r="G99" i="12" l="1"/>
  <c r="I99" i="12" s="1"/>
  <c r="J99" i="12" s="1"/>
  <c r="G96" i="12"/>
  <c r="I96" i="12" s="1"/>
  <c r="J96" i="12" s="1"/>
  <c r="G97" i="12"/>
  <c r="I97" i="12" s="1"/>
  <c r="J97" i="12" s="1"/>
  <c r="G98" i="12"/>
  <c r="I98" i="12" s="1"/>
  <c r="J98" i="12" s="1"/>
  <c r="G91" i="12"/>
  <c r="I91" i="12" s="1"/>
  <c r="J91" i="12" s="1"/>
  <c r="G92" i="12"/>
  <c r="I92" i="12" s="1"/>
  <c r="J92" i="12" s="1"/>
  <c r="G93" i="12"/>
  <c r="I93" i="12" s="1"/>
  <c r="J93" i="12" s="1"/>
  <c r="G94" i="12"/>
  <c r="I94" i="12" s="1"/>
  <c r="J94" i="12" s="1"/>
  <c r="G95" i="12"/>
  <c r="I95" i="12" s="1"/>
  <c r="J95" i="12" s="1"/>
  <c r="G90" i="12"/>
  <c r="I90" i="12" s="1"/>
  <c r="J90" i="12" s="1"/>
  <c r="G86" i="12"/>
  <c r="I86" i="12" s="1"/>
  <c r="J86" i="12" s="1"/>
  <c r="G87" i="12"/>
  <c r="I87" i="12" s="1"/>
  <c r="J87" i="12" s="1"/>
  <c r="G88" i="12"/>
  <c r="I88" i="12" s="1"/>
  <c r="J88" i="12" s="1"/>
  <c r="G89" i="12"/>
  <c r="I89" i="12" s="1"/>
  <c r="J89" i="12" s="1"/>
  <c r="G81" i="12"/>
  <c r="I81" i="12" s="1"/>
  <c r="J81" i="12" s="1"/>
  <c r="G82" i="12"/>
  <c r="I82" i="12" s="1"/>
  <c r="J82" i="12" s="1"/>
  <c r="G83" i="12"/>
  <c r="I83" i="12" s="1"/>
  <c r="J83" i="12" s="1"/>
  <c r="G84" i="12"/>
  <c r="I84" i="12" s="1"/>
  <c r="J84" i="12" s="1"/>
  <c r="G85" i="12"/>
  <c r="I85" i="12" s="1"/>
  <c r="J85" i="12" s="1"/>
  <c r="G79" i="12"/>
  <c r="I79" i="12" s="1"/>
  <c r="G80" i="12"/>
  <c r="I80" i="12" s="1"/>
  <c r="J80" i="12" s="1"/>
  <c r="G75" i="12"/>
  <c r="I75" i="12" s="1"/>
  <c r="J75" i="12" s="1"/>
  <c r="G76" i="12"/>
  <c r="I76" i="12" s="1"/>
  <c r="J76" i="12" s="1"/>
  <c r="G77" i="12"/>
  <c r="I77" i="12" s="1"/>
  <c r="J77" i="12" s="1"/>
  <c r="G78" i="12"/>
  <c r="I78" i="12" s="1"/>
  <c r="J78" i="12" s="1"/>
  <c r="J136" i="12"/>
  <c r="G74" i="12"/>
  <c r="I74" i="12" s="1"/>
  <c r="J74" i="12" s="1"/>
  <c r="E150" i="12"/>
  <c r="G71" i="12"/>
  <c r="I71" i="12" s="1"/>
  <c r="J71" i="12" s="1"/>
  <c r="G72" i="12"/>
  <c r="I72" i="12" s="1"/>
  <c r="J72" i="12" s="1"/>
  <c r="G73" i="12"/>
  <c r="I73" i="12" s="1"/>
  <c r="J73" i="12" s="1"/>
  <c r="G70" i="12" l="1"/>
  <c r="I70" i="12" s="1"/>
  <c r="J70" i="12" s="1"/>
  <c r="G68" i="12"/>
  <c r="I68" i="12" s="1"/>
  <c r="J68" i="12" s="1"/>
  <c r="G69" i="12"/>
  <c r="I69" i="12" s="1"/>
  <c r="J69" i="12" s="1"/>
  <c r="G63" i="12"/>
  <c r="I63" i="12" s="1"/>
  <c r="J63" i="12" s="1"/>
  <c r="G64" i="12"/>
  <c r="I64" i="12" s="1"/>
  <c r="J64" i="12" s="1"/>
  <c r="G65" i="12"/>
  <c r="I65" i="12" s="1"/>
  <c r="J65" i="12" s="1"/>
  <c r="G66" i="12"/>
  <c r="I66" i="12" s="1"/>
  <c r="J66" i="12" s="1"/>
  <c r="G67" i="12"/>
  <c r="I67" i="12" s="1"/>
  <c r="J67" i="12" s="1"/>
  <c r="G58" i="12"/>
  <c r="I58" i="12" s="1"/>
  <c r="J58" i="12" s="1"/>
  <c r="G59" i="12"/>
  <c r="I59" i="12" s="1"/>
  <c r="J59" i="12" s="1"/>
  <c r="G60" i="12"/>
  <c r="I60" i="12" s="1"/>
  <c r="J60" i="12" s="1"/>
  <c r="G61" i="12"/>
  <c r="I61" i="12" s="1"/>
  <c r="J61" i="12" s="1"/>
  <c r="G62" i="12"/>
  <c r="I62" i="12" s="1"/>
  <c r="J62" i="12" s="1"/>
  <c r="G40" i="12"/>
  <c r="I40" i="12" s="1"/>
  <c r="J40" i="12" s="1"/>
  <c r="G46" i="12"/>
  <c r="I46" i="12" s="1"/>
  <c r="J46" i="12" s="1"/>
  <c r="G47" i="12"/>
  <c r="I47" i="12" s="1"/>
  <c r="J47" i="12" s="1"/>
  <c r="G48" i="12"/>
  <c r="I48" i="12" s="1"/>
  <c r="J48" i="12" s="1"/>
  <c r="G49" i="12"/>
  <c r="I49" i="12" s="1"/>
  <c r="J49" i="12" s="1"/>
  <c r="G41" i="12"/>
  <c r="G42" i="12"/>
  <c r="I42" i="12" s="1"/>
  <c r="J42" i="12" s="1"/>
  <c r="G43" i="12"/>
  <c r="I43" i="12" s="1"/>
  <c r="J43" i="12" s="1"/>
  <c r="G44" i="12"/>
  <c r="I44" i="12" s="1"/>
  <c r="J44" i="12" s="1"/>
  <c r="G45" i="12"/>
  <c r="I45" i="12" s="1"/>
  <c r="J45" i="12" s="1"/>
  <c r="G50" i="12"/>
  <c r="I50" i="12" s="1"/>
  <c r="J50" i="12" s="1"/>
  <c r="G51" i="12"/>
  <c r="I51" i="12" s="1"/>
  <c r="J51" i="12" s="1"/>
  <c r="G52" i="12"/>
  <c r="I52" i="12" s="1"/>
  <c r="J52" i="12" s="1"/>
  <c r="G53" i="12"/>
  <c r="I53" i="12" s="1"/>
  <c r="J53" i="12" s="1"/>
  <c r="G54" i="12"/>
  <c r="I54" i="12" s="1"/>
  <c r="J54" i="12" s="1"/>
  <c r="G55" i="12"/>
  <c r="I55" i="12" s="1"/>
  <c r="J55" i="12" s="1"/>
  <c r="G56" i="12"/>
  <c r="I56" i="12" s="1"/>
  <c r="J56" i="12" s="1"/>
  <c r="G57" i="12"/>
  <c r="I57" i="12" s="1"/>
  <c r="J57" i="12" s="1"/>
  <c r="G39" i="12"/>
  <c r="I39" i="12" s="1"/>
  <c r="J39" i="12" s="1"/>
  <c r="G35" i="12"/>
  <c r="I35" i="12" s="1"/>
  <c r="J35" i="12" s="1"/>
  <c r="G36" i="12"/>
  <c r="I36" i="12" s="1"/>
  <c r="J36" i="12" s="1"/>
  <c r="G37" i="12"/>
  <c r="I37" i="12" s="1"/>
  <c r="J37" i="12" s="1"/>
  <c r="G38" i="12"/>
  <c r="I38" i="12" s="1"/>
  <c r="J38" i="12" s="1"/>
  <c r="G29" i="12"/>
  <c r="G30" i="12"/>
  <c r="G31" i="12"/>
  <c r="G32" i="12"/>
  <c r="G33" i="12"/>
  <c r="G34" i="12"/>
  <c r="I34" i="12" s="1"/>
  <c r="J34" i="12" s="1"/>
  <c r="I31" i="12" l="1"/>
  <c r="J31" i="12" s="1"/>
  <c r="I29" i="12"/>
  <c r="J29" i="12" s="1"/>
  <c r="I32" i="12"/>
  <c r="J32" i="12" s="1"/>
  <c r="I30" i="12"/>
  <c r="J30" i="12" s="1"/>
  <c r="I33" i="12"/>
  <c r="J33" i="12" s="1"/>
  <c r="I41" i="12"/>
  <c r="J41" i="12" s="1"/>
  <c r="G4" i="12"/>
  <c r="G20" i="12"/>
  <c r="G25" i="12"/>
  <c r="G26" i="12"/>
  <c r="G27" i="12"/>
  <c r="G28" i="12"/>
  <c r="G21" i="12"/>
  <c r="G22" i="12"/>
  <c r="G23" i="12"/>
  <c r="G24" i="12"/>
  <c r="G15" i="12"/>
  <c r="I15" i="12" s="1"/>
  <c r="J15" i="12" s="1"/>
  <c r="G16" i="12"/>
  <c r="I16" i="12" s="1"/>
  <c r="J16" i="12" s="1"/>
  <c r="G17" i="12"/>
  <c r="I17" i="12" s="1"/>
  <c r="J17" i="12" s="1"/>
  <c r="G18" i="12"/>
  <c r="I18" i="12" s="1"/>
  <c r="J18" i="12" s="1"/>
  <c r="G19" i="12"/>
  <c r="G11" i="12"/>
  <c r="I11" i="12" s="1"/>
  <c r="J11" i="12" s="1"/>
  <c r="G12" i="12"/>
  <c r="I12" i="12" s="1"/>
  <c r="J12" i="12" s="1"/>
  <c r="G13" i="12"/>
  <c r="I13" i="12" s="1"/>
  <c r="J13" i="12" s="1"/>
  <c r="G14" i="12"/>
  <c r="I14" i="12" s="1"/>
  <c r="J14" i="12" s="1"/>
  <c r="G9" i="12"/>
  <c r="I9" i="12" s="1"/>
  <c r="J9" i="12" s="1"/>
  <c r="G10" i="12"/>
  <c r="I10" i="12" s="1"/>
  <c r="J10" i="12" s="1"/>
  <c r="G8" i="12"/>
  <c r="I8" i="12" s="1"/>
  <c r="J8" i="12" s="1"/>
  <c r="G7" i="12"/>
  <c r="I7" i="12" s="1"/>
  <c r="J7" i="12" s="1"/>
  <c r="G5" i="12"/>
  <c r="I5" i="12" s="1"/>
  <c r="J5" i="12" s="1"/>
  <c r="G6" i="12"/>
  <c r="I6" i="12" s="1"/>
  <c r="J6" i="12" s="1"/>
  <c r="G49" i="11"/>
  <c r="I49" i="11" s="1"/>
  <c r="J49" i="11" s="1"/>
  <c r="G46" i="11"/>
  <c r="I46" i="11" s="1"/>
  <c r="J46" i="11" s="1"/>
  <c r="G51" i="11"/>
  <c r="I51" i="11" s="1"/>
  <c r="J51" i="11" s="1"/>
  <c r="J38" i="11"/>
  <c r="G35" i="11"/>
  <c r="I35" i="11" s="1"/>
  <c r="J35" i="11" s="1"/>
  <c r="G42" i="11"/>
  <c r="I42" i="11" s="1"/>
  <c r="J42" i="11" s="1"/>
  <c r="G43" i="11"/>
  <c r="I43" i="11" s="1"/>
  <c r="J43" i="11" s="1"/>
  <c r="G44" i="11"/>
  <c r="I44" i="11" s="1"/>
  <c r="J44" i="11" s="1"/>
  <c r="E81" i="11"/>
  <c r="G31" i="11"/>
  <c r="I31" i="11" s="1"/>
  <c r="J31" i="11" s="1"/>
  <c r="G32" i="11"/>
  <c r="I32" i="11" s="1"/>
  <c r="J32" i="11" s="1"/>
  <c r="G33" i="11"/>
  <c r="I33" i="11" s="1"/>
  <c r="J33" i="11" s="1"/>
  <c r="G29" i="11"/>
  <c r="I29" i="11" s="1"/>
  <c r="J29" i="11" s="1"/>
  <c r="I22" i="12" l="1"/>
  <c r="J22" i="12" s="1"/>
  <c r="I21" i="12"/>
  <c r="J21" i="12" s="1"/>
  <c r="I28" i="12"/>
  <c r="J28" i="12" s="1"/>
  <c r="I25" i="12"/>
  <c r="J25" i="12" s="1"/>
  <c r="I20" i="12"/>
  <c r="J20" i="12" s="1"/>
  <c r="I23" i="12"/>
  <c r="J23" i="12" s="1"/>
  <c r="I19" i="12"/>
  <c r="J19" i="12" s="1"/>
  <c r="I27" i="12"/>
  <c r="J27" i="12" s="1"/>
  <c r="I26" i="12"/>
  <c r="J26" i="12" s="1"/>
  <c r="I24" i="12"/>
  <c r="J24" i="12" s="1"/>
  <c r="I4" i="12"/>
  <c r="G150" i="12"/>
  <c r="G26" i="11"/>
  <c r="I26" i="11" s="1"/>
  <c r="J26" i="11" s="1"/>
  <c r="G27" i="11"/>
  <c r="I27" i="11" s="1"/>
  <c r="J27" i="11" s="1"/>
  <c r="G20" i="11"/>
  <c r="I20" i="11" s="1"/>
  <c r="J20" i="11" s="1"/>
  <c r="J62" i="11"/>
  <c r="G21" i="11"/>
  <c r="I21" i="11" s="1"/>
  <c r="J21" i="11" s="1"/>
  <c r="G22" i="11"/>
  <c r="I22" i="11" s="1"/>
  <c r="J22" i="11" s="1"/>
  <c r="G18" i="11"/>
  <c r="I18" i="11" s="1"/>
  <c r="J18" i="11" s="1"/>
  <c r="G19" i="11"/>
  <c r="I19" i="11" s="1"/>
  <c r="J19" i="11" s="1"/>
  <c r="G15" i="11"/>
  <c r="I15" i="11" s="1"/>
  <c r="J15" i="11" s="1"/>
  <c r="G12" i="11"/>
  <c r="I12" i="11" s="1"/>
  <c r="J12" i="11" s="1"/>
  <c r="G13" i="11"/>
  <c r="I13" i="11" s="1"/>
  <c r="J13" i="11" s="1"/>
  <c r="G6" i="11"/>
  <c r="I6" i="11" s="1"/>
  <c r="J6" i="11" s="1"/>
  <c r="G7" i="11"/>
  <c r="I7" i="11" s="1"/>
  <c r="J7" i="11" s="1"/>
  <c r="G8" i="11"/>
  <c r="I8" i="11" s="1"/>
  <c r="J8" i="11" s="1"/>
  <c r="G9" i="11"/>
  <c r="I9" i="11" s="1"/>
  <c r="J9" i="11" s="1"/>
  <c r="G4" i="11"/>
  <c r="I4" i="11" s="1"/>
  <c r="G5" i="11"/>
  <c r="I5" i="11" s="1"/>
  <c r="J5" i="11" s="1"/>
  <c r="G10" i="11"/>
  <c r="I10" i="11" s="1"/>
  <c r="J10" i="11" s="1"/>
  <c r="G11" i="11"/>
  <c r="I11" i="11" s="1"/>
  <c r="J11" i="11" s="1"/>
  <c r="G14" i="11"/>
  <c r="I14" i="11" s="1"/>
  <c r="J14" i="11" s="1"/>
  <c r="G16" i="11"/>
  <c r="I16" i="11" s="1"/>
  <c r="J16" i="11" s="1"/>
  <c r="G17" i="11"/>
  <c r="I17" i="11" s="1"/>
  <c r="J17" i="11" s="1"/>
  <c r="G23" i="11"/>
  <c r="I23" i="11" s="1"/>
  <c r="J23" i="11" s="1"/>
  <c r="G24" i="11"/>
  <c r="I24" i="11" s="1"/>
  <c r="J24" i="11" s="1"/>
  <c r="G25" i="11"/>
  <c r="I25" i="11" s="1"/>
  <c r="J25" i="11" s="1"/>
  <c r="G28" i="11"/>
  <c r="I28" i="11" s="1"/>
  <c r="J28" i="11" s="1"/>
  <c r="G30" i="11"/>
  <c r="I30" i="11" s="1"/>
  <c r="J30" i="11" s="1"/>
  <c r="G34" i="11"/>
  <c r="I34" i="11" s="1"/>
  <c r="J34" i="11" s="1"/>
  <c r="G36" i="11"/>
  <c r="I36" i="11" s="1"/>
  <c r="J36" i="11" s="1"/>
  <c r="G37" i="11"/>
  <c r="I37" i="11" s="1"/>
  <c r="J37" i="11" s="1"/>
  <c r="G38" i="11"/>
  <c r="G39" i="11"/>
  <c r="I39" i="11" s="1"/>
  <c r="J39" i="11" s="1"/>
  <c r="G40" i="11"/>
  <c r="I40" i="11" s="1"/>
  <c r="J40" i="11" s="1"/>
  <c r="G41" i="11"/>
  <c r="I41" i="11" s="1"/>
  <c r="J41" i="11" s="1"/>
  <c r="G45" i="11"/>
  <c r="I45" i="11" s="1"/>
  <c r="J45" i="11" s="1"/>
  <c r="G47" i="11"/>
  <c r="I47" i="11" s="1"/>
  <c r="J47" i="11" s="1"/>
  <c r="G48" i="11"/>
  <c r="I48" i="11" s="1"/>
  <c r="J48" i="11" s="1"/>
  <c r="G50" i="11"/>
  <c r="I50" i="11" s="1"/>
  <c r="J50" i="11" s="1"/>
  <c r="G52" i="11"/>
  <c r="I52" i="11" s="1"/>
  <c r="J52" i="11" s="1"/>
  <c r="G26" i="10"/>
  <c r="I26" i="10" s="1"/>
  <c r="J26" i="10" s="1"/>
  <c r="I150" i="12" l="1"/>
  <c r="G24" i="10"/>
  <c r="I24" i="10" s="1"/>
  <c r="J24" i="10" s="1"/>
  <c r="G18" i="10"/>
  <c r="I18" i="10" s="1"/>
  <c r="J18" i="10" s="1"/>
  <c r="G20" i="10"/>
  <c r="I20" i="10" s="1"/>
  <c r="J20" i="10" s="1"/>
  <c r="G21" i="10"/>
  <c r="I21" i="10" s="1"/>
  <c r="J21" i="10" s="1"/>
  <c r="G22" i="10"/>
  <c r="I22" i="10" s="1"/>
  <c r="J22" i="10" s="1"/>
  <c r="G23" i="10"/>
  <c r="I23" i="10" s="1"/>
  <c r="J23" i="10" s="1"/>
  <c r="G15" i="10"/>
  <c r="I15" i="10" s="1"/>
  <c r="J15" i="10" s="1"/>
  <c r="G16" i="10"/>
  <c r="I16" i="10" s="1"/>
  <c r="J16" i="10" s="1"/>
  <c r="G17" i="10"/>
  <c r="I17" i="10" s="1"/>
  <c r="J17" i="10" s="1"/>
  <c r="G12" i="10"/>
  <c r="G13" i="10"/>
  <c r="I12" i="10" l="1"/>
  <c r="J12" i="10" s="1"/>
  <c r="I13" i="10"/>
  <c r="J13" i="10" s="1"/>
  <c r="G9" i="10"/>
  <c r="I9" i="10" s="1"/>
  <c r="J9" i="10" s="1"/>
  <c r="G10" i="10"/>
  <c r="I10" i="10" s="1"/>
  <c r="J10" i="10" s="1"/>
  <c r="G7" i="10"/>
  <c r="I7" i="10" s="1"/>
  <c r="J7" i="10" s="1"/>
  <c r="I4" i="10"/>
  <c r="J4" i="10" s="1"/>
  <c r="I5" i="10"/>
  <c r="J5" i="10" s="1"/>
  <c r="G6" i="10"/>
  <c r="I6" i="10" s="1"/>
  <c r="J6" i="10" s="1"/>
  <c r="G8" i="10"/>
  <c r="I8" i="10" s="1"/>
  <c r="J8" i="10" s="1"/>
  <c r="G11" i="10"/>
  <c r="G14" i="10"/>
  <c r="I14" i="10" s="1"/>
  <c r="J14" i="10" s="1"/>
  <c r="G19" i="10"/>
  <c r="I19" i="10" s="1"/>
  <c r="J19" i="10" s="1"/>
  <c r="G25" i="10"/>
  <c r="I25" i="10" s="1"/>
  <c r="J25" i="10" s="1"/>
  <c r="G27" i="10"/>
  <c r="G28" i="10"/>
  <c r="I28" i="10" s="1"/>
  <c r="J28" i="10" s="1"/>
  <c r="G7" i="9"/>
  <c r="I7" i="9" s="1"/>
  <c r="J7" i="9" s="1"/>
  <c r="I11" i="10" l="1"/>
  <c r="J11" i="10" s="1"/>
  <c r="I27" i="10"/>
  <c r="J27" i="10" s="1"/>
  <c r="G12" i="9"/>
  <c r="I12" i="9" s="1"/>
  <c r="J12" i="9" s="1"/>
  <c r="G9" i="9"/>
  <c r="I9" i="9" s="1"/>
  <c r="J9" i="9" s="1"/>
  <c r="G10" i="9"/>
  <c r="I10" i="9" s="1"/>
  <c r="J10" i="9" s="1"/>
  <c r="G6" i="9"/>
  <c r="I6" i="9" s="1"/>
  <c r="J6" i="9" s="1"/>
  <c r="G4" i="9"/>
  <c r="I4" i="9" s="1"/>
  <c r="J4" i="9" s="1"/>
  <c r="G5" i="9"/>
  <c r="I5" i="9" s="1"/>
  <c r="J5" i="9" s="1"/>
  <c r="G8" i="9"/>
  <c r="I8" i="9" s="1"/>
  <c r="J8" i="9" s="1"/>
  <c r="G11" i="9"/>
  <c r="I11" i="9" s="1"/>
  <c r="J11" i="9" s="1"/>
  <c r="H150" i="12"/>
  <c r="J4" i="12"/>
  <c r="I81" i="11"/>
  <c r="H81" i="11"/>
  <c r="G81" i="11"/>
  <c r="J4" i="11"/>
  <c r="H41" i="10"/>
  <c r="G41" i="10"/>
  <c r="E41" i="10"/>
  <c r="H21" i="9"/>
  <c r="E21" i="9"/>
  <c r="I41" i="10" l="1"/>
  <c r="G21" i="9"/>
  <c r="I21" i="9"/>
  <c r="G9" i="8"/>
  <c r="I9" i="8" s="1"/>
  <c r="J9" i="8" s="1"/>
  <c r="G10" i="8"/>
  <c r="I10" i="8" s="1"/>
  <c r="J10" i="8" s="1"/>
  <c r="G8" i="8"/>
  <c r="I8" i="8" s="1"/>
  <c r="J8" i="8" s="1"/>
  <c r="G7" i="8"/>
  <c r="I7" i="8" s="1"/>
  <c r="J7" i="8" s="1"/>
  <c r="G5" i="8"/>
  <c r="I5" i="8" s="1"/>
  <c r="J5" i="8" s="1"/>
  <c r="G9" i="7"/>
  <c r="G4" i="8"/>
  <c r="I4" i="8" s="1"/>
  <c r="G6" i="8"/>
  <c r="I6" i="8" s="1"/>
  <c r="J6" i="8" s="1"/>
  <c r="H22" i="8"/>
  <c r="E22" i="8"/>
  <c r="E18" i="7"/>
  <c r="F89" i="6"/>
  <c r="F103" i="5"/>
  <c r="F116" i="4"/>
  <c r="I22" i="8" l="1"/>
  <c r="J4" i="8"/>
  <c r="G22" i="8"/>
  <c r="G7" i="7"/>
  <c r="I7" i="7" s="1"/>
  <c r="J7" i="7" s="1"/>
  <c r="G8" i="7"/>
  <c r="I8" i="7" s="1"/>
  <c r="I9" i="7"/>
  <c r="J9" i="7" s="1"/>
  <c r="G4" i="7"/>
  <c r="I4" i="7" s="1"/>
  <c r="J4" i="7" s="1"/>
  <c r="G5" i="7"/>
  <c r="I5" i="7" s="1"/>
  <c r="J5" i="7" s="1"/>
  <c r="G6" i="7"/>
  <c r="I6" i="7" s="1"/>
  <c r="J6" i="7" s="1"/>
  <c r="I59" i="6"/>
  <c r="J59" i="6" s="1"/>
  <c r="I60" i="6"/>
  <c r="J60" i="6" s="1"/>
  <c r="G58" i="6"/>
  <c r="I58" i="6" s="1"/>
  <c r="J58" i="6" s="1"/>
  <c r="H18" i="7"/>
  <c r="G19" i="6"/>
  <c r="I80" i="5"/>
  <c r="I81" i="5"/>
  <c r="I82" i="5"/>
  <c r="I83" i="5"/>
  <c r="I42" i="5"/>
  <c r="I43" i="5"/>
  <c r="J8" i="7" l="1"/>
  <c r="I18" i="7"/>
  <c r="G18" i="7"/>
  <c r="J76" i="6"/>
  <c r="G47" i="6"/>
  <c r="I47" i="6" s="1"/>
  <c r="J47" i="6" s="1"/>
  <c r="G48" i="6"/>
  <c r="I48" i="6" s="1"/>
  <c r="J48" i="6" s="1"/>
  <c r="G49" i="6"/>
  <c r="I49" i="6" s="1"/>
  <c r="J49" i="6" s="1"/>
  <c r="G50" i="6"/>
  <c r="I50" i="6" s="1"/>
  <c r="J50" i="6" s="1"/>
  <c r="G51" i="6"/>
  <c r="I51" i="6" s="1"/>
  <c r="J51" i="6" s="1"/>
  <c r="G52" i="6"/>
  <c r="I52" i="6" s="1"/>
  <c r="J52" i="6" s="1"/>
  <c r="G53" i="6"/>
  <c r="I53" i="6" s="1"/>
  <c r="J53" i="6" s="1"/>
  <c r="G54" i="6"/>
  <c r="I54" i="6" s="1"/>
  <c r="J54" i="6" s="1"/>
  <c r="G55" i="6"/>
  <c r="I55" i="6" s="1"/>
  <c r="J55" i="6" s="1"/>
  <c r="G56" i="6"/>
  <c r="I56" i="6" s="1"/>
  <c r="J56" i="6" s="1"/>
  <c r="G57" i="6"/>
  <c r="I57" i="6" s="1"/>
  <c r="J57" i="6" s="1"/>
  <c r="H84" i="6" l="1"/>
  <c r="E84" i="6"/>
  <c r="G46" i="6"/>
  <c r="I46" i="6" s="1"/>
  <c r="J46" i="6" s="1"/>
  <c r="G45" i="6"/>
  <c r="I45" i="6" s="1"/>
  <c r="J45" i="6" s="1"/>
  <c r="G44" i="6"/>
  <c r="I44" i="6" s="1"/>
  <c r="J44" i="6" s="1"/>
  <c r="G43" i="6"/>
  <c r="I43" i="6" s="1"/>
  <c r="J43" i="6" s="1"/>
  <c r="G42" i="6"/>
  <c r="I42" i="6" s="1"/>
  <c r="J42" i="6" s="1"/>
  <c r="G41" i="6"/>
  <c r="I41" i="6" s="1"/>
  <c r="J41" i="6" s="1"/>
  <c r="G40" i="6"/>
  <c r="I40" i="6" s="1"/>
  <c r="J40" i="6" s="1"/>
  <c r="G39" i="6"/>
  <c r="I39" i="6" s="1"/>
  <c r="J39" i="6" s="1"/>
  <c r="G38" i="6"/>
  <c r="I38" i="6" s="1"/>
  <c r="J38" i="6" s="1"/>
  <c r="G37" i="6"/>
  <c r="I37" i="6" s="1"/>
  <c r="J37" i="6" s="1"/>
  <c r="G36" i="6"/>
  <c r="I36" i="6" s="1"/>
  <c r="J36" i="6" s="1"/>
  <c r="G35" i="6"/>
  <c r="I35" i="6" s="1"/>
  <c r="J35" i="6" s="1"/>
  <c r="G34" i="6"/>
  <c r="I34" i="6" s="1"/>
  <c r="J34" i="6" s="1"/>
  <c r="G33" i="6"/>
  <c r="I33" i="6" s="1"/>
  <c r="J33" i="6" s="1"/>
  <c r="G32" i="6"/>
  <c r="I32" i="6" s="1"/>
  <c r="J32" i="6" s="1"/>
  <c r="G31" i="6"/>
  <c r="I31" i="6" s="1"/>
  <c r="J31" i="6" s="1"/>
  <c r="G30" i="6"/>
  <c r="I30" i="6" s="1"/>
  <c r="J30" i="6" s="1"/>
  <c r="G29" i="6"/>
  <c r="I29" i="6" s="1"/>
  <c r="J29" i="6" s="1"/>
  <c r="J28" i="6"/>
  <c r="G28" i="6"/>
  <c r="G27" i="6"/>
  <c r="I27" i="6" s="1"/>
  <c r="J27" i="6" s="1"/>
  <c r="G26" i="6"/>
  <c r="I26" i="6" s="1"/>
  <c r="J26" i="6" s="1"/>
  <c r="G25" i="6"/>
  <c r="I25" i="6" s="1"/>
  <c r="J25" i="6" s="1"/>
  <c r="G24" i="6"/>
  <c r="I24" i="6" s="1"/>
  <c r="J24" i="6" s="1"/>
  <c r="G23" i="6"/>
  <c r="I23" i="6" s="1"/>
  <c r="J23" i="6" s="1"/>
  <c r="G22" i="6"/>
  <c r="I22" i="6" s="1"/>
  <c r="J22" i="6" s="1"/>
  <c r="G21" i="6"/>
  <c r="I21" i="6" s="1"/>
  <c r="J21" i="6" s="1"/>
  <c r="G20" i="6"/>
  <c r="I20" i="6" s="1"/>
  <c r="J20" i="6" s="1"/>
  <c r="I19" i="6"/>
  <c r="J19" i="6" s="1"/>
  <c r="G18" i="6"/>
  <c r="I18" i="6" s="1"/>
  <c r="J18" i="6" s="1"/>
  <c r="G17" i="6"/>
  <c r="I17" i="6" s="1"/>
  <c r="J17" i="6" s="1"/>
  <c r="G16" i="6"/>
  <c r="I16" i="6" s="1"/>
  <c r="J16" i="6" s="1"/>
  <c r="G15" i="6"/>
  <c r="I15" i="6" s="1"/>
  <c r="J15" i="6" s="1"/>
  <c r="G14" i="6"/>
  <c r="I14" i="6" s="1"/>
  <c r="J14" i="6" s="1"/>
  <c r="G13" i="6"/>
  <c r="I13" i="6" s="1"/>
  <c r="J13" i="6" s="1"/>
  <c r="G12" i="6"/>
  <c r="I12" i="6" s="1"/>
  <c r="J12" i="6" s="1"/>
  <c r="G11" i="6"/>
  <c r="I11" i="6" s="1"/>
  <c r="J11" i="6" s="1"/>
  <c r="G10" i="6"/>
  <c r="G9" i="6"/>
  <c r="I9" i="6" s="1"/>
  <c r="J9" i="6" s="1"/>
  <c r="G8" i="6"/>
  <c r="I8" i="6" s="1"/>
  <c r="J8" i="6" s="1"/>
  <c r="G7" i="6"/>
  <c r="I7" i="6" s="1"/>
  <c r="J7" i="6" s="1"/>
  <c r="G6" i="6"/>
  <c r="I6" i="6" s="1"/>
  <c r="J6" i="6" s="1"/>
  <c r="G5" i="6"/>
  <c r="I5" i="6" s="1"/>
  <c r="J5" i="6" s="1"/>
  <c r="G4" i="6"/>
  <c r="I4" i="6" s="1"/>
  <c r="I10" i="6" l="1"/>
  <c r="J10" i="6" s="1"/>
  <c r="I84" i="6"/>
  <c r="J4" i="6"/>
  <c r="G84" i="6"/>
  <c r="H99" i="5"/>
  <c r="E99" i="5"/>
  <c r="G75" i="5"/>
  <c r="I75" i="5" s="1"/>
  <c r="J75" i="5" s="1"/>
  <c r="G74" i="5"/>
  <c r="I74" i="5" s="1"/>
  <c r="J74" i="5" s="1"/>
  <c r="G73" i="5"/>
  <c r="I73" i="5" s="1"/>
  <c r="J73" i="5" s="1"/>
  <c r="G72" i="5"/>
  <c r="I72" i="5" s="1"/>
  <c r="J72" i="5" s="1"/>
  <c r="G71" i="5"/>
  <c r="I71" i="5" s="1"/>
  <c r="J71" i="5" s="1"/>
  <c r="G70" i="5"/>
  <c r="I70" i="5" s="1"/>
  <c r="J70" i="5" s="1"/>
  <c r="G69" i="5"/>
  <c r="I69" i="5" s="1"/>
  <c r="J69" i="5" s="1"/>
  <c r="G68" i="5"/>
  <c r="I68" i="5" s="1"/>
  <c r="J68" i="5" s="1"/>
  <c r="G67" i="5"/>
  <c r="I67" i="5" s="1"/>
  <c r="J67" i="5" s="1"/>
  <c r="G66" i="5"/>
  <c r="I66" i="5" s="1"/>
  <c r="J66" i="5" s="1"/>
  <c r="G65" i="5"/>
  <c r="I65" i="5" s="1"/>
  <c r="J65" i="5" s="1"/>
  <c r="G64" i="5"/>
  <c r="I64" i="5" s="1"/>
  <c r="J64" i="5" s="1"/>
  <c r="G63" i="5"/>
  <c r="I63" i="5" s="1"/>
  <c r="J63" i="5" s="1"/>
  <c r="G62" i="5"/>
  <c r="I62" i="5" s="1"/>
  <c r="J62" i="5" s="1"/>
  <c r="G61" i="5"/>
  <c r="I61" i="5" s="1"/>
  <c r="J61" i="5" s="1"/>
  <c r="G60" i="5"/>
  <c r="I60" i="5" s="1"/>
  <c r="J60" i="5" s="1"/>
  <c r="G59" i="5"/>
  <c r="I59" i="5" s="1"/>
  <c r="J59" i="5" s="1"/>
  <c r="G58" i="5"/>
  <c r="I58" i="5" s="1"/>
  <c r="J58" i="5" s="1"/>
  <c r="G57" i="5"/>
  <c r="I57" i="5" s="1"/>
  <c r="J57" i="5" s="1"/>
  <c r="G56" i="5"/>
  <c r="I56" i="5" s="1"/>
  <c r="J56" i="5" s="1"/>
  <c r="G55" i="5"/>
  <c r="I55" i="5" s="1"/>
  <c r="J55" i="5" s="1"/>
  <c r="G54" i="5"/>
  <c r="I54" i="5" s="1"/>
  <c r="J54" i="5" s="1"/>
  <c r="G53" i="5"/>
  <c r="I53" i="5" s="1"/>
  <c r="J53" i="5" s="1"/>
  <c r="G52" i="5"/>
  <c r="I52" i="5" s="1"/>
  <c r="J52" i="5" s="1"/>
  <c r="G51" i="5"/>
  <c r="I51" i="5" s="1"/>
  <c r="J51" i="5" s="1"/>
  <c r="G50" i="5"/>
  <c r="I50" i="5" s="1"/>
  <c r="J50" i="5" s="1"/>
  <c r="G49" i="5"/>
  <c r="I49" i="5" s="1"/>
  <c r="J49" i="5" s="1"/>
  <c r="G48" i="5"/>
  <c r="I48" i="5" s="1"/>
  <c r="J48" i="5" s="1"/>
  <c r="G47" i="5"/>
  <c r="I47" i="5" s="1"/>
  <c r="J47" i="5" s="1"/>
  <c r="G46" i="5"/>
  <c r="I46" i="5" s="1"/>
  <c r="J46" i="5" s="1"/>
  <c r="G45" i="5"/>
  <c r="I45" i="5" s="1"/>
  <c r="J45" i="5" s="1"/>
  <c r="G44" i="5"/>
  <c r="I44" i="5" s="1"/>
  <c r="J44" i="5" s="1"/>
  <c r="J43" i="5"/>
  <c r="J42" i="5"/>
  <c r="G41" i="5"/>
  <c r="G40" i="5"/>
  <c r="G39" i="5"/>
  <c r="G38" i="5"/>
  <c r="G37" i="5"/>
  <c r="G36" i="5"/>
  <c r="G35" i="5"/>
  <c r="G34" i="5"/>
  <c r="G33" i="5"/>
  <c r="I33" i="5" s="1"/>
  <c r="J33" i="5" s="1"/>
  <c r="G32" i="5"/>
  <c r="I32" i="5" s="1"/>
  <c r="J32" i="5" s="1"/>
  <c r="G31" i="5"/>
  <c r="G30" i="5"/>
  <c r="G29" i="5"/>
  <c r="I29" i="5" s="1"/>
  <c r="J29" i="5" s="1"/>
  <c r="G28" i="5"/>
  <c r="G27" i="5"/>
  <c r="G26" i="5"/>
  <c r="G25" i="5"/>
  <c r="G24" i="5"/>
  <c r="G23" i="5"/>
  <c r="I23" i="5" s="1"/>
  <c r="J23" i="5" s="1"/>
  <c r="G22" i="5"/>
  <c r="I22" i="5" s="1"/>
  <c r="J22" i="5" s="1"/>
  <c r="G21" i="5"/>
  <c r="G20" i="5"/>
  <c r="I20" i="5" s="1"/>
  <c r="J20" i="5" s="1"/>
  <c r="G19" i="5"/>
  <c r="I19" i="5" s="1"/>
  <c r="J19" i="5" s="1"/>
  <c r="G18" i="5"/>
  <c r="I18" i="5" s="1"/>
  <c r="J18" i="5" s="1"/>
  <c r="G17" i="5"/>
  <c r="I17" i="5" s="1"/>
  <c r="J17" i="5" s="1"/>
  <c r="G16" i="5"/>
  <c r="I16" i="5" s="1"/>
  <c r="J16" i="5" s="1"/>
  <c r="G15" i="5"/>
  <c r="I15" i="5" s="1"/>
  <c r="J15" i="5" s="1"/>
  <c r="G14" i="5"/>
  <c r="I14" i="5" s="1"/>
  <c r="J14" i="5" s="1"/>
  <c r="G13" i="5"/>
  <c r="I13" i="5" s="1"/>
  <c r="J13" i="5" s="1"/>
  <c r="G12" i="5"/>
  <c r="I12" i="5" s="1"/>
  <c r="J12" i="5" s="1"/>
  <c r="J78" i="5"/>
  <c r="G11" i="5"/>
  <c r="I11" i="5" s="1"/>
  <c r="J11" i="5" s="1"/>
  <c r="G10" i="5"/>
  <c r="I10" i="5" s="1"/>
  <c r="J10" i="5" s="1"/>
  <c r="G9" i="5"/>
  <c r="I9" i="5" s="1"/>
  <c r="J9" i="5" s="1"/>
  <c r="G8" i="5"/>
  <c r="I8" i="5" s="1"/>
  <c r="J8" i="5" s="1"/>
  <c r="G7" i="5"/>
  <c r="I7" i="5" s="1"/>
  <c r="J7" i="5" s="1"/>
  <c r="G6" i="5"/>
  <c r="I6" i="5" s="1"/>
  <c r="J6" i="5" s="1"/>
  <c r="G5" i="5"/>
  <c r="I5" i="5" s="1"/>
  <c r="J5" i="5" s="1"/>
  <c r="G4" i="5"/>
  <c r="I4" i="5" s="1"/>
  <c r="J4" i="5" s="1"/>
  <c r="H108" i="4"/>
  <c r="E108" i="4"/>
  <c r="G79" i="4"/>
  <c r="I79" i="4" s="1"/>
  <c r="J79" i="4" s="1"/>
  <c r="G78" i="4"/>
  <c r="I78" i="4" s="1"/>
  <c r="J78" i="4" s="1"/>
  <c r="G77" i="4"/>
  <c r="I77" i="4" s="1"/>
  <c r="J77" i="4" s="1"/>
  <c r="G76" i="4"/>
  <c r="I76" i="4" s="1"/>
  <c r="G75" i="4"/>
  <c r="I75" i="4" s="1"/>
  <c r="J75" i="4" s="1"/>
  <c r="G74" i="4"/>
  <c r="I74" i="4" s="1"/>
  <c r="J74" i="4" s="1"/>
  <c r="G73" i="4"/>
  <c r="I73" i="4" s="1"/>
  <c r="J73" i="4" s="1"/>
  <c r="G72" i="4"/>
  <c r="I72" i="4" s="1"/>
  <c r="J72" i="4" s="1"/>
  <c r="G71" i="4"/>
  <c r="I71" i="4" s="1"/>
  <c r="J71" i="4" s="1"/>
  <c r="G70" i="4"/>
  <c r="I70" i="4" s="1"/>
  <c r="J70" i="4" s="1"/>
  <c r="G69" i="4"/>
  <c r="I69" i="4" s="1"/>
  <c r="J69" i="4" s="1"/>
  <c r="G68" i="4"/>
  <c r="I68" i="4" s="1"/>
  <c r="J68" i="4" s="1"/>
  <c r="G67" i="4"/>
  <c r="I67" i="4" s="1"/>
  <c r="J67" i="4" s="1"/>
  <c r="G66" i="4"/>
  <c r="I66" i="4" s="1"/>
  <c r="J66" i="4" s="1"/>
  <c r="G65" i="4"/>
  <c r="I65" i="4" s="1"/>
  <c r="J65" i="4" s="1"/>
  <c r="G64" i="4"/>
  <c r="I64" i="4" s="1"/>
  <c r="J64" i="4" s="1"/>
  <c r="G63" i="4"/>
  <c r="I63" i="4" s="1"/>
  <c r="J63" i="4" s="1"/>
  <c r="G62" i="4"/>
  <c r="I62" i="4" s="1"/>
  <c r="J62" i="4" s="1"/>
  <c r="G61" i="4"/>
  <c r="I61" i="4" s="1"/>
  <c r="J61" i="4" s="1"/>
  <c r="G60" i="4"/>
  <c r="I60" i="4" s="1"/>
  <c r="J60" i="4" s="1"/>
  <c r="G59" i="4"/>
  <c r="I59" i="4" s="1"/>
  <c r="J59" i="4" s="1"/>
  <c r="G58" i="4"/>
  <c r="I58" i="4" s="1"/>
  <c r="J58" i="4" s="1"/>
  <c r="G57" i="4"/>
  <c r="I57" i="4" s="1"/>
  <c r="J57" i="4" s="1"/>
  <c r="G56" i="4"/>
  <c r="I56" i="4" s="1"/>
  <c r="J56" i="4" s="1"/>
  <c r="G55" i="4"/>
  <c r="I55" i="4" s="1"/>
  <c r="J55" i="4" s="1"/>
  <c r="G54" i="4"/>
  <c r="I54" i="4" s="1"/>
  <c r="J54" i="4" s="1"/>
  <c r="G53" i="4"/>
  <c r="I53" i="4" s="1"/>
  <c r="J53" i="4" s="1"/>
  <c r="G52" i="4"/>
  <c r="I52" i="4" s="1"/>
  <c r="J52" i="4" s="1"/>
  <c r="G51" i="4"/>
  <c r="I51" i="4" s="1"/>
  <c r="J51" i="4" s="1"/>
  <c r="G50" i="4"/>
  <c r="I50" i="4" s="1"/>
  <c r="J50" i="4" s="1"/>
  <c r="G49" i="4"/>
  <c r="I49" i="4" s="1"/>
  <c r="J49" i="4" s="1"/>
  <c r="G48" i="4"/>
  <c r="I48" i="4" s="1"/>
  <c r="J48" i="4" s="1"/>
  <c r="G47" i="4"/>
  <c r="I47" i="4" s="1"/>
  <c r="J47" i="4" s="1"/>
  <c r="G46" i="4"/>
  <c r="I46" i="4" s="1"/>
  <c r="J46" i="4" s="1"/>
  <c r="G45" i="4"/>
  <c r="I45" i="4" s="1"/>
  <c r="J45" i="4" s="1"/>
  <c r="G44" i="4"/>
  <c r="I44" i="4" s="1"/>
  <c r="J44" i="4" s="1"/>
  <c r="G43" i="4"/>
  <c r="I43" i="4" s="1"/>
  <c r="J43" i="4" s="1"/>
  <c r="G42" i="4"/>
  <c r="I42" i="4" s="1"/>
  <c r="J42" i="4" s="1"/>
  <c r="G41" i="4"/>
  <c r="I41" i="4" s="1"/>
  <c r="J41" i="4" s="1"/>
  <c r="G40" i="4"/>
  <c r="I40" i="4" s="1"/>
  <c r="J40" i="4" s="1"/>
  <c r="G39" i="4"/>
  <c r="I39" i="4" s="1"/>
  <c r="J39" i="4" s="1"/>
  <c r="G38" i="4"/>
  <c r="I38" i="4" s="1"/>
  <c r="J38" i="4" s="1"/>
  <c r="G37" i="4"/>
  <c r="I37" i="4" s="1"/>
  <c r="J37" i="4" s="1"/>
  <c r="G36" i="4"/>
  <c r="I36" i="4" s="1"/>
  <c r="J36" i="4" s="1"/>
  <c r="G35" i="4"/>
  <c r="I35" i="4" s="1"/>
  <c r="J35" i="4" s="1"/>
  <c r="G34" i="4"/>
  <c r="I34" i="4" s="1"/>
  <c r="J34" i="4" s="1"/>
  <c r="G33" i="4"/>
  <c r="I33" i="4" s="1"/>
  <c r="J33" i="4" s="1"/>
  <c r="G32" i="4"/>
  <c r="I32" i="4" s="1"/>
  <c r="J32" i="4" s="1"/>
  <c r="G31" i="4"/>
  <c r="I31" i="4" s="1"/>
  <c r="J31" i="4" s="1"/>
  <c r="G30" i="4"/>
  <c r="I30" i="4" s="1"/>
  <c r="J30" i="4" s="1"/>
  <c r="G29" i="4"/>
  <c r="I29" i="4" s="1"/>
  <c r="J29" i="4" s="1"/>
  <c r="G28" i="4"/>
  <c r="I28" i="4" s="1"/>
  <c r="J28" i="4" s="1"/>
  <c r="G27" i="4"/>
  <c r="I27" i="4" s="1"/>
  <c r="J27" i="4" s="1"/>
  <c r="G26" i="4"/>
  <c r="I26" i="4" s="1"/>
  <c r="J26" i="4" s="1"/>
  <c r="I86" i="4"/>
  <c r="J86" i="4" s="1"/>
  <c r="G25" i="4"/>
  <c r="I25" i="4" s="1"/>
  <c r="J25" i="4" s="1"/>
  <c r="G24" i="4"/>
  <c r="I24" i="4" s="1"/>
  <c r="J24" i="4" s="1"/>
  <c r="G23" i="4"/>
  <c r="I23" i="4" s="1"/>
  <c r="J23" i="4" s="1"/>
  <c r="G22" i="4"/>
  <c r="I22" i="4" s="1"/>
  <c r="J22" i="4" s="1"/>
  <c r="G21" i="4"/>
  <c r="I21" i="4" s="1"/>
  <c r="J21" i="4" s="1"/>
  <c r="G20" i="4"/>
  <c r="I20" i="4" s="1"/>
  <c r="J20" i="4" s="1"/>
  <c r="G19" i="4"/>
  <c r="I19" i="4" s="1"/>
  <c r="J19" i="4" s="1"/>
  <c r="G18" i="4"/>
  <c r="I18" i="4" s="1"/>
  <c r="J18" i="4" s="1"/>
  <c r="G17" i="4"/>
  <c r="I17" i="4" s="1"/>
  <c r="J17" i="4" s="1"/>
  <c r="G16" i="4"/>
  <c r="I16" i="4" s="1"/>
  <c r="J16" i="4" s="1"/>
  <c r="G15" i="4"/>
  <c r="I15" i="4" s="1"/>
  <c r="J15" i="4" s="1"/>
  <c r="G14" i="4"/>
  <c r="I14" i="4" s="1"/>
  <c r="J14" i="4" s="1"/>
  <c r="G13" i="4"/>
  <c r="I13" i="4" s="1"/>
  <c r="J13" i="4" s="1"/>
  <c r="G12" i="4"/>
  <c r="I12" i="4" s="1"/>
  <c r="J12" i="4" s="1"/>
  <c r="G11" i="4"/>
  <c r="I11" i="4" s="1"/>
  <c r="J11" i="4" s="1"/>
  <c r="G10" i="4"/>
  <c r="I10" i="4" s="1"/>
  <c r="J10" i="4" s="1"/>
  <c r="G9" i="4"/>
  <c r="I9" i="4" s="1"/>
  <c r="J9" i="4" s="1"/>
  <c r="G8" i="4"/>
  <c r="I8" i="4" s="1"/>
  <c r="J8" i="4" s="1"/>
  <c r="G7" i="4"/>
  <c r="I7" i="4" s="1"/>
  <c r="J7" i="4" s="1"/>
  <c r="G6" i="4"/>
  <c r="I6" i="4" s="1"/>
  <c r="J6" i="4" s="1"/>
  <c r="G5" i="4"/>
  <c r="I5" i="4" s="1"/>
  <c r="J5" i="4" s="1"/>
  <c r="G4" i="4"/>
  <c r="I40" i="5" l="1"/>
  <c r="J40" i="5" s="1"/>
  <c r="I24" i="5"/>
  <c r="J24" i="5" s="1"/>
  <c r="I41" i="5"/>
  <c r="J41" i="5" s="1"/>
  <c r="I34" i="5"/>
  <c r="J34" i="5" s="1"/>
  <c r="I28" i="5"/>
  <c r="J28" i="5" s="1"/>
  <c r="I36" i="5"/>
  <c r="J36" i="5" s="1"/>
  <c r="I25" i="5"/>
  <c r="J25" i="5" s="1"/>
  <c r="I26" i="5"/>
  <c r="I27" i="5"/>
  <c r="J27" i="5" s="1"/>
  <c r="I35" i="5"/>
  <c r="J35" i="5" s="1"/>
  <c r="I21" i="5"/>
  <c r="J21" i="5" s="1"/>
  <c r="I37" i="5"/>
  <c r="J37" i="5" s="1"/>
  <c r="I30" i="5"/>
  <c r="J30" i="5" s="1"/>
  <c r="I38" i="5"/>
  <c r="J38" i="5" s="1"/>
  <c r="I31" i="5"/>
  <c r="J31" i="5" s="1"/>
  <c r="I39" i="5"/>
  <c r="J39" i="5" s="1"/>
  <c r="G108" i="4"/>
  <c r="G99" i="5"/>
  <c r="I4" i="4"/>
  <c r="H129" i="3"/>
  <c r="E129" i="3"/>
  <c r="G101" i="3"/>
  <c r="I101" i="3" s="1"/>
  <c r="J101" i="3" s="1"/>
  <c r="G100" i="3"/>
  <c r="I100" i="3" s="1"/>
  <c r="J100" i="3" s="1"/>
  <c r="G99" i="3"/>
  <c r="I99" i="3" s="1"/>
  <c r="J99" i="3" s="1"/>
  <c r="G98" i="3"/>
  <c r="I98" i="3" s="1"/>
  <c r="J98" i="3" s="1"/>
  <c r="G97" i="3"/>
  <c r="I97" i="3" s="1"/>
  <c r="J97" i="3" s="1"/>
  <c r="G96" i="3"/>
  <c r="I96" i="3" s="1"/>
  <c r="J96" i="3" s="1"/>
  <c r="G95" i="3"/>
  <c r="I95" i="3" s="1"/>
  <c r="J95" i="3" s="1"/>
  <c r="G94" i="3"/>
  <c r="I94" i="3" s="1"/>
  <c r="J94" i="3" s="1"/>
  <c r="G93" i="3"/>
  <c r="I93" i="3" s="1"/>
  <c r="J93" i="3" s="1"/>
  <c r="G92" i="3"/>
  <c r="I92" i="3" s="1"/>
  <c r="J92" i="3" s="1"/>
  <c r="G91" i="3"/>
  <c r="I91" i="3" s="1"/>
  <c r="J91" i="3" s="1"/>
  <c r="G90" i="3"/>
  <c r="I90" i="3" s="1"/>
  <c r="J90" i="3" s="1"/>
  <c r="G89" i="3"/>
  <c r="I89" i="3" s="1"/>
  <c r="G88" i="3"/>
  <c r="I88" i="3" s="1"/>
  <c r="J88" i="3" s="1"/>
  <c r="G87" i="3"/>
  <c r="I87" i="3" s="1"/>
  <c r="J87" i="3" s="1"/>
  <c r="G86" i="3"/>
  <c r="I86" i="3" s="1"/>
  <c r="J86" i="3" s="1"/>
  <c r="G85" i="3"/>
  <c r="I85" i="3" s="1"/>
  <c r="J85" i="3" s="1"/>
  <c r="G84" i="3"/>
  <c r="I84" i="3" s="1"/>
  <c r="J84" i="3" s="1"/>
  <c r="G83" i="3"/>
  <c r="I83" i="3" s="1"/>
  <c r="J83" i="3" s="1"/>
  <c r="G82" i="3"/>
  <c r="I82" i="3" s="1"/>
  <c r="J82" i="3" s="1"/>
  <c r="G81" i="3"/>
  <c r="I81" i="3" s="1"/>
  <c r="J81" i="3" s="1"/>
  <c r="I119" i="3"/>
  <c r="J119" i="3" s="1"/>
  <c r="G80" i="3"/>
  <c r="I80" i="3" s="1"/>
  <c r="J80" i="3" s="1"/>
  <c r="G79" i="3"/>
  <c r="I79" i="3" s="1"/>
  <c r="J79" i="3" s="1"/>
  <c r="G78" i="3"/>
  <c r="I78" i="3" s="1"/>
  <c r="J78" i="3" s="1"/>
  <c r="G77" i="3"/>
  <c r="I77" i="3" s="1"/>
  <c r="J77" i="3" s="1"/>
  <c r="G76" i="3"/>
  <c r="I76" i="3" s="1"/>
  <c r="J76" i="3" s="1"/>
  <c r="G75" i="3"/>
  <c r="I75" i="3" s="1"/>
  <c r="J75" i="3" s="1"/>
  <c r="G74" i="3"/>
  <c r="I74" i="3" s="1"/>
  <c r="J74" i="3" s="1"/>
  <c r="G73" i="3"/>
  <c r="I73" i="3" s="1"/>
  <c r="J73" i="3" s="1"/>
  <c r="G72" i="3"/>
  <c r="I72" i="3" s="1"/>
  <c r="J72" i="3" s="1"/>
  <c r="G71" i="3"/>
  <c r="I71" i="3" s="1"/>
  <c r="J71" i="3" s="1"/>
  <c r="G70" i="3"/>
  <c r="I70" i="3" s="1"/>
  <c r="J70" i="3" s="1"/>
  <c r="G69" i="3"/>
  <c r="I69" i="3" s="1"/>
  <c r="J69" i="3" s="1"/>
  <c r="G68" i="3"/>
  <c r="I68" i="3" s="1"/>
  <c r="J68" i="3" s="1"/>
  <c r="G67" i="3"/>
  <c r="I67" i="3" s="1"/>
  <c r="J67" i="3" s="1"/>
  <c r="G66" i="3"/>
  <c r="I66" i="3" s="1"/>
  <c r="J66" i="3" s="1"/>
  <c r="G65" i="3"/>
  <c r="I65" i="3" s="1"/>
  <c r="J65" i="3" s="1"/>
  <c r="G64" i="3"/>
  <c r="I64" i="3" s="1"/>
  <c r="J64" i="3" s="1"/>
  <c r="G63" i="3"/>
  <c r="I63" i="3" s="1"/>
  <c r="J63" i="3" s="1"/>
  <c r="G62" i="3"/>
  <c r="I62" i="3" s="1"/>
  <c r="J62" i="3" s="1"/>
  <c r="G61" i="3"/>
  <c r="I61" i="3" s="1"/>
  <c r="J61" i="3" s="1"/>
  <c r="G60" i="3"/>
  <c r="I60" i="3" s="1"/>
  <c r="J60" i="3" s="1"/>
  <c r="G59" i="3"/>
  <c r="I59" i="3" s="1"/>
  <c r="J59" i="3" s="1"/>
  <c r="G58" i="3"/>
  <c r="I58" i="3" s="1"/>
  <c r="J58" i="3" s="1"/>
  <c r="G57" i="3"/>
  <c r="I57" i="3" s="1"/>
  <c r="J57" i="3" s="1"/>
  <c r="G56" i="3"/>
  <c r="I56" i="3" s="1"/>
  <c r="J56" i="3" s="1"/>
  <c r="G55" i="3"/>
  <c r="I55" i="3" s="1"/>
  <c r="J55" i="3" s="1"/>
  <c r="G54" i="3"/>
  <c r="I54" i="3" s="1"/>
  <c r="J54" i="3" s="1"/>
  <c r="G53" i="3"/>
  <c r="I53" i="3" s="1"/>
  <c r="J53" i="3" s="1"/>
  <c r="G52" i="3"/>
  <c r="I52" i="3" s="1"/>
  <c r="J52" i="3" s="1"/>
  <c r="G51" i="3"/>
  <c r="I51" i="3" s="1"/>
  <c r="J51" i="3" s="1"/>
  <c r="G50" i="3"/>
  <c r="I50" i="3" s="1"/>
  <c r="J50" i="3" s="1"/>
  <c r="G49" i="3"/>
  <c r="I49" i="3" s="1"/>
  <c r="J49" i="3" s="1"/>
  <c r="G48" i="3"/>
  <c r="I48" i="3" s="1"/>
  <c r="J48" i="3" s="1"/>
  <c r="G47" i="3"/>
  <c r="I47" i="3" s="1"/>
  <c r="J47" i="3" s="1"/>
  <c r="G46" i="3"/>
  <c r="I46" i="3" s="1"/>
  <c r="J46" i="3" s="1"/>
  <c r="G45" i="3"/>
  <c r="I45" i="3" s="1"/>
  <c r="J45" i="3" s="1"/>
  <c r="G44" i="3"/>
  <c r="I44" i="3" s="1"/>
  <c r="J44" i="3" s="1"/>
  <c r="G43" i="3"/>
  <c r="I43" i="3" s="1"/>
  <c r="J43" i="3" s="1"/>
  <c r="G42" i="3"/>
  <c r="I42" i="3" s="1"/>
  <c r="J42" i="3" s="1"/>
  <c r="G41" i="3"/>
  <c r="I41" i="3" s="1"/>
  <c r="J41" i="3" s="1"/>
  <c r="G40" i="3"/>
  <c r="I40" i="3" s="1"/>
  <c r="J40" i="3" s="1"/>
  <c r="G39" i="3"/>
  <c r="I39" i="3" s="1"/>
  <c r="J39" i="3" s="1"/>
  <c r="G38" i="3"/>
  <c r="I38" i="3" s="1"/>
  <c r="J38" i="3" s="1"/>
  <c r="G37" i="3"/>
  <c r="I37" i="3" s="1"/>
  <c r="J37" i="3" s="1"/>
  <c r="G36" i="3"/>
  <c r="I36" i="3" s="1"/>
  <c r="J36" i="3" s="1"/>
  <c r="G35" i="3"/>
  <c r="I35" i="3" s="1"/>
  <c r="J35" i="3" s="1"/>
  <c r="G34" i="3"/>
  <c r="I34" i="3" s="1"/>
  <c r="J34" i="3" s="1"/>
  <c r="G33" i="3"/>
  <c r="I33" i="3" s="1"/>
  <c r="J33" i="3" s="1"/>
  <c r="G32" i="3"/>
  <c r="I32" i="3" s="1"/>
  <c r="J32" i="3" s="1"/>
  <c r="G31" i="3"/>
  <c r="I31" i="3" s="1"/>
  <c r="J31" i="3" s="1"/>
  <c r="G30" i="3"/>
  <c r="I30" i="3" s="1"/>
  <c r="J30" i="3" s="1"/>
  <c r="G29" i="3"/>
  <c r="I29" i="3" s="1"/>
  <c r="J29" i="3" s="1"/>
  <c r="G28" i="3"/>
  <c r="I28" i="3" s="1"/>
  <c r="J28" i="3" s="1"/>
  <c r="G27" i="3"/>
  <c r="I27" i="3" s="1"/>
  <c r="J27" i="3" s="1"/>
  <c r="G26" i="3"/>
  <c r="I26" i="3" s="1"/>
  <c r="J26" i="3" s="1"/>
  <c r="G25" i="3"/>
  <c r="I25" i="3" s="1"/>
  <c r="J25" i="3" s="1"/>
  <c r="G24" i="3"/>
  <c r="I24" i="3" s="1"/>
  <c r="J24" i="3" s="1"/>
  <c r="G23" i="3"/>
  <c r="I23" i="3" s="1"/>
  <c r="J23" i="3" s="1"/>
  <c r="G22" i="3"/>
  <c r="I22" i="3" s="1"/>
  <c r="J22" i="3" s="1"/>
  <c r="G21" i="3"/>
  <c r="I21" i="3" s="1"/>
  <c r="J21" i="3" s="1"/>
  <c r="G20" i="3"/>
  <c r="I20" i="3" s="1"/>
  <c r="J20" i="3" s="1"/>
  <c r="G19" i="3"/>
  <c r="I19" i="3" s="1"/>
  <c r="J19" i="3" s="1"/>
  <c r="G18" i="3"/>
  <c r="I18" i="3" s="1"/>
  <c r="J18" i="3" s="1"/>
  <c r="G17" i="3"/>
  <c r="I17" i="3" s="1"/>
  <c r="J17" i="3" s="1"/>
  <c r="G16" i="3"/>
  <c r="G15" i="3"/>
  <c r="I15" i="3" s="1"/>
  <c r="J15" i="3" s="1"/>
  <c r="G14" i="3"/>
  <c r="I14" i="3" s="1"/>
  <c r="J14" i="3" s="1"/>
  <c r="G13" i="3"/>
  <c r="I13" i="3" s="1"/>
  <c r="J13" i="3" s="1"/>
  <c r="G12" i="3"/>
  <c r="I12" i="3" s="1"/>
  <c r="J12" i="3" s="1"/>
  <c r="G11" i="3"/>
  <c r="I11" i="3" s="1"/>
  <c r="J11" i="3" s="1"/>
  <c r="G10" i="3"/>
  <c r="I10" i="3" s="1"/>
  <c r="J10" i="3" s="1"/>
  <c r="G9" i="3"/>
  <c r="I9" i="3" s="1"/>
  <c r="J9" i="3" s="1"/>
  <c r="G8" i="3"/>
  <c r="I8" i="3" s="1"/>
  <c r="J8" i="3" s="1"/>
  <c r="G7" i="3"/>
  <c r="I7" i="3" s="1"/>
  <c r="J7" i="3" s="1"/>
  <c r="G6" i="3"/>
  <c r="I6" i="3" s="1"/>
  <c r="J6" i="3" s="1"/>
  <c r="G5" i="3"/>
  <c r="I5" i="3" s="1"/>
  <c r="J5" i="3" s="1"/>
  <c r="G4" i="3"/>
  <c r="H51" i="2"/>
  <c r="E51" i="2"/>
  <c r="G35" i="2"/>
  <c r="I35" i="2" s="1"/>
  <c r="J35" i="2" s="1"/>
  <c r="G34" i="2"/>
  <c r="I34" i="2" s="1"/>
  <c r="J34" i="2" s="1"/>
  <c r="G33" i="2"/>
  <c r="I33" i="2" s="1"/>
  <c r="J33" i="2" s="1"/>
  <c r="G32" i="2"/>
  <c r="I32" i="2" s="1"/>
  <c r="J32" i="2" s="1"/>
  <c r="G31" i="2"/>
  <c r="I31" i="2" s="1"/>
  <c r="J31" i="2" s="1"/>
  <c r="G30" i="2"/>
  <c r="I30" i="2" s="1"/>
  <c r="J30" i="2" s="1"/>
  <c r="G29" i="2"/>
  <c r="I29" i="2" s="1"/>
  <c r="J29" i="2" s="1"/>
  <c r="G28" i="2"/>
  <c r="I28" i="2" s="1"/>
  <c r="J28" i="2" s="1"/>
  <c r="G27" i="2"/>
  <c r="I27" i="2" s="1"/>
  <c r="J27" i="2" s="1"/>
  <c r="G26" i="2"/>
  <c r="I26" i="2" s="1"/>
  <c r="J26" i="2" s="1"/>
  <c r="G25" i="2"/>
  <c r="I25" i="2" s="1"/>
  <c r="J25" i="2" s="1"/>
  <c r="G24" i="2"/>
  <c r="I24" i="2" s="1"/>
  <c r="J24" i="2" s="1"/>
  <c r="G23" i="2"/>
  <c r="I23" i="2" s="1"/>
  <c r="J23" i="2" s="1"/>
  <c r="G22" i="2"/>
  <c r="I22" i="2" s="1"/>
  <c r="J22" i="2" s="1"/>
  <c r="G21" i="2"/>
  <c r="I21" i="2" s="1"/>
  <c r="J21" i="2" s="1"/>
  <c r="G20" i="2"/>
  <c r="I20" i="2" s="1"/>
  <c r="J20" i="2" s="1"/>
  <c r="G19" i="2"/>
  <c r="I19" i="2" s="1"/>
  <c r="J19" i="2" s="1"/>
  <c r="G18" i="2"/>
  <c r="I18" i="2" s="1"/>
  <c r="J18" i="2" s="1"/>
  <c r="G17" i="2"/>
  <c r="I17" i="2" s="1"/>
  <c r="J17" i="2" s="1"/>
  <c r="G16" i="2"/>
  <c r="I16" i="2" s="1"/>
  <c r="J16" i="2" s="1"/>
  <c r="G15" i="2"/>
  <c r="I15" i="2" s="1"/>
  <c r="J15" i="2" s="1"/>
  <c r="G14" i="2"/>
  <c r="I14" i="2" s="1"/>
  <c r="J14" i="2" s="1"/>
  <c r="G13" i="2"/>
  <c r="I13" i="2" s="1"/>
  <c r="J13" i="2" s="1"/>
  <c r="G12" i="2"/>
  <c r="I12" i="2" s="1"/>
  <c r="J12" i="2" s="1"/>
  <c r="G11" i="2"/>
  <c r="I11" i="2" s="1"/>
  <c r="J11" i="2" s="1"/>
  <c r="G10" i="2"/>
  <c r="I10" i="2" s="1"/>
  <c r="J10" i="2" s="1"/>
  <c r="G9" i="2"/>
  <c r="I9" i="2" s="1"/>
  <c r="J9" i="2" s="1"/>
  <c r="G8" i="2"/>
  <c r="I8" i="2" s="1"/>
  <c r="J8" i="2" s="1"/>
  <c r="G7" i="2"/>
  <c r="I7" i="2" s="1"/>
  <c r="J7" i="2" s="1"/>
  <c r="G6" i="2"/>
  <c r="I6" i="2" s="1"/>
  <c r="J6" i="2" s="1"/>
  <c r="G5" i="2"/>
  <c r="I5" i="2" s="1"/>
  <c r="J5" i="2" s="1"/>
  <c r="G4" i="2"/>
  <c r="H79" i="1"/>
  <c r="G52" i="1"/>
  <c r="I52" i="1" s="1"/>
  <c r="J52" i="1" s="1"/>
  <c r="G51" i="1"/>
  <c r="I51" i="1" s="1"/>
  <c r="J51" i="1" s="1"/>
  <c r="G48" i="1"/>
  <c r="I48" i="1" s="1"/>
  <c r="J48" i="1" s="1"/>
  <c r="G50" i="1"/>
  <c r="I50" i="1" s="1"/>
  <c r="J50" i="1" s="1"/>
  <c r="G49" i="1"/>
  <c r="I49" i="1" s="1"/>
  <c r="J49" i="1" s="1"/>
  <c r="G47" i="1"/>
  <c r="I47" i="1" s="1"/>
  <c r="J47" i="1" s="1"/>
  <c r="G45" i="1"/>
  <c r="I45" i="1" s="1"/>
  <c r="J45" i="1" s="1"/>
  <c r="I46" i="1"/>
  <c r="J46" i="1" s="1"/>
  <c r="G44" i="1"/>
  <c r="I44" i="1" s="1"/>
  <c r="J44" i="1" s="1"/>
  <c r="G43" i="1"/>
  <c r="I43" i="1" s="1"/>
  <c r="J43" i="1" s="1"/>
  <c r="G42" i="1"/>
  <c r="I42" i="1" s="1"/>
  <c r="J42" i="1" s="1"/>
  <c r="G41" i="1"/>
  <c r="I41" i="1" s="1"/>
  <c r="J41" i="1" s="1"/>
  <c r="G40" i="1"/>
  <c r="I40" i="1" s="1"/>
  <c r="J40" i="1" s="1"/>
  <c r="G39" i="1"/>
  <c r="I39" i="1" s="1"/>
  <c r="J39" i="1" s="1"/>
  <c r="J69" i="1"/>
  <c r="G37" i="1"/>
  <c r="I37" i="1" s="1"/>
  <c r="J37" i="1" s="1"/>
  <c r="G36" i="1"/>
  <c r="I36" i="1" s="1"/>
  <c r="J36" i="1" s="1"/>
  <c r="G38" i="1"/>
  <c r="I38" i="1" s="1"/>
  <c r="J38" i="1" s="1"/>
  <c r="G35" i="1"/>
  <c r="I35" i="1" s="1"/>
  <c r="J35" i="1" s="1"/>
  <c r="G33" i="1"/>
  <c r="I33" i="1" s="1"/>
  <c r="J33" i="1" s="1"/>
  <c r="G32" i="1"/>
  <c r="I32" i="1" s="1"/>
  <c r="J32" i="1" s="1"/>
  <c r="G34" i="1"/>
  <c r="I34" i="1" s="1"/>
  <c r="J34" i="1" s="1"/>
  <c r="G30" i="1"/>
  <c r="I30" i="1" s="1"/>
  <c r="J30" i="1" s="1"/>
  <c r="G29" i="1"/>
  <c r="I29" i="1" s="1"/>
  <c r="J29" i="1" s="1"/>
  <c r="G31" i="1"/>
  <c r="I31" i="1" s="1"/>
  <c r="J31" i="1" s="1"/>
  <c r="G28" i="1"/>
  <c r="I28" i="1" s="1"/>
  <c r="J28" i="1" s="1"/>
  <c r="G26" i="1"/>
  <c r="I26" i="1" s="1"/>
  <c r="J26" i="1" s="1"/>
  <c r="G27" i="1"/>
  <c r="I27" i="1" s="1"/>
  <c r="J27" i="1" s="1"/>
  <c r="G25" i="1"/>
  <c r="I25" i="1" s="1"/>
  <c r="J25" i="1" s="1"/>
  <c r="G24" i="1"/>
  <c r="I24" i="1" s="1"/>
  <c r="J24" i="1" s="1"/>
  <c r="G23" i="1"/>
  <c r="I23" i="1" s="1"/>
  <c r="J23" i="1" s="1"/>
  <c r="G22" i="1"/>
  <c r="I22" i="1" s="1"/>
  <c r="J22" i="1" s="1"/>
  <c r="G21" i="1"/>
  <c r="I21" i="1" s="1"/>
  <c r="J21" i="1" s="1"/>
  <c r="G20" i="1"/>
  <c r="I20" i="1" s="1"/>
  <c r="J20" i="1" s="1"/>
  <c r="G19" i="1"/>
  <c r="I19" i="1" s="1"/>
  <c r="J19" i="1" s="1"/>
  <c r="G18" i="1"/>
  <c r="I18" i="1" s="1"/>
  <c r="J18" i="1" s="1"/>
  <c r="G17" i="1"/>
  <c r="I17" i="1" s="1"/>
  <c r="J17" i="1" s="1"/>
  <c r="G16" i="1"/>
  <c r="I16" i="1" s="1"/>
  <c r="J16" i="1" s="1"/>
  <c r="G15" i="1"/>
  <c r="I15" i="1" s="1"/>
  <c r="J15" i="1" s="1"/>
  <c r="G14" i="1"/>
  <c r="I14" i="1" s="1"/>
  <c r="J14" i="1" s="1"/>
  <c r="G12" i="1"/>
  <c r="I12" i="1" s="1"/>
  <c r="J12" i="1" s="1"/>
  <c r="G13" i="1"/>
  <c r="I13" i="1" s="1"/>
  <c r="J13" i="1" s="1"/>
  <c r="G11" i="1"/>
  <c r="I11" i="1" s="1"/>
  <c r="J11" i="1" s="1"/>
  <c r="G10" i="1"/>
  <c r="I10" i="1" s="1"/>
  <c r="J10" i="1" s="1"/>
  <c r="G9" i="1"/>
  <c r="I9" i="1" s="1"/>
  <c r="J9" i="1" s="1"/>
  <c r="G7" i="1"/>
  <c r="I7" i="1" s="1"/>
  <c r="J7" i="1" s="1"/>
  <c r="G6" i="1"/>
  <c r="I6" i="1" s="1"/>
  <c r="J6" i="1" s="1"/>
  <c r="G8" i="1"/>
  <c r="I8" i="1" s="1"/>
  <c r="J8" i="1" s="1"/>
  <c r="G5" i="1"/>
  <c r="I5" i="1" s="1"/>
  <c r="J5" i="1" s="1"/>
  <c r="G4" i="1"/>
  <c r="I4" i="1" s="1"/>
  <c r="J4" i="1" s="1"/>
  <c r="I16" i="3" l="1"/>
  <c r="J16" i="3" s="1"/>
  <c r="G129" i="3"/>
  <c r="I4" i="3"/>
  <c r="G51" i="2"/>
  <c r="I99" i="5"/>
  <c r="J26" i="5"/>
  <c r="G79" i="1"/>
  <c r="I108" i="4"/>
  <c r="J4" i="4"/>
  <c r="I4" i="2"/>
  <c r="I79" i="1"/>
  <c r="I129" i="3" l="1"/>
  <c r="J4" i="3"/>
  <c r="I51" i="2"/>
  <c r="J4" i="2"/>
</calcChain>
</file>

<file path=xl/sharedStrings.xml><?xml version="1.0" encoding="utf-8"?>
<sst xmlns="http://schemas.openxmlformats.org/spreadsheetml/2006/main" count="2648" uniqueCount="536">
  <si>
    <t>Date</t>
  </si>
  <si>
    <t>Balance</t>
  </si>
  <si>
    <t>Gaju Bhau</t>
  </si>
  <si>
    <t>T-Point</t>
  </si>
  <si>
    <t>Anshu</t>
  </si>
  <si>
    <t>Chetan</t>
  </si>
  <si>
    <t>Mada</t>
  </si>
  <si>
    <t>Toyota</t>
  </si>
  <si>
    <t>Morwa</t>
  </si>
  <si>
    <t>Izhar</t>
  </si>
  <si>
    <t>Tadali</t>
  </si>
  <si>
    <t>Ghodpet</t>
  </si>
  <si>
    <t>Sanjeet</t>
  </si>
  <si>
    <t>Kosara</t>
  </si>
  <si>
    <t>Bhandare</t>
  </si>
  <si>
    <t>Kosra</t>
  </si>
  <si>
    <t>Gurjit</t>
  </si>
  <si>
    <t>MIDC</t>
  </si>
  <si>
    <t>Yuvraj Thakur</t>
  </si>
  <si>
    <t>Padoli</t>
  </si>
  <si>
    <t>Jaiswal</t>
  </si>
  <si>
    <t>Malli</t>
  </si>
  <si>
    <t>Rundawan</t>
  </si>
  <si>
    <t>Preet Bhaiya</t>
  </si>
  <si>
    <t>Rashtrawadi</t>
  </si>
  <si>
    <t>Upadya</t>
  </si>
  <si>
    <t>Rastrawadi</t>
  </si>
  <si>
    <t xml:space="preserve">Wadgaon </t>
  </si>
  <si>
    <t>Patel</t>
  </si>
  <si>
    <t>Tea point</t>
  </si>
  <si>
    <t>Vishal Singh</t>
  </si>
  <si>
    <t>Rundawan Nagar</t>
  </si>
  <si>
    <t>Sachin  K</t>
  </si>
  <si>
    <t>Mahendra</t>
  </si>
  <si>
    <t>Sai Mandir</t>
  </si>
  <si>
    <t>Sachin K</t>
  </si>
  <si>
    <t>Nishan Bhattar</t>
  </si>
  <si>
    <t>Chorada</t>
  </si>
  <si>
    <t>Nirmal Nagri</t>
  </si>
  <si>
    <t>Vishal Prasad</t>
  </si>
  <si>
    <t>Nagada</t>
  </si>
  <si>
    <t>Rupesh Regundewar</t>
  </si>
  <si>
    <t>Khanda Nagri</t>
  </si>
  <si>
    <t>Nitin Prasad</t>
  </si>
  <si>
    <t>Mardarsa</t>
  </si>
  <si>
    <t>Gaju</t>
  </si>
  <si>
    <t>Meshram</t>
  </si>
  <si>
    <t>Yerur</t>
  </si>
  <si>
    <t>Gaju  Bhau</t>
  </si>
  <si>
    <t xml:space="preserve"> Abhay Adgurwar</t>
  </si>
  <si>
    <t>Hitesh</t>
  </si>
  <si>
    <t>Salim</t>
  </si>
  <si>
    <t>Mada Colony</t>
  </si>
  <si>
    <t>Arbaz</t>
  </si>
  <si>
    <t>Wadgaon</t>
  </si>
  <si>
    <t>Anshu / Ravi</t>
  </si>
  <si>
    <t>Marshi School</t>
  </si>
  <si>
    <t>Yadav</t>
  </si>
  <si>
    <t>Ravi</t>
  </si>
  <si>
    <t>Lalit</t>
  </si>
  <si>
    <t xml:space="preserve">Anshu </t>
  </si>
  <si>
    <t>Total Balance</t>
  </si>
  <si>
    <t xml:space="preserve">Ravi </t>
  </si>
  <si>
    <t>Haveli Garden</t>
  </si>
  <si>
    <t xml:space="preserve">Akash </t>
  </si>
  <si>
    <t>Yashwant nagar</t>
  </si>
  <si>
    <t>Nagapure</t>
  </si>
  <si>
    <t>Mehul</t>
  </si>
  <si>
    <t>Thakkar Tiles</t>
  </si>
  <si>
    <t>Irfan</t>
  </si>
  <si>
    <t>Sunil Balki</t>
  </si>
  <si>
    <t>Near Burger Company</t>
  </si>
  <si>
    <t>Jhenthe</t>
  </si>
  <si>
    <t>Sachin</t>
  </si>
  <si>
    <t>Ramtake</t>
  </si>
  <si>
    <t>Thackery Wadi</t>
  </si>
  <si>
    <t>Pawan (Friend)</t>
  </si>
  <si>
    <t>Siavan</t>
  </si>
  <si>
    <t>Total Trips</t>
  </si>
  <si>
    <t xml:space="preserve">Sai Mandir </t>
  </si>
  <si>
    <t>Atul</t>
  </si>
  <si>
    <t>Padoli (D-Mart)</t>
  </si>
  <si>
    <t xml:space="preserve">Gaju </t>
  </si>
  <si>
    <t>Mahendra Order</t>
  </si>
  <si>
    <t>Saurabh</t>
  </si>
  <si>
    <t>Chaman</t>
  </si>
  <si>
    <t>Ravi / Gaju Bhau</t>
  </si>
  <si>
    <t>Gurjit Saini</t>
  </si>
  <si>
    <t>New Vidarbha</t>
  </si>
  <si>
    <t>Sharukh Bhaiya</t>
  </si>
  <si>
    <t>Urjanagar</t>
  </si>
  <si>
    <t>Chinchada</t>
  </si>
  <si>
    <t>Ashwin</t>
  </si>
  <si>
    <t xml:space="preserve">Poly College </t>
  </si>
  <si>
    <t>Bappya Mama</t>
  </si>
  <si>
    <t>Sardar Colony</t>
  </si>
  <si>
    <t>Sanjeet Police</t>
  </si>
  <si>
    <t xml:space="preserve">Bandu ( Papa Order) </t>
  </si>
  <si>
    <t>Sharif ( Papa Order)</t>
  </si>
  <si>
    <t>Pravin</t>
  </si>
  <si>
    <t>MIDC ( HP)</t>
  </si>
  <si>
    <t>Mathhe Colony</t>
  </si>
  <si>
    <t>Chicnchada</t>
  </si>
  <si>
    <t xml:space="preserve"> Anshu / Ravi</t>
  </si>
  <si>
    <t>Near Sainik Petrol Pump</t>
  </si>
  <si>
    <t>Madhu Zanke ( Papa Order )</t>
  </si>
  <si>
    <t>Shiv Nagar</t>
  </si>
  <si>
    <t>Sau Thekedar</t>
  </si>
  <si>
    <t xml:space="preserve">Rastrawadi </t>
  </si>
  <si>
    <t>Bhapat Nagar</t>
  </si>
  <si>
    <t>Ankush P</t>
  </si>
  <si>
    <t>Kosara ( Hunuman Nagar</t>
  </si>
  <si>
    <t>Sadar Colony</t>
  </si>
  <si>
    <t>Tiushal Chawda</t>
  </si>
  <si>
    <t>Backside  Narayana School</t>
  </si>
  <si>
    <t>Near Nayra Petrol Pump</t>
  </si>
  <si>
    <t>Janta College</t>
  </si>
  <si>
    <t>Worora Naka</t>
  </si>
  <si>
    <t>Prakash K</t>
  </si>
  <si>
    <t>Madarsa</t>
  </si>
  <si>
    <t>Khutada</t>
  </si>
  <si>
    <t>Chaman ( Tadali )</t>
  </si>
  <si>
    <t>Devada</t>
  </si>
  <si>
    <t>Ravi / Anshu</t>
  </si>
  <si>
    <t>Ravi 2 / Anshu 1</t>
  </si>
  <si>
    <t>Papa Order</t>
  </si>
  <si>
    <t>Thackrey Wadi</t>
  </si>
  <si>
    <t>Stadium</t>
  </si>
  <si>
    <t>Aau</t>
  </si>
  <si>
    <t>Thakkar Colony</t>
  </si>
  <si>
    <t>Ram Nagar</t>
  </si>
  <si>
    <t>Githe Saheb</t>
  </si>
  <si>
    <t>Loading</t>
  </si>
  <si>
    <t>Shiva Korewar</t>
  </si>
  <si>
    <t>Beside Villa Hotel</t>
  </si>
  <si>
    <t>Balki</t>
  </si>
  <si>
    <t>Beside Burger Company</t>
  </si>
  <si>
    <t>Datada</t>
  </si>
  <si>
    <t>Surr</t>
  </si>
  <si>
    <t>Villa Hotel</t>
  </si>
  <si>
    <t>Hari Bhau</t>
  </si>
  <si>
    <t>Tulsi nagar</t>
  </si>
  <si>
    <t>Anshu / Gaju</t>
  </si>
  <si>
    <t>Aryan Dhabba Khutada</t>
  </si>
  <si>
    <t>Lakhan</t>
  </si>
  <si>
    <t>Tulsi Nagar</t>
  </si>
  <si>
    <t>Yash Bhaiya</t>
  </si>
  <si>
    <t>Mursa</t>
  </si>
  <si>
    <t>Azad Transport</t>
  </si>
  <si>
    <t>Ambedkar Sabhagruha</t>
  </si>
  <si>
    <t>Ajay Mobile Shop</t>
  </si>
  <si>
    <t>Anshu/ Ravi</t>
  </si>
  <si>
    <t>Ramnagar</t>
  </si>
  <si>
    <t>Raj Order</t>
  </si>
  <si>
    <t>Ankit Milmile ( papa order )</t>
  </si>
  <si>
    <t>Hitesh Bhau ( Papa Order )</t>
  </si>
  <si>
    <t>Juni Padoli</t>
  </si>
  <si>
    <t>Yashwant Nagar</t>
  </si>
  <si>
    <t>Akash</t>
  </si>
  <si>
    <t>Dyaneshwar Sau</t>
  </si>
  <si>
    <t>Warora Naka</t>
  </si>
  <si>
    <t>Kundan Plaza</t>
  </si>
  <si>
    <t>Tukum</t>
  </si>
  <si>
    <t xml:space="preserve">Mahesh  P ( Papa Order) </t>
  </si>
  <si>
    <t xml:space="preserve">Saurabh </t>
  </si>
  <si>
    <t>Sharif ( Papa Order )</t>
  </si>
  <si>
    <t>Venli</t>
  </si>
  <si>
    <t>Ravi 2 / Gaju Bhau 1</t>
  </si>
  <si>
    <t>Nitin Boyar</t>
  </si>
  <si>
    <t xml:space="preserve">Raj </t>
  </si>
  <si>
    <t>Mahesh Thackeydar</t>
  </si>
  <si>
    <t>Janata College</t>
  </si>
  <si>
    <t>Near Auja Garage ( JST )</t>
  </si>
  <si>
    <t>Gaju Bhau / Anshu</t>
  </si>
  <si>
    <t>Santosh Order</t>
  </si>
  <si>
    <t>Rayetwari Colony</t>
  </si>
  <si>
    <t>Indira Nagar</t>
  </si>
  <si>
    <t>Nishan Bhatter Order( Papa)</t>
  </si>
  <si>
    <t>Morwa ( Nirmal Nagri )</t>
  </si>
  <si>
    <t>Gaju Bhau / Anshu / Ravi</t>
  </si>
  <si>
    <t>Harshal Murgane</t>
  </si>
  <si>
    <t>Ambedkar Sabhagruah</t>
  </si>
  <si>
    <t>Vichoda</t>
  </si>
  <si>
    <t xml:space="preserve">Rishab </t>
  </si>
  <si>
    <t>ANshu</t>
  </si>
  <si>
    <t>Anshu 1 / Gaju Bhau 1 / 2 Ravi</t>
  </si>
  <si>
    <t>Mathhe Colony1</t>
  </si>
  <si>
    <t>Caupati</t>
  </si>
  <si>
    <t>Tejas Pawar</t>
  </si>
  <si>
    <t>Ali Bhaiya</t>
  </si>
  <si>
    <t>Mahesh P</t>
  </si>
  <si>
    <t>Wandri Fhata</t>
  </si>
  <si>
    <t>Nanaji Nagar</t>
  </si>
  <si>
    <t>Chaupati</t>
  </si>
  <si>
    <t>Sachin  Gawande ( Papa Order )</t>
  </si>
  <si>
    <t>Near Zade Hospital ( City )</t>
  </si>
  <si>
    <t>Sakarwahi</t>
  </si>
  <si>
    <t xml:space="preserve">Gurjit </t>
  </si>
  <si>
    <t>Rajura Thackedar</t>
  </si>
  <si>
    <t>Abhay Adgurwar</t>
  </si>
  <si>
    <t>Shena Nagar</t>
  </si>
  <si>
    <t>T-point</t>
  </si>
  <si>
    <t>Sarkarwahi</t>
  </si>
  <si>
    <t xml:space="preserve">Atul </t>
  </si>
  <si>
    <t>D-mart</t>
  </si>
  <si>
    <t>Near Bandobas Bar</t>
  </si>
  <si>
    <t>Lokhande</t>
  </si>
  <si>
    <t>Chandraban</t>
  </si>
  <si>
    <t>D-Mart</t>
  </si>
  <si>
    <t>Gaju 1 / Anshu 2</t>
  </si>
  <si>
    <t>Chota Nagpur</t>
  </si>
  <si>
    <t>Human Mandir</t>
  </si>
  <si>
    <t>Gaju Bhau / Ravi</t>
  </si>
  <si>
    <t>Hanuman Manir</t>
  </si>
  <si>
    <t>Kosara DSK Home</t>
  </si>
  <si>
    <t>Padoli narayana School</t>
  </si>
  <si>
    <t>Anshu / Gaju Bhsu</t>
  </si>
  <si>
    <t>Tadali Nexa Showroom</t>
  </si>
  <si>
    <t>Prakash kale</t>
  </si>
  <si>
    <t>Padoli ( Matthe Colony )</t>
  </si>
  <si>
    <t xml:space="preserve">Padoli ( D Mart ) </t>
  </si>
  <si>
    <t>Pathanpura</t>
  </si>
  <si>
    <t xml:space="preserve"> Gaju Bhau / Anshu / Ravi</t>
  </si>
  <si>
    <t>Nayra Petrol Pump</t>
  </si>
  <si>
    <t xml:space="preserve">Ashwin </t>
  </si>
  <si>
    <t>Anshu / Gaju Bhau</t>
  </si>
  <si>
    <t>Anshu / Gsju Bhsu / Ravi</t>
  </si>
  <si>
    <t>Nishan Bhattar Order</t>
  </si>
  <si>
    <t>Indra nagar</t>
  </si>
  <si>
    <t>Saivan</t>
  </si>
  <si>
    <t>Raj Dad Order</t>
  </si>
  <si>
    <t>Ambedkar Sabhagurh</t>
  </si>
  <si>
    <t>Back Side Narayana School</t>
  </si>
  <si>
    <t>Hari Bhau  Order</t>
  </si>
  <si>
    <t>Chetan B</t>
  </si>
  <si>
    <t>Balaji Kaka</t>
  </si>
  <si>
    <t>Lakhmapur</t>
  </si>
  <si>
    <t>Nitin Bhoyar</t>
  </si>
  <si>
    <t>jhangid</t>
  </si>
  <si>
    <t>Nayara Pump</t>
  </si>
  <si>
    <t>Anshu 2 / Ravi 3</t>
  </si>
  <si>
    <t>Krishna United  ( Papa Order )</t>
  </si>
  <si>
    <t>Sharif  ( Papa Order )</t>
  </si>
  <si>
    <t>Raju Sangarthi</t>
  </si>
  <si>
    <t>Aalam Engineer</t>
  </si>
  <si>
    <t>Aayapa Mandir</t>
  </si>
  <si>
    <t>Suresh Pachare ( Papa  Order )</t>
  </si>
  <si>
    <t>Monday, 19 May 2025</t>
  </si>
  <si>
    <t>Wednesday, 21 May 2025</t>
  </si>
  <si>
    <t>Guru</t>
  </si>
  <si>
    <t>Vital Bhau</t>
  </si>
  <si>
    <t>Vithal Bhau</t>
  </si>
  <si>
    <t>Anshu / Vithal Bhau</t>
  </si>
  <si>
    <t>Mitra Nagar</t>
  </si>
  <si>
    <t>Urjagram</t>
  </si>
  <si>
    <t>Aggrawal</t>
  </si>
  <si>
    <t>Lakhmapur Mandir</t>
  </si>
  <si>
    <t>Mahendra ( Thekedar)</t>
  </si>
  <si>
    <t>Thakkar Tiles'</t>
  </si>
  <si>
    <t>Mahesh Tachkedar</t>
  </si>
  <si>
    <t>Hari Bhau Order</t>
  </si>
  <si>
    <t>Mahesh Thackedar</t>
  </si>
  <si>
    <t>Rajura tahckedar</t>
  </si>
  <si>
    <t>Mahendra Gup Chup</t>
  </si>
  <si>
    <t>Anshu 2 / Ravi</t>
  </si>
  <si>
    <t>Rawal Bhaiya</t>
  </si>
  <si>
    <t>RAvi</t>
  </si>
  <si>
    <t xml:space="preserve">Mehul </t>
  </si>
  <si>
    <t>Ayapa Mandir</t>
  </si>
  <si>
    <t xml:space="preserve">Ravi / Vithal </t>
  </si>
  <si>
    <t>Padoli D Mart</t>
  </si>
  <si>
    <t>Vithal</t>
  </si>
  <si>
    <t>Jadish Yadav</t>
  </si>
  <si>
    <t>Ravi Morey</t>
  </si>
  <si>
    <t>Santosh Bonwar</t>
  </si>
  <si>
    <t>Sainik Petrol Pump</t>
  </si>
  <si>
    <t>Stock</t>
  </si>
  <si>
    <t>Raj</t>
  </si>
  <si>
    <t>Amritsar Haveli</t>
  </si>
  <si>
    <t>Cement Pipe ( Raj Order )</t>
  </si>
  <si>
    <t>Pawan Order</t>
  </si>
  <si>
    <t>D-Mart Padoli</t>
  </si>
  <si>
    <t>SHRI RAJ CONSTRUCTION &amp; BUILDING MATERIAL SUPPLIERS</t>
  </si>
  <si>
    <t>TRANSPORT HYVA  RETI | JANUARY 2025</t>
  </si>
  <si>
    <t>Driver</t>
  </si>
  <si>
    <t>Client</t>
  </si>
  <si>
    <t xml:space="preserve">Destination </t>
  </si>
  <si>
    <t>Trips</t>
  </si>
  <si>
    <t>Rate /Trips</t>
  </si>
  <si>
    <t>Total Value</t>
  </si>
  <si>
    <t>Received</t>
  </si>
  <si>
    <t>Total Recevied</t>
  </si>
  <si>
    <t>S U M M A R Y:-</t>
  </si>
  <si>
    <t>APRROVED BY:- __________________</t>
  </si>
  <si>
    <t>Paid / Urgent / Pending</t>
  </si>
  <si>
    <t>APRROVED BY:- _______________</t>
  </si>
  <si>
    <t>TRANSPORT HYVA  RETI | FEBRUARY 2025</t>
  </si>
  <si>
    <t>TRANSPORT HYVA  RETI | MARCH 2025</t>
  </si>
  <si>
    <t>TRANSPORT HYVA  RETI | APRIL 2025</t>
  </si>
  <si>
    <t>TRANSPORT HYVA  RETI | MAY 2025</t>
  </si>
  <si>
    <t>TRANSPORT HYVA  RETI | JUNE 2025</t>
  </si>
  <si>
    <t>Kosara Stock</t>
  </si>
  <si>
    <t>Krishna</t>
  </si>
  <si>
    <t>Railway Station</t>
  </si>
  <si>
    <t xml:space="preserve">T-point </t>
  </si>
  <si>
    <t>Shidur</t>
  </si>
  <si>
    <t>Rahul</t>
  </si>
  <si>
    <t>Raj Nagar</t>
  </si>
  <si>
    <t>Sammer</t>
  </si>
  <si>
    <t>Santosh Bhaiya</t>
  </si>
  <si>
    <t>Rajesh Tade</t>
  </si>
  <si>
    <t>Paid / Urgent / Warning</t>
  </si>
  <si>
    <t>Tadali ( Chaman )</t>
  </si>
  <si>
    <t>Hari Thekedar</t>
  </si>
  <si>
    <t>Sau Thekedar ( Papa Order )</t>
  </si>
  <si>
    <t>Abhay Adgurwar ( Parmar )</t>
  </si>
  <si>
    <t>Bhadravati ( Thekedar )</t>
  </si>
  <si>
    <t>Bhadravati (Thekedar )</t>
  </si>
  <si>
    <t>Mahendra (Raj)</t>
  </si>
  <si>
    <t>Tadali ( Mahindra Showroom )</t>
  </si>
  <si>
    <t xml:space="preserve"> </t>
  </si>
  <si>
    <t>Matthe Colony</t>
  </si>
  <si>
    <t>TRANSPORT HYVA  RETI | JULY 2025</t>
  </si>
  <si>
    <t>Dhote</t>
  </si>
  <si>
    <t>Vicky ( Padoli Sarpanch )</t>
  </si>
  <si>
    <t>Gaju Bhau 3 / Vithal Bhau 3</t>
  </si>
  <si>
    <t>Pravin Sapate</t>
  </si>
  <si>
    <t>Manish Raikunde ( Raj Dad )</t>
  </si>
  <si>
    <t xml:space="preserve">Mahesh Thekedar </t>
  </si>
  <si>
    <t>Marda</t>
  </si>
  <si>
    <t>New  Driver</t>
  </si>
  <si>
    <t>BGM Carmel Near</t>
  </si>
  <si>
    <t>Police Wala Saheb</t>
  </si>
  <si>
    <t>TRANSPORT HYVA  RETI | SEPTEMBER -  2025</t>
  </si>
  <si>
    <t>TRANSPORT HYVA  RETI | OCTOBER -  2025</t>
  </si>
  <si>
    <t>TRANSPORT HYVA  RETI | NOVEMBER -  2025</t>
  </si>
  <si>
    <t>TRANSPORT HYVA  RETI | DECEMBER -  2025</t>
  </si>
  <si>
    <t>Lalit Nimkar</t>
  </si>
  <si>
    <t>Tadali ( Thackrey )</t>
  </si>
  <si>
    <t>Datada ( Jay Bhim Chowk )</t>
  </si>
  <si>
    <t xml:space="preserve">Nitin Prasad </t>
  </si>
  <si>
    <t>Janta  College</t>
  </si>
  <si>
    <t>Nitin Prasad ( Gandhare )</t>
  </si>
  <si>
    <t>Golu</t>
  </si>
  <si>
    <t>Balaj Polytechnique</t>
  </si>
  <si>
    <t>Bhadravati</t>
  </si>
  <si>
    <t>Saurabh Order</t>
  </si>
  <si>
    <t>Rishab Order</t>
  </si>
  <si>
    <t>Mitra nagar</t>
  </si>
  <si>
    <t>Kotkar</t>
  </si>
  <si>
    <t>Pyaar Resuce Foundation</t>
  </si>
  <si>
    <t>Durgapur</t>
  </si>
  <si>
    <t>Sonegaon</t>
  </si>
  <si>
    <t>Rahul Kode</t>
  </si>
  <si>
    <t>Ganesh Residency</t>
  </si>
  <si>
    <t>Aalam Bhaiya</t>
  </si>
  <si>
    <t>Backside Narayana School</t>
  </si>
  <si>
    <t>Aakashwani</t>
  </si>
  <si>
    <t>Wandri ( Bricks Company )</t>
  </si>
  <si>
    <t>Kakaji</t>
  </si>
  <si>
    <t>Pramod Mistri ( Raj Dad )</t>
  </si>
  <si>
    <t xml:space="preserve">Surana </t>
  </si>
  <si>
    <t>Ravi 3 / Santosh</t>
  </si>
  <si>
    <t>16 trip 10 people</t>
  </si>
  <si>
    <t>3 trip 9 people no mamaji</t>
  </si>
  <si>
    <t>Naryana Uncle Friend</t>
  </si>
  <si>
    <t>Shailja Enterprise</t>
  </si>
  <si>
    <t>Ghuguss</t>
  </si>
  <si>
    <t>Sandeep</t>
  </si>
  <si>
    <t>Vishwakarma</t>
  </si>
  <si>
    <t>Sharif ( Raj Dad )</t>
  </si>
  <si>
    <t>Sumthana</t>
  </si>
  <si>
    <t>Rahul Bhaiya</t>
  </si>
  <si>
    <t xml:space="preserve">Mada </t>
  </si>
  <si>
    <t xml:space="preserve">Guru </t>
  </si>
  <si>
    <t>Shegaon</t>
  </si>
  <si>
    <t>Lauji Nagar</t>
  </si>
  <si>
    <t>Rajura Thekedar</t>
  </si>
  <si>
    <t>Santosh / Ravi</t>
  </si>
  <si>
    <t>Saurabh ( Order )</t>
  </si>
  <si>
    <t>Musra</t>
  </si>
  <si>
    <t>Dhanraj</t>
  </si>
  <si>
    <t>Lonara</t>
  </si>
  <si>
    <t>Santosh</t>
  </si>
  <si>
    <t>Kakaji ( Papa Order )</t>
  </si>
  <si>
    <t>MBA College Backside</t>
  </si>
  <si>
    <t>1.5 Lk Guru</t>
  </si>
  <si>
    <t>Raj Farms</t>
  </si>
  <si>
    <t>Tukum Pani Filter</t>
  </si>
  <si>
    <t xml:space="preserve">Rajesh Kade </t>
  </si>
  <si>
    <t>Khutada ( Dewang Side )</t>
  </si>
  <si>
    <t>Aanya</t>
  </si>
  <si>
    <t>Gajanan Chowk</t>
  </si>
  <si>
    <t>Aawari</t>
  </si>
  <si>
    <t>Anshu / Santosh</t>
  </si>
  <si>
    <t>Ashtapuja</t>
  </si>
  <si>
    <t>Amit G</t>
  </si>
  <si>
    <t>Ravi Mama</t>
  </si>
  <si>
    <t>Raj Traders</t>
  </si>
  <si>
    <t>Aashish</t>
  </si>
  <si>
    <t>Mangesh</t>
  </si>
  <si>
    <t>Janta College ( Jain )</t>
  </si>
  <si>
    <t>Rashtrawadi ( Dewang )</t>
  </si>
  <si>
    <t>Gajanan ( Mahendra )</t>
  </si>
  <si>
    <t>Mahendra ( Raj )</t>
  </si>
  <si>
    <t>Rishab Dada</t>
  </si>
  <si>
    <t>Tirvanja</t>
  </si>
  <si>
    <t xml:space="preserve">Bypass </t>
  </si>
  <si>
    <t>Backside Inspire</t>
  </si>
  <si>
    <t>Ashoka College</t>
  </si>
  <si>
    <t>New Driver</t>
  </si>
  <si>
    <t>Matar Devi Mandir</t>
  </si>
  <si>
    <t>ST Workshop</t>
  </si>
  <si>
    <t>Janta College ( KFC )</t>
  </si>
  <si>
    <t>Bajaj Poly</t>
  </si>
  <si>
    <t>Arnav</t>
  </si>
  <si>
    <t xml:space="preserve">Aakashwani </t>
  </si>
  <si>
    <t>Chargaon</t>
  </si>
  <si>
    <t>Balaji Bricks Side</t>
  </si>
  <si>
    <t>Ravi / Santosh</t>
  </si>
  <si>
    <t>Yash Thipe</t>
  </si>
  <si>
    <t>Wandri</t>
  </si>
  <si>
    <t>Rahim Bhaiya</t>
  </si>
  <si>
    <t>Bandobass Bar</t>
  </si>
  <si>
    <t>Sister Colony</t>
  </si>
  <si>
    <t>Kosara Hanuman Mandir</t>
  </si>
  <si>
    <t>Kosara Dhumne Side</t>
  </si>
  <si>
    <t>Wadgaon Near Kunbi Samaj</t>
  </si>
  <si>
    <t>Seat Wala</t>
  </si>
  <si>
    <t>Nrayana School Tukum</t>
  </si>
  <si>
    <t>Jannya Bhau</t>
  </si>
  <si>
    <t>Santra Market</t>
  </si>
  <si>
    <t>Janta College dewang</t>
  </si>
  <si>
    <t>Sashikant ( Raj )</t>
  </si>
  <si>
    <t>Santosh / Dhanraj</t>
  </si>
  <si>
    <t xml:space="preserve">Matthe </t>
  </si>
  <si>
    <t>Rashtrawadi ( Khobragade )</t>
  </si>
  <si>
    <t xml:space="preserve">Khobragade </t>
  </si>
  <si>
    <t>Dhanraj / Ravi</t>
  </si>
  <si>
    <t>Shubhash</t>
  </si>
  <si>
    <t>Narayana Backside</t>
  </si>
  <si>
    <t>Chaudhary Side</t>
  </si>
  <si>
    <t>Kailash Bhaiya</t>
  </si>
  <si>
    <t>Lalpeth</t>
  </si>
  <si>
    <t>Gajendra ( raj Dad )</t>
  </si>
  <si>
    <t>Dhanraj 2 / Ravi 2</t>
  </si>
  <si>
    <t>Rajesh Thakur</t>
  </si>
  <si>
    <t>Ravi / Dhanraj</t>
  </si>
  <si>
    <t>Dhanraj 2 / Ravi 1</t>
  </si>
  <si>
    <t>TRANSPORT HYVA  RETI | All Pending Hyva Including Regular Customer</t>
  </si>
  <si>
    <t>🚨 URGENT: Bhandare owes ₹15000</t>
  </si>
  <si>
    <t>🚨 URGENT: Patel owes ₹33000</t>
  </si>
  <si>
    <t>🚨 URGENT:  Abhay Adgurwar owes ₹32000</t>
  </si>
  <si>
    <t>🚨 URGENT: Saurabh owes ₹35000</t>
  </si>
  <si>
    <t>ℹ️ Sachin - ₹2000 pending</t>
  </si>
  <si>
    <t>ℹ️ Gurjit Saini - ₹2000 pending</t>
  </si>
  <si>
    <t>ℹ️ Saurabh - ₹5000 pending</t>
  </si>
  <si>
    <t>🚨 URGENT: Shiva Korewar owes ₹20000</t>
  </si>
  <si>
    <t>🚨 URGENT: Aau owes ₹26000</t>
  </si>
  <si>
    <t>🚨 URGENT: Izhar owes ₹40000</t>
  </si>
  <si>
    <t>🚨 URGENT: Ankush P owes ₹37000</t>
  </si>
  <si>
    <t>🚨 URGENT: Preet Bhaiya owes ₹40000</t>
  </si>
  <si>
    <t>🚨 URGENT: Saurabh owes ₹80000</t>
  </si>
  <si>
    <t>🚨 URGENT: Saurabh owes ₹76000</t>
  </si>
  <si>
    <t>🚨 URGENT: Saurabh owes ₹38000</t>
  </si>
  <si>
    <t>🚨 URGENT: Abhay Adgurwar owes ₹114000</t>
  </si>
  <si>
    <t>🚨 URGENT: Ankush P owes ₹35000</t>
  </si>
  <si>
    <t>ℹ️ Tejas Pawar - ₹5000 pending</t>
  </si>
  <si>
    <t>⚠️ WARNING: Sau Thekedar - ₹6000 due</t>
  </si>
  <si>
    <t>🚨 URGENT: Saurabh  owes ₹38000</t>
  </si>
  <si>
    <t>🚨 URGENT: Ankush P owes ₹68000</t>
  </si>
  <si>
    <t>🚨 URGENT: Ankush P owes ₹34000</t>
  </si>
  <si>
    <t>🚨 URGENT: Saurabh  owes ₹35000</t>
  </si>
  <si>
    <t>ℹ️ Akash - ₹5000 pending</t>
  </si>
  <si>
    <t>🚨 URGENT: Saurabh owes ₹34000</t>
  </si>
  <si>
    <t>🚨 URGENT: Malli owes ₹27000</t>
  </si>
  <si>
    <t>🚨 URGENT: Ankush P owes ₹102000</t>
  </si>
  <si>
    <t>🚨 URGENT: Saurabh owes ₹39000</t>
  </si>
  <si>
    <t>🚨 URGENT: Rawal Bhaiya owes ₹56000</t>
  </si>
  <si>
    <t>🚨 URGENT: Atul owes ₹210000</t>
  </si>
  <si>
    <t>🚨 URGENT: Mahendra (Raj) owes ₹32000</t>
  </si>
  <si>
    <t>ℹ️ Vishal Singh - ₹1000 pending</t>
  </si>
  <si>
    <t>🚨 URGENT: Atul owes ₹35000</t>
  </si>
  <si>
    <t>🚨 URGENT: Sau Thekedar owes ₹26000</t>
  </si>
  <si>
    <t>🚨 URGENT: Abhay Adgurwar owes ₹29000</t>
  </si>
  <si>
    <t>🚨 URGENT: Aalam Bhaiya owes ₹32000</t>
  </si>
  <si>
    <t>🚨 URGENT: Pramod Mistri ( Raj Dad ) owes ₹30000</t>
  </si>
  <si>
    <t>ℹ️ Malli - ₹1000 pending</t>
  </si>
  <si>
    <t>ℹ️ Naryana Uncle Friend - ₹3000 pending</t>
  </si>
  <si>
    <t>🚨 URGENT: Guru owes ₹35000</t>
  </si>
  <si>
    <t>🚨 URGENT: Sau Thekedar owes ₹28000</t>
  </si>
  <si>
    <t>🚨 URGENT: Guru  owes ₹28000</t>
  </si>
  <si>
    <t>🚨 URGENT: Guru  owes ₹68000</t>
  </si>
  <si>
    <t>🚨 URGENT: Nitin Prasad owes ₹31000</t>
  </si>
  <si>
    <t>🚨 URGENT: Guru owes ₹31000</t>
  </si>
  <si>
    <t>🚨 URGENT: Ankush P owes ₹50000</t>
  </si>
  <si>
    <t>🚨 URGENT: Ankush P owes ₹25000</t>
  </si>
  <si>
    <t>🚨 URGENT: Amit G owes ₹34000</t>
  </si>
  <si>
    <t>🚨 URGENT: Ankush P owes ₹44000</t>
  </si>
  <si>
    <t>🚨 URGENT: Abhay Adgurwar owes ₹44000</t>
  </si>
  <si>
    <t>🚨 URGENT: Ankush P owes ₹22000</t>
  </si>
  <si>
    <t>🚨 URGENT: Ankush P owes ₹23000</t>
  </si>
  <si>
    <t>🚨 URGENT: Ankush P owes ₹46000</t>
  </si>
  <si>
    <t>🚨 URGENT: Preet Bhaiya owes ₹22000</t>
  </si>
  <si>
    <t>🚨 URGENT: Vishal Prasad owes ₹23000</t>
  </si>
  <si>
    <t>🚨 URGENT: Preet Bhaiya owes ₹23000</t>
  </si>
  <si>
    <t>🚨 URGENT: Nitin Prasad owes ₹23000</t>
  </si>
  <si>
    <t>🚨 URGENT: Nitin Prasad owes ₹46000</t>
  </si>
  <si>
    <t>🚨 URGENT: Vishal Prasad owes ₹24000</t>
  </si>
  <si>
    <t>🚨 URGENT: Rahim Bhaiya owes ₹23000</t>
  </si>
  <si>
    <t>🚨 URGENT: Arnav owes ₹26000</t>
  </si>
  <si>
    <t>🚨 URGENT: Yuvraj Thakur owes ₹26000</t>
  </si>
  <si>
    <t>🚨 URGENT: Preet Bhaiya owes ₹26000</t>
  </si>
  <si>
    <t>🚨 URGENT: Vishal Prasad owes ₹26000</t>
  </si>
  <si>
    <t>🚨 URGENT: Rishab Dada owes ₹27000</t>
  </si>
  <si>
    <t>🚨 URGENT: Nitin Prasad owes ₹26000</t>
  </si>
  <si>
    <t>🚨 URGENT: Saurabh owes ₹28000</t>
  </si>
  <si>
    <t>🚨 URGENT: Guru owes ₹30000</t>
  </si>
  <si>
    <t>🚨 URGENT: Nitin Prasad owes ₹30000</t>
  </si>
  <si>
    <t>🚨 URGENT: Jannya Bhau owes ₹30000</t>
  </si>
  <si>
    <t>🚨 URGENT: Ashwin owes ₹28000</t>
  </si>
  <si>
    <t>🚨 URGENT: Sau Thekedar owes ₹25000</t>
  </si>
  <si>
    <t>🚨 URGENT: Arnav owes ₹23500</t>
  </si>
  <si>
    <t>🚨 URGENT: Arnav owes ₹24000</t>
  </si>
  <si>
    <t>🚨 URGENT: Atul owes ₹27000</t>
  </si>
  <si>
    <t>🚨 URGENT: Nitin Prasad owes ₹52000</t>
  </si>
  <si>
    <t>🚨 URGENT: Arnav owes ₹47000</t>
  </si>
  <si>
    <t>🚨 URGENT: Ravi Mama owes ₹24000</t>
  </si>
  <si>
    <t>🚨 URGENT: Khobragade  owes ₹50000</t>
  </si>
  <si>
    <t>🚨 URGENT: Shubhash owes ₹23000</t>
  </si>
  <si>
    <t>🚨 URGENT: Kailash Bhaiya owes ₹24000</t>
  </si>
  <si>
    <t>🚨 URGENT: Rishab Dada owes ₹28000</t>
  </si>
  <si>
    <t>🚨 URGENT: Arnav owes ₹94000</t>
  </si>
  <si>
    <t>🚨 URGENT: Atul owes ₹81000</t>
  </si>
  <si>
    <t>🚨 URGENT: Guru owes ₹29000</t>
  </si>
  <si>
    <t>Shubham Sakarkar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</si>
</sst>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#,##0.00_);[Red]\(&quot;₹&quot;#,##0.00\)"/>
    <numFmt numFmtId="164" formatCode="[$-F800]dddd\,\ mmmm\ dd\,\ yyyy"/>
    <numFmt numFmtId="165" formatCode="&quot;₹&quot;\ #,##0.00"/>
    <numFmt numFmtId="166" formatCode="&quot;₹&quot;#,##0.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2"/>
      <color rgb="FFD4AF37"/>
      <name val="Calibri"/>
      <family val="2"/>
      <scheme val="minor"/>
    </font>
    <font>
      <b/>
      <i/>
      <sz val="10"/>
      <color rgb="FF7D1D3F"/>
      <name val="Georgia"/>
      <family val="1"/>
    </font>
    <font>
      <b/>
      <sz val="16"/>
      <color rgb="FFA05252"/>
      <name val="Calibri"/>
      <family val="2"/>
      <scheme val="minor"/>
    </font>
    <font>
      <b/>
      <i/>
      <u/>
      <sz val="16"/>
      <color rgb="FF7D1D3F"/>
      <name val="Calibri Light"/>
      <family val="2"/>
      <scheme val="major"/>
    </font>
    <font>
      <b/>
      <sz val="16"/>
      <color rgb="FF7D1D3F"/>
      <name val="Calibri"/>
      <family val="2"/>
      <scheme val="minor"/>
    </font>
    <font>
      <sz val="14"/>
      <color theme="1"/>
      <name val="Brush Script MT Italic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1D3F"/>
        <bgColor indexed="64"/>
      </patternFill>
    </fill>
    <fill>
      <patternFill patternType="solid">
        <fgColor rgb="FFF5F0E6"/>
        <bgColor indexed="64"/>
      </patternFill>
    </fill>
    <fill>
      <patternFill patternType="solid">
        <fgColor rgb="FFD4AF3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5252"/>
      </left>
      <right style="thin">
        <color rgb="FFA05252"/>
      </right>
      <top style="thin">
        <color rgb="FFA05252"/>
      </top>
      <bottom style="thin">
        <color rgb="FFA05252"/>
      </bottom>
      <diagonal/>
    </border>
    <border>
      <left style="thin">
        <color rgb="FFA05252"/>
      </left>
      <right style="thin">
        <color rgb="FFA05252"/>
      </right>
      <top style="thin">
        <color rgb="FFA05252"/>
      </top>
      <bottom/>
      <diagonal/>
    </border>
    <border>
      <left style="thin">
        <color rgb="FFA05252"/>
      </left>
      <right style="thin">
        <color rgb="FFA05252"/>
      </right>
      <top/>
      <bottom style="thin">
        <color rgb="FFA05252"/>
      </bottom>
      <diagonal/>
    </border>
    <border>
      <left style="double">
        <color rgb="FFD4AF37"/>
      </left>
      <right style="double">
        <color rgb="FFD4AF37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2" xfId="0" applyNumberFormat="1" applyBorder="1"/>
    <xf numFmtId="0" fontId="0" fillId="0" borderId="2" xfId="0" applyBorder="1"/>
    <xf numFmtId="166" fontId="0" fillId="0" borderId="2" xfId="0" applyNumberFormat="1" applyBorder="1"/>
    <xf numFmtId="0" fontId="0" fillId="0" borderId="3" xfId="0" applyBorder="1"/>
    <xf numFmtId="166" fontId="0" fillId="0" borderId="3" xfId="0" applyNumberFormat="1" applyBorder="1"/>
    <xf numFmtId="0" fontId="3" fillId="0" borderId="4" xfId="0" applyFont="1" applyBorder="1"/>
    <xf numFmtId="0" fontId="6" fillId="2" borderId="2" xfId="0" applyFont="1" applyFill="1" applyBorder="1"/>
    <xf numFmtId="166" fontId="6" fillId="2" borderId="2" xfId="0" applyNumberFormat="1" applyFont="1" applyFill="1" applyBorder="1"/>
    <xf numFmtId="166" fontId="6" fillId="2" borderId="2" xfId="0" applyNumberFormat="1" applyFont="1" applyFill="1" applyBorder="1" applyAlignment="1">
      <alignment horizontal="left"/>
    </xf>
    <xf numFmtId="0" fontId="7" fillId="5" borderId="2" xfId="0" applyFont="1" applyFill="1" applyBorder="1"/>
    <xf numFmtId="0" fontId="8" fillId="5" borderId="2" xfId="0" applyFont="1" applyFill="1" applyBorder="1" applyAlignment="1">
      <alignment horizontal="center"/>
    </xf>
    <xf numFmtId="166" fontId="8" fillId="5" borderId="2" xfId="0" applyNumberFormat="1" applyFont="1" applyFill="1" applyBorder="1"/>
    <xf numFmtId="166" fontId="8" fillId="5" borderId="2" xfId="0" applyNumberFormat="1" applyFont="1" applyFill="1" applyBorder="1" applyAlignment="1">
      <alignment horizontal="left"/>
    </xf>
    <xf numFmtId="164" fontId="0" fillId="0" borderId="0" xfId="0" applyNumberFormat="1"/>
    <xf numFmtId="166" fontId="0" fillId="0" borderId="0" xfId="0" applyNumberForma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6" fontId="2" fillId="3" borderId="5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166" fontId="8" fillId="5" borderId="2" xfId="0" applyNumberFormat="1" applyFont="1" applyFill="1" applyBorder="1" applyAlignment="1">
      <alignment vertical="center"/>
    </xf>
    <xf numFmtId="166" fontId="8" fillId="5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166" fontId="6" fillId="2" borderId="2" xfId="0" applyNumberFormat="1" applyFont="1" applyFill="1" applyBorder="1" applyAlignment="1">
      <alignment vertical="center"/>
    </xf>
    <xf numFmtId="166" fontId="6" fillId="2" borderId="2" xfId="0" applyNumberFormat="1" applyFont="1" applyFill="1" applyBorder="1" applyAlignment="1">
      <alignment horizontal="left" vertical="center"/>
    </xf>
    <xf numFmtId="165" fontId="0" fillId="0" borderId="0" xfId="0" applyNumberFormat="1"/>
    <xf numFmtId="164" fontId="1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66" fontId="0" fillId="0" borderId="3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0" fontId="0" fillId="0" borderId="2" xfId="0" applyBorder="1" applyAlignment="1">
      <alignment horizontal="center"/>
    </xf>
    <xf numFmtId="8" fontId="0" fillId="0" borderId="1" xfId="0" applyNumberFormat="1" applyBorder="1" applyAlignment="1">
      <alignment horizontal="left"/>
    </xf>
    <xf numFmtId="8" fontId="1" fillId="0" borderId="1" xfId="0" applyNumberFormat="1" applyFont="1" applyBorder="1" applyAlignment="1">
      <alignment horizontal="left"/>
    </xf>
    <xf numFmtId="166" fontId="0" fillId="0" borderId="1" xfId="0" applyNumberFormat="1" applyBorder="1" applyAlignment="1">
      <alignment horizontal="left"/>
    </xf>
    <xf numFmtId="0" fontId="0" fillId="0" borderId="1" xfId="0" applyBorder="1"/>
    <xf numFmtId="164" fontId="1" fillId="0" borderId="2" xfId="0" applyNumberFormat="1" applyFont="1" applyBorder="1" applyAlignment="1">
      <alignment horizontal="left"/>
    </xf>
    <xf numFmtId="164" fontId="0" fillId="0" borderId="1" xfId="0" applyNumberFormat="1" applyBorder="1"/>
    <xf numFmtId="14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6" fontId="0" fillId="0" borderId="1" xfId="0" applyNumberForma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164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44"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numFmt numFmtId="0" formatCode="General"/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numFmt numFmtId="0" formatCode="General"/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numFmt numFmtId="0" formatCode="General"/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numFmt numFmtId="0" formatCode="General"/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numFmt numFmtId="0" formatCode="General"/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numFmt numFmtId="0" formatCode="General"/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₹&quot;#,##0.00_);[Red]\(&quot;₹&quot;#,##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m/d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numFmt numFmtId="0" formatCode="General"/>
      <border diagonalUp="0" diagonalDown="0">
        <left style="thin">
          <color rgb="FFA05252"/>
        </left>
        <right style="thin">
          <color rgb="FFA05252"/>
        </right>
        <top style="thin">
          <color rgb="FFA05252"/>
        </top>
        <bottom style="thin">
          <color rgb="FFA0525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D4AF3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3.wdp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1470234</xdr:colOff>
      <xdr:row>78</xdr:row>
      <xdr:rowOff>223944</xdr:rowOff>
    </xdr:from>
    <xdr:to>
      <xdr:col>2</xdr:col>
      <xdr:colOff>253999</xdr:colOff>
      <xdr:row>79</xdr:row>
      <xdr:rowOff>541997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9F4AD6-F7E1-1B44-9DAA-3C1F82181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234" y="15451244"/>
          <a:ext cx="1425365" cy="622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77088</xdr:colOff>
      <xdr:row>50</xdr:row>
      <xdr:rowOff>264803</xdr:rowOff>
    </xdr:from>
    <xdr:to>
      <xdr:col>1</xdr:col>
      <xdr:colOff>941294</xdr:colOff>
      <xdr:row>51</xdr:row>
      <xdr:rowOff>487363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847F9-7BC5-1945-88AA-FB92CC8C9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1088" y="10159597"/>
          <a:ext cx="864206" cy="4915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8234</xdr:colOff>
      <xdr:row>128</xdr:row>
      <xdr:rowOff>184881</xdr:rowOff>
    </xdr:from>
    <xdr:to>
      <xdr:col>1</xdr:col>
      <xdr:colOff>1047750</xdr:colOff>
      <xdr:row>129</xdr:row>
      <xdr:rowOff>382497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CC71E-AA1D-804B-8B6F-A0B3007AD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009" y="24930831"/>
          <a:ext cx="1039516" cy="464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51242</xdr:colOff>
      <xdr:row>107</xdr:row>
      <xdr:rowOff>233288</xdr:rowOff>
    </xdr:from>
    <xdr:to>
      <xdr:col>1</xdr:col>
      <xdr:colOff>937130</xdr:colOff>
      <xdr:row>109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5A237-73B2-9842-96AA-6DDD91BD6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242" y="20978738"/>
          <a:ext cx="885888" cy="5191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880982</xdr:colOff>
      <xdr:row>98</xdr:row>
      <xdr:rowOff>124336</xdr:rowOff>
    </xdr:from>
    <xdr:to>
      <xdr:col>2</xdr:col>
      <xdr:colOff>516283</xdr:colOff>
      <xdr:row>99</xdr:row>
      <xdr:rowOff>155864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643B1A-9893-6442-AD9A-C2701EFD0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1681" y="18996714"/>
          <a:ext cx="918179" cy="48846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11237</xdr:colOff>
      <xdr:row>83</xdr:row>
      <xdr:rowOff>199640</xdr:rowOff>
    </xdr:from>
    <xdr:to>
      <xdr:col>1</xdr:col>
      <xdr:colOff>738014</xdr:colOff>
      <xdr:row>84</xdr:row>
      <xdr:rowOff>413196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2EC7A8-A415-8246-AB09-F2B442D5B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237" y="15797780"/>
          <a:ext cx="726777" cy="4929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62037</xdr:colOff>
      <xdr:row>18</xdr:row>
      <xdr:rowOff>9140</xdr:rowOff>
    </xdr:from>
    <xdr:to>
      <xdr:col>1</xdr:col>
      <xdr:colOff>788814</xdr:colOff>
      <xdr:row>19</xdr:row>
      <xdr:rowOff>44896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59DA1E-AE39-2D46-9B41-601630F96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037" y="16354040"/>
          <a:ext cx="726777" cy="6072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21</xdr:row>
      <xdr:rowOff>138089</xdr:rowOff>
    </xdr:from>
    <xdr:to>
      <xdr:col>1</xdr:col>
      <xdr:colOff>1003300</xdr:colOff>
      <xdr:row>23</xdr:row>
      <xdr:rowOff>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60118-A8BE-3A43-82B8-4F60D948F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7200" y="3643289"/>
          <a:ext cx="927100" cy="7069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1508125</xdr:colOff>
      <xdr:row>21</xdr:row>
      <xdr:rowOff>41275</xdr:rowOff>
    </xdr:from>
    <xdr:to>
      <xdr:col>1</xdr:col>
      <xdr:colOff>723901</xdr:colOff>
      <xdr:row>21</xdr:row>
      <xdr:rowOff>520826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1FC8A8-0DFB-E344-BB96-E42D25B8B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125" y="4565650"/>
          <a:ext cx="1101726" cy="4795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1524000</xdr:colOff>
      <xdr:row>40</xdr:row>
      <xdr:rowOff>188889</xdr:rowOff>
    </xdr:from>
    <xdr:to>
      <xdr:col>1</xdr:col>
      <xdr:colOff>489059</xdr:colOff>
      <xdr:row>41</xdr:row>
      <xdr:rowOff>546100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057CC2-5A29-4848-BCD6-3506C387D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6551589"/>
          <a:ext cx="1124059" cy="62391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1413934</xdr:colOff>
      <xdr:row>80</xdr:row>
      <xdr:rowOff>19557</xdr:rowOff>
    </xdr:from>
    <xdr:to>
      <xdr:col>1</xdr:col>
      <xdr:colOff>410101</xdr:colOff>
      <xdr:row>82</xdr:row>
      <xdr:rowOff>16936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FA8E7-D8F3-1042-82A1-C2F2042A9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934" y="10924624"/>
          <a:ext cx="1163634" cy="8440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1384300</xdr:colOff>
      <xdr:row>149</xdr:row>
      <xdr:rowOff>201589</xdr:rowOff>
    </xdr:from>
    <xdr:to>
      <xdr:col>1</xdr:col>
      <xdr:colOff>525100</xdr:colOff>
      <xdr:row>150</xdr:row>
      <xdr:rowOff>558799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7DC99-C2DD-C343-8B1E-670A2AF6B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300" y="7516789"/>
          <a:ext cx="1299800" cy="62391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183</xdr:row>
      <xdr:rowOff>38100</xdr:rowOff>
    </xdr:from>
    <xdr:to>
      <xdr:col>1</xdr:col>
      <xdr:colOff>889000</xdr:colOff>
      <xdr:row>185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87C4F-7F09-CE41-A33C-F4B9545E8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35928300"/>
          <a:ext cx="1676400" cy="876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ahilwaghmare/Desktop/Pending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ular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3C91A6-6FA6-5442-93DD-27E5C4E7A17A}" name="Table2" displayName="Table2" ref="A3:J77" totalsRowShown="0" headerRowDxfId="231" dataDxfId="230" tableBorderDxfId="229">
  <autoFilter ref="A3:J77" xr:uid="{4E3C91A6-6FA6-5442-93DD-27E5C4E7A17A}"/>
  <sortState xmlns:xlrd2="http://schemas.microsoft.com/office/spreadsheetml/2017/richdata2" ref="A4:J77">
    <sortCondition ref="A3:A77"/>
  </sortState>
  <tableColumns count="10">
    <tableColumn id="1" xr3:uid="{DDABC71D-7DB5-3349-A65E-5DD397E00515}" name="Date" dataDxfId="228"/>
    <tableColumn id="2" xr3:uid="{C049B801-5C70-D346-A7AE-537CAC323CD7}" name="Driver" dataDxfId="227"/>
    <tableColumn id="3" xr3:uid="{7EB8C068-ED19-0440-9EF2-4ECD1C2EA0CC}" name="Client" dataDxfId="226"/>
    <tableColumn id="4" xr3:uid="{2AE52735-52DF-3A4C-A8A6-F9227B1EF1D5}" name="Destination " dataDxfId="225"/>
    <tableColumn id="5" xr3:uid="{41228845-A3D1-DC43-8EFF-C130CCAE65AB}" name="Trips" dataDxfId="224"/>
    <tableColumn id="6" xr3:uid="{6FAA1F6F-256E-E843-A00C-5C4503F9CC50}" name="Rate /Trips" dataDxfId="223"/>
    <tableColumn id="7" xr3:uid="{9CD56488-A27E-FA4D-AC3B-89FBCB964457}" name="Total Value" dataDxfId="222"/>
    <tableColumn id="8" xr3:uid="{6BD77B58-AA25-7145-B869-8E03360724D3}" name="Received" dataDxfId="221"/>
    <tableColumn id="9" xr3:uid="{5A228355-27F2-3E43-BB88-5C278EF00C6A}" name="Balance" dataDxfId="220"/>
    <tableColumn id="10" xr3:uid="{36FE4F39-AC5F-3A4C-A9B2-D15BB721CCAD}" name="Paid / Urgent / Warning" dataDxfId="21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B74E22-1592-6041-A8B9-3F9751393C4F}" name="Table3" displayName="Table3" ref="A3:J49" totalsRowShown="0" headerRowDxfId="218">
  <autoFilter ref="A3:J49" xr:uid="{F0B74E22-1592-6041-A8B9-3F9751393C4F}"/>
  <sortState xmlns:xlrd2="http://schemas.microsoft.com/office/spreadsheetml/2017/richdata2" ref="A4:J49">
    <sortCondition ref="A3:A49"/>
  </sortState>
  <tableColumns count="10">
    <tableColumn id="1" xr3:uid="{D74C44B3-C58C-C44C-AB85-B4A50057907C}" name="Date" dataDxfId="217"/>
    <tableColumn id="2" xr3:uid="{37C65FC8-2D34-8A47-B414-FDA3277A58CF}" name="Driver" dataDxfId="216"/>
    <tableColumn id="3" xr3:uid="{18F7164E-99C8-1D40-AB55-856072E79EAB}" name="Client" dataDxfId="215"/>
    <tableColumn id="4" xr3:uid="{E5AE1EA0-7B17-AE4F-8663-0EDAB71884F8}" name="Destination " dataDxfId="214"/>
    <tableColumn id="5" xr3:uid="{2F13BA25-D763-D34B-928F-B4D3BAE543C6}" name="Trips" dataDxfId="213"/>
    <tableColumn id="6" xr3:uid="{B546AE5F-A345-F74C-8E5E-F296BD86BFF9}" name="Rate /Trips" dataDxfId="212"/>
    <tableColumn id="7" xr3:uid="{6D1A4F49-4068-DB4D-9500-131579BE39BD}" name="Total Value" dataDxfId="211"/>
    <tableColumn id="8" xr3:uid="{3C9A3671-0B94-A648-AA98-1666E9368DAF}" name="Received" dataDxfId="210"/>
    <tableColumn id="9" xr3:uid="{301DEE16-F15B-AA42-8FC2-21610CD4E65F}" name="Balance" dataDxfId="209"/>
    <tableColumn id="10" xr3:uid="{D320E46C-B4BF-D047-9F81-9D114569A6A6}" name="Paid / Urgent / Warning" dataDxfId="208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BDC9C0-958C-1548-BA59-365A58057F77}" name="Table4" displayName="Table4" ref="A3:J127" totalsRowShown="0" headerRowDxfId="207" tableBorderDxfId="206">
  <autoFilter ref="A3:J127" xr:uid="{73BDC9C0-958C-1548-BA59-365A58057F77}"/>
  <sortState xmlns:xlrd2="http://schemas.microsoft.com/office/spreadsheetml/2017/richdata2" ref="A4:J127">
    <sortCondition ref="A3:A127"/>
  </sortState>
  <tableColumns count="10">
    <tableColumn id="1" xr3:uid="{A976BB61-389E-844D-8B6E-7AD6E77B9473}" name="Date" dataDxfId="205"/>
    <tableColumn id="2" xr3:uid="{7E85A68B-663F-4C45-94F8-604AAC38FF52}" name="Driver" dataDxfId="204"/>
    <tableColumn id="3" xr3:uid="{2DE1095A-BE55-4346-89C6-F9B40B0DD9EA}" name="Client" dataDxfId="203"/>
    <tableColumn id="4" xr3:uid="{B73A8DB8-12A0-054C-8BA7-921E443179E4}" name="Destination " dataDxfId="202"/>
    <tableColumn id="5" xr3:uid="{22C1BEB2-6DF1-7942-B4D0-6D7A41946A0E}" name="Trips" dataDxfId="201"/>
    <tableColumn id="6" xr3:uid="{65EB269F-260C-BF4C-A017-A837E41E877D}" name="Rate /Trips" dataDxfId="200"/>
    <tableColumn id="7" xr3:uid="{283CA56A-5B6E-A048-A2DB-E7492DC95C90}" name="Total Value" dataDxfId="199"/>
    <tableColumn id="8" xr3:uid="{36177F20-2DAE-284E-A732-C5F5C2535705}" name="Received" dataDxfId="198"/>
    <tableColumn id="9" xr3:uid="{6A877BDD-1114-0E42-AD69-F0588383E113}" name="Balance" dataDxfId="197"/>
    <tableColumn id="10" xr3:uid="{821B764A-A1F0-3A4A-918C-BDC0384206CE}" name="Paid / Urgent / Pending" dataDxfId="19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D9D2D1-32B9-054A-8CC0-1F7A2A975A54}" name="Table5" displayName="Table5" ref="A3:J106" totalsRowShown="0" headerRowDxfId="195" tableBorderDxfId="194">
  <autoFilter ref="A3:J106" xr:uid="{4CD9D2D1-32B9-054A-8CC0-1F7A2A975A54}"/>
  <sortState xmlns:xlrd2="http://schemas.microsoft.com/office/spreadsheetml/2017/richdata2" ref="A4:J106">
    <sortCondition ref="A3:A106"/>
  </sortState>
  <tableColumns count="10">
    <tableColumn id="1" xr3:uid="{195BA381-0FCD-8C4C-9488-7291DA67E1C3}" name="Date" dataDxfId="193"/>
    <tableColumn id="2" xr3:uid="{9BF2E72D-90FA-EE46-95E5-C32CF378B9B2}" name="Driver" dataDxfId="192"/>
    <tableColumn id="3" xr3:uid="{8A965173-C80B-1643-949D-C6FAFF5D3ACA}" name="Client" dataDxfId="191"/>
    <tableColumn id="4" xr3:uid="{F6B5306A-38CB-C745-97C2-9D52CD996AEB}" name="Destination " dataDxfId="190"/>
    <tableColumn id="5" xr3:uid="{5178EB99-A784-3D4C-B2EE-29B7E187AE5D}" name="Trips" dataDxfId="189"/>
    <tableColumn id="6" xr3:uid="{D15EBDDD-893E-FC4B-BF41-3F1618FF3816}" name="Rate /Trips" dataDxfId="188"/>
    <tableColumn id="7" xr3:uid="{A0C2D78C-949F-EA41-9235-44B0375E62D3}" name="Total Value" dataDxfId="187"/>
    <tableColumn id="8" xr3:uid="{320D5DE9-57CE-0E48-B65F-1CF567BC8344}" name="Received" dataDxfId="186"/>
    <tableColumn id="9" xr3:uid="{5A544C23-0CC5-9F45-A7E2-A52DC944F8B6}" name="Balance" dataDxfId="185"/>
    <tableColumn id="10" xr3:uid="{1D55C62A-A609-1647-9024-BEEDDDB03DFD}" name="Paid / Urgent / Pending" dataDxfId="18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78753-4EAE-B445-892B-2BA9A4B55A44}" name="Table1" displayName="Table1" ref="A3:J97" totalsRowShown="0" headerRowDxfId="183" tableBorderDxfId="182">
  <autoFilter ref="A3:J97" xr:uid="{6D578753-4EAE-B445-892B-2BA9A4B55A44}"/>
  <sortState xmlns:xlrd2="http://schemas.microsoft.com/office/spreadsheetml/2017/richdata2" ref="A4:J97">
    <sortCondition ref="A3:A97"/>
  </sortState>
  <tableColumns count="10">
    <tableColumn id="1" xr3:uid="{59D1ECE7-3639-4541-9580-4B4E2FC47164}" name="Date" dataDxfId="181"/>
    <tableColumn id="2" xr3:uid="{156003B1-5E50-324B-A4AE-87326CE03D30}" name="Driver" dataDxfId="180"/>
    <tableColumn id="3" xr3:uid="{F4C03647-C1B5-BA40-962C-E7F9EF185DE4}" name="Client" dataDxfId="179"/>
    <tableColumn id="4" xr3:uid="{BB791C29-9A9F-9E48-96AB-C8EA89E37686}" name="Destination " dataDxfId="178"/>
    <tableColumn id="5" xr3:uid="{7E4D2F71-8D43-F94A-98F4-2C98BABBE728}" name="Trips" dataDxfId="177"/>
    <tableColumn id="6" xr3:uid="{7AE44253-6647-F44F-B12A-1B6D9A81C928}" name="Rate /Trips" dataDxfId="176"/>
    <tableColumn id="7" xr3:uid="{B3831E38-C399-1343-ADBB-01F8F0D26420}" name="Total Value" dataDxfId="175"/>
    <tableColumn id="8" xr3:uid="{B85F88C4-25D8-7940-A449-2920E76A372C}" name="Received" dataDxfId="174"/>
    <tableColumn id="9" xr3:uid="{B774EB9D-C43F-3247-A4DD-D56029CDD2BD}" name="Balance" dataDxfId="173"/>
    <tableColumn id="10" xr3:uid="{4F64F37F-4D66-5F47-B2AB-6DB8C8641A3D}" name="Paid / Urgent / Pending" dataDxfId="172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BFA2C9-9045-4C40-B0EE-0D7FADED9A76}" name="Table6" displayName="Table6" ref="A3:J82" totalsRowShown="0" headerRowDxfId="171" tableBorderDxfId="170">
  <autoFilter ref="A3:J82" xr:uid="{26BFA2C9-9045-4C40-B0EE-0D7FADED9A76}"/>
  <sortState xmlns:xlrd2="http://schemas.microsoft.com/office/spreadsheetml/2017/richdata2" ref="A4:J82">
    <sortCondition ref="A3:A82"/>
  </sortState>
  <tableColumns count="10">
    <tableColumn id="1" xr3:uid="{C5B81ED3-6C8E-A640-B372-DA3A41A4BC54}" name="Date" dataDxfId="169"/>
    <tableColumn id="2" xr3:uid="{D20578C6-DEAC-E14D-929E-DB40DE5C9A11}" name="Driver" dataDxfId="168"/>
    <tableColumn id="3" xr3:uid="{78310E6B-F89D-C248-8E4D-E3393F718A6D}" name="Client" dataDxfId="167"/>
    <tableColumn id="4" xr3:uid="{FEBEC2C2-2783-EE43-B7A8-EDB674B812AC}" name="Destination " dataDxfId="166"/>
    <tableColumn id="5" xr3:uid="{40526128-F8E6-2C4A-8CC3-A63A46AF6C37}" name="Trips" dataDxfId="165"/>
    <tableColumn id="6" xr3:uid="{C7BA0BB1-6BBD-6E46-AD88-9AAC0E37E9E3}" name="Rate /Trips" dataDxfId="164"/>
    <tableColumn id="7" xr3:uid="{A015DF7C-37BF-B14F-9E2F-E4B8048E191B}" name="Total Value" dataDxfId="163"/>
    <tableColumn id="8" xr3:uid="{C3BC683F-39F2-D042-BD90-A932C72F38C9}" name="Received" dataDxfId="162"/>
    <tableColumn id="9" xr3:uid="{82AA2A8F-4B9A-A640-8ED0-E72C06C2E06E}" name="Balance" dataDxfId="161"/>
    <tableColumn id="10" xr3:uid="{7A7817BA-AB8F-F44F-B196-9BC73C0CE682}" name="Paid / Urgent / Pending" dataDxfId="160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7D79BA-6E4D-7B47-8DBC-1DD2C0FFF8F1}" name="Table68" displayName="Table68" ref="A3:J16" totalsRowShown="0" headerRowDxfId="159" tableBorderDxfId="158">
  <autoFilter ref="A3:J16" xr:uid="{D67D79BA-6E4D-7B47-8DBC-1DD2C0FFF8F1}"/>
  <sortState xmlns:xlrd2="http://schemas.microsoft.com/office/spreadsheetml/2017/richdata2" ref="A4:J16">
    <sortCondition ref="A3:A16"/>
  </sortState>
  <tableColumns count="10">
    <tableColumn id="1" xr3:uid="{8A947E7F-09B2-7C46-996B-17A22923934A}" name="Date" dataDxfId="157"/>
    <tableColumn id="2" xr3:uid="{7DFF20D8-3D8B-4C4D-937D-06501E29F829}" name="Driver" dataDxfId="156"/>
    <tableColumn id="3" xr3:uid="{C5A5BF70-9C08-AE4D-BEAE-A7C162B7CEC0}" name="Client" dataDxfId="155"/>
    <tableColumn id="4" xr3:uid="{6A9AFA23-F946-6A40-8C31-AF9484E75DB3}" name="Destination " dataDxfId="154"/>
    <tableColumn id="5" xr3:uid="{0027E90D-E2E1-8644-8752-4F9D3A2A6223}" name="Trips" dataDxfId="153"/>
    <tableColumn id="6" xr3:uid="{5FE854B4-2420-B243-9D03-316D5696F2C2}" name="Rate /Trips" dataDxfId="152"/>
    <tableColumn id="7" xr3:uid="{C5BCFF5D-802D-A949-B78D-32A5A6F492DD}" name="Total Value" dataDxfId="151">
      <calculatedColumnFormula>Table68[[#This Row],[Rate /Trips]]*Table68[[#This Row],[Trips]]</calculatedColumnFormula>
    </tableColumn>
    <tableColumn id="8" xr3:uid="{123617B0-76BF-774B-A837-B27B159233EA}" name="Received" dataDxfId="150"/>
    <tableColumn id="9" xr3:uid="{B207CE94-DB51-A14A-915E-DBE68D6AF24D}" name="Balance" dataDxfId="149">
      <calculatedColumnFormula>Table68[[#This Row],[Total Value]]-Table68[[#This Row],[Received]]</calculatedColumnFormula>
    </tableColumn>
    <tableColumn id="10" xr3:uid="{43203E7B-9CB4-DE43-8573-972235D1BAD1}" name="Paid / Urgent / Pending" dataDxfId="148">
      <calculatedColumnFormula>IF(I4&gt;10000,"🚨 URGENT: "&amp;C4&amp;" owes ₹"&amp;I4,IF(I4&gt;5000,"⚠️ WARNING: "&amp;C4&amp;" - ₹"&amp;I4&amp;" due",IF(I4&gt;0,"ℹ️ "&amp;C4&amp;" - ₹"&amp;I4&amp;" pending","✅ Paid")))</calculatedColumnFormula>
    </tableColumn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A11129-389D-FC49-9D32-5DE2E6C4489D}" name="Table689" displayName="Table689" ref="A3:J20" totalsRowShown="0" headerRowDxfId="147" tableBorderDxfId="146">
  <autoFilter ref="A3:J20" xr:uid="{8AA11129-389D-FC49-9D32-5DE2E6C4489D}"/>
  <sortState xmlns:xlrd2="http://schemas.microsoft.com/office/spreadsheetml/2017/richdata2" ref="A4:J20">
    <sortCondition ref="A3:A20"/>
  </sortState>
  <tableColumns count="10">
    <tableColumn id="1" xr3:uid="{9EEAE03D-A968-974D-8D0F-CF7CB3065C13}" name="Date" dataDxfId="145"/>
    <tableColumn id="2" xr3:uid="{B22E649D-2F0D-184D-8887-038109622FFF}" name="Driver" dataDxfId="144"/>
    <tableColumn id="3" xr3:uid="{70DF3A2F-05C8-1C4E-8447-BC6C3768BE92}" name="Client" dataDxfId="143"/>
    <tableColumn id="4" xr3:uid="{90F75CCF-441D-804A-BD2E-38BEC2706705}" name="Destination " dataDxfId="142"/>
    <tableColumn id="5" xr3:uid="{75151B78-8B3B-A343-A725-01BE73FC6A9D}" name="Trips" dataDxfId="141"/>
    <tableColumn id="6" xr3:uid="{DEC22FBC-18AE-0246-AB8E-CE0D0699EDC1}" name="Rate /Trips" dataDxfId="140"/>
    <tableColumn id="7" xr3:uid="{7A844593-31FB-A64D-A12B-1218159F9B1F}" name="Total Value" dataDxfId="139">
      <calculatedColumnFormula>Table689[[#This Row],[Rate /Trips]]*Table689[[#This Row],[Trips]]</calculatedColumnFormula>
    </tableColumn>
    <tableColumn id="8" xr3:uid="{6412C949-1383-9B4D-BBDD-172820E4E974}" name="Received" dataDxfId="138"/>
    <tableColumn id="9" xr3:uid="{E69D4A31-99AF-7C4B-90B4-2B00E82AE56E}" name="Balance" dataDxfId="137">
      <calculatedColumnFormula>Table689[[#This Row],[Total Value]]-Table689[[#This Row],[Received]]</calculatedColumnFormula>
    </tableColumn>
    <tableColumn id="10" xr3:uid="{029B349C-A3BD-024A-8CFB-0D3BA0927D5D}" name="Paid / Urgent / Pending" dataDxfId="136">
      <calculatedColumnFormula>IF(I4&gt;10000,"🚨 URGENT: "&amp;C4&amp;" owes ₹"&amp;I4,IF(I4&gt;5000,"⚠️ WARNING: "&amp;C4&amp;" - ₹"&amp;I4&amp;" due",IF(I4&gt;0,"ℹ️ "&amp;C4&amp;" - ₹"&amp;I4&amp;" pending","✅ Paid")))</calculatedColumnFormula>
    </tableColumn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9ED362-FBCB-6047-911C-F7894CC8159B}" name="Table68910" displayName="Table68910" ref="A3:J19" totalsRowShown="0" headerRowDxfId="135" tableBorderDxfId="134">
  <autoFilter ref="A3:J19" xr:uid="{C99ED362-FBCB-6047-911C-F7894CC8159B}"/>
  <sortState xmlns:xlrd2="http://schemas.microsoft.com/office/spreadsheetml/2017/richdata2" ref="A4:J19">
    <sortCondition ref="A3:A19"/>
  </sortState>
  <tableColumns count="10">
    <tableColumn id="1" xr3:uid="{F1D798E6-9B77-0848-8F7D-363566BE0795}" name="Date" dataDxfId="133"/>
    <tableColumn id="2" xr3:uid="{3BA8F9CD-1541-2E42-B806-1E89CFAA2784}" name="Driver" dataDxfId="132"/>
    <tableColumn id="3" xr3:uid="{45DB8DF2-7D36-0340-BA68-4019AD2A0841}" name="Client" dataDxfId="131"/>
    <tableColumn id="4" xr3:uid="{EA310F57-F4D7-F548-ACAA-CE346C295442}" name="Destination " dataDxfId="130"/>
    <tableColumn id="5" xr3:uid="{610B31EE-4F39-EE4B-A237-07B6876EAEB8}" name="Trips" dataDxfId="129"/>
    <tableColumn id="6" xr3:uid="{827F8E4D-124D-E041-8E08-EB3E83E809B7}" name="Rate /Trips" dataDxfId="128"/>
    <tableColumn id="7" xr3:uid="{5880300C-BFCF-4345-8F18-D5C8EBCB73DC}" name="Total Value" dataDxfId="127">
      <calculatedColumnFormula>Table68910[[#This Row],[Rate /Trips]]*Table68910[[#This Row],[Trips]]</calculatedColumnFormula>
    </tableColumn>
    <tableColumn id="8" xr3:uid="{EE0A6604-E47C-8541-87CB-A15603A64DB3}" name="Received" dataDxfId="126"/>
    <tableColumn id="9" xr3:uid="{6A0D13AE-A95A-7D48-A2E7-2332B9C08AF1}" name="Balance" dataDxfId="125">
      <calculatedColumnFormula>Table68910[[#This Row],[Total Value]]-Table68910[[#This Row],[Received]]</calculatedColumnFormula>
    </tableColumn>
    <tableColumn id="10" xr3:uid="{AB67ED5E-5BC9-F84D-8E74-342E6008A856}" name="Paid / Urgent / Pending" dataDxfId="124">
      <calculatedColumnFormula>IF(I4&gt;10000,"🚨 URGENT: "&amp;C4&amp;" owes ₹"&amp;I4,IF(I4&gt;5000,"⚠️ WARNING: "&amp;C4&amp;" - ₹"&amp;I4&amp;" due",IF(I4&gt;0,"ℹ️ "&amp;C4&amp;" - ₹"&amp;I4&amp;" pending","✅ Paid")))</calculatedColumnFormula>
    </tableColumn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59904E6-B95B-4144-9446-3B9D55D3E371}" name="Table6891011" displayName="Table6891011" ref="A3:J39" totalsRowShown="0" headerRowDxfId="123" tableBorderDxfId="122">
  <autoFilter ref="A3:J39" xr:uid="{E59904E6-B95B-4144-9446-3B9D55D3E371}"/>
  <sortState xmlns:xlrd2="http://schemas.microsoft.com/office/spreadsheetml/2017/richdata2" ref="A4:J39">
    <sortCondition ref="A3:A39"/>
  </sortState>
  <tableColumns count="10">
    <tableColumn id="1" xr3:uid="{BE01486B-4846-2C4B-ADD1-FCCFE5183162}" name="Date" dataDxfId="121"/>
    <tableColumn id="2" xr3:uid="{7123CB61-E9C0-CA45-89AC-38391B5D9401}" name="Driver" dataDxfId="120"/>
    <tableColumn id="3" xr3:uid="{AC6148BE-F38A-AC4B-9358-7D5565AB31D1}" name="Client" dataDxfId="119"/>
    <tableColumn id="4" xr3:uid="{069893CE-1775-3449-8E78-BF9F4750606B}" name="Destination " dataDxfId="118"/>
    <tableColumn id="5" xr3:uid="{B3073B01-7E18-914E-A0E3-F8D5470CD1AE}" name="Trips" dataDxfId="117"/>
    <tableColumn id="6" xr3:uid="{C716FC28-F041-274F-B5F7-16BF024EAF6A}" name="Rate /Trips" dataDxfId="116"/>
    <tableColumn id="7" xr3:uid="{74D74F48-9A49-B24B-A5B5-71EAF6BD74ED}" name="Total Value" dataDxfId="115">
      <calculatedColumnFormula>Table6891011[[#This Row],[Rate /Trips]]*Table6891011[[#This Row],[Trips]]</calculatedColumnFormula>
    </tableColumn>
    <tableColumn id="8" xr3:uid="{289A1206-95DB-604E-9150-DFF547D9A821}" name="Received" dataDxfId="114"/>
    <tableColumn id="9" xr3:uid="{3E9E292D-948D-7048-96E8-FE288F2C87C3}" name="Balance" dataDxfId="113">
      <calculatedColumnFormula>Table6891011[[#This Row],[Total Value]]-Table6891011[[#This Row],[Received]]</calculatedColumnFormula>
    </tableColumn>
    <tableColumn id="10" xr3:uid="{4D3339AE-74B1-AA45-93C4-12490B93A664}" name="Paid / Urgent / Pending" dataDxfId="112">
      <calculatedColumnFormula>IF(I4&gt;10000,"🚨 URGENT: "&amp;C4&amp;" owes ₹"&amp;I4,IF(I4&gt;5000,"⚠️ WARNING: "&amp;C4&amp;" - ₹"&amp;I4&amp;" due",IF(I4&gt;0,"ℹ️ "&amp;C4&amp;" - ₹"&amp;I4&amp;" pending","✅ Paid")))</calculatedColumnFormula>
    </tableColumn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D7ED10-3932-F341-ADFA-B57E053F6DCD}" name="Table689101112" displayName="Table689101112" ref="A3:J79" totalsRowShown="0" headerRowDxfId="111" tableBorderDxfId="110">
  <autoFilter ref="A3:J79" xr:uid="{4AD7ED10-3932-F341-ADFA-B57E053F6DCD}"/>
  <sortState xmlns:xlrd2="http://schemas.microsoft.com/office/spreadsheetml/2017/richdata2" ref="A4:J79">
    <sortCondition ref="A3:A79"/>
  </sortState>
  <tableColumns count="10">
    <tableColumn id="1" xr3:uid="{413A8C6E-88DE-FB43-8634-CDE25A2DBC74}" name="Date" dataDxfId="109"/>
    <tableColumn id="2" xr3:uid="{A40D8A54-619B-5844-842F-E41158822CAF}" name="Driver" dataDxfId="108"/>
    <tableColumn id="3" xr3:uid="{B568C0D4-1EAF-C748-992D-9A7DA6BA01E3}" name="Client" dataDxfId="107"/>
    <tableColumn id="4" xr3:uid="{51978538-ECD5-B248-96A2-DB7151442DE9}" name="Destination " dataDxfId="106"/>
    <tableColumn id="5" xr3:uid="{E069716D-F9BC-FC4D-9307-35170AE544D5}" name="Trips" dataDxfId="105"/>
    <tableColumn id="6" xr3:uid="{33F5BD68-4B27-CD46-95E4-3A4994CEEE1B}" name="Rate /Trips" dataDxfId="104"/>
    <tableColumn id="7" xr3:uid="{B5504C31-9CC8-F141-8493-66A20FAC852C}" name="Total Value" dataDxfId="103">
      <calculatedColumnFormula>Table689101112[[#This Row],[Rate /Trips]]*Table689101112[[#This Row],[Trips]]</calculatedColumnFormula>
    </tableColumn>
    <tableColumn id="8" xr3:uid="{E130988C-EE91-2544-A355-952AF3AA6130}" name="Received" dataDxfId="102"/>
    <tableColumn id="9" xr3:uid="{7E0B0CB8-5625-924E-904B-AF1DFFFAA52A}" name="Balance" dataDxfId="101">
      <calculatedColumnFormula>Table689101112[[#This Row],[Total Value]]-Table689101112[[#This Row],[Received]]</calculatedColumnFormula>
    </tableColumn>
    <tableColumn id="10" xr3:uid="{5C96873A-943B-AD46-B7C3-837639595A89}" name="Paid / Urgent / Pending" dataDxfId="100">
      <calculatedColumnFormula>IF(I4&gt;10000,"🚨 URGENT: "&amp;C4&amp;" owes ₹"&amp;I4,IF(I4&gt;5000,"⚠️ WARNING: "&amp;C4&amp;" - ₹"&amp;I4&amp;" due",IF(I4&gt;0,"ℹ️ "&amp;C4&amp;" - ₹"&amp;I4&amp;" pending","✅ Paid")))</calculatedColumnFormula>
    </tableColumn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06C3673-9522-804C-A40D-0541B3479413}" name="Table68910111213" displayName="Table68910111213" ref="A3:J148" totalsRowShown="0" headerRowDxfId="243" tableBorderDxfId="242">
  <autoFilter ref="A3:J148" xr:uid="{B06C3673-9522-804C-A40D-0541B3479413}"/>
  <sortState xmlns:xlrd2="http://schemas.microsoft.com/office/spreadsheetml/2017/richdata2" ref="A4:J148">
    <sortCondition ref="A3:A148"/>
  </sortState>
  <tableColumns count="10">
    <tableColumn id="1" xr3:uid="{730589B7-6E18-B045-9990-85184CD4069A}" name="Date" dataDxfId="241"/>
    <tableColumn id="2" xr3:uid="{A04B99BF-6B73-694D-87DB-7CD061D9F73C}" name="Driver" dataDxfId="240"/>
    <tableColumn id="3" xr3:uid="{0826D715-483F-B445-AD1B-3FA47087CDBC}" name="Client" dataDxfId="239"/>
    <tableColumn id="4" xr3:uid="{D024FA1A-EAD2-7242-99D3-E42638407C8D}" name="Destination " dataDxfId="238"/>
    <tableColumn id="5" xr3:uid="{740E2284-FCC5-8D42-8E43-92692831E4E9}" name="Trips" dataDxfId="237"/>
    <tableColumn id="6" xr3:uid="{55805DB0-60BE-CA44-8A61-1BA8C14294BA}" name="Rate /Trips" dataDxfId="236"/>
    <tableColumn id="7" xr3:uid="{3DEE329D-D981-DF41-85F5-72DF1023F149}" name="Total Value" dataDxfId="235">
      <calculatedColumnFormula>Table68910111213[[#This Row],[Rate /Trips]]*Table68910111213[[#This Row],[Trips]]</calculatedColumnFormula>
    </tableColumn>
    <tableColumn id="8" xr3:uid="{9D591B92-DB33-7E4F-8F52-D6A960086B5C}" name="Received" dataDxfId="234"/>
    <tableColumn id="9" xr3:uid="{16C5286F-3700-354F-8FDF-34B91EB2B1FA}" name="Balance" dataDxfId="233">
      <calculatedColumnFormula>Table68910111213[[#This Row],[Total Value]]-Table68910111213[[#This Row],[Received]]</calculatedColumnFormula>
    </tableColumn>
    <tableColumn id="10" xr3:uid="{C4CFAE16-DD64-BD4E-8DB8-C275AB6F9920}" name="Paid / Urgent / Pending" dataDxfId="232">
      <calculatedColumnFormula>IF(I4&gt;10000,"🚨 URGENT: "&amp;C4&amp;" owes ₹"&amp;I4,IF(I4&gt;5000,"⚠️ WARNING: "&amp;C4&amp;" - ₹"&amp;I4&amp;" due",IF(I4&gt;0,"ℹ️ "&amp;C4&amp;" - ₹"&amp;I4&amp;" pending","✅ Paid")))</calculatedColumnFormula>
    </tableColumn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D3030D0-19EA-E94C-A55E-B738918E1C91}" name="Table6891011121314" displayName="Table6891011121314" ref="A3:J182" totalsRowShown="0" headerRowDxfId="99" tableBorderDxfId="98">
  <autoFilter ref="A3:J182" xr:uid="{ED3030D0-19EA-E94C-A55E-B738918E1C91}"/>
  <tableColumns count="10">
    <tableColumn id="1" xr3:uid="{D2EFB80A-608E-6147-A798-28B799EDEE0E}" name="Date" dataDxfId="97"/>
    <tableColumn id="2" xr3:uid="{390F307C-F41A-D94E-94FB-FF1A9254A889}" name="Driver" dataDxfId="96"/>
    <tableColumn id="3" xr3:uid="{E8329E3E-D778-014D-9B9B-3F8DBFC9A849}" name="Client" dataDxfId="95"/>
    <tableColumn id="4" xr3:uid="{B7CB3689-F88A-4742-B701-765F3775C520}" name="Destination " dataDxfId="94"/>
    <tableColumn id="5" xr3:uid="{C023EF6D-B73E-9F45-9A21-7AFA5291365A}" name="Trips" dataDxfId="93"/>
    <tableColumn id="6" xr3:uid="{CE4948D5-003D-3143-A183-B877D52EF1AC}" name="Rate /Trips" dataDxfId="92"/>
    <tableColumn id="7" xr3:uid="{9ED1189D-48A9-3644-9819-9AA10EAE7AAE}" name="Total Value" dataDxfId="91">
      <calculatedColumnFormula>Table6891011121314[[#This Row],[Rate /Trips]]*Table6891011121314[[#This Row],[Trips]]</calculatedColumnFormula>
    </tableColumn>
    <tableColumn id="8" xr3:uid="{AE06A514-9483-A847-A8AE-3CF5F1B1EDF3}" name="Received" dataDxfId="90"/>
    <tableColumn id="9" xr3:uid="{C199C818-4A1C-9F4F-9A4F-58ED19EE6A40}" name="Balance" dataDxfId="89">
      <calculatedColumnFormula>Table6891011121314[[#This Row],[Total Value]]-Table6891011121314[[#This Row],[Received]]</calculatedColumnFormula>
    </tableColumn>
    <tableColumn id="10" xr3:uid="{D293CFEA-62FD-0C49-ACA3-002D43FFC5E7}" name="Paid / Urgent / Pending" dataDxfId="88">
      <calculatedColumnFormula>IF(I4&gt;10000,"🚨 URGENT: "&amp;C4&amp;" owes ₹"&amp;I4,IF(I4&gt;5000,"⚠️ WARNING: "&amp;C4&amp;" - ₹"&amp;I4&amp;" due",IF(I4&gt;0,"ℹ️ "&amp;C4&amp;" - ₹"&amp;I4&amp;" pending","✅ Paid")))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90"/>
  <sheetViews>
    <sheetView tabSelected="1" zoomScale="75" zoomScaleNormal="130" workbookViewId="0">
      <pane ySplit="3" topLeftCell="A4" activePane="bottomLeft" state="frozen"/>
      <selection pane="bottomLeft" activeCell="D23" sqref="D23"/>
    </sheetView>
  </sheetViews>
  <sheetFormatPr baseColWidth="10" defaultColWidth="11.5" defaultRowHeight="15"/>
  <cols>
    <col min="1" max="1" width="23.83203125" style="21" bestFit="1" customWidth="1"/>
    <col min="2" max="2" width="10.83203125" bestFit="1" customWidth="1"/>
    <col min="3" max="3" width="21.83203125" bestFit="1" customWidth="1"/>
    <col min="4" max="4" width="19.83203125" bestFit="1" customWidth="1"/>
    <col min="5" max="5" width="14.1640625" bestFit="1" customWidth="1"/>
    <col min="6" max="6" width="17" style="22" bestFit="1" customWidth="1"/>
    <col min="7" max="7" width="19.5" style="22" bestFit="1" customWidth="1"/>
    <col min="8" max="8" width="20.33203125" style="22" bestFit="1" customWidth="1"/>
    <col min="9" max="9" width="18.6640625" style="22" bestFit="1" customWidth="1"/>
    <col min="10" max="10" width="40.6640625" bestFit="1" customWidth="1"/>
  </cols>
  <sheetData>
    <row r="1" spans="1:10" ht="37" customHeight="1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283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311</v>
      </c>
    </row>
    <row r="4" spans="1:10">
      <c r="A4" s="56">
        <v>45658</v>
      </c>
      <c r="B4" s="58" t="s">
        <v>2</v>
      </c>
      <c r="C4" s="46" t="s">
        <v>23</v>
      </c>
      <c r="D4" s="46" t="s">
        <v>3</v>
      </c>
      <c r="E4" s="51">
        <v>1</v>
      </c>
      <c r="F4" s="59">
        <v>32000</v>
      </c>
      <c r="G4" s="59">
        <f t="shared" ref="G4:G45" si="0">F4*E4</f>
        <v>32000</v>
      </c>
      <c r="H4" s="59">
        <v>32000</v>
      </c>
      <c r="I4" s="59">
        <f t="shared" ref="I4:I35" si="1">G4-H4</f>
        <v>0</v>
      </c>
      <c r="J4" s="9" t="str">
        <f t="shared" ref="J4:J35" si="2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>
      <c r="A5" s="36">
        <v>45659</v>
      </c>
      <c r="B5" s="38" t="s">
        <v>4</v>
      </c>
      <c r="C5" s="39" t="s">
        <v>5</v>
      </c>
      <c r="D5" s="39" t="s">
        <v>6</v>
      </c>
      <c r="E5" s="1">
        <v>1</v>
      </c>
      <c r="F5" s="40">
        <v>31000</v>
      </c>
      <c r="G5" s="40">
        <f t="shared" si="0"/>
        <v>31000</v>
      </c>
      <c r="H5" s="40">
        <v>31000</v>
      </c>
      <c r="I5" s="40">
        <f t="shared" si="1"/>
        <v>0</v>
      </c>
      <c r="J5" s="9" t="str">
        <f t="shared" si="2"/>
        <v>✅ Paid</v>
      </c>
    </row>
    <row r="6" spans="1:10">
      <c r="A6" s="36">
        <v>45660</v>
      </c>
      <c r="B6" s="38" t="s">
        <v>4</v>
      </c>
      <c r="C6" s="39" t="s">
        <v>9</v>
      </c>
      <c r="D6" s="39" t="s">
        <v>10</v>
      </c>
      <c r="E6" s="1">
        <v>1</v>
      </c>
      <c r="F6" s="40">
        <v>40000</v>
      </c>
      <c r="G6" s="40">
        <f t="shared" si="0"/>
        <v>40000</v>
      </c>
      <c r="H6" s="40">
        <v>40000</v>
      </c>
      <c r="I6" s="40">
        <f t="shared" si="1"/>
        <v>0</v>
      </c>
      <c r="J6" s="9" t="str">
        <f t="shared" si="2"/>
        <v>✅ Paid</v>
      </c>
    </row>
    <row r="7" spans="1:10">
      <c r="A7" s="36">
        <v>45660</v>
      </c>
      <c r="B7" s="38" t="s">
        <v>4</v>
      </c>
      <c r="C7" s="39" t="s">
        <v>84</v>
      </c>
      <c r="D7" s="39" t="s">
        <v>11</v>
      </c>
      <c r="E7" s="1">
        <v>1</v>
      </c>
      <c r="F7" s="40">
        <v>35000</v>
      </c>
      <c r="G7" s="40">
        <f t="shared" si="0"/>
        <v>35000</v>
      </c>
      <c r="H7" s="40">
        <v>35000</v>
      </c>
      <c r="I7" s="40">
        <f t="shared" si="1"/>
        <v>0</v>
      </c>
      <c r="J7" s="9" t="str">
        <f t="shared" si="2"/>
        <v>✅ Paid</v>
      </c>
    </row>
    <row r="8" spans="1:10">
      <c r="A8" s="36">
        <v>45660</v>
      </c>
      <c r="B8" s="38" t="s">
        <v>2</v>
      </c>
      <c r="C8" s="39" t="s">
        <v>7</v>
      </c>
      <c r="D8" s="39" t="s">
        <v>8</v>
      </c>
      <c r="E8" s="1">
        <v>1</v>
      </c>
      <c r="F8" s="40">
        <v>38000</v>
      </c>
      <c r="G8" s="40">
        <f t="shared" si="0"/>
        <v>38000</v>
      </c>
      <c r="H8" s="40">
        <v>38000</v>
      </c>
      <c r="I8" s="40">
        <f t="shared" si="1"/>
        <v>0</v>
      </c>
      <c r="J8" s="9" t="str">
        <f t="shared" si="2"/>
        <v>✅ Paid</v>
      </c>
    </row>
    <row r="9" spans="1:10">
      <c r="A9" s="36">
        <v>45661</v>
      </c>
      <c r="B9" s="38" t="s">
        <v>4</v>
      </c>
      <c r="C9" s="39" t="s">
        <v>12</v>
      </c>
      <c r="D9" s="39" t="s">
        <v>13</v>
      </c>
      <c r="E9" s="1">
        <v>1</v>
      </c>
      <c r="F9" s="40">
        <v>35000</v>
      </c>
      <c r="G9" s="40">
        <f t="shared" si="0"/>
        <v>35000</v>
      </c>
      <c r="H9" s="40">
        <v>35000</v>
      </c>
      <c r="I9" s="40">
        <f t="shared" si="1"/>
        <v>0</v>
      </c>
      <c r="J9" s="9" t="str">
        <f t="shared" si="2"/>
        <v>✅ Paid</v>
      </c>
    </row>
    <row r="10" spans="1:10">
      <c r="A10" s="36">
        <v>45666</v>
      </c>
      <c r="B10" s="38" t="s">
        <v>2</v>
      </c>
      <c r="C10" s="39" t="s">
        <v>14</v>
      </c>
      <c r="D10" s="39" t="s">
        <v>15</v>
      </c>
      <c r="E10" s="1">
        <v>1</v>
      </c>
      <c r="F10" s="40">
        <v>35000</v>
      </c>
      <c r="G10" s="40">
        <f t="shared" si="0"/>
        <v>35000</v>
      </c>
      <c r="H10" s="40">
        <v>20000</v>
      </c>
      <c r="I10" s="40">
        <f t="shared" si="1"/>
        <v>15000</v>
      </c>
      <c r="J10" s="9" t="str">
        <f t="shared" si="2"/>
        <v>🚨 URGENT: Bhandare owes ₹15000</v>
      </c>
    </row>
    <row r="11" spans="1:10">
      <c r="A11" s="36">
        <v>45666</v>
      </c>
      <c r="B11" s="38" t="s">
        <v>4</v>
      </c>
      <c r="C11" s="39" t="s">
        <v>16</v>
      </c>
      <c r="D11" s="39" t="s">
        <v>17</v>
      </c>
      <c r="E11" s="1">
        <v>1</v>
      </c>
      <c r="F11" s="40">
        <v>34000</v>
      </c>
      <c r="G11" s="40">
        <f t="shared" si="0"/>
        <v>34000</v>
      </c>
      <c r="H11" s="40">
        <v>34000</v>
      </c>
      <c r="I11" s="40">
        <f t="shared" si="1"/>
        <v>0</v>
      </c>
      <c r="J11" s="9" t="str">
        <f t="shared" si="2"/>
        <v>✅ Paid</v>
      </c>
    </row>
    <row r="12" spans="1:10">
      <c r="A12" s="36">
        <v>45667</v>
      </c>
      <c r="B12" s="38" t="s">
        <v>2</v>
      </c>
      <c r="C12" s="39" t="s">
        <v>20</v>
      </c>
      <c r="D12" s="39" t="s">
        <v>17</v>
      </c>
      <c r="E12" s="1">
        <v>1</v>
      </c>
      <c r="F12" s="40">
        <v>36000</v>
      </c>
      <c r="G12" s="40">
        <f t="shared" si="0"/>
        <v>36000</v>
      </c>
      <c r="H12" s="40">
        <v>36000</v>
      </c>
      <c r="I12" s="40">
        <f t="shared" si="1"/>
        <v>0</v>
      </c>
      <c r="J12" s="9" t="str">
        <f t="shared" si="2"/>
        <v>✅ Paid</v>
      </c>
    </row>
    <row r="13" spans="1:10">
      <c r="A13" s="36">
        <v>45667</v>
      </c>
      <c r="B13" s="38" t="s">
        <v>2</v>
      </c>
      <c r="C13" s="39" t="s">
        <v>18</v>
      </c>
      <c r="D13" s="39" t="s">
        <v>19</v>
      </c>
      <c r="E13" s="1">
        <v>1</v>
      </c>
      <c r="F13" s="40">
        <v>34000</v>
      </c>
      <c r="G13" s="40">
        <f t="shared" si="0"/>
        <v>34000</v>
      </c>
      <c r="H13" s="40">
        <v>34000</v>
      </c>
      <c r="I13" s="40">
        <f t="shared" si="1"/>
        <v>0</v>
      </c>
      <c r="J13" s="9" t="str">
        <f t="shared" si="2"/>
        <v>✅ Paid</v>
      </c>
    </row>
    <row r="14" spans="1:10">
      <c r="A14" s="36">
        <v>45669</v>
      </c>
      <c r="B14" s="38" t="s">
        <v>2</v>
      </c>
      <c r="C14" s="39" t="s">
        <v>21</v>
      </c>
      <c r="D14" s="39" t="s">
        <v>22</v>
      </c>
      <c r="E14" s="1">
        <v>2</v>
      </c>
      <c r="F14" s="40">
        <v>32000</v>
      </c>
      <c r="G14" s="40">
        <f t="shared" si="0"/>
        <v>64000</v>
      </c>
      <c r="H14" s="40">
        <v>64000</v>
      </c>
      <c r="I14" s="40">
        <f t="shared" si="1"/>
        <v>0</v>
      </c>
      <c r="J14" s="9" t="str">
        <f t="shared" si="2"/>
        <v>✅ Paid</v>
      </c>
    </row>
    <row r="15" spans="1:10">
      <c r="A15" s="36">
        <v>45669</v>
      </c>
      <c r="B15" s="38" t="s">
        <v>2</v>
      </c>
      <c r="C15" s="39" t="s">
        <v>23</v>
      </c>
      <c r="D15" s="39" t="s">
        <v>24</v>
      </c>
      <c r="E15" s="1">
        <v>1</v>
      </c>
      <c r="F15" s="40">
        <v>34000</v>
      </c>
      <c r="G15" s="40">
        <f t="shared" si="0"/>
        <v>34000</v>
      </c>
      <c r="H15" s="40">
        <v>34000</v>
      </c>
      <c r="I15" s="40">
        <f t="shared" si="1"/>
        <v>0</v>
      </c>
      <c r="J15" s="9" t="str">
        <f t="shared" si="2"/>
        <v>✅ Paid</v>
      </c>
    </row>
    <row r="16" spans="1:10">
      <c r="A16" s="36">
        <v>45670</v>
      </c>
      <c r="B16" s="38" t="s">
        <v>4</v>
      </c>
      <c r="C16" s="39" t="s">
        <v>535</v>
      </c>
      <c r="D16" s="39" t="s">
        <v>8</v>
      </c>
      <c r="E16" s="1">
        <v>1</v>
      </c>
      <c r="F16" s="40">
        <v>35000</v>
      </c>
      <c r="G16" s="40">
        <f t="shared" si="0"/>
        <v>35000</v>
      </c>
      <c r="H16" s="40">
        <v>35000</v>
      </c>
      <c r="I16" s="40">
        <f t="shared" si="1"/>
        <v>0</v>
      </c>
      <c r="J16" s="9" t="str">
        <f t="shared" si="2"/>
        <v>✅ Paid</v>
      </c>
    </row>
    <row r="17" spans="1:10">
      <c r="A17" s="36">
        <v>45670</v>
      </c>
      <c r="B17" s="38" t="s">
        <v>2</v>
      </c>
      <c r="C17" s="39" t="s">
        <v>25</v>
      </c>
      <c r="D17" s="39" t="s">
        <v>13</v>
      </c>
      <c r="E17" s="1">
        <v>1</v>
      </c>
      <c r="F17" s="40">
        <v>38000</v>
      </c>
      <c r="G17" s="40">
        <f t="shared" si="0"/>
        <v>38000</v>
      </c>
      <c r="H17" s="40">
        <v>38000</v>
      </c>
      <c r="I17" s="40">
        <f t="shared" si="1"/>
        <v>0</v>
      </c>
      <c r="J17" s="9" t="str">
        <f t="shared" si="2"/>
        <v>✅ Paid</v>
      </c>
    </row>
    <row r="18" spans="1:10">
      <c r="A18" s="36">
        <v>45672</v>
      </c>
      <c r="B18" s="38" t="s">
        <v>2</v>
      </c>
      <c r="C18" s="39" t="s">
        <v>21</v>
      </c>
      <c r="D18" s="39" t="s">
        <v>26</v>
      </c>
      <c r="E18" s="1">
        <v>1</v>
      </c>
      <c r="F18" s="40">
        <v>32000</v>
      </c>
      <c r="G18" s="40">
        <f t="shared" si="0"/>
        <v>32000</v>
      </c>
      <c r="H18" s="40">
        <v>32000</v>
      </c>
      <c r="I18" s="40">
        <f t="shared" si="1"/>
        <v>0</v>
      </c>
      <c r="J18" s="9" t="str">
        <f t="shared" si="2"/>
        <v>✅ Paid</v>
      </c>
    </row>
    <row r="19" spans="1:10">
      <c r="A19" s="36">
        <v>45672</v>
      </c>
      <c r="B19" s="38" t="s">
        <v>2</v>
      </c>
      <c r="C19" s="39" t="s">
        <v>21</v>
      </c>
      <c r="D19" s="39" t="s">
        <v>27</v>
      </c>
      <c r="E19" s="1">
        <v>1</v>
      </c>
      <c r="F19" s="40">
        <v>32000</v>
      </c>
      <c r="G19" s="40">
        <f t="shared" si="0"/>
        <v>32000</v>
      </c>
      <c r="H19" s="40">
        <v>32000</v>
      </c>
      <c r="I19" s="40">
        <f t="shared" si="1"/>
        <v>0</v>
      </c>
      <c r="J19" s="9" t="str">
        <f t="shared" si="2"/>
        <v>✅ Paid</v>
      </c>
    </row>
    <row r="20" spans="1:10">
      <c r="A20" s="36">
        <v>45672</v>
      </c>
      <c r="B20" s="38" t="s">
        <v>2</v>
      </c>
      <c r="C20" s="39" t="s">
        <v>28</v>
      </c>
      <c r="D20" s="39" t="s">
        <v>17</v>
      </c>
      <c r="E20" s="1">
        <v>1</v>
      </c>
      <c r="F20" s="40">
        <v>33000</v>
      </c>
      <c r="G20" s="40">
        <f t="shared" si="0"/>
        <v>33000</v>
      </c>
      <c r="H20" s="40"/>
      <c r="I20" s="40">
        <f t="shared" si="1"/>
        <v>33000</v>
      </c>
      <c r="J20" s="9" t="str">
        <f t="shared" si="2"/>
        <v>🚨 URGENT: Patel owes ₹33000</v>
      </c>
    </row>
    <row r="21" spans="1:10">
      <c r="A21" s="36">
        <v>45672</v>
      </c>
      <c r="B21" s="38" t="s">
        <v>2</v>
      </c>
      <c r="C21" s="39" t="s">
        <v>23</v>
      </c>
      <c r="D21" s="39" t="s">
        <v>29</v>
      </c>
      <c r="E21" s="1">
        <v>1</v>
      </c>
      <c r="F21" s="40">
        <v>34000</v>
      </c>
      <c r="G21" s="40">
        <f t="shared" si="0"/>
        <v>34000</v>
      </c>
      <c r="H21" s="40">
        <v>34000</v>
      </c>
      <c r="I21" s="40">
        <f t="shared" si="1"/>
        <v>0</v>
      </c>
      <c r="J21" s="9" t="str">
        <f t="shared" si="2"/>
        <v>✅ Paid</v>
      </c>
    </row>
    <row r="22" spans="1:10">
      <c r="A22" s="36">
        <v>45672</v>
      </c>
      <c r="B22" s="38" t="s">
        <v>4</v>
      </c>
      <c r="C22" s="39" t="s">
        <v>30</v>
      </c>
      <c r="D22" s="39" t="s">
        <v>22</v>
      </c>
      <c r="E22" s="1">
        <v>1</v>
      </c>
      <c r="F22" s="40">
        <v>34000</v>
      </c>
      <c r="G22" s="40">
        <f t="shared" si="0"/>
        <v>34000</v>
      </c>
      <c r="H22" s="40">
        <v>34000</v>
      </c>
      <c r="I22" s="40">
        <f t="shared" si="1"/>
        <v>0</v>
      </c>
      <c r="J22" s="9" t="str">
        <f t="shared" si="2"/>
        <v>✅ Paid</v>
      </c>
    </row>
    <row r="23" spans="1:10">
      <c r="A23" s="36">
        <v>45673</v>
      </c>
      <c r="B23" s="38" t="s">
        <v>2</v>
      </c>
      <c r="C23" s="39" t="s">
        <v>21</v>
      </c>
      <c r="D23" s="39" t="s">
        <v>31</v>
      </c>
      <c r="E23" s="1">
        <v>2</v>
      </c>
      <c r="F23" s="40">
        <v>32000</v>
      </c>
      <c r="G23" s="40">
        <f t="shared" si="0"/>
        <v>64000</v>
      </c>
      <c r="H23" s="40">
        <v>64000</v>
      </c>
      <c r="I23" s="40">
        <f t="shared" si="1"/>
        <v>0</v>
      </c>
      <c r="J23" s="9" t="str">
        <f t="shared" si="2"/>
        <v>✅ Paid</v>
      </c>
    </row>
    <row r="24" spans="1:10">
      <c r="A24" s="36">
        <v>45674</v>
      </c>
      <c r="B24" s="38" t="s">
        <v>2</v>
      </c>
      <c r="C24" s="39" t="s">
        <v>32</v>
      </c>
      <c r="D24" s="39" t="s">
        <v>13</v>
      </c>
      <c r="E24" s="1">
        <v>1</v>
      </c>
      <c r="F24" s="40">
        <v>32500</v>
      </c>
      <c r="G24" s="40">
        <f t="shared" si="0"/>
        <v>32500</v>
      </c>
      <c r="H24" s="40">
        <v>32500</v>
      </c>
      <c r="I24" s="40">
        <f t="shared" si="1"/>
        <v>0</v>
      </c>
      <c r="J24" s="9" t="str">
        <f t="shared" si="2"/>
        <v>✅ Paid</v>
      </c>
    </row>
    <row r="25" spans="1:10">
      <c r="A25" s="36">
        <v>45675</v>
      </c>
      <c r="B25" s="38" t="s">
        <v>2</v>
      </c>
      <c r="C25" s="39" t="s">
        <v>318</v>
      </c>
      <c r="D25" s="39" t="s">
        <v>34</v>
      </c>
      <c r="E25" s="1">
        <v>1</v>
      </c>
      <c r="F25" s="40">
        <v>40000</v>
      </c>
      <c r="G25" s="40">
        <f t="shared" si="0"/>
        <v>40000</v>
      </c>
      <c r="H25" s="40">
        <v>40000</v>
      </c>
      <c r="I25" s="40">
        <f t="shared" si="1"/>
        <v>0</v>
      </c>
      <c r="J25" s="9" t="str">
        <f t="shared" si="2"/>
        <v>✅ Paid</v>
      </c>
    </row>
    <row r="26" spans="1:10">
      <c r="A26" s="36">
        <v>45675</v>
      </c>
      <c r="B26" s="38" t="s">
        <v>4</v>
      </c>
      <c r="C26" s="39" t="s">
        <v>36</v>
      </c>
      <c r="D26" s="39" t="s">
        <v>37</v>
      </c>
      <c r="E26" s="1">
        <v>1</v>
      </c>
      <c r="F26" s="40">
        <v>35000</v>
      </c>
      <c r="G26" s="40">
        <f t="shared" si="0"/>
        <v>35000</v>
      </c>
      <c r="H26" s="40">
        <v>35000</v>
      </c>
      <c r="I26" s="40">
        <f t="shared" si="1"/>
        <v>0</v>
      </c>
      <c r="J26" s="9" t="str">
        <f t="shared" si="2"/>
        <v>✅ Paid</v>
      </c>
    </row>
    <row r="27" spans="1:10">
      <c r="A27" s="36">
        <v>45675</v>
      </c>
      <c r="B27" s="38" t="s">
        <v>2</v>
      </c>
      <c r="C27" s="39" t="s">
        <v>35</v>
      </c>
      <c r="D27" s="39" t="s">
        <v>13</v>
      </c>
      <c r="E27" s="1">
        <v>1</v>
      </c>
      <c r="F27" s="40">
        <v>32500</v>
      </c>
      <c r="G27" s="40">
        <f t="shared" si="0"/>
        <v>32500</v>
      </c>
      <c r="H27" s="40">
        <v>32500</v>
      </c>
      <c r="I27" s="40">
        <f t="shared" si="1"/>
        <v>0</v>
      </c>
      <c r="J27" s="9" t="str">
        <f t="shared" si="2"/>
        <v>✅ Paid</v>
      </c>
    </row>
    <row r="28" spans="1:10">
      <c r="A28" s="36">
        <v>45675</v>
      </c>
      <c r="B28" s="38" t="s">
        <v>4</v>
      </c>
      <c r="C28" s="39" t="s">
        <v>30</v>
      </c>
      <c r="D28" s="39" t="s">
        <v>38</v>
      </c>
      <c r="E28" s="1">
        <v>1</v>
      </c>
      <c r="F28" s="40">
        <v>33000</v>
      </c>
      <c r="G28" s="40">
        <f t="shared" si="0"/>
        <v>33000</v>
      </c>
      <c r="H28" s="40">
        <v>33000</v>
      </c>
      <c r="I28" s="40">
        <f t="shared" si="1"/>
        <v>0</v>
      </c>
      <c r="J28" s="9" t="str">
        <f t="shared" si="2"/>
        <v>✅ Paid</v>
      </c>
    </row>
    <row r="29" spans="1:10">
      <c r="A29" s="36">
        <v>45676</v>
      </c>
      <c r="B29" s="38" t="s">
        <v>2</v>
      </c>
      <c r="C29" s="39" t="s">
        <v>41</v>
      </c>
      <c r="D29" s="39" t="s">
        <v>8</v>
      </c>
      <c r="E29" s="1">
        <v>1</v>
      </c>
      <c r="F29" s="40">
        <v>35000</v>
      </c>
      <c r="G29" s="40">
        <f t="shared" si="0"/>
        <v>35000</v>
      </c>
      <c r="H29" s="40">
        <v>35000</v>
      </c>
      <c r="I29" s="40">
        <f t="shared" si="1"/>
        <v>0</v>
      </c>
      <c r="J29" s="9" t="str">
        <f t="shared" si="2"/>
        <v>✅ Paid</v>
      </c>
    </row>
    <row r="30" spans="1:10">
      <c r="A30" s="36">
        <v>45676</v>
      </c>
      <c r="B30" s="38" t="s">
        <v>4</v>
      </c>
      <c r="C30" s="39" t="s">
        <v>41</v>
      </c>
      <c r="D30" s="39" t="s">
        <v>8</v>
      </c>
      <c r="E30" s="1">
        <v>1</v>
      </c>
      <c r="F30" s="40">
        <v>35000</v>
      </c>
      <c r="G30" s="40">
        <f t="shared" si="0"/>
        <v>35000</v>
      </c>
      <c r="H30" s="40">
        <v>35000</v>
      </c>
      <c r="I30" s="40">
        <f t="shared" si="1"/>
        <v>0</v>
      </c>
      <c r="J30" s="9" t="str">
        <f t="shared" si="2"/>
        <v>✅ Paid</v>
      </c>
    </row>
    <row r="31" spans="1:10">
      <c r="A31" s="36">
        <v>45676</v>
      </c>
      <c r="B31" s="38" t="s">
        <v>2</v>
      </c>
      <c r="C31" s="39" t="s">
        <v>39</v>
      </c>
      <c r="D31" s="39" t="s">
        <v>40</v>
      </c>
      <c r="E31" s="1">
        <v>1</v>
      </c>
      <c r="F31" s="40">
        <v>32000</v>
      </c>
      <c r="G31" s="40">
        <f t="shared" si="0"/>
        <v>32000</v>
      </c>
      <c r="H31" s="40">
        <v>32000</v>
      </c>
      <c r="I31" s="40">
        <f t="shared" si="1"/>
        <v>0</v>
      </c>
      <c r="J31" s="9" t="str">
        <f t="shared" si="2"/>
        <v>✅ Paid</v>
      </c>
    </row>
    <row r="32" spans="1:10">
      <c r="A32" s="36">
        <v>45678</v>
      </c>
      <c r="B32" s="38" t="s">
        <v>2</v>
      </c>
      <c r="C32" s="39" t="s">
        <v>199</v>
      </c>
      <c r="D32" s="39" t="s">
        <v>6</v>
      </c>
      <c r="E32" s="1">
        <v>1</v>
      </c>
      <c r="F32" s="40">
        <v>32000</v>
      </c>
      <c r="G32" s="40">
        <f t="shared" si="0"/>
        <v>32000</v>
      </c>
      <c r="H32" s="40">
        <v>32000</v>
      </c>
      <c r="I32" s="40">
        <f t="shared" si="1"/>
        <v>0</v>
      </c>
      <c r="J32" s="9" t="str">
        <f t="shared" si="2"/>
        <v>✅ Paid</v>
      </c>
    </row>
    <row r="33" spans="1:10">
      <c r="A33" s="36">
        <v>45678</v>
      </c>
      <c r="B33" s="38" t="s">
        <v>4</v>
      </c>
      <c r="C33" s="39" t="s">
        <v>43</v>
      </c>
      <c r="D33" s="39" t="s">
        <v>44</v>
      </c>
      <c r="E33" s="1">
        <v>1</v>
      </c>
      <c r="F33" s="40">
        <v>30000</v>
      </c>
      <c r="G33" s="40">
        <f t="shared" si="0"/>
        <v>30000</v>
      </c>
      <c r="H33" s="40">
        <v>30000</v>
      </c>
      <c r="I33" s="40">
        <f t="shared" si="1"/>
        <v>0</v>
      </c>
      <c r="J33" s="9" t="str">
        <f t="shared" si="2"/>
        <v>✅ Paid</v>
      </c>
    </row>
    <row r="34" spans="1:10">
      <c r="A34" s="36">
        <v>45678</v>
      </c>
      <c r="B34" s="38" t="s">
        <v>2</v>
      </c>
      <c r="C34" s="39" t="s">
        <v>30</v>
      </c>
      <c r="D34" s="39" t="s">
        <v>42</v>
      </c>
      <c r="E34" s="1">
        <v>1</v>
      </c>
      <c r="F34" s="40">
        <v>33000</v>
      </c>
      <c r="G34" s="40">
        <f t="shared" si="0"/>
        <v>33000</v>
      </c>
      <c r="H34" s="40">
        <v>33000</v>
      </c>
      <c r="I34" s="40">
        <f t="shared" si="1"/>
        <v>0</v>
      </c>
      <c r="J34" s="9" t="str">
        <f t="shared" si="2"/>
        <v>✅ Paid</v>
      </c>
    </row>
    <row r="35" spans="1:10">
      <c r="A35" s="36">
        <v>45680</v>
      </c>
      <c r="B35" s="38" t="s">
        <v>45</v>
      </c>
      <c r="C35" s="39" t="s">
        <v>46</v>
      </c>
      <c r="D35" s="39" t="s">
        <v>47</v>
      </c>
      <c r="E35" s="1">
        <v>1</v>
      </c>
      <c r="F35" s="40">
        <v>35000</v>
      </c>
      <c r="G35" s="40">
        <f t="shared" si="0"/>
        <v>35000</v>
      </c>
      <c r="H35" s="40">
        <v>35000</v>
      </c>
      <c r="I35" s="40">
        <f t="shared" si="1"/>
        <v>0</v>
      </c>
      <c r="J35" s="9" t="str">
        <f t="shared" si="2"/>
        <v>✅ Paid</v>
      </c>
    </row>
    <row r="36" spans="1:10">
      <c r="A36" s="36">
        <v>45681</v>
      </c>
      <c r="B36" s="38" t="s">
        <v>48</v>
      </c>
      <c r="C36" s="39" t="s">
        <v>49</v>
      </c>
      <c r="D36" s="39" t="s">
        <v>6</v>
      </c>
      <c r="E36" s="1">
        <v>1</v>
      </c>
      <c r="F36" s="40">
        <v>32000</v>
      </c>
      <c r="G36" s="40">
        <f t="shared" si="0"/>
        <v>32000</v>
      </c>
      <c r="H36" s="40"/>
      <c r="I36" s="40">
        <f t="shared" ref="I36:I52" si="3">G36-H36</f>
        <v>32000</v>
      </c>
      <c r="J36" s="9" t="str">
        <f t="shared" ref="J36:J52" si="4">IF(I36&gt;10000,"🚨 URGENT: "&amp;C36&amp;" owes ₹"&amp;I36,IF(I36&gt;5000,"⚠️ WARNING: "&amp;C36&amp;" - ₹"&amp;I36&amp;" due",IF(I36&gt;0,"ℹ️ "&amp;C36&amp;" - ₹"&amp;I36&amp;" pending","✅ Paid")))</f>
        <v>🚨 URGENT:  Abhay Adgurwar owes ₹32000</v>
      </c>
    </row>
    <row r="37" spans="1:10">
      <c r="A37" s="36">
        <v>45681</v>
      </c>
      <c r="B37" s="38" t="s">
        <v>2</v>
      </c>
      <c r="C37" s="39" t="s">
        <v>50</v>
      </c>
      <c r="D37" s="39" t="s">
        <v>13</v>
      </c>
      <c r="E37" s="1">
        <v>1</v>
      </c>
      <c r="F37" s="40">
        <v>30000</v>
      </c>
      <c r="G37" s="40">
        <f t="shared" si="0"/>
        <v>30000</v>
      </c>
      <c r="H37" s="40">
        <v>30000</v>
      </c>
      <c r="I37" s="40">
        <f t="shared" si="3"/>
        <v>0</v>
      </c>
      <c r="J37" s="9" t="str">
        <f t="shared" si="4"/>
        <v>✅ Paid</v>
      </c>
    </row>
    <row r="38" spans="1:10">
      <c r="A38" s="36">
        <v>45681</v>
      </c>
      <c r="B38" s="38" t="s">
        <v>2</v>
      </c>
      <c r="C38" s="39" t="s">
        <v>18</v>
      </c>
      <c r="D38" s="39" t="s">
        <v>19</v>
      </c>
      <c r="E38" s="1">
        <v>1</v>
      </c>
      <c r="F38" s="40">
        <v>30000</v>
      </c>
      <c r="G38" s="40">
        <f t="shared" si="0"/>
        <v>30000</v>
      </c>
      <c r="H38" s="40">
        <v>30000</v>
      </c>
      <c r="I38" s="40">
        <f t="shared" si="3"/>
        <v>0</v>
      </c>
      <c r="J38" s="9" t="str">
        <f t="shared" si="4"/>
        <v>✅ Paid</v>
      </c>
    </row>
    <row r="39" spans="1:10">
      <c r="A39" s="36">
        <v>45682</v>
      </c>
      <c r="B39" s="38" t="s">
        <v>2</v>
      </c>
      <c r="C39" s="39" t="s">
        <v>199</v>
      </c>
      <c r="D39" s="39" t="s">
        <v>6</v>
      </c>
      <c r="E39" s="1">
        <v>1</v>
      </c>
      <c r="F39" s="40">
        <v>32000</v>
      </c>
      <c r="G39" s="40">
        <f t="shared" si="0"/>
        <v>32000</v>
      </c>
      <c r="H39" s="40">
        <v>32000</v>
      </c>
      <c r="I39" s="40">
        <f t="shared" si="3"/>
        <v>0</v>
      </c>
      <c r="J39" s="9" t="str">
        <f t="shared" si="4"/>
        <v>✅ Paid</v>
      </c>
    </row>
    <row r="40" spans="1:10">
      <c r="A40" s="36">
        <v>45682</v>
      </c>
      <c r="B40" s="38" t="s">
        <v>4</v>
      </c>
      <c r="C40" s="39" t="s">
        <v>84</v>
      </c>
      <c r="D40" s="39" t="s">
        <v>11</v>
      </c>
      <c r="E40" s="1">
        <v>1</v>
      </c>
      <c r="F40" s="40">
        <v>35000</v>
      </c>
      <c r="G40" s="40">
        <f t="shared" si="0"/>
        <v>35000</v>
      </c>
      <c r="H40" s="40"/>
      <c r="I40" s="40">
        <f t="shared" si="3"/>
        <v>35000</v>
      </c>
      <c r="J40" s="9" t="str">
        <f t="shared" si="4"/>
        <v>🚨 URGENT: Saurabh owes ₹35000</v>
      </c>
    </row>
    <row r="41" spans="1:10">
      <c r="A41" s="36">
        <v>45683</v>
      </c>
      <c r="B41" s="38" t="s">
        <v>45</v>
      </c>
      <c r="C41" s="39" t="s">
        <v>51</v>
      </c>
      <c r="D41" s="39" t="s">
        <v>17</v>
      </c>
      <c r="E41" s="1">
        <v>1</v>
      </c>
      <c r="F41" s="40">
        <v>33000</v>
      </c>
      <c r="G41" s="40">
        <f t="shared" si="0"/>
        <v>33000</v>
      </c>
      <c r="H41" s="40">
        <v>33000</v>
      </c>
      <c r="I41" s="40">
        <f t="shared" si="3"/>
        <v>0</v>
      </c>
      <c r="J41" s="9" t="str">
        <f t="shared" si="4"/>
        <v>✅ Paid</v>
      </c>
    </row>
    <row r="42" spans="1:10">
      <c r="A42" s="36">
        <v>45684</v>
      </c>
      <c r="B42" s="38" t="s">
        <v>4</v>
      </c>
      <c r="C42" s="39" t="s">
        <v>23</v>
      </c>
      <c r="D42" s="39" t="s">
        <v>10</v>
      </c>
      <c r="E42" s="1">
        <v>1</v>
      </c>
      <c r="F42" s="40">
        <v>34000</v>
      </c>
      <c r="G42" s="40">
        <f t="shared" si="0"/>
        <v>34000</v>
      </c>
      <c r="H42" s="40">
        <v>34000</v>
      </c>
      <c r="I42" s="40">
        <f t="shared" si="3"/>
        <v>0</v>
      </c>
      <c r="J42" s="9" t="str">
        <f t="shared" si="4"/>
        <v>✅ Paid</v>
      </c>
    </row>
    <row r="43" spans="1:10">
      <c r="A43" s="36">
        <v>45685</v>
      </c>
      <c r="B43" s="38" t="s">
        <v>4</v>
      </c>
      <c r="C43" s="39" t="s">
        <v>199</v>
      </c>
      <c r="D43" s="39" t="s">
        <v>52</v>
      </c>
      <c r="E43" s="1">
        <v>1</v>
      </c>
      <c r="F43" s="40">
        <v>32000</v>
      </c>
      <c r="G43" s="40">
        <f t="shared" si="0"/>
        <v>32000</v>
      </c>
      <c r="H43" s="40">
        <v>32000</v>
      </c>
      <c r="I43" s="40">
        <f t="shared" si="3"/>
        <v>0</v>
      </c>
      <c r="J43" s="9" t="str">
        <f t="shared" si="4"/>
        <v>✅ Paid</v>
      </c>
    </row>
    <row r="44" spans="1:10">
      <c r="A44" s="36">
        <v>45685</v>
      </c>
      <c r="B44" s="38" t="s">
        <v>4</v>
      </c>
      <c r="C44" s="39" t="s">
        <v>315</v>
      </c>
      <c r="D44" s="39" t="s">
        <v>17</v>
      </c>
      <c r="E44" s="1">
        <v>1</v>
      </c>
      <c r="F44" s="40">
        <v>32000</v>
      </c>
      <c r="G44" s="40">
        <f t="shared" si="0"/>
        <v>32000</v>
      </c>
      <c r="H44" s="40">
        <v>32000</v>
      </c>
      <c r="I44" s="40">
        <f t="shared" si="3"/>
        <v>0</v>
      </c>
      <c r="J44" s="9" t="str">
        <f t="shared" si="4"/>
        <v>✅ Paid</v>
      </c>
    </row>
    <row r="45" spans="1:10">
      <c r="A45" s="36">
        <v>45685</v>
      </c>
      <c r="B45" s="38" t="s">
        <v>2</v>
      </c>
      <c r="C45" s="39" t="s">
        <v>53</v>
      </c>
      <c r="D45" s="39" t="s">
        <v>54</v>
      </c>
      <c r="E45" s="1">
        <v>1</v>
      </c>
      <c r="F45" s="40">
        <v>32000</v>
      </c>
      <c r="G45" s="40">
        <f t="shared" si="0"/>
        <v>32000</v>
      </c>
      <c r="H45" s="40">
        <v>32000</v>
      </c>
      <c r="I45" s="40">
        <f t="shared" si="3"/>
        <v>0</v>
      </c>
      <c r="J45" s="9" t="str">
        <f t="shared" si="4"/>
        <v>✅ Paid</v>
      </c>
    </row>
    <row r="46" spans="1:10">
      <c r="A46" s="36">
        <v>45685</v>
      </c>
      <c r="B46" s="38" t="s">
        <v>2</v>
      </c>
      <c r="C46" s="39" t="s">
        <v>23</v>
      </c>
      <c r="D46" s="39" t="s">
        <v>13</v>
      </c>
      <c r="E46" s="1">
        <v>1</v>
      </c>
      <c r="F46" s="40">
        <v>32000</v>
      </c>
      <c r="G46" s="40">
        <v>32000</v>
      </c>
      <c r="H46" s="40">
        <v>32000</v>
      </c>
      <c r="I46" s="40">
        <f t="shared" si="3"/>
        <v>0</v>
      </c>
      <c r="J46" s="9" t="str">
        <f t="shared" si="4"/>
        <v>✅ Paid</v>
      </c>
    </row>
    <row r="47" spans="1:10">
      <c r="A47" s="36">
        <v>45686</v>
      </c>
      <c r="B47" s="38" t="s">
        <v>4</v>
      </c>
      <c r="C47" s="39" t="s">
        <v>318</v>
      </c>
      <c r="D47" s="39" t="s">
        <v>34</v>
      </c>
      <c r="E47" s="1">
        <v>1</v>
      </c>
      <c r="F47" s="40">
        <v>40000</v>
      </c>
      <c r="G47" s="40">
        <f t="shared" ref="G47:G52" si="5">F47*E47</f>
        <v>40000</v>
      </c>
      <c r="H47" s="40">
        <v>40000</v>
      </c>
      <c r="I47" s="40">
        <f t="shared" si="3"/>
        <v>0</v>
      </c>
      <c r="J47" s="9" t="str">
        <f t="shared" si="4"/>
        <v>✅ Paid</v>
      </c>
    </row>
    <row r="48" spans="1:10">
      <c r="A48" s="36">
        <v>45687</v>
      </c>
      <c r="B48" s="38" t="s">
        <v>58</v>
      </c>
      <c r="C48" s="39" t="s">
        <v>59</v>
      </c>
      <c r="D48" s="39" t="s">
        <v>13</v>
      </c>
      <c r="E48" s="1">
        <v>1</v>
      </c>
      <c r="F48" s="40">
        <v>33000</v>
      </c>
      <c r="G48" s="40">
        <f t="shared" si="5"/>
        <v>33000</v>
      </c>
      <c r="H48" s="40">
        <v>33000</v>
      </c>
      <c r="I48" s="40">
        <f t="shared" si="3"/>
        <v>0</v>
      </c>
      <c r="J48" s="9" t="str">
        <f t="shared" si="4"/>
        <v>✅ Paid</v>
      </c>
    </row>
    <row r="49" spans="1:10">
      <c r="A49" s="36">
        <v>45687</v>
      </c>
      <c r="B49" s="38" t="s">
        <v>55</v>
      </c>
      <c r="C49" s="39" t="s">
        <v>43</v>
      </c>
      <c r="D49" s="39" t="s">
        <v>56</v>
      </c>
      <c r="E49" s="1">
        <v>2</v>
      </c>
      <c r="F49" s="40">
        <v>31000</v>
      </c>
      <c r="G49" s="40">
        <f t="shared" si="5"/>
        <v>62000</v>
      </c>
      <c r="H49" s="40">
        <v>62000</v>
      </c>
      <c r="I49" s="40">
        <f t="shared" si="3"/>
        <v>0</v>
      </c>
      <c r="J49" s="9" t="str">
        <f t="shared" si="4"/>
        <v>✅ Paid</v>
      </c>
    </row>
    <row r="50" spans="1:10">
      <c r="A50" s="36">
        <v>45687</v>
      </c>
      <c r="B50" s="38" t="s">
        <v>4</v>
      </c>
      <c r="C50" s="39" t="s">
        <v>57</v>
      </c>
      <c r="D50" s="39" t="s">
        <v>17</v>
      </c>
      <c r="E50" s="1">
        <v>1</v>
      </c>
      <c r="F50" s="40">
        <v>30000</v>
      </c>
      <c r="G50" s="40">
        <f t="shared" si="5"/>
        <v>30000</v>
      </c>
      <c r="H50" s="40">
        <v>30000</v>
      </c>
      <c r="I50" s="40">
        <f t="shared" si="3"/>
        <v>0</v>
      </c>
      <c r="J50" s="9" t="str">
        <f t="shared" si="4"/>
        <v>✅ Paid</v>
      </c>
    </row>
    <row r="51" spans="1:10">
      <c r="A51" s="36">
        <v>45688</v>
      </c>
      <c r="B51" s="38" t="s">
        <v>60</v>
      </c>
      <c r="C51" s="39" t="s">
        <v>21</v>
      </c>
      <c r="D51" s="39" t="s">
        <v>22</v>
      </c>
      <c r="E51" s="1">
        <v>2</v>
      </c>
      <c r="F51" s="40">
        <v>32000</v>
      </c>
      <c r="G51" s="40">
        <f t="shared" si="5"/>
        <v>64000</v>
      </c>
      <c r="H51" s="40">
        <v>64000</v>
      </c>
      <c r="I51" s="40">
        <f t="shared" si="3"/>
        <v>0</v>
      </c>
      <c r="J51" s="9" t="str">
        <f t="shared" si="4"/>
        <v>✅ Paid</v>
      </c>
    </row>
    <row r="52" spans="1:10">
      <c r="A52" s="36">
        <v>45688</v>
      </c>
      <c r="B52" s="38" t="s">
        <v>58</v>
      </c>
      <c r="C52" s="39" t="s">
        <v>43</v>
      </c>
      <c r="D52" s="39" t="s">
        <v>56</v>
      </c>
      <c r="E52" s="1">
        <v>2</v>
      </c>
      <c r="F52" s="40">
        <v>31000</v>
      </c>
      <c r="G52" s="40">
        <f t="shared" si="5"/>
        <v>62000</v>
      </c>
      <c r="H52" s="40">
        <v>62000</v>
      </c>
      <c r="I52" s="40">
        <f t="shared" si="3"/>
        <v>0</v>
      </c>
      <c r="J52" s="9" t="str">
        <f t="shared" si="4"/>
        <v>✅ Paid</v>
      </c>
    </row>
    <row r="53" spans="1:10">
      <c r="A53" s="57"/>
      <c r="B53" s="55"/>
      <c r="C53" s="55"/>
      <c r="D53" s="55"/>
      <c r="E53" s="55"/>
      <c r="F53" s="60"/>
      <c r="G53" s="60"/>
      <c r="H53" s="60"/>
      <c r="I53" s="60"/>
      <c r="J53" s="9"/>
    </row>
    <row r="54" spans="1:10">
      <c r="A54" s="36"/>
      <c r="B54" s="38"/>
      <c r="C54" s="39"/>
      <c r="D54" s="39"/>
      <c r="E54" s="1"/>
      <c r="F54" s="40"/>
      <c r="G54" s="40"/>
      <c r="H54" s="40"/>
      <c r="I54" s="40"/>
      <c r="J54" s="9"/>
    </row>
    <row r="55" spans="1:10">
      <c r="A55" s="36"/>
      <c r="B55" s="38"/>
      <c r="C55" s="39"/>
      <c r="D55" s="39"/>
      <c r="E55" s="1"/>
      <c r="F55" s="40"/>
      <c r="G55" s="40"/>
      <c r="H55" s="40"/>
      <c r="I55" s="40"/>
      <c r="J55" s="9"/>
    </row>
    <row r="56" spans="1:10">
      <c r="A56" s="36"/>
      <c r="B56" s="38"/>
      <c r="C56" s="39"/>
      <c r="D56" s="39"/>
      <c r="E56" s="1"/>
      <c r="F56" s="40"/>
      <c r="G56" s="40"/>
      <c r="H56" s="40"/>
      <c r="I56" s="40"/>
      <c r="J56" s="9"/>
    </row>
    <row r="57" spans="1:10">
      <c r="A57" s="36"/>
      <c r="B57" s="38"/>
      <c r="C57" s="39"/>
      <c r="D57" s="39"/>
      <c r="E57" s="1"/>
      <c r="F57" s="40"/>
      <c r="G57" s="40"/>
      <c r="H57" s="40"/>
      <c r="I57" s="40"/>
      <c r="J57" s="9"/>
    </row>
    <row r="58" spans="1:10">
      <c r="A58" s="36"/>
      <c r="B58" s="38"/>
      <c r="C58" s="39"/>
      <c r="D58" s="39"/>
      <c r="E58" s="1"/>
      <c r="F58" s="40"/>
      <c r="G58" s="40"/>
      <c r="H58" s="40"/>
      <c r="I58" s="40"/>
      <c r="J58" s="9"/>
    </row>
    <row r="59" spans="1:10">
      <c r="A59" s="36"/>
      <c r="B59" s="38"/>
      <c r="C59" s="39"/>
      <c r="D59" s="39"/>
      <c r="E59" s="1"/>
      <c r="F59" s="40"/>
      <c r="G59" s="40"/>
      <c r="H59" s="40"/>
      <c r="I59" s="40"/>
      <c r="J59" s="9"/>
    </row>
    <row r="60" spans="1:10">
      <c r="A60" s="36"/>
      <c r="B60" s="38"/>
      <c r="C60" s="39"/>
      <c r="D60" s="39"/>
      <c r="E60" s="1"/>
      <c r="F60" s="40"/>
      <c r="G60" s="40"/>
      <c r="H60" s="40"/>
      <c r="I60" s="40"/>
      <c r="J60" s="9"/>
    </row>
    <row r="61" spans="1:10">
      <c r="A61" s="36"/>
      <c r="B61" s="38"/>
      <c r="C61" s="39"/>
      <c r="D61" s="39"/>
      <c r="E61" s="1"/>
      <c r="F61" s="40"/>
      <c r="G61" s="40"/>
      <c r="H61" s="40"/>
      <c r="I61" s="40"/>
      <c r="J61" s="9"/>
    </row>
    <row r="62" spans="1:10">
      <c r="A62" s="36"/>
      <c r="B62" s="38"/>
      <c r="C62" s="39"/>
      <c r="D62" s="39"/>
      <c r="E62" s="1"/>
      <c r="F62" s="40"/>
      <c r="G62" s="40"/>
      <c r="H62" s="40"/>
      <c r="I62" s="40"/>
      <c r="J62" s="9"/>
    </row>
    <row r="63" spans="1:10">
      <c r="A63" s="36"/>
      <c r="B63" s="38"/>
      <c r="C63" s="39"/>
      <c r="D63" s="39"/>
      <c r="E63" s="1"/>
      <c r="F63" s="40"/>
      <c r="G63" s="40"/>
      <c r="H63" s="40"/>
      <c r="I63" s="40"/>
      <c r="J63" s="9"/>
    </row>
    <row r="64" spans="1:10">
      <c r="A64" s="36"/>
      <c r="B64" s="38"/>
      <c r="C64" s="39"/>
      <c r="D64" s="39"/>
      <c r="E64" s="1"/>
      <c r="F64" s="40"/>
      <c r="G64" s="40"/>
      <c r="H64" s="40"/>
      <c r="I64" s="40"/>
      <c r="J64" s="9"/>
    </row>
    <row r="65" spans="1:10">
      <c r="A65" s="36"/>
      <c r="B65" s="38"/>
      <c r="C65" s="39"/>
      <c r="D65" s="39"/>
      <c r="E65" s="1"/>
      <c r="F65" s="40"/>
      <c r="G65" s="40"/>
      <c r="H65" s="40"/>
      <c r="I65" s="40"/>
      <c r="J65" s="9"/>
    </row>
    <row r="66" spans="1:10">
      <c r="A66" s="36"/>
      <c r="B66" s="38"/>
      <c r="C66" s="39"/>
      <c r="D66" s="39"/>
      <c r="E66" s="1"/>
      <c r="F66" s="40"/>
      <c r="G66" s="40"/>
      <c r="H66" s="40"/>
      <c r="I66" s="40"/>
      <c r="J66" s="9"/>
    </row>
    <row r="67" spans="1:10">
      <c r="A67" s="36"/>
      <c r="B67" s="38"/>
      <c r="C67" s="39"/>
      <c r="D67" s="39"/>
      <c r="E67" s="1"/>
      <c r="F67" s="40"/>
      <c r="G67" s="40"/>
      <c r="H67" s="40"/>
      <c r="I67" s="40"/>
      <c r="J67" s="9"/>
    </row>
    <row r="68" spans="1:10">
      <c r="A68" s="36"/>
      <c r="B68" s="38"/>
      <c r="C68" s="39"/>
      <c r="D68" s="39"/>
      <c r="E68" s="1"/>
      <c r="F68" s="40"/>
      <c r="G68" s="40"/>
      <c r="H68" s="40"/>
      <c r="I68" s="40"/>
      <c r="J68" s="9"/>
    </row>
    <row r="69" spans="1:10">
      <c r="A69" s="36"/>
      <c r="B69" s="38"/>
      <c r="C69" s="39"/>
      <c r="D69" s="39"/>
      <c r="E69" s="1"/>
      <c r="F69" s="40"/>
      <c r="G69" s="40"/>
      <c r="H69" s="40"/>
      <c r="I69" s="40"/>
      <c r="J69" s="9" t="str">
        <f>IF(I69&gt;10000,"🚨 URGENT: "&amp;C69&amp;" owes ₹"&amp;I69,IF(I69&gt;5000,"⚠️ WARNING: "&amp;C69&amp;" - ₹"&amp;I69&amp;" due",IF(I69&gt;0,"ℹ️ "&amp;C69&amp;" - ₹"&amp;I69&amp;" pending","✅ Paid")))</f>
        <v>✅ Paid</v>
      </c>
    </row>
    <row r="70" spans="1:10">
      <c r="A70" s="36"/>
      <c r="B70" s="38"/>
      <c r="C70" s="39"/>
      <c r="D70" s="39"/>
      <c r="E70" s="1"/>
      <c r="F70" s="40"/>
      <c r="G70" s="40"/>
      <c r="H70" s="40"/>
      <c r="I70" s="40"/>
      <c r="J70" s="9"/>
    </row>
    <row r="71" spans="1:10">
      <c r="A71" s="36"/>
      <c r="B71" s="38"/>
      <c r="C71" s="39"/>
      <c r="D71" s="39"/>
      <c r="E71" s="1"/>
      <c r="F71" s="40"/>
      <c r="G71" s="40"/>
      <c r="H71" s="40"/>
      <c r="I71" s="40"/>
      <c r="J71" s="9"/>
    </row>
    <row r="72" spans="1:10">
      <c r="A72" s="36"/>
      <c r="B72" s="38"/>
      <c r="C72" s="39"/>
      <c r="D72" s="39"/>
      <c r="E72" s="1"/>
      <c r="F72" s="40"/>
      <c r="G72" s="40"/>
      <c r="H72" s="40"/>
      <c r="I72" s="40"/>
      <c r="J72" s="9"/>
    </row>
    <row r="73" spans="1:10">
      <c r="A73" s="36"/>
      <c r="B73" s="38"/>
      <c r="C73" s="39"/>
      <c r="D73" s="39"/>
      <c r="E73" s="1"/>
      <c r="F73" s="40"/>
      <c r="G73" s="40"/>
      <c r="H73" s="40"/>
      <c r="I73" s="40"/>
      <c r="J73" s="9"/>
    </row>
    <row r="74" spans="1:10">
      <c r="A74" s="36"/>
      <c r="B74" s="38"/>
      <c r="C74" s="39"/>
      <c r="D74" s="39"/>
      <c r="E74" s="1"/>
      <c r="F74" s="40"/>
      <c r="G74" s="40"/>
      <c r="H74" s="40"/>
      <c r="I74" s="40"/>
      <c r="J74" s="9"/>
    </row>
    <row r="75" spans="1:10">
      <c r="A75" s="36"/>
      <c r="B75" s="38"/>
      <c r="C75" s="39"/>
      <c r="D75" s="39"/>
      <c r="E75" s="1"/>
      <c r="F75" s="40"/>
      <c r="G75" s="40"/>
      <c r="H75" s="40"/>
      <c r="I75" s="40"/>
      <c r="J75" s="9"/>
    </row>
    <row r="76" spans="1:10">
      <c r="A76" s="41"/>
      <c r="B76" s="42"/>
      <c r="C76" s="43"/>
      <c r="D76" s="43"/>
      <c r="E76" s="43"/>
      <c r="F76" s="44"/>
      <c r="G76" s="44"/>
      <c r="H76" s="44"/>
      <c r="I76" s="44"/>
    </row>
    <row r="77" spans="1:10">
      <c r="A77" s="45"/>
      <c r="B77" s="46"/>
      <c r="C77" s="46"/>
      <c r="D77" s="46"/>
      <c r="E77" s="47"/>
      <c r="F77" s="48"/>
      <c r="G77" s="48"/>
      <c r="H77" s="48"/>
      <c r="I77" s="48"/>
    </row>
    <row r="78" spans="1:10" ht="21">
      <c r="A78"/>
      <c r="D78" s="13"/>
      <c r="E78" s="14" t="s">
        <v>78</v>
      </c>
      <c r="F78" s="15"/>
      <c r="G78" s="16" t="s">
        <v>289</v>
      </c>
      <c r="H78" s="16" t="s">
        <v>291</v>
      </c>
      <c r="I78" s="16" t="s">
        <v>61</v>
      </c>
    </row>
    <row r="79" spans="1:10" ht="24" customHeight="1">
      <c r="D79" s="17" t="s">
        <v>292</v>
      </c>
      <c r="E79" s="18">
        <f>SUM(E4:E52)</f>
        <v>54</v>
      </c>
      <c r="F79" s="19"/>
      <c r="G79" s="20">
        <f>SUM(G4:G77)</f>
        <v>1800000</v>
      </c>
      <c r="H79" s="20">
        <f>SUM(H4:H77)</f>
        <v>1685000</v>
      </c>
      <c r="I79" s="20">
        <f>SUM(I4:I77)</f>
        <v>115000</v>
      </c>
    </row>
    <row r="80" spans="1:10" ht="45" customHeight="1">
      <c r="A80" s="66" t="s">
        <v>293</v>
      </c>
      <c r="B80" s="66"/>
      <c r="C80" s="66"/>
      <c r="D80" s="21"/>
      <c r="E80" s="21"/>
      <c r="F80" s="21"/>
      <c r="G80" s="21"/>
      <c r="H80" s="21"/>
      <c r="I80" s="21"/>
    </row>
    <row r="86" customFormat="1"/>
    <row r="87" customFormat="1"/>
    <row r="88" customFormat="1"/>
    <row r="89" customFormat="1"/>
    <row r="90" customFormat="1"/>
  </sheetData>
  <mergeCells count="3">
    <mergeCell ref="A1:J1"/>
    <mergeCell ref="A2:J2"/>
    <mergeCell ref="A80:C80"/>
  </mergeCells>
  <conditionalFormatting sqref="J4:J1048576">
    <cfRule type="containsText" dxfId="87" priority="1" operator="containsText" text="✅">
      <formula>NOT(ISERROR(SEARCH("✅",J4)))</formula>
    </cfRule>
    <cfRule type="containsText" dxfId="86" priority="2" operator="containsText" text="ℹ️">
      <formula>NOT(ISERROR(SEARCH("ℹ️",J4)))</formula>
    </cfRule>
    <cfRule type="containsText" dxfId="85" priority="3" operator="containsText" text="⚠️">
      <formula>NOT(ISERROR(SEARCH("⚠️",J4)))</formula>
    </cfRule>
    <cfRule type="containsText" dxfId="84" priority="4" operator="containsText" text="🚨">
      <formula>NOT(ISERROR(SEARCH("🚨",J4)))</formula>
    </cfRule>
  </conditionalFormatting>
  <printOptions horizontalCentered="1"/>
  <pageMargins left="0" right="0" top="1.5" bottom="1" header="0" footer="0"/>
  <pageSetup fitToHeight="2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2C8F-769B-4469-8778-BB901A24C436}">
  <sheetPr codeName="Sheet2"/>
  <dimension ref="A1:J62"/>
  <sheetViews>
    <sheetView zoomScale="110" zoomScaleNormal="85" workbookViewId="0">
      <pane ySplit="3" topLeftCell="A26" activePane="bottomLeft" state="frozen"/>
      <selection pane="bottomLeft" activeCell="C4" sqref="C4:C35"/>
    </sheetView>
  </sheetViews>
  <sheetFormatPr baseColWidth="10" defaultColWidth="11.5" defaultRowHeight="15"/>
  <cols>
    <col min="1" max="1" width="22.83203125" style="21" bestFit="1" customWidth="1"/>
    <col min="2" max="2" width="14.33203125" bestFit="1" customWidth="1"/>
    <col min="3" max="3" width="27.1640625" bestFit="1" customWidth="1"/>
    <col min="4" max="4" width="25.6640625" bestFit="1" customWidth="1"/>
    <col min="5" max="5" width="14.6640625" bestFit="1" customWidth="1"/>
    <col min="6" max="6" width="11.6640625" style="22" bestFit="1" customWidth="1"/>
    <col min="7" max="7" width="19.5" style="22" bestFit="1" customWidth="1"/>
    <col min="8" max="8" width="17.5" style="22" bestFit="1" customWidth="1"/>
    <col min="9" max="9" width="18.33203125" style="22" bestFit="1" customWidth="1"/>
    <col min="10" max="10" width="38.6640625" bestFit="1" customWidth="1"/>
  </cols>
  <sheetData>
    <row r="1" spans="1:10" ht="37" customHeight="1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296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311</v>
      </c>
    </row>
    <row r="4" spans="1:10">
      <c r="A4" s="56">
        <v>45689</v>
      </c>
      <c r="B4" s="61" t="s">
        <v>4</v>
      </c>
      <c r="C4" s="61" t="s">
        <v>43</v>
      </c>
      <c r="D4" s="61" t="s">
        <v>56</v>
      </c>
      <c r="E4" s="62">
        <v>2</v>
      </c>
      <c r="F4" s="63">
        <v>31000</v>
      </c>
      <c r="G4" s="63">
        <f t="shared" ref="G4:G35" si="0">F4*E4</f>
        <v>62000</v>
      </c>
      <c r="H4" s="63">
        <v>62000</v>
      </c>
      <c r="I4" s="63">
        <f t="shared" ref="I4:I35" si="1">G4-H4</f>
        <v>0</v>
      </c>
      <c r="J4" s="9" t="str">
        <f t="shared" ref="J4:J35" si="2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>
      <c r="A5" s="36">
        <v>45689</v>
      </c>
      <c r="B5" s="49" t="s">
        <v>58</v>
      </c>
      <c r="C5" s="49" t="s">
        <v>43</v>
      </c>
      <c r="D5" s="49" t="s">
        <v>56</v>
      </c>
      <c r="E5" s="3">
        <v>2</v>
      </c>
      <c r="F5" s="50">
        <v>31000</v>
      </c>
      <c r="G5" s="50">
        <f t="shared" si="0"/>
        <v>62000</v>
      </c>
      <c r="H5" s="50">
        <v>62000</v>
      </c>
      <c r="I5" s="50">
        <f t="shared" si="1"/>
        <v>0</v>
      </c>
      <c r="J5" s="9" t="str">
        <f t="shared" si="2"/>
        <v>✅ Paid</v>
      </c>
    </row>
    <row r="6" spans="1:10">
      <c r="A6" s="36">
        <v>45690</v>
      </c>
      <c r="B6" s="39" t="s">
        <v>62</v>
      </c>
      <c r="C6" s="39" t="s">
        <v>5</v>
      </c>
      <c r="D6" s="39" t="s">
        <v>13</v>
      </c>
      <c r="E6" s="1">
        <v>1</v>
      </c>
      <c r="F6" s="40">
        <v>32000</v>
      </c>
      <c r="G6" s="50">
        <f t="shared" si="0"/>
        <v>32000</v>
      </c>
      <c r="H6" s="40">
        <v>32000</v>
      </c>
      <c r="I6" s="50">
        <f t="shared" si="1"/>
        <v>0</v>
      </c>
      <c r="J6" s="9" t="str">
        <f t="shared" si="2"/>
        <v>✅ Paid</v>
      </c>
    </row>
    <row r="7" spans="1:10">
      <c r="A7" s="36">
        <v>45690</v>
      </c>
      <c r="B7" s="39" t="s">
        <v>62</v>
      </c>
      <c r="C7" s="39" t="s">
        <v>43</v>
      </c>
      <c r="D7" s="39" t="s">
        <v>63</v>
      </c>
      <c r="E7" s="1">
        <v>1</v>
      </c>
      <c r="F7" s="40">
        <v>31000</v>
      </c>
      <c r="G7" s="50">
        <f t="shared" si="0"/>
        <v>31000</v>
      </c>
      <c r="H7" s="40">
        <v>31000</v>
      </c>
      <c r="I7" s="50">
        <f t="shared" si="1"/>
        <v>0</v>
      </c>
      <c r="J7" s="9" t="str">
        <f t="shared" si="2"/>
        <v>✅ Paid</v>
      </c>
    </row>
    <row r="8" spans="1:10">
      <c r="A8" s="36">
        <v>45691</v>
      </c>
      <c r="B8" s="39" t="s">
        <v>4</v>
      </c>
      <c r="C8" s="39" t="s">
        <v>199</v>
      </c>
      <c r="D8" s="39" t="s">
        <v>52</v>
      </c>
      <c r="E8" s="1">
        <v>1</v>
      </c>
      <c r="F8" s="40">
        <v>32000</v>
      </c>
      <c r="G8" s="50">
        <f t="shared" si="0"/>
        <v>32000</v>
      </c>
      <c r="H8" s="40">
        <v>32000</v>
      </c>
      <c r="I8" s="50">
        <f t="shared" si="1"/>
        <v>0</v>
      </c>
      <c r="J8" s="9" t="str">
        <f t="shared" si="2"/>
        <v>✅ Paid</v>
      </c>
    </row>
    <row r="9" spans="1:10">
      <c r="A9" s="36">
        <v>45691</v>
      </c>
      <c r="B9" s="39" t="s">
        <v>58</v>
      </c>
      <c r="C9" s="39" t="s">
        <v>18</v>
      </c>
      <c r="D9" s="39" t="s">
        <v>13</v>
      </c>
      <c r="E9" s="1">
        <v>1</v>
      </c>
      <c r="F9" s="40">
        <v>30000</v>
      </c>
      <c r="G9" s="50">
        <f t="shared" si="0"/>
        <v>30000</v>
      </c>
      <c r="H9" s="40">
        <v>30000</v>
      </c>
      <c r="I9" s="50">
        <f t="shared" si="1"/>
        <v>0</v>
      </c>
      <c r="J9" s="9" t="str">
        <f t="shared" si="2"/>
        <v>✅ Paid</v>
      </c>
    </row>
    <row r="10" spans="1:10">
      <c r="A10" s="36">
        <v>45692</v>
      </c>
      <c r="B10" s="39" t="s">
        <v>4</v>
      </c>
      <c r="C10" s="39" t="s">
        <v>64</v>
      </c>
      <c r="D10" s="39" t="s">
        <v>65</v>
      </c>
      <c r="E10" s="1">
        <v>1</v>
      </c>
      <c r="F10" s="40">
        <v>33000</v>
      </c>
      <c r="G10" s="50">
        <f t="shared" si="0"/>
        <v>33000</v>
      </c>
      <c r="H10" s="40">
        <v>33000</v>
      </c>
      <c r="I10" s="50">
        <f t="shared" si="1"/>
        <v>0</v>
      </c>
      <c r="J10" s="9" t="str">
        <f t="shared" si="2"/>
        <v>✅ Paid</v>
      </c>
    </row>
    <row r="11" spans="1:10">
      <c r="A11" s="36">
        <v>45692</v>
      </c>
      <c r="B11" s="39" t="s">
        <v>4</v>
      </c>
      <c r="C11" s="39" t="s">
        <v>66</v>
      </c>
      <c r="D11" s="39" t="s">
        <v>11</v>
      </c>
      <c r="E11" s="1">
        <v>1</v>
      </c>
      <c r="F11" s="40">
        <v>34000</v>
      </c>
      <c r="G11" s="50">
        <f t="shared" si="0"/>
        <v>34000</v>
      </c>
      <c r="H11" s="40">
        <v>34000</v>
      </c>
      <c r="I11" s="50">
        <f t="shared" si="1"/>
        <v>0</v>
      </c>
      <c r="J11" s="9" t="str">
        <f t="shared" si="2"/>
        <v>✅ Paid</v>
      </c>
    </row>
    <row r="12" spans="1:10">
      <c r="A12" s="36">
        <v>45694</v>
      </c>
      <c r="B12" s="39" t="s">
        <v>58</v>
      </c>
      <c r="C12" s="39" t="s">
        <v>267</v>
      </c>
      <c r="D12" s="39" t="s">
        <v>68</v>
      </c>
      <c r="E12" s="1">
        <v>1</v>
      </c>
      <c r="F12" s="40">
        <v>34000</v>
      </c>
      <c r="G12" s="50">
        <f t="shared" si="0"/>
        <v>34000</v>
      </c>
      <c r="H12" s="40">
        <v>34000</v>
      </c>
      <c r="I12" s="50">
        <f t="shared" si="1"/>
        <v>0</v>
      </c>
      <c r="J12" s="9" t="str">
        <f t="shared" si="2"/>
        <v>✅ Paid</v>
      </c>
    </row>
    <row r="13" spans="1:10">
      <c r="A13" s="36">
        <v>45695</v>
      </c>
      <c r="B13" s="39" t="s">
        <v>58</v>
      </c>
      <c r="C13" s="39" t="s">
        <v>69</v>
      </c>
      <c r="D13" s="39" t="s">
        <v>42</v>
      </c>
      <c r="E13" s="1">
        <v>1</v>
      </c>
      <c r="F13" s="40">
        <v>32000</v>
      </c>
      <c r="G13" s="50">
        <f t="shared" si="0"/>
        <v>32000</v>
      </c>
      <c r="H13" s="40">
        <v>32000</v>
      </c>
      <c r="I13" s="50">
        <f t="shared" si="1"/>
        <v>0</v>
      </c>
      <c r="J13" s="9" t="str">
        <f t="shared" si="2"/>
        <v>✅ Paid</v>
      </c>
    </row>
    <row r="14" spans="1:10">
      <c r="A14" s="36">
        <v>45697</v>
      </c>
      <c r="B14" s="39" t="s">
        <v>58</v>
      </c>
      <c r="C14" s="39" t="s">
        <v>33</v>
      </c>
      <c r="D14" s="39" t="s">
        <v>34</v>
      </c>
      <c r="E14" s="1">
        <v>1</v>
      </c>
      <c r="F14" s="40">
        <v>40000</v>
      </c>
      <c r="G14" s="50">
        <f t="shared" si="0"/>
        <v>40000</v>
      </c>
      <c r="H14" s="40">
        <v>40000</v>
      </c>
      <c r="I14" s="50">
        <f t="shared" si="1"/>
        <v>0</v>
      </c>
      <c r="J14" s="9" t="str">
        <f t="shared" si="2"/>
        <v>✅ Paid</v>
      </c>
    </row>
    <row r="15" spans="1:10">
      <c r="A15" s="36">
        <v>45697</v>
      </c>
      <c r="B15" s="39" t="s">
        <v>58</v>
      </c>
      <c r="C15" s="39" t="s">
        <v>70</v>
      </c>
      <c r="D15" s="39" t="s">
        <v>71</v>
      </c>
      <c r="E15" s="1">
        <v>1</v>
      </c>
      <c r="F15" s="40">
        <v>32000</v>
      </c>
      <c r="G15" s="50">
        <f t="shared" si="0"/>
        <v>32000</v>
      </c>
      <c r="H15" s="40">
        <v>32000</v>
      </c>
      <c r="I15" s="50">
        <f t="shared" si="1"/>
        <v>0</v>
      </c>
      <c r="J15" s="9" t="str">
        <f t="shared" si="2"/>
        <v>✅ Paid</v>
      </c>
    </row>
    <row r="16" spans="1:10">
      <c r="A16" s="36">
        <v>45697</v>
      </c>
      <c r="B16" s="39" t="s">
        <v>58</v>
      </c>
      <c r="C16" s="39" t="s">
        <v>72</v>
      </c>
      <c r="D16" s="39" t="s">
        <v>13</v>
      </c>
      <c r="E16" s="1">
        <v>1</v>
      </c>
      <c r="F16" s="40">
        <v>35000</v>
      </c>
      <c r="G16" s="50">
        <f t="shared" si="0"/>
        <v>35000</v>
      </c>
      <c r="H16" s="40">
        <v>35000</v>
      </c>
      <c r="I16" s="50">
        <f t="shared" si="1"/>
        <v>0</v>
      </c>
      <c r="J16" s="9" t="str">
        <f t="shared" si="2"/>
        <v>✅ Paid</v>
      </c>
    </row>
    <row r="17" spans="1:10">
      <c r="A17" s="36">
        <v>45697</v>
      </c>
      <c r="B17" s="39" t="s">
        <v>4</v>
      </c>
      <c r="C17" s="39" t="s">
        <v>84</v>
      </c>
      <c r="D17" s="39" t="s">
        <v>312</v>
      </c>
      <c r="E17" s="1">
        <v>1</v>
      </c>
      <c r="F17" s="40">
        <v>35000</v>
      </c>
      <c r="G17" s="50">
        <f t="shared" si="0"/>
        <v>35000</v>
      </c>
      <c r="H17" s="40"/>
      <c r="I17" s="50">
        <f t="shared" si="1"/>
        <v>35000</v>
      </c>
      <c r="J17" s="9" t="str">
        <f t="shared" si="2"/>
        <v>🚨 URGENT: Saurabh owes ₹35000</v>
      </c>
    </row>
    <row r="18" spans="1:10">
      <c r="A18" s="36">
        <v>45698</v>
      </c>
      <c r="B18" s="39" t="s">
        <v>4</v>
      </c>
      <c r="C18" s="39" t="s">
        <v>73</v>
      </c>
      <c r="D18" s="39" t="s">
        <v>13</v>
      </c>
      <c r="E18" s="1">
        <v>1</v>
      </c>
      <c r="F18" s="40">
        <v>32000</v>
      </c>
      <c r="G18" s="50">
        <f t="shared" si="0"/>
        <v>32000</v>
      </c>
      <c r="H18" s="40">
        <v>30000</v>
      </c>
      <c r="I18" s="50">
        <f t="shared" si="1"/>
        <v>2000</v>
      </c>
      <c r="J18" s="9" t="str">
        <f t="shared" si="2"/>
        <v>ℹ️ Sachin - ₹2000 pending</v>
      </c>
    </row>
    <row r="19" spans="1:10">
      <c r="A19" s="36">
        <v>45698</v>
      </c>
      <c r="B19" s="39" t="s">
        <v>2</v>
      </c>
      <c r="C19" s="39" t="s">
        <v>21</v>
      </c>
      <c r="D19" s="39" t="s">
        <v>22</v>
      </c>
      <c r="E19" s="1">
        <v>1</v>
      </c>
      <c r="F19" s="40">
        <v>31000</v>
      </c>
      <c r="G19" s="50">
        <f t="shared" si="0"/>
        <v>31000</v>
      </c>
      <c r="H19" s="40">
        <v>31000</v>
      </c>
      <c r="I19" s="50">
        <f t="shared" si="1"/>
        <v>0</v>
      </c>
      <c r="J19" s="9" t="str">
        <f t="shared" si="2"/>
        <v>✅ Paid</v>
      </c>
    </row>
    <row r="20" spans="1:10">
      <c r="A20" s="36">
        <v>45698</v>
      </c>
      <c r="B20" s="39" t="s">
        <v>58</v>
      </c>
      <c r="C20" s="39" t="s">
        <v>74</v>
      </c>
      <c r="D20" s="39" t="s">
        <v>22</v>
      </c>
      <c r="E20" s="1">
        <v>1</v>
      </c>
      <c r="F20" s="40">
        <v>35000</v>
      </c>
      <c r="G20" s="50">
        <f t="shared" si="0"/>
        <v>35000</v>
      </c>
      <c r="H20" s="40">
        <v>35000</v>
      </c>
      <c r="I20" s="50">
        <f t="shared" si="1"/>
        <v>0</v>
      </c>
      <c r="J20" s="9" t="str">
        <f t="shared" si="2"/>
        <v>✅ Paid</v>
      </c>
    </row>
    <row r="21" spans="1:10">
      <c r="A21" s="36">
        <v>45699</v>
      </c>
      <c r="B21" s="39" t="s">
        <v>4</v>
      </c>
      <c r="C21" s="39" t="s">
        <v>23</v>
      </c>
      <c r="D21" s="39" t="s">
        <v>319</v>
      </c>
      <c r="E21" s="1">
        <v>1</v>
      </c>
      <c r="F21" s="40">
        <v>32000</v>
      </c>
      <c r="G21" s="50">
        <f t="shared" si="0"/>
        <v>32000</v>
      </c>
      <c r="H21" s="40">
        <v>32000</v>
      </c>
      <c r="I21" s="50">
        <f t="shared" si="1"/>
        <v>0</v>
      </c>
      <c r="J21" s="9" t="str">
        <f t="shared" si="2"/>
        <v>✅ Paid</v>
      </c>
    </row>
    <row r="22" spans="1:10">
      <c r="A22" s="36">
        <v>45699</v>
      </c>
      <c r="B22" s="39" t="s">
        <v>4</v>
      </c>
      <c r="C22" s="39" t="s">
        <v>28</v>
      </c>
      <c r="D22" s="39" t="s">
        <v>17</v>
      </c>
      <c r="E22" s="1">
        <v>1</v>
      </c>
      <c r="F22" s="40">
        <v>32500</v>
      </c>
      <c r="G22" s="50">
        <f t="shared" si="0"/>
        <v>32500</v>
      </c>
      <c r="H22" s="40">
        <v>32500</v>
      </c>
      <c r="I22" s="50">
        <f t="shared" si="1"/>
        <v>0</v>
      </c>
      <c r="J22" s="9" t="str">
        <f t="shared" si="2"/>
        <v>✅ Paid</v>
      </c>
    </row>
    <row r="23" spans="1:10">
      <c r="A23" s="36">
        <v>45701</v>
      </c>
      <c r="B23" s="39" t="s">
        <v>58</v>
      </c>
      <c r="C23" s="39" t="s">
        <v>28</v>
      </c>
      <c r="D23" s="39" t="s">
        <v>17</v>
      </c>
      <c r="E23" s="1">
        <v>1</v>
      </c>
      <c r="F23" s="40">
        <v>32500</v>
      </c>
      <c r="G23" s="50">
        <f t="shared" si="0"/>
        <v>32500</v>
      </c>
      <c r="H23" s="40">
        <v>32500</v>
      </c>
      <c r="I23" s="50">
        <f t="shared" si="1"/>
        <v>0</v>
      </c>
      <c r="J23" s="9" t="str">
        <f t="shared" si="2"/>
        <v>✅ Paid</v>
      </c>
    </row>
    <row r="24" spans="1:10">
      <c r="A24" s="36">
        <v>45701</v>
      </c>
      <c r="B24" s="39" t="s">
        <v>58</v>
      </c>
      <c r="C24" s="39" t="s">
        <v>7</v>
      </c>
      <c r="D24" s="39" t="s">
        <v>8</v>
      </c>
      <c r="E24" s="1">
        <v>1</v>
      </c>
      <c r="F24" s="40">
        <v>38000</v>
      </c>
      <c r="G24" s="50">
        <f t="shared" si="0"/>
        <v>38000</v>
      </c>
      <c r="H24" s="40">
        <v>38000</v>
      </c>
      <c r="I24" s="50">
        <f t="shared" si="1"/>
        <v>0</v>
      </c>
      <c r="J24" s="9" t="str">
        <f t="shared" si="2"/>
        <v>✅ Paid</v>
      </c>
    </row>
    <row r="25" spans="1:10">
      <c r="A25" s="36">
        <v>45701</v>
      </c>
      <c r="B25" s="39" t="s">
        <v>58</v>
      </c>
      <c r="C25" s="39" t="s">
        <v>21</v>
      </c>
      <c r="D25" s="39" t="s">
        <v>75</v>
      </c>
      <c r="E25" s="1">
        <v>1</v>
      </c>
      <c r="F25" s="40">
        <v>32500</v>
      </c>
      <c r="G25" s="50">
        <f t="shared" si="0"/>
        <v>32500</v>
      </c>
      <c r="H25" s="40">
        <v>32500</v>
      </c>
      <c r="I25" s="50">
        <f t="shared" si="1"/>
        <v>0</v>
      </c>
      <c r="J25" s="9" t="str">
        <f t="shared" si="2"/>
        <v>✅ Paid</v>
      </c>
    </row>
    <row r="26" spans="1:10">
      <c r="A26" s="36">
        <v>45701</v>
      </c>
      <c r="B26" s="39" t="s">
        <v>58</v>
      </c>
      <c r="C26" s="39" t="s">
        <v>154</v>
      </c>
      <c r="D26" s="39" t="s">
        <v>17</v>
      </c>
      <c r="E26" s="1">
        <v>1</v>
      </c>
      <c r="F26" s="40">
        <v>35000</v>
      </c>
      <c r="G26" s="50">
        <f t="shared" si="0"/>
        <v>35000</v>
      </c>
      <c r="H26" s="40">
        <v>35000</v>
      </c>
      <c r="I26" s="50">
        <f t="shared" si="1"/>
        <v>0</v>
      </c>
      <c r="J26" s="9" t="str">
        <f t="shared" si="2"/>
        <v>✅ Paid</v>
      </c>
    </row>
    <row r="27" spans="1:10">
      <c r="A27" s="36">
        <v>45701</v>
      </c>
      <c r="B27" s="39" t="s">
        <v>4</v>
      </c>
      <c r="C27" s="39" t="s">
        <v>76</v>
      </c>
      <c r="D27" s="39" t="s">
        <v>77</v>
      </c>
      <c r="E27" s="1">
        <v>1</v>
      </c>
      <c r="F27" s="40">
        <v>35000</v>
      </c>
      <c r="G27" s="50">
        <f t="shared" si="0"/>
        <v>35000</v>
      </c>
      <c r="H27" s="40">
        <v>35000</v>
      </c>
      <c r="I27" s="50">
        <f t="shared" si="1"/>
        <v>0</v>
      </c>
      <c r="J27" s="9" t="str">
        <f t="shared" si="2"/>
        <v>✅ Paid</v>
      </c>
    </row>
    <row r="28" spans="1:10">
      <c r="A28" s="36">
        <v>45711</v>
      </c>
      <c r="B28" s="39" t="s">
        <v>58</v>
      </c>
      <c r="C28" s="39" t="s">
        <v>155</v>
      </c>
      <c r="D28" s="39" t="s">
        <v>13</v>
      </c>
      <c r="E28" s="1">
        <v>1</v>
      </c>
      <c r="F28" s="40">
        <v>30000</v>
      </c>
      <c r="G28" s="50">
        <f t="shared" si="0"/>
        <v>30000</v>
      </c>
      <c r="H28" s="40">
        <v>30000</v>
      </c>
      <c r="I28" s="50">
        <f t="shared" si="1"/>
        <v>0</v>
      </c>
      <c r="J28" s="9" t="str">
        <f t="shared" si="2"/>
        <v>✅ Paid</v>
      </c>
    </row>
    <row r="29" spans="1:10">
      <c r="A29" s="36">
        <v>45711</v>
      </c>
      <c r="B29" s="39" t="s">
        <v>58</v>
      </c>
      <c r="C29" s="39" t="s">
        <v>80</v>
      </c>
      <c r="D29" s="39" t="s">
        <v>81</v>
      </c>
      <c r="E29" s="1">
        <v>1</v>
      </c>
      <c r="F29" s="40">
        <v>35000</v>
      </c>
      <c r="G29" s="50">
        <f t="shared" si="0"/>
        <v>35000</v>
      </c>
      <c r="H29" s="40">
        <v>35000</v>
      </c>
      <c r="I29" s="50">
        <f t="shared" si="1"/>
        <v>0</v>
      </c>
      <c r="J29" s="9" t="str">
        <f t="shared" si="2"/>
        <v>✅ Paid</v>
      </c>
    </row>
    <row r="30" spans="1:10">
      <c r="A30" s="36">
        <v>45711</v>
      </c>
      <c r="B30" s="39" t="s">
        <v>58</v>
      </c>
      <c r="C30" s="39" t="s">
        <v>33</v>
      </c>
      <c r="D30" s="39" t="s">
        <v>79</v>
      </c>
      <c r="E30" s="1">
        <v>1</v>
      </c>
      <c r="F30" s="40">
        <v>40000</v>
      </c>
      <c r="G30" s="50">
        <f t="shared" si="0"/>
        <v>40000</v>
      </c>
      <c r="H30" s="40">
        <v>40000</v>
      </c>
      <c r="I30" s="50">
        <f t="shared" si="1"/>
        <v>0</v>
      </c>
      <c r="J30" s="9" t="str">
        <f t="shared" si="2"/>
        <v>✅ Paid</v>
      </c>
    </row>
    <row r="31" spans="1:10">
      <c r="A31" s="36">
        <v>45711</v>
      </c>
      <c r="B31" s="39" t="s">
        <v>45</v>
      </c>
      <c r="C31" s="39" t="s">
        <v>70</v>
      </c>
      <c r="D31" s="39" t="s">
        <v>71</v>
      </c>
      <c r="E31" s="1">
        <v>1</v>
      </c>
      <c r="F31" s="40">
        <v>33000</v>
      </c>
      <c r="G31" s="50">
        <f t="shared" si="0"/>
        <v>33000</v>
      </c>
      <c r="H31" s="40">
        <v>33000</v>
      </c>
      <c r="I31" s="50">
        <f t="shared" si="1"/>
        <v>0</v>
      </c>
      <c r="J31" s="9" t="str">
        <f t="shared" si="2"/>
        <v>✅ Paid</v>
      </c>
    </row>
    <row r="32" spans="1:10">
      <c r="A32" s="36">
        <v>45711</v>
      </c>
      <c r="B32" s="39" t="s">
        <v>82</v>
      </c>
      <c r="C32" s="39" t="s">
        <v>83</v>
      </c>
      <c r="D32" s="39" t="s">
        <v>42</v>
      </c>
      <c r="E32" s="1">
        <v>1</v>
      </c>
      <c r="F32" s="40">
        <v>35000</v>
      </c>
      <c r="G32" s="50">
        <f t="shared" si="0"/>
        <v>35000</v>
      </c>
      <c r="H32" s="40">
        <v>35000</v>
      </c>
      <c r="I32" s="50">
        <f t="shared" si="1"/>
        <v>0</v>
      </c>
      <c r="J32" s="9" t="str">
        <f t="shared" si="2"/>
        <v>✅ Paid</v>
      </c>
    </row>
    <row r="33" spans="1:10">
      <c r="A33" s="36">
        <v>45711</v>
      </c>
      <c r="B33" s="39" t="s">
        <v>45</v>
      </c>
      <c r="C33" s="39" t="s">
        <v>84</v>
      </c>
      <c r="D33" s="39" t="s">
        <v>85</v>
      </c>
      <c r="E33" s="1">
        <v>1</v>
      </c>
      <c r="F33" s="40">
        <v>35000</v>
      </c>
      <c r="G33" s="50">
        <f t="shared" si="0"/>
        <v>35000</v>
      </c>
      <c r="H33" s="40"/>
      <c r="I33" s="50">
        <f t="shared" si="1"/>
        <v>35000</v>
      </c>
      <c r="J33" s="9" t="str">
        <f t="shared" si="2"/>
        <v>🚨 URGENT: Saurabh owes ₹35000</v>
      </c>
    </row>
    <row r="34" spans="1:10">
      <c r="A34" s="36">
        <v>45712</v>
      </c>
      <c r="B34" s="39" t="s">
        <v>86</v>
      </c>
      <c r="C34" s="39" t="s">
        <v>87</v>
      </c>
      <c r="D34" s="39" t="s">
        <v>17</v>
      </c>
      <c r="E34" s="1">
        <v>2</v>
      </c>
      <c r="F34" s="40">
        <v>34000</v>
      </c>
      <c r="G34" s="50">
        <f t="shared" si="0"/>
        <v>68000</v>
      </c>
      <c r="H34" s="40">
        <v>68000</v>
      </c>
      <c r="I34" s="50">
        <f t="shared" si="1"/>
        <v>0</v>
      </c>
      <c r="J34" s="9" t="str">
        <f t="shared" si="2"/>
        <v>✅ Paid</v>
      </c>
    </row>
    <row r="35" spans="1:10">
      <c r="A35" s="36">
        <v>45712</v>
      </c>
      <c r="B35" s="39" t="s">
        <v>86</v>
      </c>
      <c r="C35" s="39" t="s">
        <v>318</v>
      </c>
      <c r="D35" s="39" t="s">
        <v>88</v>
      </c>
      <c r="E35" s="1">
        <v>2</v>
      </c>
      <c r="F35" s="40">
        <v>40000</v>
      </c>
      <c r="G35" s="50">
        <f t="shared" si="0"/>
        <v>80000</v>
      </c>
      <c r="H35" s="40">
        <v>80000</v>
      </c>
      <c r="I35" s="50">
        <f t="shared" si="1"/>
        <v>0</v>
      </c>
      <c r="J35" s="9" t="str">
        <f t="shared" si="2"/>
        <v>✅ Paid</v>
      </c>
    </row>
    <row r="36" spans="1:10">
      <c r="A36" s="57"/>
      <c r="B36" s="55"/>
      <c r="C36" s="55"/>
      <c r="D36" s="55"/>
      <c r="E36" s="1"/>
      <c r="F36" s="60"/>
      <c r="G36" s="60"/>
      <c r="H36" s="60"/>
      <c r="I36" s="60"/>
      <c r="J36" s="9"/>
    </row>
    <row r="37" spans="1:10">
      <c r="A37" s="36"/>
      <c r="B37" s="49"/>
      <c r="C37" s="49"/>
      <c r="D37" s="49"/>
      <c r="E37" s="3"/>
      <c r="F37" s="50"/>
      <c r="G37" s="50"/>
      <c r="H37" s="50"/>
      <c r="I37" s="50"/>
      <c r="J37" s="9"/>
    </row>
    <row r="38" spans="1:10">
      <c r="A38" s="36"/>
      <c r="B38" s="39"/>
      <c r="C38" s="39"/>
      <c r="D38" s="39"/>
      <c r="E38" s="1"/>
      <c r="F38" s="40"/>
      <c r="G38" s="50"/>
      <c r="H38" s="40"/>
      <c r="I38" s="50"/>
      <c r="J38" s="9"/>
    </row>
    <row r="39" spans="1:10">
      <c r="A39" s="36"/>
      <c r="B39" s="39"/>
      <c r="C39" s="39"/>
      <c r="D39" s="39"/>
      <c r="E39" s="1"/>
      <c r="F39" s="40"/>
      <c r="G39" s="50"/>
      <c r="H39" s="40"/>
      <c r="I39" s="50"/>
      <c r="J39" s="9"/>
    </row>
    <row r="40" spans="1:10">
      <c r="A40" s="36"/>
      <c r="B40" s="39"/>
      <c r="C40" s="39"/>
      <c r="D40" s="39"/>
      <c r="E40" s="1"/>
      <c r="F40" s="40"/>
      <c r="G40" s="50"/>
      <c r="H40" s="40"/>
      <c r="I40" s="50"/>
      <c r="J40" s="9"/>
    </row>
    <row r="41" spans="1:10">
      <c r="A41" s="36"/>
      <c r="B41" s="39"/>
      <c r="C41" s="39"/>
      <c r="D41" s="39"/>
      <c r="E41" s="1"/>
      <c r="F41" s="40"/>
      <c r="G41" s="50"/>
      <c r="H41" s="40"/>
      <c r="I41" s="50"/>
      <c r="J41" s="9"/>
    </row>
    <row r="42" spans="1:10">
      <c r="A42" s="36"/>
      <c r="B42" s="39"/>
      <c r="C42" s="39"/>
      <c r="D42" s="39"/>
      <c r="E42" s="1"/>
      <c r="F42" s="40"/>
      <c r="G42" s="50"/>
      <c r="H42" s="40"/>
      <c r="I42" s="50"/>
      <c r="J42" s="9"/>
    </row>
    <row r="43" spans="1:10">
      <c r="A43" s="36"/>
      <c r="B43" s="39"/>
      <c r="C43" s="39"/>
      <c r="D43" s="39"/>
      <c r="E43" s="1"/>
      <c r="F43" s="40"/>
      <c r="G43" s="50"/>
      <c r="H43" s="40"/>
      <c r="I43" s="50"/>
      <c r="J43" s="9"/>
    </row>
    <row r="44" spans="1:10">
      <c r="A44" s="36"/>
      <c r="B44" s="39"/>
      <c r="C44" s="39"/>
      <c r="D44" s="39"/>
      <c r="E44" s="1"/>
      <c r="F44" s="40"/>
      <c r="G44" s="50"/>
      <c r="H44" s="40"/>
      <c r="I44" s="50"/>
      <c r="J44" s="9"/>
    </row>
    <row r="45" spans="1:10">
      <c r="A45" s="36"/>
      <c r="B45" s="39"/>
      <c r="C45" s="39"/>
      <c r="D45" s="39"/>
      <c r="E45" s="1"/>
      <c r="F45" s="40"/>
      <c r="G45" s="50"/>
      <c r="H45" s="40"/>
      <c r="I45" s="50"/>
      <c r="J45" s="9"/>
    </row>
    <row r="46" spans="1:10">
      <c r="A46" s="36"/>
      <c r="B46" s="39"/>
      <c r="C46" s="39"/>
      <c r="D46" s="39"/>
      <c r="E46" s="1"/>
      <c r="F46" s="40"/>
      <c r="G46" s="50"/>
      <c r="H46" s="40"/>
      <c r="I46" s="50"/>
      <c r="J46" s="9"/>
    </row>
    <row r="47" spans="1:10">
      <c r="A47" s="36"/>
      <c r="B47" s="39"/>
      <c r="C47" s="39"/>
      <c r="D47" s="39"/>
      <c r="E47" s="1"/>
      <c r="F47" s="40"/>
      <c r="G47" s="50"/>
      <c r="H47" s="40"/>
      <c r="I47" s="50"/>
      <c r="J47" s="9"/>
    </row>
    <row r="48" spans="1:10">
      <c r="A48" s="37"/>
      <c r="B48" s="38"/>
      <c r="C48" s="39"/>
      <c r="D48" s="39"/>
      <c r="E48" s="39"/>
      <c r="F48" s="40"/>
      <c r="G48" s="40"/>
      <c r="H48" s="40"/>
      <c r="I48" s="40"/>
      <c r="J48" s="9"/>
    </row>
    <row r="49" spans="1:9">
      <c r="A49" s="8"/>
      <c r="B49" s="9"/>
      <c r="C49" s="9"/>
      <c r="D49" s="9"/>
      <c r="E49" s="11"/>
      <c r="F49" s="12"/>
      <c r="G49" s="12"/>
      <c r="H49" s="12"/>
      <c r="I49" s="12"/>
    </row>
    <row r="50" spans="1:9" ht="21">
      <c r="A50"/>
      <c r="D50" s="13"/>
      <c r="E50" s="14" t="s">
        <v>78</v>
      </c>
      <c r="F50" s="15"/>
      <c r="G50" s="16" t="s">
        <v>289</v>
      </c>
      <c r="H50" s="16" t="s">
        <v>291</v>
      </c>
      <c r="I50" s="16" t="s">
        <v>61</v>
      </c>
    </row>
    <row r="51" spans="1:9" ht="21">
      <c r="A51"/>
      <c r="D51" s="17" t="s">
        <v>292</v>
      </c>
      <c r="E51" s="18">
        <f>SUM(E4:E49)</f>
        <v>36</v>
      </c>
      <c r="F51" s="19"/>
      <c r="G51" s="20">
        <f>SUM(G4:G49)</f>
        <v>1215500</v>
      </c>
      <c r="H51" s="20">
        <f>SUM(H4:H49)</f>
        <v>1143500</v>
      </c>
      <c r="I51" s="20">
        <f>SUM(I4:I49)</f>
        <v>72000</v>
      </c>
    </row>
    <row r="52" spans="1:9" ht="43.5" customHeight="1">
      <c r="A52" s="66" t="s">
        <v>295</v>
      </c>
      <c r="B52" s="66"/>
      <c r="C52" s="66"/>
      <c r="D52" s="21"/>
      <c r="E52" s="21"/>
      <c r="F52" s="21"/>
      <c r="G52" s="21"/>
      <c r="H52" s="21"/>
      <c r="I52" s="21"/>
    </row>
    <row r="58" spans="1:9">
      <c r="A58"/>
      <c r="F58"/>
      <c r="G58"/>
      <c r="H58"/>
      <c r="I58"/>
    </row>
    <row r="59" spans="1:9">
      <c r="A59"/>
      <c r="F59"/>
      <c r="G59"/>
      <c r="H59"/>
      <c r="I59"/>
    </row>
    <row r="60" spans="1:9">
      <c r="A60"/>
      <c r="F60"/>
      <c r="G60"/>
      <c r="H60"/>
      <c r="I60"/>
    </row>
    <row r="61" spans="1:9">
      <c r="A61"/>
      <c r="F61"/>
      <c r="G61"/>
      <c r="H61"/>
      <c r="I61"/>
    </row>
    <row r="62" spans="1:9">
      <c r="A62"/>
      <c r="F62"/>
      <c r="G62"/>
      <c r="H62"/>
      <c r="I62"/>
    </row>
  </sheetData>
  <mergeCells count="3">
    <mergeCell ref="A1:J1"/>
    <mergeCell ref="A2:J2"/>
    <mergeCell ref="A52:C52"/>
  </mergeCells>
  <conditionalFormatting sqref="J4:J1048576">
    <cfRule type="containsText" dxfId="83" priority="1" operator="containsText" text="✅">
      <formula>NOT(ISERROR(SEARCH("✅",J4)))</formula>
    </cfRule>
    <cfRule type="containsText" dxfId="82" priority="2" operator="containsText" text="ℹ️">
      <formula>NOT(ISERROR(SEARCH("ℹ️",J4)))</formula>
    </cfRule>
    <cfRule type="containsText" dxfId="81" priority="3" operator="containsText" text="⚠️">
      <formula>NOT(ISERROR(SEARCH("⚠️",J4)))</formula>
    </cfRule>
    <cfRule type="containsText" dxfId="80" priority="4" operator="containsText" text="🚨">
      <formula>NOT(ISERROR(SEARCH("🚨",J4)))</formula>
    </cfRule>
  </conditionalFormatting>
  <pageMargins left="0.7" right="0.7" top="0.75" bottom="0.75" header="0.3" footer="0.3"/>
  <pageSetup paperSize="9" orientation="landscape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1E9F-B973-48A8-B9A3-465063C9AD60}">
  <sheetPr codeName="Sheet3"/>
  <dimension ref="A1:K140"/>
  <sheetViews>
    <sheetView zoomScale="125" zoomScaleNormal="115" workbookViewId="0">
      <pane ySplit="3" topLeftCell="A102" activePane="bottomLeft" state="frozen"/>
      <selection pane="bottomLeft" activeCell="C4" sqref="C4:C101"/>
    </sheetView>
  </sheetViews>
  <sheetFormatPr baseColWidth="10" defaultColWidth="11.5" defaultRowHeight="15"/>
  <cols>
    <col min="1" max="1" width="24.5" style="21" bestFit="1" customWidth="1"/>
    <col min="2" max="2" width="18.5" bestFit="1" customWidth="1"/>
    <col min="3" max="3" width="26.1640625" bestFit="1" customWidth="1"/>
    <col min="4" max="4" width="24.5" bestFit="1" customWidth="1"/>
    <col min="5" max="5" width="14.5" bestFit="1" customWidth="1"/>
    <col min="6" max="6" width="11.6640625" style="22" bestFit="1" customWidth="1"/>
    <col min="7" max="7" width="19.5" style="22" bestFit="1" customWidth="1"/>
    <col min="8" max="8" width="20.5" style="22" bestFit="1" customWidth="1"/>
    <col min="9" max="9" width="19.5" style="22" bestFit="1" customWidth="1"/>
    <col min="10" max="10" width="51.83203125" bestFit="1" customWidth="1"/>
    <col min="11" max="11" width="6.1640625" bestFit="1" customWidth="1"/>
  </cols>
  <sheetData>
    <row r="1" spans="1:10" ht="37" customHeight="1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297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294</v>
      </c>
    </row>
    <row r="4" spans="1:10">
      <c r="A4" s="56">
        <v>45717</v>
      </c>
      <c r="B4" s="61" t="s">
        <v>4</v>
      </c>
      <c r="C4" s="61" t="s">
        <v>89</v>
      </c>
      <c r="D4" s="61" t="s">
        <v>90</v>
      </c>
      <c r="E4" s="62">
        <v>1</v>
      </c>
      <c r="F4" s="63">
        <v>36000</v>
      </c>
      <c r="G4" s="63">
        <f t="shared" ref="G4:G35" si="0">F4*E4</f>
        <v>36000</v>
      </c>
      <c r="H4" s="63">
        <v>36000</v>
      </c>
      <c r="I4" s="63">
        <f t="shared" ref="I4:I35" si="1">G4-H4</f>
        <v>0</v>
      </c>
      <c r="J4" s="9" t="str">
        <f t="shared" ref="J4:J35" si="2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>
      <c r="A5" s="36">
        <v>45718</v>
      </c>
      <c r="B5" s="49" t="s">
        <v>55</v>
      </c>
      <c r="C5" s="49" t="s">
        <v>105</v>
      </c>
      <c r="D5" s="49" t="s">
        <v>91</v>
      </c>
      <c r="E5" s="3">
        <v>2</v>
      </c>
      <c r="F5" s="50">
        <v>35000</v>
      </c>
      <c r="G5" s="50">
        <f t="shared" si="0"/>
        <v>70000</v>
      </c>
      <c r="H5" s="50">
        <v>70000</v>
      </c>
      <c r="I5" s="50">
        <f t="shared" si="1"/>
        <v>0</v>
      </c>
      <c r="J5" s="9" t="str">
        <f t="shared" si="2"/>
        <v>✅ Paid</v>
      </c>
    </row>
    <row r="6" spans="1:10">
      <c r="A6" s="36">
        <v>45718</v>
      </c>
      <c r="B6" s="49" t="s">
        <v>4</v>
      </c>
      <c r="C6" s="49" t="s">
        <v>92</v>
      </c>
      <c r="D6" s="49" t="s">
        <v>93</v>
      </c>
      <c r="E6" s="3">
        <v>1</v>
      </c>
      <c r="F6" s="50">
        <v>39000</v>
      </c>
      <c r="G6" s="50">
        <f t="shared" si="0"/>
        <v>39000</v>
      </c>
      <c r="H6" s="50">
        <v>39000</v>
      </c>
      <c r="I6" s="50">
        <f t="shared" si="1"/>
        <v>0</v>
      </c>
      <c r="J6" s="9" t="str">
        <f t="shared" si="2"/>
        <v>✅ Paid</v>
      </c>
    </row>
    <row r="7" spans="1:10">
      <c r="A7" s="36">
        <v>45718</v>
      </c>
      <c r="B7" s="49" t="s">
        <v>4</v>
      </c>
      <c r="C7" s="49" t="s">
        <v>87</v>
      </c>
      <c r="D7" s="49" t="s">
        <v>17</v>
      </c>
      <c r="E7" s="3">
        <v>1</v>
      </c>
      <c r="F7" s="50">
        <v>38000</v>
      </c>
      <c r="G7" s="50">
        <f t="shared" si="0"/>
        <v>38000</v>
      </c>
      <c r="H7" s="50">
        <v>33000</v>
      </c>
      <c r="I7" s="50">
        <f t="shared" si="1"/>
        <v>5000</v>
      </c>
      <c r="J7" s="9" t="str">
        <f t="shared" si="2"/>
        <v>ℹ️ Gurjit Saini - ₹5000 pending</v>
      </c>
    </row>
    <row r="8" spans="1:10">
      <c r="A8" s="36">
        <v>45718</v>
      </c>
      <c r="B8" s="49" t="s">
        <v>4</v>
      </c>
      <c r="C8" s="49" t="s">
        <v>87</v>
      </c>
      <c r="D8" s="49" t="s">
        <v>13</v>
      </c>
      <c r="E8" s="3">
        <v>2</v>
      </c>
      <c r="F8" s="50">
        <v>38000</v>
      </c>
      <c r="G8" s="50">
        <f t="shared" si="0"/>
        <v>76000</v>
      </c>
      <c r="H8" s="50">
        <v>74000</v>
      </c>
      <c r="I8" s="50">
        <f t="shared" si="1"/>
        <v>2000</v>
      </c>
      <c r="J8" s="9" t="str">
        <f t="shared" si="2"/>
        <v>ℹ️ Gurjit Saini - ₹2000 pending</v>
      </c>
    </row>
    <row r="9" spans="1:10">
      <c r="A9" s="36">
        <v>45718</v>
      </c>
      <c r="B9" s="49" t="s">
        <v>4</v>
      </c>
      <c r="C9" s="49" t="s">
        <v>94</v>
      </c>
      <c r="D9" s="49" t="s">
        <v>95</v>
      </c>
      <c r="E9" s="3">
        <v>1</v>
      </c>
      <c r="F9" s="50">
        <v>38000</v>
      </c>
      <c r="G9" s="50">
        <f t="shared" si="0"/>
        <v>38000</v>
      </c>
      <c r="H9" s="50">
        <v>38000</v>
      </c>
      <c r="I9" s="50">
        <f t="shared" si="1"/>
        <v>0</v>
      </c>
      <c r="J9" s="9" t="str">
        <f t="shared" si="2"/>
        <v>✅ Paid</v>
      </c>
    </row>
    <row r="10" spans="1:10">
      <c r="A10" s="36">
        <v>45718</v>
      </c>
      <c r="B10" s="49" t="s">
        <v>58</v>
      </c>
      <c r="C10" s="49" t="s">
        <v>96</v>
      </c>
      <c r="D10" s="49" t="s">
        <v>13</v>
      </c>
      <c r="E10" s="3">
        <v>1</v>
      </c>
      <c r="F10" s="50">
        <v>36000</v>
      </c>
      <c r="G10" s="50">
        <f t="shared" si="0"/>
        <v>36000</v>
      </c>
      <c r="H10" s="50">
        <v>36000</v>
      </c>
      <c r="I10" s="50">
        <f t="shared" si="1"/>
        <v>0</v>
      </c>
      <c r="J10" s="9" t="str">
        <f t="shared" si="2"/>
        <v>✅ Paid</v>
      </c>
    </row>
    <row r="11" spans="1:10">
      <c r="A11" s="36">
        <v>45718</v>
      </c>
      <c r="B11" s="49" t="s">
        <v>58</v>
      </c>
      <c r="C11" s="49" t="s">
        <v>97</v>
      </c>
      <c r="D11" s="49" t="s">
        <v>13</v>
      </c>
      <c r="E11" s="3">
        <v>1</v>
      </c>
      <c r="F11" s="50">
        <v>32000</v>
      </c>
      <c r="G11" s="50">
        <f t="shared" si="0"/>
        <v>32000</v>
      </c>
      <c r="H11" s="50">
        <v>32000</v>
      </c>
      <c r="I11" s="50">
        <f t="shared" si="1"/>
        <v>0</v>
      </c>
      <c r="J11" s="9" t="str">
        <f t="shared" si="2"/>
        <v>✅ Paid</v>
      </c>
    </row>
    <row r="12" spans="1:10">
      <c r="A12" s="36">
        <v>45718</v>
      </c>
      <c r="B12" s="49" t="s">
        <v>58</v>
      </c>
      <c r="C12" s="49" t="s">
        <v>98</v>
      </c>
      <c r="D12" s="49" t="s">
        <v>10</v>
      </c>
      <c r="E12" s="3">
        <v>1</v>
      </c>
      <c r="F12" s="50">
        <v>32000</v>
      </c>
      <c r="G12" s="50">
        <f t="shared" si="0"/>
        <v>32000</v>
      </c>
      <c r="H12" s="50">
        <v>32000</v>
      </c>
      <c r="I12" s="50">
        <f t="shared" si="1"/>
        <v>0</v>
      </c>
      <c r="J12" s="9" t="str">
        <f t="shared" si="2"/>
        <v>✅ Paid</v>
      </c>
    </row>
    <row r="13" spans="1:10">
      <c r="A13" s="36">
        <v>45718</v>
      </c>
      <c r="B13" s="49" t="s">
        <v>58</v>
      </c>
      <c r="C13" s="49" t="s">
        <v>99</v>
      </c>
      <c r="D13" s="49" t="s">
        <v>100</v>
      </c>
      <c r="E13" s="3">
        <v>1</v>
      </c>
      <c r="F13" s="50">
        <v>38500</v>
      </c>
      <c r="G13" s="50">
        <f t="shared" si="0"/>
        <v>38500</v>
      </c>
      <c r="H13" s="50">
        <v>38500</v>
      </c>
      <c r="I13" s="50">
        <f t="shared" si="1"/>
        <v>0</v>
      </c>
      <c r="J13" s="9" t="str">
        <f t="shared" si="2"/>
        <v>✅ Paid</v>
      </c>
    </row>
    <row r="14" spans="1:10">
      <c r="A14" s="36">
        <v>45721</v>
      </c>
      <c r="B14" s="39" t="s">
        <v>2</v>
      </c>
      <c r="C14" s="39" t="s">
        <v>92</v>
      </c>
      <c r="D14" s="39" t="s">
        <v>101</v>
      </c>
      <c r="E14" s="1">
        <v>1</v>
      </c>
      <c r="F14" s="40">
        <v>38000</v>
      </c>
      <c r="G14" s="50">
        <f t="shared" si="0"/>
        <v>38000</v>
      </c>
      <c r="H14" s="40">
        <v>38000</v>
      </c>
      <c r="I14" s="50">
        <f t="shared" si="1"/>
        <v>0</v>
      </c>
      <c r="J14" s="9" t="str">
        <f t="shared" si="2"/>
        <v>✅ Paid</v>
      </c>
    </row>
    <row r="15" spans="1:10">
      <c r="A15" s="36">
        <v>45721</v>
      </c>
      <c r="B15" s="39" t="s">
        <v>103</v>
      </c>
      <c r="C15" s="39" t="s">
        <v>105</v>
      </c>
      <c r="D15" s="39" t="s">
        <v>102</v>
      </c>
      <c r="E15" s="1">
        <v>4</v>
      </c>
      <c r="F15" s="40">
        <v>35000</v>
      </c>
      <c r="G15" s="50">
        <f t="shared" si="0"/>
        <v>140000</v>
      </c>
      <c r="H15" s="40">
        <v>140000</v>
      </c>
      <c r="I15" s="50">
        <f t="shared" si="1"/>
        <v>0</v>
      </c>
      <c r="J15" s="9" t="str">
        <f t="shared" si="2"/>
        <v>✅ Paid</v>
      </c>
    </row>
    <row r="16" spans="1:10">
      <c r="A16" s="36">
        <v>45721</v>
      </c>
      <c r="B16" s="39" t="s">
        <v>4</v>
      </c>
      <c r="C16" s="39" t="s">
        <v>21</v>
      </c>
      <c r="D16" s="39" t="s">
        <v>22</v>
      </c>
      <c r="E16" s="1">
        <v>1</v>
      </c>
      <c r="F16" s="40">
        <v>38000</v>
      </c>
      <c r="G16" s="50">
        <f t="shared" si="0"/>
        <v>38000</v>
      </c>
      <c r="H16" s="40">
        <v>38000</v>
      </c>
      <c r="I16" s="50">
        <f t="shared" si="1"/>
        <v>0</v>
      </c>
      <c r="J16" s="9" t="str">
        <f t="shared" si="2"/>
        <v>✅ Paid</v>
      </c>
    </row>
    <row r="17" spans="1:10">
      <c r="A17" s="36">
        <v>45721</v>
      </c>
      <c r="B17" s="39" t="s">
        <v>4</v>
      </c>
      <c r="C17" s="39" t="s">
        <v>125</v>
      </c>
      <c r="D17" s="39" t="s">
        <v>13</v>
      </c>
      <c r="E17" s="1">
        <v>1</v>
      </c>
      <c r="F17" s="40">
        <v>36000</v>
      </c>
      <c r="G17" s="50">
        <f t="shared" si="0"/>
        <v>36000</v>
      </c>
      <c r="H17" s="40">
        <v>36000</v>
      </c>
      <c r="I17" s="50">
        <f t="shared" si="1"/>
        <v>0</v>
      </c>
      <c r="J17" s="9" t="str">
        <f t="shared" si="2"/>
        <v>✅ Paid</v>
      </c>
    </row>
    <row r="18" spans="1:10">
      <c r="A18" s="36">
        <v>45721</v>
      </c>
      <c r="B18" s="39" t="s">
        <v>4</v>
      </c>
      <c r="C18" s="39" t="s">
        <v>107</v>
      </c>
      <c r="D18" s="39" t="s">
        <v>106</v>
      </c>
      <c r="E18" s="1">
        <v>1</v>
      </c>
      <c r="F18" s="40">
        <v>38000</v>
      </c>
      <c r="G18" s="50">
        <f t="shared" si="0"/>
        <v>38000</v>
      </c>
      <c r="H18" s="40">
        <v>38000</v>
      </c>
      <c r="I18" s="50">
        <f t="shared" si="1"/>
        <v>0</v>
      </c>
      <c r="J18" s="9" t="str">
        <f t="shared" si="2"/>
        <v>✅ Paid</v>
      </c>
    </row>
    <row r="19" spans="1:10">
      <c r="A19" s="36">
        <v>45721</v>
      </c>
      <c r="B19" s="39" t="s">
        <v>58</v>
      </c>
      <c r="C19" s="39" t="s">
        <v>92</v>
      </c>
      <c r="D19" s="39" t="s">
        <v>108</v>
      </c>
      <c r="E19" s="1">
        <v>1</v>
      </c>
      <c r="F19" s="40">
        <v>38000</v>
      </c>
      <c r="G19" s="50">
        <f t="shared" si="0"/>
        <v>38000</v>
      </c>
      <c r="H19" s="40">
        <v>38000</v>
      </c>
      <c r="I19" s="50">
        <f t="shared" si="1"/>
        <v>0</v>
      </c>
      <c r="J19" s="9" t="str">
        <f t="shared" si="2"/>
        <v>✅ Paid</v>
      </c>
    </row>
    <row r="20" spans="1:10">
      <c r="A20" s="36">
        <v>45721</v>
      </c>
      <c r="B20" s="39" t="s">
        <v>58</v>
      </c>
      <c r="C20" s="39" t="s">
        <v>92</v>
      </c>
      <c r="D20" s="39" t="s">
        <v>109</v>
      </c>
      <c r="E20" s="1">
        <v>1</v>
      </c>
      <c r="F20" s="40">
        <v>38000</v>
      </c>
      <c r="G20" s="50">
        <f t="shared" si="0"/>
        <v>38000</v>
      </c>
      <c r="H20" s="40">
        <v>38000</v>
      </c>
      <c r="I20" s="50">
        <f t="shared" si="1"/>
        <v>0</v>
      </c>
      <c r="J20" s="9" t="str">
        <f t="shared" si="2"/>
        <v>✅ Paid</v>
      </c>
    </row>
    <row r="21" spans="1:10">
      <c r="A21" s="36">
        <v>45722</v>
      </c>
      <c r="B21" s="39" t="s">
        <v>58</v>
      </c>
      <c r="C21" s="39" t="s">
        <v>110</v>
      </c>
      <c r="D21" s="39" t="s">
        <v>111</v>
      </c>
      <c r="E21" s="1">
        <v>2</v>
      </c>
      <c r="F21" s="40">
        <v>38000</v>
      </c>
      <c r="G21" s="50">
        <f t="shared" si="0"/>
        <v>76000</v>
      </c>
      <c r="H21" s="40">
        <v>76000</v>
      </c>
      <c r="I21" s="50">
        <f t="shared" si="1"/>
        <v>0</v>
      </c>
      <c r="J21" s="9" t="str">
        <f t="shared" si="2"/>
        <v>✅ Paid</v>
      </c>
    </row>
    <row r="22" spans="1:10">
      <c r="A22" s="36">
        <v>45722</v>
      </c>
      <c r="B22" s="39" t="s">
        <v>58</v>
      </c>
      <c r="C22" s="39" t="s">
        <v>110</v>
      </c>
      <c r="D22" s="39" t="s">
        <v>112</v>
      </c>
      <c r="E22" s="1">
        <v>1</v>
      </c>
      <c r="F22" s="40">
        <v>38000</v>
      </c>
      <c r="G22" s="50">
        <f t="shared" si="0"/>
        <v>38000</v>
      </c>
      <c r="H22" s="40">
        <v>38000</v>
      </c>
      <c r="I22" s="50">
        <f t="shared" si="1"/>
        <v>0</v>
      </c>
      <c r="J22" s="9" t="str">
        <f t="shared" si="2"/>
        <v>✅ Paid</v>
      </c>
    </row>
    <row r="23" spans="1:10">
      <c r="A23" s="36">
        <v>45722</v>
      </c>
      <c r="B23" s="39" t="s">
        <v>4</v>
      </c>
      <c r="C23" s="39" t="s">
        <v>30</v>
      </c>
      <c r="D23" s="39" t="s">
        <v>115</v>
      </c>
      <c r="E23" s="1">
        <v>1</v>
      </c>
      <c r="F23" s="40">
        <v>38000</v>
      </c>
      <c r="G23" s="50">
        <f t="shared" si="0"/>
        <v>38000</v>
      </c>
      <c r="H23" s="40">
        <v>38000</v>
      </c>
      <c r="I23" s="50">
        <f t="shared" si="1"/>
        <v>0</v>
      </c>
      <c r="J23" s="9" t="str">
        <f t="shared" si="2"/>
        <v>✅ Paid</v>
      </c>
    </row>
    <row r="24" spans="1:10">
      <c r="A24" s="36">
        <v>45722</v>
      </c>
      <c r="B24" s="39" t="s">
        <v>4</v>
      </c>
      <c r="C24" s="39" t="s">
        <v>30</v>
      </c>
      <c r="D24" s="39" t="s">
        <v>114</v>
      </c>
      <c r="E24" s="1">
        <v>1</v>
      </c>
      <c r="F24" s="40">
        <v>38000</v>
      </c>
      <c r="G24" s="50">
        <f t="shared" si="0"/>
        <v>38000</v>
      </c>
      <c r="H24" s="40">
        <v>38000</v>
      </c>
      <c r="I24" s="50">
        <f t="shared" si="1"/>
        <v>0</v>
      </c>
      <c r="J24" s="9" t="str">
        <f t="shared" si="2"/>
        <v>✅ Paid</v>
      </c>
    </row>
    <row r="25" spans="1:10">
      <c r="A25" s="36">
        <v>45722</v>
      </c>
      <c r="B25" s="39" t="s">
        <v>4</v>
      </c>
      <c r="C25" s="39" t="s">
        <v>113</v>
      </c>
      <c r="D25" s="39" t="s">
        <v>104</v>
      </c>
      <c r="E25" s="1">
        <v>1</v>
      </c>
      <c r="F25" s="40">
        <v>38000</v>
      </c>
      <c r="G25" s="50">
        <f t="shared" si="0"/>
        <v>38000</v>
      </c>
      <c r="H25" s="40">
        <v>38000</v>
      </c>
      <c r="I25" s="50">
        <f t="shared" si="1"/>
        <v>0</v>
      </c>
      <c r="J25" s="9" t="str">
        <f t="shared" si="2"/>
        <v>✅ Paid</v>
      </c>
    </row>
    <row r="26" spans="1:10">
      <c r="A26" s="36">
        <v>45723</v>
      </c>
      <c r="B26" s="39" t="s">
        <v>2</v>
      </c>
      <c r="C26" s="39" t="s">
        <v>110</v>
      </c>
      <c r="D26" s="39" t="s">
        <v>22</v>
      </c>
      <c r="E26" s="1">
        <v>4</v>
      </c>
      <c r="F26" s="40">
        <v>38000</v>
      </c>
      <c r="G26" s="50">
        <f t="shared" si="0"/>
        <v>152000</v>
      </c>
      <c r="H26" s="40">
        <v>152000</v>
      </c>
      <c r="I26" s="50">
        <f t="shared" si="1"/>
        <v>0</v>
      </c>
      <c r="J26" s="9" t="str">
        <f t="shared" si="2"/>
        <v>✅ Paid</v>
      </c>
    </row>
    <row r="27" spans="1:10">
      <c r="A27" s="36">
        <v>45723</v>
      </c>
      <c r="B27" s="39" t="s">
        <v>2</v>
      </c>
      <c r="C27" s="39" t="s">
        <v>110</v>
      </c>
      <c r="D27" s="39" t="s">
        <v>116</v>
      </c>
      <c r="E27" s="1">
        <v>1</v>
      </c>
      <c r="F27" s="40">
        <v>38000</v>
      </c>
      <c r="G27" s="50">
        <f t="shared" si="0"/>
        <v>38000</v>
      </c>
      <c r="H27" s="40">
        <v>38000</v>
      </c>
      <c r="I27" s="50">
        <f t="shared" si="1"/>
        <v>0</v>
      </c>
      <c r="J27" s="9" t="str">
        <f t="shared" si="2"/>
        <v>✅ Paid</v>
      </c>
    </row>
    <row r="28" spans="1:10">
      <c r="A28" s="36">
        <v>45723</v>
      </c>
      <c r="B28" s="39" t="s">
        <v>2</v>
      </c>
      <c r="C28" s="39" t="s">
        <v>23</v>
      </c>
      <c r="D28" s="39" t="s">
        <v>3</v>
      </c>
      <c r="E28" s="1">
        <v>1</v>
      </c>
      <c r="F28" s="40">
        <v>40000</v>
      </c>
      <c r="G28" s="50">
        <f t="shared" si="0"/>
        <v>40000</v>
      </c>
      <c r="H28" s="40">
        <v>40000</v>
      </c>
      <c r="I28" s="50">
        <f t="shared" si="1"/>
        <v>0</v>
      </c>
      <c r="J28" s="9" t="str">
        <f t="shared" si="2"/>
        <v>✅ Paid</v>
      </c>
    </row>
    <row r="29" spans="1:10">
      <c r="A29" s="36">
        <v>45723</v>
      </c>
      <c r="B29" s="39" t="s">
        <v>58</v>
      </c>
      <c r="C29" s="39" t="s">
        <v>21</v>
      </c>
      <c r="D29" s="39" t="s">
        <v>22</v>
      </c>
      <c r="E29" s="1">
        <v>2</v>
      </c>
      <c r="F29" s="40">
        <v>38000</v>
      </c>
      <c r="G29" s="50">
        <f t="shared" si="0"/>
        <v>76000</v>
      </c>
      <c r="H29" s="40">
        <v>76000</v>
      </c>
      <c r="I29" s="50">
        <f t="shared" si="1"/>
        <v>0</v>
      </c>
      <c r="J29" s="9" t="str">
        <f t="shared" si="2"/>
        <v>✅ Paid</v>
      </c>
    </row>
    <row r="30" spans="1:10">
      <c r="A30" s="36">
        <v>45723</v>
      </c>
      <c r="B30" s="39" t="s">
        <v>58</v>
      </c>
      <c r="C30" s="39" t="s">
        <v>107</v>
      </c>
      <c r="D30" s="39" t="s">
        <v>117</v>
      </c>
      <c r="E30" s="1">
        <v>1</v>
      </c>
      <c r="F30" s="40">
        <v>38000</v>
      </c>
      <c r="G30" s="50">
        <f t="shared" si="0"/>
        <v>38000</v>
      </c>
      <c r="H30" s="40">
        <v>38000</v>
      </c>
      <c r="I30" s="50">
        <f t="shared" si="1"/>
        <v>0</v>
      </c>
      <c r="J30" s="9" t="str">
        <f t="shared" si="2"/>
        <v>✅ Paid</v>
      </c>
    </row>
    <row r="31" spans="1:10">
      <c r="A31" s="36">
        <v>45723</v>
      </c>
      <c r="B31" s="39" t="s">
        <v>58</v>
      </c>
      <c r="C31" s="39" t="s">
        <v>84</v>
      </c>
      <c r="D31" s="39" t="s">
        <v>10</v>
      </c>
      <c r="E31" s="1">
        <v>1</v>
      </c>
      <c r="F31" s="40">
        <v>38000</v>
      </c>
      <c r="G31" s="50">
        <f t="shared" si="0"/>
        <v>38000</v>
      </c>
      <c r="H31" s="40">
        <v>38000</v>
      </c>
      <c r="I31" s="50">
        <f t="shared" si="1"/>
        <v>0</v>
      </c>
      <c r="J31" s="9" t="str">
        <f t="shared" si="2"/>
        <v>✅ Paid</v>
      </c>
    </row>
    <row r="32" spans="1:10">
      <c r="A32" s="36">
        <v>45725</v>
      </c>
      <c r="B32" s="39" t="s">
        <v>124</v>
      </c>
      <c r="C32" s="39" t="s">
        <v>118</v>
      </c>
      <c r="D32" s="39" t="s">
        <v>13</v>
      </c>
      <c r="E32" s="1">
        <v>3</v>
      </c>
      <c r="F32" s="40">
        <v>38000</v>
      </c>
      <c r="G32" s="50">
        <f t="shared" si="0"/>
        <v>114000</v>
      </c>
      <c r="H32" s="40">
        <v>114000</v>
      </c>
      <c r="I32" s="50">
        <f t="shared" si="1"/>
        <v>0</v>
      </c>
      <c r="J32" s="9" t="str">
        <f t="shared" si="2"/>
        <v>✅ Paid</v>
      </c>
    </row>
    <row r="33" spans="1:10">
      <c r="A33" s="36">
        <v>45725</v>
      </c>
      <c r="B33" s="39" t="s">
        <v>58</v>
      </c>
      <c r="C33" s="39" t="s">
        <v>39</v>
      </c>
      <c r="D33" s="39" t="s">
        <v>119</v>
      </c>
      <c r="E33" s="1">
        <v>1</v>
      </c>
      <c r="F33" s="40">
        <v>38000</v>
      </c>
      <c r="G33" s="50">
        <f t="shared" si="0"/>
        <v>38000</v>
      </c>
      <c r="H33" s="40">
        <v>38000</v>
      </c>
      <c r="I33" s="50">
        <f t="shared" si="1"/>
        <v>0</v>
      </c>
      <c r="J33" s="9" t="str">
        <f t="shared" si="2"/>
        <v>✅ Paid</v>
      </c>
    </row>
    <row r="34" spans="1:10">
      <c r="A34" s="36">
        <v>45725</v>
      </c>
      <c r="B34" s="39" t="s">
        <v>123</v>
      </c>
      <c r="C34" s="39" t="s">
        <v>83</v>
      </c>
      <c r="D34" s="39" t="s">
        <v>120</v>
      </c>
      <c r="E34" s="1">
        <v>2</v>
      </c>
      <c r="F34" s="40">
        <v>37000</v>
      </c>
      <c r="G34" s="50">
        <f t="shared" si="0"/>
        <v>74000</v>
      </c>
      <c r="H34" s="40">
        <v>74000</v>
      </c>
      <c r="I34" s="50">
        <f t="shared" si="1"/>
        <v>0</v>
      </c>
      <c r="J34" s="9" t="str">
        <f t="shared" si="2"/>
        <v>✅ Paid</v>
      </c>
    </row>
    <row r="35" spans="1:10">
      <c r="A35" s="36">
        <v>45725</v>
      </c>
      <c r="B35" s="39" t="s">
        <v>4</v>
      </c>
      <c r="C35" s="39" t="s">
        <v>84</v>
      </c>
      <c r="D35" s="39" t="s">
        <v>121</v>
      </c>
      <c r="E35" s="1">
        <v>1</v>
      </c>
      <c r="F35" s="40">
        <v>40000</v>
      </c>
      <c r="G35" s="50">
        <f t="shared" si="0"/>
        <v>40000</v>
      </c>
      <c r="H35" s="40">
        <v>35000</v>
      </c>
      <c r="I35" s="50">
        <f t="shared" si="1"/>
        <v>5000</v>
      </c>
      <c r="J35" s="9" t="str">
        <f t="shared" si="2"/>
        <v>ℹ️ Saurabh - ₹5000 pending</v>
      </c>
    </row>
    <row r="36" spans="1:10">
      <c r="A36" s="36">
        <v>45725</v>
      </c>
      <c r="B36" s="39" t="s">
        <v>58</v>
      </c>
      <c r="C36" s="39" t="s">
        <v>318</v>
      </c>
      <c r="D36" s="39" t="s">
        <v>122</v>
      </c>
      <c r="E36" s="1">
        <v>1</v>
      </c>
      <c r="F36" s="40">
        <v>40000</v>
      </c>
      <c r="G36" s="50">
        <f t="shared" ref="G36:G67" si="3">F36*E36</f>
        <v>40000</v>
      </c>
      <c r="H36" s="40">
        <v>40000</v>
      </c>
      <c r="I36" s="50">
        <f t="shared" ref="I36:I67" si="4">G36-H36</f>
        <v>0</v>
      </c>
      <c r="J36" s="9" t="str">
        <f t="shared" ref="J36:J67" si="5">IF(I36&gt;10000,"🚨 URGENT: "&amp;C36&amp;" owes ₹"&amp;I36,IF(I36&gt;5000,"⚠️ WARNING: "&amp;C36&amp;" - ₹"&amp;I36&amp;" due",IF(I36&gt;0,"ℹ️ "&amp;C36&amp;" - ₹"&amp;I36&amp;" pending","✅ Paid")))</f>
        <v>✅ Paid</v>
      </c>
    </row>
    <row r="37" spans="1:10">
      <c r="A37" s="36">
        <v>45725</v>
      </c>
      <c r="B37" s="39"/>
      <c r="C37" s="39" t="s">
        <v>133</v>
      </c>
      <c r="D37" s="39" t="s">
        <v>132</v>
      </c>
      <c r="E37" s="1">
        <v>1</v>
      </c>
      <c r="F37" s="40">
        <v>20000</v>
      </c>
      <c r="G37" s="50">
        <f t="shared" si="3"/>
        <v>20000</v>
      </c>
      <c r="H37" s="40"/>
      <c r="I37" s="50">
        <f t="shared" si="4"/>
        <v>20000</v>
      </c>
      <c r="J37" s="9" t="str">
        <f t="shared" si="5"/>
        <v>🚨 URGENT: Shiva Korewar owes ₹20000</v>
      </c>
    </row>
    <row r="38" spans="1:10">
      <c r="A38" s="36">
        <v>45727</v>
      </c>
      <c r="B38" s="39" t="s">
        <v>4</v>
      </c>
      <c r="C38" s="39" t="s">
        <v>21</v>
      </c>
      <c r="D38" s="39" t="s">
        <v>22</v>
      </c>
      <c r="E38" s="1">
        <v>1</v>
      </c>
      <c r="F38" s="40">
        <v>38000</v>
      </c>
      <c r="G38" s="50">
        <f t="shared" si="3"/>
        <v>38000</v>
      </c>
      <c r="H38" s="40">
        <v>38000</v>
      </c>
      <c r="I38" s="50">
        <f t="shared" si="4"/>
        <v>0</v>
      </c>
      <c r="J38" s="9" t="str">
        <f t="shared" si="5"/>
        <v>✅ Paid</v>
      </c>
    </row>
    <row r="39" spans="1:10">
      <c r="A39" s="36">
        <v>45727</v>
      </c>
      <c r="B39" s="39" t="s">
        <v>2</v>
      </c>
      <c r="C39" s="39" t="s">
        <v>21</v>
      </c>
      <c r="D39" s="39" t="s">
        <v>19</v>
      </c>
      <c r="E39" s="1">
        <v>1</v>
      </c>
      <c r="F39" s="40">
        <v>38000</v>
      </c>
      <c r="G39" s="50">
        <f t="shared" si="3"/>
        <v>38000</v>
      </c>
      <c r="H39" s="40">
        <v>38000</v>
      </c>
      <c r="I39" s="50">
        <f t="shared" si="4"/>
        <v>0</v>
      </c>
      <c r="J39" s="9" t="str">
        <f t="shared" si="5"/>
        <v>✅ Paid</v>
      </c>
    </row>
    <row r="40" spans="1:10">
      <c r="A40" s="36">
        <v>45727</v>
      </c>
      <c r="B40" s="39" t="s">
        <v>2</v>
      </c>
      <c r="C40" s="39" t="s">
        <v>107</v>
      </c>
      <c r="D40" s="39" t="s">
        <v>141</v>
      </c>
      <c r="E40" s="1">
        <v>1</v>
      </c>
      <c r="F40" s="40">
        <v>37000</v>
      </c>
      <c r="G40" s="50">
        <f t="shared" si="3"/>
        <v>37000</v>
      </c>
      <c r="H40" s="40">
        <v>37000</v>
      </c>
      <c r="I40" s="50">
        <f t="shared" si="4"/>
        <v>0</v>
      </c>
      <c r="J40" s="9" t="str">
        <f t="shared" si="5"/>
        <v>✅ Paid</v>
      </c>
    </row>
    <row r="41" spans="1:10">
      <c r="A41" s="36">
        <v>45727</v>
      </c>
      <c r="B41" s="39" t="s">
        <v>58</v>
      </c>
      <c r="C41" s="39" t="s">
        <v>5</v>
      </c>
      <c r="D41" s="39" t="s">
        <v>52</v>
      </c>
      <c r="E41" s="1">
        <v>1</v>
      </c>
      <c r="F41" s="40">
        <v>39000</v>
      </c>
      <c r="G41" s="50">
        <f t="shared" si="3"/>
        <v>39000</v>
      </c>
      <c r="H41" s="40">
        <v>39000</v>
      </c>
      <c r="I41" s="50">
        <f t="shared" si="4"/>
        <v>0</v>
      </c>
      <c r="J41" s="9" t="str">
        <f t="shared" si="5"/>
        <v>✅ Paid</v>
      </c>
    </row>
    <row r="42" spans="1:10">
      <c r="A42" s="36">
        <v>45727</v>
      </c>
      <c r="B42" s="39" t="s">
        <v>58</v>
      </c>
      <c r="C42" s="39" t="s">
        <v>140</v>
      </c>
      <c r="D42" s="39" t="s">
        <v>139</v>
      </c>
      <c r="E42" s="1">
        <v>1</v>
      </c>
      <c r="F42" s="40">
        <v>39000</v>
      </c>
      <c r="G42" s="50">
        <f t="shared" si="3"/>
        <v>39000</v>
      </c>
      <c r="H42" s="40">
        <v>39000</v>
      </c>
      <c r="I42" s="50">
        <f t="shared" si="4"/>
        <v>0</v>
      </c>
      <c r="J42" s="9" t="str">
        <f t="shared" si="5"/>
        <v>✅ Paid</v>
      </c>
    </row>
    <row r="43" spans="1:10">
      <c r="A43" s="36">
        <v>45728</v>
      </c>
      <c r="B43" s="39" t="s">
        <v>4</v>
      </c>
      <c r="C43" s="39" t="s">
        <v>83</v>
      </c>
      <c r="D43" s="39" t="s">
        <v>26</v>
      </c>
      <c r="E43" s="1">
        <v>1</v>
      </c>
      <c r="F43" s="40">
        <v>38000</v>
      </c>
      <c r="G43" s="50">
        <f t="shared" si="3"/>
        <v>38000</v>
      </c>
      <c r="H43" s="40">
        <v>38000</v>
      </c>
      <c r="I43" s="50">
        <f t="shared" si="4"/>
        <v>0</v>
      </c>
      <c r="J43" s="9" t="str">
        <f t="shared" si="5"/>
        <v>✅ Paid</v>
      </c>
    </row>
    <row r="44" spans="1:10">
      <c r="A44" s="36">
        <v>45728</v>
      </c>
      <c r="B44" s="39" t="s">
        <v>4</v>
      </c>
      <c r="C44" s="39" t="s">
        <v>21</v>
      </c>
      <c r="D44" s="39" t="s">
        <v>22</v>
      </c>
      <c r="E44" s="1">
        <v>1</v>
      </c>
      <c r="F44" s="40">
        <v>38000</v>
      </c>
      <c r="G44" s="50">
        <f t="shared" si="3"/>
        <v>38000</v>
      </c>
      <c r="H44" s="40">
        <v>38000</v>
      </c>
      <c r="I44" s="50">
        <f t="shared" si="4"/>
        <v>0</v>
      </c>
      <c r="J44" s="9" t="str">
        <f t="shared" si="5"/>
        <v>✅ Paid</v>
      </c>
    </row>
    <row r="45" spans="1:10">
      <c r="A45" s="36">
        <v>45728</v>
      </c>
      <c r="B45" s="39" t="s">
        <v>58</v>
      </c>
      <c r="C45" s="39" t="s">
        <v>39</v>
      </c>
      <c r="D45" s="39" t="s">
        <v>40</v>
      </c>
      <c r="E45" s="1">
        <v>1</v>
      </c>
      <c r="F45" s="40">
        <v>38000</v>
      </c>
      <c r="G45" s="50">
        <f t="shared" si="3"/>
        <v>38000</v>
      </c>
      <c r="H45" s="40">
        <v>38000</v>
      </c>
      <c r="I45" s="50">
        <f t="shared" si="4"/>
        <v>0</v>
      </c>
      <c r="J45" s="9" t="str">
        <f t="shared" si="5"/>
        <v>✅ Paid</v>
      </c>
    </row>
    <row r="46" spans="1:10">
      <c r="A46" s="36">
        <v>45728</v>
      </c>
      <c r="B46" s="39" t="s">
        <v>58</v>
      </c>
      <c r="C46" s="39" t="s">
        <v>92</v>
      </c>
      <c r="D46" s="39" t="s">
        <v>137</v>
      </c>
      <c r="E46" s="1">
        <v>1</v>
      </c>
      <c r="F46" s="40">
        <v>38000</v>
      </c>
      <c r="G46" s="50">
        <f t="shared" si="3"/>
        <v>38000</v>
      </c>
      <c r="H46" s="40">
        <v>38000</v>
      </c>
      <c r="I46" s="50">
        <f t="shared" si="4"/>
        <v>0</v>
      </c>
      <c r="J46" s="9" t="str">
        <f t="shared" si="5"/>
        <v>✅ Paid</v>
      </c>
    </row>
    <row r="47" spans="1:10">
      <c r="A47" s="36">
        <v>45728</v>
      </c>
      <c r="B47" s="39" t="s">
        <v>58</v>
      </c>
      <c r="C47" s="39" t="s">
        <v>138</v>
      </c>
      <c r="D47" s="39" t="s">
        <v>13</v>
      </c>
      <c r="E47" s="1">
        <v>1</v>
      </c>
      <c r="F47" s="40">
        <v>38000</v>
      </c>
      <c r="G47" s="50">
        <f t="shared" si="3"/>
        <v>38000</v>
      </c>
      <c r="H47" s="40">
        <v>38000</v>
      </c>
      <c r="I47" s="50">
        <f t="shared" si="4"/>
        <v>0</v>
      </c>
      <c r="J47" s="9" t="str">
        <f t="shared" si="5"/>
        <v>✅ Paid</v>
      </c>
    </row>
    <row r="48" spans="1:10">
      <c r="A48" s="36">
        <v>45729</v>
      </c>
      <c r="B48" s="39" t="s">
        <v>4</v>
      </c>
      <c r="C48" s="39" t="s">
        <v>21</v>
      </c>
      <c r="D48" s="39" t="s">
        <v>126</v>
      </c>
      <c r="E48" s="1">
        <v>1</v>
      </c>
      <c r="F48" s="40">
        <v>38000</v>
      </c>
      <c r="G48" s="50">
        <f t="shared" si="3"/>
        <v>38000</v>
      </c>
      <c r="H48" s="40">
        <v>38000</v>
      </c>
      <c r="I48" s="50">
        <f t="shared" si="4"/>
        <v>0</v>
      </c>
      <c r="J48" s="9" t="str">
        <f t="shared" si="5"/>
        <v>✅ Paid</v>
      </c>
    </row>
    <row r="49" spans="1:10">
      <c r="A49" s="36">
        <v>45729</v>
      </c>
      <c r="B49" s="39" t="s">
        <v>123</v>
      </c>
      <c r="C49" s="39" t="s">
        <v>84</v>
      </c>
      <c r="D49" s="39" t="s">
        <v>127</v>
      </c>
      <c r="E49" s="1">
        <v>1</v>
      </c>
      <c r="F49" s="40">
        <v>35000</v>
      </c>
      <c r="G49" s="50">
        <f t="shared" si="3"/>
        <v>35000</v>
      </c>
      <c r="H49" s="40">
        <v>35000</v>
      </c>
      <c r="I49" s="50">
        <f t="shared" si="4"/>
        <v>0</v>
      </c>
      <c r="J49" s="9" t="str">
        <f t="shared" si="5"/>
        <v>✅ Paid</v>
      </c>
    </row>
    <row r="50" spans="1:10">
      <c r="A50" s="36">
        <v>45729</v>
      </c>
      <c r="B50" s="39" t="s">
        <v>58</v>
      </c>
      <c r="C50" s="39" t="s">
        <v>128</v>
      </c>
      <c r="D50" s="39" t="s">
        <v>129</v>
      </c>
      <c r="E50" s="1">
        <v>2</v>
      </c>
      <c r="F50" s="40">
        <v>38000</v>
      </c>
      <c r="G50" s="50">
        <f t="shared" si="3"/>
        <v>76000</v>
      </c>
      <c r="H50" s="40">
        <v>50000</v>
      </c>
      <c r="I50" s="50">
        <f t="shared" si="4"/>
        <v>26000</v>
      </c>
      <c r="J50" s="9" t="str">
        <f t="shared" si="5"/>
        <v>🚨 URGENT: Aau owes ₹26000</v>
      </c>
    </row>
    <row r="51" spans="1:10">
      <c r="A51" s="36">
        <v>45729</v>
      </c>
      <c r="B51" s="39" t="s">
        <v>4</v>
      </c>
      <c r="C51" s="39" t="s">
        <v>83</v>
      </c>
      <c r="D51" s="39" t="s">
        <v>130</v>
      </c>
      <c r="E51" s="1">
        <v>1</v>
      </c>
      <c r="F51" s="40">
        <v>39000</v>
      </c>
      <c r="G51" s="50">
        <f t="shared" si="3"/>
        <v>39000</v>
      </c>
      <c r="H51" s="40">
        <v>39000</v>
      </c>
      <c r="I51" s="50">
        <f t="shared" si="4"/>
        <v>0</v>
      </c>
      <c r="J51" s="9" t="str">
        <f t="shared" si="5"/>
        <v>✅ Paid</v>
      </c>
    </row>
    <row r="52" spans="1:10">
      <c r="A52" s="36">
        <v>45729</v>
      </c>
      <c r="B52" s="39" t="s">
        <v>58</v>
      </c>
      <c r="C52" s="39" t="s">
        <v>131</v>
      </c>
      <c r="D52" s="39" t="s">
        <v>134</v>
      </c>
      <c r="E52" s="1">
        <v>1</v>
      </c>
      <c r="F52" s="40">
        <v>0</v>
      </c>
      <c r="G52" s="50">
        <f t="shared" si="3"/>
        <v>0</v>
      </c>
      <c r="H52" s="40"/>
      <c r="I52" s="50">
        <f t="shared" si="4"/>
        <v>0</v>
      </c>
      <c r="J52" s="9" t="str">
        <f t="shared" si="5"/>
        <v>✅ Paid</v>
      </c>
    </row>
    <row r="53" spans="1:10">
      <c r="A53" s="36">
        <v>45729</v>
      </c>
      <c r="B53" s="39" t="s">
        <v>58</v>
      </c>
      <c r="C53" s="39" t="s">
        <v>135</v>
      </c>
      <c r="D53" s="39" t="s">
        <v>136</v>
      </c>
      <c r="E53" s="1">
        <v>1</v>
      </c>
      <c r="F53" s="40">
        <v>35000</v>
      </c>
      <c r="G53" s="50">
        <f t="shared" si="3"/>
        <v>35000</v>
      </c>
      <c r="H53" s="40">
        <v>35000</v>
      </c>
      <c r="I53" s="50">
        <f t="shared" si="4"/>
        <v>0</v>
      </c>
      <c r="J53" s="9" t="str">
        <f t="shared" si="5"/>
        <v>✅ Paid</v>
      </c>
    </row>
    <row r="54" spans="1:10">
      <c r="A54" s="36">
        <v>45731</v>
      </c>
      <c r="B54" s="39" t="s">
        <v>142</v>
      </c>
      <c r="C54" s="39" t="s">
        <v>84</v>
      </c>
      <c r="D54" s="39" t="s">
        <v>127</v>
      </c>
      <c r="E54" s="1">
        <v>2</v>
      </c>
      <c r="F54" s="40">
        <v>35000</v>
      </c>
      <c r="G54" s="50">
        <f t="shared" si="3"/>
        <v>70000</v>
      </c>
      <c r="H54" s="40">
        <v>70000</v>
      </c>
      <c r="I54" s="50">
        <f t="shared" si="4"/>
        <v>0</v>
      </c>
      <c r="J54" s="9" t="str">
        <f t="shared" si="5"/>
        <v>✅ Paid</v>
      </c>
    </row>
    <row r="55" spans="1:10">
      <c r="A55" s="36">
        <v>45731</v>
      </c>
      <c r="B55" s="39" t="s">
        <v>2</v>
      </c>
      <c r="C55" s="39" t="s">
        <v>84</v>
      </c>
      <c r="D55" s="39" t="s">
        <v>19</v>
      </c>
      <c r="E55" s="1">
        <v>1</v>
      </c>
      <c r="F55" s="40">
        <v>36000</v>
      </c>
      <c r="G55" s="50">
        <f t="shared" si="3"/>
        <v>36000</v>
      </c>
      <c r="H55" s="40">
        <v>36000</v>
      </c>
      <c r="I55" s="50">
        <f t="shared" si="4"/>
        <v>0</v>
      </c>
      <c r="J55" s="9" t="str">
        <f t="shared" si="5"/>
        <v>✅ Paid</v>
      </c>
    </row>
    <row r="56" spans="1:10">
      <c r="A56" s="36">
        <v>45731</v>
      </c>
      <c r="B56" s="39" t="s">
        <v>2</v>
      </c>
      <c r="C56" s="39" t="s">
        <v>84</v>
      </c>
      <c r="D56" s="39" t="s">
        <v>10</v>
      </c>
      <c r="E56" s="1">
        <v>1</v>
      </c>
      <c r="F56" s="40">
        <v>37000</v>
      </c>
      <c r="G56" s="50">
        <f t="shared" si="3"/>
        <v>37000</v>
      </c>
      <c r="H56" s="40">
        <v>37000</v>
      </c>
      <c r="I56" s="50">
        <f t="shared" si="4"/>
        <v>0</v>
      </c>
      <c r="J56" s="9" t="str">
        <f t="shared" si="5"/>
        <v>✅ Paid</v>
      </c>
    </row>
    <row r="57" spans="1:10">
      <c r="A57" s="36">
        <v>45732</v>
      </c>
      <c r="B57" s="39" t="s">
        <v>4</v>
      </c>
      <c r="C57" s="39" t="s">
        <v>9</v>
      </c>
      <c r="D57" s="39" t="s">
        <v>10</v>
      </c>
      <c r="E57" s="1">
        <v>1</v>
      </c>
      <c r="F57" s="40">
        <v>40000</v>
      </c>
      <c r="G57" s="50">
        <f t="shared" si="3"/>
        <v>40000</v>
      </c>
      <c r="H57" s="40"/>
      <c r="I57" s="50">
        <f t="shared" si="4"/>
        <v>40000</v>
      </c>
      <c r="J57" s="9" t="str">
        <f t="shared" si="5"/>
        <v>🚨 URGENT: Izhar owes ₹40000</v>
      </c>
    </row>
    <row r="58" spans="1:10">
      <c r="A58" s="36">
        <v>45732</v>
      </c>
      <c r="B58" s="39" t="s">
        <v>4</v>
      </c>
      <c r="C58" s="39" t="s">
        <v>144</v>
      </c>
      <c r="D58" s="39" t="s">
        <v>40</v>
      </c>
      <c r="E58" s="1">
        <v>1</v>
      </c>
      <c r="F58" s="40">
        <v>38000</v>
      </c>
      <c r="G58" s="50">
        <f t="shared" si="3"/>
        <v>38000</v>
      </c>
      <c r="H58" s="40">
        <v>38000</v>
      </c>
      <c r="I58" s="50">
        <f t="shared" si="4"/>
        <v>0</v>
      </c>
      <c r="J58" s="9" t="str">
        <f t="shared" si="5"/>
        <v>✅ Paid</v>
      </c>
    </row>
    <row r="59" spans="1:10">
      <c r="A59" s="36">
        <v>45732</v>
      </c>
      <c r="B59" s="39" t="s">
        <v>4</v>
      </c>
      <c r="C59" s="39" t="s">
        <v>39</v>
      </c>
      <c r="D59" s="39" t="s">
        <v>143</v>
      </c>
      <c r="E59" s="1">
        <v>1</v>
      </c>
      <c r="F59" s="40">
        <v>37000</v>
      </c>
      <c r="G59" s="50">
        <f t="shared" si="3"/>
        <v>37000</v>
      </c>
      <c r="H59" s="40">
        <v>37000</v>
      </c>
      <c r="I59" s="50">
        <f t="shared" si="4"/>
        <v>0</v>
      </c>
      <c r="J59" s="9" t="str">
        <f t="shared" si="5"/>
        <v>✅ Paid</v>
      </c>
    </row>
    <row r="60" spans="1:10">
      <c r="A60" s="36">
        <v>45733</v>
      </c>
      <c r="B60" s="39" t="s">
        <v>4</v>
      </c>
      <c r="C60" s="39" t="s">
        <v>23</v>
      </c>
      <c r="D60" s="39" t="s">
        <v>10</v>
      </c>
      <c r="E60" s="1">
        <v>1</v>
      </c>
      <c r="F60" s="40">
        <v>40000</v>
      </c>
      <c r="G60" s="50">
        <f t="shared" si="3"/>
        <v>40000</v>
      </c>
      <c r="H60" s="40">
        <v>40000</v>
      </c>
      <c r="I60" s="50">
        <f t="shared" si="4"/>
        <v>0</v>
      </c>
      <c r="J60" s="9" t="str">
        <f t="shared" si="5"/>
        <v>✅ Paid</v>
      </c>
    </row>
    <row r="61" spans="1:10">
      <c r="A61" s="36">
        <v>45733</v>
      </c>
      <c r="B61" s="39" t="s">
        <v>4</v>
      </c>
      <c r="C61" s="39" t="s">
        <v>110</v>
      </c>
      <c r="D61" s="39" t="s">
        <v>13</v>
      </c>
      <c r="E61" s="1">
        <v>1</v>
      </c>
      <c r="F61" s="40">
        <v>37000</v>
      </c>
      <c r="G61" s="50">
        <f t="shared" si="3"/>
        <v>37000</v>
      </c>
      <c r="H61" s="40"/>
      <c r="I61" s="50">
        <f t="shared" si="4"/>
        <v>37000</v>
      </c>
      <c r="J61" s="9" t="str">
        <f t="shared" si="5"/>
        <v>🚨 URGENT: Ankush P owes ₹37000</v>
      </c>
    </row>
    <row r="62" spans="1:10">
      <c r="A62" s="36">
        <v>45733</v>
      </c>
      <c r="B62" s="39" t="s">
        <v>4</v>
      </c>
      <c r="C62" s="39" t="s">
        <v>30</v>
      </c>
      <c r="D62" s="39" t="s">
        <v>22</v>
      </c>
      <c r="E62" s="1">
        <v>1</v>
      </c>
      <c r="F62" s="40">
        <v>38000</v>
      </c>
      <c r="G62" s="50">
        <f t="shared" si="3"/>
        <v>38000</v>
      </c>
      <c r="H62" s="40">
        <v>38000</v>
      </c>
      <c r="I62" s="50">
        <f t="shared" si="4"/>
        <v>0</v>
      </c>
      <c r="J62" s="9" t="str">
        <f t="shared" si="5"/>
        <v>✅ Paid</v>
      </c>
    </row>
    <row r="63" spans="1:10">
      <c r="A63" s="36">
        <v>45735</v>
      </c>
      <c r="B63" s="39" t="s">
        <v>58</v>
      </c>
      <c r="C63" s="39" t="s">
        <v>146</v>
      </c>
      <c r="D63" s="39" t="s">
        <v>145</v>
      </c>
      <c r="E63" s="1">
        <v>1</v>
      </c>
      <c r="F63" s="40">
        <v>38000</v>
      </c>
      <c r="G63" s="50">
        <f t="shared" si="3"/>
        <v>38000</v>
      </c>
      <c r="H63" s="40">
        <v>38000</v>
      </c>
      <c r="I63" s="50">
        <f t="shared" si="4"/>
        <v>0</v>
      </c>
      <c r="J63" s="9" t="str">
        <f t="shared" si="5"/>
        <v>✅ Paid</v>
      </c>
    </row>
    <row r="64" spans="1:10">
      <c r="A64" s="36">
        <v>45735</v>
      </c>
      <c r="B64" s="39" t="s">
        <v>4</v>
      </c>
      <c r="C64" s="39" t="s">
        <v>23</v>
      </c>
      <c r="D64" s="39" t="s">
        <v>10</v>
      </c>
      <c r="E64" s="1">
        <v>1</v>
      </c>
      <c r="F64" s="40">
        <v>40000</v>
      </c>
      <c r="G64" s="50">
        <f t="shared" si="3"/>
        <v>40000</v>
      </c>
      <c r="H64" s="40"/>
      <c r="I64" s="50">
        <f t="shared" si="4"/>
        <v>40000</v>
      </c>
      <c r="J64" s="9" t="str">
        <f t="shared" si="5"/>
        <v>🚨 URGENT: Preet Bhaiya owes ₹40000</v>
      </c>
    </row>
    <row r="65" spans="1:10">
      <c r="A65" s="36">
        <v>45735</v>
      </c>
      <c r="B65" s="39" t="s">
        <v>4</v>
      </c>
      <c r="C65" s="39"/>
      <c r="D65" s="39" t="s">
        <v>147</v>
      </c>
      <c r="E65" s="1">
        <v>1</v>
      </c>
      <c r="F65" s="40">
        <v>42000</v>
      </c>
      <c r="G65" s="50">
        <f t="shared" si="3"/>
        <v>42000</v>
      </c>
      <c r="H65" s="40">
        <v>42000</v>
      </c>
      <c r="I65" s="50">
        <f t="shared" si="4"/>
        <v>0</v>
      </c>
      <c r="J65" s="9" t="str">
        <f t="shared" si="5"/>
        <v>✅ Paid</v>
      </c>
    </row>
    <row r="66" spans="1:10">
      <c r="A66" s="36">
        <v>45735</v>
      </c>
      <c r="B66" s="39" t="s">
        <v>58</v>
      </c>
      <c r="C66" s="39" t="s">
        <v>318</v>
      </c>
      <c r="D66" s="39" t="s">
        <v>88</v>
      </c>
      <c r="E66" s="1">
        <v>1</v>
      </c>
      <c r="F66" s="40">
        <v>40000</v>
      </c>
      <c r="G66" s="50">
        <f t="shared" si="3"/>
        <v>40000</v>
      </c>
      <c r="H66" s="40">
        <v>40000</v>
      </c>
      <c r="I66" s="50">
        <f t="shared" si="4"/>
        <v>0</v>
      </c>
      <c r="J66" s="9" t="str">
        <f t="shared" si="5"/>
        <v>✅ Paid</v>
      </c>
    </row>
    <row r="67" spans="1:10">
      <c r="A67" s="36">
        <v>45735</v>
      </c>
      <c r="B67" s="39" t="s">
        <v>58</v>
      </c>
      <c r="C67" s="39" t="s">
        <v>148</v>
      </c>
      <c r="D67" s="39" t="s">
        <v>120</v>
      </c>
      <c r="E67" s="1">
        <v>1</v>
      </c>
      <c r="F67" s="40">
        <v>38000</v>
      </c>
      <c r="G67" s="50">
        <f t="shared" si="3"/>
        <v>38000</v>
      </c>
      <c r="H67" s="40">
        <v>38000</v>
      </c>
      <c r="I67" s="50">
        <f t="shared" si="4"/>
        <v>0</v>
      </c>
      <c r="J67" s="9" t="str">
        <f t="shared" si="5"/>
        <v>✅ Paid</v>
      </c>
    </row>
    <row r="68" spans="1:10">
      <c r="A68" s="36">
        <v>45736</v>
      </c>
      <c r="B68" s="39" t="s">
        <v>55</v>
      </c>
      <c r="C68" s="39" t="s">
        <v>150</v>
      </c>
      <c r="D68" s="39" t="s">
        <v>120</v>
      </c>
      <c r="E68" s="1">
        <v>2</v>
      </c>
      <c r="F68" s="40">
        <v>38000</v>
      </c>
      <c r="G68" s="50">
        <f t="shared" ref="G68:G99" si="6">F68*E68</f>
        <v>76000</v>
      </c>
      <c r="H68" s="40">
        <v>76000</v>
      </c>
      <c r="I68" s="50">
        <f t="shared" ref="I68:I99" si="7">G68-H68</f>
        <v>0</v>
      </c>
      <c r="J68" s="9" t="str">
        <f t="shared" ref="J68:J88" si="8">IF(I68&gt;10000,"🚨 URGENT: "&amp;C68&amp;" owes ₹"&amp;I68,IF(I68&gt;5000,"⚠️ WARNING: "&amp;C68&amp;" - ₹"&amp;I68&amp;" due",IF(I68&gt;0,"ℹ️ "&amp;C68&amp;" - ₹"&amp;I68&amp;" pending","✅ Paid")))</f>
        <v>✅ Paid</v>
      </c>
    </row>
    <row r="69" spans="1:10">
      <c r="A69" s="36">
        <v>45736</v>
      </c>
      <c r="B69" s="39" t="s">
        <v>4</v>
      </c>
      <c r="C69" s="39" t="s">
        <v>21</v>
      </c>
      <c r="D69" s="39" t="s">
        <v>22</v>
      </c>
      <c r="E69" s="1">
        <v>1</v>
      </c>
      <c r="F69" s="40">
        <v>37000</v>
      </c>
      <c r="G69" s="50">
        <f t="shared" si="6"/>
        <v>37000</v>
      </c>
      <c r="H69" s="40">
        <v>37000</v>
      </c>
      <c r="I69" s="50">
        <f t="shared" si="7"/>
        <v>0</v>
      </c>
      <c r="J69" s="9" t="str">
        <f t="shared" si="8"/>
        <v>✅ Paid</v>
      </c>
    </row>
    <row r="70" spans="1:10">
      <c r="A70" s="36">
        <v>45736</v>
      </c>
      <c r="B70" s="39" t="s">
        <v>58</v>
      </c>
      <c r="C70" s="39" t="s">
        <v>110</v>
      </c>
      <c r="D70" s="39" t="s">
        <v>149</v>
      </c>
      <c r="E70" s="1">
        <v>1</v>
      </c>
      <c r="F70" s="40">
        <v>37000</v>
      </c>
      <c r="G70" s="50">
        <f t="shared" si="6"/>
        <v>37000</v>
      </c>
      <c r="H70" s="40"/>
      <c r="I70" s="50">
        <f t="shared" si="7"/>
        <v>37000</v>
      </c>
      <c r="J70" s="9" t="str">
        <f t="shared" si="8"/>
        <v>🚨 URGENT: Ankush P owes ₹37000</v>
      </c>
    </row>
    <row r="71" spans="1:10">
      <c r="A71" s="36">
        <v>45737</v>
      </c>
      <c r="B71" s="39" t="s">
        <v>4</v>
      </c>
      <c r="C71" s="39" t="s">
        <v>110</v>
      </c>
      <c r="D71" s="39" t="s">
        <v>126</v>
      </c>
      <c r="E71" s="1">
        <v>1</v>
      </c>
      <c r="F71" s="40">
        <v>37000</v>
      </c>
      <c r="G71" s="50">
        <f t="shared" si="6"/>
        <v>37000</v>
      </c>
      <c r="H71" s="40"/>
      <c r="I71" s="50">
        <f t="shared" si="7"/>
        <v>37000</v>
      </c>
      <c r="J71" s="9" t="str">
        <f t="shared" si="8"/>
        <v>🚨 URGENT: Ankush P owes ₹37000</v>
      </c>
    </row>
    <row r="72" spans="1:10">
      <c r="A72" s="36">
        <v>45737</v>
      </c>
      <c r="B72" s="39" t="s">
        <v>4</v>
      </c>
      <c r="C72" s="39" t="s">
        <v>21</v>
      </c>
      <c r="D72" s="39" t="s">
        <v>22</v>
      </c>
      <c r="E72" s="1">
        <v>1</v>
      </c>
      <c r="F72" s="40">
        <v>37000</v>
      </c>
      <c r="G72" s="50">
        <f t="shared" si="6"/>
        <v>37000</v>
      </c>
      <c r="H72" s="40">
        <v>37000</v>
      </c>
      <c r="I72" s="50">
        <f t="shared" si="7"/>
        <v>0</v>
      </c>
      <c r="J72" s="9" t="str">
        <f t="shared" si="8"/>
        <v>✅ Paid</v>
      </c>
    </row>
    <row r="73" spans="1:10">
      <c r="A73" s="36">
        <v>45738</v>
      </c>
      <c r="B73" s="39" t="s">
        <v>55</v>
      </c>
      <c r="C73" s="39" t="s">
        <v>150</v>
      </c>
      <c r="D73" s="39" t="s">
        <v>120</v>
      </c>
      <c r="E73" s="1">
        <v>2</v>
      </c>
      <c r="F73" s="40">
        <v>38000</v>
      </c>
      <c r="G73" s="50">
        <f t="shared" si="6"/>
        <v>76000</v>
      </c>
      <c r="H73" s="40">
        <v>76000</v>
      </c>
      <c r="I73" s="50">
        <f t="shared" si="7"/>
        <v>0</v>
      </c>
      <c r="J73" s="9" t="str">
        <f t="shared" si="8"/>
        <v>✅ Paid</v>
      </c>
    </row>
    <row r="74" spans="1:10">
      <c r="A74" s="36">
        <v>45738</v>
      </c>
      <c r="B74" s="39" t="s">
        <v>151</v>
      </c>
      <c r="C74" s="39" t="s">
        <v>153</v>
      </c>
      <c r="D74" s="39" t="s">
        <v>122</v>
      </c>
      <c r="E74" s="1">
        <v>2</v>
      </c>
      <c r="F74" s="40">
        <v>38000</v>
      </c>
      <c r="G74" s="50">
        <f t="shared" si="6"/>
        <v>76000</v>
      </c>
      <c r="H74" s="40">
        <v>76000</v>
      </c>
      <c r="I74" s="50">
        <f t="shared" si="7"/>
        <v>0</v>
      </c>
      <c r="J74" s="9" t="str">
        <f t="shared" si="8"/>
        <v>✅ Paid</v>
      </c>
    </row>
    <row r="75" spans="1:10">
      <c r="A75" s="36">
        <v>45738</v>
      </c>
      <c r="B75" s="39" t="s">
        <v>4</v>
      </c>
      <c r="C75" s="39" t="s">
        <v>21</v>
      </c>
      <c r="D75" s="39" t="s">
        <v>145</v>
      </c>
      <c r="E75" s="1">
        <v>1</v>
      </c>
      <c r="F75" s="40">
        <v>37000</v>
      </c>
      <c r="G75" s="50">
        <f t="shared" si="6"/>
        <v>37000</v>
      </c>
      <c r="H75" s="40">
        <v>37000</v>
      </c>
      <c r="I75" s="50">
        <f t="shared" si="7"/>
        <v>0</v>
      </c>
      <c r="J75" s="9" t="str">
        <f t="shared" si="8"/>
        <v>✅ Paid</v>
      </c>
    </row>
    <row r="76" spans="1:10">
      <c r="A76" s="36">
        <v>45738</v>
      </c>
      <c r="B76" s="39" t="s">
        <v>58</v>
      </c>
      <c r="C76" s="39" t="s">
        <v>21</v>
      </c>
      <c r="D76" s="39" t="s">
        <v>22</v>
      </c>
      <c r="E76" s="1">
        <v>1</v>
      </c>
      <c r="F76" s="40">
        <v>37000</v>
      </c>
      <c r="G76" s="50">
        <f t="shared" si="6"/>
        <v>37000</v>
      </c>
      <c r="H76" s="40">
        <v>37000</v>
      </c>
      <c r="I76" s="50">
        <f t="shared" si="7"/>
        <v>0</v>
      </c>
      <c r="J76" s="9" t="str">
        <f t="shared" si="8"/>
        <v>✅ Paid</v>
      </c>
    </row>
    <row r="77" spans="1:10">
      <c r="A77" s="36">
        <v>45739</v>
      </c>
      <c r="B77" s="39" t="s">
        <v>123</v>
      </c>
      <c r="C77" s="49" t="s">
        <v>84</v>
      </c>
      <c r="D77" s="39" t="s">
        <v>11</v>
      </c>
      <c r="E77" s="1">
        <v>2</v>
      </c>
      <c r="F77" s="40">
        <v>40000</v>
      </c>
      <c r="G77" s="50">
        <f t="shared" si="6"/>
        <v>80000</v>
      </c>
      <c r="H77" s="40"/>
      <c r="I77" s="50">
        <f t="shared" si="7"/>
        <v>80000</v>
      </c>
      <c r="J77" s="9" t="str">
        <f t="shared" si="8"/>
        <v>🚨 URGENT: Saurabh owes ₹80000</v>
      </c>
    </row>
    <row r="78" spans="1:10">
      <c r="A78" s="36">
        <v>45739</v>
      </c>
      <c r="B78" s="39" t="s">
        <v>4</v>
      </c>
      <c r="C78" s="39" t="s">
        <v>74</v>
      </c>
      <c r="D78" s="39" t="s">
        <v>22</v>
      </c>
      <c r="E78" s="1">
        <v>1</v>
      </c>
      <c r="F78" s="40">
        <v>38000</v>
      </c>
      <c r="G78" s="50">
        <f t="shared" si="6"/>
        <v>38000</v>
      </c>
      <c r="H78" s="40">
        <v>38000</v>
      </c>
      <c r="I78" s="50">
        <f t="shared" si="7"/>
        <v>0</v>
      </c>
      <c r="J78" s="9" t="str">
        <f t="shared" si="8"/>
        <v>✅ Paid</v>
      </c>
    </row>
    <row r="79" spans="1:10">
      <c r="A79" s="36">
        <v>45739</v>
      </c>
      <c r="B79" s="39" t="s">
        <v>58</v>
      </c>
      <c r="C79" s="39" t="s">
        <v>21</v>
      </c>
      <c r="D79" s="39" t="s">
        <v>145</v>
      </c>
      <c r="E79" s="1">
        <v>1</v>
      </c>
      <c r="F79" s="40">
        <v>37000</v>
      </c>
      <c r="G79" s="50">
        <f t="shared" si="6"/>
        <v>37000</v>
      </c>
      <c r="H79" s="40">
        <v>37000</v>
      </c>
      <c r="I79" s="50">
        <f t="shared" si="7"/>
        <v>0</v>
      </c>
      <c r="J79" s="9" t="str">
        <f t="shared" si="8"/>
        <v>✅ Paid</v>
      </c>
    </row>
    <row r="80" spans="1:10">
      <c r="A80" s="36">
        <v>45739</v>
      </c>
      <c r="B80" s="39" t="s">
        <v>58</v>
      </c>
      <c r="C80" s="39" t="s">
        <v>30</v>
      </c>
      <c r="D80" s="39" t="s">
        <v>152</v>
      </c>
      <c r="E80" s="1">
        <v>1</v>
      </c>
      <c r="F80" s="40">
        <v>37000</v>
      </c>
      <c r="G80" s="50">
        <f t="shared" si="6"/>
        <v>37000</v>
      </c>
      <c r="H80" s="40">
        <v>37000</v>
      </c>
      <c r="I80" s="50">
        <f t="shared" si="7"/>
        <v>0</v>
      </c>
      <c r="J80" s="9" t="str">
        <f t="shared" si="8"/>
        <v>✅ Paid</v>
      </c>
    </row>
    <row r="81" spans="1:11">
      <c r="A81" s="36">
        <v>45740</v>
      </c>
      <c r="B81" s="39" t="s">
        <v>4</v>
      </c>
      <c r="C81" s="39" t="s">
        <v>84</v>
      </c>
      <c r="D81" s="39" t="s">
        <v>19</v>
      </c>
      <c r="E81" s="1">
        <v>1</v>
      </c>
      <c r="F81" s="40">
        <v>35000</v>
      </c>
      <c r="G81" s="50">
        <f t="shared" si="6"/>
        <v>35000</v>
      </c>
      <c r="H81" s="40">
        <v>35000</v>
      </c>
      <c r="I81" s="50">
        <f t="shared" si="7"/>
        <v>0</v>
      </c>
      <c r="J81" s="9" t="str">
        <f t="shared" si="8"/>
        <v>✅ Paid</v>
      </c>
    </row>
    <row r="82" spans="1:11">
      <c r="A82" s="36">
        <v>45740</v>
      </c>
      <c r="B82" s="39" t="s">
        <v>58</v>
      </c>
      <c r="C82" s="39" t="s">
        <v>110</v>
      </c>
      <c r="D82" s="39" t="s">
        <v>112</v>
      </c>
      <c r="E82" s="1">
        <v>1</v>
      </c>
      <c r="F82" s="40">
        <v>37000</v>
      </c>
      <c r="G82" s="50">
        <f t="shared" si="6"/>
        <v>37000</v>
      </c>
      <c r="H82" s="40"/>
      <c r="I82" s="50">
        <f t="shared" si="7"/>
        <v>37000</v>
      </c>
      <c r="J82" s="9" t="str">
        <f t="shared" si="8"/>
        <v>🚨 URGENT: Ankush P owes ₹37000</v>
      </c>
    </row>
    <row r="83" spans="1:11">
      <c r="A83" s="36">
        <v>45741</v>
      </c>
      <c r="B83" s="39" t="s">
        <v>4</v>
      </c>
      <c r="C83" s="39" t="s">
        <v>73</v>
      </c>
      <c r="D83" s="39" t="s">
        <v>156</v>
      </c>
      <c r="E83" s="1">
        <v>1</v>
      </c>
      <c r="F83" s="40">
        <v>35000</v>
      </c>
      <c r="G83" s="50">
        <f t="shared" si="6"/>
        <v>35000</v>
      </c>
      <c r="H83" s="40">
        <v>35000</v>
      </c>
      <c r="I83" s="50">
        <f t="shared" si="7"/>
        <v>0</v>
      </c>
      <c r="J83" s="9" t="str">
        <f t="shared" si="8"/>
        <v>✅ Paid</v>
      </c>
    </row>
    <row r="84" spans="1:11">
      <c r="A84" s="36">
        <v>45741</v>
      </c>
      <c r="B84" s="39" t="s">
        <v>4</v>
      </c>
      <c r="C84" s="39" t="s">
        <v>158</v>
      </c>
      <c r="D84" s="39" t="s">
        <v>157</v>
      </c>
      <c r="E84" s="1">
        <v>1</v>
      </c>
      <c r="F84" s="40">
        <v>36000</v>
      </c>
      <c r="G84" s="50">
        <f t="shared" si="6"/>
        <v>36000</v>
      </c>
      <c r="H84" s="40">
        <v>36000</v>
      </c>
      <c r="I84" s="50">
        <f t="shared" si="7"/>
        <v>0</v>
      </c>
      <c r="J84" s="9" t="str">
        <f t="shared" si="8"/>
        <v>✅ Paid</v>
      </c>
    </row>
    <row r="85" spans="1:11">
      <c r="A85" s="36">
        <v>45741</v>
      </c>
      <c r="B85" s="39" t="s">
        <v>4</v>
      </c>
      <c r="C85" s="39" t="s">
        <v>159</v>
      </c>
      <c r="D85" s="39" t="s">
        <v>13</v>
      </c>
      <c r="E85" s="1">
        <v>1</v>
      </c>
      <c r="F85" s="40">
        <v>37000</v>
      </c>
      <c r="G85" s="50">
        <f t="shared" si="6"/>
        <v>37000</v>
      </c>
      <c r="H85" s="40">
        <v>37000</v>
      </c>
      <c r="I85" s="50">
        <f t="shared" si="7"/>
        <v>0</v>
      </c>
      <c r="J85" s="9" t="str">
        <f t="shared" si="8"/>
        <v>✅ Paid</v>
      </c>
    </row>
    <row r="86" spans="1:11">
      <c r="A86" s="36">
        <v>45741</v>
      </c>
      <c r="B86" s="39" t="s">
        <v>58</v>
      </c>
      <c r="C86" s="39" t="s">
        <v>21</v>
      </c>
      <c r="D86" s="39" t="s">
        <v>145</v>
      </c>
      <c r="E86" s="1">
        <v>1</v>
      </c>
      <c r="F86" s="40">
        <v>37000</v>
      </c>
      <c r="G86" s="50">
        <f t="shared" si="6"/>
        <v>37000</v>
      </c>
      <c r="H86" s="40">
        <v>37000</v>
      </c>
      <c r="I86" s="50">
        <f t="shared" si="7"/>
        <v>0</v>
      </c>
      <c r="J86" s="9" t="str">
        <f t="shared" si="8"/>
        <v>✅ Paid</v>
      </c>
    </row>
    <row r="87" spans="1:11">
      <c r="A87" s="36">
        <v>45742</v>
      </c>
      <c r="B87" s="39" t="s">
        <v>123</v>
      </c>
      <c r="C87" s="39" t="s">
        <v>84</v>
      </c>
      <c r="D87" s="39" t="s">
        <v>3</v>
      </c>
      <c r="E87" s="1">
        <v>2</v>
      </c>
      <c r="F87" s="40">
        <v>38000</v>
      </c>
      <c r="G87" s="50">
        <f t="shared" si="6"/>
        <v>76000</v>
      </c>
      <c r="H87" s="40"/>
      <c r="I87" s="50">
        <f t="shared" si="7"/>
        <v>76000</v>
      </c>
      <c r="J87" s="9" t="str">
        <f t="shared" si="8"/>
        <v>🚨 URGENT: Saurabh owes ₹76000</v>
      </c>
    </row>
    <row r="88" spans="1:11">
      <c r="A88" s="36">
        <v>45742</v>
      </c>
      <c r="B88" s="39" t="s">
        <v>58</v>
      </c>
      <c r="C88" s="39" t="s">
        <v>107</v>
      </c>
      <c r="D88" s="39" t="s">
        <v>160</v>
      </c>
      <c r="E88" s="1">
        <v>1</v>
      </c>
      <c r="F88" s="40">
        <v>36000</v>
      </c>
      <c r="G88" s="50">
        <f t="shared" si="6"/>
        <v>36000</v>
      </c>
      <c r="H88" s="40">
        <v>36000</v>
      </c>
      <c r="I88" s="50">
        <f t="shared" si="7"/>
        <v>0</v>
      </c>
      <c r="J88" s="9" t="str">
        <f t="shared" si="8"/>
        <v>✅ Paid</v>
      </c>
    </row>
    <row r="89" spans="1:11">
      <c r="A89" s="36">
        <v>45742</v>
      </c>
      <c r="B89" s="39" t="s">
        <v>58</v>
      </c>
      <c r="C89" s="39"/>
      <c r="D89" s="39" t="s">
        <v>161</v>
      </c>
      <c r="E89" s="1">
        <v>1</v>
      </c>
      <c r="F89" s="40"/>
      <c r="G89" s="50">
        <f t="shared" si="6"/>
        <v>0</v>
      </c>
      <c r="H89" s="40"/>
      <c r="I89" s="50">
        <f t="shared" si="7"/>
        <v>0</v>
      </c>
      <c r="J89" s="9"/>
    </row>
    <row r="90" spans="1:11">
      <c r="A90" s="36">
        <v>45742</v>
      </c>
      <c r="B90" s="39" t="s">
        <v>4</v>
      </c>
      <c r="C90" s="39" t="s">
        <v>313</v>
      </c>
      <c r="D90" s="39" t="s">
        <v>22</v>
      </c>
      <c r="E90" s="1">
        <v>1</v>
      </c>
      <c r="F90" s="40">
        <v>38000</v>
      </c>
      <c r="G90" s="50">
        <f t="shared" si="6"/>
        <v>38000</v>
      </c>
      <c r="H90" s="40">
        <v>38000</v>
      </c>
      <c r="I90" s="50">
        <f t="shared" si="7"/>
        <v>0</v>
      </c>
      <c r="J90" s="9" t="str">
        <f t="shared" ref="J90:J101" si="9">IF(I90&gt;10000,"🚨 URGENT: "&amp;C90&amp;" owes ₹"&amp;I90,IF(I90&gt;5000,"⚠️ WARNING: "&amp;C90&amp;" - ₹"&amp;I90&amp;" due",IF(I90&gt;0,"ℹ️ "&amp;C90&amp;" - ₹"&amp;I90&amp;" pending","✅ Paid")))</f>
        <v>✅ Paid</v>
      </c>
    </row>
    <row r="91" spans="1:11">
      <c r="A91" s="36">
        <v>45743</v>
      </c>
      <c r="B91" s="39" t="s">
        <v>58</v>
      </c>
      <c r="C91" s="39" t="s">
        <v>313</v>
      </c>
      <c r="D91" s="39" t="s">
        <v>19</v>
      </c>
      <c r="E91" s="1">
        <v>1</v>
      </c>
      <c r="F91" s="40">
        <v>38000</v>
      </c>
      <c r="G91" s="50">
        <f t="shared" si="6"/>
        <v>38000</v>
      </c>
      <c r="H91" s="40">
        <v>38000</v>
      </c>
      <c r="I91" s="50">
        <f t="shared" si="7"/>
        <v>0</v>
      </c>
      <c r="J91" s="9" t="str">
        <f t="shared" si="9"/>
        <v>✅ Paid</v>
      </c>
    </row>
    <row r="92" spans="1:11">
      <c r="A92" s="36">
        <v>45744</v>
      </c>
      <c r="B92" s="39" t="s">
        <v>4</v>
      </c>
      <c r="C92" s="39" t="s">
        <v>165</v>
      </c>
      <c r="D92" s="39" t="s">
        <v>10</v>
      </c>
      <c r="E92" s="1">
        <v>1</v>
      </c>
      <c r="F92" s="40">
        <v>35000</v>
      </c>
      <c r="G92" s="50">
        <f t="shared" si="6"/>
        <v>35000</v>
      </c>
      <c r="H92" s="40">
        <v>35000</v>
      </c>
      <c r="I92" s="50">
        <f t="shared" si="7"/>
        <v>0</v>
      </c>
      <c r="J92" s="9" t="str">
        <f t="shared" si="9"/>
        <v>✅ Paid</v>
      </c>
    </row>
    <row r="93" spans="1:11">
      <c r="A93" s="36">
        <v>45744</v>
      </c>
      <c r="B93" s="39" t="s">
        <v>4</v>
      </c>
      <c r="C93" s="39" t="s">
        <v>163</v>
      </c>
      <c r="D93" s="39" t="s">
        <v>17</v>
      </c>
      <c r="E93" s="1">
        <v>1</v>
      </c>
      <c r="F93" s="40">
        <v>35000</v>
      </c>
      <c r="G93" s="50">
        <f t="shared" si="6"/>
        <v>35000</v>
      </c>
      <c r="H93" s="40">
        <v>35000</v>
      </c>
      <c r="I93" s="50">
        <f t="shared" si="7"/>
        <v>0</v>
      </c>
      <c r="J93" s="9" t="str">
        <f t="shared" si="9"/>
        <v>✅ Paid</v>
      </c>
    </row>
    <row r="94" spans="1:11">
      <c r="A94" s="36">
        <v>45744</v>
      </c>
      <c r="B94" s="39" t="s">
        <v>4</v>
      </c>
      <c r="C94" s="39" t="s">
        <v>84</v>
      </c>
      <c r="D94" s="39" t="s">
        <v>162</v>
      </c>
      <c r="E94" s="1">
        <v>1</v>
      </c>
      <c r="F94" s="40">
        <v>38000</v>
      </c>
      <c r="G94" s="50">
        <f t="shared" si="6"/>
        <v>38000</v>
      </c>
      <c r="H94" s="40"/>
      <c r="I94" s="50">
        <f t="shared" si="7"/>
        <v>38000</v>
      </c>
      <c r="J94" s="9" t="str">
        <f t="shared" si="9"/>
        <v>🚨 URGENT: Saurabh owes ₹38000</v>
      </c>
      <c r="K94">
        <v>75000</v>
      </c>
    </row>
    <row r="95" spans="1:11">
      <c r="A95" s="36">
        <v>45745</v>
      </c>
      <c r="B95" s="39" t="s">
        <v>4</v>
      </c>
      <c r="C95" s="39" t="s">
        <v>168</v>
      </c>
      <c r="D95" s="39" t="s">
        <v>145</v>
      </c>
      <c r="E95" s="1">
        <v>1</v>
      </c>
      <c r="F95" s="40">
        <v>37000</v>
      </c>
      <c r="G95" s="50">
        <f t="shared" si="6"/>
        <v>37000</v>
      </c>
      <c r="H95" s="40">
        <v>37000</v>
      </c>
      <c r="I95" s="50">
        <f t="shared" si="7"/>
        <v>0</v>
      </c>
      <c r="J95" s="9" t="str">
        <f t="shared" si="9"/>
        <v>✅ Paid</v>
      </c>
    </row>
    <row r="96" spans="1:11">
      <c r="A96" s="36">
        <v>45745</v>
      </c>
      <c r="B96" s="39" t="s">
        <v>4</v>
      </c>
      <c r="C96" s="39" t="s">
        <v>21</v>
      </c>
      <c r="D96" s="39" t="s">
        <v>22</v>
      </c>
      <c r="E96" s="1">
        <v>1</v>
      </c>
      <c r="F96" s="40">
        <v>37000</v>
      </c>
      <c r="G96" s="50">
        <f t="shared" si="6"/>
        <v>37000</v>
      </c>
      <c r="H96" s="40">
        <v>37000</v>
      </c>
      <c r="I96" s="50">
        <f t="shared" si="7"/>
        <v>0</v>
      </c>
      <c r="J96" s="9" t="str">
        <f t="shared" si="9"/>
        <v>✅ Paid</v>
      </c>
    </row>
    <row r="97" spans="1:10">
      <c r="A97" s="36">
        <v>45746</v>
      </c>
      <c r="B97" s="39" t="s">
        <v>167</v>
      </c>
      <c r="C97" s="39" t="s">
        <v>199</v>
      </c>
      <c r="D97" s="39" t="s">
        <v>147</v>
      </c>
      <c r="E97" s="1">
        <v>3</v>
      </c>
      <c r="F97" s="40">
        <v>38000</v>
      </c>
      <c r="G97" s="50">
        <f t="shared" si="6"/>
        <v>114000</v>
      </c>
      <c r="H97" s="40"/>
      <c r="I97" s="50">
        <f t="shared" si="7"/>
        <v>114000</v>
      </c>
      <c r="J97" s="9" t="str">
        <f t="shared" si="9"/>
        <v>🚨 URGENT: Abhay Adgurwar owes ₹114000</v>
      </c>
    </row>
    <row r="98" spans="1:10">
      <c r="A98" s="36">
        <v>45746</v>
      </c>
      <c r="B98" s="39" t="s">
        <v>2</v>
      </c>
      <c r="C98" s="39" t="s">
        <v>318</v>
      </c>
      <c r="D98" s="39" t="s">
        <v>88</v>
      </c>
      <c r="E98" s="1">
        <v>1</v>
      </c>
      <c r="F98" s="40">
        <v>38000</v>
      </c>
      <c r="G98" s="50">
        <f t="shared" si="6"/>
        <v>38000</v>
      </c>
      <c r="H98" s="40">
        <v>38000</v>
      </c>
      <c r="I98" s="50">
        <f t="shared" si="7"/>
        <v>0</v>
      </c>
      <c r="J98" s="9" t="str">
        <f t="shared" si="9"/>
        <v>✅ Paid</v>
      </c>
    </row>
    <row r="99" spans="1:10">
      <c r="A99" s="36">
        <v>45746</v>
      </c>
      <c r="B99" s="39" t="s">
        <v>2</v>
      </c>
      <c r="C99" s="39" t="s">
        <v>170</v>
      </c>
      <c r="D99" s="39" t="s">
        <v>166</v>
      </c>
      <c r="E99" s="1">
        <v>1</v>
      </c>
      <c r="F99" s="40">
        <v>36000</v>
      </c>
      <c r="G99" s="50">
        <f t="shared" si="6"/>
        <v>36000</v>
      </c>
      <c r="H99" s="40">
        <v>36000</v>
      </c>
      <c r="I99" s="50">
        <f t="shared" si="7"/>
        <v>0</v>
      </c>
      <c r="J99" s="9" t="str">
        <f t="shared" si="9"/>
        <v>✅ Paid</v>
      </c>
    </row>
    <row r="100" spans="1:10">
      <c r="A100" s="36">
        <v>45746</v>
      </c>
      <c r="B100" s="39" t="s">
        <v>4</v>
      </c>
      <c r="C100" s="39" t="s">
        <v>21</v>
      </c>
      <c r="D100" s="39" t="s">
        <v>22</v>
      </c>
      <c r="E100" s="1">
        <v>1</v>
      </c>
      <c r="F100" s="40">
        <v>37000</v>
      </c>
      <c r="G100" s="50">
        <f t="shared" ref="G100:G101" si="10">F100*E100</f>
        <v>37000</v>
      </c>
      <c r="H100" s="40">
        <v>37000</v>
      </c>
      <c r="I100" s="50">
        <f t="shared" ref="I100:I101" si="11">G100-H100</f>
        <v>0</v>
      </c>
      <c r="J100" s="9" t="str">
        <f t="shared" si="9"/>
        <v>✅ Paid</v>
      </c>
    </row>
    <row r="101" spans="1:10">
      <c r="A101" s="36">
        <v>45747</v>
      </c>
      <c r="B101" s="39" t="s">
        <v>2</v>
      </c>
      <c r="C101" s="39" t="s">
        <v>110</v>
      </c>
      <c r="D101" s="39" t="s">
        <v>171</v>
      </c>
      <c r="E101" s="1">
        <v>1</v>
      </c>
      <c r="F101" s="40">
        <v>37000</v>
      </c>
      <c r="G101" s="50">
        <f t="shared" si="10"/>
        <v>37000</v>
      </c>
      <c r="H101" s="40"/>
      <c r="I101" s="50">
        <f t="shared" si="11"/>
        <v>37000</v>
      </c>
      <c r="J101" s="9" t="str">
        <f t="shared" si="9"/>
        <v>🚨 URGENT: Ankush P owes ₹37000</v>
      </c>
    </row>
    <row r="102" spans="1:10">
      <c r="A102" s="57"/>
      <c r="B102" s="55"/>
      <c r="C102" s="55"/>
      <c r="D102" s="55"/>
      <c r="E102" s="55"/>
      <c r="F102" s="60"/>
      <c r="G102" s="60"/>
      <c r="H102" s="60"/>
      <c r="I102" s="60"/>
      <c r="J102" s="9"/>
    </row>
    <row r="103" spans="1:10">
      <c r="A103" s="36"/>
      <c r="B103" s="49"/>
      <c r="C103" s="49"/>
      <c r="D103" s="49"/>
      <c r="E103" s="3"/>
      <c r="F103" s="50"/>
      <c r="G103" s="50"/>
      <c r="H103" s="50"/>
      <c r="I103" s="50"/>
      <c r="J103" s="9"/>
    </row>
    <row r="104" spans="1:10">
      <c r="A104" s="36"/>
      <c r="B104" s="49"/>
      <c r="C104" s="49"/>
      <c r="D104" s="49"/>
      <c r="E104" s="3"/>
      <c r="F104" s="50"/>
      <c r="G104" s="50"/>
      <c r="H104" s="50"/>
      <c r="I104" s="50"/>
      <c r="J104" s="9"/>
    </row>
    <row r="105" spans="1:10">
      <c r="A105" s="36"/>
      <c r="B105" s="39"/>
      <c r="C105" s="39"/>
      <c r="D105" s="39"/>
      <c r="E105" s="1"/>
      <c r="F105" s="40"/>
      <c r="G105" s="50"/>
      <c r="H105" s="40"/>
      <c r="I105" s="50"/>
      <c r="J105" s="9"/>
    </row>
    <row r="106" spans="1:10">
      <c r="A106" s="36"/>
      <c r="B106" s="39"/>
      <c r="C106" s="39"/>
      <c r="D106" s="39"/>
      <c r="E106" s="1"/>
      <c r="F106" s="40"/>
      <c r="G106" s="50"/>
      <c r="H106" s="40"/>
      <c r="I106" s="50"/>
      <c r="J106" s="9"/>
    </row>
    <row r="107" spans="1:10">
      <c r="A107" s="36"/>
      <c r="B107" s="39"/>
      <c r="C107" s="39"/>
      <c r="D107" s="39"/>
      <c r="E107" s="1"/>
      <c r="F107" s="40"/>
      <c r="G107" s="50"/>
      <c r="H107" s="40"/>
      <c r="I107" s="50"/>
      <c r="J107" s="9"/>
    </row>
    <row r="108" spans="1:10">
      <c r="A108" s="36"/>
      <c r="B108" s="39"/>
      <c r="C108" s="39"/>
      <c r="D108" s="39"/>
      <c r="E108" s="1"/>
      <c r="F108" s="40"/>
      <c r="G108" s="50"/>
      <c r="H108" s="40"/>
      <c r="I108" s="50"/>
      <c r="J108" s="9"/>
    </row>
    <row r="109" spans="1:10">
      <c r="A109" s="36"/>
      <c r="B109" s="39"/>
      <c r="C109" s="39"/>
      <c r="D109" s="39"/>
      <c r="E109" s="1"/>
      <c r="F109" s="40"/>
      <c r="G109" s="50"/>
      <c r="H109" s="40"/>
      <c r="I109" s="50"/>
      <c r="J109" s="9"/>
    </row>
    <row r="110" spans="1:10">
      <c r="A110" s="36"/>
      <c r="B110" s="39"/>
      <c r="C110" s="39"/>
      <c r="D110" s="39"/>
      <c r="E110" s="1"/>
      <c r="F110" s="40"/>
      <c r="G110" s="50"/>
      <c r="H110" s="40"/>
      <c r="I110" s="50"/>
      <c r="J110" s="9"/>
    </row>
    <row r="111" spans="1:10">
      <c r="A111" s="36"/>
      <c r="B111" s="39"/>
      <c r="C111" s="39"/>
      <c r="D111" s="39"/>
      <c r="E111" s="1"/>
      <c r="F111" s="40"/>
      <c r="G111" s="50"/>
      <c r="H111" s="40"/>
      <c r="I111" s="50"/>
      <c r="J111" s="9"/>
    </row>
    <row r="112" spans="1:10">
      <c r="A112" s="36"/>
      <c r="B112" s="39"/>
      <c r="C112" s="39"/>
      <c r="D112" s="39"/>
      <c r="E112" s="1"/>
      <c r="F112" s="40"/>
      <c r="G112" s="50"/>
      <c r="H112" s="40"/>
      <c r="I112" s="50"/>
      <c r="J112" s="9"/>
    </row>
    <row r="113" spans="1:10">
      <c r="A113" s="36"/>
      <c r="B113" s="39"/>
      <c r="C113" s="39"/>
      <c r="D113" s="39"/>
      <c r="E113" s="1"/>
      <c r="F113" s="40"/>
      <c r="G113" s="50"/>
      <c r="H113" s="40"/>
      <c r="I113" s="50"/>
      <c r="J113" s="9"/>
    </row>
    <row r="114" spans="1:10">
      <c r="A114" s="36"/>
      <c r="B114" s="39"/>
      <c r="C114" s="39"/>
      <c r="D114" s="39"/>
      <c r="E114" s="1"/>
      <c r="F114" s="40"/>
      <c r="G114" s="50"/>
      <c r="H114" s="40"/>
      <c r="I114" s="50"/>
      <c r="J114" s="9"/>
    </row>
    <row r="115" spans="1:10">
      <c r="A115" s="36"/>
      <c r="B115" s="39"/>
      <c r="C115" s="39"/>
      <c r="D115" s="39"/>
      <c r="E115" s="1"/>
      <c r="F115" s="40"/>
      <c r="G115" s="50"/>
      <c r="H115" s="40"/>
      <c r="I115" s="50"/>
      <c r="J115" s="9"/>
    </row>
    <row r="116" spans="1:10">
      <c r="A116" s="36"/>
      <c r="B116" s="39"/>
      <c r="C116" s="39"/>
      <c r="D116" s="39"/>
      <c r="E116" s="1"/>
      <c r="F116" s="40"/>
      <c r="G116" s="50"/>
      <c r="H116" s="40"/>
      <c r="I116" s="50"/>
      <c r="J116" s="9"/>
    </row>
    <row r="117" spans="1:10">
      <c r="A117" s="36"/>
      <c r="B117" s="39"/>
      <c r="C117" s="39"/>
      <c r="D117" s="39"/>
      <c r="E117" s="1"/>
      <c r="F117" s="40"/>
      <c r="G117" s="50"/>
      <c r="H117" s="40"/>
      <c r="I117" s="50"/>
      <c r="J117" s="9"/>
    </row>
    <row r="118" spans="1:10">
      <c r="A118" s="36"/>
      <c r="B118" s="39"/>
      <c r="C118" s="39"/>
      <c r="D118" s="39"/>
      <c r="E118" s="1"/>
      <c r="F118" s="40"/>
      <c r="G118" s="50"/>
      <c r="H118" s="40"/>
      <c r="I118" s="50"/>
      <c r="J118" s="9"/>
    </row>
    <row r="119" spans="1:10">
      <c r="A119" s="36"/>
      <c r="B119" s="39"/>
      <c r="C119" s="39"/>
      <c r="D119" s="39"/>
      <c r="E119" s="1"/>
      <c r="F119" s="40"/>
      <c r="G119" s="50"/>
      <c r="H119" s="40"/>
      <c r="I119" s="50">
        <f>G119-H119</f>
        <v>0</v>
      </c>
      <c r="J119" s="9" t="str">
        <f>IF(I119&gt;10000,"🚨 URGENT: "&amp;C119&amp;" owes ₹"&amp;I119,IF(I119&gt;5000,"⚠️ WARNING: "&amp;C119&amp;" - ₹"&amp;I119&amp;" due",IF(I119&gt;0,"ℹ️ "&amp;C119&amp;" - ₹"&amp;I119&amp;" pending","✅ Paid")))</f>
        <v>✅ Paid</v>
      </c>
    </row>
    <row r="120" spans="1:10">
      <c r="A120" s="36"/>
      <c r="B120" s="39"/>
      <c r="C120" s="39"/>
      <c r="D120" s="39"/>
      <c r="E120" s="1"/>
      <c r="F120" s="40"/>
      <c r="G120" s="50"/>
      <c r="H120" s="40"/>
      <c r="I120" s="50"/>
      <c r="J120" s="9"/>
    </row>
    <row r="121" spans="1:10">
      <c r="A121" s="36"/>
      <c r="B121" s="39"/>
      <c r="C121" s="39"/>
      <c r="D121" s="39"/>
      <c r="E121" s="1"/>
      <c r="F121" s="40"/>
      <c r="G121" s="50"/>
      <c r="H121" s="40"/>
      <c r="I121" s="50"/>
      <c r="J121" s="9"/>
    </row>
    <row r="122" spans="1:10">
      <c r="A122" s="36"/>
      <c r="B122" s="39"/>
      <c r="C122" s="39"/>
      <c r="D122" s="39"/>
      <c r="E122" s="1"/>
      <c r="F122" s="40"/>
      <c r="G122" s="50"/>
      <c r="H122" s="40"/>
      <c r="I122" s="50"/>
      <c r="J122" s="9"/>
    </row>
    <row r="123" spans="1:10">
      <c r="A123" s="36"/>
      <c r="B123" s="39"/>
      <c r="C123" s="39"/>
      <c r="D123" s="39"/>
      <c r="E123" s="1"/>
      <c r="F123" s="40"/>
      <c r="G123" s="50"/>
      <c r="H123" s="40"/>
      <c r="I123" s="50"/>
      <c r="J123" s="9"/>
    </row>
    <row r="124" spans="1:10">
      <c r="A124" s="36"/>
      <c r="B124" s="39"/>
      <c r="C124" s="39"/>
      <c r="D124" s="39"/>
      <c r="E124" s="1"/>
      <c r="F124" s="40"/>
      <c r="G124" s="50"/>
      <c r="H124" s="40"/>
      <c r="I124" s="50"/>
      <c r="J124" s="9"/>
    </row>
    <row r="125" spans="1:10">
      <c r="A125" s="36"/>
      <c r="B125" s="39"/>
      <c r="C125" s="39"/>
      <c r="D125" s="39"/>
      <c r="E125" s="1"/>
      <c r="F125" s="40"/>
      <c r="G125" s="50"/>
      <c r="H125" s="40"/>
      <c r="I125" s="50"/>
      <c r="J125" s="9"/>
    </row>
    <row r="126" spans="1:10">
      <c r="A126" s="36"/>
      <c r="B126" s="39"/>
      <c r="C126" s="39"/>
      <c r="D126" s="39"/>
      <c r="E126" s="1"/>
      <c r="F126" s="40"/>
      <c r="G126" s="50"/>
      <c r="H126" s="40"/>
      <c r="I126" s="50"/>
      <c r="J126" s="9"/>
    </row>
    <row r="127" spans="1:10">
      <c r="A127" s="23"/>
      <c r="B127" s="7"/>
      <c r="C127" s="7"/>
      <c r="D127" s="7"/>
      <c r="E127" s="7"/>
      <c r="F127" s="6"/>
      <c r="G127" s="24"/>
      <c r="H127" s="6"/>
      <c r="I127" s="24"/>
    </row>
    <row r="128" spans="1:10" ht="21">
      <c r="A128"/>
      <c r="D128" s="13"/>
      <c r="E128" s="32" t="s">
        <v>78</v>
      </c>
      <c r="F128" s="33"/>
      <c r="G128" s="34" t="s">
        <v>289</v>
      </c>
      <c r="H128" s="34" t="s">
        <v>291</v>
      </c>
      <c r="I128" s="34" t="s">
        <v>61</v>
      </c>
    </row>
    <row r="129" spans="1:9" ht="21">
      <c r="D129" s="28" t="s">
        <v>292</v>
      </c>
      <c r="E129" s="29">
        <f>SUM(E4:E126)</f>
        <v>120</v>
      </c>
      <c r="F129" s="30"/>
      <c r="G129" s="31">
        <f>SUM(G4:G126)</f>
        <v>4403500</v>
      </c>
      <c r="H129" s="31">
        <f>SUM(H4:H126)</f>
        <v>3772500</v>
      </c>
      <c r="I129" s="31">
        <f>SUM(I4:I126)</f>
        <v>631000</v>
      </c>
    </row>
    <row r="130" spans="1:9" ht="31.5" customHeight="1">
      <c r="A130" s="66" t="s">
        <v>295</v>
      </c>
      <c r="B130" s="66"/>
      <c r="C130" s="66"/>
      <c r="D130" s="21"/>
      <c r="E130" s="21"/>
      <c r="F130" s="21"/>
      <c r="G130" s="21"/>
      <c r="H130" s="21"/>
      <c r="I130" s="21"/>
    </row>
    <row r="136" spans="1:9">
      <c r="A136"/>
      <c r="F136"/>
      <c r="G136"/>
      <c r="H136"/>
      <c r="I136"/>
    </row>
    <row r="137" spans="1:9">
      <c r="A137"/>
      <c r="F137"/>
      <c r="G137"/>
      <c r="H137"/>
      <c r="I137"/>
    </row>
    <row r="138" spans="1:9">
      <c r="A138"/>
      <c r="F138"/>
      <c r="G138"/>
      <c r="H138"/>
      <c r="I138"/>
    </row>
    <row r="139" spans="1:9">
      <c r="A139"/>
      <c r="F139"/>
      <c r="G139"/>
      <c r="H139"/>
      <c r="I139"/>
    </row>
    <row r="140" spans="1:9">
      <c r="A140"/>
      <c r="F140"/>
      <c r="G140"/>
      <c r="H140"/>
      <c r="I140"/>
    </row>
  </sheetData>
  <mergeCells count="3">
    <mergeCell ref="A1:J1"/>
    <mergeCell ref="A2:J2"/>
    <mergeCell ref="A130:C130"/>
  </mergeCells>
  <conditionalFormatting sqref="J4:J1048576">
    <cfRule type="containsText" dxfId="79" priority="1" operator="containsText" text="✅">
      <formula>NOT(ISERROR(SEARCH("✅",J4)))</formula>
    </cfRule>
    <cfRule type="containsText" dxfId="78" priority="2" operator="containsText" text="ℹ️">
      <formula>NOT(ISERROR(SEARCH("ℹ️",J4)))</formula>
    </cfRule>
    <cfRule type="containsText" dxfId="77" priority="3" operator="containsText" text="⚠️">
      <formula>NOT(ISERROR(SEARCH("⚠️",J4)))</formula>
    </cfRule>
    <cfRule type="containsText" dxfId="76" priority="4" operator="containsText" text="🚨">
      <formula>NOT(ISERROR(SEARCH("🚨",J4)))</formula>
    </cfRule>
  </conditionalFormatting>
  <pageMargins left="0.7" right="0.7" top="0.75" bottom="0.75" header="0.3" footer="0.3"/>
  <pageSetup paperSize="9" orientation="landscape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0C31-D8CC-4453-8DC9-65DCAEDB8F50}">
  <sheetPr codeName="Sheet4"/>
  <dimension ref="A1:J119"/>
  <sheetViews>
    <sheetView zoomScaleNormal="100" workbookViewId="0">
      <pane ySplit="3" topLeftCell="A109" activePane="bottomLeft" state="frozen"/>
      <selection pane="bottomLeft" activeCell="C4" sqref="C4:C79"/>
    </sheetView>
  </sheetViews>
  <sheetFormatPr baseColWidth="10" defaultColWidth="11.5" defaultRowHeight="15"/>
  <cols>
    <col min="1" max="1" width="22.83203125" style="21" bestFit="1" customWidth="1"/>
    <col min="2" max="2" width="27.5" bestFit="1" customWidth="1"/>
    <col min="3" max="3" width="29" bestFit="1" customWidth="1"/>
    <col min="4" max="4" width="25.6640625" bestFit="1" customWidth="1"/>
    <col min="5" max="5" width="12.5" bestFit="1" customWidth="1"/>
    <col min="6" max="6" width="11.6640625" style="22" bestFit="1" customWidth="1"/>
    <col min="7" max="7" width="20.1640625" style="22" bestFit="1" customWidth="1"/>
    <col min="8" max="8" width="20.5" style="22" bestFit="1" customWidth="1"/>
    <col min="9" max="9" width="20.1640625" style="22" bestFit="1" customWidth="1"/>
    <col min="10" max="10" width="46.6640625" bestFit="1" customWidth="1"/>
  </cols>
  <sheetData>
    <row r="1" spans="1:10" ht="37" customHeight="1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298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294</v>
      </c>
    </row>
    <row r="4" spans="1:10">
      <c r="A4" s="56">
        <v>45748</v>
      </c>
      <c r="B4" s="61" t="s">
        <v>179</v>
      </c>
      <c r="C4" s="46" t="s">
        <v>43</v>
      </c>
      <c r="D4" s="61" t="s">
        <v>172</v>
      </c>
      <c r="E4" s="62">
        <v>3</v>
      </c>
      <c r="F4" s="63">
        <v>37000</v>
      </c>
      <c r="G4" s="63">
        <f t="shared" ref="G4:G35" si="0">F4*E4</f>
        <v>111000</v>
      </c>
      <c r="H4" s="63">
        <v>111000</v>
      </c>
      <c r="I4" s="63">
        <f t="shared" ref="I4:I35" si="1">G4-H4</f>
        <v>0</v>
      </c>
      <c r="J4" s="9" t="str">
        <f t="shared" ref="J4:J35" si="2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>
      <c r="A5" s="36">
        <v>45748</v>
      </c>
      <c r="B5" s="49" t="s">
        <v>173</v>
      </c>
      <c r="C5" s="49" t="s">
        <v>21</v>
      </c>
      <c r="D5" s="49" t="s">
        <v>6</v>
      </c>
      <c r="E5" s="3">
        <v>2</v>
      </c>
      <c r="F5" s="50">
        <v>37000</v>
      </c>
      <c r="G5" s="50">
        <f t="shared" si="0"/>
        <v>74000</v>
      </c>
      <c r="H5" s="50">
        <v>74000</v>
      </c>
      <c r="I5" s="50">
        <f t="shared" si="1"/>
        <v>0</v>
      </c>
      <c r="J5" s="9" t="str">
        <f t="shared" si="2"/>
        <v>✅ Paid</v>
      </c>
    </row>
    <row r="6" spans="1:10">
      <c r="A6" s="36">
        <v>45748</v>
      </c>
      <c r="B6" s="39" t="s">
        <v>4</v>
      </c>
      <c r="C6" s="39" t="s">
        <v>177</v>
      </c>
      <c r="D6" s="39" t="s">
        <v>176</v>
      </c>
      <c r="E6" s="1">
        <v>1</v>
      </c>
      <c r="F6" s="40">
        <v>38000</v>
      </c>
      <c r="G6" s="50">
        <f t="shared" si="0"/>
        <v>38000</v>
      </c>
      <c r="H6" s="40">
        <v>38000</v>
      </c>
      <c r="I6" s="50">
        <f t="shared" si="1"/>
        <v>0</v>
      </c>
      <c r="J6" s="9" t="str">
        <f t="shared" si="2"/>
        <v>✅ Paid</v>
      </c>
    </row>
    <row r="7" spans="1:10">
      <c r="A7" s="36">
        <v>45748</v>
      </c>
      <c r="B7" s="39" t="s">
        <v>58</v>
      </c>
      <c r="C7" s="39" t="s">
        <v>174</v>
      </c>
      <c r="D7" s="39" t="s">
        <v>175</v>
      </c>
      <c r="E7" s="1">
        <v>1</v>
      </c>
      <c r="F7" s="40">
        <v>39000</v>
      </c>
      <c r="G7" s="50">
        <f t="shared" si="0"/>
        <v>39000</v>
      </c>
      <c r="H7" s="40">
        <v>39000</v>
      </c>
      <c r="I7" s="50">
        <f t="shared" si="1"/>
        <v>0</v>
      </c>
      <c r="J7" s="9" t="str">
        <f t="shared" si="2"/>
        <v>✅ Paid</v>
      </c>
    </row>
    <row r="8" spans="1:10">
      <c r="A8" s="36">
        <v>45748</v>
      </c>
      <c r="B8" s="39" t="s">
        <v>58</v>
      </c>
      <c r="C8" s="39" t="s">
        <v>23</v>
      </c>
      <c r="D8" s="39" t="s">
        <v>178</v>
      </c>
      <c r="E8" s="1">
        <v>1</v>
      </c>
      <c r="F8" s="40">
        <v>37000</v>
      </c>
      <c r="G8" s="50">
        <f t="shared" si="0"/>
        <v>37000</v>
      </c>
      <c r="H8" s="40">
        <v>37000</v>
      </c>
      <c r="I8" s="50">
        <f t="shared" si="1"/>
        <v>0</v>
      </c>
      <c r="J8" s="9" t="str">
        <f t="shared" si="2"/>
        <v>✅ Paid</v>
      </c>
    </row>
    <row r="9" spans="1:10">
      <c r="A9" s="36">
        <v>45749</v>
      </c>
      <c r="B9" s="39" t="s">
        <v>4</v>
      </c>
      <c r="C9" s="39" t="s">
        <v>183</v>
      </c>
      <c r="D9" s="39" t="s">
        <v>182</v>
      </c>
      <c r="E9" s="1">
        <v>1</v>
      </c>
      <c r="F9" s="40">
        <v>28000</v>
      </c>
      <c r="G9" s="50">
        <f t="shared" si="0"/>
        <v>28000</v>
      </c>
      <c r="H9" s="40">
        <v>28000</v>
      </c>
      <c r="I9" s="50">
        <f t="shared" si="1"/>
        <v>0</v>
      </c>
      <c r="J9" s="9" t="str">
        <f t="shared" si="2"/>
        <v>✅ Paid</v>
      </c>
    </row>
    <row r="10" spans="1:10">
      <c r="A10" s="36">
        <v>45749</v>
      </c>
      <c r="B10" s="39" t="s">
        <v>4</v>
      </c>
      <c r="C10" s="39" t="s">
        <v>21</v>
      </c>
      <c r="D10" s="39" t="s">
        <v>22</v>
      </c>
      <c r="E10" s="1">
        <v>1</v>
      </c>
      <c r="F10" s="40">
        <v>37000</v>
      </c>
      <c r="G10" s="50">
        <f t="shared" si="0"/>
        <v>37000</v>
      </c>
      <c r="H10" s="40">
        <v>37000</v>
      </c>
      <c r="I10" s="50">
        <f t="shared" si="1"/>
        <v>0</v>
      </c>
      <c r="J10" s="9" t="str">
        <f t="shared" si="2"/>
        <v>✅ Paid</v>
      </c>
    </row>
    <row r="11" spans="1:10">
      <c r="A11" s="36">
        <v>45750</v>
      </c>
      <c r="B11" s="39" t="s">
        <v>185</v>
      </c>
      <c r="C11" s="39" t="s">
        <v>18</v>
      </c>
      <c r="D11" s="39" t="s">
        <v>162</v>
      </c>
      <c r="E11" s="1">
        <v>4</v>
      </c>
      <c r="F11" s="40">
        <v>34000</v>
      </c>
      <c r="G11" s="50">
        <f t="shared" si="0"/>
        <v>136000</v>
      </c>
      <c r="H11" s="40">
        <v>136000</v>
      </c>
      <c r="I11" s="50">
        <f t="shared" si="1"/>
        <v>0</v>
      </c>
      <c r="J11" s="9" t="str">
        <f t="shared" si="2"/>
        <v>✅ Paid</v>
      </c>
    </row>
    <row r="12" spans="1:10">
      <c r="A12" s="36">
        <v>45750</v>
      </c>
      <c r="B12" s="39" t="s">
        <v>58</v>
      </c>
      <c r="C12" s="39" t="s">
        <v>180</v>
      </c>
      <c r="D12" s="39" t="s">
        <v>181</v>
      </c>
      <c r="E12" s="1">
        <v>1</v>
      </c>
      <c r="F12" s="40">
        <v>35000</v>
      </c>
      <c r="G12" s="50">
        <f t="shared" si="0"/>
        <v>35000</v>
      </c>
      <c r="H12" s="40">
        <v>35000</v>
      </c>
      <c r="I12" s="50">
        <f t="shared" si="1"/>
        <v>0</v>
      </c>
      <c r="J12" s="9" t="str">
        <f t="shared" si="2"/>
        <v>✅ Paid</v>
      </c>
    </row>
    <row r="13" spans="1:10">
      <c r="A13" s="36">
        <v>45750</v>
      </c>
      <c r="B13" s="39" t="s">
        <v>4</v>
      </c>
      <c r="C13" s="39" t="s">
        <v>21</v>
      </c>
      <c r="D13" s="39" t="s">
        <v>22</v>
      </c>
      <c r="E13" s="1">
        <v>1</v>
      </c>
      <c r="F13" s="40">
        <v>37000</v>
      </c>
      <c r="G13" s="50">
        <f t="shared" si="0"/>
        <v>37000</v>
      </c>
      <c r="H13" s="40">
        <v>37000</v>
      </c>
      <c r="I13" s="50">
        <f t="shared" si="1"/>
        <v>0</v>
      </c>
      <c r="J13" s="9" t="str">
        <f t="shared" si="2"/>
        <v>✅ Paid</v>
      </c>
    </row>
    <row r="14" spans="1:10">
      <c r="A14" s="36">
        <v>45751</v>
      </c>
      <c r="B14" s="39" t="s">
        <v>4</v>
      </c>
      <c r="C14" s="39" t="s">
        <v>30</v>
      </c>
      <c r="D14" s="39" t="s">
        <v>19</v>
      </c>
      <c r="E14" s="1">
        <v>1</v>
      </c>
      <c r="F14" s="40">
        <v>37000</v>
      </c>
      <c r="G14" s="50">
        <f t="shared" si="0"/>
        <v>37000</v>
      </c>
      <c r="H14" s="40">
        <v>37000</v>
      </c>
      <c r="I14" s="50">
        <f t="shared" si="1"/>
        <v>0</v>
      </c>
      <c r="J14" s="9" t="str">
        <f t="shared" si="2"/>
        <v>✅ Paid</v>
      </c>
    </row>
    <row r="15" spans="1:10">
      <c r="A15" s="36">
        <v>45751</v>
      </c>
      <c r="B15" s="39" t="s">
        <v>184</v>
      </c>
      <c r="C15" s="39" t="s">
        <v>92</v>
      </c>
      <c r="D15" s="39" t="s">
        <v>17</v>
      </c>
      <c r="E15" s="1">
        <v>1</v>
      </c>
      <c r="F15" s="40">
        <v>36000</v>
      </c>
      <c r="G15" s="50">
        <f t="shared" si="0"/>
        <v>36000</v>
      </c>
      <c r="H15" s="40">
        <v>36000</v>
      </c>
      <c r="I15" s="50">
        <f t="shared" si="1"/>
        <v>0</v>
      </c>
      <c r="J15" s="9" t="str">
        <f t="shared" si="2"/>
        <v>✅ Paid</v>
      </c>
    </row>
    <row r="16" spans="1:10">
      <c r="A16" s="36">
        <v>45751</v>
      </c>
      <c r="B16" s="39" t="s">
        <v>4</v>
      </c>
      <c r="C16" s="39" t="s">
        <v>5</v>
      </c>
      <c r="D16" s="39" t="s">
        <v>6</v>
      </c>
      <c r="E16" s="1">
        <v>1</v>
      </c>
      <c r="F16" s="40">
        <v>36000</v>
      </c>
      <c r="G16" s="50">
        <f t="shared" si="0"/>
        <v>36000</v>
      </c>
      <c r="H16" s="40">
        <v>36000</v>
      </c>
      <c r="I16" s="50">
        <f t="shared" si="1"/>
        <v>0</v>
      </c>
      <c r="J16" s="9" t="str">
        <f t="shared" si="2"/>
        <v>✅ Paid</v>
      </c>
    </row>
    <row r="17" spans="1:10">
      <c r="A17" s="36">
        <v>45751</v>
      </c>
      <c r="B17" s="39" t="s">
        <v>2</v>
      </c>
      <c r="C17" s="39" t="s">
        <v>92</v>
      </c>
      <c r="D17" s="39" t="s">
        <v>186</v>
      </c>
      <c r="E17" s="1">
        <v>1</v>
      </c>
      <c r="F17" s="40">
        <v>36000</v>
      </c>
      <c r="G17" s="50">
        <f t="shared" si="0"/>
        <v>36000</v>
      </c>
      <c r="H17" s="40">
        <v>36000</v>
      </c>
      <c r="I17" s="50">
        <f t="shared" si="1"/>
        <v>0</v>
      </c>
      <c r="J17" s="9" t="str">
        <f t="shared" si="2"/>
        <v>✅ Paid</v>
      </c>
    </row>
    <row r="18" spans="1:10">
      <c r="A18" s="36">
        <v>45751</v>
      </c>
      <c r="B18" s="39" t="s">
        <v>2</v>
      </c>
      <c r="C18" s="39" t="s">
        <v>110</v>
      </c>
      <c r="D18" s="39" t="s">
        <v>116</v>
      </c>
      <c r="E18" s="1">
        <v>1</v>
      </c>
      <c r="F18" s="40">
        <v>35000</v>
      </c>
      <c r="G18" s="50">
        <f t="shared" si="0"/>
        <v>35000</v>
      </c>
      <c r="H18" s="40"/>
      <c r="I18" s="50">
        <f t="shared" si="1"/>
        <v>35000</v>
      </c>
      <c r="J18" s="9" t="str">
        <f t="shared" si="2"/>
        <v>🚨 URGENT: Ankush P owes ₹35000</v>
      </c>
    </row>
    <row r="19" spans="1:10">
      <c r="A19" s="36">
        <v>45751</v>
      </c>
      <c r="B19" s="39" t="s">
        <v>2</v>
      </c>
      <c r="C19" s="39" t="s">
        <v>188</v>
      </c>
      <c r="D19" s="39" t="s">
        <v>187</v>
      </c>
      <c r="E19" s="1">
        <v>1</v>
      </c>
      <c r="F19" s="40">
        <v>35000</v>
      </c>
      <c r="G19" s="50">
        <f t="shared" si="0"/>
        <v>35000</v>
      </c>
      <c r="H19" s="40">
        <v>30000</v>
      </c>
      <c r="I19" s="50">
        <f t="shared" si="1"/>
        <v>5000</v>
      </c>
      <c r="J19" s="9" t="str">
        <f t="shared" si="2"/>
        <v>ℹ️ Tejas Pawar - ₹5000 pending</v>
      </c>
    </row>
    <row r="20" spans="1:10">
      <c r="A20" s="36">
        <v>45752</v>
      </c>
      <c r="B20" s="39" t="s">
        <v>4</v>
      </c>
      <c r="C20" s="39" t="s">
        <v>189</v>
      </c>
      <c r="D20" s="39" t="s">
        <v>13</v>
      </c>
      <c r="E20" s="1">
        <v>1</v>
      </c>
      <c r="F20" s="40">
        <v>35000</v>
      </c>
      <c r="G20" s="50">
        <f t="shared" si="0"/>
        <v>35000</v>
      </c>
      <c r="H20" s="40">
        <v>35000</v>
      </c>
      <c r="I20" s="50">
        <f t="shared" si="1"/>
        <v>0</v>
      </c>
      <c r="J20" s="9" t="str">
        <f t="shared" si="2"/>
        <v>✅ Paid</v>
      </c>
    </row>
    <row r="21" spans="1:10">
      <c r="A21" s="36">
        <v>45752</v>
      </c>
      <c r="B21" s="39" t="s">
        <v>4</v>
      </c>
      <c r="C21" s="39" t="s">
        <v>314</v>
      </c>
      <c r="D21" s="39" t="s">
        <v>13</v>
      </c>
      <c r="E21" s="1">
        <v>1</v>
      </c>
      <c r="F21" s="40">
        <v>36000</v>
      </c>
      <c r="G21" s="50">
        <f t="shared" si="0"/>
        <v>36000</v>
      </c>
      <c r="H21" s="40">
        <v>36000</v>
      </c>
      <c r="I21" s="50">
        <f t="shared" si="1"/>
        <v>0</v>
      </c>
      <c r="J21" s="9" t="str">
        <f t="shared" si="2"/>
        <v>✅ Paid</v>
      </c>
    </row>
    <row r="22" spans="1:10">
      <c r="A22" s="36">
        <v>45753</v>
      </c>
      <c r="B22" s="39" t="s">
        <v>2</v>
      </c>
      <c r="C22" s="39" t="s">
        <v>21</v>
      </c>
      <c r="D22" s="39" t="s">
        <v>22</v>
      </c>
      <c r="E22" s="1">
        <v>1</v>
      </c>
      <c r="F22" s="40">
        <v>37000</v>
      </c>
      <c r="G22" s="50">
        <f t="shared" si="0"/>
        <v>37000</v>
      </c>
      <c r="H22" s="40">
        <v>37000</v>
      </c>
      <c r="I22" s="50">
        <f t="shared" si="1"/>
        <v>0</v>
      </c>
      <c r="J22" s="9" t="str">
        <f t="shared" si="2"/>
        <v>✅ Paid</v>
      </c>
    </row>
    <row r="23" spans="1:10">
      <c r="A23" s="36">
        <v>45753</v>
      </c>
      <c r="B23" s="39" t="s">
        <v>86</v>
      </c>
      <c r="C23" s="39" t="s">
        <v>190</v>
      </c>
      <c r="D23" s="39" t="s">
        <v>120</v>
      </c>
      <c r="E23" s="1">
        <v>2</v>
      </c>
      <c r="F23" s="40">
        <v>35000</v>
      </c>
      <c r="G23" s="50">
        <f t="shared" si="0"/>
        <v>70000</v>
      </c>
      <c r="H23" s="40">
        <v>70000</v>
      </c>
      <c r="I23" s="50">
        <f t="shared" si="1"/>
        <v>0</v>
      </c>
      <c r="J23" s="9" t="str">
        <f t="shared" si="2"/>
        <v>✅ Paid</v>
      </c>
    </row>
    <row r="24" spans="1:10">
      <c r="A24" s="36">
        <v>45753</v>
      </c>
      <c r="B24" s="39" t="s">
        <v>86</v>
      </c>
      <c r="C24" s="39" t="s">
        <v>190</v>
      </c>
      <c r="D24" s="39" t="s">
        <v>191</v>
      </c>
      <c r="E24" s="1">
        <v>2</v>
      </c>
      <c r="F24" s="40">
        <v>35000</v>
      </c>
      <c r="G24" s="50">
        <f t="shared" si="0"/>
        <v>70000</v>
      </c>
      <c r="H24" s="40">
        <v>70000</v>
      </c>
      <c r="I24" s="50">
        <f t="shared" si="1"/>
        <v>0</v>
      </c>
      <c r="J24" s="9" t="str">
        <f t="shared" si="2"/>
        <v>✅ Paid</v>
      </c>
    </row>
    <row r="25" spans="1:10">
      <c r="A25" s="36">
        <v>45753</v>
      </c>
      <c r="B25" s="39" t="s">
        <v>58</v>
      </c>
      <c r="C25" s="39" t="s">
        <v>164</v>
      </c>
      <c r="D25" s="39" t="s">
        <v>192</v>
      </c>
      <c r="E25" s="1">
        <v>1</v>
      </c>
      <c r="F25" s="40">
        <v>36000</v>
      </c>
      <c r="G25" s="50">
        <f t="shared" si="0"/>
        <v>36000</v>
      </c>
      <c r="H25" s="40">
        <v>36000</v>
      </c>
      <c r="I25" s="50">
        <f t="shared" si="1"/>
        <v>0</v>
      </c>
      <c r="J25" s="9" t="str">
        <f t="shared" si="2"/>
        <v>✅ Paid</v>
      </c>
    </row>
    <row r="26" spans="1:10">
      <c r="A26" s="36">
        <v>45754</v>
      </c>
      <c r="B26" s="39" t="s">
        <v>4</v>
      </c>
      <c r="C26" s="39" t="s">
        <v>30</v>
      </c>
      <c r="D26" s="39" t="s">
        <v>22</v>
      </c>
      <c r="E26" s="1">
        <v>1</v>
      </c>
      <c r="F26" s="40">
        <v>37000</v>
      </c>
      <c r="G26" s="50">
        <f t="shared" si="0"/>
        <v>37000</v>
      </c>
      <c r="H26" s="40">
        <v>37000</v>
      </c>
      <c r="I26" s="50">
        <f t="shared" si="1"/>
        <v>0</v>
      </c>
      <c r="J26" s="9" t="str">
        <f t="shared" si="2"/>
        <v>✅ Paid</v>
      </c>
    </row>
    <row r="27" spans="1:10">
      <c r="A27" s="36">
        <v>45754</v>
      </c>
      <c r="B27" s="39" t="s">
        <v>58</v>
      </c>
      <c r="C27" s="39" t="s">
        <v>194</v>
      </c>
      <c r="D27" s="39" t="s">
        <v>10</v>
      </c>
      <c r="E27" s="1">
        <v>1</v>
      </c>
      <c r="F27" s="40">
        <v>35000</v>
      </c>
      <c r="G27" s="50">
        <f t="shared" si="0"/>
        <v>35000</v>
      </c>
      <c r="H27" s="40">
        <v>35000</v>
      </c>
      <c r="I27" s="50">
        <f t="shared" si="1"/>
        <v>0</v>
      </c>
      <c r="J27" s="9" t="str">
        <f t="shared" si="2"/>
        <v>✅ Paid</v>
      </c>
    </row>
    <row r="28" spans="1:10">
      <c r="A28" s="36">
        <v>45755</v>
      </c>
      <c r="B28" s="39" t="s">
        <v>4</v>
      </c>
      <c r="C28" s="39" t="s">
        <v>164</v>
      </c>
      <c r="D28" s="39" t="s">
        <v>19</v>
      </c>
      <c r="E28" s="1">
        <v>1</v>
      </c>
      <c r="F28" s="40">
        <v>35000</v>
      </c>
      <c r="G28" s="50">
        <f t="shared" si="0"/>
        <v>35000</v>
      </c>
      <c r="H28" s="40">
        <v>35000</v>
      </c>
      <c r="I28" s="50">
        <f t="shared" si="1"/>
        <v>0</v>
      </c>
      <c r="J28" s="9" t="str">
        <f t="shared" si="2"/>
        <v>✅ Paid</v>
      </c>
    </row>
    <row r="29" spans="1:10">
      <c r="A29" s="36">
        <v>45756</v>
      </c>
      <c r="B29" s="39" t="s">
        <v>4</v>
      </c>
      <c r="C29" s="39" t="s">
        <v>164</v>
      </c>
      <c r="D29" s="39" t="s">
        <v>119</v>
      </c>
      <c r="E29" s="1">
        <v>1</v>
      </c>
      <c r="F29" s="40">
        <v>35000</v>
      </c>
      <c r="G29" s="50">
        <f t="shared" si="0"/>
        <v>35000</v>
      </c>
      <c r="H29" s="40">
        <v>35000</v>
      </c>
      <c r="I29" s="50">
        <f t="shared" si="1"/>
        <v>0</v>
      </c>
      <c r="J29" s="9" t="str">
        <f t="shared" si="2"/>
        <v>✅ Paid</v>
      </c>
    </row>
    <row r="30" spans="1:10">
      <c r="A30" s="36">
        <v>45756</v>
      </c>
      <c r="B30" s="39" t="s">
        <v>4</v>
      </c>
      <c r="C30" s="39" t="s">
        <v>39</v>
      </c>
      <c r="D30" s="39" t="s">
        <v>40</v>
      </c>
      <c r="E30" s="1">
        <v>1</v>
      </c>
      <c r="F30" s="40">
        <v>35000</v>
      </c>
      <c r="G30" s="50">
        <f t="shared" si="0"/>
        <v>35000</v>
      </c>
      <c r="H30" s="40">
        <v>35000</v>
      </c>
      <c r="I30" s="50">
        <f t="shared" si="1"/>
        <v>0</v>
      </c>
      <c r="J30" s="9" t="str">
        <f t="shared" si="2"/>
        <v>✅ Paid</v>
      </c>
    </row>
    <row r="31" spans="1:10">
      <c r="A31" s="36">
        <v>45756</v>
      </c>
      <c r="B31" s="39" t="s">
        <v>123</v>
      </c>
      <c r="C31" s="39" t="s">
        <v>188</v>
      </c>
      <c r="D31" s="39" t="s">
        <v>193</v>
      </c>
      <c r="E31" s="1">
        <v>2</v>
      </c>
      <c r="F31" s="40">
        <v>35000</v>
      </c>
      <c r="G31" s="50">
        <f t="shared" si="0"/>
        <v>70000</v>
      </c>
      <c r="H31" s="40">
        <v>70000</v>
      </c>
      <c r="I31" s="50">
        <f t="shared" si="1"/>
        <v>0</v>
      </c>
      <c r="J31" s="9" t="str">
        <f t="shared" si="2"/>
        <v>✅ Paid</v>
      </c>
    </row>
    <row r="32" spans="1:10">
      <c r="A32" s="36">
        <v>45756</v>
      </c>
      <c r="B32" s="39" t="s">
        <v>58</v>
      </c>
      <c r="C32" s="39" t="s">
        <v>23</v>
      </c>
      <c r="D32" s="39" t="s">
        <v>19</v>
      </c>
      <c r="E32" s="1">
        <v>1</v>
      </c>
      <c r="F32" s="40">
        <v>35000</v>
      </c>
      <c r="G32" s="50">
        <f t="shared" si="0"/>
        <v>35000</v>
      </c>
      <c r="H32" s="40">
        <v>35000</v>
      </c>
      <c r="I32" s="50">
        <f t="shared" si="1"/>
        <v>0</v>
      </c>
      <c r="J32" s="9" t="str">
        <f t="shared" si="2"/>
        <v>✅ Paid</v>
      </c>
    </row>
    <row r="33" spans="1:10">
      <c r="A33" s="36">
        <v>45757</v>
      </c>
      <c r="B33" s="39" t="s">
        <v>2</v>
      </c>
      <c r="C33" s="39" t="s">
        <v>197</v>
      </c>
      <c r="D33" s="39" t="s">
        <v>195</v>
      </c>
      <c r="E33" s="1">
        <v>1</v>
      </c>
      <c r="F33" s="40">
        <v>38000</v>
      </c>
      <c r="G33" s="50">
        <f t="shared" si="0"/>
        <v>38000</v>
      </c>
      <c r="H33" s="40">
        <v>38000</v>
      </c>
      <c r="I33" s="50">
        <f t="shared" si="1"/>
        <v>0</v>
      </c>
      <c r="J33" s="9" t="str">
        <f t="shared" si="2"/>
        <v>✅ Paid</v>
      </c>
    </row>
    <row r="34" spans="1:10">
      <c r="A34" s="36">
        <v>45757</v>
      </c>
      <c r="B34" s="39" t="s">
        <v>4</v>
      </c>
      <c r="C34" s="39" t="s">
        <v>23</v>
      </c>
      <c r="D34" s="39" t="s">
        <v>201</v>
      </c>
      <c r="E34" s="1">
        <v>1</v>
      </c>
      <c r="F34" s="40">
        <v>36000</v>
      </c>
      <c r="G34" s="50">
        <f t="shared" si="0"/>
        <v>36000</v>
      </c>
      <c r="H34" s="40">
        <v>36000</v>
      </c>
      <c r="I34" s="50">
        <f t="shared" si="1"/>
        <v>0</v>
      </c>
      <c r="J34" s="9" t="str">
        <f t="shared" si="2"/>
        <v>✅ Paid</v>
      </c>
    </row>
    <row r="35" spans="1:10">
      <c r="A35" s="36">
        <v>45758</v>
      </c>
      <c r="B35" s="39" t="s">
        <v>58</v>
      </c>
      <c r="C35" s="39" t="s">
        <v>199</v>
      </c>
      <c r="D35" s="39" t="s">
        <v>162</v>
      </c>
      <c r="E35" s="1">
        <v>1</v>
      </c>
      <c r="F35" s="40">
        <v>38000</v>
      </c>
      <c r="G35" s="50">
        <f t="shared" si="0"/>
        <v>38000</v>
      </c>
      <c r="H35" s="40">
        <v>38000</v>
      </c>
      <c r="I35" s="50">
        <f t="shared" si="1"/>
        <v>0</v>
      </c>
      <c r="J35" s="9" t="str">
        <f t="shared" si="2"/>
        <v>✅ Paid</v>
      </c>
    </row>
    <row r="36" spans="1:10">
      <c r="A36" s="36">
        <v>45758</v>
      </c>
      <c r="B36" s="39" t="s">
        <v>58</v>
      </c>
      <c r="C36" s="39" t="s">
        <v>21</v>
      </c>
      <c r="D36" s="39" t="s">
        <v>54</v>
      </c>
      <c r="E36" s="1">
        <v>1</v>
      </c>
      <c r="F36" s="40">
        <v>36000</v>
      </c>
      <c r="G36" s="50">
        <f t="shared" ref="G36:G67" si="3">F36*E36</f>
        <v>36000</v>
      </c>
      <c r="H36" s="40">
        <v>36000</v>
      </c>
      <c r="I36" s="50">
        <f t="shared" ref="I36:I67" si="4">G36-H36</f>
        <v>0</v>
      </c>
      <c r="J36" s="9" t="str">
        <f t="shared" ref="J36:J67" si="5">IF(I36&gt;10000,"🚨 URGENT: "&amp;C36&amp;" owes ₹"&amp;I36,IF(I36&gt;5000,"⚠️ WARNING: "&amp;C36&amp;" - ₹"&amp;I36&amp;" due",IF(I36&gt;0,"ℹ️ "&amp;C36&amp;" - ₹"&amp;I36&amp;" pending","✅ Paid")))</f>
        <v>✅ Paid</v>
      </c>
    </row>
    <row r="37" spans="1:10">
      <c r="A37" s="36">
        <v>45758</v>
      </c>
      <c r="B37" s="39" t="s">
        <v>123</v>
      </c>
      <c r="C37" s="39" t="s">
        <v>199</v>
      </c>
      <c r="D37" s="39" t="s">
        <v>196</v>
      </c>
      <c r="E37" s="1">
        <v>2</v>
      </c>
      <c r="F37" s="40">
        <v>37000</v>
      </c>
      <c r="G37" s="50">
        <f t="shared" si="3"/>
        <v>74000</v>
      </c>
      <c r="H37" s="40">
        <v>74000</v>
      </c>
      <c r="I37" s="50">
        <f t="shared" si="4"/>
        <v>0</v>
      </c>
      <c r="J37" s="9" t="str">
        <f t="shared" si="5"/>
        <v>✅ Paid</v>
      </c>
    </row>
    <row r="38" spans="1:10">
      <c r="A38" s="36">
        <v>45758</v>
      </c>
      <c r="B38" s="39" t="s">
        <v>58</v>
      </c>
      <c r="C38" s="39" t="s">
        <v>23</v>
      </c>
      <c r="D38" s="39" t="s">
        <v>19</v>
      </c>
      <c r="E38" s="1">
        <v>1</v>
      </c>
      <c r="F38" s="40">
        <v>36000</v>
      </c>
      <c r="G38" s="50">
        <f t="shared" si="3"/>
        <v>36000</v>
      </c>
      <c r="H38" s="40">
        <v>36000</v>
      </c>
      <c r="I38" s="50">
        <f t="shared" si="4"/>
        <v>0</v>
      </c>
      <c r="J38" s="9" t="str">
        <f t="shared" si="5"/>
        <v>✅ Paid</v>
      </c>
    </row>
    <row r="39" spans="1:10">
      <c r="A39" s="36">
        <v>45758</v>
      </c>
      <c r="B39" s="39" t="s">
        <v>4</v>
      </c>
      <c r="C39" s="39" t="s">
        <v>92</v>
      </c>
      <c r="D39" s="39" t="s">
        <v>200</v>
      </c>
      <c r="E39" s="1">
        <v>1</v>
      </c>
      <c r="F39" s="40">
        <v>36000</v>
      </c>
      <c r="G39" s="50">
        <f t="shared" si="3"/>
        <v>36000</v>
      </c>
      <c r="H39" s="40">
        <v>36000</v>
      </c>
      <c r="I39" s="50">
        <f t="shared" si="4"/>
        <v>0</v>
      </c>
      <c r="J39" s="9" t="str">
        <f t="shared" si="5"/>
        <v>✅ Paid</v>
      </c>
    </row>
    <row r="40" spans="1:10">
      <c r="A40" s="36">
        <v>45758</v>
      </c>
      <c r="B40" s="39" t="s">
        <v>4</v>
      </c>
      <c r="C40" s="39" t="s">
        <v>318</v>
      </c>
      <c r="D40" s="39" t="s">
        <v>88</v>
      </c>
      <c r="E40" s="1">
        <v>1</v>
      </c>
      <c r="F40" s="40">
        <v>38000</v>
      </c>
      <c r="G40" s="50">
        <f t="shared" si="3"/>
        <v>38000</v>
      </c>
      <c r="H40" s="40">
        <v>38000</v>
      </c>
      <c r="I40" s="50">
        <f t="shared" si="4"/>
        <v>0</v>
      </c>
      <c r="J40" s="9" t="str">
        <f t="shared" si="5"/>
        <v>✅ Paid</v>
      </c>
    </row>
    <row r="41" spans="1:10">
      <c r="A41" s="36">
        <v>45758</v>
      </c>
      <c r="B41" s="39" t="s">
        <v>4</v>
      </c>
      <c r="C41" s="39" t="s">
        <v>198</v>
      </c>
      <c r="D41" s="39" t="s">
        <v>42</v>
      </c>
      <c r="E41" s="1">
        <v>1</v>
      </c>
      <c r="F41" s="40">
        <v>36000</v>
      </c>
      <c r="G41" s="50">
        <f t="shared" si="3"/>
        <v>36000</v>
      </c>
      <c r="H41" s="40">
        <v>36000</v>
      </c>
      <c r="I41" s="50">
        <f t="shared" si="4"/>
        <v>0</v>
      </c>
      <c r="J41" s="9" t="str">
        <f t="shared" si="5"/>
        <v>✅ Paid</v>
      </c>
    </row>
    <row r="42" spans="1:10">
      <c r="A42" s="36">
        <v>45759</v>
      </c>
      <c r="B42" s="39" t="s">
        <v>2</v>
      </c>
      <c r="C42" s="39" t="s">
        <v>107</v>
      </c>
      <c r="D42" s="39" t="s">
        <v>160</v>
      </c>
      <c r="E42" s="1">
        <v>1</v>
      </c>
      <c r="F42" s="40">
        <v>36000</v>
      </c>
      <c r="G42" s="50">
        <f t="shared" si="3"/>
        <v>36000</v>
      </c>
      <c r="H42" s="40">
        <v>30000</v>
      </c>
      <c r="I42" s="50">
        <f t="shared" si="4"/>
        <v>6000</v>
      </c>
      <c r="J42" s="9" t="str">
        <f t="shared" si="5"/>
        <v>⚠️ WARNING: Sau Thekedar - ₹6000 due</v>
      </c>
    </row>
    <row r="43" spans="1:10">
      <c r="A43" s="36">
        <v>45759</v>
      </c>
      <c r="B43" s="39" t="s">
        <v>58</v>
      </c>
      <c r="C43" s="39" t="s">
        <v>199</v>
      </c>
      <c r="D43" s="39" t="s">
        <v>202</v>
      </c>
      <c r="E43" s="1">
        <v>1</v>
      </c>
      <c r="F43" s="40">
        <v>37000</v>
      </c>
      <c r="G43" s="50">
        <f t="shared" si="3"/>
        <v>37000</v>
      </c>
      <c r="H43" s="40">
        <v>37000</v>
      </c>
      <c r="I43" s="50">
        <f t="shared" si="4"/>
        <v>0</v>
      </c>
      <c r="J43" s="9" t="str">
        <f t="shared" si="5"/>
        <v>✅ Paid</v>
      </c>
    </row>
    <row r="44" spans="1:10">
      <c r="A44" s="36">
        <v>45761</v>
      </c>
      <c r="B44" s="39" t="s">
        <v>4</v>
      </c>
      <c r="C44" s="39" t="s">
        <v>203</v>
      </c>
      <c r="D44" s="39" t="s">
        <v>204</v>
      </c>
      <c r="E44" s="1">
        <v>1</v>
      </c>
      <c r="F44" s="40">
        <v>35000</v>
      </c>
      <c r="G44" s="50">
        <f t="shared" si="3"/>
        <v>35000</v>
      </c>
      <c r="H44" s="40">
        <v>35000</v>
      </c>
      <c r="I44" s="50">
        <f t="shared" si="4"/>
        <v>0</v>
      </c>
      <c r="J44" s="9" t="str">
        <f t="shared" si="5"/>
        <v>✅ Paid</v>
      </c>
    </row>
    <row r="45" spans="1:10">
      <c r="A45" s="36">
        <v>45761</v>
      </c>
      <c r="B45" s="39" t="s">
        <v>58</v>
      </c>
      <c r="C45" s="39" t="s">
        <v>199</v>
      </c>
      <c r="D45" s="39" t="s">
        <v>202</v>
      </c>
      <c r="E45" s="1">
        <v>1</v>
      </c>
      <c r="F45" s="40">
        <v>37000</v>
      </c>
      <c r="G45" s="50">
        <f t="shared" si="3"/>
        <v>37000</v>
      </c>
      <c r="H45" s="40">
        <v>37000</v>
      </c>
      <c r="I45" s="50">
        <f t="shared" si="4"/>
        <v>0</v>
      </c>
      <c r="J45" s="9" t="str">
        <f t="shared" si="5"/>
        <v>✅ Paid</v>
      </c>
    </row>
    <row r="46" spans="1:10">
      <c r="A46" s="36">
        <v>45761</v>
      </c>
      <c r="B46" s="39" t="s">
        <v>4</v>
      </c>
      <c r="C46" s="39" t="s">
        <v>23</v>
      </c>
      <c r="D46" s="39" t="s">
        <v>3</v>
      </c>
      <c r="E46" s="1">
        <v>1</v>
      </c>
      <c r="F46" s="40">
        <v>36000</v>
      </c>
      <c r="G46" s="50">
        <f t="shared" si="3"/>
        <v>36000</v>
      </c>
      <c r="H46" s="40">
        <v>36000</v>
      </c>
      <c r="I46" s="50">
        <f t="shared" si="4"/>
        <v>0</v>
      </c>
      <c r="J46" s="9" t="str">
        <f t="shared" si="5"/>
        <v>✅ Paid</v>
      </c>
    </row>
    <row r="47" spans="1:10">
      <c r="A47" s="36">
        <v>45762</v>
      </c>
      <c r="B47" s="39" t="s">
        <v>2</v>
      </c>
      <c r="C47" s="39" t="s">
        <v>207</v>
      </c>
      <c r="D47" s="39" t="s">
        <v>42</v>
      </c>
      <c r="E47" s="1">
        <v>1</v>
      </c>
      <c r="F47" s="40">
        <v>34000</v>
      </c>
      <c r="G47" s="50">
        <f t="shared" si="3"/>
        <v>34000</v>
      </c>
      <c r="H47" s="40">
        <v>34000</v>
      </c>
      <c r="I47" s="50">
        <f t="shared" si="4"/>
        <v>0</v>
      </c>
      <c r="J47" s="9" t="str">
        <f t="shared" si="5"/>
        <v>✅ Paid</v>
      </c>
    </row>
    <row r="48" spans="1:10">
      <c r="A48" s="36">
        <v>45762</v>
      </c>
      <c r="B48" s="39" t="s">
        <v>58</v>
      </c>
      <c r="C48" s="39" t="s">
        <v>43</v>
      </c>
      <c r="D48" s="39" t="s">
        <v>205</v>
      </c>
      <c r="E48" s="1">
        <v>1</v>
      </c>
      <c r="F48" s="40">
        <v>34000</v>
      </c>
      <c r="G48" s="50">
        <f t="shared" si="3"/>
        <v>34000</v>
      </c>
      <c r="H48" s="40">
        <v>34000</v>
      </c>
      <c r="I48" s="50">
        <f t="shared" si="4"/>
        <v>0</v>
      </c>
      <c r="J48" s="9" t="str">
        <f t="shared" si="5"/>
        <v>✅ Paid</v>
      </c>
    </row>
    <row r="49" spans="1:10">
      <c r="A49" s="36">
        <v>45762</v>
      </c>
      <c r="B49" s="39" t="s">
        <v>58</v>
      </c>
      <c r="C49" s="39" t="s">
        <v>80</v>
      </c>
      <c r="D49" s="39" t="s">
        <v>204</v>
      </c>
      <c r="E49" s="1">
        <v>1</v>
      </c>
      <c r="F49" s="40">
        <v>35000</v>
      </c>
      <c r="G49" s="50">
        <f t="shared" si="3"/>
        <v>35000</v>
      </c>
      <c r="H49" s="40">
        <v>35000</v>
      </c>
      <c r="I49" s="50">
        <f t="shared" si="4"/>
        <v>0</v>
      </c>
      <c r="J49" s="9" t="str">
        <f t="shared" si="5"/>
        <v>✅ Paid</v>
      </c>
    </row>
    <row r="50" spans="1:10">
      <c r="A50" s="36">
        <v>45762</v>
      </c>
      <c r="B50" s="39" t="s">
        <v>58</v>
      </c>
      <c r="C50" s="39" t="s">
        <v>206</v>
      </c>
      <c r="D50" s="39" t="s">
        <v>22</v>
      </c>
      <c r="E50" s="1">
        <v>1</v>
      </c>
      <c r="F50" s="40">
        <v>35000</v>
      </c>
      <c r="G50" s="50">
        <f t="shared" si="3"/>
        <v>35000</v>
      </c>
      <c r="H50" s="40">
        <v>35000</v>
      </c>
      <c r="I50" s="50">
        <f t="shared" si="4"/>
        <v>0</v>
      </c>
      <c r="J50" s="9" t="str">
        <f t="shared" si="5"/>
        <v>✅ Paid</v>
      </c>
    </row>
    <row r="51" spans="1:10">
      <c r="A51" s="36">
        <v>45763</v>
      </c>
      <c r="B51" s="39" t="s">
        <v>2</v>
      </c>
      <c r="C51" s="39" t="s">
        <v>206</v>
      </c>
      <c r="D51" s="39" t="s">
        <v>22</v>
      </c>
      <c r="E51" s="1">
        <v>1</v>
      </c>
      <c r="F51" s="40">
        <v>35000</v>
      </c>
      <c r="G51" s="50">
        <f t="shared" si="3"/>
        <v>35000</v>
      </c>
      <c r="H51" s="40">
        <v>35000</v>
      </c>
      <c r="I51" s="50">
        <f t="shared" si="4"/>
        <v>0</v>
      </c>
      <c r="J51" s="9" t="str">
        <f t="shared" si="5"/>
        <v>✅ Paid</v>
      </c>
    </row>
    <row r="52" spans="1:10">
      <c r="A52" s="36">
        <v>45764</v>
      </c>
      <c r="B52" s="39" t="s">
        <v>209</v>
      </c>
      <c r="C52" s="39" t="s">
        <v>80</v>
      </c>
      <c r="D52" s="39" t="s">
        <v>208</v>
      </c>
      <c r="E52" s="1">
        <v>3</v>
      </c>
      <c r="F52" s="40">
        <v>35000</v>
      </c>
      <c r="G52" s="50">
        <f t="shared" si="3"/>
        <v>105000</v>
      </c>
      <c r="H52" s="40">
        <v>105000</v>
      </c>
      <c r="I52" s="50">
        <f t="shared" si="4"/>
        <v>0</v>
      </c>
      <c r="J52" s="9" t="str">
        <f t="shared" si="5"/>
        <v>✅ Paid</v>
      </c>
    </row>
    <row r="53" spans="1:10">
      <c r="A53" s="36">
        <v>45764</v>
      </c>
      <c r="B53" s="39" t="s">
        <v>4</v>
      </c>
      <c r="C53" s="39" t="s">
        <v>94</v>
      </c>
      <c r="D53" s="39" t="s">
        <v>137</v>
      </c>
      <c r="E53" s="1">
        <v>1</v>
      </c>
      <c r="F53" s="40">
        <v>37000</v>
      </c>
      <c r="G53" s="50">
        <f t="shared" si="3"/>
        <v>37000</v>
      </c>
      <c r="H53" s="40">
        <v>37000</v>
      </c>
      <c r="I53" s="50">
        <f t="shared" si="4"/>
        <v>0</v>
      </c>
      <c r="J53" s="9" t="str">
        <f t="shared" si="5"/>
        <v>✅ Paid</v>
      </c>
    </row>
    <row r="54" spans="1:10">
      <c r="A54" s="36">
        <v>45764</v>
      </c>
      <c r="B54" s="39" t="s">
        <v>2</v>
      </c>
      <c r="C54" s="39" t="s">
        <v>183</v>
      </c>
      <c r="D54" s="39" t="s">
        <v>210</v>
      </c>
      <c r="E54" s="1">
        <v>1</v>
      </c>
      <c r="F54" s="40">
        <v>28000</v>
      </c>
      <c r="G54" s="50">
        <f t="shared" si="3"/>
        <v>28000</v>
      </c>
      <c r="H54" s="40">
        <v>28000</v>
      </c>
      <c r="I54" s="50">
        <f t="shared" si="4"/>
        <v>0</v>
      </c>
      <c r="J54" s="9" t="str">
        <f t="shared" si="5"/>
        <v>✅ Paid</v>
      </c>
    </row>
    <row r="55" spans="1:10">
      <c r="A55" s="36">
        <v>45764</v>
      </c>
      <c r="B55" s="39" t="s">
        <v>2</v>
      </c>
      <c r="C55" s="39" t="s">
        <v>164</v>
      </c>
      <c r="D55" s="39" t="s">
        <v>11</v>
      </c>
      <c r="E55" s="1">
        <v>1</v>
      </c>
      <c r="F55" s="40">
        <v>38000</v>
      </c>
      <c r="G55" s="50">
        <f t="shared" si="3"/>
        <v>38000</v>
      </c>
      <c r="H55" s="40"/>
      <c r="I55" s="50">
        <f t="shared" si="4"/>
        <v>38000</v>
      </c>
      <c r="J55" s="9" t="str">
        <f t="shared" si="5"/>
        <v>🚨 URGENT: Saurabh  owes ₹38000</v>
      </c>
    </row>
    <row r="56" spans="1:10">
      <c r="A56" s="36">
        <v>45765</v>
      </c>
      <c r="B56" s="39" t="s">
        <v>212</v>
      </c>
      <c r="C56" s="39" t="s">
        <v>110</v>
      </c>
      <c r="D56" s="39" t="s">
        <v>116</v>
      </c>
      <c r="E56" s="1">
        <v>2</v>
      </c>
      <c r="F56" s="40">
        <v>34000</v>
      </c>
      <c r="G56" s="50">
        <f t="shared" si="3"/>
        <v>68000</v>
      </c>
      <c r="H56" s="40"/>
      <c r="I56" s="50">
        <f t="shared" si="4"/>
        <v>68000</v>
      </c>
      <c r="J56" s="9" t="str">
        <f t="shared" si="5"/>
        <v>🚨 URGENT: Ankush P owes ₹68000</v>
      </c>
    </row>
    <row r="57" spans="1:10">
      <c r="A57" s="36">
        <v>45765</v>
      </c>
      <c r="B57" s="39" t="s">
        <v>2</v>
      </c>
      <c r="C57" s="39" t="s">
        <v>140</v>
      </c>
      <c r="D57" s="39" t="s">
        <v>211</v>
      </c>
      <c r="E57" s="1">
        <v>1</v>
      </c>
      <c r="F57" s="40">
        <v>35000</v>
      </c>
      <c r="G57" s="50">
        <f t="shared" si="3"/>
        <v>35000</v>
      </c>
      <c r="H57" s="40">
        <v>35000</v>
      </c>
      <c r="I57" s="50">
        <f t="shared" si="4"/>
        <v>0</v>
      </c>
      <c r="J57" s="9" t="str">
        <f t="shared" si="5"/>
        <v>✅ Paid</v>
      </c>
    </row>
    <row r="58" spans="1:10">
      <c r="A58" s="36">
        <v>45765</v>
      </c>
      <c r="B58" s="39" t="s">
        <v>58</v>
      </c>
      <c r="C58" s="39" t="s">
        <v>190</v>
      </c>
      <c r="D58" s="39" t="s">
        <v>38</v>
      </c>
      <c r="E58" s="1">
        <v>1</v>
      </c>
      <c r="F58" s="40">
        <v>35000</v>
      </c>
      <c r="G58" s="50">
        <f t="shared" si="3"/>
        <v>35000</v>
      </c>
      <c r="H58" s="40">
        <v>35000</v>
      </c>
      <c r="I58" s="50">
        <f t="shared" si="4"/>
        <v>0</v>
      </c>
      <c r="J58" s="9" t="str">
        <f t="shared" si="5"/>
        <v>✅ Paid</v>
      </c>
    </row>
    <row r="59" spans="1:10">
      <c r="A59" s="36">
        <v>45766</v>
      </c>
      <c r="B59" s="39" t="s">
        <v>4</v>
      </c>
      <c r="C59" s="39" t="s">
        <v>140</v>
      </c>
      <c r="D59" s="39" t="s">
        <v>213</v>
      </c>
      <c r="E59" s="1">
        <v>1</v>
      </c>
      <c r="F59" s="40">
        <v>35000</v>
      </c>
      <c r="G59" s="50">
        <f t="shared" si="3"/>
        <v>35000</v>
      </c>
      <c r="H59" s="40">
        <v>35000</v>
      </c>
      <c r="I59" s="50">
        <f t="shared" si="4"/>
        <v>0</v>
      </c>
      <c r="J59" s="9" t="str">
        <f t="shared" si="5"/>
        <v>✅ Paid</v>
      </c>
    </row>
    <row r="60" spans="1:10">
      <c r="A60" s="36">
        <v>45767</v>
      </c>
      <c r="B60" s="39" t="s">
        <v>226</v>
      </c>
      <c r="C60" s="39" t="s">
        <v>92</v>
      </c>
      <c r="D60" s="39" t="s">
        <v>162</v>
      </c>
      <c r="E60" s="1">
        <v>3</v>
      </c>
      <c r="F60" s="40">
        <v>35000</v>
      </c>
      <c r="G60" s="50">
        <f t="shared" si="3"/>
        <v>105000</v>
      </c>
      <c r="H60" s="40">
        <v>105000</v>
      </c>
      <c r="I60" s="50">
        <f t="shared" si="4"/>
        <v>0</v>
      </c>
      <c r="J60" s="9" t="str">
        <f t="shared" si="5"/>
        <v>✅ Paid</v>
      </c>
    </row>
    <row r="61" spans="1:10">
      <c r="A61" s="36">
        <v>45767</v>
      </c>
      <c r="B61" s="39" t="s">
        <v>216</v>
      </c>
      <c r="C61" s="39" t="s">
        <v>153</v>
      </c>
      <c r="D61" s="39" t="s">
        <v>215</v>
      </c>
      <c r="E61" s="1">
        <v>2</v>
      </c>
      <c r="F61" s="40">
        <v>34000</v>
      </c>
      <c r="G61" s="50">
        <f t="shared" si="3"/>
        <v>68000</v>
      </c>
      <c r="H61" s="40">
        <v>68000</v>
      </c>
      <c r="I61" s="50">
        <f t="shared" si="4"/>
        <v>0</v>
      </c>
      <c r="J61" s="9" t="str">
        <f t="shared" si="5"/>
        <v>✅ Paid</v>
      </c>
    </row>
    <row r="62" spans="1:10">
      <c r="A62" s="36">
        <v>45768</v>
      </c>
      <c r="B62" s="39" t="s">
        <v>225</v>
      </c>
      <c r="C62" s="39" t="s">
        <v>218</v>
      </c>
      <c r="D62" s="39" t="s">
        <v>214</v>
      </c>
      <c r="E62" s="1">
        <v>2</v>
      </c>
      <c r="F62" s="40">
        <v>34000</v>
      </c>
      <c r="G62" s="50">
        <f t="shared" si="3"/>
        <v>68000</v>
      </c>
      <c r="H62" s="40">
        <v>68000</v>
      </c>
      <c r="I62" s="50">
        <f t="shared" si="4"/>
        <v>0</v>
      </c>
      <c r="J62" s="9" t="str">
        <f t="shared" si="5"/>
        <v>✅ Paid</v>
      </c>
    </row>
    <row r="63" spans="1:10">
      <c r="A63" s="36">
        <v>45768</v>
      </c>
      <c r="B63" s="39" t="s">
        <v>2</v>
      </c>
      <c r="C63" s="39" t="s">
        <v>110</v>
      </c>
      <c r="D63" s="39" t="s">
        <v>116</v>
      </c>
      <c r="E63" s="1">
        <v>1</v>
      </c>
      <c r="F63" s="40">
        <v>34000</v>
      </c>
      <c r="G63" s="50">
        <f t="shared" si="3"/>
        <v>34000</v>
      </c>
      <c r="H63" s="40"/>
      <c r="I63" s="50">
        <f t="shared" si="4"/>
        <v>34000</v>
      </c>
      <c r="J63" s="9" t="str">
        <f t="shared" si="5"/>
        <v>🚨 URGENT: Ankush P owes ₹34000</v>
      </c>
    </row>
    <row r="64" spans="1:10">
      <c r="A64" s="36">
        <v>45769</v>
      </c>
      <c r="B64" s="39" t="s">
        <v>4</v>
      </c>
      <c r="C64" s="39" t="s">
        <v>23</v>
      </c>
      <c r="D64" s="39" t="s">
        <v>217</v>
      </c>
      <c r="E64" s="1">
        <v>1</v>
      </c>
      <c r="F64" s="40">
        <v>36000</v>
      </c>
      <c r="G64" s="50">
        <f t="shared" si="3"/>
        <v>36000</v>
      </c>
      <c r="H64" s="40">
        <v>36000</v>
      </c>
      <c r="I64" s="50">
        <f t="shared" si="4"/>
        <v>0</v>
      </c>
      <c r="J64" s="9" t="str">
        <f t="shared" si="5"/>
        <v>✅ Paid</v>
      </c>
    </row>
    <row r="65" spans="1:10">
      <c r="A65" s="36">
        <v>45769</v>
      </c>
      <c r="B65" s="39" t="s">
        <v>2</v>
      </c>
      <c r="C65" s="39" t="s">
        <v>110</v>
      </c>
      <c r="D65" s="39" t="s">
        <v>162</v>
      </c>
      <c r="E65" s="1">
        <v>1</v>
      </c>
      <c r="F65" s="40">
        <v>34000</v>
      </c>
      <c r="G65" s="50">
        <f t="shared" si="3"/>
        <v>34000</v>
      </c>
      <c r="H65" s="40"/>
      <c r="I65" s="50">
        <f t="shared" si="4"/>
        <v>34000</v>
      </c>
      <c r="J65" s="9" t="str">
        <f t="shared" si="5"/>
        <v>🚨 URGENT: Ankush P owes ₹34000</v>
      </c>
    </row>
    <row r="66" spans="1:10">
      <c r="A66" s="36">
        <v>45770</v>
      </c>
      <c r="B66" s="39" t="s">
        <v>2</v>
      </c>
      <c r="C66" s="39" t="s">
        <v>224</v>
      </c>
      <c r="D66" s="39" t="s">
        <v>219</v>
      </c>
      <c r="E66" s="1">
        <v>1</v>
      </c>
      <c r="F66" s="40">
        <v>35000</v>
      </c>
      <c r="G66" s="50">
        <f t="shared" si="3"/>
        <v>35000</v>
      </c>
      <c r="H66" s="40">
        <v>35000</v>
      </c>
      <c r="I66" s="50">
        <f t="shared" si="4"/>
        <v>0</v>
      </c>
      <c r="J66" s="9" t="str">
        <f t="shared" si="5"/>
        <v>✅ Paid</v>
      </c>
    </row>
    <row r="67" spans="1:10">
      <c r="A67" s="36">
        <v>45770</v>
      </c>
      <c r="B67" s="39" t="s">
        <v>2</v>
      </c>
      <c r="C67" s="39" t="s">
        <v>164</v>
      </c>
      <c r="D67" s="39" t="s">
        <v>10</v>
      </c>
      <c r="E67" s="1">
        <v>1</v>
      </c>
      <c r="F67" s="40">
        <v>35000</v>
      </c>
      <c r="G67" s="50">
        <f t="shared" si="3"/>
        <v>35000</v>
      </c>
      <c r="H67" s="40"/>
      <c r="I67" s="50">
        <f t="shared" si="4"/>
        <v>35000</v>
      </c>
      <c r="J67" s="9" t="str">
        <f t="shared" si="5"/>
        <v>🚨 URGENT: Saurabh  owes ₹35000</v>
      </c>
    </row>
    <row r="68" spans="1:10">
      <c r="A68" s="36">
        <v>45770</v>
      </c>
      <c r="B68" s="39" t="s">
        <v>58</v>
      </c>
      <c r="C68" s="39" t="s">
        <v>80</v>
      </c>
      <c r="D68" s="39" t="s">
        <v>220</v>
      </c>
      <c r="E68" s="1">
        <v>1</v>
      </c>
      <c r="F68" s="40">
        <v>35000</v>
      </c>
      <c r="G68" s="50">
        <f t="shared" ref="G68:G79" si="6">F68*E68</f>
        <v>35000</v>
      </c>
      <c r="H68" s="40">
        <v>35000</v>
      </c>
      <c r="I68" s="50">
        <f t="shared" ref="I68:I79" si="7">G68-H68</f>
        <v>0</v>
      </c>
      <c r="J68" s="9" t="str">
        <f t="shared" ref="J68:J75" si="8">IF(I68&gt;10000,"🚨 URGENT: "&amp;C68&amp;" owes ₹"&amp;I68,IF(I68&gt;5000,"⚠️ WARNING: "&amp;C68&amp;" - ₹"&amp;I68&amp;" due",IF(I68&gt;0,"ℹ️ "&amp;C68&amp;" - ₹"&amp;I68&amp;" pending","✅ Paid")))</f>
        <v>✅ Paid</v>
      </c>
    </row>
    <row r="69" spans="1:10">
      <c r="A69" s="36">
        <v>45774</v>
      </c>
      <c r="B69" s="39" t="s">
        <v>222</v>
      </c>
      <c r="C69" s="39" t="s">
        <v>199</v>
      </c>
      <c r="D69" s="39" t="s">
        <v>221</v>
      </c>
      <c r="E69" s="1">
        <v>3</v>
      </c>
      <c r="F69" s="40">
        <v>37000</v>
      </c>
      <c r="G69" s="50">
        <f t="shared" si="6"/>
        <v>111000</v>
      </c>
      <c r="H69" s="40">
        <v>111000</v>
      </c>
      <c r="I69" s="50">
        <f t="shared" si="7"/>
        <v>0</v>
      </c>
      <c r="J69" s="9" t="str">
        <f t="shared" si="8"/>
        <v>✅ Paid</v>
      </c>
    </row>
    <row r="70" spans="1:10">
      <c r="A70" s="36">
        <v>45774</v>
      </c>
      <c r="B70" s="39" t="s">
        <v>2</v>
      </c>
      <c r="C70" s="39" t="s">
        <v>18</v>
      </c>
      <c r="D70" s="39" t="s">
        <v>13</v>
      </c>
      <c r="E70" s="1">
        <v>1</v>
      </c>
      <c r="F70" s="40">
        <v>32000</v>
      </c>
      <c r="G70" s="50">
        <f t="shared" si="6"/>
        <v>32000</v>
      </c>
      <c r="H70" s="40">
        <v>32000</v>
      </c>
      <c r="I70" s="50">
        <f t="shared" si="7"/>
        <v>0</v>
      </c>
      <c r="J70" s="9" t="str">
        <f t="shared" si="8"/>
        <v>✅ Paid</v>
      </c>
    </row>
    <row r="71" spans="1:10">
      <c r="A71" s="36">
        <v>45774</v>
      </c>
      <c r="B71" s="39" t="s">
        <v>2</v>
      </c>
      <c r="C71" s="39" t="s">
        <v>21</v>
      </c>
      <c r="D71" s="39" t="s">
        <v>22</v>
      </c>
      <c r="E71" s="1">
        <v>1</v>
      </c>
      <c r="F71" s="40">
        <v>34000</v>
      </c>
      <c r="G71" s="50">
        <f t="shared" si="6"/>
        <v>34000</v>
      </c>
      <c r="H71" s="40">
        <v>34000</v>
      </c>
      <c r="I71" s="50">
        <f t="shared" si="7"/>
        <v>0</v>
      </c>
      <c r="J71" s="9" t="str">
        <f t="shared" si="8"/>
        <v>✅ Paid</v>
      </c>
    </row>
    <row r="72" spans="1:10">
      <c r="A72" s="36">
        <v>45774</v>
      </c>
      <c r="B72" s="39" t="s">
        <v>4</v>
      </c>
      <c r="C72" s="39" t="s">
        <v>23</v>
      </c>
      <c r="D72" s="39" t="s">
        <v>3</v>
      </c>
      <c r="E72" s="1">
        <v>1</v>
      </c>
      <c r="F72" s="40">
        <v>36000</v>
      </c>
      <c r="G72" s="50">
        <f t="shared" si="6"/>
        <v>36000</v>
      </c>
      <c r="H72" s="40">
        <v>36000</v>
      </c>
      <c r="I72" s="50">
        <f t="shared" si="7"/>
        <v>0</v>
      </c>
      <c r="J72" s="9" t="str">
        <f t="shared" si="8"/>
        <v>✅ Paid</v>
      </c>
    </row>
    <row r="73" spans="1:10">
      <c r="A73" s="36">
        <v>45774</v>
      </c>
      <c r="B73" s="39" t="s">
        <v>58</v>
      </c>
      <c r="C73" s="39" t="s">
        <v>110</v>
      </c>
      <c r="D73" s="39" t="s">
        <v>223</v>
      </c>
      <c r="E73" s="1">
        <v>1</v>
      </c>
      <c r="F73" s="40">
        <v>34000</v>
      </c>
      <c r="G73" s="50">
        <f t="shared" si="6"/>
        <v>34000</v>
      </c>
      <c r="H73" s="40"/>
      <c r="I73" s="50">
        <f t="shared" si="7"/>
        <v>34000</v>
      </c>
      <c r="J73" s="9" t="str">
        <f t="shared" si="8"/>
        <v>🚨 URGENT: Ankush P owes ₹34000</v>
      </c>
    </row>
    <row r="74" spans="1:10">
      <c r="A74" s="36">
        <v>45775</v>
      </c>
      <c r="B74" s="39" t="s">
        <v>4</v>
      </c>
      <c r="C74" s="39" t="s">
        <v>227</v>
      </c>
      <c r="D74" s="39" t="s">
        <v>228</v>
      </c>
      <c r="E74" s="1">
        <v>1</v>
      </c>
      <c r="F74" s="40">
        <v>36000</v>
      </c>
      <c r="G74" s="50">
        <f t="shared" si="6"/>
        <v>36000</v>
      </c>
      <c r="H74" s="40">
        <v>36000</v>
      </c>
      <c r="I74" s="50">
        <f t="shared" si="7"/>
        <v>0</v>
      </c>
      <c r="J74" s="9" t="str">
        <f t="shared" si="8"/>
        <v>✅ Paid</v>
      </c>
    </row>
    <row r="75" spans="1:10">
      <c r="A75" s="36">
        <v>45775</v>
      </c>
      <c r="B75" s="39" t="s">
        <v>2</v>
      </c>
      <c r="C75" s="39" t="s">
        <v>199</v>
      </c>
      <c r="D75" s="39" t="s">
        <v>152</v>
      </c>
      <c r="E75" s="1">
        <v>1</v>
      </c>
      <c r="F75" s="40">
        <v>35000</v>
      </c>
      <c r="G75" s="50">
        <f t="shared" si="6"/>
        <v>35000</v>
      </c>
      <c r="H75" s="40">
        <v>35000</v>
      </c>
      <c r="I75" s="50">
        <f t="shared" si="7"/>
        <v>0</v>
      </c>
      <c r="J75" s="9" t="str">
        <f t="shared" si="8"/>
        <v>✅ Paid</v>
      </c>
    </row>
    <row r="76" spans="1:10">
      <c r="A76" s="36">
        <v>45776</v>
      </c>
      <c r="B76" s="39" t="s">
        <v>58</v>
      </c>
      <c r="C76" s="39" t="s">
        <v>190</v>
      </c>
      <c r="D76" s="39" t="s">
        <v>229</v>
      </c>
      <c r="E76" s="1">
        <v>1</v>
      </c>
      <c r="F76" s="40">
        <v>34500</v>
      </c>
      <c r="G76" s="50">
        <f t="shared" si="6"/>
        <v>34500</v>
      </c>
      <c r="H76" s="40">
        <v>34500</v>
      </c>
      <c r="I76" s="50">
        <f t="shared" si="7"/>
        <v>0</v>
      </c>
      <c r="J76" s="9"/>
    </row>
    <row r="77" spans="1:10">
      <c r="A77" s="36">
        <v>45776</v>
      </c>
      <c r="B77" s="39" t="s">
        <v>4</v>
      </c>
      <c r="C77" s="39" t="s">
        <v>92</v>
      </c>
      <c r="D77" s="39" t="s">
        <v>130</v>
      </c>
      <c r="E77" s="1">
        <v>1</v>
      </c>
      <c r="F77" s="40">
        <v>35000</v>
      </c>
      <c r="G77" s="50">
        <f t="shared" si="6"/>
        <v>35000</v>
      </c>
      <c r="H77" s="40">
        <v>35000</v>
      </c>
      <c r="I77" s="50">
        <f t="shared" si="7"/>
        <v>0</v>
      </c>
      <c r="J77" s="9" t="str">
        <f>IF(I77&gt;10000,"🚨 URGENT: "&amp;C77&amp;" owes ₹"&amp;I77,IF(I77&gt;5000,"⚠️ WARNING: "&amp;C77&amp;" - ₹"&amp;I77&amp;" due",IF(I77&gt;0,"ℹ️ "&amp;C77&amp;" - ₹"&amp;I77&amp;" pending","✅ Paid")))</f>
        <v>✅ Paid</v>
      </c>
    </row>
    <row r="78" spans="1:10">
      <c r="A78" s="36">
        <v>45776</v>
      </c>
      <c r="B78" s="39" t="s">
        <v>4</v>
      </c>
      <c r="C78" s="39" t="s">
        <v>230</v>
      </c>
      <c r="D78" s="39" t="s">
        <v>42</v>
      </c>
      <c r="E78" s="1">
        <v>1</v>
      </c>
      <c r="F78" s="40">
        <v>36000</v>
      </c>
      <c r="G78" s="50">
        <f t="shared" si="6"/>
        <v>36000</v>
      </c>
      <c r="H78" s="40">
        <v>36000</v>
      </c>
      <c r="I78" s="50">
        <f t="shared" si="7"/>
        <v>0</v>
      </c>
      <c r="J78" s="9" t="str">
        <f>IF(I78&gt;10000,"🚨 URGENT: "&amp;C78&amp;" owes ₹"&amp;I78,IF(I78&gt;5000,"⚠️ WARNING: "&amp;C78&amp;" - ₹"&amp;I78&amp;" due",IF(I78&gt;0,"ℹ️ "&amp;C78&amp;" - ₹"&amp;I78&amp;" pending","✅ Paid")))</f>
        <v>✅ Paid</v>
      </c>
    </row>
    <row r="79" spans="1:10">
      <c r="A79" s="36">
        <v>45777</v>
      </c>
      <c r="B79" s="39" t="s">
        <v>4</v>
      </c>
      <c r="C79" s="39" t="s">
        <v>110</v>
      </c>
      <c r="D79" s="39" t="s">
        <v>231</v>
      </c>
      <c r="E79" s="1">
        <v>1</v>
      </c>
      <c r="F79" s="40">
        <v>34000</v>
      </c>
      <c r="G79" s="50">
        <f t="shared" si="6"/>
        <v>34000</v>
      </c>
      <c r="H79" s="40"/>
      <c r="I79" s="50">
        <f t="shared" si="7"/>
        <v>34000</v>
      </c>
      <c r="J79" s="9" t="str">
        <f>IF(I79&gt;10000,"🚨 URGENT: "&amp;C79&amp;" owes ₹"&amp;I79,IF(I79&gt;5000,"⚠️ WARNING: "&amp;C79&amp;" - ₹"&amp;I79&amp;" due",IF(I79&gt;0,"ℹ️ "&amp;C79&amp;" - ₹"&amp;I79&amp;" pending","✅ Paid")))</f>
        <v>🚨 URGENT: Ankush P owes ₹34000</v>
      </c>
    </row>
    <row r="80" spans="1:10">
      <c r="A80" s="57"/>
      <c r="B80" s="55"/>
      <c r="C80" s="55"/>
      <c r="D80" s="55"/>
      <c r="E80" s="55"/>
      <c r="F80" s="60"/>
      <c r="G80" s="60"/>
      <c r="H80" s="60"/>
      <c r="I80" s="60"/>
      <c r="J80" s="9"/>
    </row>
    <row r="81" spans="1:10">
      <c r="A81" s="36"/>
      <c r="B81" s="39"/>
      <c r="C81" s="39"/>
      <c r="D81" s="39"/>
      <c r="E81" s="1"/>
      <c r="F81" s="40"/>
      <c r="G81" s="50"/>
      <c r="H81" s="40"/>
      <c r="I81" s="50"/>
      <c r="J81" s="9"/>
    </row>
    <row r="82" spans="1:10">
      <c r="A82" s="36"/>
      <c r="B82" s="39"/>
      <c r="C82" s="39"/>
      <c r="D82" s="39"/>
      <c r="E82" s="1"/>
      <c r="F82" s="40"/>
      <c r="G82" s="50"/>
      <c r="H82" s="40"/>
      <c r="I82" s="50"/>
      <c r="J82" s="9"/>
    </row>
    <row r="83" spans="1:10">
      <c r="A83" s="36"/>
      <c r="B83" s="39"/>
      <c r="C83" s="39"/>
      <c r="D83" s="39"/>
      <c r="E83" s="1"/>
      <c r="F83" s="40"/>
      <c r="G83" s="50"/>
      <c r="H83" s="40"/>
      <c r="I83" s="50"/>
      <c r="J83" s="9"/>
    </row>
    <row r="84" spans="1:10">
      <c r="A84" s="36"/>
      <c r="B84" s="39"/>
      <c r="C84" s="39"/>
      <c r="D84" s="39"/>
      <c r="E84" s="1"/>
      <c r="F84" s="40"/>
      <c r="G84" s="50"/>
      <c r="H84" s="40"/>
      <c r="I84" s="50"/>
      <c r="J84" s="9"/>
    </row>
    <row r="85" spans="1:10">
      <c r="A85" s="36"/>
      <c r="B85" s="39"/>
      <c r="C85" s="39"/>
      <c r="D85" s="39"/>
      <c r="E85" s="1"/>
      <c r="F85" s="40"/>
      <c r="G85" s="50"/>
      <c r="H85" s="40"/>
      <c r="I85" s="50"/>
      <c r="J85" s="9"/>
    </row>
    <row r="86" spans="1:10">
      <c r="A86" s="36"/>
      <c r="B86" s="39"/>
      <c r="C86" s="39"/>
      <c r="D86" s="39"/>
      <c r="E86" s="1"/>
      <c r="F86" s="40"/>
      <c r="G86" s="50"/>
      <c r="H86" s="40"/>
      <c r="I86" s="50">
        <f>G86-H86</f>
        <v>0</v>
      </c>
      <c r="J86" s="9" t="str">
        <f>IF(I86&gt;10000,"🚨 URGENT: "&amp;C86&amp;" owes ₹"&amp;I86,IF(I86&gt;5000,"⚠️ WARNING: "&amp;C86&amp;" - ₹"&amp;I86&amp;" due",IF(I86&gt;0,"ℹ️ "&amp;C86&amp;" - ₹"&amp;I86&amp;" pending","✅ Paid")))</f>
        <v>✅ Paid</v>
      </c>
    </row>
    <row r="87" spans="1:10">
      <c r="A87" s="36"/>
      <c r="B87" s="39"/>
      <c r="C87" s="39"/>
      <c r="D87" s="39"/>
      <c r="E87" s="1"/>
      <c r="F87" s="40"/>
      <c r="G87" s="50"/>
      <c r="H87" s="40"/>
      <c r="I87" s="50"/>
      <c r="J87" s="9"/>
    </row>
    <row r="88" spans="1:10">
      <c r="A88" s="36"/>
      <c r="B88" s="39"/>
      <c r="C88" s="39"/>
      <c r="D88" s="39"/>
      <c r="E88" s="1"/>
      <c r="F88" s="40"/>
      <c r="G88" s="50"/>
      <c r="H88" s="40"/>
      <c r="I88" s="50"/>
      <c r="J88" s="9"/>
    </row>
    <row r="89" spans="1:10">
      <c r="A89" s="36"/>
      <c r="B89" s="39"/>
      <c r="C89" s="39"/>
      <c r="D89" s="39"/>
      <c r="E89" s="1"/>
      <c r="F89" s="40"/>
      <c r="G89" s="50"/>
      <c r="H89" s="40"/>
      <c r="I89" s="50"/>
      <c r="J89" s="9"/>
    </row>
    <row r="90" spans="1:10">
      <c r="A90" s="36"/>
      <c r="B90" s="39"/>
      <c r="C90" s="39"/>
      <c r="D90" s="39"/>
      <c r="E90" s="1"/>
      <c r="F90" s="40"/>
      <c r="G90" s="50"/>
      <c r="H90" s="40"/>
      <c r="I90" s="50"/>
      <c r="J90" s="9"/>
    </row>
    <row r="91" spans="1:10">
      <c r="A91" s="36"/>
      <c r="B91" s="39"/>
      <c r="C91" s="39"/>
      <c r="D91" s="39"/>
      <c r="E91" s="1"/>
      <c r="F91" s="40"/>
      <c r="G91" s="50"/>
      <c r="H91" s="40"/>
      <c r="I91" s="50"/>
      <c r="J91" s="9"/>
    </row>
    <row r="92" spans="1:10">
      <c r="A92" s="36"/>
      <c r="B92" s="39"/>
      <c r="C92" s="39"/>
      <c r="D92" s="39"/>
      <c r="E92" s="1"/>
      <c r="F92" s="40"/>
      <c r="G92" s="50"/>
      <c r="H92" s="40"/>
      <c r="I92" s="50"/>
      <c r="J92" s="9"/>
    </row>
    <row r="93" spans="1:10">
      <c r="A93" s="36"/>
      <c r="B93" s="39"/>
      <c r="C93" s="39"/>
      <c r="D93" s="39"/>
      <c r="E93" s="1"/>
      <c r="F93" s="40"/>
      <c r="G93" s="50"/>
      <c r="H93" s="40"/>
      <c r="I93" s="50"/>
      <c r="J93" s="9"/>
    </row>
    <row r="94" spans="1:10">
      <c r="A94" s="36"/>
      <c r="B94" s="39"/>
      <c r="C94" s="39"/>
      <c r="D94" s="39"/>
      <c r="E94" s="1"/>
      <c r="F94" s="40"/>
      <c r="G94" s="50"/>
      <c r="H94" s="40"/>
      <c r="I94" s="50"/>
      <c r="J94" s="9"/>
    </row>
    <row r="95" spans="1:10">
      <c r="A95" s="36"/>
      <c r="B95" s="39"/>
      <c r="C95" s="39"/>
      <c r="D95" s="39"/>
      <c r="E95" s="1"/>
      <c r="F95" s="40"/>
      <c r="G95" s="50"/>
      <c r="H95" s="40"/>
      <c r="I95" s="50"/>
      <c r="J95" s="9"/>
    </row>
    <row r="96" spans="1:10">
      <c r="A96" s="36"/>
      <c r="B96" s="39"/>
      <c r="C96" s="39"/>
      <c r="D96" s="39"/>
      <c r="E96" s="1"/>
      <c r="F96" s="40"/>
      <c r="G96" s="50"/>
      <c r="H96" s="40"/>
      <c r="I96" s="50"/>
      <c r="J96" s="9"/>
    </row>
    <row r="97" spans="1:10">
      <c r="A97" s="36"/>
      <c r="B97" s="39"/>
      <c r="C97" s="39"/>
      <c r="D97" s="39"/>
      <c r="E97" s="1"/>
      <c r="F97" s="40"/>
      <c r="G97" s="50"/>
      <c r="H97" s="40"/>
      <c r="I97" s="50"/>
      <c r="J97" s="9"/>
    </row>
    <row r="98" spans="1:10">
      <c r="A98" s="36"/>
      <c r="B98" s="39"/>
      <c r="C98" s="39"/>
      <c r="D98" s="39"/>
      <c r="E98" s="1"/>
      <c r="F98" s="40"/>
      <c r="G98" s="50"/>
      <c r="H98" s="40"/>
      <c r="I98" s="50"/>
      <c r="J98" s="9"/>
    </row>
    <row r="99" spans="1:10">
      <c r="A99" s="36"/>
      <c r="B99" s="39"/>
      <c r="C99" s="39"/>
      <c r="D99" s="39"/>
      <c r="E99" s="1"/>
      <c r="F99" s="40"/>
      <c r="G99" s="50"/>
      <c r="H99" s="40"/>
      <c r="I99" s="50"/>
      <c r="J99" s="9"/>
    </row>
    <row r="100" spans="1:10">
      <c r="A100" s="36"/>
      <c r="B100" s="39"/>
      <c r="C100" s="39"/>
      <c r="D100" s="39"/>
      <c r="E100" s="1"/>
      <c r="F100" s="40"/>
      <c r="G100" s="50"/>
      <c r="H100" s="40"/>
      <c r="I100" s="50"/>
      <c r="J100" s="9"/>
    </row>
    <row r="101" spans="1:10">
      <c r="A101" s="36"/>
      <c r="B101" s="39"/>
      <c r="C101" s="39"/>
      <c r="D101" s="39"/>
      <c r="E101" s="1"/>
      <c r="F101" s="40"/>
      <c r="G101" s="50"/>
      <c r="H101" s="40"/>
      <c r="I101" s="50"/>
      <c r="J101" s="9"/>
    </row>
    <row r="102" spans="1:10">
      <c r="A102" s="36"/>
      <c r="B102" s="39"/>
      <c r="C102" s="39"/>
      <c r="D102" s="39"/>
      <c r="E102" s="1"/>
      <c r="F102" s="40"/>
      <c r="G102" s="50"/>
      <c r="H102" s="40"/>
      <c r="I102" s="50"/>
      <c r="J102" s="9"/>
    </row>
    <row r="103" spans="1:10">
      <c r="A103" s="36"/>
      <c r="B103" s="39"/>
      <c r="C103" s="39"/>
      <c r="D103" s="39"/>
      <c r="E103" s="1"/>
      <c r="F103" s="40"/>
      <c r="G103" s="50"/>
      <c r="H103" s="40"/>
      <c r="I103" s="50"/>
      <c r="J103" s="9"/>
    </row>
    <row r="104" spans="1:10">
      <c r="A104" s="36"/>
      <c r="B104" s="39"/>
      <c r="C104" s="39"/>
      <c r="D104" s="39"/>
      <c r="E104" s="1"/>
      <c r="F104" s="40"/>
      <c r="G104" s="50"/>
      <c r="H104" s="40"/>
      <c r="I104" s="50"/>
      <c r="J104" s="9"/>
    </row>
    <row r="105" spans="1:10">
      <c r="A105" s="36"/>
      <c r="B105" s="39"/>
      <c r="C105" s="39"/>
      <c r="D105" s="39"/>
      <c r="E105" s="1"/>
      <c r="F105" s="40"/>
      <c r="G105" s="50"/>
      <c r="H105" s="40"/>
      <c r="I105" s="50"/>
      <c r="J105" s="9"/>
    </row>
    <row r="106" spans="1:10">
      <c r="A106" s="36"/>
      <c r="B106" s="39"/>
      <c r="C106" s="39"/>
      <c r="D106" s="39"/>
      <c r="E106" s="39"/>
      <c r="F106" s="40"/>
      <c r="G106" s="50"/>
      <c r="H106" s="40"/>
      <c r="I106" s="50"/>
      <c r="J106" s="9"/>
    </row>
    <row r="107" spans="1:10" ht="21">
      <c r="A107"/>
      <c r="D107" s="13"/>
      <c r="E107" s="14" t="s">
        <v>78</v>
      </c>
      <c r="F107" s="15"/>
      <c r="G107" s="16" t="s">
        <v>289</v>
      </c>
      <c r="H107" s="16" t="s">
        <v>291</v>
      </c>
      <c r="I107" s="16" t="s">
        <v>61</v>
      </c>
    </row>
    <row r="108" spans="1:10" ht="21">
      <c r="A108"/>
      <c r="D108" s="17" t="s">
        <v>292</v>
      </c>
      <c r="E108" s="18">
        <f>SUM(E4:E106)</f>
        <v>95</v>
      </c>
      <c r="F108" s="19"/>
      <c r="G108" s="20">
        <f>SUM(G4:G106)</f>
        <v>3363500</v>
      </c>
      <c r="H108" s="20">
        <f>SUM(H4:H106)</f>
        <v>3040500</v>
      </c>
      <c r="I108" s="20">
        <f>SUM(I4:I106)</f>
        <v>323000</v>
      </c>
    </row>
    <row r="109" spans="1:10" ht="36.75" customHeight="1">
      <c r="A109" s="66" t="s">
        <v>295</v>
      </c>
      <c r="B109" s="66"/>
      <c r="C109" s="66"/>
      <c r="D109" s="21"/>
      <c r="E109" s="21"/>
      <c r="F109" s="21"/>
      <c r="G109" s="21"/>
      <c r="H109" s="21"/>
      <c r="I109" s="21"/>
    </row>
    <row r="115" spans="6:6" customFormat="1"/>
    <row r="116" spans="6:6" customFormat="1">
      <c r="F116" s="35">
        <f>AVERAGE(F5:F105)</f>
        <v>35406.666666666664</v>
      </c>
    </row>
    <row r="117" spans="6:6" customFormat="1"/>
    <row r="118" spans="6:6" customFormat="1"/>
    <row r="119" spans="6:6" customFormat="1"/>
  </sheetData>
  <mergeCells count="3">
    <mergeCell ref="A1:J1"/>
    <mergeCell ref="A2:J2"/>
    <mergeCell ref="A109:C109"/>
  </mergeCells>
  <conditionalFormatting sqref="J4:J1048576">
    <cfRule type="containsText" dxfId="75" priority="1" operator="containsText" text="✅">
      <formula>NOT(ISERROR(SEARCH("✅",J4)))</formula>
    </cfRule>
    <cfRule type="containsText" dxfId="74" priority="2" operator="containsText" text="ℹ️">
      <formula>NOT(ISERROR(SEARCH("ℹ️",J4)))</formula>
    </cfRule>
    <cfRule type="containsText" dxfId="73" priority="3" operator="containsText" text="⚠️">
      <formula>NOT(ISERROR(SEARCH("⚠️",J4)))</formula>
    </cfRule>
    <cfRule type="containsText" dxfId="72" priority="4" operator="containsText" text="🚨">
      <formula>NOT(ISERROR(SEARCH("🚨",J4)))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3E7D-0646-4415-9551-3B067A6E8693}">
  <sheetPr codeName="Sheet5">
    <pageSetUpPr fitToPage="1"/>
  </sheetPr>
  <dimension ref="A1:J116"/>
  <sheetViews>
    <sheetView zoomScale="142" zoomScaleNormal="100" workbookViewId="0">
      <pane ySplit="3" topLeftCell="A65" activePane="bottomLeft" state="frozen"/>
      <selection pane="bottomLeft" activeCell="C4" sqref="C4:C75"/>
    </sheetView>
  </sheetViews>
  <sheetFormatPr baseColWidth="10" defaultColWidth="11.5" defaultRowHeight="15"/>
  <cols>
    <col min="1" max="1" width="22.83203125" style="21" bestFit="1" customWidth="1"/>
    <col min="2" max="2" width="16.83203125" customWidth="1"/>
    <col min="3" max="3" width="30.1640625" bestFit="1" customWidth="1"/>
    <col min="4" max="4" width="25.6640625" bestFit="1" customWidth="1"/>
    <col min="5" max="5" width="14.83203125" bestFit="1" customWidth="1"/>
    <col min="6" max="6" width="14.1640625" style="22" customWidth="1"/>
    <col min="7" max="7" width="19.6640625" style="22" bestFit="1" customWidth="1"/>
    <col min="8" max="8" width="20.1640625" style="22" bestFit="1" customWidth="1"/>
    <col min="9" max="9" width="19.6640625" style="22" bestFit="1" customWidth="1"/>
    <col min="10" max="10" width="46.6640625" bestFit="1" customWidth="1"/>
  </cols>
  <sheetData>
    <row r="1" spans="1:10" ht="37" customHeight="1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299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294</v>
      </c>
    </row>
    <row r="4" spans="1:10">
      <c r="A4" s="56">
        <v>45780</v>
      </c>
      <c r="B4" s="46" t="s">
        <v>2</v>
      </c>
      <c r="C4" s="46" t="s">
        <v>233</v>
      </c>
      <c r="D4" s="46" t="s">
        <v>232</v>
      </c>
      <c r="E4" s="51">
        <v>1</v>
      </c>
      <c r="F4" s="59">
        <v>35000</v>
      </c>
      <c r="G4" s="63">
        <f t="shared" ref="G4:G41" si="0">F4*E4</f>
        <v>35000</v>
      </c>
      <c r="H4" s="59">
        <v>35000</v>
      </c>
      <c r="I4" s="63">
        <f t="shared" ref="I4:I35" si="1">G4-H4</f>
        <v>0</v>
      </c>
      <c r="J4" s="9" t="str">
        <f t="shared" ref="J4:J35" si="2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>
      <c r="A5" s="36">
        <v>45780</v>
      </c>
      <c r="B5" s="39" t="s">
        <v>2</v>
      </c>
      <c r="C5" s="39" t="s">
        <v>110</v>
      </c>
      <c r="D5" s="39" t="s">
        <v>112</v>
      </c>
      <c r="E5" s="1">
        <v>1</v>
      </c>
      <c r="F5" s="40">
        <v>34000</v>
      </c>
      <c r="G5" s="50">
        <f t="shared" si="0"/>
        <v>34000</v>
      </c>
      <c r="H5" s="40"/>
      <c r="I5" s="50">
        <f t="shared" si="1"/>
        <v>34000</v>
      </c>
      <c r="J5" s="9" t="str">
        <f t="shared" si="2"/>
        <v>🚨 URGENT: Ankush P owes ₹34000</v>
      </c>
    </row>
    <row r="6" spans="1:10">
      <c r="A6" s="36">
        <v>45780</v>
      </c>
      <c r="B6" s="39" t="s">
        <v>2</v>
      </c>
      <c r="C6" s="39" t="s">
        <v>234</v>
      </c>
      <c r="D6" s="39" t="s">
        <v>52</v>
      </c>
      <c r="E6" s="1">
        <v>1</v>
      </c>
      <c r="F6" s="40">
        <v>35000</v>
      </c>
      <c r="G6" s="50">
        <f t="shared" si="0"/>
        <v>35000</v>
      </c>
      <c r="H6" s="40">
        <v>35000</v>
      </c>
      <c r="I6" s="50">
        <f t="shared" si="1"/>
        <v>0</v>
      </c>
      <c r="J6" s="9" t="str">
        <f t="shared" si="2"/>
        <v>✅ Paid</v>
      </c>
    </row>
    <row r="7" spans="1:10">
      <c r="A7" s="36">
        <v>45780</v>
      </c>
      <c r="B7" s="39" t="s">
        <v>2</v>
      </c>
      <c r="C7" s="39" t="s">
        <v>235</v>
      </c>
      <c r="D7" s="39" t="s">
        <v>26</v>
      </c>
      <c r="E7" s="1">
        <v>1</v>
      </c>
      <c r="F7" s="40">
        <v>35000</v>
      </c>
      <c r="G7" s="50">
        <f t="shared" si="0"/>
        <v>35000</v>
      </c>
      <c r="H7" s="40">
        <v>35000</v>
      </c>
      <c r="I7" s="50">
        <f t="shared" si="1"/>
        <v>0</v>
      </c>
      <c r="J7" s="9" t="str">
        <f t="shared" si="2"/>
        <v>✅ Paid</v>
      </c>
    </row>
    <row r="8" spans="1:10">
      <c r="A8" s="36">
        <v>45780</v>
      </c>
      <c r="B8" s="39" t="s">
        <v>58</v>
      </c>
      <c r="C8" s="39" t="s">
        <v>153</v>
      </c>
      <c r="D8" s="39" t="s">
        <v>10</v>
      </c>
      <c r="E8" s="1">
        <v>1</v>
      </c>
      <c r="F8" s="40">
        <v>36000</v>
      </c>
      <c r="G8" s="50">
        <f t="shared" si="0"/>
        <v>36000</v>
      </c>
      <c r="H8" s="40">
        <v>36000</v>
      </c>
      <c r="I8" s="50">
        <f t="shared" si="1"/>
        <v>0</v>
      </c>
      <c r="J8" s="9" t="str">
        <f t="shared" si="2"/>
        <v>✅ Paid</v>
      </c>
    </row>
    <row r="9" spans="1:10">
      <c r="A9" s="36">
        <v>45780</v>
      </c>
      <c r="B9" s="39" t="s">
        <v>58</v>
      </c>
      <c r="C9" s="39" t="s">
        <v>110</v>
      </c>
      <c r="D9" s="39" t="s">
        <v>116</v>
      </c>
      <c r="E9" s="1">
        <v>1</v>
      </c>
      <c r="F9" s="40">
        <v>34000</v>
      </c>
      <c r="G9" s="50">
        <f t="shared" si="0"/>
        <v>34000</v>
      </c>
      <c r="H9" s="40"/>
      <c r="I9" s="50">
        <f t="shared" si="1"/>
        <v>34000</v>
      </c>
      <c r="J9" s="9" t="str">
        <f t="shared" si="2"/>
        <v>🚨 URGENT: Ankush P owes ₹34000</v>
      </c>
    </row>
    <row r="10" spans="1:10">
      <c r="A10" s="36">
        <v>45782</v>
      </c>
      <c r="B10" s="39" t="s">
        <v>4</v>
      </c>
      <c r="C10" s="39" t="s">
        <v>110</v>
      </c>
      <c r="D10" s="39" t="s">
        <v>116</v>
      </c>
      <c r="E10" s="1">
        <v>1</v>
      </c>
      <c r="F10" s="40">
        <v>34000</v>
      </c>
      <c r="G10" s="50">
        <f t="shared" si="0"/>
        <v>34000</v>
      </c>
      <c r="H10" s="40"/>
      <c r="I10" s="50">
        <f t="shared" si="1"/>
        <v>34000</v>
      </c>
      <c r="J10" s="9" t="str">
        <f t="shared" si="2"/>
        <v>🚨 URGENT: Ankush P owes ₹34000</v>
      </c>
    </row>
    <row r="11" spans="1:10">
      <c r="A11" s="36">
        <v>45782</v>
      </c>
      <c r="B11" s="39" t="s">
        <v>58</v>
      </c>
      <c r="C11" s="39" t="s">
        <v>110</v>
      </c>
      <c r="D11" s="39" t="s">
        <v>109</v>
      </c>
      <c r="E11" s="1">
        <v>1</v>
      </c>
      <c r="F11" s="40">
        <v>34000</v>
      </c>
      <c r="G11" s="50">
        <f t="shared" si="0"/>
        <v>34000</v>
      </c>
      <c r="H11" s="40"/>
      <c r="I11" s="50">
        <f t="shared" si="1"/>
        <v>34000</v>
      </c>
      <c r="J11" s="9" t="str">
        <f t="shared" si="2"/>
        <v>🚨 URGENT: Ankush P owes ₹34000</v>
      </c>
    </row>
    <row r="12" spans="1:10">
      <c r="A12" s="36">
        <v>45783</v>
      </c>
      <c r="B12" s="39" t="s">
        <v>58</v>
      </c>
      <c r="C12" s="39" t="s">
        <v>140</v>
      </c>
      <c r="D12" s="39" t="s">
        <v>26</v>
      </c>
      <c r="E12" s="1">
        <v>1</v>
      </c>
      <c r="F12" s="40">
        <v>33000</v>
      </c>
      <c r="G12" s="50">
        <f t="shared" si="0"/>
        <v>33000</v>
      </c>
      <c r="H12" s="40">
        <v>33000</v>
      </c>
      <c r="I12" s="50">
        <f t="shared" si="1"/>
        <v>0</v>
      </c>
      <c r="J12" s="9" t="str">
        <f t="shared" si="2"/>
        <v>✅ Paid</v>
      </c>
    </row>
    <row r="13" spans="1:10">
      <c r="A13" s="36">
        <v>45784</v>
      </c>
      <c r="B13" s="39" t="s">
        <v>58</v>
      </c>
      <c r="C13" s="39" t="s">
        <v>140</v>
      </c>
      <c r="D13" s="39" t="s">
        <v>145</v>
      </c>
      <c r="E13" s="1">
        <v>1</v>
      </c>
      <c r="F13" s="40">
        <v>33000</v>
      </c>
      <c r="G13" s="50">
        <f t="shared" si="0"/>
        <v>33000</v>
      </c>
      <c r="H13" s="40">
        <v>33000</v>
      </c>
      <c r="I13" s="50">
        <f t="shared" si="1"/>
        <v>0</v>
      </c>
      <c r="J13" s="9" t="str">
        <f t="shared" si="2"/>
        <v>✅ Paid</v>
      </c>
    </row>
    <row r="14" spans="1:10">
      <c r="A14" s="36">
        <v>45784</v>
      </c>
      <c r="B14" s="39" t="s">
        <v>4</v>
      </c>
      <c r="C14" s="39" t="s">
        <v>110</v>
      </c>
      <c r="D14" s="39" t="s">
        <v>116</v>
      </c>
      <c r="E14" s="1">
        <v>1</v>
      </c>
      <c r="F14" s="40">
        <v>34000</v>
      </c>
      <c r="G14" s="50">
        <f t="shared" si="0"/>
        <v>34000</v>
      </c>
      <c r="H14" s="40"/>
      <c r="I14" s="50">
        <f t="shared" si="1"/>
        <v>34000</v>
      </c>
      <c r="J14" s="9" t="str">
        <f t="shared" si="2"/>
        <v>🚨 URGENT: Ankush P owes ₹34000</v>
      </c>
    </row>
    <row r="15" spans="1:10">
      <c r="A15" s="36">
        <v>45784</v>
      </c>
      <c r="B15" s="39" t="s">
        <v>4</v>
      </c>
      <c r="C15" s="39" t="s">
        <v>21</v>
      </c>
      <c r="D15" s="39" t="s">
        <v>22</v>
      </c>
      <c r="E15" s="1">
        <v>1</v>
      </c>
      <c r="F15" s="40">
        <v>34000</v>
      </c>
      <c r="G15" s="50">
        <f t="shared" si="0"/>
        <v>34000</v>
      </c>
      <c r="H15" s="40">
        <v>34000</v>
      </c>
      <c r="I15" s="50">
        <f t="shared" si="1"/>
        <v>0</v>
      </c>
      <c r="J15" s="9" t="str">
        <f t="shared" si="2"/>
        <v>✅ Paid</v>
      </c>
    </row>
    <row r="16" spans="1:10">
      <c r="A16" s="36">
        <v>45784</v>
      </c>
      <c r="B16" s="39" t="s">
        <v>58</v>
      </c>
      <c r="C16" s="39" t="s">
        <v>21</v>
      </c>
      <c r="D16" s="39" t="s">
        <v>22</v>
      </c>
      <c r="E16" s="1">
        <v>2</v>
      </c>
      <c r="F16" s="40">
        <v>34000</v>
      </c>
      <c r="G16" s="50">
        <f t="shared" si="0"/>
        <v>68000</v>
      </c>
      <c r="H16" s="40">
        <v>68000</v>
      </c>
      <c r="I16" s="50">
        <f t="shared" si="1"/>
        <v>0</v>
      </c>
      <c r="J16" s="9" t="str">
        <f t="shared" si="2"/>
        <v>✅ Paid</v>
      </c>
    </row>
    <row r="17" spans="1:10">
      <c r="A17" s="36">
        <v>45784</v>
      </c>
      <c r="B17" s="39" t="s">
        <v>4</v>
      </c>
      <c r="C17" s="39" t="s">
        <v>110</v>
      </c>
      <c r="D17" s="39" t="s">
        <v>236</v>
      </c>
      <c r="E17" s="1">
        <v>1</v>
      </c>
      <c r="F17" s="40">
        <v>34000</v>
      </c>
      <c r="G17" s="50">
        <f t="shared" si="0"/>
        <v>34000</v>
      </c>
      <c r="H17" s="40"/>
      <c r="I17" s="50">
        <f t="shared" si="1"/>
        <v>34000</v>
      </c>
      <c r="J17" s="9" t="str">
        <f t="shared" si="2"/>
        <v>🚨 URGENT: Ankush P owes ₹34000</v>
      </c>
    </row>
    <row r="18" spans="1:10">
      <c r="A18" s="36">
        <v>45784</v>
      </c>
      <c r="B18" s="39" t="s">
        <v>4</v>
      </c>
      <c r="C18" s="39" t="s">
        <v>84</v>
      </c>
      <c r="D18" s="39" t="s">
        <v>11</v>
      </c>
      <c r="E18" s="1">
        <v>1</v>
      </c>
      <c r="F18" s="40">
        <v>34000</v>
      </c>
      <c r="G18" s="50">
        <f t="shared" si="0"/>
        <v>34000</v>
      </c>
      <c r="H18" s="40">
        <v>34000</v>
      </c>
      <c r="I18" s="50">
        <f t="shared" si="1"/>
        <v>0</v>
      </c>
      <c r="J18" s="9" t="str">
        <f t="shared" si="2"/>
        <v>✅ Paid</v>
      </c>
    </row>
    <row r="19" spans="1:10">
      <c r="A19" s="36">
        <v>45784</v>
      </c>
      <c r="B19" s="39" t="s">
        <v>2</v>
      </c>
      <c r="C19" s="39" t="s">
        <v>30</v>
      </c>
      <c r="D19" s="39" t="s">
        <v>120</v>
      </c>
      <c r="E19" s="1">
        <v>1</v>
      </c>
      <c r="F19" s="40">
        <v>35000</v>
      </c>
      <c r="G19" s="50">
        <f t="shared" si="0"/>
        <v>35000</v>
      </c>
      <c r="H19" s="40">
        <v>35000</v>
      </c>
      <c r="I19" s="50">
        <f t="shared" si="1"/>
        <v>0</v>
      </c>
      <c r="J19" s="9" t="str">
        <f t="shared" si="2"/>
        <v>✅ Paid</v>
      </c>
    </row>
    <row r="20" spans="1:10">
      <c r="A20" s="36">
        <v>45784</v>
      </c>
      <c r="B20" s="39" t="s">
        <v>2</v>
      </c>
      <c r="C20" s="39" t="s">
        <v>33</v>
      </c>
      <c r="D20" s="39" t="s">
        <v>19</v>
      </c>
      <c r="E20" s="1">
        <v>1</v>
      </c>
      <c r="F20" s="40">
        <v>35000</v>
      </c>
      <c r="G20" s="50">
        <f t="shared" si="0"/>
        <v>35000</v>
      </c>
      <c r="H20" s="40">
        <v>35000</v>
      </c>
      <c r="I20" s="50">
        <f t="shared" si="1"/>
        <v>0</v>
      </c>
      <c r="J20" s="9" t="str">
        <f t="shared" si="2"/>
        <v>✅ Paid</v>
      </c>
    </row>
    <row r="21" spans="1:10">
      <c r="A21" s="36">
        <v>45784</v>
      </c>
      <c r="B21" s="39" t="s">
        <v>2</v>
      </c>
      <c r="C21" s="39" t="s">
        <v>21</v>
      </c>
      <c r="D21" s="39" t="s">
        <v>145</v>
      </c>
      <c r="E21" s="1">
        <v>1</v>
      </c>
      <c r="F21" s="40">
        <v>34000</v>
      </c>
      <c r="G21" s="50">
        <f t="shared" si="0"/>
        <v>34000</v>
      </c>
      <c r="H21" s="40">
        <v>34000</v>
      </c>
      <c r="I21" s="50">
        <f t="shared" si="1"/>
        <v>0</v>
      </c>
      <c r="J21" s="9" t="str">
        <f t="shared" si="2"/>
        <v>✅ Paid</v>
      </c>
    </row>
    <row r="22" spans="1:10">
      <c r="A22" s="36">
        <v>45785</v>
      </c>
      <c r="B22" s="39" t="s">
        <v>2</v>
      </c>
      <c r="C22" s="39" t="s">
        <v>21</v>
      </c>
      <c r="D22" s="39" t="s">
        <v>22</v>
      </c>
      <c r="E22" s="1">
        <v>1</v>
      </c>
      <c r="F22" s="40">
        <v>34000</v>
      </c>
      <c r="G22" s="50">
        <f t="shared" si="0"/>
        <v>34000</v>
      </c>
      <c r="H22" s="40">
        <v>34000</v>
      </c>
      <c r="I22" s="50">
        <f t="shared" si="1"/>
        <v>0</v>
      </c>
      <c r="J22" s="9" t="str">
        <f t="shared" si="2"/>
        <v>✅ Paid</v>
      </c>
    </row>
    <row r="23" spans="1:10">
      <c r="A23" s="36">
        <v>45785</v>
      </c>
      <c r="B23" s="39" t="s">
        <v>4</v>
      </c>
      <c r="C23" s="39" t="s">
        <v>21</v>
      </c>
      <c r="D23" s="39" t="s">
        <v>22</v>
      </c>
      <c r="E23" s="1">
        <v>1</v>
      </c>
      <c r="F23" s="40">
        <v>34000</v>
      </c>
      <c r="G23" s="50">
        <f t="shared" si="0"/>
        <v>34000</v>
      </c>
      <c r="H23" s="40">
        <v>34000</v>
      </c>
      <c r="I23" s="50">
        <f t="shared" si="1"/>
        <v>0</v>
      </c>
      <c r="J23" s="9" t="str">
        <f t="shared" si="2"/>
        <v>✅ Paid</v>
      </c>
    </row>
    <row r="24" spans="1:10">
      <c r="A24" s="36">
        <v>45785</v>
      </c>
      <c r="B24" s="39" t="s">
        <v>4</v>
      </c>
      <c r="C24" s="39" t="s">
        <v>16</v>
      </c>
      <c r="D24" s="39" t="s">
        <v>10</v>
      </c>
      <c r="E24" s="1">
        <v>1</v>
      </c>
      <c r="F24" s="40">
        <v>36000</v>
      </c>
      <c r="G24" s="50">
        <f t="shared" si="0"/>
        <v>36000</v>
      </c>
      <c r="H24" s="40">
        <v>36000</v>
      </c>
      <c r="I24" s="50">
        <f t="shared" si="1"/>
        <v>0</v>
      </c>
      <c r="J24" s="9" t="str">
        <f t="shared" si="2"/>
        <v>✅ Paid</v>
      </c>
    </row>
    <row r="25" spans="1:10">
      <c r="A25" s="36">
        <v>45785</v>
      </c>
      <c r="B25" s="39" t="s">
        <v>4</v>
      </c>
      <c r="C25" s="39" t="s">
        <v>237</v>
      </c>
      <c r="D25" s="39" t="s">
        <v>145</v>
      </c>
      <c r="E25" s="1">
        <v>1</v>
      </c>
      <c r="F25" s="40">
        <v>35000</v>
      </c>
      <c r="G25" s="50">
        <f t="shared" si="0"/>
        <v>35000</v>
      </c>
      <c r="H25" s="40">
        <v>35000</v>
      </c>
      <c r="I25" s="50">
        <f t="shared" si="1"/>
        <v>0</v>
      </c>
      <c r="J25" s="9" t="str">
        <f t="shared" si="2"/>
        <v>✅ Paid</v>
      </c>
    </row>
    <row r="26" spans="1:10">
      <c r="A26" s="36">
        <v>45785</v>
      </c>
      <c r="B26" s="39" t="s">
        <v>4</v>
      </c>
      <c r="C26" s="39" t="s">
        <v>238</v>
      </c>
      <c r="D26" s="39" t="s">
        <v>239</v>
      </c>
      <c r="E26" s="1">
        <v>1</v>
      </c>
      <c r="F26" s="40">
        <v>36000</v>
      </c>
      <c r="G26" s="50">
        <f t="shared" si="0"/>
        <v>36000</v>
      </c>
      <c r="H26" s="40">
        <v>36000</v>
      </c>
      <c r="I26" s="50">
        <f t="shared" si="1"/>
        <v>0</v>
      </c>
      <c r="J26" s="9" t="str">
        <f t="shared" si="2"/>
        <v>✅ Paid</v>
      </c>
    </row>
    <row r="27" spans="1:10">
      <c r="A27" s="36">
        <v>45786</v>
      </c>
      <c r="B27" s="39" t="s">
        <v>58</v>
      </c>
      <c r="C27" s="39" t="s">
        <v>84</v>
      </c>
      <c r="D27" s="39" t="s">
        <v>10</v>
      </c>
      <c r="E27" s="1">
        <v>1</v>
      </c>
      <c r="F27" s="40">
        <v>35000</v>
      </c>
      <c r="G27" s="50">
        <f t="shared" si="0"/>
        <v>35000</v>
      </c>
      <c r="H27" s="40"/>
      <c r="I27" s="50">
        <f t="shared" si="1"/>
        <v>35000</v>
      </c>
      <c r="J27" s="9" t="str">
        <f t="shared" si="2"/>
        <v>🚨 URGENT: Saurabh owes ₹35000</v>
      </c>
    </row>
    <row r="28" spans="1:10">
      <c r="A28" s="36">
        <v>45788</v>
      </c>
      <c r="B28" s="39" t="s">
        <v>240</v>
      </c>
      <c r="C28" s="39" t="s">
        <v>241</v>
      </c>
      <c r="D28" s="39" t="s">
        <v>147</v>
      </c>
      <c r="E28" s="1">
        <v>5</v>
      </c>
      <c r="F28" s="40">
        <v>36000</v>
      </c>
      <c r="G28" s="50">
        <f t="shared" si="0"/>
        <v>180000</v>
      </c>
      <c r="H28" s="40">
        <v>180000</v>
      </c>
      <c r="I28" s="50">
        <f t="shared" si="1"/>
        <v>0</v>
      </c>
      <c r="J28" s="9" t="str">
        <f t="shared" si="2"/>
        <v>✅ Paid</v>
      </c>
    </row>
    <row r="29" spans="1:10">
      <c r="A29" s="36">
        <v>45788</v>
      </c>
      <c r="B29" s="39" t="s">
        <v>58</v>
      </c>
      <c r="C29" s="39" t="s">
        <v>242</v>
      </c>
      <c r="D29" s="39" t="s">
        <v>10</v>
      </c>
      <c r="E29" s="1">
        <v>1</v>
      </c>
      <c r="F29" s="40">
        <v>30000</v>
      </c>
      <c r="G29" s="50">
        <f t="shared" si="0"/>
        <v>30000</v>
      </c>
      <c r="H29" s="40"/>
      <c r="I29" s="50">
        <f t="shared" si="1"/>
        <v>30000</v>
      </c>
      <c r="J29" s="9" t="str">
        <f t="shared" si="2"/>
        <v>🚨 URGENT: Sharif  ( Papa Order ) owes ₹30000</v>
      </c>
    </row>
    <row r="30" spans="1:10">
      <c r="A30" s="36">
        <v>45788</v>
      </c>
      <c r="B30" s="39" t="s">
        <v>4</v>
      </c>
      <c r="C30" s="39" t="s">
        <v>33</v>
      </c>
      <c r="D30" s="39" t="s">
        <v>22</v>
      </c>
      <c r="E30" s="1">
        <v>1</v>
      </c>
      <c r="F30" s="40">
        <v>34000</v>
      </c>
      <c r="G30" s="50">
        <f t="shared" si="0"/>
        <v>34000</v>
      </c>
      <c r="H30" s="40">
        <v>34000</v>
      </c>
      <c r="I30" s="50">
        <f t="shared" si="1"/>
        <v>0</v>
      </c>
      <c r="J30" s="9" t="str">
        <f t="shared" si="2"/>
        <v>✅ Paid</v>
      </c>
    </row>
    <row r="31" spans="1:10">
      <c r="A31" s="36">
        <v>45791</v>
      </c>
      <c r="B31" s="39" t="s">
        <v>4</v>
      </c>
      <c r="C31" s="39" t="s">
        <v>243</v>
      </c>
      <c r="D31" s="39" t="s">
        <v>52</v>
      </c>
      <c r="E31" s="1">
        <v>3</v>
      </c>
      <c r="F31" s="40">
        <v>35000</v>
      </c>
      <c r="G31" s="50">
        <f t="shared" si="0"/>
        <v>105000</v>
      </c>
      <c r="H31" s="40">
        <v>105000</v>
      </c>
      <c r="I31" s="50">
        <f t="shared" si="1"/>
        <v>0</v>
      </c>
      <c r="J31" s="9" t="str">
        <f t="shared" si="2"/>
        <v>✅ Paid</v>
      </c>
    </row>
    <row r="32" spans="1:10">
      <c r="A32" s="36">
        <v>45791</v>
      </c>
      <c r="B32" s="39" t="s">
        <v>4</v>
      </c>
      <c r="C32" s="39" t="s">
        <v>244</v>
      </c>
      <c r="D32" s="39" t="s">
        <v>19</v>
      </c>
      <c r="E32" s="1">
        <v>1</v>
      </c>
      <c r="F32" s="40">
        <v>35000</v>
      </c>
      <c r="G32" s="50">
        <f t="shared" si="0"/>
        <v>35000</v>
      </c>
      <c r="H32" s="40">
        <v>35000</v>
      </c>
      <c r="I32" s="50">
        <f t="shared" si="1"/>
        <v>0</v>
      </c>
      <c r="J32" s="9" t="str">
        <f t="shared" si="2"/>
        <v>✅ Paid</v>
      </c>
    </row>
    <row r="33" spans="1:10">
      <c r="A33" s="36">
        <v>45791</v>
      </c>
      <c r="B33" s="39" t="s">
        <v>4</v>
      </c>
      <c r="C33" s="39" t="s">
        <v>190</v>
      </c>
      <c r="D33" s="39" t="s">
        <v>19</v>
      </c>
      <c r="E33" s="1">
        <v>1</v>
      </c>
      <c r="F33" s="40">
        <v>34000</v>
      </c>
      <c r="G33" s="50">
        <f t="shared" si="0"/>
        <v>34000</v>
      </c>
      <c r="H33" s="40">
        <v>34000</v>
      </c>
      <c r="I33" s="50">
        <f t="shared" si="1"/>
        <v>0</v>
      </c>
      <c r="J33" s="9" t="str">
        <f t="shared" si="2"/>
        <v>✅ Paid</v>
      </c>
    </row>
    <row r="34" spans="1:10">
      <c r="A34" s="36">
        <v>45791</v>
      </c>
      <c r="B34" s="39" t="s">
        <v>4</v>
      </c>
      <c r="C34" s="39" t="s">
        <v>190</v>
      </c>
      <c r="D34" s="39" t="s">
        <v>91</v>
      </c>
      <c r="E34" s="1">
        <v>1</v>
      </c>
      <c r="F34" s="40">
        <v>34000</v>
      </c>
      <c r="G34" s="50">
        <f t="shared" si="0"/>
        <v>34000</v>
      </c>
      <c r="H34" s="40">
        <v>34000</v>
      </c>
      <c r="I34" s="50">
        <f t="shared" si="1"/>
        <v>0</v>
      </c>
      <c r="J34" s="9" t="str">
        <f t="shared" si="2"/>
        <v>✅ Paid</v>
      </c>
    </row>
    <row r="35" spans="1:10">
      <c r="A35" s="36">
        <v>45791</v>
      </c>
      <c r="B35" s="39" t="s">
        <v>4</v>
      </c>
      <c r="C35" s="39" t="s">
        <v>84</v>
      </c>
      <c r="D35" s="39" t="s">
        <v>11</v>
      </c>
      <c r="E35" s="1">
        <v>1</v>
      </c>
      <c r="F35" s="40">
        <v>35000</v>
      </c>
      <c r="G35" s="50">
        <f t="shared" si="0"/>
        <v>35000</v>
      </c>
      <c r="H35" s="40">
        <v>35000</v>
      </c>
      <c r="I35" s="50">
        <f t="shared" si="1"/>
        <v>0</v>
      </c>
      <c r="J35" s="9" t="str">
        <f t="shared" si="2"/>
        <v>✅ Paid</v>
      </c>
    </row>
    <row r="36" spans="1:10">
      <c r="A36" s="36">
        <v>45791</v>
      </c>
      <c r="B36" s="39" t="s">
        <v>4</v>
      </c>
      <c r="C36" s="39" t="s">
        <v>84</v>
      </c>
      <c r="D36" s="39" t="s">
        <v>10</v>
      </c>
      <c r="E36" s="1">
        <v>1</v>
      </c>
      <c r="F36" s="40">
        <v>37000</v>
      </c>
      <c r="G36" s="50">
        <f t="shared" si="0"/>
        <v>37000</v>
      </c>
      <c r="H36" s="40">
        <v>32000</v>
      </c>
      <c r="I36" s="50">
        <f t="shared" ref="I36:I67" si="3">G36-H36</f>
        <v>5000</v>
      </c>
      <c r="J36" s="9" t="str">
        <f t="shared" ref="J36:J67" si="4">IF(I36&gt;10000,"🚨 URGENT: "&amp;C36&amp;" owes ₹"&amp;I36,IF(I36&gt;5000,"⚠️ WARNING: "&amp;C36&amp;" - ₹"&amp;I36&amp;" due",IF(I36&gt;0,"ℹ️ "&amp;C36&amp;" - ₹"&amp;I36&amp;" pending","✅ Paid")))</f>
        <v>ℹ️ Saurabh - ₹5000 pending</v>
      </c>
    </row>
    <row r="37" spans="1:10">
      <c r="A37" s="36">
        <v>45792</v>
      </c>
      <c r="B37" s="39" t="s">
        <v>4</v>
      </c>
      <c r="C37" s="39" t="s">
        <v>246</v>
      </c>
      <c r="D37" s="39" t="s">
        <v>245</v>
      </c>
      <c r="E37" s="1">
        <v>3</v>
      </c>
      <c r="F37" s="40">
        <v>30000</v>
      </c>
      <c r="G37" s="50">
        <f t="shared" si="0"/>
        <v>90000</v>
      </c>
      <c r="H37" s="40">
        <v>90000</v>
      </c>
      <c r="I37" s="50">
        <f t="shared" si="3"/>
        <v>0</v>
      </c>
      <c r="J37" s="9" t="str">
        <f t="shared" si="4"/>
        <v>✅ Paid</v>
      </c>
    </row>
    <row r="38" spans="1:10">
      <c r="A38" s="36">
        <v>45794</v>
      </c>
      <c r="B38" s="39" t="s">
        <v>4</v>
      </c>
      <c r="C38" s="39" t="s">
        <v>23</v>
      </c>
      <c r="D38" s="39" t="s">
        <v>3</v>
      </c>
      <c r="E38" s="1">
        <v>1</v>
      </c>
      <c r="F38" s="40">
        <v>35000</v>
      </c>
      <c r="G38" s="50">
        <f t="shared" si="0"/>
        <v>35000</v>
      </c>
      <c r="H38" s="40">
        <v>35000</v>
      </c>
      <c r="I38" s="50">
        <f t="shared" si="3"/>
        <v>0</v>
      </c>
      <c r="J38" s="9" t="str">
        <f t="shared" si="4"/>
        <v>✅ Paid</v>
      </c>
    </row>
    <row r="39" spans="1:10">
      <c r="A39" s="36">
        <v>45795</v>
      </c>
      <c r="B39" s="39" t="s">
        <v>58</v>
      </c>
      <c r="C39" s="39" t="s">
        <v>153</v>
      </c>
      <c r="D39" s="39" t="s">
        <v>22</v>
      </c>
      <c r="E39" s="1">
        <v>1</v>
      </c>
      <c r="F39" s="40">
        <v>32500</v>
      </c>
      <c r="G39" s="50">
        <f t="shared" si="0"/>
        <v>32500</v>
      </c>
      <c r="H39" s="40">
        <v>32500</v>
      </c>
      <c r="I39" s="50">
        <f t="shared" si="3"/>
        <v>0</v>
      </c>
      <c r="J39" s="9" t="str">
        <f t="shared" si="4"/>
        <v>✅ Paid</v>
      </c>
    </row>
    <row r="40" spans="1:10">
      <c r="A40" s="36">
        <v>45796</v>
      </c>
      <c r="B40" s="39" t="s">
        <v>4</v>
      </c>
      <c r="C40" s="39" t="s">
        <v>158</v>
      </c>
      <c r="D40" s="39" t="s">
        <v>157</v>
      </c>
      <c r="E40" s="1">
        <v>1</v>
      </c>
      <c r="F40" s="52">
        <v>35000</v>
      </c>
      <c r="G40" s="50">
        <f t="shared" si="0"/>
        <v>35000</v>
      </c>
      <c r="H40" s="40">
        <v>30000</v>
      </c>
      <c r="I40" s="50">
        <f t="shared" si="3"/>
        <v>5000</v>
      </c>
      <c r="J40" s="9" t="str">
        <f t="shared" si="4"/>
        <v>ℹ️ Akash - ₹5000 pending</v>
      </c>
    </row>
    <row r="41" spans="1:10">
      <c r="A41" s="36">
        <v>45797</v>
      </c>
      <c r="B41" s="39" t="s">
        <v>58</v>
      </c>
      <c r="C41" s="39" t="s">
        <v>67</v>
      </c>
      <c r="D41" s="39" t="s">
        <v>68</v>
      </c>
      <c r="E41" s="1">
        <v>1</v>
      </c>
      <c r="F41" s="52">
        <v>35000</v>
      </c>
      <c r="G41" s="50">
        <f t="shared" si="0"/>
        <v>35000</v>
      </c>
      <c r="H41" s="39">
        <v>35000</v>
      </c>
      <c r="I41" s="50">
        <f t="shared" si="3"/>
        <v>0</v>
      </c>
      <c r="J41" s="9" t="str">
        <f t="shared" si="4"/>
        <v>✅ Paid</v>
      </c>
    </row>
    <row r="42" spans="1:10">
      <c r="A42" s="36">
        <v>45798</v>
      </c>
      <c r="B42" s="39" t="s">
        <v>4</v>
      </c>
      <c r="C42" s="39" t="s">
        <v>23</v>
      </c>
      <c r="D42" s="39" t="s">
        <v>3</v>
      </c>
      <c r="E42" s="1">
        <v>1</v>
      </c>
      <c r="F42" s="52">
        <v>34000</v>
      </c>
      <c r="G42" s="53">
        <v>34000</v>
      </c>
      <c r="H42" s="54">
        <v>34000</v>
      </c>
      <c r="I42" s="50">
        <f t="shared" si="3"/>
        <v>0</v>
      </c>
      <c r="J42" s="9" t="str">
        <f t="shared" si="4"/>
        <v>✅ Paid</v>
      </c>
    </row>
    <row r="43" spans="1:10">
      <c r="A43" s="36">
        <v>45798</v>
      </c>
      <c r="B43" s="39" t="s">
        <v>123</v>
      </c>
      <c r="C43" s="39" t="s">
        <v>84</v>
      </c>
      <c r="D43" s="39" t="s">
        <v>10</v>
      </c>
      <c r="E43" s="1">
        <v>2</v>
      </c>
      <c r="F43" s="52">
        <v>34000</v>
      </c>
      <c r="G43" s="53">
        <v>68000</v>
      </c>
      <c r="H43" s="52">
        <v>34000</v>
      </c>
      <c r="I43" s="50">
        <f t="shared" si="3"/>
        <v>34000</v>
      </c>
      <c r="J43" s="9" t="str">
        <f t="shared" si="4"/>
        <v>🚨 URGENT: Saurabh owes ₹34000</v>
      </c>
    </row>
    <row r="44" spans="1:10">
      <c r="A44" s="36">
        <v>45798</v>
      </c>
      <c r="B44" s="39" t="s">
        <v>4</v>
      </c>
      <c r="C44" s="39" t="s">
        <v>92</v>
      </c>
      <c r="D44" s="39" t="s">
        <v>101</v>
      </c>
      <c r="E44" s="1">
        <v>1</v>
      </c>
      <c r="F44" s="52">
        <v>32500</v>
      </c>
      <c r="G44" s="53">
        <f t="shared" ref="G44:G75" si="5">F44*E44</f>
        <v>32500</v>
      </c>
      <c r="H44" s="40">
        <v>32500</v>
      </c>
      <c r="I44" s="50">
        <f t="shared" si="3"/>
        <v>0</v>
      </c>
      <c r="J44" s="9" t="str">
        <f t="shared" si="4"/>
        <v>✅ Paid</v>
      </c>
    </row>
    <row r="45" spans="1:10">
      <c r="A45" s="36">
        <v>45801</v>
      </c>
      <c r="B45" s="39" t="s">
        <v>252</v>
      </c>
      <c r="C45" s="39" t="s">
        <v>249</v>
      </c>
      <c r="D45" s="39" t="s">
        <v>10</v>
      </c>
      <c r="E45" s="1">
        <v>2</v>
      </c>
      <c r="F45" s="40">
        <v>35000</v>
      </c>
      <c r="G45" s="53">
        <f t="shared" si="5"/>
        <v>70000</v>
      </c>
      <c r="H45" s="40">
        <v>70000</v>
      </c>
      <c r="I45" s="50">
        <f t="shared" si="3"/>
        <v>0</v>
      </c>
      <c r="J45" s="9" t="str">
        <f t="shared" si="4"/>
        <v>✅ Paid</v>
      </c>
    </row>
    <row r="46" spans="1:10">
      <c r="A46" s="36">
        <v>45801</v>
      </c>
      <c r="B46" s="39" t="s">
        <v>4</v>
      </c>
      <c r="C46" s="39" t="s">
        <v>84</v>
      </c>
      <c r="D46" s="39" t="s">
        <v>11</v>
      </c>
      <c r="E46" s="1">
        <v>1</v>
      </c>
      <c r="F46" s="40">
        <v>35000</v>
      </c>
      <c r="G46" s="53">
        <f t="shared" si="5"/>
        <v>35000</v>
      </c>
      <c r="H46" s="40"/>
      <c r="I46" s="50">
        <f t="shared" si="3"/>
        <v>35000</v>
      </c>
      <c r="J46" s="9" t="str">
        <f t="shared" si="4"/>
        <v>🚨 URGENT: Saurabh owes ₹35000</v>
      </c>
    </row>
    <row r="47" spans="1:10">
      <c r="A47" s="36">
        <v>45801</v>
      </c>
      <c r="B47" s="39" t="s">
        <v>4</v>
      </c>
      <c r="C47" s="39" t="s">
        <v>21</v>
      </c>
      <c r="D47" s="39" t="s">
        <v>22</v>
      </c>
      <c r="E47" s="1">
        <v>1</v>
      </c>
      <c r="F47" s="40">
        <v>34000</v>
      </c>
      <c r="G47" s="53">
        <f t="shared" si="5"/>
        <v>34000</v>
      </c>
      <c r="H47" s="40">
        <v>34000</v>
      </c>
      <c r="I47" s="50">
        <f t="shared" si="3"/>
        <v>0</v>
      </c>
      <c r="J47" s="9" t="str">
        <f t="shared" si="4"/>
        <v>✅ Paid</v>
      </c>
    </row>
    <row r="48" spans="1:10">
      <c r="A48" s="36">
        <v>45801</v>
      </c>
      <c r="B48" s="39" t="s">
        <v>4</v>
      </c>
      <c r="C48" s="39" t="s">
        <v>110</v>
      </c>
      <c r="D48" s="39" t="s">
        <v>116</v>
      </c>
      <c r="E48" s="1">
        <v>1</v>
      </c>
      <c r="F48" s="40">
        <v>34000</v>
      </c>
      <c r="G48" s="53">
        <f t="shared" si="5"/>
        <v>34000</v>
      </c>
      <c r="H48" s="40"/>
      <c r="I48" s="50">
        <f t="shared" si="3"/>
        <v>34000</v>
      </c>
      <c r="J48" s="9" t="str">
        <f t="shared" si="4"/>
        <v>🚨 URGENT: Ankush P owes ₹34000</v>
      </c>
    </row>
    <row r="49" spans="1:10">
      <c r="A49" s="36">
        <v>45801</v>
      </c>
      <c r="B49" s="39" t="s">
        <v>250</v>
      </c>
      <c r="C49" s="39" t="s">
        <v>110</v>
      </c>
      <c r="D49" s="39" t="s">
        <v>127</v>
      </c>
      <c r="E49" s="1">
        <v>1</v>
      </c>
      <c r="F49" s="40">
        <v>34000</v>
      </c>
      <c r="G49" s="53">
        <f t="shared" si="5"/>
        <v>34000</v>
      </c>
      <c r="H49" s="40"/>
      <c r="I49" s="50">
        <f t="shared" si="3"/>
        <v>34000</v>
      </c>
      <c r="J49" s="9" t="str">
        <f t="shared" si="4"/>
        <v>🚨 URGENT: Ankush P owes ₹34000</v>
      </c>
    </row>
    <row r="50" spans="1:10">
      <c r="A50" s="36">
        <v>45801</v>
      </c>
      <c r="B50" s="39" t="s">
        <v>251</v>
      </c>
      <c r="C50" s="39" t="s">
        <v>110</v>
      </c>
      <c r="D50" s="39" t="s">
        <v>181</v>
      </c>
      <c r="E50" s="1">
        <v>1</v>
      </c>
      <c r="F50" s="40">
        <v>34000</v>
      </c>
      <c r="G50" s="53">
        <f t="shared" si="5"/>
        <v>34000</v>
      </c>
      <c r="H50" s="40"/>
      <c r="I50" s="50">
        <f t="shared" si="3"/>
        <v>34000</v>
      </c>
      <c r="J50" s="9" t="str">
        <f t="shared" si="4"/>
        <v>🚨 URGENT: Ankush P owes ₹34000</v>
      </c>
    </row>
    <row r="51" spans="1:10">
      <c r="A51" s="36">
        <v>45801</v>
      </c>
      <c r="B51" s="39" t="s">
        <v>251</v>
      </c>
      <c r="C51" s="39" t="s">
        <v>84</v>
      </c>
      <c r="D51" s="39" t="s">
        <v>10</v>
      </c>
      <c r="E51" s="1">
        <v>1</v>
      </c>
      <c r="F51" s="40">
        <v>35000</v>
      </c>
      <c r="G51" s="53">
        <f t="shared" si="5"/>
        <v>35000</v>
      </c>
      <c r="H51" s="40"/>
      <c r="I51" s="50">
        <f t="shared" si="3"/>
        <v>35000</v>
      </c>
      <c r="J51" s="9" t="str">
        <f t="shared" si="4"/>
        <v>🚨 URGENT: Saurabh owes ₹35000</v>
      </c>
    </row>
    <row r="52" spans="1:10">
      <c r="A52" s="36">
        <v>45803</v>
      </c>
      <c r="B52" s="39" t="s">
        <v>58</v>
      </c>
      <c r="C52" s="39" t="s">
        <v>110</v>
      </c>
      <c r="D52" s="39" t="s">
        <v>253</v>
      </c>
      <c r="E52" s="1">
        <v>1</v>
      </c>
      <c r="F52" s="40">
        <v>34000</v>
      </c>
      <c r="G52" s="53">
        <f t="shared" si="5"/>
        <v>34000</v>
      </c>
      <c r="H52" s="40"/>
      <c r="I52" s="50">
        <f t="shared" si="3"/>
        <v>34000</v>
      </c>
      <c r="J52" s="9" t="str">
        <f t="shared" si="4"/>
        <v>🚨 URGENT: Ankush P owes ₹34000</v>
      </c>
    </row>
    <row r="53" spans="1:10">
      <c r="A53" s="36">
        <v>45803</v>
      </c>
      <c r="B53" s="39" t="s">
        <v>58</v>
      </c>
      <c r="C53" s="39" t="s">
        <v>30</v>
      </c>
      <c r="D53" s="39" t="s">
        <v>22</v>
      </c>
      <c r="E53" s="1">
        <v>1</v>
      </c>
      <c r="F53" s="40">
        <v>31000</v>
      </c>
      <c r="G53" s="53">
        <f t="shared" si="5"/>
        <v>31000</v>
      </c>
      <c r="H53" s="40">
        <v>31000</v>
      </c>
      <c r="I53" s="50">
        <f t="shared" si="3"/>
        <v>0</v>
      </c>
      <c r="J53" s="9" t="str">
        <f t="shared" si="4"/>
        <v>✅ Paid</v>
      </c>
    </row>
    <row r="54" spans="1:10">
      <c r="A54" s="36">
        <v>45803</v>
      </c>
      <c r="B54" s="39" t="s">
        <v>58</v>
      </c>
      <c r="C54" s="39" t="s">
        <v>84</v>
      </c>
      <c r="D54" s="39" t="s">
        <v>254</v>
      </c>
      <c r="E54" s="1">
        <v>1</v>
      </c>
      <c r="F54" s="40">
        <v>35000</v>
      </c>
      <c r="G54" s="53">
        <f t="shared" si="5"/>
        <v>35000</v>
      </c>
      <c r="H54" s="40"/>
      <c r="I54" s="50">
        <f t="shared" si="3"/>
        <v>35000</v>
      </c>
      <c r="J54" s="9" t="str">
        <f t="shared" si="4"/>
        <v>🚨 URGENT: Saurabh owes ₹35000</v>
      </c>
    </row>
    <row r="55" spans="1:10">
      <c r="A55" s="36">
        <v>45804</v>
      </c>
      <c r="B55" s="39" t="s">
        <v>123</v>
      </c>
      <c r="C55" s="39" t="s">
        <v>92</v>
      </c>
      <c r="D55" s="39" t="s">
        <v>162</v>
      </c>
      <c r="E55" s="1">
        <v>2</v>
      </c>
      <c r="F55" s="40">
        <v>32000</v>
      </c>
      <c r="G55" s="53">
        <f t="shared" si="5"/>
        <v>64000</v>
      </c>
      <c r="H55" s="40">
        <v>64000</v>
      </c>
      <c r="I55" s="50">
        <f t="shared" si="3"/>
        <v>0</v>
      </c>
      <c r="J55" s="9" t="str">
        <f t="shared" si="4"/>
        <v>✅ Paid</v>
      </c>
    </row>
    <row r="56" spans="1:10">
      <c r="A56" s="36">
        <v>45804</v>
      </c>
      <c r="B56" s="39" t="s">
        <v>58</v>
      </c>
      <c r="C56" s="39" t="s">
        <v>110</v>
      </c>
      <c r="D56" s="39" t="s">
        <v>8</v>
      </c>
      <c r="E56" s="1">
        <v>1</v>
      </c>
      <c r="F56" s="40">
        <v>34000</v>
      </c>
      <c r="G56" s="53">
        <f t="shared" si="5"/>
        <v>34000</v>
      </c>
      <c r="H56" s="40">
        <v>0</v>
      </c>
      <c r="I56" s="50">
        <f t="shared" si="3"/>
        <v>34000</v>
      </c>
      <c r="J56" s="9" t="str">
        <f t="shared" si="4"/>
        <v>🚨 URGENT: Ankush P owes ₹34000</v>
      </c>
    </row>
    <row r="57" spans="1:10">
      <c r="A57" s="36">
        <v>45804</v>
      </c>
      <c r="B57" s="39" t="s">
        <v>58</v>
      </c>
      <c r="C57" s="39" t="s">
        <v>30</v>
      </c>
      <c r="D57" s="39" t="s">
        <v>22</v>
      </c>
      <c r="E57" s="1">
        <v>1</v>
      </c>
      <c r="F57" s="40">
        <v>31000</v>
      </c>
      <c r="G57" s="53">
        <f t="shared" si="5"/>
        <v>31000</v>
      </c>
      <c r="H57" s="40">
        <v>31000</v>
      </c>
      <c r="I57" s="50">
        <f t="shared" si="3"/>
        <v>0</v>
      </c>
      <c r="J57" s="9" t="str">
        <f t="shared" si="4"/>
        <v>✅ Paid</v>
      </c>
    </row>
    <row r="58" spans="1:10">
      <c r="A58" s="36">
        <v>45804</v>
      </c>
      <c r="B58" s="39" t="s">
        <v>4</v>
      </c>
      <c r="C58" s="39" t="s">
        <v>21</v>
      </c>
      <c r="D58" s="39" t="s">
        <v>22</v>
      </c>
      <c r="E58" s="1">
        <v>1</v>
      </c>
      <c r="F58" s="40">
        <v>31000</v>
      </c>
      <c r="G58" s="53">
        <f t="shared" si="5"/>
        <v>31000</v>
      </c>
      <c r="H58" s="40">
        <v>31000</v>
      </c>
      <c r="I58" s="50">
        <f t="shared" si="3"/>
        <v>0</v>
      </c>
      <c r="J58" s="9" t="str">
        <f t="shared" si="4"/>
        <v>✅ Paid</v>
      </c>
    </row>
    <row r="59" spans="1:10">
      <c r="A59" s="36">
        <v>45804</v>
      </c>
      <c r="B59" s="39" t="s">
        <v>4</v>
      </c>
      <c r="C59" s="39" t="s">
        <v>21</v>
      </c>
      <c r="D59" s="39" t="s">
        <v>145</v>
      </c>
      <c r="E59" s="1">
        <v>1</v>
      </c>
      <c r="F59" s="40">
        <v>31000</v>
      </c>
      <c r="G59" s="53">
        <f t="shared" si="5"/>
        <v>31000</v>
      </c>
      <c r="H59" s="40">
        <v>4000</v>
      </c>
      <c r="I59" s="50">
        <f t="shared" si="3"/>
        <v>27000</v>
      </c>
      <c r="J59" s="9" t="str">
        <f t="shared" si="4"/>
        <v>🚨 URGENT: Malli owes ₹27000</v>
      </c>
    </row>
    <row r="60" spans="1:10">
      <c r="A60" s="36">
        <v>45804</v>
      </c>
      <c r="B60" s="39" t="s">
        <v>4</v>
      </c>
      <c r="C60" s="39" t="s">
        <v>30</v>
      </c>
      <c r="D60" s="39" t="s">
        <v>152</v>
      </c>
      <c r="E60" s="1">
        <v>1</v>
      </c>
      <c r="F60" s="40">
        <v>31000</v>
      </c>
      <c r="G60" s="53">
        <f t="shared" si="5"/>
        <v>31000</v>
      </c>
      <c r="H60" s="40">
        <v>31000</v>
      </c>
      <c r="I60" s="50">
        <f t="shared" si="3"/>
        <v>0</v>
      </c>
      <c r="J60" s="9" t="str">
        <f t="shared" si="4"/>
        <v>✅ Paid</v>
      </c>
    </row>
    <row r="61" spans="1:10">
      <c r="A61" s="36">
        <v>45805</v>
      </c>
      <c r="B61" s="39" t="s">
        <v>4</v>
      </c>
      <c r="C61" s="39" t="s">
        <v>84</v>
      </c>
      <c r="D61" s="39" t="s">
        <v>10</v>
      </c>
      <c r="E61" s="1">
        <v>1</v>
      </c>
      <c r="F61" s="40">
        <v>33000</v>
      </c>
      <c r="G61" s="53">
        <f t="shared" si="5"/>
        <v>33000</v>
      </c>
      <c r="H61" s="40">
        <v>33000</v>
      </c>
      <c r="I61" s="50">
        <f t="shared" si="3"/>
        <v>0</v>
      </c>
      <c r="J61" s="9" t="str">
        <f t="shared" si="4"/>
        <v>✅ Paid</v>
      </c>
    </row>
    <row r="62" spans="1:10">
      <c r="A62" s="36">
        <v>45805</v>
      </c>
      <c r="B62" s="39" t="s">
        <v>4</v>
      </c>
      <c r="C62" s="39" t="s">
        <v>110</v>
      </c>
      <c r="D62" s="39" t="s">
        <v>116</v>
      </c>
      <c r="E62" s="1">
        <v>3</v>
      </c>
      <c r="F62" s="40">
        <v>34000</v>
      </c>
      <c r="G62" s="53">
        <f t="shared" si="5"/>
        <v>102000</v>
      </c>
      <c r="H62" s="40"/>
      <c r="I62" s="50">
        <f t="shared" si="3"/>
        <v>102000</v>
      </c>
      <c r="J62" s="9" t="str">
        <f t="shared" si="4"/>
        <v>🚨 URGENT: Ankush P owes ₹102000</v>
      </c>
    </row>
    <row r="63" spans="1:10">
      <c r="A63" s="36">
        <v>45806</v>
      </c>
      <c r="B63" s="39" t="s">
        <v>4</v>
      </c>
      <c r="C63" s="39" t="s">
        <v>255</v>
      </c>
      <c r="D63" s="39" t="s">
        <v>120</v>
      </c>
      <c r="E63" s="1">
        <v>1</v>
      </c>
      <c r="F63" s="40">
        <v>30000</v>
      </c>
      <c r="G63" s="53">
        <f t="shared" si="5"/>
        <v>30000</v>
      </c>
      <c r="H63" s="40">
        <v>30000</v>
      </c>
      <c r="I63" s="50">
        <f t="shared" si="3"/>
        <v>0</v>
      </c>
      <c r="J63" s="9" t="str">
        <f t="shared" si="4"/>
        <v>✅ Paid</v>
      </c>
    </row>
    <row r="64" spans="1:10">
      <c r="A64" s="36">
        <v>45807</v>
      </c>
      <c r="B64" s="39" t="s">
        <v>58</v>
      </c>
      <c r="C64" s="39" t="s">
        <v>110</v>
      </c>
      <c r="D64" s="39" t="s">
        <v>22</v>
      </c>
      <c r="E64" s="1">
        <v>1</v>
      </c>
      <c r="F64" s="40">
        <v>34000</v>
      </c>
      <c r="G64" s="53">
        <f t="shared" si="5"/>
        <v>34000</v>
      </c>
      <c r="H64" s="40"/>
      <c r="I64" s="50">
        <f t="shared" si="3"/>
        <v>34000</v>
      </c>
      <c r="J64" s="9" t="str">
        <f t="shared" si="4"/>
        <v>🚨 URGENT: Ankush P owes ₹34000</v>
      </c>
    </row>
    <row r="65" spans="1:10">
      <c r="A65" s="36">
        <v>45807</v>
      </c>
      <c r="B65" s="39" t="s">
        <v>4</v>
      </c>
      <c r="C65" s="39" t="s">
        <v>110</v>
      </c>
      <c r="D65" s="39" t="s">
        <v>256</v>
      </c>
      <c r="E65" s="1">
        <v>1</v>
      </c>
      <c r="F65" s="40">
        <v>34000</v>
      </c>
      <c r="G65" s="53">
        <f t="shared" si="5"/>
        <v>34000</v>
      </c>
      <c r="H65" s="40"/>
      <c r="I65" s="50">
        <f t="shared" si="3"/>
        <v>34000</v>
      </c>
      <c r="J65" s="9" t="str">
        <f t="shared" si="4"/>
        <v>🚨 URGENT: Ankush P owes ₹34000</v>
      </c>
    </row>
    <row r="66" spans="1:10">
      <c r="A66" s="36">
        <v>45807</v>
      </c>
      <c r="B66" s="39" t="s">
        <v>58</v>
      </c>
      <c r="C66" s="39" t="s">
        <v>23</v>
      </c>
      <c r="D66" s="39" t="s">
        <v>19</v>
      </c>
      <c r="E66" s="1">
        <v>1</v>
      </c>
      <c r="F66" s="40">
        <v>32000</v>
      </c>
      <c r="G66" s="53">
        <f t="shared" si="5"/>
        <v>32000</v>
      </c>
      <c r="H66" s="40">
        <v>32000</v>
      </c>
      <c r="I66" s="50">
        <f t="shared" si="3"/>
        <v>0</v>
      </c>
      <c r="J66" s="9" t="str">
        <f t="shared" si="4"/>
        <v>✅ Paid</v>
      </c>
    </row>
    <row r="67" spans="1:10">
      <c r="A67" s="36">
        <v>45807</v>
      </c>
      <c r="B67" s="39" t="s">
        <v>4</v>
      </c>
      <c r="C67" s="39" t="s">
        <v>257</v>
      </c>
      <c r="D67" s="39" t="s">
        <v>37</v>
      </c>
      <c r="E67" s="1">
        <v>1</v>
      </c>
      <c r="F67" s="40">
        <v>35000</v>
      </c>
      <c r="G67" s="53">
        <f t="shared" si="5"/>
        <v>35000</v>
      </c>
      <c r="H67" s="40">
        <v>35000</v>
      </c>
      <c r="I67" s="50">
        <f t="shared" si="3"/>
        <v>0</v>
      </c>
      <c r="J67" s="9" t="str">
        <f t="shared" si="4"/>
        <v>✅ Paid</v>
      </c>
    </row>
    <row r="68" spans="1:10">
      <c r="A68" s="36">
        <v>45807</v>
      </c>
      <c r="B68" s="39" t="s">
        <v>58</v>
      </c>
      <c r="C68" s="39" t="s">
        <v>164</v>
      </c>
      <c r="D68" s="39" t="s">
        <v>11</v>
      </c>
      <c r="E68" s="1">
        <v>1</v>
      </c>
      <c r="F68" s="40">
        <v>35000</v>
      </c>
      <c r="G68" s="53">
        <f t="shared" si="5"/>
        <v>35000</v>
      </c>
      <c r="H68" s="40"/>
      <c r="I68" s="50">
        <f t="shared" ref="I68:I75" si="6">G68-H68</f>
        <v>35000</v>
      </c>
      <c r="J68" s="9" t="str">
        <f t="shared" ref="J68:J75" si="7">IF(I68&gt;10000,"🚨 URGENT: "&amp;C68&amp;" owes ₹"&amp;I68,IF(I68&gt;5000,"⚠️ WARNING: "&amp;C68&amp;" - ₹"&amp;I68&amp;" due",IF(I68&gt;0,"ℹ️ "&amp;C68&amp;" - ₹"&amp;I68&amp;" pending","✅ Paid")))</f>
        <v>🚨 URGENT: Saurabh  owes ₹35000</v>
      </c>
    </row>
    <row r="69" spans="1:10">
      <c r="A69" s="36">
        <v>45807</v>
      </c>
      <c r="B69" s="39" t="s">
        <v>4</v>
      </c>
      <c r="C69" s="39" t="s">
        <v>30</v>
      </c>
      <c r="D69" s="39" t="s">
        <v>8</v>
      </c>
      <c r="E69" s="1">
        <v>1</v>
      </c>
      <c r="F69" s="40">
        <v>31000</v>
      </c>
      <c r="G69" s="53">
        <f t="shared" si="5"/>
        <v>31000</v>
      </c>
      <c r="H69" s="40">
        <v>31000</v>
      </c>
      <c r="I69" s="50">
        <f t="shared" si="6"/>
        <v>0</v>
      </c>
      <c r="J69" s="9" t="str">
        <f t="shared" si="7"/>
        <v>✅ Paid</v>
      </c>
    </row>
    <row r="70" spans="1:10">
      <c r="A70" s="36">
        <v>45807</v>
      </c>
      <c r="B70" s="39" t="s">
        <v>58</v>
      </c>
      <c r="C70" s="39" t="s">
        <v>164</v>
      </c>
      <c r="D70" s="39" t="s">
        <v>11</v>
      </c>
      <c r="E70" s="1">
        <v>1</v>
      </c>
      <c r="F70" s="40">
        <v>35000</v>
      </c>
      <c r="G70" s="53">
        <f t="shared" si="5"/>
        <v>35000</v>
      </c>
      <c r="H70" s="40"/>
      <c r="I70" s="50">
        <f t="shared" si="6"/>
        <v>35000</v>
      </c>
      <c r="J70" s="9" t="str">
        <f t="shared" si="7"/>
        <v>🚨 URGENT: Saurabh  owes ₹35000</v>
      </c>
    </row>
    <row r="71" spans="1:10">
      <c r="A71" s="36">
        <v>45807</v>
      </c>
      <c r="B71" s="39" t="s">
        <v>4</v>
      </c>
      <c r="C71" s="39" t="s">
        <v>164</v>
      </c>
      <c r="D71" s="39" t="s">
        <v>11</v>
      </c>
      <c r="E71" s="1">
        <v>1</v>
      </c>
      <c r="F71" s="40">
        <v>35000</v>
      </c>
      <c r="G71" s="53">
        <f t="shared" si="5"/>
        <v>35000</v>
      </c>
      <c r="H71" s="40"/>
      <c r="I71" s="50">
        <f t="shared" si="6"/>
        <v>35000</v>
      </c>
      <c r="J71" s="9" t="str">
        <f t="shared" si="7"/>
        <v>🚨 URGENT: Saurabh  owes ₹35000</v>
      </c>
    </row>
    <row r="72" spans="1:10">
      <c r="A72" s="36">
        <v>45807</v>
      </c>
      <c r="B72" s="39" t="s">
        <v>58</v>
      </c>
      <c r="C72" s="39" t="s">
        <v>249</v>
      </c>
      <c r="D72" s="39" t="s">
        <v>11</v>
      </c>
      <c r="E72" s="1">
        <v>1</v>
      </c>
      <c r="F72" s="40">
        <v>35000</v>
      </c>
      <c r="G72" s="53">
        <f t="shared" si="5"/>
        <v>35000</v>
      </c>
      <c r="H72" s="40">
        <v>35000</v>
      </c>
      <c r="I72" s="50">
        <f t="shared" si="6"/>
        <v>0</v>
      </c>
      <c r="J72" s="9" t="str">
        <f t="shared" si="7"/>
        <v>✅ Paid</v>
      </c>
    </row>
    <row r="73" spans="1:10">
      <c r="A73" s="36">
        <v>45808</v>
      </c>
      <c r="B73" s="39" t="s">
        <v>4</v>
      </c>
      <c r="C73" s="39" t="s">
        <v>67</v>
      </c>
      <c r="D73" s="39" t="s">
        <v>258</v>
      </c>
      <c r="E73" s="1">
        <v>1</v>
      </c>
      <c r="F73" s="40">
        <v>28000</v>
      </c>
      <c r="G73" s="53">
        <f t="shared" si="5"/>
        <v>28000</v>
      </c>
      <c r="H73" s="40">
        <v>28000</v>
      </c>
      <c r="I73" s="50">
        <f t="shared" si="6"/>
        <v>0</v>
      </c>
      <c r="J73" s="9" t="str">
        <f t="shared" si="7"/>
        <v>✅ Paid</v>
      </c>
    </row>
    <row r="74" spans="1:10">
      <c r="A74" s="36">
        <v>45808</v>
      </c>
      <c r="B74" s="39" t="s">
        <v>58</v>
      </c>
      <c r="C74" s="39" t="s">
        <v>267</v>
      </c>
      <c r="D74" s="39" t="s">
        <v>258</v>
      </c>
      <c r="E74" s="1">
        <v>1</v>
      </c>
      <c r="F74" s="40">
        <v>28000</v>
      </c>
      <c r="G74" s="53">
        <f t="shared" si="5"/>
        <v>28000</v>
      </c>
      <c r="H74" s="40">
        <v>28000</v>
      </c>
      <c r="I74" s="50">
        <f t="shared" si="6"/>
        <v>0</v>
      </c>
      <c r="J74" s="9" t="str">
        <f t="shared" si="7"/>
        <v>✅ Paid</v>
      </c>
    </row>
    <row r="75" spans="1:10">
      <c r="A75" s="36">
        <v>45808</v>
      </c>
      <c r="B75" s="39" t="s">
        <v>58</v>
      </c>
      <c r="C75" s="39" t="s">
        <v>164</v>
      </c>
      <c r="D75" s="39" t="s">
        <v>316</v>
      </c>
      <c r="E75" s="1">
        <v>1</v>
      </c>
      <c r="F75" s="40">
        <v>40000</v>
      </c>
      <c r="G75" s="53">
        <f t="shared" si="5"/>
        <v>40000</v>
      </c>
      <c r="H75" s="40">
        <v>40000</v>
      </c>
      <c r="I75" s="50">
        <f t="shared" si="6"/>
        <v>0</v>
      </c>
      <c r="J75" s="9" t="str">
        <f t="shared" si="7"/>
        <v>✅ Paid</v>
      </c>
    </row>
    <row r="76" spans="1:10">
      <c r="A76" s="57"/>
      <c r="B76" s="55"/>
      <c r="C76" s="55"/>
      <c r="D76" s="55"/>
      <c r="E76" s="55"/>
      <c r="F76" s="60"/>
      <c r="G76" s="60"/>
      <c r="H76" s="60"/>
      <c r="I76" s="60"/>
      <c r="J76" s="9"/>
    </row>
    <row r="77" spans="1:10">
      <c r="A77" s="36"/>
      <c r="B77" s="39"/>
      <c r="C77" s="39"/>
      <c r="D77" s="39"/>
      <c r="E77" s="1"/>
      <c r="F77" s="40"/>
      <c r="G77" s="50"/>
      <c r="H77" s="40"/>
      <c r="I77" s="50"/>
      <c r="J77" s="9"/>
    </row>
    <row r="78" spans="1:10">
      <c r="A78" s="36"/>
      <c r="B78" s="39"/>
      <c r="C78" s="39"/>
      <c r="D78" s="39"/>
      <c r="E78" s="1"/>
      <c r="F78" s="40"/>
      <c r="G78" s="50"/>
      <c r="H78" s="40"/>
      <c r="I78" s="50"/>
      <c r="J78" s="9" t="str">
        <f>IF(I78&gt;10000,"🚨 URGENT: "&amp;C78&amp;" owes ₹"&amp;I78,IF(I78&gt;5000,"⚠️ WARNING: "&amp;C78&amp;" - ₹"&amp;I78&amp;" due",IF(I78&gt;0,"ℹ️ "&amp;C78&amp;" - ₹"&amp;I78&amp;" pending","✅ Paid")))</f>
        <v>✅ Paid</v>
      </c>
    </row>
    <row r="79" spans="1:10">
      <c r="A79" s="36"/>
      <c r="B79" s="39"/>
      <c r="C79" s="39"/>
      <c r="D79" s="39"/>
      <c r="E79" s="1"/>
      <c r="F79" s="40"/>
      <c r="G79" s="50"/>
      <c r="H79" s="40"/>
      <c r="I79" s="50"/>
      <c r="J79" s="9"/>
    </row>
    <row r="80" spans="1:10">
      <c r="A80" s="36"/>
      <c r="B80" s="39"/>
      <c r="C80" s="39"/>
      <c r="D80" s="39"/>
      <c r="E80" s="1"/>
      <c r="F80" s="40"/>
      <c r="G80" s="50"/>
      <c r="H80" s="40"/>
      <c r="I80" s="50">
        <f>G80-H80</f>
        <v>0</v>
      </c>
      <c r="J80" s="9"/>
    </row>
    <row r="81" spans="1:10">
      <c r="A81" s="36"/>
      <c r="B81" s="39"/>
      <c r="C81" s="39"/>
      <c r="D81" s="39"/>
      <c r="E81" s="1"/>
      <c r="F81" s="40"/>
      <c r="G81" s="50"/>
      <c r="H81" s="40"/>
      <c r="I81" s="50">
        <f>G81-H81</f>
        <v>0</v>
      </c>
      <c r="J81" s="9"/>
    </row>
    <row r="82" spans="1:10">
      <c r="A82" s="36"/>
      <c r="B82" s="39"/>
      <c r="C82" s="39"/>
      <c r="D82" s="39"/>
      <c r="E82" s="1"/>
      <c r="F82" s="40"/>
      <c r="G82" s="50"/>
      <c r="H82" s="40"/>
      <c r="I82" s="50">
        <f>G82-H82</f>
        <v>0</v>
      </c>
      <c r="J82" s="9"/>
    </row>
    <row r="83" spans="1:10">
      <c r="A83" s="36"/>
      <c r="B83" s="39"/>
      <c r="C83" s="39"/>
      <c r="D83" s="39"/>
      <c r="E83" s="1"/>
      <c r="F83" s="40"/>
      <c r="G83" s="50"/>
      <c r="H83" s="40"/>
      <c r="I83" s="50">
        <f>G83-H83</f>
        <v>0</v>
      </c>
      <c r="J83" s="9"/>
    </row>
    <row r="84" spans="1:10">
      <c r="A84" s="36"/>
      <c r="B84" s="39"/>
      <c r="C84" s="39"/>
      <c r="D84" s="39"/>
      <c r="E84" s="1"/>
      <c r="F84" s="40"/>
      <c r="G84" s="50"/>
      <c r="H84" s="40"/>
      <c r="I84" s="50"/>
      <c r="J84" s="9"/>
    </row>
    <row r="85" spans="1:10">
      <c r="A85" s="36"/>
      <c r="B85" s="39"/>
      <c r="C85" s="39"/>
      <c r="D85" s="39"/>
      <c r="E85" s="1"/>
      <c r="F85" s="40"/>
      <c r="G85" s="50"/>
      <c r="H85" s="40"/>
      <c r="I85" s="50"/>
      <c r="J85" s="9"/>
    </row>
    <row r="86" spans="1:10">
      <c r="A86" s="36"/>
      <c r="B86" s="39"/>
      <c r="C86" s="39"/>
      <c r="D86" s="39"/>
      <c r="E86" s="1"/>
      <c r="F86" s="40"/>
      <c r="G86" s="50"/>
      <c r="H86" s="40"/>
      <c r="I86" s="50"/>
      <c r="J86" s="9"/>
    </row>
    <row r="87" spans="1:10">
      <c r="A87" s="36"/>
      <c r="B87" s="39"/>
      <c r="C87" s="39"/>
      <c r="D87" s="39"/>
      <c r="E87" s="1"/>
      <c r="F87" s="40"/>
      <c r="G87" s="50"/>
      <c r="H87" s="40"/>
      <c r="I87" s="50"/>
      <c r="J87" s="9"/>
    </row>
    <row r="88" spans="1:10">
      <c r="A88" s="49"/>
      <c r="B88" s="39"/>
      <c r="C88" s="39"/>
      <c r="D88" s="39"/>
      <c r="E88" s="1"/>
      <c r="F88" s="39"/>
      <c r="G88" s="50"/>
      <c r="H88" s="39"/>
      <c r="I88" s="50"/>
      <c r="J88" s="9"/>
    </row>
    <row r="89" spans="1:10">
      <c r="A89" s="49"/>
      <c r="B89" s="39"/>
      <c r="C89" s="39"/>
      <c r="D89" s="39"/>
      <c r="E89" s="1"/>
      <c r="F89" s="39"/>
      <c r="G89" s="49"/>
      <c r="H89" s="39"/>
      <c r="I89" s="50"/>
      <c r="J89" s="9"/>
    </row>
    <row r="90" spans="1:10">
      <c r="A90" s="36"/>
      <c r="B90" s="39"/>
      <c r="C90" s="39"/>
      <c r="D90" s="39"/>
      <c r="E90" s="1"/>
      <c r="F90" s="40"/>
      <c r="G90" s="53"/>
      <c r="H90" s="40"/>
      <c r="I90" s="50"/>
      <c r="J90" s="9"/>
    </row>
    <row r="91" spans="1:10">
      <c r="A91" s="36"/>
      <c r="B91" s="39"/>
      <c r="C91" s="39"/>
      <c r="D91" s="39"/>
      <c r="E91" s="1"/>
      <c r="F91" s="40"/>
      <c r="G91" s="53"/>
      <c r="H91" s="40"/>
      <c r="I91" s="50"/>
      <c r="J91" s="9"/>
    </row>
    <row r="92" spans="1:10">
      <c r="A92" s="36"/>
      <c r="B92" s="39"/>
      <c r="C92" s="39"/>
      <c r="D92" s="39"/>
      <c r="E92" s="1"/>
      <c r="F92" s="40"/>
      <c r="G92" s="53"/>
      <c r="H92" s="40"/>
      <c r="I92" s="50"/>
      <c r="J92" s="9"/>
    </row>
    <row r="93" spans="1:10">
      <c r="A93" s="36"/>
      <c r="B93" s="39"/>
      <c r="C93" s="39"/>
      <c r="D93" s="39"/>
      <c r="E93" s="1"/>
      <c r="F93" s="40"/>
      <c r="G93" s="53"/>
      <c r="H93" s="40"/>
      <c r="I93" s="50"/>
      <c r="J93" s="9"/>
    </row>
    <row r="94" spans="1:10">
      <c r="A94" s="36"/>
      <c r="B94" s="39"/>
      <c r="C94" s="39"/>
      <c r="D94" s="39"/>
      <c r="E94" s="1"/>
      <c r="F94" s="40"/>
      <c r="G94" s="53"/>
      <c r="H94" s="40"/>
      <c r="I94" s="50"/>
      <c r="J94" s="9"/>
    </row>
    <row r="95" spans="1:10">
      <c r="A95" s="36"/>
      <c r="B95" s="39"/>
      <c r="C95" s="39"/>
      <c r="D95" s="39"/>
      <c r="E95" s="1"/>
      <c r="F95" s="40"/>
      <c r="G95" s="53"/>
      <c r="H95" s="40"/>
      <c r="I95" s="50"/>
      <c r="J95" s="9"/>
    </row>
    <row r="96" spans="1:10">
      <c r="A96" s="36"/>
      <c r="B96" s="39"/>
      <c r="C96" s="39"/>
      <c r="D96" s="39"/>
      <c r="E96" s="1"/>
      <c r="F96" s="40"/>
      <c r="G96" s="53"/>
      <c r="H96" s="40"/>
      <c r="I96" s="50"/>
      <c r="J96" s="9"/>
    </row>
    <row r="97" spans="1:10">
      <c r="A97" s="36"/>
      <c r="B97" s="39"/>
      <c r="C97" s="39"/>
      <c r="D97" s="39"/>
      <c r="E97" s="39"/>
      <c r="F97" s="40"/>
      <c r="G97" s="53"/>
      <c r="H97" s="40"/>
      <c r="I97" s="50"/>
      <c r="J97" s="9"/>
    </row>
    <row r="98" spans="1:10" ht="21">
      <c r="A98"/>
      <c r="D98" s="13"/>
      <c r="E98" s="14" t="s">
        <v>78</v>
      </c>
      <c r="F98" s="15"/>
      <c r="G98" s="16" t="s">
        <v>289</v>
      </c>
      <c r="H98" s="16" t="s">
        <v>291</v>
      </c>
      <c r="I98" s="16" t="s">
        <v>61</v>
      </c>
    </row>
    <row r="99" spans="1:10" ht="36" customHeight="1">
      <c r="A99"/>
      <c r="D99" s="17" t="s">
        <v>292</v>
      </c>
      <c r="E99" s="18">
        <f>SUM(E4:E97)</f>
        <v>86</v>
      </c>
      <c r="F99" s="19"/>
      <c r="G99" s="20">
        <f>SUM(G4:G97)</f>
        <v>2912000</v>
      </c>
      <c r="H99" s="20">
        <f>SUM(H4:H97)</f>
        <v>2022000</v>
      </c>
      <c r="I99" s="20">
        <f>SUM(I4:I97)</f>
        <v>890000</v>
      </c>
    </row>
    <row r="100" spans="1:10" ht="20">
      <c r="A100" s="67" t="s">
        <v>295</v>
      </c>
      <c r="B100" s="67"/>
      <c r="C100" s="67"/>
      <c r="D100" s="21"/>
      <c r="E100" s="21"/>
      <c r="F100" s="21"/>
      <c r="G100" s="21"/>
      <c r="H100" s="21"/>
      <c r="I100" s="21"/>
    </row>
    <row r="103" spans="1:10">
      <c r="F103" s="22">
        <f>AVERAGE(F5:F96)</f>
        <v>33802.816901408449</v>
      </c>
    </row>
    <row r="106" spans="1:10">
      <c r="A106"/>
      <c r="F106"/>
      <c r="G106"/>
      <c r="H106"/>
      <c r="I106"/>
    </row>
    <row r="107" spans="1:10">
      <c r="A107"/>
      <c r="F107"/>
      <c r="G107"/>
      <c r="H107"/>
      <c r="I107"/>
    </row>
    <row r="108" spans="1:10">
      <c r="A108"/>
      <c r="F108"/>
      <c r="G108"/>
      <c r="H108"/>
      <c r="I108"/>
    </row>
    <row r="109" spans="1:10">
      <c r="A109"/>
      <c r="F109"/>
      <c r="G109"/>
      <c r="H109"/>
      <c r="I109"/>
    </row>
    <row r="110" spans="1:10">
      <c r="A110"/>
      <c r="F110"/>
      <c r="G110"/>
      <c r="H110"/>
      <c r="I110"/>
    </row>
    <row r="115" spans="2:2">
      <c r="B115" t="s">
        <v>363</v>
      </c>
    </row>
    <row r="116" spans="2:2">
      <c r="B116" t="s">
        <v>364</v>
      </c>
    </row>
  </sheetData>
  <mergeCells count="3">
    <mergeCell ref="A1:J1"/>
    <mergeCell ref="A2:J2"/>
    <mergeCell ref="A100:C100"/>
  </mergeCells>
  <conditionalFormatting sqref="J4:J1048576">
    <cfRule type="containsText" dxfId="71" priority="1" operator="containsText" text="✅">
      <formula>NOT(ISERROR(SEARCH("✅",J4)))</formula>
    </cfRule>
    <cfRule type="containsText" dxfId="70" priority="2" operator="containsText" text="ℹ️">
      <formula>NOT(ISERROR(SEARCH("ℹ️",J4)))</formula>
    </cfRule>
    <cfRule type="containsText" dxfId="69" priority="3" operator="containsText" text="⚠️">
      <formula>NOT(ISERROR(SEARCH("⚠️",J4)))</formula>
    </cfRule>
    <cfRule type="containsText" dxfId="68" priority="4" operator="containsText" text="🚨">
      <formula>NOT(ISERROR(SEARCH("🚨",J4)))</formula>
    </cfRule>
  </conditionalFormatting>
  <pageMargins left="0.25" right="0.25" top="0.75" bottom="0.75" header="0.3" footer="0.3"/>
  <pageSetup paperSize="8" scale="83" fitToHeight="0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85D1-7BEA-4D7F-ACBE-21D04026B6A3}">
  <sheetPr codeName="Sheet6"/>
  <dimension ref="A1:J95"/>
  <sheetViews>
    <sheetView zoomScale="125" zoomScaleNormal="130" workbookViewId="0">
      <pane ySplit="3" topLeftCell="A39" activePane="bottomLeft" state="frozen"/>
      <selection pane="bottomLeft" activeCell="C4" sqref="C4:C60"/>
    </sheetView>
  </sheetViews>
  <sheetFormatPr baseColWidth="10" defaultColWidth="11.5" defaultRowHeight="15"/>
  <cols>
    <col min="1" max="1" width="22.83203125" style="21" bestFit="1" customWidth="1"/>
    <col min="2" max="2" width="14.33203125" bestFit="1" customWidth="1"/>
    <col min="3" max="3" width="30.1640625" bestFit="1" customWidth="1"/>
    <col min="4" max="4" width="25.6640625" bestFit="1" customWidth="1"/>
    <col min="5" max="5" width="12.5" bestFit="1" customWidth="1"/>
    <col min="6" max="6" width="11.6640625" style="22" bestFit="1" customWidth="1"/>
    <col min="7" max="7" width="19.5" style="22" bestFit="1" customWidth="1"/>
    <col min="8" max="8" width="20.5" style="22" bestFit="1" customWidth="1"/>
    <col min="9" max="9" width="19.5" style="22" bestFit="1" customWidth="1"/>
    <col min="10" max="10" width="46.6640625" bestFit="1" customWidth="1"/>
  </cols>
  <sheetData>
    <row r="1" spans="1:10" ht="37" customHeight="1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300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294</v>
      </c>
    </row>
    <row r="4" spans="1:10">
      <c r="A4" s="56">
        <v>45444</v>
      </c>
      <c r="B4" s="46" t="s">
        <v>55</v>
      </c>
      <c r="C4" s="46" t="s">
        <v>21</v>
      </c>
      <c r="D4" s="46" t="s">
        <v>22</v>
      </c>
      <c r="E4" s="51">
        <v>2</v>
      </c>
      <c r="F4" s="59">
        <v>31000</v>
      </c>
      <c r="G4" s="63">
        <f t="shared" ref="G4:G35" si="0">F4*E4</f>
        <v>62000</v>
      </c>
      <c r="H4" s="59"/>
      <c r="I4" s="63">
        <f t="shared" ref="I4:I27" si="1">G4-H4</f>
        <v>62000</v>
      </c>
      <c r="J4" s="9" t="str">
        <f t="shared" ref="J4:J35" si="2">IF(I4&gt;10000,"🚨 URGENT: "&amp;C4&amp;" owes ₹"&amp;I4,IF(I4&gt;5000,"⚠️ WARNING: "&amp;C4&amp;" - ₹"&amp;I4&amp;" due",IF(I4&gt;0,"ℹ️ "&amp;C4&amp;" - ₹"&amp;I4&amp;" pending","✅ Paid")))</f>
        <v>🚨 URGENT: Malli owes ₹62000</v>
      </c>
    </row>
    <row r="5" spans="1:10">
      <c r="A5" s="36">
        <v>45809</v>
      </c>
      <c r="B5" s="39" t="s">
        <v>266</v>
      </c>
      <c r="C5" s="39" t="s">
        <v>265</v>
      </c>
      <c r="D5" s="39" t="s">
        <v>22</v>
      </c>
      <c r="E5" s="1">
        <v>1</v>
      </c>
      <c r="F5" s="40">
        <v>30000</v>
      </c>
      <c r="G5" s="50">
        <f t="shared" si="0"/>
        <v>30000</v>
      </c>
      <c r="H5" s="40">
        <v>30000</v>
      </c>
      <c r="I5" s="50">
        <f t="shared" si="1"/>
        <v>0</v>
      </c>
      <c r="J5" s="9" t="str">
        <f t="shared" si="2"/>
        <v>✅ Paid</v>
      </c>
    </row>
    <row r="6" spans="1:10">
      <c r="A6" s="36">
        <v>45809</v>
      </c>
      <c r="B6" s="39" t="s">
        <v>58</v>
      </c>
      <c r="C6" s="39" t="s">
        <v>249</v>
      </c>
      <c r="D6" s="39" t="s">
        <v>11</v>
      </c>
      <c r="E6" s="1">
        <v>1</v>
      </c>
      <c r="F6" s="40">
        <v>35000</v>
      </c>
      <c r="G6" s="50">
        <f t="shared" si="0"/>
        <v>35000</v>
      </c>
      <c r="H6" s="40">
        <v>35000</v>
      </c>
      <c r="I6" s="50">
        <f t="shared" si="1"/>
        <v>0</v>
      </c>
      <c r="J6" s="9" t="str">
        <f t="shared" si="2"/>
        <v>✅ Paid</v>
      </c>
    </row>
    <row r="7" spans="1:10">
      <c r="A7" s="36">
        <v>45810</v>
      </c>
      <c r="B7" s="39" t="s">
        <v>264</v>
      </c>
      <c r="C7" s="39" t="s">
        <v>21</v>
      </c>
      <c r="D7" s="39" t="s">
        <v>22</v>
      </c>
      <c r="E7" s="1">
        <v>3</v>
      </c>
      <c r="F7" s="40">
        <v>31000</v>
      </c>
      <c r="G7" s="50">
        <f t="shared" si="0"/>
        <v>93000</v>
      </c>
      <c r="H7" s="40"/>
      <c r="I7" s="50">
        <f t="shared" si="1"/>
        <v>93000</v>
      </c>
      <c r="J7" s="9" t="str">
        <f t="shared" si="2"/>
        <v>🚨 URGENT: Malli owes ₹93000</v>
      </c>
    </row>
    <row r="8" spans="1:10">
      <c r="A8" s="36">
        <v>45810</v>
      </c>
      <c r="B8" s="39" t="s">
        <v>58</v>
      </c>
      <c r="C8" s="39" t="s">
        <v>263</v>
      </c>
      <c r="D8" s="39" t="s">
        <v>22</v>
      </c>
      <c r="E8" s="1">
        <v>1</v>
      </c>
      <c r="F8" s="40">
        <v>32000</v>
      </c>
      <c r="G8" s="50">
        <f t="shared" si="0"/>
        <v>32000</v>
      </c>
      <c r="H8" s="40">
        <v>32000</v>
      </c>
      <c r="I8" s="50">
        <f t="shared" si="1"/>
        <v>0</v>
      </c>
      <c r="J8" s="9" t="str">
        <f t="shared" si="2"/>
        <v>✅ Paid</v>
      </c>
    </row>
    <row r="9" spans="1:10">
      <c r="A9" s="36">
        <v>45811</v>
      </c>
      <c r="B9" s="39" t="s">
        <v>4</v>
      </c>
      <c r="C9" s="39" t="s">
        <v>261</v>
      </c>
      <c r="D9" s="39" t="s">
        <v>122</v>
      </c>
      <c r="E9" s="1">
        <v>1</v>
      </c>
      <c r="F9" s="40">
        <v>31000</v>
      </c>
      <c r="G9" s="50">
        <f t="shared" si="0"/>
        <v>31000</v>
      </c>
      <c r="H9" s="40">
        <v>31000</v>
      </c>
      <c r="I9" s="50">
        <f t="shared" si="1"/>
        <v>0</v>
      </c>
      <c r="J9" s="9" t="str">
        <f t="shared" si="2"/>
        <v>✅ Paid</v>
      </c>
    </row>
    <row r="10" spans="1:10">
      <c r="A10" s="36">
        <v>45811</v>
      </c>
      <c r="B10" s="39" t="s">
        <v>4</v>
      </c>
      <c r="C10" s="39" t="s">
        <v>110</v>
      </c>
      <c r="D10" s="39" t="s">
        <v>116</v>
      </c>
      <c r="E10" s="1">
        <v>1</v>
      </c>
      <c r="F10" s="40">
        <v>31000</v>
      </c>
      <c r="G10" s="50">
        <f t="shared" si="0"/>
        <v>31000</v>
      </c>
      <c r="H10" s="40"/>
      <c r="I10" s="50">
        <f t="shared" si="1"/>
        <v>31000</v>
      </c>
      <c r="J10" s="9" t="str">
        <f t="shared" si="2"/>
        <v>🚨 URGENT: Ankush P owes ₹31000</v>
      </c>
    </row>
    <row r="11" spans="1:10">
      <c r="A11" s="36">
        <v>45811</v>
      </c>
      <c r="B11" s="39" t="s">
        <v>4</v>
      </c>
      <c r="C11" s="39" t="s">
        <v>110</v>
      </c>
      <c r="D11" s="39" t="s">
        <v>120</v>
      </c>
      <c r="E11" s="1">
        <v>1</v>
      </c>
      <c r="F11" s="40">
        <v>31000</v>
      </c>
      <c r="G11" s="50">
        <f t="shared" si="0"/>
        <v>31000</v>
      </c>
      <c r="H11" s="40"/>
      <c r="I11" s="50">
        <f t="shared" si="1"/>
        <v>31000</v>
      </c>
      <c r="J11" s="9" t="str">
        <f t="shared" si="2"/>
        <v>🚨 URGENT: Ankush P owes ₹31000</v>
      </c>
    </row>
    <row r="12" spans="1:10">
      <c r="A12" s="36">
        <v>45811</v>
      </c>
      <c r="B12" s="39" t="s">
        <v>58</v>
      </c>
      <c r="C12" s="39" t="s">
        <v>262</v>
      </c>
      <c r="D12" s="39" t="s">
        <v>42</v>
      </c>
      <c r="E12" s="1">
        <v>1</v>
      </c>
      <c r="F12" s="40">
        <v>35000</v>
      </c>
      <c r="G12" s="50">
        <f t="shared" si="0"/>
        <v>35000</v>
      </c>
      <c r="H12" s="40">
        <v>35000</v>
      </c>
      <c r="I12" s="50">
        <f t="shared" si="1"/>
        <v>0</v>
      </c>
      <c r="J12" s="9" t="str">
        <f t="shared" si="2"/>
        <v>✅ Paid</v>
      </c>
    </row>
    <row r="13" spans="1:10">
      <c r="A13" s="36">
        <v>45811</v>
      </c>
      <c r="B13" s="39" t="s">
        <v>58</v>
      </c>
      <c r="C13" s="39" t="s">
        <v>30</v>
      </c>
      <c r="D13" s="39" t="s">
        <v>42</v>
      </c>
      <c r="E13" s="1">
        <v>1</v>
      </c>
      <c r="F13" s="40">
        <v>31000</v>
      </c>
      <c r="G13" s="50">
        <f t="shared" si="0"/>
        <v>31000</v>
      </c>
      <c r="H13" s="40">
        <v>31000</v>
      </c>
      <c r="I13" s="50">
        <f t="shared" si="1"/>
        <v>0</v>
      </c>
      <c r="J13" s="9" t="str">
        <f t="shared" si="2"/>
        <v>✅ Paid</v>
      </c>
    </row>
    <row r="14" spans="1:10">
      <c r="A14" s="36">
        <v>45812</v>
      </c>
      <c r="B14" s="39" t="s">
        <v>58</v>
      </c>
      <c r="C14" s="39" t="s">
        <v>107</v>
      </c>
      <c r="D14" s="39" t="s">
        <v>160</v>
      </c>
      <c r="E14" s="1">
        <v>1</v>
      </c>
      <c r="F14" s="40">
        <v>33000</v>
      </c>
      <c r="G14" s="50">
        <f t="shared" si="0"/>
        <v>33000</v>
      </c>
      <c r="H14" s="40">
        <v>33000</v>
      </c>
      <c r="I14" s="50">
        <f t="shared" si="1"/>
        <v>0</v>
      </c>
      <c r="J14" s="9" t="str">
        <f t="shared" si="2"/>
        <v>✅ Paid</v>
      </c>
    </row>
    <row r="15" spans="1:10">
      <c r="A15" s="36">
        <v>45812</v>
      </c>
      <c r="B15" s="39" t="s">
        <v>4</v>
      </c>
      <c r="C15" s="39" t="s">
        <v>259</v>
      </c>
      <c r="D15" s="39" t="s">
        <v>166</v>
      </c>
      <c r="E15" s="1">
        <v>1</v>
      </c>
      <c r="F15" s="40">
        <v>33000</v>
      </c>
      <c r="G15" s="50">
        <f t="shared" si="0"/>
        <v>33000</v>
      </c>
      <c r="H15" s="40">
        <v>33000</v>
      </c>
      <c r="I15" s="50">
        <f t="shared" si="1"/>
        <v>0</v>
      </c>
      <c r="J15" s="9" t="str">
        <f t="shared" si="2"/>
        <v>✅ Paid</v>
      </c>
    </row>
    <row r="16" spans="1:10">
      <c r="A16" s="36">
        <v>45812</v>
      </c>
      <c r="B16" s="39" t="s">
        <v>58</v>
      </c>
      <c r="C16" s="39" t="s">
        <v>260</v>
      </c>
      <c r="D16" s="39" t="s">
        <v>37</v>
      </c>
      <c r="E16" s="1">
        <v>1</v>
      </c>
      <c r="F16" s="40">
        <v>33000</v>
      </c>
      <c r="G16" s="50">
        <f t="shared" si="0"/>
        <v>33000</v>
      </c>
      <c r="H16" s="40">
        <v>33000</v>
      </c>
      <c r="I16" s="50">
        <f t="shared" si="1"/>
        <v>0</v>
      </c>
      <c r="J16" s="9" t="str">
        <f t="shared" si="2"/>
        <v>✅ Paid</v>
      </c>
    </row>
    <row r="17" spans="1:10">
      <c r="A17" s="36">
        <v>45812</v>
      </c>
      <c r="B17" s="39" t="s">
        <v>58</v>
      </c>
      <c r="C17" s="39" t="s">
        <v>249</v>
      </c>
      <c r="D17" s="39" t="s">
        <v>11</v>
      </c>
      <c r="E17" s="1">
        <v>1</v>
      </c>
      <c r="F17" s="40">
        <v>35000</v>
      </c>
      <c r="G17" s="50">
        <f t="shared" si="0"/>
        <v>35000</v>
      </c>
      <c r="H17" s="40">
        <v>35000</v>
      </c>
      <c r="I17" s="50">
        <f t="shared" si="1"/>
        <v>0</v>
      </c>
      <c r="J17" s="9" t="str">
        <f t="shared" si="2"/>
        <v>✅ Paid</v>
      </c>
    </row>
    <row r="18" spans="1:10">
      <c r="A18" s="36">
        <v>45812</v>
      </c>
      <c r="B18" s="39" t="s">
        <v>184</v>
      </c>
      <c r="C18" s="39" t="s">
        <v>51</v>
      </c>
      <c r="D18" s="39" t="s">
        <v>152</v>
      </c>
      <c r="E18" s="1">
        <v>1</v>
      </c>
      <c r="F18" s="40">
        <v>32000</v>
      </c>
      <c r="G18" s="50">
        <f t="shared" si="0"/>
        <v>32000</v>
      </c>
      <c r="H18" s="40">
        <v>32000</v>
      </c>
      <c r="I18" s="50">
        <f t="shared" si="1"/>
        <v>0</v>
      </c>
      <c r="J18" s="9" t="str">
        <f t="shared" si="2"/>
        <v>✅ Paid</v>
      </c>
    </row>
    <row r="19" spans="1:10">
      <c r="A19" s="36">
        <v>45813</v>
      </c>
      <c r="B19" s="39" t="s">
        <v>4</v>
      </c>
      <c r="C19" s="39" t="s">
        <v>110</v>
      </c>
      <c r="D19" s="39" t="s">
        <v>268</v>
      </c>
      <c r="E19" s="1">
        <v>1</v>
      </c>
      <c r="F19" s="40">
        <v>31000</v>
      </c>
      <c r="G19" s="50">
        <f t="shared" si="0"/>
        <v>31000</v>
      </c>
      <c r="H19" s="40"/>
      <c r="I19" s="50">
        <f t="shared" si="1"/>
        <v>31000</v>
      </c>
      <c r="J19" s="9" t="str">
        <f t="shared" si="2"/>
        <v>🚨 URGENT: Ankush P owes ₹31000</v>
      </c>
    </row>
    <row r="20" spans="1:10">
      <c r="A20" s="36">
        <v>45813</v>
      </c>
      <c r="B20" s="39" t="s">
        <v>58</v>
      </c>
      <c r="C20" s="39" t="s">
        <v>23</v>
      </c>
      <c r="D20" s="39" t="s">
        <v>10</v>
      </c>
      <c r="E20" s="1">
        <v>1</v>
      </c>
      <c r="F20" s="40">
        <v>35000</v>
      </c>
      <c r="G20" s="50">
        <f t="shared" si="0"/>
        <v>35000</v>
      </c>
      <c r="H20" s="40">
        <v>35000</v>
      </c>
      <c r="I20" s="50">
        <f t="shared" si="1"/>
        <v>0</v>
      </c>
      <c r="J20" s="9" t="str">
        <f t="shared" si="2"/>
        <v>✅ Paid</v>
      </c>
    </row>
    <row r="21" spans="1:10">
      <c r="A21" s="36">
        <v>45814</v>
      </c>
      <c r="B21" s="39" t="s">
        <v>58</v>
      </c>
      <c r="C21" s="39" t="s">
        <v>203</v>
      </c>
      <c r="D21" s="39" t="s">
        <v>270</v>
      </c>
      <c r="E21" s="1">
        <v>1</v>
      </c>
      <c r="F21" s="40">
        <v>35000</v>
      </c>
      <c r="G21" s="50">
        <f t="shared" si="0"/>
        <v>35000</v>
      </c>
      <c r="H21" s="40"/>
      <c r="I21" s="50">
        <f t="shared" si="1"/>
        <v>35000</v>
      </c>
      <c r="J21" s="9" t="str">
        <f t="shared" si="2"/>
        <v>🚨 URGENT: Atul  owes ₹35000</v>
      </c>
    </row>
    <row r="22" spans="1:10">
      <c r="A22" s="36">
        <v>45814</v>
      </c>
      <c r="B22" s="39" t="s">
        <v>269</v>
      </c>
      <c r="C22" s="39" t="s">
        <v>273</v>
      </c>
      <c r="D22" s="39" t="s">
        <v>147</v>
      </c>
      <c r="E22" s="1">
        <v>2</v>
      </c>
      <c r="F22" s="40">
        <v>36000</v>
      </c>
      <c r="G22" s="50">
        <f t="shared" si="0"/>
        <v>72000</v>
      </c>
      <c r="H22" s="40">
        <v>72000</v>
      </c>
      <c r="I22" s="50">
        <f t="shared" si="1"/>
        <v>0</v>
      </c>
      <c r="J22" s="9" t="str">
        <f t="shared" si="2"/>
        <v>✅ Paid</v>
      </c>
    </row>
    <row r="23" spans="1:10">
      <c r="A23" s="36">
        <v>45814</v>
      </c>
      <c r="B23" s="39" t="s">
        <v>271</v>
      </c>
      <c r="C23" s="39" t="s">
        <v>272</v>
      </c>
      <c r="D23" s="39" t="s">
        <v>11</v>
      </c>
      <c r="E23" s="1">
        <v>1</v>
      </c>
      <c r="F23" s="40">
        <v>35000</v>
      </c>
      <c r="G23" s="50">
        <f t="shared" si="0"/>
        <v>35000</v>
      </c>
      <c r="H23" s="40">
        <v>35000</v>
      </c>
      <c r="I23" s="50">
        <f t="shared" si="1"/>
        <v>0</v>
      </c>
      <c r="J23" s="9" t="str">
        <f t="shared" si="2"/>
        <v>✅ Paid</v>
      </c>
    </row>
    <row r="24" spans="1:10">
      <c r="A24" s="36">
        <v>45815</v>
      </c>
      <c r="B24" s="39" t="s">
        <v>58</v>
      </c>
      <c r="C24" s="39" t="s">
        <v>274</v>
      </c>
      <c r="D24" s="39" t="s">
        <v>145</v>
      </c>
      <c r="E24" s="1">
        <v>1</v>
      </c>
      <c r="F24" s="40">
        <v>32000</v>
      </c>
      <c r="G24" s="50">
        <f t="shared" si="0"/>
        <v>32000</v>
      </c>
      <c r="H24" s="40">
        <v>32000</v>
      </c>
      <c r="I24" s="50">
        <f t="shared" si="1"/>
        <v>0</v>
      </c>
      <c r="J24" s="9" t="str">
        <f t="shared" si="2"/>
        <v>✅ Paid</v>
      </c>
    </row>
    <row r="25" spans="1:10">
      <c r="A25" s="36">
        <v>45816</v>
      </c>
      <c r="B25" s="39" t="s">
        <v>58</v>
      </c>
      <c r="C25" s="39" t="s">
        <v>51</v>
      </c>
      <c r="D25" s="39" t="s">
        <v>278</v>
      </c>
      <c r="E25" s="1">
        <v>1</v>
      </c>
      <c r="F25" s="40">
        <v>30000</v>
      </c>
      <c r="G25" s="50">
        <f t="shared" si="0"/>
        <v>30000</v>
      </c>
      <c r="H25" s="40">
        <v>30000</v>
      </c>
      <c r="I25" s="50">
        <f t="shared" si="1"/>
        <v>0</v>
      </c>
      <c r="J25" s="9" t="str">
        <f t="shared" si="2"/>
        <v>✅ Paid</v>
      </c>
    </row>
    <row r="26" spans="1:10">
      <c r="A26" s="36">
        <v>45817</v>
      </c>
      <c r="B26" s="39" t="s">
        <v>271</v>
      </c>
      <c r="C26" s="39" t="s">
        <v>324</v>
      </c>
      <c r="D26" s="39" t="s">
        <v>19</v>
      </c>
      <c r="E26" s="1">
        <v>2</v>
      </c>
      <c r="F26" s="40">
        <v>30000</v>
      </c>
      <c r="G26" s="50">
        <f t="shared" si="0"/>
        <v>60000</v>
      </c>
      <c r="H26" s="40">
        <v>60000</v>
      </c>
      <c r="I26" s="50">
        <f t="shared" si="1"/>
        <v>0</v>
      </c>
      <c r="J26" s="9" t="str">
        <f t="shared" si="2"/>
        <v>✅ Paid</v>
      </c>
    </row>
    <row r="27" spans="1:10">
      <c r="A27" s="36">
        <v>45817</v>
      </c>
      <c r="B27" s="39" t="s">
        <v>271</v>
      </c>
      <c r="C27" s="39" t="s">
        <v>279</v>
      </c>
      <c r="D27" s="39" t="s">
        <v>275</v>
      </c>
      <c r="E27" s="1">
        <v>1</v>
      </c>
      <c r="F27" s="40">
        <v>30000</v>
      </c>
      <c r="G27" s="50">
        <f t="shared" si="0"/>
        <v>30000</v>
      </c>
      <c r="H27" s="40">
        <v>30000</v>
      </c>
      <c r="I27" s="50">
        <f t="shared" si="1"/>
        <v>0</v>
      </c>
      <c r="J27" s="9" t="str">
        <f t="shared" si="2"/>
        <v>✅ Paid</v>
      </c>
    </row>
    <row r="28" spans="1:10">
      <c r="A28" s="36">
        <v>45817</v>
      </c>
      <c r="B28" s="39" t="s">
        <v>4</v>
      </c>
      <c r="C28" s="39" t="s">
        <v>277</v>
      </c>
      <c r="D28" s="39" t="s">
        <v>276</v>
      </c>
      <c r="E28" s="1">
        <v>1</v>
      </c>
      <c r="F28" s="40"/>
      <c r="G28" s="50">
        <f t="shared" si="0"/>
        <v>0</v>
      </c>
      <c r="H28" s="40"/>
      <c r="I28" s="50"/>
      <c r="J28" s="9" t="str">
        <f t="shared" si="2"/>
        <v>✅ Paid</v>
      </c>
    </row>
    <row r="29" spans="1:10">
      <c r="A29" s="36">
        <v>45817</v>
      </c>
      <c r="B29" s="39" t="s">
        <v>4</v>
      </c>
      <c r="C29" s="39" t="s">
        <v>280</v>
      </c>
      <c r="D29" s="39" t="s">
        <v>11</v>
      </c>
      <c r="E29" s="1">
        <v>1</v>
      </c>
      <c r="F29" s="40">
        <v>35000</v>
      </c>
      <c r="G29" s="50">
        <f t="shared" si="0"/>
        <v>35000</v>
      </c>
      <c r="H29" s="40">
        <v>35000</v>
      </c>
      <c r="I29" s="50">
        <f t="shared" ref="I29:I60" si="3">G29-H29</f>
        <v>0</v>
      </c>
      <c r="J29" s="9" t="str">
        <f t="shared" si="2"/>
        <v>✅ Paid</v>
      </c>
    </row>
    <row r="30" spans="1:10">
      <c r="A30" s="36">
        <v>45817</v>
      </c>
      <c r="B30" s="39" t="s">
        <v>271</v>
      </c>
      <c r="C30" s="39" t="s">
        <v>84</v>
      </c>
      <c r="D30" s="39" t="s">
        <v>317</v>
      </c>
      <c r="E30" s="1">
        <v>1</v>
      </c>
      <c r="F30" s="40">
        <v>39000</v>
      </c>
      <c r="G30" s="50">
        <f t="shared" si="0"/>
        <v>39000</v>
      </c>
      <c r="H30" s="40"/>
      <c r="I30" s="50">
        <f t="shared" si="3"/>
        <v>39000</v>
      </c>
      <c r="J30" s="9" t="str">
        <f t="shared" si="2"/>
        <v>🚨 URGENT: Saurabh owes ₹39000</v>
      </c>
    </row>
    <row r="31" spans="1:10">
      <c r="A31" s="36">
        <v>45818</v>
      </c>
      <c r="B31" s="39" t="s">
        <v>4</v>
      </c>
      <c r="C31" s="39" t="s">
        <v>169</v>
      </c>
      <c r="D31" s="39" t="s">
        <v>276</v>
      </c>
      <c r="E31" s="1">
        <v>2</v>
      </c>
      <c r="F31" s="40"/>
      <c r="G31" s="50">
        <f t="shared" si="0"/>
        <v>0</v>
      </c>
      <c r="H31" s="40"/>
      <c r="I31" s="50">
        <f t="shared" si="3"/>
        <v>0</v>
      </c>
      <c r="J31" s="9" t="str">
        <f t="shared" si="2"/>
        <v>✅ Paid</v>
      </c>
    </row>
    <row r="32" spans="1:10">
      <c r="A32" s="36">
        <v>45818</v>
      </c>
      <c r="B32" s="39" t="s">
        <v>4</v>
      </c>
      <c r="C32" s="39" t="s">
        <v>265</v>
      </c>
      <c r="D32" s="39" t="s">
        <v>145</v>
      </c>
      <c r="E32" s="1">
        <v>2</v>
      </c>
      <c r="F32" s="40">
        <v>28000</v>
      </c>
      <c r="G32" s="50">
        <f t="shared" si="0"/>
        <v>56000</v>
      </c>
      <c r="H32" s="40"/>
      <c r="I32" s="50">
        <f t="shared" si="3"/>
        <v>56000</v>
      </c>
      <c r="J32" s="9" t="str">
        <f t="shared" si="2"/>
        <v>🚨 URGENT: Rawal Bhaiya owes ₹56000</v>
      </c>
    </row>
    <row r="33" spans="1:10">
      <c r="A33" s="36">
        <v>45818</v>
      </c>
      <c r="B33" s="39" t="s">
        <v>58</v>
      </c>
      <c r="C33" s="39" t="s">
        <v>324</v>
      </c>
      <c r="D33" s="39" t="s">
        <v>19</v>
      </c>
      <c r="E33" s="1">
        <v>4</v>
      </c>
      <c r="F33" s="40">
        <v>30000</v>
      </c>
      <c r="G33" s="50">
        <f t="shared" si="0"/>
        <v>120000</v>
      </c>
      <c r="H33" s="40">
        <v>120000</v>
      </c>
      <c r="I33" s="50">
        <f t="shared" si="3"/>
        <v>0</v>
      </c>
      <c r="J33" s="9" t="str">
        <f t="shared" si="2"/>
        <v>✅ Paid</v>
      </c>
    </row>
    <row r="34" spans="1:10">
      <c r="A34" s="36">
        <v>45819</v>
      </c>
      <c r="B34" s="39" t="s">
        <v>4</v>
      </c>
      <c r="C34" s="39" t="s">
        <v>23</v>
      </c>
      <c r="D34" s="39" t="s">
        <v>10</v>
      </c>
      <c r="E34" s="1">
        <v>1</v>
      </c>
      <c r="F34" s="40">
        <v>35000</v>
      </c>
      <c r="G34" s="50">
        <f t="shared" si="0"/>
        <v>35000</v>
      </c>
      <c r="H34" s="40">
        <v>35000</v>
      </c>
      <c r="I34" s="50">
        <f t="shared" si="3"/>
        <v>0</v>
      </c>
      <c r="J34" s="9" t="str">
        <f t="shared" si="2"/>
        <v>✅ Paid</v>
      </c>
    </row>
    <row r="35" spans="1:10">
      <c r="A35" s="36">
        <v>45819</v>
      </c>
      <c r="B35" s="39" t="s">
        <v>4</v>
      </c>
      <c r="C35" s="39" t="s">
        <v>318</v>
      </c>
      <c r="D35" s="39" t="s">
        <v>122</v>
      </c>
      <c r="E35" s="1">
        <v>1</v>
      </c>
      <c r="F35" s="40">
        <v>32000</v>
      </c>
      <c r="G35" s="50">
        <f t="shared" si="0"/>
        <v>32000</v>
      </c>
      <c r="H35" s="40">
        <v>32000</v>
      </c>
      <c r="I35" s="50">
        <f t="shared" si="3"/>
        <v>0</v>
      </c>
      <c r="J35" s="9" t="str">
        <f t="shared" si="2"/>
        <v>✅ Paid</v>
      </c>
    </row>
    <row r="36" spans="1:10">
      <c r="A36" s="36">
        <v>45820</v>
      </c>
      <c r="B36" s="39" t="s">
        <v>4</v>
      </c>
      <c r="C36" s="39" t="s">
        <v>265</v>
      </c>
      <c r="D36" s="39" t="s">
        <v>145</v>
      </c>
      <c r="E36" s="1">
        <v>2</v>
      </c>
      <c r="F36" s="40">
        <v>28000</v>
      </c>
      <c r="G36" s="50">
        <f t="shared" ref="G36:G58" si="4">F36*E36</f>
        <v>56000</v>
      </c>
      <c r="H36" s="40"/>
      <c r="I36" s="50">
        <f t="shared" si="3"/>
        <v>56000</v>
      </c>
      <c r="J36" s="9" t="str">
        <f t="shared" ref="J36:J60" si="5">IF(I36&gt;10000,"🚨 URGENT: "&amp;C36&amp;" owes ₹"&amp;I36,IF(I36&gt;5000,"⚠️ WARNING: "&amp;C36&amp;" - ₹"&amp;I36&amp;" due",IF(I36&gt;0,"ℹ️ "&amp;C36&amp;" - ₹"&amp;I36&amp;" pending","✅ Paid")))</f>
        <v>🚨 URGENT: Rawal Bhaiya owes ₹56000</v>
      </c>
    </row>
    <row r="37" spans="1:10">
      <c r="A37" s="36">
        <v>45820</v>
      </c>
      <c r="B37" s="39" t="s">
        <v>4</v>
      </c>
      <c r="C37" s="39" t="s">
        <v>237</v>
      </c>
      <c r="D37" s="39" t="s">
        <v>145</v>
      </c>
      <c r="E37" s="1">
        <v>1</v>
      </c>
      <c r="F37" s="40">
        <v>32000</v>
      </c>
      <c r="G37" s="50">
        <f t="shared" si="4"/>
        <v>32000</v>
      </c>
      <c r="H37" s="40">
        <v>32000</v>
      </c>
      <c r="I37" s="50">
        <f t="shared" si="3"/>
        <v>0</v>
      </c>
      <c r="J37" s="9" t="str">
        <f t="shared" si="5"/>
        <v>✅ Paid</v>
      </c>
    </row>
    <row r="38" spans="1:10">
      <c r="A38" s="36">
        <v>45820</v>
      </c>
      <c r="B38" s="39" t="s">
        <v>4</v>
      </c>
      <c r="C38" s="39" t="s">
        <v>324</v>
      </c>
      <c r="D38" s="39" t="s">
        <v>19</v>
      </c>
      <c r="E38" s="1">
        <v>2</v>
      </c>
      <c r="F38" s="40">
        <v>30000</v>
      </c>
      <c r="G38" s="50">
        <f t="shared" si="4"/>
        <v>60000</v>
      </c>
      <c r="H38" s="40">
        <v>60000</v>
      </c>
      <c r="I38" s="50">
        <f t="shared" si="3"/>
        <v>0</v>
      </c>
      <c r="J38" s="9" t="str">
        <f t="shared" si="5"/>
        <v>✅ Paid</v>
      </c>
    </row>
    <row r="39" spans="1:10">
      <c r="A39" s="36">
        <v>45821</v>
      </c>
      <c r="B39" s="39" t="s">
        <v>58</v>
      </c>
      <c r="C39" s="39" t="s">
        <v>80</v>
      </c>
      <c r="D39" s="39" t="s">
        <v>281</v>
      </c>
      <c r="E39" s="1">
        <v>6</v>
      </c>
      <c r="F39" s="40">
        <v>35000</v>
      </c>
      <c r="G39" s="50">
        <f t="shared" si="4"/>
        <v>210000</v>
      </c>
      <c r="H39" s="40"/>
      <c r="I39" s="50">
        <f t="shared" si="3"/>
        <v>210000</v>
      </c>
      <c r="J39" s="9" t="str">
        <f t="shared" si="5"/>
        <v>🚨 URGENT: Atul owes ₹210000</v>
      </c>
    </row>
    <row r="40" spans="1:10">
      <c r="A40" s="36">
        <v>45821</v>
      </c>
      <c r="B40" s="39" t="s">
        <v>4</v>
      </c>
      <c r="C40" s="39" t="s">
        <v>265</v>
      </c>
      <c r="D40" s="39" t="s">
        <v>145</v>
      </c>
      <c r="E40" s="1">
        <v>2</v>
      </c>
      <c r="F40" s="40">
        <v>28000</v>
      </c>
      <c r="G40" s="50">
        <f t="shared" si="4"/>
        <v>56000</v>
      </c>
      <c r="H40" s="40"/>
      <c r="I40" s="50">
        <f t="shared" si="3"/>
        <v>56000</v>
      </c>
      <c r="J40" s="9" t="str">
        <f t="shared" si="5"/>
        <v>🚨 URGENT: Rawal Bhaiya owes ₹56000</v>
      </c>
    </row>
    <row r="41" spans="1:10">
      <c r="A41" s="36">
        <v>45821</v>
      </c>
      <c r="B41" s="39" t="s">
        <v>4</v>
      </c>
      <c r="C41" s="39" t="s">
        <v>324</v>
      </c>
      <c r="D41" s="39" t="s">
        <v>19</v>
      </c>
      <c r="E41" s="1">
        <v>1</v>
      </c>
      <c r="F41" s="40">
        <v>30000</v>
      </c>
      <c r="G41" s="50">
        <f t="shared" si="4"/>
        <v>30000</v>
      </c>
      <c r="H41" s="40">
        <v>30000</v>
      </c>
      <c r="I41" s="50">
        <f t="shared" si="3"/>
        <v>0</v>
      </c>
      <c r="J41" s="9" t="str">
        <f t="shared" si="5"/>
        <v>✅ Paid</v>
      </c>
    </row>
    <row r="42" spans="1:10">
      <c r="A42" s="36">
        <v>45821</v>
      </c>
      <c r="B42" s="39" t="s">
        <v>4</v>
      </c>
      <c r="C42" s="39" t="s">
        <v>23</v>
      </c>
      <c r="D42" s="39" t="s">
        <v>10</v>
      </c>
      <c r="E42" s="1">
        <v>1</v>
      </c>
      <c r="F42" s="40">
        <v>35000</v>
      </c>
      <c r="G42" s="50">
        <f t="shared" si="4"/>
        <v>35000</v>
      </c>
      <c r="H42" s="40">
        <v>35000</v>
      </c>
      <c r="I42" s="50">
        <f t="shared" si="3"/>
        <v>0</v>
      </c>
      <c r="J42" s="9" t="str">
        <f t="shared" si="5"/>
        <v>✅ Paid</v>
      </c>
    </row>
    <row r="43" spans="1:10">
      <c r="A43" s="36">
        <v>45821</v>
      </c>
      <c r="B43" s="39" t="s">
        <v>58</v>
      </c>
      <c r="C43" s="39" t="s">
        <v>318</v>
      </c>
      <c r="D43" s="39" t="s">
        <v>122</v>
      </c>
      <c r="E43" s="1">
        <v>1</v>
      </c>
      <c r="F43" s="40">
        <v>32000</v>
      </c>
      <c r="G43" s="50">
        <f t="shared" si="4"/>
        <v>32000</v>
      </c>
      <c r="H43" s="40"/>
      <c r="I43" s="50">
        <f t="shared" si="3"/>
        <v>32000</v>
      </c>
      <c r="J43" s="9" t="str">
        <f t="shared" si="5"/>
        <v>🚨 URGENT: Mahendra (Raj) owes ₹32000</v>
      </c>
    </row>
    <row r="44" spans="1:10">
      <c r="A44" s="36">
        <v>45821</v>
      </c>
      <c r="B44" s="39" t="s">
        <v>4</v>
      </c>
      <c r="C44" s="39" t="s">
        <v>30</v>
      </c>
      <c r="D44" s="39" t="s">
        <v>38</v>
      </c>
      <c r="E44" s="1">
        <v>1</v>
      </c>
      <c r="F44" s="40">
        <v>30000</v>
      </c>
      <c r="G44" s="50">
        <f t="shared" si="4"/>
        <v>30000</v>
      </c>
      <c r="H44" s="40">
        <v>29000</v>
      </c>
      <c r="I44" s="50">
        <f t="shared" si="3"/>
        <v>1000</v>
      </c>
      <c r="J44" s="9" t="str">
        <f t="shared" si="5"/>
        <v>ℹ️ Vishal Singh - ₹1000 pending</v>
      </c>
    </row>
    <row r="45" spans="1:10">
      <c r="A45" s="36">
        <v>45822</v>
      </c>
      <c r="B45" s="39" t="s">
        <v>58</v>
      </c>
      <c r="C45" s="39" t="s">
        <v>80</v>
      </c>
      <c r="D45" s="39" t="s">
        <v>281</v>
      </c>
      <c r="E45" s="1">
        <v>1</v>
      </c>
      <c r="F45" s="40">
        <v>35000</v>
      </c>
      <c r="G45" s="50">
        <f t="shared" si="4"/>
        <v>35000</v>
      </c>
      <c r="H45" s="40"/>
      <c r="I45" s="50">
        <f t="shared" si="3"/>
        <v>35000</v>
      </c>
      <c r="J45" s="9" t="str">
        <f t="shared" si="5"/>
        <v>🚨 URGENT: Atul owes ₹35000</v>
      </c>
    </row>
    <row r="46" spans="1:10">
      <c r="A46" s="36">
        <v>45822</v>
      </c>
      <c r="B46" s="39" t="s">
        <v>123</v>
      </c>
      <c r="C46" s="39" t="s">
        <v>318</v>
      </c>
      <c r="D46" s="39" t="s">
        <v>122</v>
      </c>
      <c r="E46" s="1">
        <v>2</v>
      </c>
      <c r="F46" s="40">
        <v>32000</v>
      </c>
      <c r="G46" s="50">
        <f t="shared" si="4"/>
        <v>64000</v>
      </c>
      <c r="H46" s="40">
        <v>64000</v>
      </c>
      <c r="I46" s="50">
        <f t="shared" si="3"/>
        <v>0</v>
      </c>
      <c r="J46" s="9" t="str">
        <f t="shared" si="5"/>
        <v>✅ Paid</v>
      </c>
    </row>
    <row r="47" spans="1:10">
      <c r="A47" s="36">
        <v>45826</v>
      </c>
      <c r="B47" s="39" t="s">
        <v>4</v>
      </c>
      <c r="C47" s="39" t="s">
        <v>310</v>
      </c>
      <c r="D47" s="39" t="s">
        <v>13</v>
      </c>
      <c r="E47" s="1">
        <v>1</v>
      </c>
      <c r="F47" s="40">
        <v>31000</v>
      </c>
      <c r="G47" s="50">
        <f t="shared" si="4"/>
        <v>31000</v>
      </c>
      <c r="H47" s="40">
        <v>31000</v>
      </c>
      <c r="I47" s="50">
        <f t="shared" si="3"/>
        <v>0</v>
      </c>
      <c r="J47" s="9" t="str">
        <f t="shared" si="5"/>
        <v>✅ Paid</v>
      </c>
    </row>
    <row r="48" spans="1:10">
      <c r="A48" s="36">
        <v>45826</v>
      </c>
      <c r="B48" s="39" t="s">
        <v>4</v>
      </c>
      <c r="C48" s="39" t="s">
        <v>277</v>
      </c>
      <c r="D48" s="39" t="s">
        <v>301</v>
      </c>
      <c r="E48" s="1">
        <v>4</v>
      </c>
      <c r="F48" s="40">
        <v>0</v>
      </c>
      <c r="G48" s="50">
        <f t="shared" si="4"/>
        <v>0</v>
      </c>
      <c r="H48" s="40">
        <v>0</v>
      </c>
      <c r="I48" s="50">
        <f t="shared" si="3"/>
        <v>0</v>
      </c>
      <c r="J48" s="9" t="str">
        <f t="shared" si="5"/>
        <v>✅ Paid</v>
      </c>
    </row>
    <row r="49" spans="1:10">
      <c r="A49" s="36">
        <v>45826</v>
      </c>
      <c r="B49" s="39" t="s">
        <v>302</v>
      </c>
      <c r="C49" s="39" t="s">
        <v>277</v>
      </c>
      <c r="D49" s="39" t="s">
        <v>301</v>
      </c>
      <c r="E49" s="1">
        <v>3</v>
      </c>
      <c r="F49" s="40">
        <v>0</v>
      </c>
      <c r="G49" s="50">
        <f t="shared" si="4"/>
        <v>0</v>
      </c>
      <c r="H49" s="40">
        <v>0</v>
      </c>
      <c r="I49" s="50">
        <f t="shared" si="3"/>
        <v>0</v>
      </c>
      <c r="J49" s="9" t="str">
        <f t="shared" si="5"/>
        <v>✅ Paid</v>
      </c>
    </row>
    <row r="50" spans="1:10">
      <c r="A50" s="36">
        <v>45827</v>
      </c>
      <c r="B50" s="39" t="s">
        <v>45</v>
      </c>
      <c r="C50" s="39" t="s">
        <v>309</v>
      </c>
      <c r="D50" s="39" t="s">
        <v>307</v>
      </c>
      <c r="E50" s="1">
        <v>1</v>
      </c>
      <c r="F50" s="40">
        <v>33000</v>
      </c>
      <c r="G50" s="50">
        <f t="shared" si="4"/>
        <v>33000</v>
      </c>
      <c r="H50" s="40">
        <v>33000</v>
      </c>
      <c r="I50" s="50">
        <f t="shared" si="3"/>
        <v>0</v>
      </c>
      <c r="J50" s="9" t="str">
        <f t="shared" si="5"/>
        <v>✅ Paid</v>
      </c>
    </row>
    <row r="51" spans="1:10">
      <c r="A51" s="36">
        <v>45827</v>
      </c>
      <c r="B51" s="39" t="s">
        <v>45</v>
      </c>
      <c r="C51" s="39" t="s">
        <v>308</v>
      </c>
      <c r="D51" s="39" t="s">
        <v>162</v>
      </c>
      <c r="E51" s="1">
        <v>1</v>
      </c>
      <c r="F51" s="40">
        <v>30000</v>
      </c>
      <c r="G51" s="50">
        <f t="shared" si="4"/>
        <v>30000</v>
      </c>
      <c r="H51" s="40">
        <v>30000</v>
      </c>
      <c r="I51" s="50">
        <f t="shared" si="3"/>
        <v>0</v>
      </c>
      <c r="J51" s="9" t="str">
        <f t="shared" si="5"/>
        <v>✅ Paid</v>
      </c>
    </row>
    <row r="52" spans="1:10">
      <c r="A52" s="36">
        <v>45828</v>
      </c>
      <c r="B52" s="39" t="s">
        <v>45</v>
      </c>
      <c r="C52" s="39" t="s">
        <v>277</v>
      </c>
      <c r="D52" s="39" t="s">
        <v>301</v>
      </c>
      <c r="E52" s="1">
        <v>4</v>
      </c>
      <c r="F52" s="40">
        <v>0</v>
      </c>
      <c r="G52" s="50">
        <f t="shared" si="4"/>
        <v>0</v>
      </c>
      <c r="H52" s="40"/>
      <c r="I52" s="50">
        <f t="shared" si="3"/>
        <v>0</v>
      </c>
      <c r="J52" s="9" t="str">
        <f t="shared" si="5"/>
        <v>✅ Paid</v>
      </c>
    </row>
    <row r="53" spans="1:10">
      <c r="A53" s="36">
        <v>45828</v>
      </c>
      <c r="B53" s="39" t="s">
        <v>45</v>
      </c>
      <c r="C53" s="39" t="s">
        <v>67</v>
      </c>
      <c r="D53" s="39" t="s">
        <v>68</v>
      </c>
      <c r="E53" s="1">
        <v>1</v>
      </c>
      <c r="F53" s="40">
        <v>27000</v>
      </c>
      <c r="G53" s="50">
        <f t="shared" si="4"/>
        <v>27000</v>
      </c>
      <c r="H53" s="40">
        <v>27000</v>
      </c>
      <c r="I53" s="50">
        <f t="shared" si="3"/>
        <v>0</v>
      </c>
      <c r="J53" s="9" t="str">
        <f t="shared" si="5"/>
        <v>✅ Paid</v>
      </c>
    </row>
    <row r="54" spans="1:10">
      <c r="A54" s="36">
        <v>45829</v>
      </c>
      <c r="B54" s="39" t="s">
        <v>45</v>
      </c>
      <c r="C54" s="39" t="s">
        <v>306</v>
      </c>
      <c r="D54" s="39" t="s">
        <v>303</v>
      </c>
      <c r="E54" s="1">
        <v>1</v>
      </c>
      <c r="F54" s="40">
        <v>32000</v>
      </c>
      <c r="G54" s="50">
        <f t="shared" si="4"/>
        <v>32000</v>
      </c>
      <c r="H54" s="40">
        <v>32000</v>
      </c>
      <c r="I54" s="50">
        <f t="shared" si="3"/>
        <v>0</v>
      </c>
      <c r="J54" s="9" t="str">
        <f t="shared" si="5"/>
        <v>✅ Paid</v>
      </c>
    </row>
    <row r="55" spans="1:10">
      <c r="A55" s="36">
        <v>45829</v>
      </c>
      <c r="B55" s="39" t="s">
        <v>45</v>
      </c>
      <c r="C55" s="39" t="s">
        <v>67</v>
      </c>
      <c r="D55" s="39" t="s">
        <v>68</v>
      </c>
      <c r="E55" s="1">
        <v>1</v>
      </c>
      <c r="F55" s="40">
        <v>27000</v>
      </c>
      <c r="G55" s="50">
        <f t="shared" si="4"/>
        <v>27000</v>
      </c>
      <c r="H55" s="40">
        <v>27000</v>
      </c>
      <c r="I55" s="50">
        <f t="shared" si="3"/>
        <v>0</v>
      </c>
      <c r="J55" s="9" t="str">
        <f t="shared" si="5"/>
        <v>✅ Paid</v>
      </c>
    </row>
    <row r="56" spans="1:10">
      <c r="A56" s="36">
        <v>45829</v>
      </c>
      <c r="B56" s="39" t="s">
        <v>45</v>
      </c>
      <c r="C56" s="39" t="s">
        <v>23</v>
      </c>
      <c r="D56" s="39" t="s">
        <v>304</v>
      </c>
      <c r="E56" s="1">
        <v>1</v>
      </c>
      <c r="F56" s="40">
        <v>30000</v>
      </c>
      <c r="G56" s="50">
        <f t="shared" si="4"/>
        <v>30000</v>
      </c>
      <c r="H56" s="40">
        <v>30000</v>
      </c>
      <c r="I56" s="50">
        <f t="shared" si="3"/>
        <v>0</v>
      </c>
      <c r="J56" s="9" t="str">
        <f t="shared" si="5"/>
        <v>✅ Paid</v>
      </c>
    </row>
    <row r="57" spans="1:10">
      <c r="A57" s="36">
        <v>45829</v>
      </c>
      <c r="B57" s="39" t="s">
        <v>45</v>
      </c>
      <c r="C57" s="39" t="s">
        <v>30</v>
      </c>
      <c r="D57" s="39" t="s">
        <v>305</v>
      </c>
      <c r="E57" s="1">
        <v>1</v>
      </c>
      <c r="F57" s="40">
        <v>30000</v>
      </c>
      <c r="G57" s="50">
        <f t="shared" si="4"/>
        <v>30000</v>
      </c>
      <c r="H57" s="40">
        <v>30000</v>
      </c>
      <c r="I57" s="50">
        <f t="shared" si="3"/>
        <v>0</v>
      </c>
      <c r="J57" s="9" t="str">
        <f t="shared" si="5"/>
        <v>✅ Paid</v>
      </c>
    </row>
    <row r="58" spans="1:10">
      <c r="A58" s="36">
        <v>45836</v>
      </c>
      <c r="B58" s="39" t="s">
        <v>58</v>
      </c>
      <c r="C58" s="39" t="s">
        <v>318</v>
      </c>
      <c r="D58" s="39" t="s">
        <v>122</v>
      </c>
      <c r="E58" s="1">
        <v>1</v>
      </c>
      <c r="F58" s="40">
        <v>32000</v>
      </c>
      <c r="G58" s="50">
        <f t="shared" si="4"/>
        <v>32000</v>
      </c>
      <c r="H58" s="40">
        <v>32000</v>
      </c>
      <c r="I58" s="50">
        <f t="shared" si="3"/>
        <v>0</v>
      </c>
      <c r="J58" s="9" t="str">
        <f t="shared" si="5"/>
        <v>✅ Paid</v>
      </c>
    </row>
    <row r="59" spans="1:10">
      <c r="A59" s="36">
        <v>45836</v>
      </c>
      <c r="B59" s="39" t="s">
        <v>58</v>
      </c>
      <c r="C59" s="39" t="s">
        <v>323</v>
      </c>
      <c r="D59" s="39" t="s">
        <v>321</v>
      </c>
      <c r="E59" s="1">
        <v>1</v>
      </c>
      <c r="F59" s="40">
        <v>30000</v>
      </c>
      <c r="G59" s="50">
        <v>30000</v>
      </c>
      <c r="H59" s="40">
        <v>30000</v>
      </c>
      <c r="I59" s="50">
        <f t="shared" si="3"/>
        <v>0</v>
      </c>
      <c r="J59" s="9" t="str">
        <f t="shared" si="5"/>
        <v>✅ Paid</v>
      </c>
    </row>
    <row r="60" spans="1:10">
      <c r="A60" s="36">
        <v>45838</v>
      </c>
      <c r="B60" s="39" t="s">
        <v>58</v>
      </c>
      <c r="C60" s="39" t="s">
        <v>23</v>
      </c>
      <c r="D60" s="39" t="s">
        <v>304</v>
      </c>
      <c r="E60" s="1">
        <v>1</v>
      </c>
      <c r="F60" s="40">
        <v>30000</v>
      </c>
      <c r="G60" s="50">
        <v>30000</v>
      </c>
      <c r="H60" s="40">
        <v>30000</v>
      </c>
      <c r="I60" s="50">
        <f t="shared" si="3"/>
        <v>0</v>
      </c>
      <c r="J60" s="9" t="str">
        <f t="shared" si="5"/>
        <v>✅ Paid</v>
      </c>
    </row>
    <row r="61" spans="1:10">
      <c r="A61" s="36" t="s">
        <v>320</v>
      </c>
      <c r="B61" s="39"/>
      <c r="C61" s="39"/>
      <c r="D61" s="39"/>
      <c r="E61" s="1"/>
      <c r="F61" s="40"/>
      <c r="G61" s="50"/>
      <c r="H61" s="40"/>
      <c r="I61" s="50"/>
      <c r="J61" s="9"/>
    </row>
    <row r="62" spans="1:10">
      <c r="A62" s="57"/>
      <c r="B62" s="55"/>
      <c r="C62" s="55"/>
      <c r="D62" s="55"/>
      <c r="E62" s="55"/>
      <c r="F62" s="60"/>
      <c r="G62" s="60"/>
      <c r="H62" s="60"/>
      <c r="I62" s="60"/>
      <c r="J62" s="9"/>
    </row>
    <row r="63" spans="1:10">
      <c r="A63" s="36"/>
      <c r="B63" s="39"/>
      <c r="C63" s="39"/>
      <c r="D63" s="39"/>
      <c r="E63" s="1"/>
      <c r="F63" s="40"/>
      <c r="G63" s="50"/>
      <c r="H63" s="40" t="s">
        <v>320</v>
      </c>
      <c r="I63" s="50"/>
      <c r="J63" s="9"/>
    </row>
    <row r="64" spans="1:10">
      <c r="A64" s="36"/>
      <c r="B64" s="39"/>
      <c r="C64" s="39"/>
      <c r="D64" s="39"/>
      <c r="E64" s="1"/>
      <c r="F64" s="40"/>
      <c r="G64" s="50"/>
      <c r="H64" s="40"/>
      <c r="I64" s="50"/>
      <c r="J64" s="9"/>
    </row>
    <row r="65" spans="1:10">
      <c r="A65" s="36"/>
      <c r="B65" s="39"/>
      <c r="C65" s="39"/>
      <c r="D65" s="39"/>
      <c r="E65" s="1"/>
      <c r="F65" s="40"/>
      <c r="G65" s="50"/>
      <c r="H65" s="40"/>
      <c r="I65" s="50"/>
      <c r="J65" s="9"/>
    </row>
    <row r="66" spans="1:10">
      <c r="A66" s="36"/>
      <c r="B66" s="39"/>
      <c r="C66" s="39"/>
      <c r="D66" s="39"/>
      <c r="E66" s="1"/>
      <c r="F66" s="40"/>
      <c r="G66" s="50"/>
      <c r="H66" s="40"/>
      <c r="I66" s="50"/>
      <c r="J66" s="9"/>
    </row>
    <row r="67" spans="1:10">
      <c r="A67" s="36"/>
      <c r="B67" s="39"/>
      <c r="C67" s="39"/>
      <c r="D67" s="39"/>
      <c r="E67" s="1"/>
      <c r="F67" s="40"/>
      <c r="G67" s="50"/>
      <c r="H67" s="40"/>
      <c r="I67" s="50"/>
      <c r="J67" s="9"/>
    </row>
    <row r="68" spans="1:10">
      <c r="A68" s="36"/>
      <c r="B68" s="39"/>
      <c r="C68" s="39"/>
      <c r="D68" s="39"/>
      <c r="E68" s="1"/>
      <c r="F68" s="40"/>
      <c r="G68" s="50"/>
      <c r="H68" s="40"/>
      <c r="I68" s="50"/>
      <c r="J68" s="9"/>
    </row>
    <row r="69" spans="1:10">
      <c r="A69" s="36"/>
      <c r="B69" s="39"/>
      <c r="C69" s="39"/>
      <c r="D69" s="39"/>
      <c r="E69" s="1"/>
      <c r="F69" s="40"/>
      <c r="G69" s="50"/>
      <c r="H69" s="40"/>
      <c r="I69" s="50"/>
      <c r="J69" s="9"/>
    </row>
    <row r="70" spans="1:10">
      <c r="A70" s="36"/>
      <c r="B70" s="39"/>
      <c r="C70" s="39"/>
      <c r="D70" s="39"/>
      <c r="E70" s="1"/>
      <c r="F70" s="40"/>
      <c r="G70" s="50"/>
      <c r="H70" s="40"/>
      <c r="I70" s="50"/>
      <c r="J70" s="9"/>
    </row>
    <row r="71" spans="1:10">
      <c r="A71" s="36"/>
      <c r="B71" s="39"/>
      <c r="C71" s="39"/>
      <c r="D71" s="39"/>
      <c r="E71" s="1"/>
      <c r="F71" s="40"/>
      <c r="G71" s="50"/>
      <c r="H71" s="40"/>
      <c r="I71" s="50"/>
      <c r="J71" s="9"/>
    </row>
    <row r="72" spans="1:10">
      <c r="A72" s="36"/>
      <c r="B72" s="39"/>
      <c r="C72" s="39"/>
      <c r="D72" s="39"/>
      <c r="E72" s="1"/>
      <c r="F72" s="40"/>
      <c r="G72" s="50"/>
      <c r="H72" s="40"/>
      <c r="I72" s="50"/>
      <c r="J72" s="9"/>
    </row>
    <row r="73" spans="1:10">
      <c r="A73" s="36"/>
      <c r="B73" s="39"/>
      <c r="C73" s="39"/>
      <c r="D73" s="39"/>
      <c r="E73" s="1"/>
      <c r="F73" s="40"/>
      <c r="G73" s="50"/>
      <c r="H73" s="40"/>
      <c r="I73" s="50"/>
      <c r="J73" s="9"/>
    </row>
    <row r="74" spans="1:10">
      <c r="A74" s="36"/>
      <c r="B74" s="39"/>
      <c r="C74" s="39"/>
      <c r="D74" s="39"/>
      <c r="E74" s="1"/>
      <c r="F74" s="40"/>
      <c r="G74" s="50"/>
      <c r="H74" s="40"/>
      <c r="I74" s="50"/>
      <c r="J74" s="9"/>
    </row>
    <row r="75" spans="1:10">
      <c r="A75" s="36"/>
      <c r="B75" s="39"/>
      <c r="C75" s="39"/>
      <c r="D75" s="39"/>
      <c r="E75" s="1"/>
      <c r="F75" s="40"/>
      <c r="G75" s="50"/>
      <c r="H75" s="40"/>
      <c r="I75" s="50"/>
      <c r="J75" s="9"/>
    </row>
    <row r="76" spans="1:10">
      <c r="A76" s="36"/>
      <c r="B76" s="39"/>
      <c r="C76" s="39"/>
      <c r="D76" s="39"/>
      <c r="E76" s="1"/>
      <c r="F76" s="40"/>
      <c r="G76" s="50"/>
      <c r="H76" s="40"/>
      <c r="I76" s="50"/>
      <c r="J76" s="9" t="str">
        <f>IF(I76&gt;10000,"🚨 URGENT: "&amp;C76&amp;" owes ₹"&amp;I76,IF(I76&gt;5000,"⚠️ WARNING: "&amp;C76&amp;" - ₹"&amp;I76&amp;" due",IF(I76&gt;0,"ℹ️ "&amp;C76&amp;" - ₹"&amp;I76&amp;" pending","✅ Paid")))</f>
        <v>✅ Paid</v>
      </c>
    </row>
    <row r="77" spans="1:10">
      <c r="A77" s="36"/>
      <c r="B77" s="39"/>
      <c r="C77" s="39"/>
      <c r="D77" s="39"/>
      <c r="E77" s="1"/>
      <c r="F77" s="40"/>
      <c r="G77" s="50"/>
      <c r="H77" s="40"/>
      <c r="I77" s="50"/>
      <c r="J77" s="9"/>
    </row>
    <row r="78" spans="1:10">
      <c r="A78" s="36"/>
      <c r="B78" s="39"/>
      <c r="C78" s="39"/>
      <c r="D78" s="39"/>
      <c r="E78" s="1"/>
      <c r="F78" s="40"/>
      <c r="G78" s="50"/>
      <c r="H78" s="40"/>
      <c r="I78" s="50"/>
      <c r="J78" s="9"/>
    </row>
    <row r="79" spans="1:10">
      <c r="A79" s="36"/>
      <c r="B79" s="39"/>
      <c r="C79" s="39"/>
      <c r="D79" s="39"/>
      <c r="E79" s="1"/>
      <c r="F79" s="40"/>
      <c r="G79" s="50"/>
      <c r="H79" s="40"/>
      <c r="I79" s="50"/>
      <c r="J79" s="9"/>
    </row>
    <row r="80" spans="1:10">
      <c r="A80" s="36"/>
      <c r="B80" s="39"/>
      <c r="C80" s="39"/>
      <c r="D80" s="39"/>
      <c r="E80" s="1"/>
      <c r="F80" s="40"/>
      <c r="G80" s="50"/>
      <c r="H80" s="40"/>
      <c r="I80" s="50"/>
      <c r="J80" s="9"/>
    </row>
    <row r="81" spans="1:10">
      <c r="A81" s="36"/>
      <c r="B81" s="39"/>
      <c r="C81" s="39"/>
      <c r="D81" s="39"/>
      <c r="E81" s="1"/>
      <c r="F81" s="40"/>
      <c r="G81" s="50"/>
      <c r="H81" s="40"/>
      <c r="I81" s="50"/>
      <c r="J81" s="9"/>
    </row>
    <row r="82" spans="1:10">
      <c r="A82" s="4"/>
      <c r="B82" s="1"/>
      <c r="C82" s="1"/>
      <c r="D82" s="1"/>
      <c r="E82" s="1"/>
      <c r="F82" s="2"/>
      <c r="G82" s="5"/>
      <c r="H82" s="2"/>
      <c r="I82" s="5"/>
      <c r="J82" s="9"/>
    </row>
    <row r="83" spans="1:10" ht="21">
      <c r="A83"/>
      <c r="D83" s="13"/>
      <c r="E83" s="14" t="s">
        <v>78</v>
      </c>
      <c r="F83" s="15"/>
      <c r="G83" s="16" t="s">
        <v>289</v>
      </c>
      <c r="H83" s="16" t="s">
        <v>291</v>
      </c>
      <c r="I83" s="16" t="s">
        <v>61</v>
      </c>
    </row>
    <row r="84" spans="1:10" ht="21">
      <c r="A84"/>
      <c r="D84" s="17" t="s">
        <v>292</v>
      </c>
      <c r="E84" s="18">
        <f>SUM(E4:E82)</f>
        <v>84</v>
      </c>
      <c r="F84" s="19"/>
      <c r="G84" s="20">
        <f>SUM(G4:G82)</f>
        <v>2226000</v>
      </c>
      <c r="H84" s="20">
        <f>SUM(H4:H82)</f>
        <v>1458000</v>
      </c>
      <c r="I84" s="20">
        <f>SUM(I4:I82)</f>
        <v>768000</v>
      </c>
    </row>
    <row r="85" spans="1:10" ht="33.75" customHeight="1">
      <c r="A85" s="66" t="s">
        <v>295</v>
      </c>
      <c r="B85" s="66"/>
      <c r="C85" s="66"/>
      <c r="D85" s="21"/>
      <c r="E85" s="21"/>
      <c r="F85" s="21"/>
      <c r="G85" s="21"/>
      <c r="H85" s="21"/>
      <c r="I85" s="21"/>
    </row>
    <row r="89" spans="1:10">
      <c r="F89" s="22">
        <f>AVERAGE(F5:F80)</f>
        <v>30092.592592592591</v>
      </c>
    </row>
    <row r="91" spans="1:10">
      <c r="A91"/>
      <c r="F91"/>
      <c r="G91"/>
      <c r="H91"/>
      <c r="I91"/>
    </row>
    <row r="92" spans="1:10">
      <c r="A92"/>
      <c r="F92"/>
      <c r="G92"/>
      <c r="H92"/>
      <c r="I92"/>
    </row>
    <row r="93" spans="1:10">
      <c r="A93"/>
      <c r="F93"/>
      <c r="G93"/>
      <c r="H93"/>
      <c r="I93"/>
    </row>
    <row r="94" spans="1:10">
      <c r="A94"/>
      <c r="F94"/>
      <c r="G94"/>
      <c r="H94"/>
      <c r="I94"/>
    </row>
    <row r="95" spans="1:10">
      <c r="A95"/>
      <c r="F95"/>
      <c r="G95"/>
      <c r="H95"/>
      <c r="I95"/>
    </row>
  </sheetData>
  <mergeCells count="3">
    <mergeCell ref="A1:J1"/>
    <mergeCell ref="A2:J2"/>
    <mergeCell ref="A85:C85"/>
  </mergeCells>
  <conditionalFormatting sqref="J4:J1048576">
    <cfRule type="containsText" dxfId="67" priority="1" operator="containsText" text="✅">
      <formula>NOT(ISERROR(SEARCH("✅",J4)))</formula>
    </cfRule>
    <cfRule type="containsText" dxfId="66" priority="2" operator="containsText" text="ℹ️">
      <formula>NOT(ISERROR(SEARCH("ℹ️",J4)))</formula>
    </cfRule>
    <cfRule type="containsText" dxfId="65" priority="3" operator="containsText" text="⚠️">
      <formula>NOT(ISERROR(SEARCH("⚠️",J4)))</formula>
    </cfRule>
    <cfRule type="containsText" dxfId="64" priority="4" operator="containsText" text="🚨">
      <formula>NOT(ISERROR(SEARCH("🚨",J4)))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1876-39C1-B948-A9DE-BD477D8E4F22}">
  <sheetPr codeName="Sheet7"/>
  <dimension ref="A1:J19"/>
  <sheetViews>
    <sheetView zoomScale="156" workbookViewId="0">
      <selection activeCell="C4" sqref="C4:C9"/>
    </sheetView>
  </sheetViews>
  <sheetFormatPr baseColWidth="10" defaultColWidth="11.5" defaultRowHeight="15"/>
  <cols>
    <col min="1" max="1" width="21.6640625" bestFit="1" customWidth="1"/>
    <col min="2" max="2" width="21.83203125" bestFit="1" customWidth="1"/>
    <col min="3" max="3" width="20.5" bestFit="1" customWidth="1"/>
    <col min="4" max="4" width="19.6640625" bestFit="1" customWidth="1"/>
    <col min="5" max="5" width="13.1640625" bestFit="1" customWidth="1"/>
    <col min="6" max="6" width="15.33203125" bestFit="1" customWidth="1"/>
    <col min="7" max="8" width="18" bestFit="1" customWidth="1"/>
    <col min="9" max="9" width="17" bestFit="1" customWidth="1"/>
    <col min="10" max="10" width="40.1640625" bestFit="1" customWidth="1"/>
  </cols>
  <sheetData>
    <row r="1" spans="1:10" ht="29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322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294</v>
      </c>
    </row>
    <row r="4" spans="1:10">
      <c r="A4" s="56">
        <v>45840</v>
      </c>
      <c r="B4" s="46" t="s">
        <v>58</v>
      </c>
      <c r="C4" s="46" t="s">
        <v>318</v>
      </c>
      <c r="D4" s="46" t="s">
        <v>122</v>
      </c>
      <c r="E4" s="51">
        <v>1</v>
      </c>
      <c r="F4" s="59">
        <v>32000</v>
      </c>
      <c r="G4" s="63">
        <f>Table68[[#This Row],[Rate /Trips]]*Table68[[#This Row],[Trips]]</f>
        <v>32000</v>
      </c>
      <c r="H4" s="59">
        <v>32000</v>
      </c>
      <c r="I4" s="63">
        <f>Table68[[#This Row],[Total Value]]-Table68[[#This Row],[Received]]</f>
        <v>0</v>
      </c>
      <c r="J4" s="9" t="str">
        <f t="shared" ref="J4:J9" si="0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>
      <c r="A5" s="36">
        <v>45843</v>
      </c>
      <c r="B5" s="39" t="s">
        <v>58</v>
      </c>
      <c r="C5" s="39" t="s">
        <v>23</v>
      </c>
      <c r="D5" s="39" t="s">
        <v>3</v>
      </c>
      <c r="E5" s="1">
        <v>1</v>
      </c>
      <c r="F5" s="40">
        <v>30000</v>
      </c>
      <c r="G5" s="50">
        <f>Table68[[#This Row],[Rate /Trips]]*Table68[[#This Row],[Trips]]</f>
        <v>30000</v>
      </c>
      <c r="H5" s="40">
        <v>30000</v>
      </c>
      <c r="I5" s="50">
        <f>Table68[[#This Row],[Total Value]]-Table68[[#This Row],[Received]]</f>
        <v>0</v>
      </c>
      <c r="J5" s="9" t="str">
        <f t="shared" si="0"/>
        <v>✅ Paid</v>
      </c>
    </row>
    <row r="6" spans="1:10">
      <c r="A6" s="36">
        <v>45846</v>
      </c>
      <c r="B6" s="39" t="s">
        <v>326</v>
      </c>
      <c r="C6" s="39" t="s">
        <v>318</v>
      </c>
      <c r="D6" s="39" t="s">
        <v>122</v>
      </c>
      <c r="E6" s="1">
        <v>1</v>
      </c>
      <c r="F6" s="40">
        <v>32000</v>
      </c>
      <c r="G6" s="50">
        <f>Table68[[#This Row],[Rate /Trips]]*Table68[[#This Row],[Trips]]</f>
        <v>32000</v>
      </c>
      <c r="H6" s="40">
        <v>32000</v>
      </c>
      <c r="I6" s="50">
        <f>Table68[[#This Row],[Total Value]]-Table68[[#This Row],[Received]]</f>
        <v>0</v>
      </c>
      <c r="J6" s="9" t="str">
        <f t="shared" si="0"/>
        <v>✅ Paid</v>
      </c>
    </row>
    <row r="7" spans="1:10">
      <c r="A7" s="36">
        <v>45852</v>
      </c>
      <c r="B7" s="39" t="s">
        <v>325</v>
      </c>
      <c r="C7" s="39" t="s">
        <v>318</v>
      </c>
      <c r="D7" s="39" t="s">
        <v>122</v>
      </c>
      <c r="E7" s="1">
        <v>6</v>
      </c>
      <c r="F7" s="40">
        <v>32000</v>
      </c>
      <c r="G7" s="50">
        <f>Table68[[#This Row],[Rate /Trips]]*Table68[[#This Row],[Trips]]</f>
        <v>192000</v>
      </c>
      <c r="H7" s="40">
        <v>192000</v>
      </c>
      <c r="I7" s="50">
        <f>Table68[[#This Row],[Total Value]]-Table68[[#This Row],[Received]]</f>
        <v>0</v>
      </c>
      <c r="J7" s="9" t="str">
        <f t="shared" si="0"/>
        <v>✅ Paid</v>
      </c>
    </row>
    <row r="8" spans="1:10">
      <c r="A8" s="36">
        <v>45853</v>
      </c>
      <c r="B8" s="39" t="s">
        <v>2</v>
      </c>
      <c r="C8" s="39" t="s">
        <v>318</v>
      </c>
      <c r="D8" s="39" t="s">
        <v>122</v>
      </c>
      <c r="E8" s="1">
        <v>1</v>
      </c>
      <c r="F8" s="40">
        <v>32000</v>
      </c>
      <c r="G8" s="50">
        <f>Table68[[#This Row],[Rate /Trips]]*Table68[[#This Row],[Trips]]</f>
        <v>32000</v>
      </c>
      <c r="H8" s="40">
        <v>32000</v>
      </c>
      <c r="I8" s="50">
        <f>Table68[[#This Row],[Total Value]]-Table68[[#This Row],[Received]]</f>
        <v>0</v>
      </c>
      <c r="J8" s="9" t="str">
        <f t="shared" si="0"/>
        <v>✅ Paid</v>
      </c>
    </row>
    <row r="9" spans="1:10">
      <c r="A9" s="36">
        <v>45853</v>
      </c>
      <c r="B9" s="39" t="s">
        <v>2</v>
      </c>
      <c r="C9" s="39" t="s">
        <v>107</v>
      </c>
      <c r="D9" s="39" t="s">
        <v>160</v>
      </c>
      <c r="E9" s="1">
        <v>1</v>
      </c>
      <c r="F9" s="40">
        <v>25000</v>
      </c>
      <c r="G9" s="50">
        <f>Table68[[#This Row],[Rate /Trips]]*Table68[[#This Row],[Trips]]</f>
        <v>25000</v>
      </c>
      <c r="H9" s="40">
        <v>25000</v>
      </c>
      <c r="I9" s="50">
        <f>Table68[[#This Row],[Total Value]]-Table68[[#This Row],[Received]]</f>
        <v>0</v>
      </c>
      <c r="J9" s="9" t="str">
        <f t="shared" si="0"/>
        <v>✅ Paid</v>
      </c>
    </row>
    <row r="10" spans="1:10">
      <c r="A10" s="57"/>
      <c r="B10" s="55"/>
      <c r="C10" s="55"/>
      <c r="D10" s="55"/>
      <c r="E10" s="55"/>
      <c r="F10" s="60"/>
      <c r="G10" s="60"/>
      <c r="H10" s="60"/>
      <c r="I10" s="60"/>
      <c r="J10" s="9"/>
    </row>
    <row r="11" spans="1:10">
      <c r="A11" s="36"/>
      <c r="B11" s="39"/>
      <c r="C11" s="39"/>
      <c r="D11" s="39"/>
      <c r="E11" s="1"/>
      <c r="F11" s="40"/>
      <c r="G11" s="50"/>
      <c r="H11" s="40"/>
      <c r="I11" s="50"/>
      <c r="J11" s="9"/>
    </row>
    <row r="12" spans="1:10">
      <c r="A12" s="36"/>
      <c r="B12" s="39"/>
      <c r="C12" s="39"/>
      <c r="D12" s="39"/>
      <c r="E12" s="1"/>
      <c r="F12" s="40"/>
      <c r="G12" s="50"/>
      <c r="H12" s="40"/>
      <c r="I12" s="50"/>
      <c r="J12" s="9"/>
    </row>
    <row r="13" spans="1:10">
      <c r="A13" s="36"/>
      <c r="B13" s="39"/>
      <c r="C13" s="39"/>
      <c r="D13" s="39"/>
      <c r="E13" s="1"/>
      <c r="F13" s="40"/>
      <c r="G13" s="50"/>
      <c r="H13" s="40"/>
      <c r="I13" s="50"/>
      <c r="J13" s="9"/>
    </row>
    <row r="14" spans="1:10">
      <c r="A14" s="36"/>
      <c r="B14" s="39"/>
      <c r="C14" s="39"/>
      <c r="D14" s="39"/>
      <c r="E14" s="1"/>
      <c r="F14" s="40"/>
      <c r="G14" s="50"/>
      <c r="H14" s="40"/>
      <c r="I14" s="50"/>
      <c r="J14" s="9"/>
    </row>
    <row r="15" spans="1:10">
      <c r="A15" s="36"/>
      <c r="B15" s="39"/>
      <c r="C15" s="39"/>
      <c r="D15" s="39"/>
      <c r="E15" s="39"/>
      <c r="F15" s="40"/>
      <c r="G15" s="50"/>
      <c r="H15" s="40"/>
      <c r="I15" s="50"/>
      <c r="J15" s="9"/>
    </row>
    <row r="16" spans="1:10">
      <c r="A16" s="4"/>
      <c r="B16" s="1"/>
      <c r="C16" s="1"/>
      <c r="D16" s="1"/>
      <c r="E16" s="1"/>
      <c r="F16" s="2"/>
      <c r="G16" s="5"/>
      <c r="H16" s="2"/>
      <c r="I16" s="5"/>
      <c r="J16" s="9"/>
    </row>
    <row r="17" spans="1:9" ht="21">
      <c r="D17" s="13"/>
      <c r="E17" s="14" t="s">
        <v>78</v>
      </c>
      <c r="F17" s="15"/>
      <c r="G17" s="16" t="s">
        <v>289</v>
      </c>
      <c r="H17" s="16" t="s">
        <v>291</v>
      </c>
      <c r="I17" s="16" t="s">
        <v>61</v>
      </c>
    </row>
    <row r="18" spans="1:9" ht="21">
      <c r="D18" s="17" t="s">
        <v>292</v>
      </c>
      <c r="E18" s="18">
        <f>SUM(E4:E16)</f>
        <v>11</v>
      </c>
      <c r="F18" s="19"/>
      <c r="G18" s="20">
        <f>SUM(G4:G16)</f>
        <v>343000</v>
      </c>
      <c r="H18" s="20">
        <f>SUM(H4:H16)</f>
        <v>343000</v>
      </c>
      <c r="I18" s="20">
        <f>SUM(I4:I16)</f>
        <v>0</v>
      </c>
    </row>
    <row r="19" spans="1:9" ht="45" customHeight="1">
      <c r="A19" s="66" t="s">
        <v>295</v>
      </c>
      <c r="B19" s="66"/>
      <c r="C19" s="66"/>
      <c r="D19" s="21"/>
      <c r="E19" s="21"/>
      <c r="F19" s="21"/>
      <c r="G19" s="21"/>
      <c r="H19" s="21"/>
      <c r="I19" s="21"/>
    </row>
  </sheetData>
  <mergeCells count="3">
    <mergeCell ref="A1:J1"/>
    <mergeCell ref="A2:J2"/>
    <mergeCell ref="A19:C19"/>
  </mergeCells>
  <conditionalFormatting sqref="J4:J9">
    <cfRule type="containsText" dxfId="63" priority="9" operator="containsText" text="✅">
      <formula>NOT(ISERROR(SEARCH("✅",J4)))</formula>
    </cfRule>
    <cfRule type="containsText" dxfId="62" priority="10" operator="containsText" text="ℹ️">
      <formula>NOT(ISERROR(SEARCH("ℹ️",J4)))</formula>
    </cfRule>
    <cfRule type="containsText" dxfId="61" priority="11" operator="containsText" text="⚠️">
      <formula>NOT(ISERROR(SEARCH("⚠️",J4)))</formula>
    </cfRule>
    <cfRule type="containsText" dxfId="60" priority="12" operator="containsText" text="🚨">
      <formula>NOT(ISERROR(SEARCH("🚨",J4)))</formula>
    </cfRule>
  </conditionalFormatting>
  <conditionalFormatting sqref="J10:J19">
    <cfRule type="containsText" dxfId="59" priority="13" operator="containsText" text="✅">
      <formula>NOT(ISERROR(SEARCH("✅",J10)))</formula>
    </cfRule>
    <cfRule type="containsText" dxfId="58" priority="14" operator="containsText" text="ℹ️">
      <formula>NOT(ISERROR(SEARCH("ℹ️",J10)))</formula>
    </cfRule>
    <cfRule type="containsText" dxfId="57" priority="15" operator="containsText" text="⚠️">
      <formula>NOT(ISERROR(SEARCH("⚠️",J10)))</formula>
    </cfRule>
    <cfRule type="containsText" dxfId="56" priority="16" operator="containsText" text="🚨">
      <formula>NOT(ISERROR(SEARCH("🚨",J10)))</formula>
    </cfRule>
  </conditionalFormatting>
  <conditionalFormatting sqref="L33:L34">
    <cfRule type="containsText" dxfId="55" priority="1" operator="containsText" text="✅">
      <formula>NOT(ISERROR(SEARCH("✅",L33)))</formula>
    </cfRule>
    <cfRule type="containsText" dxfId="54" priority="2" operator="containsText" text="ℹ️">
      <formula>NOT(ISERROR(SEARCH("ℹ️",L33)))</formula>
    </cfRule>
    <cfRule type="containsText" dxfId="53" priority="3" operator="containsText" text="⚠️">
      <formula>NOT(ISERROR(SEARCH("⚠️",L33)))</formula>
    </cfRule>
    <cfRule type="containsText" dxfId="52" priority="4" operator="containsText" text="🚨">
      <formula>NOT(ISERROR(SEARCH("🚨",L33)))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62B2-E8F9-DA4E-8BFC-787433BE8767}">
  <sheetPr codeName="Sheet8"/>
  <dimension ref="A1:J23"/>
  <sheetViews>
    <sheetView zoomScale="109" workbookViewId="0">
      <selection activeCell="C4" sqref="C4:C10"/>
    </sheetView>
  </sheetViews>
  <sheetFormatPr baseColWidth="10" defaultColWidth="11.5" defaultRowHeight="15"/>
  <cols>
    <col min="1" max="1" width="22.33203125" bestFit="1" customWidth="1"/>
    <col min="2" max="2" width="21.83203125" bestFit="1" customWidth="1"/>
    <col min="3" max="3" width="26" bestFit="1" customWidth="1"/>
    <col min="4" max="4" width="19.6640625" bestFit="1" customWidth="1"/>
    <col min="5" max="5" width="13.1640625" bestFit="1" customWidth="1"/>
    <col min="6" max="6" width="15.33203125" bestFit="1" customWidth="1"/>
    <col min="7" max="8" width="18" bestFit="1" customWidth="1"/>
    <col min="9" max="9" width="16.6640625" bestFit="1" customWidth="1"/>
    <col min="10" max="10" width="43.33203125" bestFit="1" customWidth="1"/>
  </cols>
  <sheetData>
    <row r="1" spans="1:10" ht="29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322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294</v>
      </c>
    </row>
    <row r="4" spans="1:10">
      <c r="A4" s="56">
        <v>45874</v>
      </c>
      <c r="B4" s="46" t="s">
        <v>2</v>
      </c>
      <c r="C4" s="46" t="s">
        <v>327</v>
      </c>
      <c r="D4" s="46" t="s">
        <v>3</v>
      </c>
      <c r="E4" s="46">
        <v>1</v>
      </c>
      <c r="F4" s="59">
        <v>30000</v>
      </c>
      <c r="G4" s="63">
        <f>Table689[[#This Row],[Rate /Trips]]*Table689[[#This Row],[Trips]]</f>
        <v>30000</v>
      </c>
      <c r="H4" s="59">
        <v>30000</v>
      </c>
      <c r="I4" s="63">
        <f>Table689[[#This Row],[Total Value]]-Table689[[#This Row],[Received]]</f>
        <v>0</v>
      </c>
      <c r="J4" s="9" t="str">
        <f t="shared" ref="J4:J10" si="0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>
      <c r="A5" s="36">
        <v>45875</v>
      </c>
      <c r="B5" s="39" t="s">
        <v>330</v>
      </c>
      <c r="C5" s="39" t="s">
        <v>318</v>
      </c>
      <c r="D5" s="39" t="s">
        <v>122</v>
      </c>
      <c r="E5" s="39">
        <v>1</v>
      </c>
      <c r="F5" s="40">
        <v>32000</v>
      </c>
      <c r="G5" s="50">
        <f>Table689[[#This Row],[Rate /Trips]]*Table689[[#This Row],[Trips]]</f>
        <v>32000</v>
      </c>
      <c r="H5" s="40">
        <v>32000</v>
      </c>
      <c r="I5" s="50">
        <f>Table689[[#This Row],[Total Value]]-Table689[[#This Row],[Received]]</f>
        <v>0</v>
      </c>
      <c r="J5" s="9" t="str">
        <f t="shared" si="0"/>
        <v>✅ Paid</v>
      </c>
    </row>
    <row r="6" spans="1:10">
      <c r="A6" s="36">
        <v>45877</v>
      </c>
      <c r="B6" s="39" t="s">
        <v>2</v>
      </c>
      <c r="C6" s="39" t="s">
        <v>328</v>
      </c>
      <c r="D6" s="39" t="s">
        <v>329</v>
      </c>
      <c r="E6" s="39">
        <v>1</v>
      </c>
      <c r="F6" s="40">
        <v>30000</v>
      </c>
      <c r="G6" s="50">
        <f>Table689[[#This Row],[Rate /Trips]]*Table689[[#This Row],[Trips]]</f>
        <v>30000</v>
      </c>
      <c r="H6" s="40">
        <v>30000</v>
      </c>
      <c r="I6" s="50">
        <f>Table689[[#This Row],[Total Value]]-Table689[[#This Row],[Received]]</f>
        <v>0</v>
      </c>
      <c r="J6" s="9" t="str">
        <f t="shared" si="0"/>
        <v>✅ Paid</v>
      </c>
    </row>
    <row r="7" spans="1:10">
      <c r="A7" s="36">
        <v>45878</v>
      </c>
      <c r="B7" s="39" t="s">
        <v>2</v>
      </c>
      <c r="C7" s="39" t="s">
        <v>23</v>
      </c>
      <c r="D7" s="39" t="s">
        <v>3</v>
      </c>
      <c r="E7" s="39">
        <v>1</v>
      </c>
      <c r="F7" s="40">
        <v>30000</v>
      </c>
      <c r="G7" s="50">
        <f>Table689[[#This Row],[Rate /Trips]]*Table689[[#This Row],[Trips]]</f>
        <v>30000</v>
      </c>
      <c r="H7" s="40">
        <v>30000</v>
      </c>
      <c r="I7" s="50">
        <f>Table689[[#This Row],[Total Value]]-Table689[[#This Row],[Received]]</f>
        <v>0</v>
      </c>
      <c r="J7" s="9" t="str">
        <f t="shared" si="0"/>
        <v>✅ Paid</v>
      </c>
    </row>
    <row r="8" spans="1:10">
      <c r="A8" s="36">
        <v>45879</v>
      </c>
      <c r="B8" s="39" t="s">
        <v>2</v>
      </c>
      <c r="C8" s="39" t="s">
        <v>332</v>
      </c>
      <c r="D8" s="39" t="s">
        <v>331</v>
      </c>
      <c r="E8" s="39">
        <v>1</v>
      </c>
      <c r="F8" s="40">
        <v>22000</v>
      </c>
      <c r="G8" s="50">
        <f>Table689[[#This Row],[Rate /Trips]]*Table689[[#This Row],[Trips]]</f>
        <v>22000</v>
      </c>
      <c r="H8" s="40">
        <v>22000</v>
      </c>
      <c r="I8" s="50">
        <f>Table689[[#This Row],[Total Value]]-Table689[[#This Row],[Received]]</f>
        <v>0</v>
      </c>
      <c r="J8" s="9" t="str">
        <f t="shared" si="0"/>
        <v>✅ Paid</v>
      </c>
    </row>
    <row r="9" spans="1:10">
      <c r="A9" s="36">
        <v>45883</v>
      </c>
      <c r="B9" s="39" t="s">
        <v>2</v>
      </c>
      <c r="C9" s="39" t="s">
        <v>23</v>
      </c>
      <c r="D9" s="39" t="s">
        <v>201</v>
      </c>
      <c r="E9" s="39">
        <v>1</v>
      </c>
      <c r="F9" s="40">
        <v>30000</v>
      </c>
      <c r="G9" s="50">
        <f>Table689[[#This Row],[Rate /Trips]]*Table689[[#This Row],[Trips]]</f>
        <v>30000</v>
      </c>
      <c r="H9" s="40">
        <v>11600</v>
      </c>
      <c r="I9" s="50">
        <f>Table689[[#This Row],[Total Value]]-Table689[[#This Row],[Received]]</f>
        <v>18400</v>
      </c>
      <c r="J9" s="9" t="str">
        <f t="shared" si="0"/>
        <v>🚨 URGENT: Preet Bhaiya owes ₹18400</v>
      </c>
    </row>
    <row r="10" spans="1:10">
      <c r="A10" s="36">
        <v>45892</v>
      </c>
      <c r="B10" s="39" t="s">
        <v>2</v>
      </c>
      <c r="C10" s="39" t="s">
        <v>107</v>
      </c>
      <c r="D10" s="39" t="s">
        <v>160</v>
      </c>
      <c r="E10" s="39">
        <v>1</v>
      </c>
      <c r="F10" s="40">
        <v>32000</v>
      </c>
      <c r="G10" s="50">
        <f>Table689[[#This Row],[Rate /Trips]]*Table689[[#This Row],[Trips]]</f>
        <v>32000</v>
      </c>
      <c r="H10" s="40">
        <v>32000</v>
      </c>
      <c r="I10" s="50">
        <f>Table689[[#This Row],[Total Value]]-Table689[[#This Row],[Received]]</f>
        <v>0</v>
      </c>
      <c r="J10" s="9" t="str">
        <f t="shared" si="0"/>
        <v>✅ Paid</v>
      </c>
    </row>
    <row r="11" spans="1:10">
      <c r="A11" s="57"/>
      <c r="B11" s="55"/>
      <c r="C11" s="55"/>
      <c r="D11" s="55"/>
      <c r="E11" s="55"/>
      <c r="F11" s="60"/>
      <c r="G11" s="60"/>
      <c r="H11" s="60"/>
      <c r="I11" s="60"/>
      <c r="J11" s="9"/>
    </row>
    <row r="12" spans="1:10">
      <c r="A12" s="36"/>
      <c r="B12" s="39"/>
      <c r="C12" s="39"/>
      <c r="D12" s="39"/>
      <c r="E12" s="39"/>
      <c r="F12" s="40"/>
      <c r="G12" s="50"/>
      <c r="H12" s="40"/>
      <c r="I12" s="50"/>
      <c r="J12" s="9"/>
    </row>
    <row r="13" spans="1:10">
      <c r="A13" s="36"/>
      <c r="B13" s="39"/>
      <c r="C13" s="39"/>
      <c r="D13" s="39"/>
      <c r="E13" s="39"/>
      <c r="F13" s="40"/>
      <c r="G13" s="50"/>
      <c r="H13" s="40"/>
      <c r="I13" s="50"/>
      <c r="J13" s="9"/>
    </row>
    <row r="14" spans="1:10">
      <c r="A14" s="36"/>
      <c r="B14" s="39"/>
      <c r="C14" s="39"/>
      <c r="D14" s="39"/>
      <c r="E14" s="39"/>
      <c r="F14" s="40"/>
      <c r="G14" s="50"/>
      <c r="H14" s="40"/>
      <c r="I14" s="50"/>
      <c r="J14" s="9"/>
    </row>
    <row r="15" spans="1:10">
      <c r="A15" s="36"/>
      <c r="B15" s="39"/>
      <c r="C15" s="39"/>
      <c r="D15" s="39"/>
      <c r="E15" s="39"/>
      <c r="F15" s="40"/>
      <c r="G15" s="50"/>
      <c r="H15" s="40"/>
      <c r="I15" s="50"/>
      <c r="J15" s="9"/>
    </row>
    <row r="16" spans="1:10">
      <c r="A16" s="36"/>
      <c r="B16" s="39"/>
      <c r="C16" s="39"/>
      <c r="D16" s="39"/>
      <c r="E16" s="39"/>
      <c r="F16" s="40"/>
      <c r="G16" s="50"/>
      <c r="H16" s="40"/>
      <c r="I16" s="50"/>
      <c r="J16" s="9"/>
    </row>
    <row r="17" spans="1:10">
      <c r="A17" s="36"/>
      <c r="B17" s="39"/>
      <c r="C17" s="39"/>
      <c r="D17" s="39"/>
      <c r="E17" s="39"/>
      <c r="F17" s="40"/>
      <c r="G17" s="50"/>
      <c r="H17" s="40"/>
      <c r="I17" s="50"/>
      <c r="J17" s="9"/>
    </row>
    <row r="18" spans="1:10">
      <c r="A18" s="36"/>
      <c r="B18" s="39"/>
      <c r="C18" s="39"/>
      <c r="D18" s="39"/>
      <c r="E18" s="39"/>
      <c r="F18" s="40"/>
      <c r="G18" s="50"/>
      <c r="H18" s="40"/>
      <c r="I18" s="50"/>
      <c r="J18" s="9"/>
    </row>
    <row r="19" spans="1:10">
      <c r="A19" s="36"/>
      <c r="B19" s="39"/>
      <c r="C19" s="39"/>
      <c r="D19" s="39"/>
      <c r="E19" s="39"/>
      <c r="F19" s="40"/>
      <c r="G19" s="50"/>
      <c r="H19" s="40"/>
      <c r="I19" s="50"/>
      <c r="J19" s="9"/>
    </row>
    <row r="20" spans="1:10">
      <c r="A20" s="36"/>
      <c r="B20" s="39"/>
      <c r="C20" s="39"/>
      <c r="D20" s="39"/>
      <c r="E20" s="39"/>
      <c r="F20" s="40"/>
      <c r="G20" s="50"/>
      <c r="H20" s="40"/>
      <c r="I20" s="50"/>
      <c r="J20" s="9"/>
    </row>
    <row r="21" spans="1:10" ht="21">
      <c r="D21" s="13"/>
      <c r="E21" s="14" t="s">
        <v>78</v>
      </c>
      <c r="F21" s="15"/>
      <c r="G21" s="16" t="s">
        <v>289</v>
      </c>
      <c r="H21" s="16" t="s">
        <v>291</v>
      </c>
      <c r="I21" s="16" t="s">
        <v>61</v>
      </c>
    </row>
    <row r="22" spans="1:10" ht="21">
      <c r="D22" s="17" t="s">
        <v>292</v>
      </c>
      <c r="E22" s="18">
        <f>SUM(E4:E20)</f>
        <v>7</v>
      </c>
      <c r="F22" s="19"/>
      <c r="G22" s="20">
        <f>SUM(G4:G20)</f>
        <v>206000</v>
      </c>
      <c r="H22" s="20">
        <f>SUM(H4:H20)</f>
        <v>187600</v>
      </c>
      <c r="I22" s="20">
        <f>SUM(I4:I20)</f>
        <v>18400</v>
      </c>
    </row>
    <row r="23" spans="1:10" ht="45" customHeight="1">
      <c r="A23" s="66" t="s">
        <v>295</v>
      </c>
      <c r="B23" s="66"/>
      <c r="C23" s="66"/>
      <c r="D23" s="21"/>
      <c r="E23" s="21"/>
      <c r="F23" s="21"/>
      <c r="G23" s="21"/>
      <c r="H23" s="21"/>
      <c r="I23" s="21"/>
    </row>
  </sheetData>
  <mergeCells count="3">
    <mergeCell ref="A1:J1"/>
    <mergeCell ref="A2:J2"/>
    <mergeCell ref="A23:C23"/>
  </mergeCells>
  <conditionalFormatting sqref="J4:J23">
    <cfRule type="containsText" dxfId="51" priority="5" operator="containsText" text="✅">
      <formula>NOT(ISERROR(SEARCH("✅",J4)))</formula>
    </cfRule>
    <cfRule type="containsText" dxfId="50" priority="6" operator="containsText" text="ℹ️">
      <formula>NOT(ISERROR(SEARCH("ℹ️",J4)))</formula>
    </cfRule>
    <cfRule type="containsText" dxfId="49" priority="7" operator="containsText" text="⚠️">
      <formula>NOT(ISERROR(SEARCH("⚠️",J4)))</formula>
    </cfRule>
    <cfRule type="containsText" dxfId="48" priority="8" operator="containsText" text="🚨">
      <formula>NOT(ISERROR(SEARCH("🚨",J4)))</formula>
    </cfRule>
  </conditionalFormatting>
  <conditionalFormatting sqref="L37:L38">
    <cfRule type="containsText" dxfId="47" priority="1" operator="containsText" text="✅">
      <formula>NOT(ISERROR(SEARCH("✅",L37)))</formula>
    </cfRule>
    <cfRule type="containsText" dxfId="46" priority="2" operator="containsText" text="ℹ️">
      <formula>NOT(ISERROR(SEARCH("ℹ️",L37)))</formula>
    </cfRule>
    <cfRule type="containsText" dxfId="45" priority="3" operator="containsText" text="⚠️">
      <formula>NOT(ISERROR(SEARCH("⚠️",L37)))</formula>
    </cfRule>
    <cfRule type="containsText" dxfId="44" priority="4" operator="containsText" text="🚨">
      <formula>NOT(ISERROR(SEARCH("🚨",L37)))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690F-F7EE-1947-A3F3-5FF247A47B60}">
  <sheetPr codeName="Sheet9"/>
  <dimension ref="A1:J22"/>
  <sheetViews>
    <sheetView topLeftCell="A11" zoomScale="125" workbookViewId="0">
      <selection activeCell="C4" sqref="C4:C12"/>
    </sheetView>
  </sheetViews>
  <sheetFormatPr baseColWidth="10" defaultColWidth="11.5" defaultRowHeight="15"/>
  <cols>
    <col min="1" max="1" width="28.33203125" customWidth="1"/>
    <col min="2" max="2" width="21.83203125" bestFit="1" customWidth="1"/>
    <col min="3" max="3" width="22" bestFit="1" customWidth="1"/>
    <col min="4" max="4" width="24" bestFit="1" customWidth="1"/>
    <col min="5" max="5" width="13.1640625" bestFit="1" customWidth="1"/>
    <col min="6" max="6" width="15.33203125" bestFit="1" customWidth="1"/>
    <col min="7" max="8" width="18" bestFit="1" customWidth="1"/>
    <col min="9" max="9" width="18.5" bestFit="1" customWidth="1"/>
    <col min="10" max="10" width="43.33203125" bestFit="1" customWidth="1"/>
  </cols>
  <sheetData>
    <row r="1" spans="1:10" ht="29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333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294</v>
      </c>
    </row>
    <row r="4" spans="1:10">
      <c r="A4" s="56">
        <v>45915</v>
      </c>
      <c r="B4" s="46" t="s">
        <v>2</v>
      </c>
      <c r="C4" s="46" t="s">
        <v>84</v>
      </c>
      <c r="D4" s="46" t="s">
        <v>338</v>
      </c>
      <c r="E4" s="51">
        <v>1</v>
      </c>
      <c r="F4" s="59">
        <v>31000</v>
      </c>
      <c r="G4" s="63">
        <f>Table68910[[#This Row],[Rate /Trips]]*Table68910[[#This Row],[Trips]]</f>
        <v>31000</v>
      </c>
      <c r="H4" s="59">
        <v>31000</v>
      </c>
      <c r="I4" s="63">
        <f>Table68910[[#This Row],[Total Value]]-Table68910[[#This Row],[Received]]</f>
        <v>0</v>
      </c>
      <c r="J4" s="9" t="str">
        <f t="shared" ref="J4:J12" si="0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>
      <c r="A5" s="36">
        <v>45921</v>
      </c>
      <c r="B5" s="39" t="s">
        <v>2</v>
      </c>
      <c r="C5" s="39" t="s">
        <v>337</v>
      </c>
      <c r="D5" s="39" t="s">
        <v>17</v>
      </c>
      <c r="E5" s="1">
        <v>1</v>
      </c>
      <c r="F5" s="40">
        <v>30000</v>
      </c>
      <c r="G5" s="50">
        <f>Table68910[[#This Row],[Rate /Trips]]*Table68910[[#This Row],[Trips]]</f>
        <v>30000</v>
      </c>
      <c r="H5" s="40">
        <v>30000</v>
      </c>
      <c r="I5" s="50">
        <f>Table68910[[#This Row],[Total Value]]-Table68910[[#This Row],[Received]]</f>
        <v>0</v>
      </c>
      <c r="J5" s="9" t="str">
        <f t="shared" si="0"/>
        <v>✅ Paid</v>
      </c>
    </row>
    <row r="6" spans="1:10">
      <c r="A6" s="36">
        <v>45921</v>
      </c>
      <c r="B6" s="39" t="s">
        <v>2</v>
      </c>
      <c r="C6" s="39" t="s">
        <v>107</v>
      </c>
      <c r="D6" s="39" t="s">
        <v>160</v>
      </c>
      <c r="E6" s="1">
        <v>1</v>
      </c>
      <c r="F6" s="40">
        <v>31000</v>
      </c>
      <c r="G6" s="50">
        <f>Table68910[[#This Row],[Rate /Trips]]*Table68910[[#This Row],[Trips]]</f>
        <v>31000</v>
      </c>
      <c r="H6" s="40">
        <v>5000</v>
      </c>
      <c r="I6" s="50">
        <f>Table68910[[#This Row],[Total Value]]-Table68910[[#This Row],[Received]]</f>
        <v>26000</v>
      </c>
      <c r="J6" s="9" t="str">
        <f t="shared" si="0"/>
        <v>🚨 URGENT: Sau Thekedar owes ₹26000</v>
      </c>
    </row>
    <row r="7" spans="1:10">
      <c r="A7" s="36">
        <v>45922</v>
      </c>
      <c r="B7" s="39" t="s">
        <v>251</v>
      </c>
      <c r="C7" s="39" t="s">
        <v>199</v>
      </c>
      <c r="D7" s="39" t="s">
        <v>344</v>
      </c>
      <c r="E7" s="1">
        <v>1</v>
      </c>
      <c r="F7" s="40">
        <v>29000</v>
      </c>
      <c r="G7" s="50">
        <f>Table68910[[#This Row],[Rate /Trips]]*Table68910[[#This Row],[Trips]]</f>
        <v>29000</v>
      </c>
      <c r="H7" s="40"/>
      <c r="I7" s="50">
        <f>Table68910[[#This Row],[Total Value]]-Table68910[[#This Row],[Received]]</f>
        <v>29000</v>
      </c>
      <c r="J7" s="9" t="str">
        <f t="shared" si="0"/>
        <v>🚨 URGENT: Abhay Adgurwar owes ₹29000</v>
      </c>
    </row>
    <row r="8" spans="1:10">
      <c r="A8" s="36">
        <v>45923</v>
      </c>
      <c r="B8" s="39" t="s">
        <v>2</v>
      </c>
      <c r="C8" s="39" t="s">
        <v>43</v>
      </c>
      <c r="D8" s="39" t="s">
        <v>162</v>
      </c>
      <c r="E8" s="1">
        <v>1</v>
      </c>
      <c r="F8" s="40">
        <v>29000</v>
      </c>
      <c r="G8" s="50">
        <f>Table68910[[#This Row],[Rate /Trips]]*Table68910[[#This Row],[Trips]]</f>
        <v>29000</v>
      </c>
      <c r="H8" s="40">
        <v>29000</v>
      </c>
      <c r="I8" s="50">
        <f>Table68910[[#This Row],[Total Value]]-Table68910[[#This Row],[Received]]</f>
        <v>0</v>
      </c>
      <c r="J8" s="9" t="str">
        <f t="shared" si="0"/>
        <v>✅ Paid</v>
      </c>
    </row>
    <row r="9" spans="1:10">
      <c r="A9" s="36">
        <v>45923</v>
      </c>
      <c r="B9" s="39" t="s">
        <v>2</v>
      </c>
      <c r="C9" s="39" t="s">
        <v>340</v>
      </c>
      <c r="D9" s="39" t="s">
        <v>54</v>
      </c>
      <c r="E9" s="1">
        <v>1</v>
      </c>
      <c r="F9" s="40">
        <v>29000</v>
      </c>
      <c r="G9" s="50">
        <f>Table68910[[#This Row],[Rate /Trips]]*Table68910[[#This Row],[Trips]]</f>
        <v>29000</v>
      </c>
      <c r="H9" s="40">
        <v>29000</v>
      </c>
      <c r="I9" s="50">
        <f>Table68910[[#This Row],[Total Value]]-Table68910[[#This Row],[Received]]</f>
        <v>0</v>
      </c>
      <c r="J9" s="9" t="str">
        <f t="shared" si="0"/>
        <v>✅ Paid</v>
      </c>
    </row>
    <row r="10" spans="1:10">
      <c r="A10" s="36">
        <v>45923</v>
      </c>
      <c r="B10" s="39" t="s">
        <v>251</v>
      </c>
      <c r="C10" s="39" t="s">
        <v>43</v>
      </c>
      <c r="D10" s="39" t="s">
        <v>339</v>
      </c>
      <c r="E10" s="1">
        <v>2</v>
      </c>
      <c r="F10" s="40">
        <v>29000</v>
      </c>
      <c r="G10" s="50">
        <f>Table68910[[#This Row],[Rate /Trips]]*Table68910[[#This Row],[Trips]]</f>
        <v>58000</v>
      </c>
      <c r="H10" s="40">
        <v>58000</v>
      </c>
      <c r="I10" s="50">
        <f>Table68910[[#This Row],[Total Value]]-Table68910[[#This Row],[Received]]</f>
        <v>0</v>
      </c>
      <c r="J10" s="9" t="str">
        <f t="shared" si="0"/>
        <v>✅ Paid</v>
      </c>
    </row>
    <row r="11" spans="1:10">
      <c r="A11" s="36">
        <v>45924</v>
      </c>
      <c r="B11" s="39" t="s">
        <v>212</v>
      </c>
      <c r="C11" s="39" t="s">
        <v>342</v>
      </c>
      <c r="D11" s="39" t="s">
        <v>137</v>
      </c>
      <c r="E11" s="1">
        <v>2</v>
      </c>
      <c r="F11" s="40">
        <v>29000</v>
      </c>
      <c r="G11" s="50">
        <f>Table68910[[#This Row],[Rate /Trips]]*Table68910[[#This Row],[Trips]]</f>
        <v>58000</v>
      </c>
      <c r="H11" s="40">
        <v>58000</v>
      </c>
      <c r="I11" s="50">
        <f>Table68910[[#This Row],[Total Value]]-Table68910[[#This Row],[Received]]</f>
        <v>0</v>
      </c>
      <c r="J11" s="9" t="str">
        <f t="shared" si="0"/>
        <v>✅ Paid</v>
      </c>
    </row>
    <row r="12" spans="1:10">
      <c r="A12" s="36">
        <v>45924</v>
      </c>
      <c r="B12" s="39" t="s">
        <v>58</v>
      </c>
      <c r="C12" s="39" t="s">
        <v>343</v>
      </c>
      <c r="D12" s="39" t="s">
        <v>341</v>
      </c>
      <c r="E12" s="1">
        <v>1</v>
      </c>
      <c r="F12" s="40">
        <v>29000</v>
      </c>
      <c r="G12" s="50">
        <f>Table68910[[#This Row],[Rate /Trips]]*Table68910[[#This Row],[Trips]]</f>
        <v>29000</v>
      </c>
      <c r="H12" s="40">
        <v>29000</v>
      </c>
      <c r="I12" s="50">
        <f>Table68910[[#This Row],[Total Value]]-Table68910[[#This Row],[Received]]</f>
        <v>0</v>
      </c>
      <c r="J12" s="9" t="str">
        <f t="shared" si="0"/>
        <v>✅ Paid</v>
      </c>
    </row>
    <row r="13" spans="1:10">
      <c r="A13" s="57"/>
      <c r="B13" s="55"/>
      <c r="C13" s="55"/>
      <c r="D13" s="55"/>
      <c r="E13" s="55"/>
      <c r="F13" s="60"/>
      <c r="G13" s="60"/>
      <c r="H13" s="60"/>
      <c r="I13" s="60"/>
      <c r="J13" s="9"/>
    </row>
    <row r="14" spans="1:10">
      <c r="A14" s="36"/>
      <c r="B14" s="39"/>
      <c r="C14" s="39"/>
      <c r="D14" s="39"/>
      <c r="E14" s="1"/>
      <c r="F14" s="40"/>
      <c r="G14" s="50"/>
      <c r="H14" s="40"/>
      <c r="I14" s="50"/>
      <c r="J14" s="9"/>
    </row>
    <row r="15" spans="1:10">
      <c r="A15" s="36"/>
      <c r="B15" s="39"/>
      <c r="C15" s="39"/>
      <c r="D15" s="39"/>
      <c r="E15" s="1"/>
      <c r="F15" s="40"/>
      <c r="G15" s="50"/>
      <c r="H15" s="40"/>
      <c r="I15" s="50"/>
      <c r="J15" s="9"/>
    </row>
    <row r="16" spans="1:10">
      <c r="A16" s="36"/>
      <c r="B16" s="39"/>
      <c r="C16" s="39"/>
      <c r="D16" s="39"/>
      <c r="E16" s="1"/>
      <c r="F16" s="40"/>
      <c r="G16" s="50"/>
      <c r="H16" s="40"/>
      <c r="I16" s="50"/>
      <c r="J16" s="9"/>
    </row>
    <row r="17" spans="1:10">
      <c r="A17" s="36"/>
      <c r="B17" s="39"/>
      <c r="C17" s="39"/>
      <c r="D17" s="39"/>
      <c r="E17" s="1"/>
      <c r="F17" s="40"/>
      <c r="G17" s="50"/>
      <c r="H17" s="40"/>
      <c r="I17" s="50"/>
      <c r="J17" s="9"/>
    </row>
    <row r="18" spans="1:10">
      <c r="A18" s="36"/>
      <c r="B18" s="1"/>
      <c r="C18" s="1"/>
      <c r="D18" s="1"/>
      <c r="E18" s="1"/>
      <c r="F18" s="2"/>
      <c r="G18" s="5"/>
      <c r="H18" s="2"/>
      <c r="I18" s="5"/>
      <c r="J18" s="9"/>
    </row>
    <row r="19" spans="1:10">
      <c r="A19" s="4"/>
      <c r="B19" s="1"/>
      <c r="C19" s="1"/>
      <c r="D19" s="1"/>
      <c r="E19" s="1"/>
      <c r="F19" s="2"/>
      <c r="G19" s="5"/>
      <c r="H19" s="2"/>
      <c r="I19" s="5"/>
      <c r="J19" s="9"/>
    </row>
    <row r="20" spans="1:10" ht="21">
      <c r="D20" s="13"/>
      <c r="E20" s="14" t="s">
        <v>78</v>
      </c>
      <c r="F20" s="15"/>
      <c r="G20" s="16" t="s">
        <v>289</v>
      </c>
      <c r="H20" s="16" t="s">
        <v>291</v>
      </c>
      <c r="I20" s="16" t="s">
        <v>61</v>
      </c>
    </row>
    <row r="21" spans="1:10" ht="21">
      <c r="D21" s="17" t="s">
        <v>292</v>
      </c>
      <c r="E21" s="18">
        <f>SUM(E4:E19)</f>
        <v>11</v>
      </c>
      <c r="F21" s="19"/>
      <c r="G21" s="20">
        <f>SUM(G4:G19)</f>
        <v>324000</v>
      </c>
      <c r="H21" s="20">
        <f>SUM(H4:H19)</f>
        <v>269000</v>
      </c>
      <c r="I21" s="20">
        <f>SUM(I4:I19)</f>
        <v>55000</v>
      </c>
    </row>
    <row r="22" spans="1:10" ht="45" customHeight="1">
      <c r="A22" s="66" t="s">
        <v>295</v>
      </c>
      <c r="B22" s="66"/>
      <c r="C22" s="66"/>
      <c r="D22" s="21"/>
      <c r="E22" s="21"/>
      <c r="F22" s="21"/>
      <c r="G22" s="21"/>
      <c r="H22" s="21"/>
      <c r="I22" s="21"/>
    </row>
  </sheetData>
  <mergeCells count="3">
    <mergeCell ref="A1:J1"/>
    <mergeCell ref="A2:J2"/>
    <mergeCell ref="A22:C22"/>
  </mergeCells>
  <conditionalFormatting sqref="J4:J22">
    <cfRule type="containsText" dxfId="43" priority="5" operator="containsText" text="✅">
      <formula>NOT(ISERROR(SEARCH("✅",J4)))</formula>
    </cfRule>
    <cfRule type="containsText" dxfId="42" priority="6" operator="containsText" text="ℹ️">
      <formula>NOT(ISERROR(SEARCH("ℹ️",J4)))</formula>
    </cfRule>
    <cfRule type="containsText" dxfId="41" priority="7" operator="containsText" text="⚠️">
      <formula>NOT(ISERROR(SEARCH("⚠️",J4)))</formula>
    </cfRule>
    <cfRule type="containsText" dxfId="40" priority="8" operator="containsText" text="🚨">
      <formula>NOT(ISERROR(SEARCH("🚨",J4)))</formula>
    </cfRule>
  </conditionalFormatting>
  <conditionalFormatting sqref="L36:L37">
    <cfRule type="containsText" dxfId="39" priority="1" operator="containsText" text="✅">
      <formula>NOT(ISERROR(SEARCH("✅",L36)))</formula>
    </cfRule>
    <cfRule type="containsText" dxfId="38" priority="2" operator="containsText" text="ℹ️">
      <formula>NOT(ISERROR(SEARCH("ℹ️",L36)))</formula>
    </cfRule>
    <cfRule type="containsText" dxfId="37" priority="3" operator="containsText" text="⚠️">
      <formula>NOT(ISERROR(SEARCH("⚠️",L36)))</formula>
    </cfRule>
    <cfRule type="containsText" dxfId="36" priority="4" operator="containsText" text="🚨">
      <formula>NOT(ISERROR(SEARCH("🚨",L36)))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4760-E09B-4043-9C9E-E720A1C141DB}">
  <sheetPr codeName="Sheet10">
    <pageSetUpPr fitToPage="1"/>
  </sheetPr>
  <dimension ref="A1:J42"/>
  <sheetViews>
    <sheetView zoomScale="131" workbookViewId="0">
      <pane ySplit="3" topLeftCell="A41" activePane="bottomLeft" state="frozen"/>
      <selection pane="bottomLeft" activeCell="C5" sqref="C5:C28"/>
    </sheetView>
  </sheetViews>
  <sheetFormatPr baseColWidth="10" defaultColWidth="11.5" defaultRowHeight="15"/>
  <cols>
    <col min="1" max="1" width="28.33203125" customWidth="1"/>
    <col min="2" max="2" width="13.33203125" bestFit="1" customWidth="1"/>
    <col min="3" max="3" width="22" bestFit="1" customWidth="1"/>
    <col min="4" max="4" width="25.1640625" customWidth="1"/>
    <col min="5" max="5" width="13.1640625" bestFit="1" customWidth="1"/>
    <col min="6" max="6" width="15.33203125" bestFit="1" customWidth="1"/>
    <col min="7" max="8" width="18" bestFit="1" customWidth="1"/>
    <col min="9" max="9" width="18.5" bestFit="1" customWidth="1"/>
    <col min="10" max="10" width="43.33203125" bestFit="1" customWidth="1"/>
  </cols>
  <sheetData>
    <row r="1" spans="1:10" ht="29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334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294</v>
      </c>
    </row>
    <row r="4" spans="1:10">
      <c r="A4" s="56">
        <v>45934</v>
      </c>
      <c r="B4" s="46" t="s">
        <v>58</v>
      </c>
      <c r="C4" s="46" t="s">
        <v>346</v>
      </c>
      <c r="D4" s="46" t="s">
        <v>345</v>
      </c>
      <c r="E4" s="51">
        <v>1</v>
      </c>
      <c r="F4" s="59">
        <v>39000</v>
      </c>
      <c r="G4" s="63">
        <f>Table6891011[[#This Row],[Rate /Trips]]*Table6891011[[#This Row],[Trips]]</f>
        <v>39000</v>
      </c>
      <c r="H4" s="59">
        <v>39000</v>
      </c>
      <c r="I4" s="63">
        <f>Table6891011[[#This Row],[Total Value]]-Table6891011[[#This Row],[Received]]</f>
        <v>0</v>
      </c>
      <c r="J4" s="9" t="str">
        <f t="shared" ref="J4:J28" si="0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>
      <c r="A5" s="36">
        <v>45939</v>
      </c>
      <c r="B5" s="39" t="s">
        <v>58</v>
      </c>
      <c r="C5" s="39" t="s">
        <v>347</v>
      </c>
      <c r="D5" s="39" t="s">
        <v>19</v>
      </c>
      <c r="E5" s="1">
        <v>1</v>
      </c>
      <c r="F5" s="40">
        <v>30000</v>
      </c>
      <c r="G5" s="50">
        <f>Table6891011[[#This Row],[Rate /Trips]]*Table6891011[[#This Row],[Trips]]</f>
        <v>30000</v>
      </c>
      <c r="H5" s="40">
        <v>30000</v>
      </c>
      <c r="I5" s="50">
        <f>Table6891011[[#This Row],[Total Value]]-Table6891011[[#This Row],[Received]]</f>
        <v>0</v>
      </c>
      <c r="J5" s="9" t="str">
        <f t="shared" si="0"/>
        <v>✅ Paid</v>
      </c>
    </row>
    <row r="6" spans="1:10">
      <c r="A6" s="36">
        <v>45940</v>
      </c>
      <c r="B6" s="39" t="s">
        <v>58</v>
      </c>
      <c r="C6" s="39" t="s">
        <v>84</v>
      </c>
      <c r="D6" s="39" t="s">
        <v>10</v>
      </c>
      <c r="E6" s="1">
        <v>1</v>
      </c>
      <c r="F6" s="40">
        <v>31000</v>
      </c>
      <c r="G6" s="50">
        <f>Table6891011[[#This Row],[Rate /Trips]]*Table6891011[[#This Row],[Trips]]</f>
        <v>31000</v>
      </c>
      <c r="H6" s="40">
        <v>31000</v>
      </c>
      <c r="I6" s="50">
        <f>Table6891011[[#This Row],[Total Value]]-Table6891011[[#This Row],[Received]]</f>
        <v>0</v>
      </c>
      <c r="J6" s="9" t="str">
        <f t="shared" si="0"/>
        <v>✅ Paid</v>
      </c>
    </row>
    <row r="7" spans="1:10">
      <c r="A7" s="36">
        <v>45940</v>
      </c>
      <c r="B7" s="39" t="s">
        <v>58</v>
      </c>
      <c r="C7" s="39" t="s">
        <v>92</v>
      </c>
      <c r="D7" s="39" t="s">
        <v>348</v>
      </c>
      <c r="E7" s="1">
        <v>1</v>
      </c>
      <c r="F7" s="40">
        <v>31000</v>
      </c>
      <c r="G7" s="50">
        <f>Table6891011[[#This Row],[Rate /Trips]]*Table6891011[[#This Row],[Trips]]</f>
        <v>31000</v>
      </c>
      <c r="H7" s="40">
        <v>31000</v>
      </c>
      <c r="I7" s="50">
        <f>Table6891011[[#This Row],[Total Value]]-Table6891011[[#This Row],[Received]]</f>
        <v>0</v>
      </c>
      <c r="J7" s="9" t="str">
        <f t="shared" si="0"/>
        <v>✅ Paid</v>
      </c>
    </row>
    <row r="8" spans="1:10">
      <c r="A8" s="36">
        <v>45941</v>
      </c>
      <c r="B8" s="39" t="s">
        <v>45</v>
      </c>
      <c r="C8" s="39" t="s">
        <v>92</v>
      </c>
      <c r="D8" s="39" t="s">
        <v>348</v>
      </c>
      <c r="E8" s="1">
        <v>1</v>
      </c>
      <c r="F8" s="40">
        <v>31000</v>
      </c>
      <c r="G8" s="50">
        <f>Table6891011[[#This Row],[Rate /Trips]]*Table6891011[[#This Row],[Trips]]</f>
        <v>31000</v>
      </c>
      <c r="H8" s="40">
        <v>31000</v>
      </c>
      <c r="I8" s="50">
        <f>Table6891011[[#This Row],[Total Value]]-Table6891011[[#This Row],[Received]]</f>
        <v>0</v>
      </c>
      <c r="J8" s="9" t="str">
        <f t="shared" si="0"/>
        <v>✅ Paid</v>
      </c>
    </row>
    <row r="9" spans="1:10">
      <c r="A9" s="36">
        <v>45941</v>
      </c>
      <c r="B9" s="39" t="s">
        <v>45</v>
      </c>
      <c r="C9" s="39" t="s">
        <v>30</v>
      </c>
      <c r="D9" s="39" t="s">
        <v>350</v>
      </c>
      <c r="E9" s="1">
        <v>1</v>
      </c>
      <c r="F9" s="40">
        <v>30000</v>
      </c>
      <c r="G9" s="50">
        <f>Table6891011[[#This Row],[Rate /Trips]]*Table6891011[[#This Row],[Trips]]</f>
        <v>30000</v>
      </c>
      <c r="H9" s="40">
        <v>30000</v>
      </c>
      <c r="I9" s="50">
        <f>Table6891011[[#This Row],[Total Value]]-Table6891011[[#This Row],[Received]]</f>
        <v>0</v>
      </c>
      <c r="J9" s="9" t="str">
        <f t="shared" si="0"/>
        <v>✅ Paid</v>
      </c>
    </row>
    <row r="10" spans="1:10">
      <c r="A10" s="36">
        <v>45941</v>
      </c>
      <c r="B10" s="39" t="s">
        <v>58</v>
      </c>
      <c r="C10" s="39" t="s">
        <v>349</v>
      </c>
      <c r="D10" s="39" t="s">
        <v>145</v>
      </c>
      <c r="E10" s="1">
        <v>1</v>
      </c>
      <c r="F10" s="40">
        <v>32000</v>
      </c>
      <c r="G10" s="50">
        <f>Table6891011[[#This Row],[Rate /Trips]]*Table6891011[[#This Row],[Trips]]</f>
        <v>32000</v>
      </c>
      <c r="H10" s="40">
        <v>32000</v>
      </c>
      <c r="I10" s="50">
        <f>Table6891011[[#This Row],[Total Value]]-Table6891011[[#This Row],[Received]]</f>
        <v>0</v>
      </c>
      <c r="J10" s="9" t="str">
        <f t="shared" si="0"/>
        <v>✅ Paid</v>
      </c>
    </row>
    <row r="11" spans="1:10">
      <c r="A11" s="36">
        <v>45942</v>
      </c>
      <c r="B11" s="39" t="s">
        <v>58</v>
      </c>
      <c r="C11" s="39" t="s">
        <v>30</v>
      </c>
      <c r="D11" s="39" t="s">
        <v>351</v>
      </c>
      <c r="E11" s="1">
        <v>3</v>
      </c>
      <c r="F11" s="40">
        <v>31000</v>
      </c>
      <c r="G11" s="50">
        <f>Table6891011[[#This Row],[Rate /Trips]]*Table6891011[[#This Row],[Trips]]</f>
        <v>93000</v>
      </c>
      <c r="H11" s="40">
        <v>93000</v>
      </c>
      <c r="I11" s="50">
        <f>Table6891011[[#This Row],[Total Value]]-Table6891011[[#This Row],[Received]]</f>
        <v>0</v>
      </c>
      <c r="J11" s="9" t="str">
        <f t="shared" si="0"/>
        <v>✅ Paid</v>
      </c>
    </row>
    <row r="12" spans="1:10">
      <c r="A12" s="36">
        <v>45942</v>
      </c>
      <c r="B12" s="39" t="s">
        <v>58</v>
      </c>
      <c r="C12" s="39" t="s">
        <v>43</v>
      </c>
      <c r="D12" s="39" t="s">
        <v>54</v>
      </c>
      <c r="E12" s="1">
        <v>1</v>
      </c>
      <c r="F12" s="40">
        <v>30000</v>
      </c>
      <c r="G12" s="50">
        <f>Table6891011[[#This Row],[Rate /Trips]]*Table6891011[[#This Row],[Trips]]</f>
        <v>30000</v>
      </c>
      <c r="H12" s="40">
        <v>30000</v>
      </c>
      <c r="I12" s="50">
        <f>Table6891011[[#This Row],[Total Value]]-Table6891011[[#This Row],[Received]]</f>
        <v>0</v>
      </c>
      <c r="J12" s="9" t="str">
        <f t="shared" si="0"/>
        <v>✅ Paid</v>
      </c>
    </row>
    <row r="13" spans="1:10">
      <c r="A13" s="36">
        <v>45942</v>
      </c>
      <c r="B13" s="39" t="s">
        <v>58</v>
      </c>
      <c r="C13" s="39" t="s">
        <v>92</v>
      </c>
      <c r="D13" s="39" t="s">
        <v>137</v>
      </c>
      <c r="E13" s="1">
        <v>1</v>
      </c>
      <c r="F13" s="40">
        <v>31000</v>
      </c>
      <c r="G13" s="50">
        <f>Table6891011[[#This Row],[Rate /Trips]]*Table6891011[[#This Row],[Trips]]</f>
        <v>31000</v>
      </c>
      <c r="H13" s="40">
        <v>31000</v>
      </c>
      <c r="I13" s="50">
        <f>Table6891011[[#This Row],[Total Value]]-Table6891011[[#This Row],[Received]]</f>
        <v>0</v>
      </c>
      <c r="J13" s="9" t="str">
        <f t="shared" si="0"/>
        <v>✅ Paid</v>
      </c>
    </row>
    <row r="14" spans="1:10">
      <c r="A14" s="36">
        <v>45943</v>
      </c>
      <c r="B14" s="39" t="s">
        <v>58</v>
      </c>
      <c r="C14" s="39" t="s">
        <v>43</v>
      </c>
      <c r="D14" s="39" t="s">
        <v>137</v>
      </c>
      <c r="E14" s="1">
        <v>1</v>
      </c>
      <c r="F14" s="40">
        <v>31000</v>
      </c>
      <c r="G14" s="50">
        <f>Table6891011[[#This Row],[Rate /Trips]]*Table6891011[[#This Row],[Trips]]</f>
        <v>31000</v>
      </c>
      <c r="H14" s="40">
        <v>31000</v>
      </c>
      <c r="I14" s="50">
        <f>Table6891011[[#This Row],[Total Value]]-Table6891011[[#This Row],[Received]]</f>
        <v>0</v>
      </c>
      <c r="J14" s="9" t="str">
        <f t="shared" si="0"/>
        <v>✅ Paid</v>
      </c>
    </row>
    <row r="15" spans="1:10">
      <c r="A15" s="36">
        <v>45943</v>
      </c>
      <c r="B15" s="39" t="s">
        <v>58</v>
      </c>
      <c r="C15" s="39" t="s">
        <v>43</v>
      </c>
      <c r="D15" s="39" t="s">
        <v>352</v>
      </c>
      <c r="E15" s="1">
        <v>1</v>
      </c>
      <c r="F15" s="40">
        <v>32000</v>
      </c>
      <c r="G15" s="50">
        <f>Table6891011[[#This Row],[Rate /Trips]]*Table6891011[[#This Row],[Trips]]</f>
        <v>32000</v>
      </c>
      <c r="H15" s="40">
        <v>32000</v>
      </c>
      <c r="I15" s="50">
        <f>Table6891011[[#This Row],[Total Value]]-Table6891011[[#This Row],[Received]]</f>
        <v>0</v>
      </c>
      <c r="J15" s="9" t="str">
        <f t="shared" si="0"/>
        <v>✅ Paid</v>
      </c>
    </row>
    <row r="16" spans="1:10">
      <c r="A16" s="36">
        <v>45943</v>
      </c>
      <c r="B16" s="39" t="s">
        <v>58</v>
      </c>
      <c r="C16" s="39" t="s">
        <v>353</v>
      </c>
      <c r="D16" s="39" t="s">
        <v>354</v>
      </c>
      <c r="E16" s="1">
        <v>1</v>
      </c>
      <c r="F16" s="40">
        <v>30000</v>
      </c>
      <c r="G16" s="50">
        <f>Table6891011[[#This Row],[Rate /Trips]]*Table6891011[[#This Row],[Trips]]</f>
        <v>30000</v>
      </c>
      <c r="H16" s="40">
        <v>30000</v>
      </c>
      <c r="I16" s="50">
        <f>Table6891011[[#This Row],[Total Value]]-Table6891011[[#This Row],[Received]]</f>
        <v>0</v>
      </c>
      <c r="J16" s="9" t="str">
        <f t="shared" si="0"/>
        <v>✅ Paid</v>
      </c>
    </row>
    <row r="17" spans="1:10">
      <c r="A17" s="36">
        <v>45943</v>
      </c>
      <c r="B17" s="39" t="s">
        <v>58</v>
      </c>
      <c r="C17" s="39" t="s">
        <v>355</v>
      </c>
      <c r="D17" s="39" t="s">
        <v>19</v>
      </c>
      <c r="E17" s="1">
        <v>1</v>
      </c>
      <c r="F17" s="40">
        <v>32000</v>
      </c>
      <c r="G17" s="50">
        <f>Table6891011[[#This Row],[Rate /Trips]]*Table6891011[[#This Row],[Trips]]</f>
        <v>32000</v>
      </c>
      <c r="H17" s="40"/>
      <c r="I17" s="50">
        <f>Table6891011[[#This Row],[Total Value]]-Table6891011[[#This Row],[Received]]</f>
        <v>32000</v>
      </c>
      <c r="J17" s="9" t="str">
        <f t="shared" si="0"/>
        <v>🚨 URGENT: Aalam Bhaiya owes ₹32000</v>
      </c>
    </row>
    <row r="18" spans="1:10">
      <c r="A18" s="36">
        <v>45943</v>
      </c>
      <c r="B18" s="39" t="s">
        <v>58</v>
      </c>
      <c r="C18" s="39" t="s">
        <v>361</v>
      </c>
      <c r="D18" s="39" t="s">
        <v>17</v>
      </c>
      <c r="E18" s="1">
        <v>1</v>
      </c>
      <c r="F18" s="40">
        <v>35000</v>
      </c>
      <c r="G18" s="50">
        <f>Table6891011[[#This Row],[Rate /Trips]]*Table6891011[[#This Row],[Trips]]</f>
        <v>35000</v>
      </c>
      <c r="H18" s="40">
        <v>35000</v>
      </c>
      <c r="I18" s="50">
        <f>Table6891011[[#This Row],[Total Value]]-Table6891011[[#This Row],[Received]]</f>
        <v>0</v>
      </c>
      <c r="J18" s="9" t="str">
        <f t="shared" si="0"/>
        <v>✅ Paid</v>
      </c>
    </row>
    <row r="19" spans="1:10">
      <c r="A19" s="36">
        <v>45945</v>
      </c>
      <c r="B19" s="39" t="s">
        <v>45</v>
      </c>
      <c r="C19" s="39" t="s">
        <v>84</v>
      </c>
      <c r="D19" s="39" t="s">
        <v>358</v>
      </c>
      <c r="E19" s="1">
        <v>1</v>
      </c>
      <c r="F19" s="40">
        <v>30000</v>
      </c>
      <c r="G19" s="50">
        <f>Table6891011[[#This Row],[Rate /Trips]]*Table6891011[[#This Row],[Trips]]</f>
        <v>30000</v>
      </c>
      <c r="H19" s="40">
        <v>30000</v>
      </c>
      <c r="I19" s="50">
        <f>Table6891011[[#This Row],[Total Value]]-Table6891011[[#This Row],[Received]]</f>
        <v>0</v>
      </c>
      <c r="J19" s="9" t="str">
        <f t="shared" si="0"/>
        <v>✅ Paid</v>
      </c>
    </row>
    <row r="20" spans="1:10">
      <c r="A20" s="36">
        <v>45945</v>
      </c>
      <c r="B20" s="39" t="s">
        <v>82</v>
      </c>
      <c r="C20" s="39" t="s">
        <v>359</v>
      </c>
      <c r="D20" s="39" t="s">
        <v>356</v>
      </c>
      <c r="E20" s="1">
        <v>1</v>
      </c>
      <c r="F20" s="40">
        <v>32000</v>
      </c>
      <c r="G20" s="50">
        <f>Table6891011[[#This Row],[Rate /Trips]]*Table6891011[[#This Row],[Trips]]</f>
        <v>32000</v>
      </c>
      <c r="H20" s="40">
        <v>32000</v>
      </c>
      <c r="I20" s="50">
        <f>Table6891011[[#This Row],[Total Value]]-Table6891011[[#This Row],[Received]]</f>
        <v>0</v>
      </c>
      <c r="J20" s="9" t="str">
        <f t="shared" si="0"/>
        <v>✅ Paid</v>
      </c>
    </row>
    <row r="21" spans="1:10">
      <c r="A21" s="36">
        <v>45945</v>
      </c>
      <c r="B21" s="39" t="s">
        <v>58</v>
      </c>
      <c r="C21" s="39" t="s">
        <v>361</v>
      </c>
      <c r="D21" s="39" t="s">
        <v>17</v>
      </c>
      <c r="E21" s="1">
        <v>3</v>
      </c>
      <c r="F21" s="40">
        <v>35000</v>
      </c>
      <c r="G21" s="50">
        <f>Table6891011[[#This Row],[Rate /Trips]]*Table6891011[[#This Row],[Trips]]</f>
        <v>105000</v>
      </c>
      <c r="H21" s="40">
        <v>105000</v>
      </c>
      <c r="I21" s="50">
        <f>Table6891011[[#This Row],[Total Value]]-Table6891011[[#This Row],[Received]]</f>
        <v>0</v>
      </c>
      <c r="J21" s="9" t="str">
        <f t="shared" si="0"/>
        <v>✅ Paid</v>
      </c>
    </row>
    <row r="22" spans="1:10">
      <c r="A22" s="36">
        <v>45945</v>
      </c>
      <c r="B22" s="39" t="s">
        <v>58</v>
      </c>
      <c r="C22" s="39" t="s">
        <v>355</v>
      </c>
      <c r="D22" s="39" t="s">
        <v>357</v>
      </c>
      <c r="E22" s="1">
        <v>1</v>
      </c>
      <c r="F22" s="40">
        <v>32000</v>
      </c>
      <c r="G22" s="50">
        <f>Table6891011[[#This Row],[Rate /Trips]]*Table6891011[[#This Row],[Trips]]</f>
        <v>32000</v>
      </c>
      <c r="H22" s="40"/>
      <c r="I22" s="50">
        <f>Table6891011[[#This Row],[Total Value]]-Table6891011[[#This Row],[Received]]</f>
        <v>32000</v>
      </c>
      <c r="J22" s="9" t="str">
        <f t="shared" si="0"/>
        <v>🚨 URGENT: Aalam Bhaiya owes ₹32000</v>
      </c>
    </row>
    <row r="23" spans="1:10">
      <c r="A23" s="36">
        <v>45945</v>
      </c>
      <c r="B23" s="39" t="s">
        <v>45</v>
      </c>
      <c r="C23" s="39" t="s">
        <v>361</v>
      </c>
      <c r="D23" s="39" t="s">
        <v>17</v>
      </c>
      <c r="E23" s="1">
        <v>1</v>
      </c>
      <c r="F23" s="40">
        <v>35000</v>
      </c>
      <c r="G23" s="50">
        <f>Table6891011[[#This Row],[Rate /Trips]]*Table6891011[[#This Row],[Trips]]</f>
        <v>35000</v>
      </c>
      <c r="H23" s="40">
        <v>35000</v>
      </c>
      <c r="I23" s="50">
        <f>Table6891011[[#This Row],[Total Value]]-Table6891011[[#This Row],[Received]]</f>
        <v>0</v>
      </c>
      <c r="J23" s="9" t="str">
        <f t="shared" si="0"/>
        <v>✅ Paid</v>
      </c>
    </row>
    <row r="24" spans="1:10">
      <c r="A24" s="36">
        <v>45945</v>
      </c>
      <c r="B24" s="39" t="s">
        <v>45</v>
      </c>
      <c r="C24" s="39" t="s">
        <v>360</v>
      </c>
      <c r="D24" s="39" t="s">
        <v>13</v>
      </c>
      <c r="E24" s="1">
        <v>1</v>
      </c>
      <c r="F24" s="40">
        <v>30000</v>
      </c>
      <c r="G24" s="50">
        <f>Table6891011[[#This Row],[Rate /Trips]]*Table6891011[[#This Row],[Trips]]</f>
        <v>30000</v>
      </c>
      <c r="H24" s="40"/>
      <c r="I24" s="50">
        <f>Table6891011[[#This Row],[Total Value]]-Table6891011[[#This Row],[Received]]</f>
        <v>30000</v>
      </c>
      <c r="J24" s="9" t="str">
        <f t="shared" si="0"/>
        <v>🚨 URGENT: Pramod Mistri ( Raj Dad ) owes ₹30000</v>
      </c>
    </row>
    <row r="25" spans="1:10">
      <c r="A25" s="36">
        <v>45947</v>
      </c>
      <c r="B25" s="39" t="s">
        <v>362</v>
      </c>
      <c r="C25" s="39" t="s">
        <v>199</v>
      </c>
      <c r="D25" s="39" t="s">
        <v>137</v>
      </c>
      <c r="E25" s="1">
        <v>4</v>
      </c>
      <c r="F25" s="40">
        <v>30000</v>
      </c>
      <c r="G25" s="50">
        <f>Table6891011[[#This Row],[Rate /Trips]]*Table6891011[[#This Row],[Trips]]</f>
        <v>120000</v>
      </c>
      <c r="H25" s="40">
        <v>120000</v>
      </c>
      <c r="I25" s="50">
        <f>Table6891011[[#This Row],[Total Value]]-Table6891011[[#This Row],[Received]]</f>
        <v>0</v>
      </c>
      <c r="J25" s="9" t="str">
        <f t="shared" si="0"/>
        <v>✅ Paid</v>
      </c>
    </row>
    <row r="26" spans="1:10">
      <c r="A26" s="36">
        <v>45947</v>
      </c>
      <c r="B26" s="39" t="s">
        <v>58</v>
      </c>
      <c r="C26" s="39" t="s">
        <v>361</v>
      </c>
      <c r="D26" s="39" t="s">
        <v>17</v>
      </c>
      <c r="E26" s="1">
        <v>1</v>
      </c>
      <c r="F26" s="40">
        <v>35000</v>
      </c>
      <c r="G26" s="50">
        <f>Table6891011[[#This Row],[Rate /Trips]]*Table6891011[[#This Row],[Trips]]</f>
        <v>35000</v>
      </c>
      <c r="H26" s="40">
        <v>35000</v>
      </c>
      <c r="I26" s="50">
        <f>Table6891011[[#This Row],[Total Value]]-Table6891011[[#This Row],[Received]]</f>
        <v>0</v>
      </c>
      <c r="J26" s="9" t="str">
        <f t="shared" si="0"/>
        <v>✅ Paid</v>
      </c>
    </row>
    <row r="27" spans="1:10">
      <c r="A27" s="36">
        <v>45950</v>
      </c>
      <c r="B27" s="39" t="s">
        <v>58</v>
      </c>
      <c r="C27" s="39" t="s">
        <v>21</v>
      </c>
      <c r="D27" s="39" t="s">
        <v>10</v>
      </c>
      <c r="E27" s="1">
        <v>1</v>
      </c>
      <c r="F27" s="40">
        <v>29000</v>
      </c>
      <c r="G27" s="50">
        <f>Table6891011[[#This Row],[Rate /Trips]]*Table6891011[[#This Row],[Trips]]</f>
        <v>29000</v>
      </c>
      <c r="H27" s="40">
        <v>28000</v>
      </c>
      <c r="I27" s="50">
        <f>Table6891011[[#This Row],[Total Value]]-Table6891011[[#This Row],[Received]]</f>
        <v>1000</v>
      </c>
      <c r="J27" s="9" t="str">
        <f t="shared" si="0"/>
        <v>ℹ️ Malli - ₹1000 pending</v>
      </c>
    </row>
    <row r="28" spans="1:10">
      <c r="A28" s="36">
        <v>45955</v>
      </c>
      <c r="B28" s="39" t="s">
        <v>58</v>
      </c>
      <c r="C28" s="39" t="s">
        <v>365</v>
      </c>
      <c r="D28" s="39" t="s">
        <v>145</v>
      </c>
      <c r="E28" s="1">
        <v>1</v>
      </c>
      <c r="F28" s="40">
        <v>28000</v>
      </c>
      <c r="G28" s="50">
        <f>Table6891011[[#This Row],[Rate /Trips]]*Table6891011[[#This Row],[Trips]]</f>
        <v>28000</v>
      </c>
      <c r="H28" s="40">
        <v>25000</v>
      </c>
      <c r="I28" s="50">
        <f>Table6891011[[#This Row],[Total Value]]-Table6891011[[#This Row],[Received]]</f>
        <v>3000</v>
      </c>
      <c r="J28" s="9" t="str">
        <f t="shared" si="0"/>
        <v>ℹ️ Naryana Uncle Friend - ₹3000 pending</v>
      </c>
    </row>
    <row r="29" spans="1:10">
      <c r="A29" s="57"/>
      <c r="B29" s="55"/>
      <c r="C29" s="55"/>
      <c r="D29" s="55"/>
      <c r="E29" s="55"/>
      <c r="F29" s="60"/>
      <c r="G29" s="60"/>
      <c r="H29" s="60"/>
      <c r="I29" s="60"/>
      <c r="J29" s="9"/>
    </row>
    <row r="30" spans="1:10">
      <c r="A30" s="36"/>
      <c r="B30" s="39"/>
      <c r="C30" s="39"/>
      <c r="D30" s="39"/>
      <c r="E30" s="1"/>
      <c r="F30" s="40"/>
      <c r="G30" s="50"/>
      <c r="H30" s="40"/>
      <c r="I30" s="50"/>
      <c r="J30" s="9"/>
    </row>
    <row r="31" spans="1:10">
      <c r="A31" s="36"/>
      <c r="B31" s="39"/>
      <c r="C31" s="39"/>
      <c r="D31" s="39"/>
      <c r="E31" s="1"/>
      <c r="F31" s="40"/>
      <c r="G31" s="50"/>
      <c r="H31" s="40"/>
      <c r="I31" s="50"/>
      <c r="J31" s="9"/>
    </row>
    <row r="32" spans="1:10">
      <c r="A32" s="36"/>
      <c r="B32" s="39"/>
      <c r="C32" s="39"/>
      <c r="D32" s="39"/>
      <c r="E32" s="1"/>
      <c r="F32" s="40"/>
      <c r="G32" s="50"/>
      <c r="H32" s="40"/>
      <c r="I32" s="50"/>
      <c r="J32" s="9"/>
    </row>
    <row r="33" spans="1:10">
      <c r="A33" s="36"/>
      <c r="B33" s="39"/>
      <c r="C33" s="39"/>
      <c r="D33" s="39"/>
      <c r="E33" s="1"/>
      <c r="F33" s="40"/>
      <c r="G33" s="50"/>
      <c r="H33" s="40"/>
      <c r="I33" s="50"/>
      <c r="J33" s="9"/>
    </row>
    <row r="34" spans="1:10">
      <c r="A34" s="36"/>
      <c r="B34" s="39"/>
      <c r="C34" s="39"/>
      <c r="D34" s="39"/>
      <c r="E34" s="1"/>
      <c r="F34" s="40"/>
      <c r="G34" s="50"/>
      <c r="H34" s="40"/>
      <c r="I34" s="50"/>
      <c r="J34" s="9"/>
    </row>
    <row r="35" spans="1:10">
      <c r="A35" s="36"/>
      <c r="B35" s="39"/>
      <c r="C35" s="39"/>
      <c r="D35" s="39"/>
      <c r="E35" s="1"/>
      <c r="F35" s="40"/>
      <c r="G35" s="50"/>
      <c r="H35" s="40"/>
      <c r="I35" s="50"/>
      <c r="J35" s="9"/>
    </row>
    <row r="36" spans="1:10">
      <c r="A36" s="36"/>
      <c r="B36" s="39"/>
      <c r="C36" s="39"/>
      <c r="D36" s="39"/>
      <c r="E36" s="1"/>
      <c r="F36" s="40"/>
      <c r="G36" s="50"/>
      <c r="H36" s="40"/>
      <c r="I36" s="50"/>
      <c r="J36" s="9"/>
    </row>
    <row r="37" spans="1:10">
      <c r="A37" s="36"/>
      <c r="B37" s="39"/>
      <c r="C37" s="39"/>
      <c r="D37" s="39"/>
      <c r="E37" s="1"/>
      <c r="F37" s="40"/>
      <c r="G37" s="50"/>
      <c r="H37" s="40"/>
      <c r="I37" s="50"/>
      <c r="J37" s="9"/>
    </row>
    <row r="38" spans="1:10">
      <c r="A38" s="36"/>
      <c r="B38" s="39"/>
      <c r="C38" s="39"/>
      <c r="D38" s="39"/>
      <c r="E38" s="1"/>
      <c r="F38" s="40"/>
      <c r="G38" s="50"/>
      <c r="H38" s="40"/>
      <c r="I38" s="50"/>
      <c r="J38" s="9"/>
    </row>
    <row r="39" spans="1:10">
      <c r="A39" s="36"/>
      <c r="B39" s="39"/>
      <c r="C39" s="39"/>
      <c r="D39" s="39"/>
      <c r="E39" s="1"/>
      <c r="F39" s="40"/>
      <c r="G39" s="50"/>
      <c r="H39" s="40"/>
      <c r="I39" s="50"/>
      <c r="J39" s="9"/>
    </row>
    <row r="40" spans="1:10" ht="21">
      <c r="D40" s="13"/>
      <c r="E40" s="14" t="s">
        <v>78</v>
      </c>
      <c r="F40" s="15"/>
      <c r="G40" s="16" t="s">
        <v>289</v>
      </c>
      <c r="H40" s="16" t="s">
        <v>291</v>
      </c>
      <c r="I40" s="16" t="s">
        <v>61</v>
      </c>
    </row>
    <row r="41" spans="1:10" ht="21">
      <c r="D41" s="17" t="s">
        <v>292</v>
      </c>
      <c r="E41" s="18">
        <f>SUM(E4:E39)</f>
        <v>32</v>
      </c>
      <c r="F41" s="19"/>
      <c r="G41" s="20">
        <f>SUM(G4:G39)</f>
        <v>1014000</v>
      </c>
      <c r="H41" s="20">
        <f>SUM(H4:H39)</f>
        <v>916000</v>
      </c>
      <c r="I41" s="20">
        <f>SUM(I4:I39)</f>
        <v>98000</v>
      </c>
    </row>
    <row r="42" spans="1:10" ht="45" customHeight="1">
      <c r="A42" s="66" t="s">
        <v>295</v>
      </c>
      <c r="B42" s="66"/>
      <c r="C42" s="66"/>
      <c r="D42" s="21"/>
      <c r="E42" s="21"/>
      <c r="F42" s="21"/>
      <c r="G42" s="21"/>
      <c r="H42" s="21"/>
      <c r="I42" s="21"/>
    </row>
  </sheetData>
  <mergeCells count="3">
    <mergeCell ref="A1:J1"/>
    <mergeCell ref="A2:J2"/>
    <mergeCell ref="A42:C42"/>
  </mergeCells>
  <conditionalFormatting sqref="J4:J42">
    <cfRule type="containsText" dxfId="35" priority="5" operator="containsText" text="✅">
      <formula>NOT(ISERROR(SEARCH("✅",J4)))</formula>
    </cfRule>
    <cfRule type="containsText" dxfId="34" priority="6" operator="containsText" text="ℹ️">
      <formula>NOT(ISERROR(SEARCH("ℹ️",J4)))</formula>
    </cfRule>
    <cfRule type="containsText" dxfId="33" priority="7" operator="containsText" text="⚠️">
      <formula>NOT(ISERROR(SEARCH("⚠️",J4)))</formula>
    </cfRule>
    <cfRule type="containsText" dxfId="32" priority="8" operator="containsText" text="🚨">
      <formula>NOT(ISERROR(SEARCH("🚨",J4)))</formula>
    </cfRule>
  </conditionalFormatting>
  <conditionalFormatting sqref="L56:L57">
    <cfRule type="containsText" dxfId="31" priority="1" operator="containsText" text="✅">
      <formula>NOT(ISERROR(SEARCH("✅",L56)))</formula>
    </cfRule>
    <cfRule type="containsText" dxfId="30" priority="2" operator="containsText" text="ℹ️">
      <formula>NOT(ISERROR(SEARCH("ℹ️",L56)))</formula>
    </cfRule>
    <cfRule type="containsText" dxfId="29" priority="3" operator="containsText" text="⚠️">
      <formula>NOT(ISERROR(SEARCH("⚠️",L56)))</formula>
    </cfRule>
    <cfRule type="containsText" dxfId="28" priority="4" operator="containsText" text="🚨">
      <formula>NOT(ISERROR(SEARCH("🚨",L56)))</formula>
    </cfRule>
  </conditionalFormatting>
  <pageMargins left="0.7" right="0.7" top="0.75" bottom="0.75" header="0.3" footer="0.3"/>
  <pageSetup paperSize="9" scale="38" orientation="portrait" horizontalDpi="0" verticalDpi="0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2295-8F52-424E-8839-67FC99FDB4C2}">
  <sheetPr codeName="Sheet11">
    <pageSetUpPr fitToPage="1"/>
  </sheetPr>
  <dimension ref="A1:K82"/>
  <sheetViews>
    <sheetView zoomScale="125" workbookViewId="0">
      <selection activeCell="C4" sqref="C4:C52"/>
    </sheetView>
  </sheetViews>
  <sheetFormatPr baseColWidth="10" defaultColWidth="11.5" defaultRowHeight="15"/>
  <cols>
    <col min="1" max="1" width="28.33203125" customWidth="1"/>
    <col min="2" max="2" width="13.83203125" bestFit="1" customWidth="1"/>
    <col min="3" max="3" width="22" bestFit="1" customWidth="1"/>
    <col min="4" max="4" width="19.83203125" bestFit="1" customWidth="1"/>
    <col min="5" max="5" width="13.1640625" bestFit="1" customWidth="1"/>
    <col min="6" max="6" width="15.33203125" bestFit="1" customWidth="1"/>
    <col min="7" max="8" width="18" bestFit="1" customWidth="1"/>
    <col min="9" max="9" width="18.5" bestFit="1" customWidth="1"/>
    <col min="10" max="10" width="43.33203125" bestFit="1" customWidth="1"/>
  </cols>
  <sheetData>
    <row r="1" spans="1:11" ht="29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1">
      <c r="A2" s="65" t="s">
        <v>335</v>
      </c>
      <c r="B2" s="65"/>
      <c r="C2" s="65"/>
      <c r="D2" s="65"/>
      <c r="E2" s="65"/>
      <c r="F2" s="65"/>
      <c r="G2" s="65"/>
      <c r="H2" s="65"/>
      <c r="I2" s="65"/>
      <c r="J2" s="65"/>
    </row>
    <row r="3" spans="1:11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294</v>
      </c>
    </row>
    <row r="4" spans="1:11">
      <c r="A4" s="56">
        <v>45962</v>
      </c>
      <c r="B4" s="46" t="s">
        <v>58</v>
      </c>
      <c r="C4" s="46" t="s">
        <v>366</v>
      </c>
      <c r="D4" s="46" t="s">
        <v>367</v>
      </c>
      <c r="E4" s="51">
        <v>1</v>
      </c>
      <c r="F4" s="59">
        <v>40000</v>
      </c>
      <c r="G4" s="63">
        <f>Table689101112[[#This Row],[Rate /Trips]]*Table689101112[[#This Row],[Trips]]</f>
        <v>40000</v>
      </c>
      <c r="H4" s="59">
        <v>40000</v>
      </c>
      <c r="I4" s="63">
        <f>Table689101112[[#This Row],[Total Value]]-Table689101112[[#This Row],[Received]]</f>
        <v>0</v>
      </c>
      <c r="J4" s="9" t="str">
        <f t="shared" ref="J4:J35" si="0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1">
      <c r="A5" s="36">
        <v>45967</v>
      </c>
      <c r="B5" s="39" t="s">
        <v>2</v>
      </c>
      <c r="C5" s="39" t="s">
        <v>368</v>
      </c>
      <c r="D5" s="39" t="s">
        <v>345</v>
      </c>
      <c r="E5" s="1">
        <v>1</v>
      </c>
      <c r="F5" s="40">
        <v>34000</v>
      </c>
      <c r="G5" s="50">
        <f>Table689101112[[#This Row],[Rate /Trips]]*Table689101112[[#This Row],[Trips]]</f>
        <v>34000</v>
      </c>
      <c r="H5" s="40">
        <v>34000</v>
      </c>
      <c r="I5" s="50">
        <f>Table689101112[[#This Row],[Total Value]]-Table689101112[[#This Row],[Received]]</f>
        <v>0</v>
      </c>
      <c r="J5" s="9" t="str">
        <f t="shared" si="0"/>
        <v>✅ Paid</v>
      </c>
    </row>
    <row r="6" spans="1:11">
      <c r="A6" s="36">
        <v>45967</v>
      </c>
      <c r="B6" s="39" t="s">
        <v>58</v>
      </c>
      <c r="C6" s="39" t="s">
        <v>369</v>
      </c>
      <c r="D6" s="39" t="s">
        <v>345</v>
      </c>
      <c r="E6" s="1">
        <v>1</v>
      </c>
      <c r="F6" s="40">
        <v>34500</v>
      </c>
      <c r="G6" s="50">
        <f>Table689101112[[#This Row],[Rate /Trips]]*Table689101112[[#This Row],[Trips]]</f>
        <v>34500</v>
      </c>
      <c r="H6" s="40">
        <v>34500</v>
      </c>
      <c r="I6" s="50">
        <f>Table689101112[[#This Row],[Total Value]]-Table689101112[[#This Row],[Received]]</f>
        <v>0</v>
      </c>
      <c r="J6" s="9" t="str">
        <f t="shared" si="0"/>
        <v>✅ Paid</v>
      </c>
    </row>
    <row r="7" spans="1:11">
      <c r="A7" s="36">
        <v>45967</v>
      </c>
      <c r="B7" s="39" t="s">
        <v>2</v>
      </c>
      <c r="C7" s="39" t="s">
        <v>370</v>
      </c>
      <c r="D7" s="39" t="s">
        <v>10</v>
      </c>
      <c r="E7" s="1">
        <v>1</v>
      </c>
      <c r="F7" s="40">
        <v>27000</v>
      </c>
      <c r="G7" s="50">
        <f>Table689101112[[#This Row],[Rate /Trips]]*Table689101112[[#This Row],[Trips]]</f>
        <v>27000</v>
      </c>
      <c r="H7" s="40">
        <v>27000</v>
      </c>
      <c r="I7" s="50">
        <f>Table689101112[[#This Row],[Total Value]]-Table689101112[[#This Row],[Received]]</f>
        <v>0</v>
      </c>
      <c r="J7" s="9" t="str">
        <f t="shared" si="0"/>
        <v>✅ Paid</v>
      </c>
    </row>
    <row r="8" spans="1:11">
      <c r="A8" s="36">
        <v>45967</v>
      </c>
      <c r="B8" s="39" t="s">
        <v>58</v>
      </c>
      <c r="C8" s="39" t="s">
        <v>368</v>
      </c>
      <c r="D8" s="39" t="s">
        <v>371</v>
      </c>
      <c r="E8" s="1">
        <v>1</v>
      </c>
      <c r="F8" s="40">
        <v>34000</v>
      </c>
      <c r="G8" s="50">
        <f>Table689101112[[#This Row],[Rate /Trips]]*Table689101112[[#This Row],[Trips]]</f>
        <v>34000</v>
      </c>
      <c r="H8" s="40">
        <v>34000</v>
      </c>
      <c r="I8" s="50">
        <f>Table689101112[[#This Row],[Total Value]]-Table689101112[[#This Row],[Received]]</f>
        <v>0</v>
      </c>
      <c r="J8" s="9" t="str">
        <f t="shared" si="0"/>
        <v>✅ Paid</v>
      </c>
    </row>
    <row r="9" spans="1:11">
      <c r="A9" s="36">
        <v>45967</v>
      </c>
      <c r="B9" s="39" t="s">
        <v>212</v>
      </c>
      <c r="C9" s="39" t="s">
        <v>318</v>
      </c>
      <c r="D9" s="39" t="s">
        <v>122</v>
      </c>
      <c r="E9" s="1">
        <v>2</v>
      </c>
      <c r="F9" s="40">
        <v>30000</v>
      </c>
      <c r="G9" s="50">
        <f>Table689101112[[#This Row],[Rate /Trips]]*Table689101112[[#This Row],[Trips]]</f>
        <v>60000</v>
      </c>
      <c r="H9" s="40">
        <v>60000</v>
      </c>
      <c r="I9" s="50">
        <f>Table689101112[[#This Row],[Total Value]]-Table689101112[[#This Row],[Received]]</f>
        <v>0</v>
      </c>
      <c r="J9" s="9" t="str">
        <f t="shared" si="0"/>
        <v>✅ Paid</v>
      </c>
    </row>
    <row r="10" spans="1:11">
      <c r="A10" s="36">
        <v>45968</v>
      </c>
      <c r="B10" s="39" t="s">
        <v>58</v>
      </c>
      <c r="C10" s="39" t="s">
        <v>249</v>
      </c>
      <c r="D10" s="39" t="s">
        <v>345</v>
      </c>
      <c r="E10" s="1">
        <v>1</v>
      </c>
      <c r="F10" s="40">
        <v>35000</v>
      </c>
      <c r="G10" s="50">
        <f>Table689101112[[#This Row],[Rate /Trips]]*Table689101112[[#This Row],[Trips]]</f>
        <v>35000</v>
      </c>
      <c r="H10" s="40"/>
      <c r="I10" s="50">
        <f>Table689101112[[#This Row],[Total Value]]-Table689101112[[#This Row],[Received]]</f>
        <v>35000</v>
      </c>
      <c r="J10" s="9" t="str">
        <f t="shared" si="0"/>
        <v>🚨 URGENT: Guru owes ₹35000</v>
      </c>
    </row>
    <row r="11" spans="1:11">
      <c r="A11" s="36">
        <v>45969</v>
      </c>
      <c r="B11" s="39" t="s">
        <v>58</v>
      </c>
      <c r="C11" s="39" t="s">
        <v>249</v>
      </c>
      <c r="D11" s="39" t="s">
        <v>345</v>
      </c>
      <c r="E11" s="1">
        <v>1</v>
      </c>
      <c r="F11" s="40">
        <v>35000</v>
      </c>
      <c r="G11" s="50">
        <f>Table689101112[[#This Row],[Rate /Trips]]*Table689101112[[#This Row],[Trips]]</f>
        <v>35000</v>
      </c>
      <c r="H11" s="40"/>
      <c r="I11" s="50">
        <f>Table689101112[[#This Row],[Total Value]]-Table689101112[[#This Row],[Received]]</f>
        <v>35000</v>
      </c>
      <c r="J11" s="9" t="str">
        <f t="shared" si="0"/>
        <v>🚨 URGENT: Guru owes ₹35000</v>
      </c>
    </row>
    <row r="12" spans="1:11">
      <c r="A12" s="36">
        <v>45969</v>
      </c>
      <c r="B12" s="39" t="s">
        <v>58</v>
      </c>
      <c r="C12" s="39" t="s">
        <v>107</v>
      </c>
      <c r="D12" s="39" t="s">
        <v>160</v>
      </c>
      <c r="E12" s="1">
        <v>1</v>
      </c>
      <c r="F12" s="40">
        <v>28000</v>
      </c>
      <c r="G12" s="50">
        <f>Table689101112[[#This Row],[Rate /Trips]]*Table689101112[[#This Row],[Trips]]</f>
        <v>28000</v>
      </c>
      <c r="H12" s="40"/>
      <c r="I12" s="50">
        <f>Table689101112[[#This Row],[Total Value]]-Table689101112[[#This Row],[Received]]</f>
        <v>28000</v>
      </c>
      <c r="J12" s="9" t="str">
        <f t="shared" si="0"/>
        <v>🚨 URGENT: Sau Thekedar owes ₹28000</v>
      </c>
    </row>
    <row r="13" spans="1:11">
      <c r="A13" s="36">
        <v>45969</v>
      </c>
      <c r="B13" s="39" t="s">
        <v>58</v>
      </c>
      <c r="C13" s="39" t="s">
        <v>318</v>
      </c>
      <c r="D13" s="39" t="s">
        <v>122</v>
      </c>
      <c r="E13" s="1">
        <v>1</v>
      </c>
      <c r="F13" s="40">
        <v>30000</v>
      </c>
      <c r="G13" s="50">
        <f>Table689101112[[#This Row],[Rate /Trips]]*Table689101112[[#This Row],[Trips]]</f>
        <v>30000</v>
      </c>
      <c r="H13" s="40">
        <v>30000</v>
      </c>
      <c r="I13" s="50">
        <f>Table689101112[[#This Row],[Total Value]]-Table689101112[[#This Row],[Received]]</f>
        <v>0</v>
      </c>
      <c r="J13" s="9" t="str">
        <f t="shared" si="0"/>
        <v>✅ Paid</v>
      </c>
      <c r="K13" t="s">
        <v>386</v>
      </c>
    </row>
    <row r="14" spans="1:11">
      <c r="A14" s="36">
        <v>45970</v>
      </c>
      <c r="B14" s="39" t="s">
        <v>58</v>
      </c>
      <c r="C14" s="39" t="s">
        <v>372</v>
      </c>
      <c r="D14" s="39" t="s">
        <v>373</v>
      </c>
      <c r="E14" s="1">
        <v>1</v>
      </c>
      <c r="F14" s="40">
        <v>27000</v>
      </c>
      <c r="G14" s="50">
        <f>Table689101112[[#This Row],[Rate /Trips]]*Table689101112[[#This Row],[Trips]]</f>
        <v>27000</v>
      </c>
      <c r="H14" s="40">
        <v>27000</v>
      </c>
      <c r="I14" s="50">
        <f>Table689101112[[#This Row],[Total Value]]-Table689101112[[#This Row],[Received]]</f>
        <v>0</v>
      </c>
      <c r="J14" s="9" t="str">
        <f t="shared" si="0"/>
        <v>✅ Paid</v>
      </c>
    </row>
    <row r="15" spans="1:11">
      <c r="A15" s="36">
        <v>45970</v>
      </c>
      <c r="B15" s="39" t="s">
        <v>58</v>
      </c>
      <c r="C15" s="39" t="s">
        <v>318</v>
      </c>
      <c r="D15" s="39" t="s">
        <v>122</v>
      </c>
      <c r="E15" s="1">
        <v>3</v>
      </c>
      <c r="F15" s="40">
        <v>28000</v>
      </c>
      <c r="G15" s="50">
        <f>Table689101112[[#This Row],[Rate /Trips]]*Table689101112[[#This Row],[Trips]]</f>
        <v>84000</v>
      </c>
      <c r="H15" s="40">
        <v>84000</v>
      </c>
      <c r="I15" s="50">
        <f>Table689101112[[#This Row],[Total Value]]-Table689101112[[#This Row],[Received]]</f>
        <v>0</v>
      </c>
      <c r="J15" s="9" t="str">
        <f t="shared" si="0"/>
        <v>✅ Paid</v>
      </c>
    </row>
    <row r="16" spans="1:11">
      <c r="A16" s="36">
        <v>45971</v>
      </c>
      <c r="B16" s="39" t="s">
        <v>58</v>
      </c>
      <c r="C16" s="39" t="s">
        <v>374</v>
      </c>
      <c r="D16" s="39" t="s">
        <v>254</v>
      </c>
      <c r="E16" s="1">
        <v>1</v>
      </c>
      <c r="F16" s="40">
        <v>28000</v>
      </c>
      <c r="G16" s="50">
        <f>Table689101112[[#This Row],[Rate /Trips]]*Table689101112[[#This Row],[Trips]]</f>
        <v>28000</v>
      </c>
      <c r="H16" s="40"/>
      <c r="I16" s="50">
        <f>Table689101112[[#This Row],[Total Value]]-Table689101112[[#This Row],[Received]]</f>
        <v>28000</v>
      </c>
      <c r="J16" s="9" t="str">
        <f t="shared" si="0"/>
        <v>🚨 URGENT: Guru  owes ₹28000</v>
      </c>
    </row>
    <row r="17" spans="1:10">
      <c r="A17" s="36">
        <v>45972</v>
      </c>
      <c r="B17" s="39" t="s">
        <v>58</v>
      </c>
      <c r="C17" s="39" t="s">
        <v>374</v>
      </c>
      <c r="D17" s="39" t="s">
        <v>345</v>
      </c>
      <c r="E17" s="1">
        <v>2</v>
      </c>
      <c r="F17" s="40">
        <v>34000</v>
      </c>
      <c r="G17" s="50">
        <f>Table689101112[[#This Row],[Rate /Trips]]*Table689101112[[#This Row],[Trips]]</f>
        <v>68000</v>
      </c>
      <c r="H17" s="40"/>
      <c r="I17" s="50">
        <f>Table689101112[[#This Row],[Total Value]]-Table689101112[[#This Row],[Received]]</f>
        <v>68000</v>
      </c>
      <c r="J17" s="9" t="str">
        <f t="shared" si="0"/>
        <v>🚨 URGENT: Guru  owes ₹68000</v>
      </c>
    </row>
    <row r="18" spans="1:10">
      <c r="A18" s="36">
        <v>45972</v>
      </c>
      <c r="B18" s="39" t="s">
        <v>2</v>
      </c>
      <c r="C18" s="39" t="s">
        <v>153</v>
      </c>
      <c r="D18" s="39" t="s">
        <v>345</v>
      </c>
      <c r="E18" s="1">
        <v>1</v>
      </c>
      <c r="F18" s="40">
        <v>35000</v>
      </c>
      <c r="G18" s="50">
        <f>Table689101112[[#This Row],[Rate /Trips]]*Table689101112[[#This Row],[Trips]]</f>
        <v>35000</v>
      </c>
      <c r="H18" s="40">
        <v>35000</v>
      </c>
      <c r="I18" s="50">
        <f>Table689101112[[#This Row],[Total Value]]-Table689101112[[#This Row],[Received]]</f>
        <v>0</v>
      </c>
      <c r="J18" s="9" t="str">
        <f t="shared" si="0"/>
        <v>✅ Paid</v>
      </c>
    </row>
    <row r="19" spans="1:10">
      <c r="A19" s="36">
        <v>45972</v>
      </c>
      <c r="B19" s="39" t="s">
        <v>2</v>
      </c>
      <c r="C19" s="39" t="s">
        <v>43</v>
      </c>
      <c r="D19" s="39" t="s">
        <v>375</v>
      </c>
      <c r="E19" s="1">
        <v>1</v>
      </c>
      <c r="F19" s="40">
        <v>31000</v>
      </c>
      <c r="G19" s="50">
        <f>Table689101112[[#This Row],[Rate /Trips]]*Table689101112[[#This Row],[Trips]]</f>
        <v>31000</v>
      </c>
      <c r="H19" s="40"/>
      <c r="I19" s="50">
        <f>Table689101112[[#This Row],[Total Value]]-Table689101112[[#This Row],[Received]]</f>
        <v>31000</v>
      </c>
      <c r="J19" s="9" t="str">
        <f t="shared" si="0"/>
        <v>🚨 URGENT: Nitin Prasad owes ₹31000</v>
      </c>
    </row>
    <row r="20" spans="1:10">
      <c r="A20" s="36">
        <v>45973</v>
      </c>
      <c r="B20" s="39" t="s">
        <v>58</v>
      </c>
      <c r="C20" s="39" t="s">
        <v>255</v>
      </c>
      <c r="D20" s="39" t="s">
        <v>120</v>
      </c>
      <c r="E20" s="1">
        <v>1</v>
      </c>
      <c r="F20" s="40">
        <v>28000</v>
      </c>
      <c r="G20" s="50">
        <f>Table689101112[[#This Row],[Rate /Trips]]*Table689101112[[#This Row],[Trips]]</f>
        <v>28000</v>
      </c>
      <c r="H20" s="40">
        <v>28000</v>
      </c>
      <c r="I20" s="50">
        <f>Table689101112[[#This Row],[Total Value]]-Table689101112[[#This Row],[Received]]</f>
        <v>0</v>
      </c>
      <c r="J20" s="9" t="str">
        <f t="shared" si="0"/>
        <v>✅ Paid</v>
      </c>
    </row>
    <row r="21" spans="1:10">
      <c r="A21" s="36">
        <v>45973</v>
      </c>
      <c r="B21" s="39" t="s">
        <v>58</v>
      </c>
      <c r="C21" s="39" t="s">
        <v>313</v>
      </c>
      <c r="D21" s="39" t="s">
        <v>376</v>
      </c>
      <c r="E21" s="1">
        <v>1</v>
      </c>
      <c r="F21" s="40">
        <v>27000</v>
      </c>
      <c r="G21" s="50">
        <f>Table689101112[[#This Row],[Rate /Trips]]*Table689101112[[#This Row],[Trips]]</f>
        <v>27000</v>
      </c>
      <c r="H21" s="40">
        <v>27000</v>
      </c>
      <c r="I21" s="50">
        <f>Table689101112[[#This Row],[Total Value]]-Table689101112[[#This Row],[Received]]</f>
        <v>0</v>
      </c>
      <c r="J21" s="9" t="str">
        <f t="shared" si="0"/>
        <v>✅ Paid</v>
      </c>
    </row>
    <row r="22" spans="1:10">
      <c r="A22" s="36">
        <v>45973</v>
      </c>
      <c r="B22" s="39" t="s">
        <v>58</v>
      </c>
      <c r="C22" s="39" t="s">
        <v>377</v>
      </c>
      <c r="D22" s="39" t="s">
        <v>42</v>
      </c>
      <c r="E22" s="1">
        <v>1</v>
      </c>
      <c r="F22" s="40">
        <v>29000</v>
      </c>
      <c r="G22" s="50">
        <f>Table689101112[[#This Row],[Rate /Trips]]*Table689101112[[#This Row],[Trips]]</f>
        <v>29000</v>
      </c>
      <c r="H22" s="40">
        <v>29000</v>
      </c>
      <c r="I22" s="50">
        <f>Table689101112[[#This Row],[Total Value]]-Table689101112[[#This Row],[Received]]</f>
        <v>0</v>
      </c>
      <c r="J22" s="9" t="str">
        <f t="shared" si="0"/>
        <v>✅ Paid</v>
      </c>
    </row>
    <row r="23" spans="1:10">
      <c r="A23" s="36">
        <v>45974</v>
      </c>
      <c r="B23" s="39" t="s">
        <v>58</v>
      </c>
      <c r="C23" s="39" t="s">
        <v>249</v>
      </c>
      <c r="D23" s="39" t="s">
        <v>11</v>
      </c>
      <c r="E23" s="1">
        <v>1</v>
      </c>
      <c r="F23" s="40">
        <v>31000</v>
      </c>
      <c r="G23" s="50">
        <f>Table689101112[[#This Row],[Rate /Trips]]*Table689101112[[#This Row],[Trips]]</f>
        <v>31000</v>
      </c>
      <c r="H23" s="40"/>
      <c r="I23" s="50">
        <f>Table689101112[[#This Row],[Total Value]]-Table689101112[[#This Row],[Received]]</f>
        <v>31000</v>
      </c>
      <c r="J23" s="9" t="str">
        <f t="shared" si="0"/>
        <v>🚨 URGENT: Guru owes ₹31000</v>
      </c>
    </row>
    <row r="24" spans="1:10">
      <c r="A24" s="36">
        <v>45975</v>
      </c>
      <c r="B24" s="39" t="s">
        <v>55</v>
      </c>
      <c r="C24" s="39" t="s">
        <v>379</v>
      </c>
      <c r="D24" s="39" t="s">
        <v>345</v>
      </c>
      <c r="E24" s="1">
        <v>2</v>
      </c>
      <c r="F24" s="40">
        <v>35000</v>
      </c>
      <c r="G24" s="50">
        <f>Table689101112[[#This Row],[Rate /Trips]]*Table689101112[[#This Row],[Trips]]</f>
        <v>70000</v>
      </c>
      <c r="H24" s="40">
        <v>70000</v>
      </c>
      <c r="I24" s="50">
        <f>Table689101112[[#This Row],[Total Value]]-Table689101112[[#This Row],[Received]]</f>
        <v>0</v>
      </c>
      <c r="J24" s="9" t="str">
        <f t="shared" si="0"/>
        <v>✅ Paid</v>
      </c>
    </row>
    <row r="25" spans="1:10">
      <c r="A25" s="36">
        <v>45976</v>
      </c>
      <c r="B25" s="39" t="s">
        <v>58</v>
      </c>
      <c r="C25" s="39" t="s">
        <v>318</v>
      </c>
      <c r="D25" s="39" t="s">
        <v>122</v>
      </c>
      <c r="E25" s="1">
        <v>1</v>
      </c>
      <c r="F25" s="40">
        <v>28000</v>
      </c>
      <c r="G25" s="50">
        <f>Table689101112[[#This Row],[Rate /Trips]]*Table689101112[[#This Row],[Trips]]</f>
        <v>28000</v>
      </c>
      <c r="H25" s="40">
        <v>28000</v>
      </c>
      <c r="I25" s="50">
        <f>Table689101112[[#This Row],[Total Value]]-Table689101112[[#This Row],[Received]]</f>
        <v>0</v>
      </c>
      <c r="J25" s="9" t="str">
        <f t="shared" si="0"/>
        <v>✅ Paid</v>
      </c>
    </row>
    <row r="26" spans="1:10">
      <c r="A26" s="36">
        <v>45976</v>
      </c>
      <c r="B26" s="39" t="s">
        <v>58</v>
      </c>
      <c r="C26" s="39" t="s">
        <v>21</v>
      </c>
      <c r="D26" s="39" t="s">
        <v>22</v>
      </c>
      <c r="E26" s="1">
        <v>1</v>
      </c>
      <c r="F26" s="40">
        <v>27000</v>
      </c>
      <c r="G26" s="50">
        <f>Table689101112[[#This Row],[Rate /Trips]]*Table689101112[[#This Row],[Trips]]</f>
        <v>27000</v>
      </c>
      <c r="H26" s="40">
        <v>27000</v>
      </c>
      <c r="I26" s="50">
        <f>Table689101112[[#This Row],[Total Value]]-Table689101112[[#This Row],[Received]]</f>
        <v>0</v>
      </c>
      <c r="J26" s="9" t="str">
        <f t="shared" si="0"/>
        <v>✅ Paid</v>
      </c>
    </row>
    <row r="27" spans="1:10">
      <c r="A27" s="36">
        <v>45976</v>
      </c>
      <c r="B27" s="39" t="s">
        <v>378</v>
      </c>
      <c r="C27" s="39" t="s">
        <v>110</v>
      </c>
      <c r="D27" s="39" t="s">
        <v>116</v>
      </c>
      <c r="E27" s="1">
        <v>2</v>
      </c>
      <c r="F27" s="40">
        <v>25000</v>
      </c>
      <c r="G27" s="50">
        <f>Table689101112[[#This Row],[Rate /Trips]]*Table689101112[[#This Row],[Trips]]</f>
        <v>50000</v>
      </c>
      <c r="H27" s="40"/>
      <c r="I27" s="50">
        <f>Table689101112[[#This Row],[Total Value]]-Table689101112[[#This Row],[Received]]</f>
        <v>50000</v>
      </c>
      <c r="J27" s="9" t="str">
        <f t="shared" si="0"/>
        <v>🚨 URGENT: Ankush P owes ₹50000</v>
      </c>
    </row>
    <row r="28" spans="1:10">
      <c r="A28" s="36">
        <v>45977</v>
      </c>
      <c r="B28" s="39" t="s">
        <v>58</v>
      </c>
      <c r="C28" s="39" t="s">
        <v>318</v>
      </c>
      <c r="D28" s="39" t="s">
        <v>122</v>
      </c>
      <c r="E28" s="1">
        <v>1</v>
      </c>
      <c r="F28" s="40">
        <v>28000</v>
      </c>
      <c r="G28" s="50">
        <f>Table689101112[[#This Row],[Rate /Trips]]*Table689101112[[#This Row],[Trips]]</f>
        <v>28000</v>
      </c>
      <c r="H28" s="40">
        <v>28000</v>
      </c>
      <c r="I28" s="50">
        <f>Table689101112[[#This Row],[Total Value]]-Table689101112[[#This Row],[Received]]</f>
        <v>0</v>
      </c>
      <c r="J28" s="9" t="str">
        <f t="shared" si="0"/>
        <v>✅ Paid</v>
      </c>
    </row>
    <row r="29" spans="1:10">
      <c r="A29" s="36">
        <v>45977</v>
      </c>
      <c r="B29" s="39" t="s">
        <v>381</v>
      </c>
      <c r="C29" s="39" t="s">
        <v>273</v>
      </c>
      <c r="D29" s="39" t="s">
        <v>380</v>
      </c>
      <c r="E29" s="1">
        <v>1</v>
      </c>
      <c r="F29" s="40">
        <v>35000</v>
      </c>
      <c r="G29" s="50">
        <f>Table689101112[[#This Row],[Rate /Trips]]*Table689101112[[#This Row],[Trips]]</f>
        <v>35000</v>
      </c>
      <c r="H29" s="40">
        <v>35000</v>
      </c>
      <c r="I29" s="50">
        <f>Table689101112[[#This Row],[Total Value]]-Table689101112[[#This Row],[Received]]</f>
        <v>0</v>
      </c>
      <c r="J29" s="9" t="str">
        <f t="shared" si="0"/>
        <v>✅ Paid</v>
      </c>
    </row>
    <row r="30" spans="1:10">
      <c r="A30" s="36">
        <v>45978</v>
      </c>
      <c r="B30" s="39" t="s">
        <v>4</v>
      </c>
      <c r="C30" s="39" t="s">
        <v>249</v>
      </c>
      <c r="D30" s="39" t="s">
        <v>11</v>
      </c>
      <c r="E30" s="1">
        <v>1</v>
      </c>
      <c r="F30" s="40">
        <v>31000</v>
      </c>
      <c r="G30" s="50">
        <f>Table689101112[[#This Row],[Rate /Trips]]*Table689101112[[#This Row],[Trips]]</f>
        <v>31000</v>
      </c>
      <c r="H30" s="40"/>
      <c r="I30" s="50">
        <f>Table689101112[[#This Row],[Total Value]]-Table689101112[[#This Row],[Received]]</f>
        <v>31000</v>
      </c>
      <c r="J30" s="9" t="str">
        <f t="shared" si="0"/>
        <v>🚨 URGENT: Guru owes ₹31000</v>
      </c>
    </row>
    <row r="31" spans="1:10">
      <c r="A31" s="36">
        <v>45978</v>
      </c>
      <c r="B31" s="39" t="s">
        <v>383</v>
      </c>
      <c r="C31" s="39" t="s">
        <v>249</v>
      </c>
      <c r="D31" s="39" t="s">
        <v>382</v>
      </c>
      <c r="E31" s="1">
        <v>1</v>
      </c>
      <c r="F31" s="40">
        <v>31000</v>
      </c>
      <c r="G31" s="50">
        <f>Table689101112[[#This Row],[Rate /Trips]]*Table689101112[[#This Row],[Trips]]</f>
        <v>31000</v>
      </c>
      <c r="H31" s="40"/>
      <c r="I31" s="50">
        <f>Table689101112[[#This Row],[Total Value]]-Table689101112[[#This Row],[Received]]</f>
        <v>31000</v>
      </c>
      <c r="J31" s="9" t="str">
        <f t="shared" si="0"/>
        <v>🚨 URGENT: Guru owes ₹31000</v>
      </c>
    </row>
    <row r="32" spans="1:10">
      <c r="A32" s="36">
        <v>45978</v>
      </c>
      <c r="B32" s="39" t="s">
        <v>4</v>
      </c>
      <c r="C32" s="39" t="s">
        <v>110</v>
      </c>
      <c r="D32" s="39" t="s">
        <v>24</v>
      </c>
      <c r="E32" s="1">
        <v>1</v>
      </c>
      <c r="F32" s="40">
        <v>25000</v>
      </c>
      <c r="G32" s="50">
        <f>Table689101112[[#This Row],[Rate /Trips]]*Table689101112[[#This Row],[Trips]]</f>
        <v>25000</v>
      </c>
      <c r="H32" s="40"/>
      <c r="I32" s="50">
        <f>Table689101112[[#This Row],[Total Value]]-Table689101112[[#This Row],[Received]]</f>
        <v>25000</v>
      </c>
      <c r="J32" s="9" t="str">
        <f t="shared" si="0"/>
        <v>🚨 URGENT: Ankush P owes ₹25000</v>
      </c>
    </row>
    <row r="33" spans="1:10">
      <c r="A33" s="36">
        <v>45978</v>
      </c>
      <c r="B33" s="39" t="s">
        <v>383</v>
      </c>
      <c r="C33" s="39" t="s">
        <v>384</v>
      </c>
      <c r="D33" s="39" t="s">
        <v>385</v>
      </c>
      <c r="E33" s="1">
        <v>1</v>
      </c>
      <c r="F33" s="40">
        <v>28000</v>
      </c>
      <c r="G33" s="50">
        <f>Table689101112[[#This Row],[Rate /Trips]]*Table689101112[[#This Row],[Trips]]</f>
        <v>28000</v>
      </c>
      <c r="H33" s="40">
        <v>28000</v>
      </c>
      <c r="I33" s="50">
        <f>Table689101112[[#This Row],[Total Value]]-Table689101112[[#This Row],[Received]]</f>
        <v>0</v>
      </c>
      <c r="J33" s="9" t="str">
        <f t="shared" si="0"/>
        <v>✅ Paid</v>
      </c>
    </row>
    <row r="34" spans="1:10">
      <c r="A34" s="36">
        <v>45979</v>
      </c>
      <c r="B34" s="39" t="s">
        <v>394</v>
      </c>
      <c r="C34" s="39" t="s">
        <v>110</v>
      </c>
      <c r="D34" s="39" t="s">
        <v>395</v>
      </c>
      <c r="E34" s="1">
        <v>2</v>
      </c>
      <c r="F34" s="40">
        <v>25000</v>
      </c>
      <c r="G34" s="50">
        <f>Table689101112[[#This Row],[Rate /Trips]]*Table689101112[[#This Row],[Trips]]</f>
        <v>50000</v>
      </c>
      <c r="H34" s="40"/>
      <c r="I34" s="50">
        <f>Table689101112[[#This Row],[Total Value]]-Table689101112[[#This Row],[Received]]</f>
        <v>50000</v>
      </c>
      <c r="J34" s="9" t="str">
        <f t="shared" si="0"/>
        <v>🚨 URGENT: Ankush P owes ₹50000</v>
      </c>
    </row>
    <row r="35" spans="1:10">
      <c r="A35" s="36">
        <v>45979</v>
      </c>
      <c r="B35" s="39" t="s">
        <v>58</v>
      </c>
      <c r="C35" s="39" t="s">
        <v>396</v>
      </c>
      <c r="D35" s="39" t="s">
        <v>345</v>
      </c>
      <c r="E35" s="1">
        <v>1</v>
      </c>
      <c r="F35" s="40">
        <v>34000</v>
      </c>
      <c r="G35" s="50">
        <f>Table689101112[[#This Row],[Rate /Trips]]*Table689101112[[#This Row],[Trips]]</f>
        <v>34000</v>
      </c>
      <c r="H35" s="40"/>
      <c r="I35" s="50">
        <f>Table689101112[[#This Row],[Total Value]]-Table689101112[[#This Row],[Received]]</f>
        <v>34000</v>
      </c>
      <c r="J35" s="9" t="str">
        <f t="shared" si="0"/>
        <v>🚨 URGENT: Amit G owes ₹34000</v>
      </c>
    </row>
    <row r="36" spans="1:10">
      <c r="A36" s="36">
        <v>45980</v>
      </c>
      <c r="B36" s="39" t="s">
        <v>58</v>
      </c>
      <c r="C36" s="39" t="s">
        <v>110</v>
      </c>
      <c r="D36" s="39" t="s">
        <v>388</v>
      </c>
      <c r="E36" s="1">
        <v>2</v>
      </c>
      <c r="F36" s="40">
        <v>22000</v>
      </c>
      <c r="G36" s="50">
        <f>Table689101112[[#This Row],[Rate /Trips]]*Table689101112[[#This Row],[Trips]]</f>
        <v>44000</v>
      </c>
      <c r="H36" s="40"/>
      <c r="I36" s="50">
        <f>Table689101112[[#This Row],[Total Value]]-Table689101112[[#This Row],[Received]]</f>
        <v>44000</v>
      </c>
      <c r="J36" s="9" t="str">
        <f t="shared" ref="J36:J52" si="1">IF(I36&gt;10000,"🚨 URGENT: "&amp;C36&amp;" owes ₹"&amp;I36,IF(I36&gt;5000,"⚠️ WARNING: "&amp;C36&amp;" - ₹"&amp;I36&amp;" due",IF(I36&gt;0,"ℹ️ "&amp;C36&amp;" - ₹"&amp;I36&amp;" pending","✅ Paid")))</f>
        <v>🚨 URGENT: Ankush P owes ₹44000</v>
      </c>
    </row>
    <row r="37" spans="1:10">
      <c r="A37" s="36">
        <v>45982</v>
      </c>
      <c r="B37" s="39" t="s">
        <v>58</v>
      </c>
      <c r="C37" s="39" t="s">
        <v>318</v>
      </c>
      <c r="D37" s="39" t="s">
        <v>122</v>
      </c>
      <c r="E37" s="1">
        <v>2</v>
      </c>
      <c r="F37" s="40">
        <v>26000</v>
      </c>
      <c r="G37" s="50">
        <f>Table689101112[[#This Row],[Rate /Trips]]*Table689101112[[#This Row],[Trips]]</f>
        <v>52000</v>
      </c>
      <c r="H37" s="40">
        <v>52000</v>
      </c>
      <c r="I37" s="50">
        <f>Table689101112[[#This Row],[Total Value]]-Table689101112[[#This Row],[Received]]</f>
        <v>0</v>
      </c>
      <c r="J37" s="9" t="str">
        <f t="shared" si="1"/>
        <v>✅ Paid</v>
      </c>
    </row>
    <row r="38" spans="1:10">
      <c r="A38" s="36">
        <v>45983</v>
      </c>
      <c r="B38" s="39" t="s">
        <v>58</v>
      </c>
      <c r="C38" s="39" t="s">
        <v>393</v>
      </c>
      <c r="D38" s="39" t="s">
        <v>13</v>
      </c>
      <c r="E38" s="1">
        <v>1</v>
      </c>
      <c r="F38" s="40">
        <v>0</v>
      </c>
      <c r="G38" s="50">
        <f>Table689101112[[#This Row],[Rate /Trips]]*Table689101112[[#This Row],[Trips]]</f>
        <v>0</v>
      </c>
      <c r="H38" s="40"/>
      <c r="I38" s="50"/>
      <c r="J38" s="9" t="str">
        <f t="shared" si="1"/>
        <v>✅ Paid</v>
      </c>
    </row>
    <row r="39" spans="1:10">
      <c r="A39" s="36">
        <v>45984</v>
      </c>
      <c r="B39" s="39" t="s">
        <v>58</v>
      </c>
      <c r="C39" s="39" t="s">
        <v>391</v>
      </c>
      <c r="D39" s="39" t="s">
        <v>392</v>
      </c>
      <c r="E39" s="1">
        <v>1</v>
      </c>
      <c r="F39" s="40">
        <v>25000</v>
      </c>
      <c r="G39" s="50">
        <f>Table689101112[[#This Row],[Rate /Trips]]*Table689101112[[#This Row],[Trips]]</f>
        <v>25000</v>
      </c>
      <c r="H39" s="40">
        <v>25000</v>
      </c>
      <c r="I39" s="50">
        <f>Table689101112[[#This Row],[Total Value]]-Table689101112[[#This Row],[Received]]</f>
        <v>0</v>
      </c>
      <c r="J39" s="9" t="str">
        <f t="shared" si="1"/>
        <v>✅ Paid</v>
      </c>
    </row>
    <row r="40" spans="1:10">
      <c r="A40" s="36">
        <v>45985</v>
      </c>
      <c r="B40" s="39" t="s">
        <v>58</v>
      </c>
      <c r="C40" s="39" t="s">
        <v>199</v>
      </c>
      <c r="D40" s="39" t="s">
        <v>373</v>
      </c>
      <c r="E40" s="1">
        <v>2</v>
      </c>
      <c r="F40" s="40">
        <v>22000</v>
      </c>
      <c r="G40" s="50">
        <f>Table689101112[[#This Row],[Rate /Trips]]*Table689101112[[#This Row],[Trips]]</f>
        <v>44000</v>
      </c>
      <c r="H40" s="40"/>
      <c r="I40" s="50">
        <f>Table689101112[[#This Row],[Total Value]]-Table689101112[[#This Row],[Received]]</f>
        <v>44000</v>
      </c>
      <c r="J40" s="9" t="str">
        <f t="shared" si="1"/>
        <v>🚨 URGENT: Abhay Adgurwar owes ₹44000</v>
      </c>
    </row>
    <row r="41" spans="1:10">
      <c r="A41" s="36">
        <v>45986</v>
      </c>
      <c r="B41" s="39" t="s">
        <v>383</v>
      </c>
      <c r="C41" s="39" t="s">
        <v>389</v>
      </c>
      <c r="D41" s="39" t="s">
        <v>13</v>
      </c>
      <c r="E41" s="1">
        <v>1</v>
      </c>
      <c r="F41" s="40">
        <v>26000</v>
      </c>
      <c r="G41" s="50">
        <f>Table689101112[[#This Row],[Rate /Trips]]*Table689101112[[#This Row],[Trips]]</f>
        <v>26000</v>
      </c>
      <c r="H41" s="40">
        <v>26000</v>
      </c>
      <c r="I41" s="50">
        <f>Table689101112[[#This Row],[Total Value]]-Table689101112[[#This Row],[Received]]</f>
        <v>0</v>
      </c>
      <c r="J41" s="9" t="str">
        <f t="shared" si="1"/>
        <v>✅ Paid</v>
      </c>
    </row>
    <row r="42" spans="1:10">
      <c r="A42" s="36">
        <v>45986</v>
      </c>
      <c r="B42" s="39" t="s">
        <v>58</v>
      </c>
      <c r="C42" s="39" t="s">
        <v>110</v>
      </c>
      <c r="D42" s="39" t="s">
        <v>390</v>
      </c>
      <c r="E42" s="1">
        <v>1</v>
      </c>
      <c r="F42" s="40">
        <v>22000</v>
      </c>
      <c r="G42" s="50">
        <f>Table689101112[[#This Row],[Rate /Trips]]*Table689101112[[#This Row],[Trips]]</f>
        <v>22000</v>
      </c>
      <c r="H42" s="40"/>
      <c r="I42" s="50">
        <f>Table689101112[[#This Row],[Total Value]]-Table689101112[[#This Row],[Received]]</f>
        <v>22000</v>
      </c>
      <c r="J42" s="9" t="str">
        <f t="shared" si="1"/>
        <v>🚨 URGENT: Ankush P owes ₹22000</v>
      </c>
    </row>
    <row r="43" spans="1:10">
      <c r="A43" s="36">
        <v>45986</v>
      </c>
      <c r="B43" s="39" t="s">
        <v>58</v>
      </c>
      <c r="C43" s="39" t="s">
        <v>110</v>
      </c>
      <c r="D43" s="39" t="s">
        <v>388</v>
      </c>
      <c r="E43" s="1">
        <v>1</v>
      </c>
      <c r="F43" s="40">
        <v>22000</v>
      </c>
      <c r="G43" s="50">
        <f>Table689101112[[#This Row],[Rate /Trips]]*Table689101112[[#This Row],[Trips]]</f>
        <v>22000</v>
      </c>
      <c r="H43" s="40"/>
      <c r="I43" s="50">
        <f>Table689101112[[#This Row],[Total Value]]-Table689101112[[#This Row],[Received]]</f>
        <v>22000</v>
      </c>
      <c r="J43" s="9" t="str">
        <f t="shared" si="1"/>
        <v>🚨 URGENT: Ankush P owes ₹22000</v>
      </c>
    </row>
    <row r="44" spans="1:10">
      <c r="A44" s="36">
        <v>45986</v>
      </c>
      <c r="B44" s="39" t="s">
        <v>58</v>
      </c>
      <c r="C44" s="39" t="s">
        <v>318</v>
      </c>
      <c r="D44" s="39" t="s">
        <v>122</v>
      </c>
      <c r="E44" s="1">
        <v>1</v>
      </c>
      <c r="F44" s="40">
        <v>26000</v>
      </c>
      <c r="G44" s="50">
        <f>Table689101112[[#This Row],[Rate /Trips]]*Table689101112[[#This Row],[Trips]]</f>
        <v>26000</v>
      </c>
      <c r="H44" s="40">
        <v>26000</v>
      </c>
      <c r="I44" s="50">
        <f>Table689101112[[#This Row],[Total Value]]-Table689101112[[#This Row],[Received]]</f>
        <v>0</v>
      </c>
      <c r="J44" s="9" t="str">
        <f t="shared" si="1"/>
        <v>✅ Paid</v>
      </c>
    </row>
    <row r="45" spans="1:10">
      <c r="A45" s="36">
        <v>45987</v>
      </c>
      <c r="B45" s="39" t="s">
        <v>58</v>
      </c>
      <c r="C45" s="39" t="s">
        <v>387</v>
      </c>
      <c r="D45" s="39" t="s">
        <v>387</v>
      </c>
      <c r="E45" s="1">
        <v>1</v>
      </c>
      <c r="F45" s="40">
        <v>0</v>
      </c>
      <c r="G45" s="50">
        <f>Table689101112[[#This Row],[Rate /Trips]]*Table689101112[[#This Row],[Trips]]</f>
        <v>0</v>
      </c>
      <c r="H45" s="40"/>
      <c r="I45" s="50">
        <f>Table689101112[[#This Row],[Total Value]]-Table689101112[[#This Row],[Received]]</f>
        <v>0</v>
      </c>
      <c r="J45" s="9" t="str">
        <f t="shared" si="1"/>
        <v>✅ Paid</v>
      </c>
    </row>
    <row r="46" spans="1:10">
      <c r="A46" s="36">
        <v>45987</v>
      </c>
      <c r="B46" s="39" t="s">
        <v>58</v>
      </c>
      <c r="C46" s="39" t="s">
        <v>313</v>
      </c>
      <c r="D46" s="39" t="s">
        <v>145</v>
      </c>
      <c r="E46" s="1">
        <v>1</v>
      </c>
      <c r="F46" s="40">
        <v>25000</v>
      </c>
      <c r="G46" s="50">
        <f>Table689101112[[#This Row],[Rate /Trips]]*Table689101112[[#This Row],[Trips]]</f>
        <v>25000</v>
      </c>
      <c r="H46" s="40">
        <v>25000</v>
      </c>
      <c r="I46" s="50">
        <f>Table689101112[[#This Row],[Total Value]]-Table689101112[[#This Row],[Received]]</f>
        <v>0</v>
      </c>
      <c r="J46" s="9" t="str">
        <f t="shared" si="1"/>
        <v>✅ Paid</v>
      </c>
    </row>
    <row r="47" spans="1:10">
      <c r="A47" s="36">
        <v>45988</v>
      </c>
      <c r="B47" s="39" t="s">
        <v>58</v>
      </c>
      <c r="C47" s="39" t="s">
        <v>110</v>
      </c>
      <c r="D47" s="39" t="s">
        <v>388</v>
      </c>
      <c r="E47" s="1">
        <v>2</v>
      </c>
      <c r="F47" s="40">
        <v>22000</v>
      </c>
      <c r="G47" s="50">
        <f>Table689101112[[#This Row],[Rate /Trips]]*Table689101112[[#This Row],[Trips]]</f>
        <v>44000</v>
      </c>
      <c r="H47" s="40"/>
      <c r="I47" s="50">
        <f>Table689101112[[#This Row],[Total Value]]-Table689101112[[#This Row],[Received]]</f>
        <v>44000</v>
      </c>
      <c r="J47" s="9" t="str">
        <f t="shared" si="1"/>
        <v>🚨 URGENT: Ankush P owes ₹44000</v>
      </c>
    </row>
    <row r="48" spans="1:10">
      <c r="A48" s="36">
        <v>45989</v>
      </c>
      <c r="B48" s="39" t="s">
        <v>58</v>
      </c>
      <c r="C48" s="39" t="s">
        <v>110</v>
      </c>
      <c r="D48" s="39" t="s">
        <v>388</v>
      </c>
      <c r="E48" s="1">
        <v>1</v>
      </c>
      <c r="F48" s="40">
        <v>22000</v>
      </c>
      <c r="G48" s="50">
        <f>Table689101112[[#This Row],[Rate /Trips]]*Table689101112[[#This Row],[Trips]]</f>
        <v>22000</v>
      </c>
      <c r="H48" s="40"/>
      <c r="I48" s="50">
        <f>Table689101112[[#This Row],[Total Value]]-Table689101112[[#This Row],[Received]]</f>
        <v>22000</v>
      </c>
      <c r="J48" s="9" t="str">
        <f t="shared" si="1"/>
        <v>🚨 URGENT: Ankush P owes ₹22000</v>
      </c>
    </row>
    <row r="49" spans="1:10">
      <c r="A49" s="36">
        <v>45989</v>
      </c>
      <c r="B49" s="39" t="s">
        <v>58</v>
      </c>
      <c r="C49" s="39" t="s">
        <v>397</v>
      </c>
      <c r="D49" s="39" t="s">
        <v>3</v>
      </c>
      <c r="E49" s="1">
        <v>1</v>
      </c>
      <c r="F49" s="40">
        <v>25000</v>
      </c>
      <c r="G49" s="50">
        <f>Table689101112[[#This Row],[Rate /Trips]]*Table689101112[[#This Row],[Trips]]</f>
        <v>25000</v>
      </c>
      <c r="H49" s="40">
        <v>25000</v>
      </c>
      <c r="I49" s="50">
        <f>Table689101112[[#This Row],[Total Value]]-Table689101112[[#This Row],[Received]]</f>
        <v>0</v>
      </c>
      <c r="J49" s="9" t="str">
        <f t="shared" si="1"/>
        <v>✅ Paid</v>
      </c>
    </row>
    <row r="50" spans="1:10">
      <c r="A50" s="36">
        <v>45990</v>
      </c>
      <c r="B50" s="39" t="s">
        <v>58</v>
      </c>
      <c r="C50" s="39" t="s">
        <v>110</v>
      </c>
      <c r="D50" s="39" t="s">
        <v>388</v>
      </c>
      <c r="E50" s="1">
        <v>2</v>
      </c>
      <c r="F50" s="40">
        <v>22000</v>
      </c>
      <c r="G50" s="50">
        <f>Table689101112[[#This Row],[Rate /Trips]]*Table689101112[[#This Row],[Trips]]</f>
        <v>44000</v>
      </c>
      <c r="H50" s="40"/>
      <c r="I50" s="50">
        <f>Table689101112[[#This Row],[Total Value]]-Table689101112[[#This Row],[Received]]</f>
        <v>44000</v>
      </c>
      <c r="J50" s="9" t="str">
        <f t="shared" si="1"/>
        <v>🚨 URGENT: Ankush P owes ₹44000</v>
      </c>
    </row>
    <row r="51" spans="1:10">
      <c r="A51" s="36">
        <v>45990</v>
      </c>
      <c r="B51" s="39" t="s">
        <v>58</v>
      </c>
      <c r="C51" s="39" t="s">
        <v>318</v>
      </c>
      <c r="D51" s="39" t="s">
        <v>122</v>
      </c>
      <c r="E51" s="1">
        <v>2</v>
      </c>
      <c r="F51" s="40">
        <v>26000</v>
      </c>
      <c r="G51" s="50">
        <f>Table689101112[[#This Row],[Rate /Trips]]*Table689101112[[#This Row],[Trips]]</f>
        <v>52000</v>
      </c>
      <c r="H51" s="40">
        <v>52000</v>
      </c>
      <c r="I51" s="50">
        <f>Table689101112[[#This Row],[Total Value]]-Table689101112[[#This Row],[Received]]</f>
        <v>0</v>
      </c>
      <c r="J51" s="9" t="str">
        <f t="shared" si="1"/>
        <v>✅ Paid</v>
      </c>
    </row>
    <row r="52" spans="1:10">
      <c r="A52" s="36">
        <v>45991</v>
      </c>
      <c r="B52" s="39" t="s">
        <v>58</v>
      </c>
      <c r="C52" s="39" t="s">
        <v>110</v>
      </c>
      <c r="D52" s="39" t="s">
        <v>253</v>
      </c>
      <c r="E52" s="1">
        <v>1</v>
      </c>
      <c r="F52" s="40">
        <v>22000</v>
      </c>
      <c r="G52" s="50">
        <f>Table689101112[[#This Row],[Rate /Trips]]*Table689101112[[#This Row],[Trips]]</f>
        <v>22000</v>
      </c>
      <c r="H52" s="40"/>
      <c r="I52" s="50">
        <f>Table689101112[[#This Row],[Total Value]]-Table689101112[[#This Row],[Received]]</f>
        <v>22000</v>
      </c>
      <c r="J52" s="9" t="str">
        <f t="shared" si="1"/>
        <v>🚨 URGENT: Ankush P owes ₹22000</v>
      </c>
    </row>
    <row r="53" spans="1:10">
      <c r="A53" s="57"/>
      <c r="B53" s="55"/>
      <c r="C53" s="55"/>
      <c r="D53" s="55"/>
      <c r="E53" s="55"/>
      <c r="F53" s="60"/>
      <c r="G53" s="60"/>
      <c r="H53" s="60"/>
      <c r="I53" s="60"/>
      <c r="J53" s="9"/>
    </row>
    <row r="54" spans="1:10">
      <c r="A54" s="36"/>
      <c r="B54" s="39"/>
      <c r="C54" s="39"/>
      <c r="D54" s="39"/>
      <c r="E54" s="1"/>
      <c r="F54" s="40"/>
      <c r="G54" s="50"/>
      <c r="H54" s="40"/>
      <c r="I54" s="50"/>
      <c r="J54" s="9"/>
    </row>
    <row r="55" spans="1:10">
      <c r="A55" s="36"/>
      <c r="B55" s="39"/>
      <c r="C55" s="39"/>
      <c r="D55" s="39"/>
      <c r="E55" s="1"/>
      <c r="F55" s="40"/>
      <c r="G55" s="50"/>
      <c r="H55" s="40"/>
      <c r="I55" s="50"/>
      <c r="J55" s="9"/>
    </row>
    <row r="56" spans="1:10">
      <c r="A56" s="36"/>
      <c r="B56" s="39"/>
      <c r="C56" s="39"/>
      <c r="D56" s="39"/>
      <c r="E56" s="1"/>
      <c r="F56" s="40"/>
      <c r="G56" s="50"/>
      <c r="H56" s="40"/>
      <c r="I56" s="50"/>
      <c r="J56" s="9"/>
    </row>
    <row r="57" spans="1:10">
      <c r="A57" s="36"/>
      <c r="B57" s="39"/>
      <c r="C57" s="39"/>
      <c r="D57" s="39"/>
      <c r="E57" s="1"/>
      <c r="F57" s="40"/>
      <c r="G57" s="50"/>
      <c r="H57" s="40"/>
      <c r="I57" s="50"/>
      <c r="J57" s="9"/>
    </row>
    <row r="58" spans="1:10">
      <c r="A58" s="36"/>
      <c r="B58" s="39"/>
      <c r="C58" s="39"/>
      <c r="D58" s="39"/>
      <c r="E58" s="1"/>
      <c r="F58" s="40"/>
      <c r="G58" s="50"/>
      <c r="H58" s="40"/>
      <c r="I58" s="50"/>
      <c r="J58" s="9"/>
    </row>
    <row r="59" spans="1:10">
      <c r="A59" s="36"/>
      <c r="B59" s="39"/>
      <c r="C59" s="39"/>
      <c r="D59" s="39"/>
      <c r="E59" s="1"/>
      <c r="F59" s="40"/>
      <c r="G59" s="50"/>
      <c r="H59" s="40"/>
      <c r="I59" s="50"/>
      <c r="J59" s="9"/>
    </row>
    <row r="60" spans="1:10">
      <c r="A60" s="36"/>
      <c r="B60" s="39"/>
      <c r="C60" s="39"/>
      <c r="D60" s="39"/>
      <c r="E60" s="1"/>
      <c r="F60" s="40"/>
      <c r="G60" s="50"/>
      <c r="H60" s="40"/>
      <c r="I60" s="50"/>
      <c r="J60" s="9"/>
    </row>
    <row r="61" spans="1:10">
      <c r="A61" s="36"/>
      <c r="B61" s="39"/>
      <c r="C61" s="39"/>
      <c r="D61" s="39"/>
      <c r="E61" s="1"/>
      <c r="F61" s="40"/>
      <c r="G61" s="50"/>
      <c r="H61" s="40"/>
      <c r="I61" s="50"/>
      <c r="J61" s="9"/>
    </row>
    <row r="62" spans="1:10">
      <c r="A62" s="36"/>
      <c r="B62" s="39"/>
      <c r="C62" s="39"/>
      <c r="D62" s="39"/>
      <c r="E62" s="1"/>
      <c r="F62" s="40"/>
      <c r="G62" s="50"/>
      <c r="H62" s="40"/>
      <c r="I62" s="50"/>
      <c r="J62" s="9" t="str">
        <f>IF(I62&gt;10000,"🚨 URGENT: "&amp;C62&amp;" owes ₹"&amp;I62,IF(I62&gt;5000,"⚠️ WARNING: "&amp;C62&amp;" - ₹"&amp;I62&amp;" due",IF(I62&gt;0,"ℹ️ "&amp;C62&amp;" - ₹"&amp;I62&amp;" pending","✅ Paid")))</f>
        <v>✅ Paid</v>
      </c>
    </row>
    <row r="63" spans="1:10">
      <c r="A63" s="36"/>
      <c r="B63" s="39"/>
      <c r="C63" s="39"/>
      <c r="D63" s="39"/>
      <c r="E63" s="1"/>
      <c r="F63" s="40"/>
      <c r="G63" s="50"/>
      <c r="H63" s="40"/>
      <c r="I63" s="50"/>
      <c r="J63" s="9"/>
    </row>
    <row r="64" spans="1:10">
      <c r="A64" s="36"/>
      <c r="B64" s="39"/>
      <c r="C64" s="39"/>
      <c r="D64" s="39"/>
      <c r="E64" s="1"/>
      <c r="F64" s="40"/>
      <c r="G64" s="50"/>
      <c r="H64" s="40"/>
      <c r="I64" s="50"/>
      <c r="J64" s="9"/>
    </row>
    <row r="65" spans="1:10">
      <c r="A65" s="36"/>
      <c r="B65" s="39"/>
      <c r="C65" s="39"/>
      <c r="D65" s="39"/>
      <c r="E65" s="1"/>
      <c r="F65" s="40"/>
      <c r="G65" s="50"/>
      <c r="H65" s="40"/>
      <c r="I65" s="50"/>
      <c r="J65" s="9"/>
    </row>
    <row r="66" spans="1:10">
      <c r="A66" s="36"/>
      <c r="B66" s="39"/>
      <c r="C66" s="39"/>
      <c r="D66" s="39"/>
      <c r="E66" s="1"/>
      <c r="F66" s="40"/>
      <c r="G66" s="50"/>
      <c r="H66" s="40"/>
      <c r="I66" s="50"/>
      <c r="J66" s="9"/>
    </row>
    <row r="67" spans="1:10">
      <c r="A67" s="36"/>
      <c r="B67" s="39"/>
      <c r="C67" s="39"/>
      <c r="D67" s="39"/>
      <c r="E67" s="1"/>
      <c r="F67" s="40"/>
      <c r="G67" s="50"/>
      <c r="H67" s="40"/>
      <c r="I67" s="50"/>
      <c r="J67" s="9"/>
    </row>
    <row r="68" spans="1:10">
      <c r="A68" s="36"/>
      <c r="B68" s="39"/>
      <c r="C68" s="39"/>
      <c r="D68" s="39"/>
      <c r="E68" s="1"/>
      <c r="F68" s="40"/>
      <c r="G68" s="50"/>
      <c r="H68" s="40"/>
      <c r="I68" s="50"/>
      <c r="J68" s="9"/>
    </row>
    <row r="69" spans="1:10">
      <c r="A69" s="36"/>
      <c r="B69" s="39"/>
      <c r="C69" s="39"/>
      <c r="D69" s="39"/>
      <c r="E69" s="1"/>
      <c r="F69" s="40"/>
      <c r="G69" s="50"/>
      <c r="H69" s="40"/>
      <c r="I69" s="50"/>
      <c r="J69" s="9"/>
    </row>
    <row r="70" spans="1:10">
      <c r="A70" s="36"/>
      <c r="B70" s="39"/>
      <c r="C70" s="39"/>
      <c r="D70" s="39"/>
      <c r="E70" s="1"/>
      <c r="F70" s="40"/>
      <c r="G70" s="50"/>
      <c r="H70" s="40"/>
      <c r="I70" s="50"/>
      <c r="J70" s="9"/>
    </row>
    <row r="71" spans="1:10">
      <c r="A71" s="36"/>
      <c r="B71" s="39"/>
      <c r="C71" s="39"/>
      <c r="D71" s="39"/>
      <c r="E71" s="1"/>
      <c r="F71" s="40"/>
      <c r="G71" s="50"/>
      <c r="H71" s="40"/>
      <c r="I71" s="50"/>
      <c r="J71" s="9"/>
    </row>
    <row r="72" spans="1:10">
      <c r="A72" s="36"/>
      <c r="B72" s="39"/>
      <c r="C72" s="39"/>
      <c r="D72" s="39"/>
      <c r="E72" s="1"/>
      <c r="F72" s="40"/>
      <c r="G72" s="50"/>
      <c r="H72" s="40"/>
      <c r="I72" s="50"/>
      <c r="J72" s="9"/>
    </row>
    <row r="73" spans="1:10">
      <c r="A73" s="36"/>
      <c r="B73" s="39"/>
      <c r="C73" s="39"/>
      <c r="D73" s="39"/>
      <c r="E73" s="1"/>
      <c r="F73" s="40"/>
      <c r="G73" s="50"/>
      <c r="H73" s="40"/>
      <c r="I73" s="50"/>
      <c r="J73" s="9"/>
    </row>
    <row r="74" spans="1:10">
      <c r="A74" s="36"/>
      <c r="B74" s="39"/>
      <c r="C74" s="39"/>
      <c r="D74" s="39"/>
      <c r="E74" s="1"/>
      <c r="F74" s="40"/>
      <c r="G74" s="50"/>
      <c r="H74" s="40"/>
      <c r="I74" s="50"/>
      <c r="J74" s="9"/>
    </row>
    <row r="75" spans="1:10">
      <c r="A75" s="36"/>
      <c r="B75" s="39"/>
      <c r="C75" s="39"/>
      <c r="D75" s="39"/>
      <c r="E75" s="1"/>
      <c r="F75" s="40"/>
      <c r="G75" s="50"/>
      <c r="H75" s="40"/>
      <c r="I75" s="50"/>
      <c r="J75" s="9"/>
    </row>
    <row r="76" spans="1:10">
      <c r="A76" s="36"/>
      <c r="B76" s="39"/>
      <c r="C76" s="39"/>
      <c r="D76" s="39"/>
      <c r="E76" s="1"/>
      <c r="F76" s="40"/>
      <c r="G76" s="50"/>
      <c r="H76" s="40"/>
      <c r="I76" s="50"/>
      <c r="J76" s="9"/>
    </row>
    <row r="77" spans="1:10">
      <c r="A77" s="36"/>
      <c r="B77" s="39"/>
      <c r="C77" s="39"/>
      <c r="D77" s="39"/>
      <c r="E77" s="1"/>
      <c r="F77" s="40"/>
      <c r="G77" s="50"/>
      <c r="H77" s="40"/>
      <c r="I77" s="50"/>
      <c r="J77" s="9"/>
    </row>
    <row r="78" spans="1:10">
      <c r="A78" s="36"/>
      <c r="B78" s="39"/>
      <c r="C78" s="39"/>
      <c r="D78" s="39"/>
      <c r="E78" s="1"/>
      <c r="F78" s="40"/>
      <c r="G78" s="50"/>
      <c r="H78" s="40"/>
      <c r="I78" s="50"/>
      <c r="J78" s="9"/>
    </row>
    <row r="79" spans="1:10">
      <c r="A79" s="4"/>
      <c r="B79" s="39"/>
      <c r="C79" s="39"/>
      <c r="D79" s="39"/>
      <c r="E79" s="1"/>
      <c r="F79" s="40"/>
      <c r="G79" s="50"/>
      <c r="H79" s="40"/>
      <c r="I79" s="50"/>
      <c r="J79" s="9"/>
    </row>
    <row r="80" spans="1:10" ht="21">
      <c r="D80" s="13"/>
      <c r="E80" s="14" t="s">
        <v>78</v>
      </c>
      <c r="F80" s="15"/>
      <c r="G80" s="16" t="s">
        <v>289</v>
      </c>
      <c r="H80" s="16" t="s">
        <v>291</v>
      </c>
      <c r="I80" s="16" t="s">
        <v>61</v>
      </c>
    </row>
    <row r="81" spans="1:9" ht="21">
      <c r="D81" s="17" t="s">
        <v>292</v>
      </c>
      <c r="E81" s="18">
        <f>SUM(E4:E79)</f>
        <v>62</v>
      </c>
      <c r="F81" s="19"/>
      <c r="G81" s="20">
        <f>SUM(G4:G79)</f>
        <v>1677500</v>
      </c>
      <c r="H81" s="20">
        <f>SUM(H4:H79)</f>
        <v>936500</v>
      </c>
      <c r="I81" s="20">
        <f>SUM(I4:I79)</f>
        <v>741000</v>
      </c>
    </row>
    <row r="82" spans="1:9" ht="45" customHeight="1">
      <c r="A82" s="66" t="s">
        <v>295</v>
      </c>
      <c r="B82" s="66"/>
      <c r="C82" s="66"/>
      <c r="D82" s="21"/>
      <c r="E82" s="21"/>
      <c r="F82" s="21"/>
      <c r="G82" s="21"/>
      <c r="H82" s="21"/>
      <c r="I82" s="21"/>
    </row>
  </sheetData>
  <mergeCells count="3">
    <mergeCell ref="A1:J1"/>
    <mergeCell ref="A2:J2"/>
    <mergeCell ref="A82:C82"/>
  </mergeCells>
  <conditionalFormatting sqref="J4:J82">
    <cfRule type="containsText" dxfId="27" priority="5" operator="containsText" text="✅">
      <formula>NOT(ISERROR(SEARCH("✅",J4)))</formula>
    </cfRule>
    <cfRule type="containsText" dxfId="26" priority="6" operator="containsText" text="ℹ️">
      <formula>NOT(ISERROR(SEARCH("ℹ️",J4)))</formula>
    </cfRule>
    <cfRule type="containsText" dxfId="25" priority="7" operator="containsText" text="⚠️">
      <formula>NOT(ISERROR(SEARCH("⚠️",J4)))</formula>
    </cfRule>
    <cfRule type="containsText" dxfId="24" priority="8" operator="containsText" text="🚨">
      <formula>NOT(ISERROR(SEARCH("🚨",J4)))</formula>
    </cfRule>
  </conditionalFormatting>
  <conditionalFormatting sqref="L96:L97">
    <cfRule type="containsText" dxfId="23" priority="1" operator="containsText" text="✅">
      <formula>NOT(ISERROR(SEARCH("✅",L96)))</formula>
    </cfRule>
    <cfRule type="containsText" dxfId="22" priority="2" operator="containsText" text="ℹ️">
      <formula>NOT(ISERROR(SEARCH("ℹ️",L96)))</formula>
    </cfRule>
    <cfRule type="containsText" dxfId="21" priority="3" operator="containsText" text="⚠️">
      <formula>NOT(ISERROR(SEARCH("⚠️",L96)))</formula>
    </cfRule>
    <cfRule type="containsText" dxfId="20" priority="4" operator="containsText" text="🚨">
      <formula>NOT(ISERROR(SEARCH("🚨",L96)))</formula>
    </cfRule>
  </conditionalFormatting>
  <pageMargins left="0.7" right="0.7" top="0.75" bottom="0.75" header="0.3" footer="0.3"/>
  <pageSetup paperSize="9" scale="56" orientation="portrait" horizontalDpi="0" verticalDpi="0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75DF8-EEB9-D140-970A-2B4EA4F38AC3}">
  <sheetPr codeName="Sheet12"/>
  <dimension ref="A1:J151"/>
  <sheetViews>
    <sheetView topLeftCell="A102" zoomScale="116" zoomScaleNormal="141" workbookViewId="0">
      <selection activeCell="E123" sqref="E123"/>
    </sheetView>
  </sheetViews>
  <sheetFormatPr baseColWidth="10" defaultColWidth="11.5" defaultRowHeight="15"/>
  <cols>
    <col min="1" max="1" width="28.33203125" customWidth="1"/>
    <col min="2" max="2" width="14.6640625" bestFit="1" customWidth="1"/>
    <col min="3" max="3" width="22" bestFit="1" customWidth="1"/>
    <col min="4" max="4" width="22.1640625" bestFit="1" customWidth="1"/>
    <col min="5" max="5" width="13.1640625" bestFit="1" customWidth="1"/>
    <col min="6" max="6" width="15.33203125" bestFit="1" customWidth="1"/>
    <col min="7" max="8" width="18" bestFit="1" customWidth="1"/>
    <col min="9" max="9" width="18.5" bestFit="1" customWidth="1"/>
    <col min="10" max="10" width="43.33203125" bestFit="1" customWidth="1"/>
  </cols>
  <sheetData>
    <row r="1" spans="1:10" ht="29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336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294</v>
      </c>
    </row>
    <row r="4" spans="1:10">
      <c r="A4" s="56">
        <v>45992</v>
      </c>
      <c r="B4" s="46" t="s">
        <v>383</v>
      </c>
      <c r="C4" s="46" t="s">
        <v>403</v>
      </c>
      <c r="D4" s="46" t="s">
        <v>137</v>
      </c>
      <c r="E4" s="51">
        <v>1</v>
      </c>
      <c r="F4" s="59">
        <v>26000</v>
      </c>
      <c r="G4" s="63">
        <f>Table68910111213[[#This Row],[Rate /Trips]]*Table68910111213[[#This Row],[Trips]]</f>
        <v>26000</v>
      </c>
      <c r="H4" s="59">
        <v>26000</v>
      </c>
      <c r="I4" s="63">
        <f>Table68910111213[[#This Row],[Total Value]]-Table68910111213[[#This Row],[Received]]</f>
        <v>0</v>
      </c>
      <c r="J4" s="9" t="str">
        <f t="shared" ref="J4:J35" si="0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>
      <c r="A5" s="36">
        <v>45992</v>
      </c>
      <c r="B5" s="39" t="s">
        <v>400</v>
      </c>
      <c r="C5" s="39" t="s">
        <v>398</v>
      </c>
      <c r="D5" s="39" t="s">
        <v>162</v>
      </c>
      <c r="E5" s="1">
        <v>1</v>
      </c>
      <c r="F5" s="40">
        <v>23000</v>
      </c>
      <c r="G5" s="50">
        <f>Table68910111213[[#This Row],[Rate /Trips]]*Table68910111213[[#This Row],[Trips]]</f>
        <v>23000</v>
      </c>
      <c r="H5" s="40">
        <v>23000</v>
      </c>
      <c r="I5" s="50">
        <f>Table68910111213[[#This Row],[Total Value]]-Table68910111213[[#This Row],[Received]]</f>
        <v>0</v>
      </c>
      <c r="J5" s="9" t="str">
        <f t="shared" si="0"/>
        <v>✅ Paid</v>
      </c>
    </row>
    <row r="6" spans="1:10">
      <c r="A6" s="36">
        <v>45992</v>
      </c>
      <c r="B6" s="39" t="s">
        <v>400</v>
      </c>
      <c r="C6" s="39" t="s">
        <v>399</v>
      </c>
      <c r="D6" s="39" t="s">
        <v>191</v>
      </c>
      <c r="E6" s="1">
        <v>1</v>
      </c>
      <c r="F6" s="40">
        <v>23500</v>
      </c>
      <c r="G6" s="50">
        <f>Table68910111213[[#This Row],[Rate /Trips]]*Table68910111213[[#This Row],[Trips]]</f>
        <v>23500</v>
      </c>
      <c r="H6" s="40">
        <v>23500</v>
      </c>
      <c r="I6" s="50">
        <f>Table68910111213[[#This Row],[Total Value]]-Table68910111213[[#This Row],[Received]]</f>
        <v>0</v>
      </c>
      <c r="J6" s="9" t="str">
        <f t="shared" si="0"/>
        <v>✅ Paid</v>
      </c>
    </row>
    <row r="7" spans="1:10">
      <c r="A7" s="36">
        <v>45992</v>
      </c>
      <c r="B7" s="39" t="s">
        <v>383</v>
      </c>
      <c r="C7" s="39" t="s">
        <v>110</v>
      </c>
      <c r="D7" s="39" t="s">
        <v>401</v>
      </c>
      <c r="E7" s="1">
        <v>1</v>
      </c>
      <c r="F7" s="40">
        <v>23000</v>
      </c>
      <c r="G7" s="50">
        <f>Table68910111213[[#This Row],[Rate /Trips]]*Table68910111213[[#This Row],[Trips]]</f>
        <v>23000</v>
      </c>
      <c r="H7" s="40"/>
      <c r="I7" s="50">
        <f>Table68910111213[[#This Row],[Total Value]]-Table68910111213[[#This Row],[Received]]</f>
        <v>23000</v>
      </c>
      <c r="J7" s="9" t="str">
        <f t="shared" si="0"/>
        <v>🚨 URGENT: Ankush P owes ₹23000</v>
      </c>
    </row>
    <row r="8" spans="1:10">
      <c r="A8" s="36">
        <v>45992</v>
      </c>
      <c r="B8" s="39" t="s">
        <v>400</v>
      </c>
      <c r="C8" s="39" t="s">
        <v>110</v>
      </c>
      <c r="D8" s="39" t="s">
        <v>402</v>
      </c>
      <c r="E8" s="1">
        <v>1</v>
      </c>
      <c r="F8" s="40">
        <v>23000</v>
      </c>
      <c r="G8" s="50">
        <f>Table68910111213[[#This Row],[Rate /Trips]]*Table68910111213[[#This Row],[Trips]]</f>
        <v>23000</v>
      </c>
      <c r="H8" s="40"/>
      <c r="I8" s="50">
        <f>Table68910111213[[#This Row],[Total Value]]-Table68910111213[[#This Row],[Received]]</f>
        <v>23000</v>
      </c>
      <c r="J8" s="9" t="str">
        <f t="shared" si="0"/>
        <v>🚨 URGENT: Ankush P owes ₹23000</v>
      </c>
    </row>
    <row r="9" spans="1:10">
      <c r="A9" s="36">
        <v>45993</v>
      </c>
      <c r="B9" s="39" t="s">
        <v>58</v>
      </c>
      <c r="C9" s="39" t="s">
        <v>21</v>
      </c>
      <c r="D9" s="39" t="s">
        <v>52</v>
      </c>
      <c r="E9" s="1">
        <v>1</v>
      </c>
      <c r="F9" s="40">
        <v>23000</v>
      </c>
      <c r="G9" s="50">
        <f>Table68910111213[[#This Row],[Rate /Trips]]*Table68910111213[[#This Row],[Trips]]</f>
        <v>23000</v>
      </c>
      <c r="H9" s="40">
        <v>23000</v>
      </c>
      <c r="I9" s="50">
        <f>Table68910111213[[#This Row],[Total Value]]-Table68910111213[[#This Row],[Received]]</f>
        <v>0</v>
      </c>
      <c r="J9" s="9" t="str">
        <f t="shared" si="0"/>
        <v>✅ Paid</v>
      </c>
    </row>
    <row r="10" spans="1:10">
      <c r="A10" s="36">
        <v>45993</v>
      </c>
      <c r="B10" s="39" t="s">
        <v>58</v>
      </c>
      <c r="C10" s="39" t="s">
        <v>21</v>
      </c>
      <c r="D10" s="39" t="s">
        <v>54</v>
      </c>
      <c r="E10" s="1">
        <v>1</v>
      </c>
      <c r="F10" s="40">
        <v>23000</v>
      </c>
      <c r="G10" s="50">
        <f>Table68910111213[[#This Row],[Rate /Trips]]*Table68910111213[[#This Row],[Trips]]</f>
        <v>23000</v>
      </c>
      <c r="H10" s="40">
        <v>23000</v>
      </c>
      <c r="I10" s="50">
        <f>Table68910111213[[#This Row],[Total Value]]-Table68910111213[[#This Row],[Received]]</f>
        <v>0</v>
      </c>
      <c r="J10" s="9" t="str">
        <f t="shared" si="0"/>
        <v>✅ Paid</v>
      </c>
    </row>
    <row r="11" spans="1:10">
      <c r="A11" s="36">
        <v>45994</v>
      </c>
      <c r="B11" s="39" t="s">
        <v>58</v>
      </c>
      <c r="C11" s="39" t="s">
        <v>110</v>
      </c>
      <c r="D11" s="39" t="s">
        <v>388</v>
      </c>
      <c r="E11" s="1">
        <v>2</v>
      </c>
      <c r="F11" s="40">
        <v>23000</v>
      </c>
      <c r="G11" s="50">
        <f>Table68910111213[[#This Row],[Rate /Trips]]*Table68910111213[[#This Row],[Trips]]</f>
        <v>46000</v>
      </c>
      <c r="H11" s="40"/>
      <c r="I11" s="50">
        <f>Table68910111213[[#This Row],[Total Value]]-Table68910111213[[#This Row],[Received]]</f>
        <v>46000</v>
      </c>
      <c r="J11" s="9" t="str">
        <f t="shared" si="0"/>
        <v>🚨 URGENT: Ankush P owes ₹46000</v>
      </c>
    </row>
    <row r="12" spans="1:10">
      <c r="A12" s="36">
        <v>45994</v>
      </c>
      <c r="B12" s="39" t="s">
        <v>58</v>
      </c>
      <c r="C12" s="39" t="s">
        <v>404</v>
      </c>
      <c r="D12" s="39" t="s">
        <v>122</v>
      </c>
      <c r="E12" s="1">
        <v>1</v>
      </c>
      <c r="F12" s="40">
        <v>26000</v>
      </c>
      <c r="G12" s="50">
        <f>Table68910111213[[#This Row],[Rate /Trips]]*Table68910111213[[#This Row],[Trips]]</f>
        <v>26000</v>
      </c>
      <c r="H12" s="40">
        <v>26000</v>
      </c>
      <c r="I12" s="50">
        <f>Table68910111213[[#This Row],[Total Value]]-Table68910111213[[#This Row],[Received]]</f>
        <v>0</v>
      </c>
      <c r="J12" s="9" t="str">
        <f t="shared" si="0"/>
        <v>✅ Paid</v>
      </c>
    </row>
    <row r="13" spans="1:10">
      <c r="A13" s="36">
        <v>45994</v>
      </c>
      <c r="B13" s="39" t="s">
        <v>58</v>
      </c>
      <c r="C13" s="39" t="s">
        <v>313</v>
      </c>
      <c r="D13" s="39" t="s">
        <v>376</v>
      </c>
      <c r="E13" s="1">
        <v>1</v>
      </c>
      <c r="F13" s="40">
        <v>23000</v>
      </c>
      <c r="G13" s="50">
        <f>Table68910111213[[#This Row],[Rate /Trips]]*Table68910111213[[#This Row],[Trips]]</f>
        <v>23000</v>
      </c>
      <c r="H13" s="40">
        <v>23000</v>
      </c>
      <c r="I13" s="50">
        <f>Table68910111213[[#This Row],[Total Value]]-Table68910111213[[#This Row],[Received]]</f>
        <v>0</v>
      </c>
      <c r="J13" s="9" t="str">
        <f t="shared" si="0"/>
        <v>✅ Paid</v>
      </c>
    </row>
    <row r="14" spans="1:10">
      <c r="A14" s="36">
        <v>45994</v>
      </c>
      <c r="B14" s="39" t="s">
        <v>58</v>
      </c>
      <c r="C14" s="39" t="s">
        <v>23</v>
      </c>
      <c r="D14" s="39" t="s">
        <v>13</v>
      </c>
      <c r="E14" s="1">
        <v>1</v>
      </c>
      <c r="F14" s="40">
        <v>22000</v>
      </c>
      <c r="G14" s="50">
        <f>Table68910111213[[#This Row],[Rate /Trips]]*Table68910111213[[#This Row],[Trips]]</f>
        <v>22000</v>
      </c>
      <c r="H14" s="40"/>
      <c r="I14" s="50">
        <f>Table68910111213[[#This Row],[Total Value]]-Table68910111213[[#This Row],[Received]]</f>
        <v>22000</v>
      </c>
      <c r="J14" s="9" t="str">
        <f t="shared" si="0"/>
        <v>🚨 URGENT: Preet Bhaiya owes ₹22000</v>
      </c>
    </row>
    <row r="15" spans="1:10">
      <c r="A15" s="36">
        <v>45996</v>
      </c>
      <c r="B15" s="39" t="s">
        <v>58</v>
      </c>
      <c r="C15" s="39" t="s">
        <v>110</v>
      </c>
      <c r="D15" s="39" t="s">
        <v>388</v>
      </c>
      <c r="E15" s="1">
        <v>1</v>
      </c>
      <c r="F15" s="40">
        <v>23000</v>
      </c>
      <c r="G15" s="50">
        <f>Table68910111213[[#This Row],[Rate /Trips]]*Table68910111213[[#This Row],[Trips]]</f>
        <v>23000</v>
      </c>
      <c r="H15" s="40"/>
      <c r="I15" s="50">
        <f>Table68910111213[[#This Row],[Total Value]]-Table68910111213[[#This Row],[Received]]</f>
        <v>23000</v>
      </c>
      <c r="J15" s="9" t="str">
        <f t="shared" si="0"/>
        <v>🚨 URGENT: Ankush P owes ₹23000</v>
      </c>
    </row>
    <row r="16" spans="1:10">
      <c r="A16" s="36">
        <v>45996</v>
      </c>
      <c r="B16" s="39" t="s">
        <v>58</v>
      </c>
      <c r="C16" s="39" t="s">
        <v>404</v>
      </c>
      <c r="D16" s="39" t="s">
        <v>122</v>
      </c>
      <c r="E16" s="1">
        <v>1</v>
      </c>
      <c r="F16" s="40">
        <v>26000</v>
      </c>
      <c r="G16" s="50">
        <f>Table68910111213[[#This Row],[Rate /Trips]]*Table68910111213[[#This Row],[Trips]]</f>
        <v>26000</v>
      </c>
      <c r="H16" s="40">
        <v>26000</v>
      </c>
      <c r="I16" s="50">
        <f>Table68910111213[[#This Row],[Total Value]]-Table68910111213[[#This Row],[Received]]</f>
        <v>0</v>
      </c>
      <c r="J16" s="9" t="str">
        <f t="shared" si="0"/>
        <v>✅ Paid</v>
      </c>
    </row>
    <row r="17" spans="1:10">
      <c r="A17" s="36">
        <v>45996</v>
      </c>
      <c r="B17" s="39" t="s">
        <v>58</v>
      </c>
      <c r="C17" s="39" t="s">
        <v>23</v>
      </c>
      <c r="D17" s="39" t="s">
        <v>91</v>
      </c>
      <c r="E17" s="1">
        <v>1</v>
      </c>
      <c r="F17" s="40">
        <v>22000</v>
      </c>
      <c r="G17" s="50">
        <f>Table68910111213[[#This Row],[Rate /Trips]]*Table68910111213[[#This Row],[Trips]]</f>
        <v>22000</v>
      </c>
      <c r="H17" s="40"/>
      <c r="I17" s="50">
        <f>Table68910111213[[#This Row],[Total Value]]-Table68910111213[[#This Row],[Received]]</f>
        <v>22000</v>
      </c>
      <c r="J17" s="9" t="str">
        <f t="shared" si="0"/>
        <v>🚨 URGENT: Preet Bhaiya owes ₹22000</v>
      </c>
    </row>
    <row r="18" spans="1:10">
      <c r="A18" s="36">
        <v>45996</v>
      </c>
      <c r="B18" s="39" t="s">
        <v>58</v>
      </c>
      <c r="C18" s="39" t="s">
        <v>84</v>
      </c>
      <c r="D18" s="39" t="s">
        <v>10</v>
      </c>
      <c r="E18" s="1">
        <v>1</v>
      </c>
      <c r="F18" s="40">
        <v>26000</v>
      </c>
      <c r="G18" s="50">
        <f>Table68910111213[[#This Row],[Rate /Trips]]*Table68910111213[[#This Row],[Trips]]</f>
        <v>26000</v>
      </c>
      <c r="H18" s="40">
        <v>26000</v>
      </c>
      <c r="I18" s="50">
        <f>Table68910111213[[#This Row],[Total Value]]-Table68910111213[[#This Row],[Received]]</f>
        <v>0</v>
      </c>
      <c r="J18" s="9" t="str">
        <f t="shared" si="0"/>
        <v>✅ Paid</v>
      </c>
    </row>
    <row r="19" spans="1:10">
      <c r="A19" s="36">
        <v>45996</v>
      </c>
      <c r="B19" s="39" t="s">
        <v>58</v>
      </c>
      <c r="C19" s="39" t="s">
        <v>405</v>
      </c>
      <c r="D19" s="39" t="s">
        <v>367</v>
      </c>
      <c r="E19" s="1">
        <v>1</v>
      </c>
      <c r="F19" s="40">
        <v>32000</v>
      </c>
      <c r="G19" s="50">
        <f>Table68910111213[[#This Row],[Rate /Trips]]*Table68910111213[[#This Row],[Trips]]</f>
        <v>32000</v>
      </c>
      <c r="H19" s="40">
        <v>32000</v>
      </c>
      <c r="I19" s="50">
        <f>Table68910111213[[#This Row],[Total Value]]-Table68910111213[[#This Row],[Received]]</f>
        <v>0</v>
      </c>
      <c r="J19" s="9" t="str">
        <f t="shared" si="0"/>
        <v>✅ Paid</v>
      </c>
    </row>
    <row r="20" spans="1:10">
      <c r="A20" s="36">
        <v>45997</v>
      </c>
      <c r="B20" s="39" t="s">
        <v>58</v>
      </c>
      <c r="C20" s="39" t="s">
        <v>398</v>
      </c>
      <c r="D20" s="39" t="s">
        <v>162</v>
      </c>
      <c r="E20" s="1">
        <v>1</v>
      </c>
      <c r="F20" s="40">
        <v>23000</v>
      </c>
      <c r="G20" s="50">
        <f>Table68910111213[[#This Row],[Rate /Trips]]*Table68910111213[[#This Row],[Trips]]</f>
        <v>23000</v>
      </c>
      <c r="H20" s="40">
        <v>23000</v>
      </c>
      <c r="I20" s="50">
        <f>Table68910111213[[#This Row],[Total Value]]-Table68910111213[[#This Row],[Received]]</f>
        <v>0</v>
      </c>
      <c r="J20" s="9" t="str">
        <f t="shared" si="0"/>
        <v>✅ Paid</v>
      </c>
    </row>
    <row r="21" spans="1:10">
      <c r="A21" s="36">
        <v>45997</v>
      </c>
      <c r="B21" s="39" t="s">
        <v>58</v>
      </c>
      <c r="C21" s="39" t="s">
        <v>39</v>
      </c>
      <c r="D21" s="39" t="s">
        <v>376</v>
      </c>
      <c r="E21" s="1">
        <v>1</v>
      </c>
      <c r="F21" s="40">
        <v>23000</v>
      </c>
      <c r="G21" s="50">
        <f>Table68910111213[[#This Row],[Rate /Trips]]*Table68910111213[[#This Row],[Trips]]</f>
        <v>23000</v>
      </c>
      <c r="H21" s="40"/>
      <c r="I21" s="50">
        <f>Table68910111213[[#This Row],[Total Value]]-Table68910111213[[#This Row],[Received]]</f>
        <v>23000</v>
      </c>
      <c r="J21" s="9" t="str">
        <f t="shared" si="0"/>
        <v>🚨 URGENT: Vishal Prasad owes ₹23000</v>
      </c>
    </row>
    <row r="22" spans="1:10">
      <c r="A22" s="36">
        <v>45997</v>
      </c>
      <c r="B22" s="39" t="s">
        <v>58</v>
      </c>
      <c r="C22" s="39" t="s">
        <v>23</v>
      </c>
      <c r="D22" s="39" t="s">
        <v>42</v>
      </c>
      <c r="E22" s="1">
        <v>1</v>
      </c>
      <c r="F22" s="40">
        <v>23000</v>
      </c>
      <c r="G22" s="50">
        <f>Table68910111213[[#This Row],[Rate /Trips]]*Table68910111213[[#This Row],[Trips]]</f>
        <v>23000</v>
      </c>
      <c r="H22" s="40"/>
      <c r="I22" s="50">
        <f>Table68910111213[[#This Row],[Total Value]]-Table68910111213[[#This Row],[Received]]</f>
        <v>23000</v>
      </c>
      <c r="J22" s="9" t="str">
        <f t="shared" si="0"/>
        <v>🚨 URGENT: Preet Bhaiya owes ₹23000</v>
      </c>
    </row>
    <row r="23" spans="1:10">
      <c r="A23" s="36">
        <v>45997</v>
      </c>
      <c r="B23" s="39" t="s">
        <v>58</v>
      </c>
      <c r="C23" s="39" t="s">
        <v>235</v>
      </c>
      <c r="D23" s="39" t="s">
        <v>406</v>
      </c>
      <c r="E23" s="1">
        <v>1</v>
      </c>
      <c r="F23" s="40">
        <v>24000</v>
      </c>
      <c r="G23" s="50">
        <f>Table68910111213[[#This Row],[Rate /Trips]]*Table68910111213[[#This Row],[Trips]]</f>
        <v>24000</v>
      </c>
      <c r="H23" s="40">
        <v>24000</v>
      </c>
      <c r="I23" s="50">
        <f>Table68910111213[[#This Row],[Total Value]]-Table68910111213[[#This Row],[Received]]</f>
        <v>0</v>
      </c>
      <c r="J23" s="9" t="str">
        <f t="shared" si="0"/>
        <v>✅ Paid</v>
      </c>
    </row>
    <row r="24" spans="1:10">
      <c r="A24" s="36">
        <v>45997</v>
      </c>
      <c r="B24" s="39" t="s">
        <v>383</v>
      </c>
      <c r="C24" s="39" t="s">
        <v>313</v>
      </c>
      <c r="D24" s="39" t="s">
        <v>376</v>
      </c>
      <c r="E24" s="1">
        <v>1</v>
      </c>
      <c r="F24" s="40">
        <v>25000</v>
      </c>
      <c r="G24" s="50">
        <f>Table68910111213[[#This Row],[Rate /Trips]]*Table68910111213[[#This Row],[Trips]]</f>
        <v>25000</v>
      </c>
      <c r="H24" s="40">
        <v>25000</v>
      </c>
      <c r="I24" s="50">
        <f>Table68910111213[[#This Row],[Total Value]]-Table68910111213[[#This Row],[Received]]</f>
        <v>0</v>
      </c>
      <c r="J24" s="9" t="str">
        <f t="shared" si="0"/>
        <v>✅ Paid</v>
      </c>
    </row>
    <row r="25" spans="1:10">
      <c r="A25" s="36">
        <v>45998</v>
      </c>
      <c r="B25" s="39" t="s">
        <v>58</v>
      </c>
      <c r="C25" s="39" t="s">
        <v>84</v>
      </c>
      <c r="D25" s="39" t="s">
        <v>407</v>
      </c>
      <c r="E25" s="1">
        <v>1</v>
      </c>
      <c r="F25" s="40">
        <v>26000</v>
      </c>
      <c r="G25" s="50">
        <f>Table68910111213[[#This Row],[Rate /Trips]]*Table68910111213[[#This Row],[Trips]]</f>
        <v>26000</v>
      </c>
      <c r="H25" s="40">
        <v>26000</v>
      </c>
      <c r="I25" s="50">
        <f>Table68910111213[[#This Row],[Total Value]]-Table68910111213[[#This Row],[Received]]</f>
        <v>0</v>
      </c>
      <c r="J25" s="9" t="str">
        <f t="shared" si="0"/>
        <v>✅ Paid</v>
      </c>
    </row>
    <row r="26" spans="1:10">
      <c r="A26" s="36">
        <v>45998</v>
      </c>
      <c r="B26" s="39" t="s">
        <v>58</v>
      </c>
      <c r="C26" s="39" t="s">
        <v>39</v>
      </c>
      <c r="D26" s="39" t="s">
        <v>54</v>
      </c>
      <c r="E26" s="1">
        <v>1</v>
      </c>
      <c r="F26" s="40">
        <v>23000</v>
      </c>
      <c r="G26" s="50">
        <f>Table68910111213[[#This Row],[Rate /Trips]]*Table68910111213[[#This Row],[Trips]]</f>
        <v>23000</v>
      </c>
      <c r="H26" s="40"/>
      <c r="I26" s="50">
        <f>Table68910111213[[#This Row],[Total Value]]-Table68910111213[[#This Row],[Received]]</f>
        <v>23000</v>
      </c>
      <c r="J26" s="9" t="str">
        <f t="shared" si="0"/>
        <v>🚨 URGENT: Vishal Prasad owes ₹23000</v>
      </c>
    </row>
    <row r="27" spans="1:10">
      <c r="A27" s="36">
        <v>45998</v>
      </c>
      <c r="B27" s="39" t="s">
        <v>58</v>
      </c>
      <c r="C27" s="39" t="s">
        <v>43</v>
      </c>
      <c r="D27" s="39" t="s">
        <v>408</v>
      </c>
      <c r="E27" s="1">
        <v>1</v>
      </c>
      <c r="F27" s="40">
        <v>23000</v>
      </c>
      <c r="G27" s="50">
        <f>Table68910111213[[#This Row],[Rate /Trips]]*Table68910111213[[#This Row],[Trips]]</f>
        <v>23000</v>
      </c>
      <c r="H27" s="40"/>
      <c r="I27" s="50">
        <f>Table68910111213[[#This Row],[Total Value]]-Table68910111213[[#This Row],[Received]]</f>
        <v>23000</v>
      </c>
      <c r="J27" s="9" t="str">
        <f t="shared" si="0"/>
        <v>🚨 URGENT: Nitin Prasad owes ₹23000</v>
      </c>
    </row>
    <row r="28" spans="1:10">
      <c r="A28" s="36">
        <v>45998</v>
      </c>
      <c r="B28" s="39" t="s">
        <v>383</v>
      </c>
      <c r="C28" s="39" t="s">
        <v>43</v>
      </c>
      <c r="D28" s="39" t="s">
        <v>409</v>
      </c>
      <c r="E28" s="1">
        <v>1</v>
      </c>
      <c r="F28" s="40">
        <v>23000</v>
      </c>
      <c r="G28" s="50">
        <f>Table68910111213[[#This Row],[Rate /Trips]]*Table68910111213[[#This Row],[Trips]]</f>
        <v>23000</v>
      </c>
      <c r="H28" s="40"/>
      <c r="I28" s="50">
        <f>Table68910111213[[#This Row],[Total Value]]-Table68910111213[[#This Row],[Received]]</f>
        <v>23000</v>
      </c>
      <c r="J28" s="9" t="str">
        <f t="shared" si="0"/>
        <v>🚨 URGENT: Nitin Prasad owes ₹23000</v>
      </c>
    </row>
    <row r="29" spans="1:10">
      <c r="A29" s="36">
        <v>45999</v>
      </c>
      <c r="B29" s="39" t="s">
        <v>410</v>
      </c>
      <c r="C29" s="39" t="s">
        <v>405</v>
      </c>
      <c r="D29" s="39" t="s">
        <v>411</v>
      </c>
      <c r="E29" s="1">
        <v>1</v>
      </c>
      <c r="F29" s="40">
        <v>32000</v>
      </c>
      <c r="G29" s="50">
        <f>Table68910111213[[#This Row],[Rate /Trips]]*Table68910111213[[#This Row],[Trips]]</f>
        <v>32000</v>
      </c>
      <c r="H29" s="40">
        <v>32000</v>
      </c>
      <c r="I29" s="50">
        <f>Table68910111213[[#This Row],[Total Value]]-Table68910111213[[#This Row],[Received]]</f>
        <v>0</v>
      </c>
      <c r="J29" s="9" t="str">
        <f t="shared" si="0"/>
        <v>✅ Paid</v>
      </c>
    </row>
    <row r="30" spans="1:10">
      <c r="A30" s="36">
        <v>45999</v>
      </c>
      <c r="B30" s="39" t="s">
        <v>410</v>
      </c>
      <c r="C30" s="39" t="s">
        <v>391</v>
      </c>
      <c r="D30" s="39" t="s">
        <v>392</v>
      </c>
      <c r="E30" s="1">
        <v>1</v>
      </c>
      <c r="F30" s="40">
        <v>25500</v>
      </c>
      <c r="G30" s="50">
        <f>Table68910111213[[#This Row],[Rate /Trips]]*Table68910111213[[#This Row],[Trips]]</f>
        <v>25500</v>
      </c>
      <c r="H30" s="40">
        <v>25500</v>
      </c>
      <c r="I30" s="50">
        <f>Table68910111213[[#This Row],[Total Value]]-Table68910111213[[#This Row],[Received]]</f>
        <v>0</v>
      </c>
      <c r="J30" s="9" t="str">
        <f t="shared" si="0"/>
        <v>✅ Paid</v>
      </c>
    </row>
    <row r="31" spans="1:10">
      <c r="A31" s="36">
        <v>46000</v>
      </c>
      <c r="B31" s="55" t="s">
        <v>58</v>
      </c>
      <c r="C31" s="55" t="s">
        <v>84</v>
      </c>
      <c r="D31" s="55" t="s">
        <v>47</v>
      </c>
      <c r="E31" s="1">
        <v>1</v>
      </c>
      <c r="F31" s="40">
        <v>26000</v>
      </c>
      <c r="G31" s="50">
        <f>Table68910111213[[#This Row],[Rate /Trips]]*Table68910111213[[#This Row],[Trips]]</f>
        <v>26000</v>
      </c>
      <c r="H31" s="40">
        <v>26000</v>
      </c>
      <c r="I31" s="50">
        <f>Table68910111213[[#This Row],[Total Value]]-Table68910111213[[#This Row],[Received]]</f>
        <v>0</v>
      </c>
      <c r="J31" s="9" t="str">
        <f t="shared" si="0"/>
        <v>✅ Paid</v>
      </c>
    </row>
    <row r="32" spans="1:10">
      <c r="A32" s="36">
        <v>46000</v>
      </c>
      <c r="B32" s="55" t="s">
        <v>58</v>
      </c>
      <c r="C32" s="55" t="s">
        <v>43</v>
      </c>
      <c r="D32" s="55" t="s">
        <v>412</v>
      </c>
      <c r="E32" s="1">
        <v>1</v>
      </c>
      <c r="F32" s="40">
        <v>23000</v>
      </c>
      <c r="G32" s="50">
        <f>Table68910111213[[#This Row],[Rate /Trips]]*Table68910111213[[#This Row],[Trips]]</f>
        <v>23000</v>
      </c>
      <c r="H32" s="40"/>
      <c r="I32" s="50">
        <f>Table68910111213[[#This Row],[Total Value]]-Table68910111213[[#This Row],[Received]]</f>
        <v>23000</v>
      </c>
      <c r="J32" s="9" t="str">
        <f t="shared" si="0"/>
        <v>🚨 URGENT: Nitin Prasad owes ₹23000</v>
      </c>
    </row>
    <row r="33" spans="1:10">
      <c r="A33" s="36">
        <v>46000</v>
      </c>
      <c r="B33" s="55" t="s">
        <v>383</v>
      </c>
      <c r="C33" s="55" t="s">
        <v>110</v>
      </c>
      <c r="D33" s="55" t="s">
        <v>413</v>
      </c>
      <c r="E33" s="1">
        <v>1</v>
      </c>
      <c r="F33" s="40">
        <v>23000</v>
      </c>
      <c r="G33" s="50">
        <f>Table68910111213[[#This Row],[Rate /Trips]]*Table68910111213[[#This Row],[Trips]]</f>
        <v>23000</v>
      </c>
      <c r="H33" s="40"/>
      <c r="I33" s="50">
        <f>Table68910111213[[#This Row],[Total Value]]-Table68910111213[[#This Row],[Received]]</f>
        <v>23000</v>
      </c>
      <c r="J33" s="9" t="str">
        <f t="shared" si="0"/>
        <v>🚨 URGENT: Ankush P owes ₹23000</v>
      </c>
    </row>
    <row r="34" spans="1:10">
      <c r="A34" s="36">
        <v>46001</v>
      </c>
      <c r="B34" s="55" t="s">
        <v>58</v>
      </c>
      <c r="C34" s="55" t="s">
        <v>43</v>
      </c>
      <c r="D34" s="55" t="s">
        <v>162</v>
      </c>
      <c r="E34" s="1">
        <v>1</v>
      </c>
      <c r="F34" s="40">
        <v>23000</v>
      </c>
      <c r="G34" s="50">
        <f>Table68910111213[[#This Row],[Rate /Trips]]*Table68910111213[[#This Row],[Trips]]</f>
        <v>23000</v>
      </c>
      <c r="H34" s="2"/>
      <c r="I34" s="50">
        <f>Table68910111213[[#This Row],[Total Value]]-Table68910111213[[#This Row],[Received]]</f>
        <v>23000</v>
      </c>
      <c r="J34" s="9" t="str">
        <f t="shared" si="0"/>
        <v>🚨 URGENT: Nitin Prasad owes ₹23000</v>
      </c>
    </row>
    <row r="35" spans="1:10">
      <c r="A35" s="36">
        <v>46001</v>
      </c>
      <c r="B35" s="55" t="s">
        <v>58</v>
      </c>
      <c r="C35" s="55" t="s">
        <v>110</v>
      </c>
      <c r="D35" s="55" t="s">
        <v>116</v>
      </c>
      <c r="E35" s="1">
        <v>1</v>
      </c>
      <c r="F35" s="40">
        <v>23000</v>
      </c>
      <c r="G35" s="50">
        <f>Table68910111213[[#This Row],[Rate /Trips]]*Table68910111213[[#This Row],[Trips]]</f>
        <v>23000</v>
      </c>
      <c r="H35" s="2"/>
      <c r="I35" s="50">
        <f>Table68910111213[[#This Row],[Total Value]]-Table68910111213[[#This Row],[Received]]</f>
        <v>23000</v>
      </c>
      <c r="J35" s="9" t="str">
        <f t="shared" si="0"/>
        <v>🚨 URGENT: Ankush P owes ₹23000</v>
      </c>
    </row>
    <row r="36" spans="1:10">
      <c r="A36" s="36">
        <v>46001</v>
      </c>
      <c r="B36" s="55" t="s">
        <v>58</v>
      </c>
      <c r="C36" s="55" t="s">
        <v>43</v>
      </c>
      <c r="D36" s="55" t="s">
        <v>63</v>
      </c>
      <c r="E36" s="1">
        <v>1</v>
      </c>
      <c r="F36" s="40">
        <v>23000</v>
      </c>
      <c r="G36" s="50">
        <f>Table68910111213[[#This Row],[Rate /Trips]]*Table68910111213[[#This Row],[Trips]]</f>
        <v>23000</v>
      </c>
      <c r="H36" s="2"/>
      <c r="I36" s="50">
        <f>Table68910111213[[#This Row],[Total Value]]-Table68910111213[[#This Row],[Received]]</f>
        <v>23000</v>
      </c>
      <c r="J36" s="9" t="str">
        <f t="shared" ref="J36:J67" si="1">IF(I36&gt;10000,"🚨 URGENT: "&amp;C36&amp;" owes ₹"&amp;I36,IF(I36&gt;5000,"⚠️ WARNING: "&amp;C36&amp;" - ₹"&amp;I36&amp;" due",IF(I36&gt;0,"ℹ️ "&amp;C36&amp;" - ₹"&amp;I36&amp;" pending","✅ Paid")))</f>
        <v>🚨 URGENT: Nitin Prasad owes ₹23000</v>
      </c>
    </row>
    <row r="37" spans="1:10">
      <c r="A37" s="36">
        <v>46001</v>
      </c>
      <c r="B37" s="55" t="s">
        <v>58</v>
      </c>
      <c r="C37" s="55" t="s">
        <v>404</v>
      </c>
      <c r="D37" s="55" t="s">
        <v>122</v>
      </c>
      <c r="E37" s="1">
        <v>1</v>
      </c>
      <c r="F37" s="40">
        <v>26000</v>
      </c>
      <c r="G37" s="50">
        <f>Table68910111213[[#This Row],[Rate /Trips]]*Table68910111213[[#This Row],[Trips]]</f>
        <v>26000</v>
      </c>
      <c r="H37" s="40">
        <v>26000</v>
      </c>
      <c r="I37" s="50">
        <f>Table68910111213[[#This Row],[Total Value]]-Table68910111213[[#This Row],[Received]]</f>
        <v>0</v>
      </c>
      <c r="J37" s="9" t="str">
        <f t="shared" si="1"/>
        <v>✅ Paid</v>
      </c>
    </row>
    <row r="38" spans="1:10">
      <c r="A38" s="36">
        <v>46001</v>
      </c>
      <c r="B38" s="55" t="s">
        <v>58</v>
      </c>
      <c r="C38" s="55" t="s">
        <v>199</v>
      </c>
      <c r="D38" s="55" t="s">
        <v>414</v>
      </c>
      <c r="E38" s="1">
        <v>1</v>
      </c>
      <c r="F38" s="40">
        <v>23000</v>
      </c>
      <c r="G38" s="50">
        <f>Table68910111213[[#This Row],[Rate /Trips]]*Table68910111213[[#This Row],[Trips]]</f>
        <v>23000</v>
      </c>
      <c r="H38" s="2">
        <v>23000</v>
      </c>
      <c r="I38" s="50">
        <f>Table68910111213[[#This Row],[Total Value]]-Table68910111213[[#This Row],[Received]]</f>
        <v>0</v>
      </c>
      <c r="J38" s="9" t="str">
        <f t="shared" si="1"/>
        <v>✅ Paid</v>
      </c>
    </row>
    <row r="39" spans="1:10">
      <c r="A39" s="36">
        <v>46002</v>
      </c>
      <c r="B39" s="39" t="s">
        <v>58</v>
      </c>
      <c r="C39" s="39" t="s">
        <v>43</v>
      </c>
      <c r="D39" s="39" t="s">
        <v>63</v>
      </c>
      <c r="E39" s="1">
        <v>2</v>
      </c>
      <c r="F39" s="40">
        <v>23000</v>
      </c>
      <c r="G39" s="50">
        <f>Table68910111213[[#This Row],[Rate /Trips]]*Table68910111213[[#This Row],[Trips]]</f>
        <v>46000</v>
      </c>
      <c r="H39" s="40"/>
      <c r="I39" s="50">
        <f>Table68910111213[[#This Row],[Total Value]]-Table68910111213[[#This Row],[Received]]</f>
        <v>46000</v>
      </c>
      <c r="J39" s="9" t="str">
        <f t="shared" si="1"/>
        <v>🚨 URGENT: Nitin Prasad owes ₹46000</v>
      </c>
    </row>
    <row r="40" spans="1:10">
      <c r="A40" s="36">
        <v>46004</v>
      </c>
      <c r="B40" s="39" t="s">
        <v>58</v>
      </c>
      <c r="C40" s="39" t="s">
        <v>110</v>
      </c>
      <c r="D40" s="39" t="s">
        <v>126</v>
      </c>
      <c r="E40" s="1">
        <v>1</v>
      </c>
      <c r="F40" s="40">
        <v>23000</v>
      </c>
      <c r="G40" s="50">
        <f>Table68910111213[[#This Row],[Rate /Trips]]*Table68910111213[[#This Row],[Trips]]</f>
        <v>23000</v>
      </c>
      <c r="H40" s="40"/>
      <c r="I40" s="50">
        <f>Table68910111213[[#This Row],[Total Value]]-Table68910111213[[#This Row],[Received]]</f>
        <v>23000</v>
      </c>
      <c r="J40" s="9" t="str">
        <f t="shared" si="1"/>
        <v>🚨 URGENT: Ankush P owes ₹23000</v>
      </c>
    </row>
    <row r="41" spans="1:10">
      <c r="A41" s="36">
        <v>46004</v>
      </c>
      <c r="B41" s="39" t="s">
        <v>58</v>
      </c>
      <c r="C41" s="39" t="s">
        <v>420</v>
      </c>
      <c r="D41" s="39" t="s">
        <v>253</v>
      </c>
      <c r="E41" s="1">
        <v>1</v>
      </c>
      <c r="F41" s="40">
        <v>23000</v>
      </c>
      <c r="G41" s="50">
        <f>Table68910111213[[#This Row],[Rate /Trips]]*Table68910111213[[#This Row],[Trips]]</f>
        <v>23000</v>
      </c>
      <c r="H41" s="40">
        <v>23000</v>
      </c>
      <c r="I41" s="50">
        <f>Table68910111213[[#This Row],[Total Value]]-Table68910111213[[#This Row],[Received]]</f>
        <v>0</v>
      </c>
      <c r="J41" s="9" t="str">
        <f t="shared" si="1"/>
        <v>✅ Paid</v>
      </c>
    </row>
    <row r="42" spans="1:10">
      <c r="A42" s="36">
        <v>46004</v>
      </c>
      <c r="B42" s="39" t="s">
        <v>383</v>
      </c>
      <c r="C42" s="39" t="s">
        <v>398</v>
      </c>
      <c r="D42" s="39" t="s">
        <v>162</v>
      </c>
      <c r="E42" s="1">
        <v>1</v>
      </c>
      <c r="F42" s="40">
        <v>23000</v>
      </c>
      <c r="G42" s="50">
        <f>Table68910111213[[#This Row],[Rate /Trips]]*Table68910111213[[#This Row],[Trips]]</f>
        <v>23000</v>
      </c>
      <c r="H42" s="40">
        <v>23000</v>
      </c>
      <c r="I42" s="50">
        <f>Table68910111213[[#This Row],[Total Value]]-Table68910111213[[#This Row],[Received]]</f>
        <v>0</v>
      </c>
      <c r="J42" s="9" t="str">
        <f t="shared" si="1"/>
        <v>✅ Paid</v>
      </c>
    </row>
    <row r="43" spans="1:10">
      <c r="A43" s="36">
        <v>46004</v>
      </c>
      <c r="B43" s="39" t="s">
        <v>58</v>
      </c>
      <c r="C43" s="39" t="s">
        <v>39</v>
      </c>
      <c r="D43" s="39" t="s">
        <v>54</v>
      </c>
      <c r="E43" s="1">
        <v>1</v>
      </c>
      <c r="F43" s="40">
        <v>23000</v>
      </c>
      <c r="G43" s="50">
        <f>Table68910111213[[#This Row],[Rate /Trips]]*Table68910111213[[#This Row],[Trips]]</f>
        <v>23000</v>
      </c>
      <c r="H43" s="40"/>
      <c r="I43" s="50">
        <f>Table68910111213[[#This Row],[Total Value]]-Table68910111213[[#This Row],[Received]]</f>
        <v>23000</v>
      </c>
      <c r="J43" s="9" t="str">
        <f t="shared" si="1"/>
        <v>🚨 URGENT: Vishal Prasad owes ₹23000</v>
      </c>
    </row>
    <row r="44" spans="1:10">
      <c r="A44" s="36">
        <v>46004</v>
      </c>
      <c r="B44" s="39" t="s">
        <v>58</v>
      </c>
      <c r="C44" s="39" t="s">
        <v>39</v>
      </c>
      <c r="D44" s="39" t="s">
        <v>421</v>
      </c>
      <c r="E44" s="1">
        <v>1</v>
      </c>
      <c r="F44" s="40">
        <v>24000</v>
      </c>
      <c r="G44" s="50">
        <f>Table68910111213[[#This Row],[Rate /Trips]]*Table68910111213[[#This Row],[Trips]]</f>
        <v>24000</v>
      </c>
      <c r="H44" s="40"/>
      <c r="I44" s="50">
        <f>Table68910111213[[#This Row],[Total Value]]-Table68910111213[[#This Row],[Received]]</f>
        <v>24000</v>
      </c>
      <c r="J44" s="9" t="str">
        <f t="shared" si="1"/>
        <v>🚨 URGENT: Vishal Prasad owes ₹24000</v>
      </c>
    </row>
    <row r="45" spans="1:10">
      <c r="A45" s="36">
        <v>46004</v>
      </c>
      <c r="B45" s="39" t="s">
        <v>58</v>
      </c>
      <c r="C45" s="39" t="s">
        <v>404</v>
      </c>
      <c r="D45" s="39" t="s">
        <v>122</v>
      </c>
      <c r="E45" s="1">
        <v>1</v>
      </c>
      <c r="F45" s="40">
        <v>26000</v>
      </c>
      <c r="G45" s="50">
        <f>Table68910111213[[#This Row],[Rate /Trips]]*Table68910111213[[#This Row],[Trips]]</f>
        <v>26000</v>
      </c>
      <c r="H45" s="40">
        <v>26000</v>
      </c>
      <c r="I45" s="50">
        <f>Table68910111213[[#This Row],[Total Value]]-Table68910111213[[#This Row],[Received]]</f>
        <v>0</v>
      </c>
      <c r="J45" s="9" t="str">
        <f t="shared" si="1"/>
        <v>✅ Paid</v>
      </c>
    </row>
    <row r="46" spans="1:10">
      <c r="A46" s="36">
        <v>46004</v>
      </c>
      <c r="B46" s="39" t="s">
        <v>58</v>
      </c>
      <c r="C46" s="39" t="s">
        <v>23</v>
      </c>
      <c r="D46" s="39" t="s">
        <v>19</v>
      </c>
      <c r="E46" s="1">
        <v>1</v>
      </c>
      <c r="F46" s="40">
        <v>23000</v>
      </c>
      <c r="G46" s="50">
        <f>Table68910111213[[#This Row],[Rate /Trips]]*Table68910111213[[#This Row],[Trips]]</f>
        <v>23000</v>
      </c>
      <c r="H46" s="40"/>
      <c r="I46" s="50">
        <f>Table68910111213[[#This Row],[Total Value]]-Table68910111213[[#This Row],[Received]]</f>
        <v>23000</v>
      </c>
      <c r="J46" s="9" t="str">
        <f t="shared" si="1"/>
        <v>🚨 URGENT: Preet Bhaiya owes ₹23000</v>
      </c>
    </row>
    <row r="47" spans="1:10">
      <c r="A47" s="36">
        <v>46004</v>
      </c>
      <c r="B47" s="39" t="s">
        <v>58</v>
      </c>
      <c r="C47" s="39" t="s">
        <v>422</v>
      </c>
      <c r="D47" s="39" t="s">
        <v>19</v>
      </c>
      <c r="E47" s="1">
        <v>1</v>
      </c>
      <c r="F47" s="40">
        <v>23000</v>
      </c>
      <c r="G47" s="50">
        <f>Table68910111213[[#This Row],[Rate /Trips]]*Table68910111213[[#This Row],[Trips]]</f>
        <v>23000</v>
      </c>
      <c r="H47" s="40"/>
      <c r="I47" s="50">
        <f>Table68910111213[[#This Row],[Total Value]]-Table68910111213[[#This Row],[Received]]</f>
        <v>23000</v>
      </c>
      <c r="J47" s="9" t="str">
        <f t="shared" si="1"/>
        <v>🚨 URGENT: Rahim Bhaiya owes ₹23000</v>
      </c>
    </row>
    <row r="48" spans="1:10">
      <c r="A48" s="36">
        <v>46004</v>
      </c>
      <c r="B48" s="39" t="s">
        <v>58</v>
      </c>
      <c r="C48" s="39" t="s">
        <v>415</v>
      </c>
      <c r="D48" s="39" t="s">
        <v>34</v>
      </c>
      <c r="E48" s="1">
        <v>1</v>
      </c>
      <c r="F48" s="40">
        <v>26000</v>
      </c>
      <c r="G48" s="50">
        <f>Table68910111213[[#This Row],[Rate /Trips]]*Table68910111213[[#This Row],[Trips]]</f>
        <v>26000</v>
      </c>
      <c r="H48" s="40"/>
      <c r="I48" s="50">
        <f>Table68910111213[[#This Row],[Total Value]]-Table68910111213[[#This Row],[Received]]</f>
        <v>26000</v>
      </c>
      <c r="J48" s="9" t="str">
        <f t="shared" si="1"/>
        <v>🚨 URGENT: Arnav owes ₹26000</v>
      </c>
    </row>
    <row r="49" spans="1:10">
      <c r="A49" s="36">
        <v>46005</v>
      </c>
      <c r="B49" s="39" t="s">
        <v>419</v>
      </c>
      <c r="C49" s="39" t="s">
        <v>110</v>
      </c>
      <c r="D49" s="39" t="s">
        <v>388</v>
      </c>
      <c r="E49" s="1">
        <v>2</v>
      </c>
      <c r="F49" s="40">
        <v>23000</v>
      </c>
      <c r="G49" s="50">
        <f>Table68910111213[[#This Row],[Rate /Trips]]*Table68910111213[[#This Row],[Trips]]</f>
        <v>46000</v>
      </c>
      <c r="H49" s="40"/>
      <c r="I49" s="50">
        <f>Table68910111213[[#This Row],[Total Value]]-Table68910111213[[#This Row],[Received]]</f>
        <v>46000</v>
      </c>
      <c r="J49" s="9" t="str">
        <f t="shared" si="1"/>
        <v>🚨 URGENT: Ankush P owes ₹46000</v>
      </c>
    </row>
    <row r="50" spans="1:10">
      <c r="A50" s="36">
        <v>46005</v>
      </c>
      <c r="B50" s="39" t="s">
        <v>58</v>
      </c>
      <c r="C50" s="39" t="s">
        <v>415</v>
      </c>
      <c r="D50" s="39" t="s">
        <v>162</v>
      </c>
      <c r="E50" s="1">
        <v>1</v>
      </c>
      <c r="F50" s="40">
        <v>26000</v>
      </c>
      <c r="G50" s="50">
        <f>Table68910111213[[#This Row],[Rate /Trips]]*Table68910111213[[#This Row],[Trips]]</f>
        <v>26000</v>
      </c>
      <c r="H50" s="40"/>
      <c r="I50" s="50">
        <f>Table68910111213[[#This Row],[Total Value]]-Table68910111213[[#This Row],[Received]]</f>
        <v>26000</v>
      </c>
      <c r="J50" s="9" t="str">
        <f t="shared" si="1"/>
        <v>🚨 URGENT: Arnav owes ₹26000</v>
      </c>
    </row>
    <row r="51" spans="1:10">
      <c r="A51" s="36">
        <v>46005</v>
      </c>
      <c r="B51" s="39" t="s">
        <v>58</v>
      </c>
      <c r="C51" s="39" t="s">
        <v>18</v>
      </c>
      <c r="D51" s="39" t="s">
        <v>162</v>
      </c>
      <c r="E51" s="1">
        <v>1</v>
      </c>
      <c r="F51" s="40">
        <v>26000</v>
      </c>
      <c r="G51" s="50">
        <f>Table68910111213[[#This Row],[Rate /Trips]]*Table68910111213[[#This Row],[Trips]]</f>
        <v>26000</v>
      </c>
      <c r="H51" s="40"/>
      <c r="I51" s="50">
        <f>Table68910111213[[#This Row],[Total Value]]-Table68910111213[[#This Row],[Received]]</f>
        <v>26000</v>
      </c>
      <c r="J51" s="9" t="str">
        <f t="shared" si="1"/>
        <v>🚨 URGENT: Yuvraj Thakur owes ₹26000</v>
      </c>
    </row>
    <row r="52" spans="1:10">
      <c r="A52" s="36">
        <v>46005</v>
      </c>
      <c r="B52" s="39" t="s">
        <v>58</v>
      </c>
      <c r="C52" s="39" t="s">
        <v>23</v>
      </c>
      <c r="D52" s="39" t="s">
        <v>63</v>
      </c>
      <c r="E52" s="1">
        <v>1</v>
      </c>
      <c r="F52" s="40">
        <v>26000</v>
      </c>
      <c r="G52" s="50">
        <f>Table68910111213[[#This Row],[Rate /Trips]]*Table68910111213[[#This Row],[Trips]]</f>
        <v>26000</v>
      </c>
      <c r="H52" s="40"/>
      <c r="I52" s="50">
        <f>Table68910111213[[#This Row],[Total Value]]-Table68910111213[[#This Row],[Received]]</f>
        <v>26000</v>
      </c>
      <c r="J52" s="9" t="str">
        <f t="shared" si="1"/>
        <v>🚨 URGENT: Preet Bhaiya owes ₹26000</v>
      </c>
    </row>
    <row r="53" spans="1:10">
      <c r="A53" s="36">
        <v>46005</v>
      </c>
      <c r="B53" s="39" t="s">
        <v>4</v>
      </c>
      <c r="C53" s="39" t="s">
        <v>39</v>
      </c>
      <c r="D53" s="39" t="s">
        <v>416</v>
      </c>
      <c r="E53" s="1">
        <v>1</v>
      </c>
      <c r="F53" s="40">
        <v>26000</v>
      </c>
      <c r="G53" s="50">
        <f>Table68910111213[[#This Row],[Rate /Trips]]*Table68910111213[[#This Row],[Trips]]</f>
        <v>26000</v>
      </c>
      <c r="H53" s="40"/>
      <c r="I53" s="50">
        <f>Table68910111213[[#This Row],[Total Value]]-Table68910111213[[#This Row],[Received]]</f>
        <v>26000</v>
      </c>
      <c r="J53" s="9" t="str">
        <f t="shared" si="1"/>
        <v>🚨 URGENT: Vishal Prasad owes ₹26000</v>
      </c>
    </row>
    <row r="54" spans="1:10">
      <c r="A54" s="36">
        <v>46005</v>
      </c>
      <c r="B54" s="39" t="s">
        <v>58</v>
      </c>
      <c r="C54" s="39" t="s">
        <v>405</v>
      </c>
      <c r="D54" s="39" t="s">
        <v>417</v>
      </c>
      <c r="E54" s="1">
        <v>1</v>
      </c>
      <c r="F54" s="40">
        <v>27000</v>
      </c>
      <c r="G54" s="50">
        <f>Table68910111213[[#This Row],[Rate /Trips]]*Table68910111213[[#This Row],[Trips]]</f>
        <v>27000</v>
      </c>
      <c r="H54" s="40"/>
      <c r="I54" s="50">
        <f>Table68910111213[[#This Row],[Total Value]]-Table68910111213[[#This Row],[Received]]</f>
        <v>27000</v>
      </c>
      <c r="J54" s="9" t="str">
        <f t="shared" si="1"/>
        <v>🚨 URGENT: Rishab Dada owes ₹27000</v>
      </c>
    </row>
    <row r="55" spans="1:10">
      <c r="A55" s="36">
        <v>46005</v>
      </c>
      <c r="B55" s="39" t="s">
        <v>4</v>
      </c>
      <c r="C55" s="39" t="s">
        <v>43</v>
      </c>
      <c r="D55" s="39" t="s">
        <v>418</v>
      </c>
      <c r="E55" s="1">
        <v>1</v>
      </c>
      <c r="F55" s="40">
        <v>26000</v>
      </c>
      <c r="G55" s="50">
        <f>Table68910111213[[#This Row],[Rate /Trips]]*Table68910111213[[#This Row],[Trips]]</f>
        <v>26000</v>
      </c>
      <c r="H55" s="40"/>
      <c r="I55" s="50">
        <f>Table68910111213[[#This Row],[Total Value]]-Table68910111213[[#This Row],[Received]]</f>
        <v>26000</v>
      </c>
      <c r="J55" s="9" t="str">
        <f t="shared" si="1"/>
        <v>🚨 URGENT: Nitin Prasad owes ₹26000</v>
      </c>
    </row>
    <row r="56" spans="1:10">
      <c r="A56" s="36">
        <v>46005</v>
      </c>
      <c r="B56" s="39" t="s">
        <v>4</v>
      </c>
      <c r="C56" s="39" t="s">
        <v>39</v>
      </c>
      <c r="D56" s="39" t="s">
        <v>54</v>
      </c>
      <c r="E56" s="1">
        <v>1</v>
      </c>
      <c r="F56" s="40">
        <v>26000</v>
      </c>
      <c r="G56" s="50">
        <f>Table68910111213[[#This Row],[Rate /Trips]]*Table68910111213[[#This Row],[Trips]]</f>
        <v>26000</v>
      </c>
      <c r="H56" s="40"/>
      <c r="I56" s="50">
        <f>Table68910111213[[#This Row],[Total Value]]-Table68910111213[[#This Row],[Received]]</f>
        <v>26000</v>
      </c>
      <c r="J56" s="9" t="str">
        <f t="shared" si="1"/>
        <v>🚨 URGENT: Vishal Prasad owes ₹26000</v>
      </c>
    </row>
    <row r="57" spans="1:10">
      <c r="A57" s="36">
        <v>46005</v>
      </c>
      <c r="B57" s="39" t="s">
        <v>58</v>
      </c>
      <c r="C57" s="39" t="s">
        <v>415</v>
      </c>
      <c r="D57" s="39" t="s">
        <v>34</v>
      </c>
      <c r="E57" s="1">
        <v>1</v>
      </c>
      <c r="F57" s="40">
        <v>26000</v>
      </c>
      <c r="G57" s="50">
        <f>Table68910111213[[#This Row],[Rate /Trips]]*Table68910111213[[#This Row],[Trips]]</f>
        <v>26000</v>
      </c>
      <c r="H57" s="40"/>
      <c r="I57" s="50">
        <f>Table68910111213[[#This Row],[Total Value]]-Table68910111213[[#This Row],[Received]]</f>
        <v>26000</v>
      </c>
      <c r="J57" s="9" t="str">
        <f t="shared" si="1"/>
        <v>🚨 URGENT: Arnav owes ₹26000</v>
      </c>
    </row>
    <row r="58" spans="1:10">
      <c r="A58" s="36">
        <v>46006</v>
      </c>
      <c r="B58" s="39" t="s">
        <v>58</v>
      </c>
      <c r="C58" s="39" t="s">
        <v>43</v>
      </c>
      <c r="D58" s="39" t="s">
        <v>423</v>
      </c>
      <c r="E58" s="1">
        <v>1</v>
      </c>
      <c r="F58" s="40">
        <v>26000</v>
      </c>
      <c r="G58" s="50">
        <f>Table68910111213[[#This Row],[Rate /Trips]]*Table68910111213[[#This Row],[Trips]]</f>
        <v>26000</v>
      </c>
      <c r="H58" s="40"/>
      <c r="I58" s="50">
        <f>Table68910111213[[#This Row],[Total Value]]-Table68910111213[[#This Row],[Received]]</f>
        <v>26000</v>
      </c>
      <c r="J58" s="9" t="str">
        <f t="shared" si="1"/>
        <v>🚨 URGENT: Nitin Prasad owes ₹26000</v>
      </c>
    </row>
    <row r="59" spans="1:10">
      <c r="A59" s="36">
        <v>46006</v>
      </c>
      <c r="B59" s="39" t="s">
        <v>58</v>
      </c>
      <c r="C59" s="39" t="s">
        <v>39</v>
      </c>
      <c r="D59" s="39" t="s">
        <v>424</v>
      </c>
      <c r="E59" s="1">
        <v>1</v>
      </c>
      <c r="F59" s="40">
        <v>26000</v>
      </c>
      <c r="G59" s="50">
        <f>Table68910111213[[#This Row],[Rate /Trips]]*Table68910111213[[#This Row],[Trips]]</f>
        <v>26000</v>
      </c>
      <c r="H59" s="40"/>
      <c r="I59" s="50">
        <f>Table68910111213[[#This Row],[Total Value]]-Table68910111213[[#This Row],[Received]]</f>
        <v>26000</v>
      </c>
      <c r="J59" s="9" t="str">
        <f t="shared" si="1"/>
        <v>🚨 URGENT: Vishal Prasad owes ₹26000</v>
      </c>
    </row>
    <row r="60" spans="1:10">
      <c r="A60" s="36">
        <v>46006</v>
      </c>
      <c r="B60" s="39" t="s">
        <v>58</v>
      </c>
      <c r="C60" s="39" t="s">
        <v>23</v>
      </c>
      <c r="D60" s="39" t="s">
        <v>425</v>
      </c>
      <c r="E60" s="1">
        <v>1</v>
      </c>
      <c r="F60" s="40">
        <v>26000</v>
      </c>
      <c r="G60" s="50">
        <f>Table68910111213[[#This Row],[Rate /Trips]]*Table68910111213[[#This Row],[Trips]]</f>
        <v>26000</v>
      </c>
      <c r="H60" s="40"/>
      <c r="I60" s="50">
        <f>Table68910111213[[#This Row],[Total Value]]-Table68910111213[[#This Row],[Received]]</f>
        <v>26000</v>
      </c>
      <c r="J60" s="9" t="str">
        <f t="shared" si="1"/>
        <v>🚨 URGENT: Preet Bhaiya owes ₹26000</v>
      </c>
    </row>
    <row r="61" spans="1:10">
      <c r="A61" s="36">
        <v>46006</v>
      </c>
      <c r="B61" s="39" t="s">
        <v>58</v>
      </c>
      <c r="C61" s="39" t="s">
        <v>110</v>
      </c>
      <c r="D61" s="39" t="s">
        <v>426</v>
      </c>
      <c r="E61" s="1">
        <v>1</v>
      </c>
      <c r="F61" s="40">
        <v>25000</v>
      </c>
      <c r="G61" s="50">
        <f>Table68910111213[[#This Row],[Rate /Trips]]*Table68910111213[[#This Row],[Trips]]</f>
        <v>25000</v>
      </c>
      <c r="H61" s="40"/>
      <c r="I61" s="50">
        <f>Table68910111213[[#This Row],[Total Value]]-Table68910111213[[#This Row],[Received]]</f>
        <v>25000</v>
      </c>
      <c r="J61" s="9" t="str">
        <f t="shared" si="1"/>
        <v>🚨 URGENT: Ankush P owes ₹25000</v>
      </c>
    </row>
    <row r="62" spans="1:10">
      <c r="A62" s="36">
        <v>46006</v>
      </c>
      <c r="B62" s="39" t="s">
        <v>58</v>
      </c>
      <c r="C62" s="39" t="s">
        <v>84</v>
      </c>
      <c r="D62" s="39" t="s">
        <v>47</v>
      </c>
      <c r="E62" s="1">
        <v>1</v>
      </c>
      <c r="F62" s="40">
        <v>30000</v>
      </c>
      <c r="G62" s="50">
        <f>Table68910111213[[#This Row],[Rate /Trips]]*Table68910111213[[#This Row],[Trips]]</f>
        <v>30000</v>
      </c>
      <c r="H62" s="40">
        <v>30000</v>
      </c>
      <c r="I62" s="50">
        <f>Table68910111213[[#This Row],[Total Value]]-Table68910111213[[#This Row],[Received]]</f>
        <v>0</v>
      </c>
      <c r="J62" s="9" t="str">
        <f t="shared" si="1"/>
        <v>✅ Paid</v>
      </c>
    </row>
    <row r="63" spans="1:10">
      <c r="A63" s="36">
        <v>46007</v>
      </c>
      <c r="B63" s="39" t="s">
        <v>58</v>
      </c>
      <c r="C63" s="39" t="s">
        <v>405</v>
      </c>
      <c r="D63" s="39" t="s">
        <v>210</v>
      </c>
      <c r="E63" s="1">
        <v>1</v>
      </c>
      <c r="F63" s="40">
        <v>23000</v>
      </c>
      <c r="G63" s="50">
        <f>Table68910111213[[#This Row],[Rate /Trips]]*Table68910111213[[#This Row],[Trips]]</f>
        <v>23000</v>
      </c>
      <c r="H63" s="40">
        <v>23000</v>
      </c>
      <c r="I63" s="50">
        <f>Table68910111213[[#This Row],[Total Value]]-Table68910111213[[#This Row],[Received]]</f>
        <v>0</v>
      </c>
      <c r="J63" s="9" t="str">
        <f t="shared" si="1"/>
        <v>✅ Paid</v>
      </c>
    </row>
    <row r="64" spans="1:10">
      <c r="A64" s="36">
        <v>46007</v>
      </c>
      <c r="B64" s="39" t="s">
        <v>58</v>
      </c>
      <c r="C64" s="39" t="s">
        <v>110</v>
      </c>
      <c r="D64" s="39" t="s">
        <v>427</v>
      </c>
      <c r="E64" s="1">
        <v>1</v>
      </c>
      <c r="F64" s="40">
        <v>25000</v>
      </c>
      <c r="G64" s="50">
        <f>Table68910111213[[#This Row],[Rate /Trips]]*Table68910111213[[#This Row],[Trips]]</f>
        <v>25000</v>
      </c>
      <c r="H64" s="40"/>
      <c r="I64" s="50">
        <f>Table68910111213[[#This Row],[Total Value]]-Table68910111213[[#This Row],[Received]]</f>
        <v>25000</v>
      </c>
      <c r="J64" s="9" t="str">
        <f t="shared" si="1"/>
        <v>🚨 URGENT: Ankush P owes ₹25000</v>
      </c>
    </row>
    <row r="65" spans="1:10">
      <c r="A65" s="36">
        <v>46007</v>
      </c>
      <c r="B65" s="39" t="s">
        <v>58</v>
      </c>
      <c r="C65" s="39" t="s">
        <v>110</v>
      </c>
      <c r="D65" s="39" t="s">
        <v>8</v>
      </c>
      <c r="E65" s="1">
        <v>1</v>
      </c>
      <c r="F65" s="40">
        <v>25000</v>
      </c>
      <c r="G65" s="50">
        <f>Table68910111213[[#This Row],[Rate /Trips]]*Table68910111213[[#This Row],[Trips]]</f>
        <v>25000</v>
      </c>
      <c r="H65" s="40"/>
      <c r="I65" s="50">
        <f>Table68910111213[[#This Row],[Total Value]]-Table68910111213[[#This Row],[Received]]</f>
        <v>25000</v>
      </c>
      <c r="J65" s="9" t="str">
        <f t="shared" si="1"/>
        <v>🚨 URGENT: Ankush P owes ₹25000</v>
      </c>
    </row>
    <row r="66" spans="1:10">
      <c r="A66" s="36">
        <v>46007</v>
      </c>
      <c r="B66" s="39" t="s">
        <v>58</v>
      </c>
      <c r="C66" s="39" t="s">
        <v>428</v>
      </c>
      <c r="D66" s="39" t="s">
        <v>19</v>
      </c>
      <c r="E66" s="1">
        <v>1</v>
      </c>
      <c r="F66" s="40">
        <v>25000</v>
      </c>
      <c r="G66" s="50">
        <f>Table68910111213[[#This Row],[Rate /Trips]]*Table68910111213[[#This Row],[Trips]]</f>
        <v>25000</v>
      </c>
      <c r="H66" s="40">
        <v>25000</v>
      </c>
      <c r="I66" s="50">
        <f>Table68910111213[[#This Row],[Total Value]]-Table68910111213[[#This Row],[Received]]</f>
        <v>0</v>
      </c>
      <c r="J66" s="9" t="str">
        <f t="shared" si="1"/>
        <v>✅ Paid</v>
      </c>
    </row>
    <row r="67" spans="1:10">
      <c r="A67" s="36">
        <v>46007</v>
      </c>
      <c r="B67" s="39" t="s">
        <v>58</v>
      </c>
      <c r="C67" s="39" t="s">
        <v>84</v>
      </c>
      <c r="D67" s="39" t="s">
        <v>10</v>
      </c>
      <c r="E67" s="1">
        <v>1</v>
      </c>
      <c r="F67" s="40">
        <v>28000</v>
      </c>
      <c r="G67" s="50">
        <f>Table68910111213[[#This Row],[Rate /Trips]]*Table68910111213[[#This Row],[Trips]]</f>
        <v>28000</v>
      </c>
      <c r="H67" s="40"/>
      <c r="I67" s="50">
        <f>Table68910111213[[#This Row],[Total Value]]-Table68910111213[[#This Row],[Received]]</f>
        <v>28000</v>
      </c>
      <c r="J67" s="9" t="str">
        <f t="shared" si="1"/>
        <v>🚨 URGENT: Saurabh owes ₹28000</v>
      </c>
    </row>
    <row r="68" spans="1:10">
      <c r="A68" s="36">
        <v>46007</v>
      </c>
      <c r="B68" s="39" t="s">
        <v>58</v>
      </c>
      <c r="C68" s="39" t="s">
        <v>84</v>
      </c>
      <c r="D68" s="39" t="s">
        <v>11</v>
      </c>
      <c r="E68" s="1">
        <v>1</v>
      </c>
      <c r="F68" s="40">
        <v>30000</v>
      </c>
      <c r="G68" s="50">
        <f>Table68910111213[[#This Row],[Rate /Trips]]*Table68910111213[[#This Row],[Trips]]</f>
        <v>30000</v>
      </c>
      <c r="H68" s="40">
        <v>30000</v>
      </c>
      <c r="I68" s="50">
        <f>Table68910111213[[#This Row],[Total Value]]-Table68910111213[[#This Row],[Received]]</f>
        <v>0</v>
      </c>
      <c r="J68" s="9" t="str">
        <f t="shared" ref="J68:J78" si="2">IF(I68&gt;10000,"🚨 URGENT: "&amp;C68&amp;" owes ₹"&amp;I68,IF(I68&gt;5000,"⚠️ WARNING: "&amp;C68&amp;" - ₹"&amp;I68&amp;" due",IF(I68&gt;0,"ℹ️ "&amp;C68&amp;" - ₹"&amp;I68&amp;" pending","✅ Paid")))</f>
        <v>✅ Paid</v>
      </c>
    </row>
    <row r="69" spans="1:10">
      <c r="A69" s="36">
        <v>46007</v>
      </c>
      <c r="B69" s="39" t="s">
        <v>58</v>
      </c>
      <c r="C69" s="39" t="s">
        <v>249</v>
      </c>
      <c r="D69" s="39" t="s">
        <v>11</v>
      </c>
      <c r="E69" s="1">
        <v>1</v>
      </c>
      <c r="F69" s="40">
        <v>30000</v>
      </c>
      <c r="G69" s="50">
        <f>Table68910111213[[#This Row],[Rate /Trips]]*Table68910111213[[#This Row],[Trips]]</f>
        <v>30000</v>
      </c>
      <c r="H69" s="40"/>
      <c r="I69" s="50">
        <f>Table68910111213[[#This Row],[Total Value]]-Table68910111213[[#This Row],[Received]]</f>
        <v>30000</v>
      </c>
      <c r="J69" s="9" t="str">
        <f t="shared" si="2"/>
        <v>🚨 URGENT: Guru owes ₹30000</v>
      </c>
    </row>
    <row r="70" spans="1:10">
      <c r="A70" s="36">
        <v>46007</v>
      </c>
      <c r="B70" s="39" t="s">
        <v>58</v>
      </c>
      <c r="C70" s="39" t="s">
        <v>405</v>
      </c>
      <c r="D70" s="39" t="s">
        <v>411</v>
      </c>
      <c r="E70" s="1">
        <v>1</v>
      </c>
      <c r="F70" s="40">
        <v>33000</v>
      </c>
      <c r="G70" s="50">
        <f>Table68910111213[[#This Row],[Rate /Trips]]*Table68910111213[[#This Row],[Trips]]</f>
        <v>33000</v>
      </c>
      <c r="H70" s="40">
        <v>33000</v>
      </c>
      <c r="I70" s="50">
        <f>Table68910111213[[#This Row],[Total Value]]-Table68910111213[[#This Row],[Received]]</f>
        <v>0</v>
      </c>
      <c r="J70" s="9" t="str">
        <f t="shared" si="2"/>
        <v>✅ Paid</v>
      </c>
    </row>
    <row r="71" spans="1:10">
      <c r="A71" s="36">
        <v>46009</v>
      </c>
      <c r="B71" s="39" t="s">
        <v>58</v>
      </c>
      <c r="C71" s="39" t="s">
        <v>43</v>
      </c>
      <c r="D71" s="39" t="s">
        <v>352</v>
      </c>
      <c r="E71" s="1">
        <v>1</v>
      </c>
      <c r="F71" s="40">
        <v>30000</v>
      </c>
      <c r="G71" s="50">
        <f>Table68910111213[[#This Row],[Rate /Trips]]*Table68910111213[[#This Row],[Trips]]</f>
        <v>30000</v>
      </c>
      <c r="H71" s="40"/>
      <c r="I71" s="50">
        <f>Table68910111213[[#This Row],[Total Value]]-Table68910111213[[#This Row],[Received]]</f>
        <v>30000</v>
      </c>
      <c r="J71" s="9" t="str">
        <f t="shared" si="2"/>
        <v>🚨 URGENT: Nitin Prasad owes ₹30000</v>
      </c>
    </row>
    <row r="72" spans="1:10">
      <c r="A72" s="36">
        <v>46009</v>
      </c>
      <c r="B72" s="39" t="s">
        <v>58</v>
      </c>
      <c r="C72" s="39" t="s">
        <v>110</v>
      </c>
      <c r="D72" s="39" t="s">
        <v>402</v>
      </c>
      <c r="E72" s="1">
        <v>1</v>
      </c>
      <c r="F72" s="40">
        <v>23000</v>
      </c>
      <c r="G72" s="50">
        <f>Table68910111213[[#This Row],[Rate /Trips]]*Table68910111213[[#This Row],[Trips]]</f>
        <v>23000</v>
      </c>
      <c r="H72" s="40"/>
      <c r="I72" s="50">
        <f>Table68910111213[[#This Row],[Total Value]]-Table68910111213[[#This Row],[Received]]</f>
        <v>23000</v>
      </c>
      <c r="J72" s="9" t="str">
        <f t="shared" si="2"/>
        <v>🚨 URGENT: Ankush P owes ₹23000</v>
      </c>
    </row>
    <row r="73" spans="1:10">
      <c r="A73" s="36">
        <v>46009</v>
      </c>
      <c r="B73" s="39" t="s">
        <v>58</v>
      </c>
      <c r="C73" s="39" t="s">
        <v>430</v>
      </c>
      <c r="D73" s="39" t="s">
        <v>429</v>
      </c>
      <c r="E73" s="1">
        <v>1</v>
      </c>
      <c r="F73" s="40">
        <v>30000</v>
      </c>
      <c r="G73" s="50">
        <f>Table68910111213[[#This Row],[Rate /Trips]]*Table68910111213[[#This Row],[Trips]]</f>
        <v>30000</v>
      </c>
      <c r="H73" s="40"/>
      <c r="I73" s="50">
        <f>Table68910111213[[#This Row],[Total Value]]-Table68910111213[[#This Row],[Received]]</f>
        <v>30000</v>
      </c>
      <c r="J73" s="9" t="str">
        <f t="shared" si="2"/>
        <v>🚨 URGENT: Jannya Bhau owes ₹30000</v>
      </c>
    </row>
    <row r="74" spans="1:10">
      <c r="A74" s="36">
        <v>46010</v>
      </c>
      <c r="B74" s="39" t="s">
        <v>381</v>
      </c>
      <c r="C74" s="39" t="s">
        <v>110</v>
      </c>
      <c r="D74" s="39" t="s">
        <v>388</v>
      </c>
      <c r="E74" s="1">
        <v>2</v>
      </c>
      <c r="F74" s="40">
        <v>23000</v>
      </c>
      <c r="G74" s="50">
        <f>Table68910111213[[#This Row],[Rate /Trips]]*Table68910111213[[#This Row],[Trips]]</f>
        <v>46000</v>
      </c>
      <c r="H74" s="40"/>
      <c r="I74" s="50">
        <f>Table68910111213[[#This Row],[Total Value]]-Table68910111213[[#This Row],[Received]]</f>
        <v>46000</v>
      </c>
      <c r="J74" s="9" t="str">
        <f t="shared" si="2"/>
        <v>🚨 URGENT: Ankush P owes ₹46000</v>
      </c>
    </row>
    <row r="75" spans="1:10">
      <c r="A75" s="36">
        <v>46010</v>
      </c>
      <c r="B75" s="39" t="s">
        <v>381</v>
      </c>
      <c r="C75" s="39" t="s">
        <v>110</v>
      </c>
      <c r="D75" s="39" t="s">
        <v>432</v>
      </c>
      <c r="E75" s="1">
        <v>1</v>
      </c>
      <c r="F75" s="40">
        <v>23000</v>
      </c>
      <c r="G75" s="50">
        <f>Table68910111213[[#This Row],[Rate /Trips]]*Table68910111213[[#This Row],[Trips]]</f>
        <v>23000</v>
      </c>
      <c r="H75" s="40"/>
      <c r="I75" s="50">
        <f>Table68910111213[[#This Row],[Total Value]]-Table68910111213[[#This Row],[Received]]</f>
        <v>23000</v>
      </c>
      <c r="J75" s="9" t="str">
        <f t="shared" si="2"/>
        <v>🚨 URGENT: Ankush P owes ₹23000</v>
      </c>
    </row>
    <row r="76" spans="1:10">
      <c r="A76" s="36">
        <v>46010</v>
      </c>
      <c r="B76" s="39" t="s">
        <v>381</v>
      </c>
      <c r="C76" s="39" t="s">
        <v>43</v>
      </c>
      <c r="D76" s="39" t="s">
        <v>431</v>
      </c>
      <c r="E76" s="1">
        <v>1</v>
      </c>
      <c r="F76" s="40">
        <v>23000</v>
      </c>
      <c r="G76" s="50">
        <f>Table68910111213[[#This Row],[Rate /Trips]]*Table68910111213[[#This Row],[Trips]]</f>
        <v>23000</v>
      </c>
      <c r="H76" s="40"/>
      <c r="I76" s="50">
        <f>Table68910111213[[#This Row],[Total Value]]-Table68910111213[[#This Row],[Received]]</f>
        <v>23000</v>
      </c>
      <c r="J76" s="9" t="str">
        <f t="shared" si="2"/>
        <v>🚨 URGENT: Nitin Prasad owes ₹23000</v>
      </c>
    </row>
    <row r="77" spans="1:10">
      <c r="A77" s="36">
        <v>46010</v>
      </c>
      <c r="B77" s="39" t="s">
        <v>381</v>
      </c>
      <c r="C77" s="39" t="s">
        <v>405</v>
      </c>
      <c r="D77" s="39" t="s">
        <v>210</v>
      </c>
      <c r="E77" s="1">
        <v>1</v>
      </c>
      <c r="F77" s="40">
        <v>23000</v>
      </c>
      <c r="G77" s="50">
        <f>Table68910111213[[#This Row],[Rate /Trips]]*Table68910111213[[#This Row],[Trips]]</f>
        <v>23000</v>
      </c>
      <c r="H77" s="40">
        <v>23000</v>
      </c>
      <c r="I77" s="50">
        <f>Table68910111213[[#This Row],[Total Value]]-Table68910111213[[#This Row],[Received]]</f>
        <v>0</v>
      </c>
      <c r="J77" s="9" t="str">
        <f t="shared" si="2"/>
        <v>✅ Paid</v>
      </c>
    </row>
    <row r="78" spans="1:10">
      <c r="A78" s="36">
        <v>46010</v>
      </c>
      <c r="B78" s="39" t="s">
        <v>381</v>
      </c>
      <c r="C78" s="39" t="s">
        <v>23</v>
      </c>
      <c r="D78" s="39" t="s">
        <v>120</v>
      </c>
      <c r="E78" s="1">
        <v>1</v>
      </c>
      <c r="F78" s="40">
        <v>23000</v>
      </c>
      <c r="G78" s="50">
        <f>Table68910111213[[#This Row],[Rate /Trips]]*Table68910111213[[#This Row],[Trips]]</f>
        <v>23000</v>
      </c>
      <c r="H78" s="40"/>
      <c r="I78" s="50">
        <f>Table68910111213[[#This Row],[Total Value]]-Table68910111213[[#This Row],[Received]]</f>
        <v>23000</v>
      </c>
      <c r="J78" s="9" t="str">
        <f t="shared" si="2"/>
        <v>🚨 URGENT: Preet Bhaiya owes ₹23000</v>
      </c>
    </row>
    <row r="79" spans="1:10">
      <c r="A79" s="36">
        <v>46011</v>
      </c>
      <c r="B79" s="39" t="s">
        <v>58</v>
      </c>
      <c r="C79" s="39" t="s">
        <v>433</v>
      </c>
      <c r="D79" s="39" t="s">
        <v>19</v>
      </c>
      <c r="E79" s="1">
        <v>1</v>
      </c>
      <c r="F79" s="40">
        <v>25500</v>
      </c>
      <c r="G79" s="50">
        <f>Table68910111213[[#This Row],[Rate /Trips]]*Table68910111213[[#This Row],[Trips]]</f>
        <v>25500</v>
      </c>
      <c r="H79" s="40">
        <v>25500</v>
      </c>
      <c r="I79" s="50">
        <f>Table68910111213[[#This Row],[Total Value]]-Table68910111213[[#This Row],[Received]]</f>
        <v>0</v>
      </c>
      <c r="J79" s="9"/>
    </row>
    <row r="80" spans="1:10">
      <c r="A80" s="36">
        <v>46011</v>
      </c>
      <c r="B80" s="39" t="s">
        <v>381</v>
      </c>
      <c r="C80" s="39" t="s">
        <v>92</v>
      </c>
      <c r="D80" s="39" t="s">
        <v>254</v>
      </c>
      <c r="E80" s="1">
        <v>1</v>
      </c>
      <c r="F80" s="40">
        <v>28000</v>
      </c>
      <c r="G80" s="50">
        <f>Table68910111213[[#This Row],[Rate /Trips]]*Table68910111213[[#This Row],[Trips]]</f>
        <v>28000</v>
      </c>
      <c r="H80" s="40"/>
      <c r="I80" s="50">
        <f>Table68910111213[[#This Row],[Total Value]]-Table68910111213[[#This Row],[Received]]</f>
        <v>28000</v>
      </c>
      <c r="J80" s="9" t="str">
        <f t="shared" ref="J80:J119" si="3">IF(I80&gt;10000,"🚨 URGENT: "&amp;C80&amp;" owes ₹"&amp;I80,IF(I80&gt;5000,"⚠️ WARNING: "&amp;C80&amp;" - ₹"&amp;I80&amp;" due",IF(I80&gt;0,"ℹ️ "&amp;C80&amp;" - ₹"&amp;I80&amp;" pending","✅ Paid")))</f>
        <v>🚨 URGENT: Ashwin owes ₹28000</v>
      </c>
    </row>
    <row r="81" spans="1:10">
      <c r="A81" s="36">
        <v>46012</v>
      </c>
      <c r="B81" s="39" t="s">
        <v>58</v>
      </c>
      <c r="C81" s="39" t="s">
        <v>107</v>
      </c>
      <c r="D81" s="39" t="s">
        <v>160</v>
      </c>
      <c r="E81" s="1">
        <v>1</v>
      </c>
      <c r="F81" s="40">
        <v>25000</v>
      </c>
      <c r="G81" s="50">
        <f>Table68910111213[[#This Row],[Rate /Trips]]*Table68910111213[[#This Row],[Trips]]</f>
        <v>25000</v>
      </c>
      <c r="H81" s="2"/>
      <c r="I81" s="50">
        <f>Table68910111213[[#This Row],[Total Value]]-Table68910111213[[#This Row],[Received]]</f>
        <v>25000</v>
      </c>
      <c r="J81" s="9" t="str">
        <f t="shared" si="3"/>
        <v>🚨 URGENT: Sau Thekedar owes ₹25000</v>
      </c>
    </row>
    <row r="82" spans="1:10">
      <c r="A82" s="36">
        <v>46012</v>
      </c>
      <c r="B82" s="39" t="s">
        <v>58</v>
      </c>
      <c r="C82" s="39" t="s">
        <v>110</v>
      </c>
      <c r="D82" s="39" t="s">
        <v>253</v>
      </c>
      <c r="E82" s="1">
        <v>1</v>
      </c>
      <c r="F82" s="40">
        <v>23000</v>
      </c>
      <c r="G82" s="50">
        <f>Table68910111213[[#This Row],[Rate /Trips]]*Table68910111213[[#This Row],[Trips]]</f>
        <v>23000</v>
      </c>
      <c r="H82" s="2"/>
      <c r="I82" s="50">
        <f>Table68910111213[[#This Row],[Total Value]]-Table68910111213[[#This Row],[Received]]</f>
        <v>23000</v>
      </c>
      <c r="J82" s="9" t="str">
        <f t="shared" si="3"/>
        <v>🚨 URGENT: Ankush P owes ₹23000</v>
      </c>
    </row>
    <row r="83" spans="1:10">
      <c r="A83" s="36">
        <v>46012</v>
      </c>
      <c r="B83" s="39" t="s">
        <v>58</v>
      </c>
      <c r="C83" s="39" t="s">
        <v>415</v>
      </c>
      <c r="D83" s="39" t="s">
        <v>17</v>
      </c>
      <c r="E83" s="1">
        <v>1</v>
      </c>
      <c r="F83" s="40">
        <v>23500</v>
      </c>
      <c r="G83" s="50">
        <f>Table68910111213[[#This Row],[Rate /Trips]]*Table68910111213[[#This Row],[Trips]]</f>
        <v>23500</v>
      </c>
      <c r="H83" s="2"/>
      <c r="I83" s="50">
        <f>Table68910111213[[#This Row],[Total Value]]-Table68910111213[[#This Row],[Received]]</f>
        <v>23500</v>
      </c>
      <c r="J83" s="9" t="str">
        <f t="shared" si="3"/>
        <v>🚨 URGENT: Arnav owes ₹23500</v>
      </c>
    </row>
    <row r="84" spans="1:10">
      <c r="A84" s="36">
        <v>46012</v>
      </c>
      <c r="B84" s="39" t="s">
        <v>381</v>
      </c>
      <c r="C84" s="39" t="s">
        <v>110</v>
      </c>
      <c r="D84" s="39" t="s">
        <v>376</v>
      </c>
      <c r="E84" s="1">
        <v>1</v>
      </c>
      <c r="F84" s="40">
        <v>23000</v>
      </c>
      <c r="G84" s="50">
        <f>Table68910111213[[#This Row],[Rate /Trips]]*Table68910111213[[#This Row],[Trips]]</f>
        <v>23000</v>
      </c>
      <c r="H84" s="2"/>
      <c r="I84" s="50">
        <f>Table68910111213[[#This Row],[Total Value]]-Table68910111213[[#This Row],[Received]]</f>
        <v>23000</v>
      </c>
      <c r="J84" s="9" t="str">
        <f t="shared" si="3"/>
        <v>🚨 URGENT: Ankush P owes ₹23000</v>
      </c>
    </row>
    <row r="85" spans="1:10">
      <c r="A85" s="36">
        <v>46012</v>
      </c>
      <c r="B85" s="39" t="s">
        <v>381</v>
      </c>
      <c r="C85" s="39" t="s">
        <v>415</v>
      </c>
      <c r="D85" s="39" t="s">
        <v>412</v>
      </c>
      <c r="E85" s="1">
        <v>1</v>
      </c>
      <c r="F85" s="40">
        <v>24000</v>
      </c>
      <c r="G85" s="50">
        <f>Table68910111213[[#This Row],[Rate /Trips]]*Table68910111213[[#This Row],[Trips]]</f>
        <v>24000</v>
      </c>
      <c r="H85" s="2"/>
      <c r="I85" s="50">
        <f>Table68910111213[[#This Row],[Total Value]]-Table68910111213[[#This Row],[Received]]</f>
        <v>24000</v>
      </c>
      <c r="J85" s="9" t="str">
        <f t="shared" si="3"/>
        <v>🚨 URGENT: Arnav owes ₹24000</v>
      </c>
    </row>
    <row r="86" spans="1:10">
      <c r="A86" s="36">
        <v>46013</v>
      </c>
      <c r="B86" s="39" t="s">
        <v>58</v>
      </c>
      <c r="C86" s="39" t="s">
        <v>80</v>
      </c>
      <c r="D86" s="39" t="s">
        <v>208</v>
      </c>
      <c r="E86" s="1">
        <v>1</v>
      </c>
      <c r="F86" s="40">
        <v>27000</v>
      </c>
      <c r="G86" s="50">
        <f>Table68910111213[[#This Row],[Rate /Trips]]*Table68910111213[[#This Row],[Trips]]</f>
        <v>27000</v>
      </c>
      <c r="H86" s="40"/>
      <c r="I86" s="50">
        <f>Table68910111213[[#This Row],[Total Value]]-Table68910111213[[#This Row],[Received]]</f>
        <v>27000</v>
      </c>
      <c r="J86" s="9" t="str">
        <f t="shared" si="3"/>
        <v>🚨 URGENT: Atul owes ₹27000</v>
      </c>
    </row>
    <row r="87" spans="1:10">
      <c r="A87" s="36">
        <v>46013</v>
      </c>
      <c r="B87" s="39" t="s">
        <v>58</v>
      </c>
      <c r="C87" s="39" t="s">
        <v>404</v>
      </c>
      <c r="D87" s="39" t="s">
        <v>122</v>
      </c>
      <c r="E87" s="1">
        <v>1</v>
      </c>
      <c r="F87" s="40">
        <v>26000</v>
      </c>
      <c r="G87" s="50">
        <f>Table68910111213[[#This Row],[Rate /Trips]]*Table68910111213[[#This Row],[Trips]]</f>
        <v>26000</v>
      </c>
      <c r="H87" s="40">
        <v>26000</v>
      </c>
      <c r="I87" s="50">
        <f>Table68910111213[[#This Row],[Total Value]]-Table68910111213[[#This Row],[Received]]</f>
        <v>0</v>
      </c>
      <c r="J87" s="9" t="str">
        <f t="shared" si="3"/>
        <v>✅ Paid</v>
      </c>
    </row>
    <row r="88" spans="1:10">
      <c r="A88" s="36">
        <v>46013</v>
      </c>
      <c r="B88" s="39" t="s">
        <v>381</v>
      </c>
      <c r="C88" s="39" t="s">
        <v>398</v>
      </c>
      <c r="D88" s="39" t="s">
        <v>162</v>
      </c>
      <c r="E88" s="1">
        <v>1</v>
      </c>
      <c r="F88" s="40">
        <v>24000</v>
      </c>
      <c r="G88" s="50">
        <f>Table68910111213[[#This Row],[Rate /Trips]]*Table68910111213[[#This Row],[Trips]]</f>
        <v>24000</v>
      </c>
      <c r="H88" s="40">
        <v>24000</v>
      </c>
      <c r="I88" s="50">
        <f>Table68910111213[[#This Row],[Total Value]]-Table68910111213[[#This Row],[Received]]</f>
        <v>0</v>
      </c>
      <c r="J88" s="9" t="str">
        <f t="shared" si="3"/>
        <v>✅ Paid</v>
      </c>
    </row>
    <row r="89" spans="1:10">
      <c r="A89" s="36">
        <v>46013</v>
      </c>
      <c r="B89" s="39" t="s">
        <v>381</v>
      </c>
      <c r="C89" s="39" t="s">
        <v>397</v>
      </c>
      <c r="D89" s="39" t="s">
        <v>17</v>
      </c>
      <c r="E89" s="1">
        <v>1</v>
      </c>
      <c r="F89" s="40">
        <v>24000</v>
      </c>
      <c r="G89" s="50">
        <f>Table68910111213[[#This Row],[Rate /Trips]]*Table68910111213[[#This Row],[Trips]]</f>
        <v>24000</v>
      </c>
      <c r="H89" s="40">
        <v>24000</v>
      </c>
      <c r="I89" s="50">
        <f>Table68910111213[[#This Row],[Total Value]]-Table68910111213[[#This Row],[Received]]</f>
        <v>0</v>
      </c>
      <c r="J89" s="9" t="str">
        <f t="shared" si="3"/>
        <v>✅ Paid</v>
      </c>
    </row>
    <row r="90" spans="1:10">
      <c r="A90" s="36">
        <v>46014</v>
      </c>
      <c r="B90" s="39" t="s">
        <v>434</v>
      </c>
      <c r="C90" s="39" t="s">
        <v>43</v>
      </c>
      <c r="D90" s="39" t="s">
        <v>418</v>
      </c>
      <c r="E90" s="1">
        <v>2</v>
      </c>
      <c r="F90" s="40">
        <v>26000</v>
      </c>
      <c r="G90" s="50">
        <f>Table68910111213[[#This Row],[Rate /Trips]]*Table68910111213[[#This Row],[Trips]]</f>
        <v>52000</v>
      </c>
      <c r="H90" s="40"/>
      <c r="I90" s="50">
        <f>Table68910111213[[#This Row],[Total Value]]-Table68910111213[[#This Row],[Received]]</f>
        <v>52000</v>
      </c>
      <c r="J90" s="9" t="str">
        <f t="shared" si="3"/>
        <v>🚨 URGENT: Nitin Prasad owes ₹52000</v>
      </c>
    </row>
    <row r="91" spans="1:10">
      <c r="A91" s="36">
        <v>46014</v>
      </c>
      <c r="B91" s="39" t="s">
        <v>381</v>
      </c>
      <c r="C91" s="39" t="s">
        <v>441</v>
      </c>
      <c r="D91" s="39" t="s">
        <v>440</v>
      </c>
      <c r="E91" s="1">
        <v>1</v>
      </c>
      <c r="F91" s="40">
        <v>26000</v>
      </c>
      <c r="G91" s="50">
        <f>Table68910111213[[#This Row],[Rate /Trips]]*Table68910111213[[#This Row],[Trips]]</f>
        <v>26000</v>
      </c>
      <c r="H91" s="40">
        <v>26000</v>
      </c>
      <c r="I91" s="50">
        <f>Table68910111213[[#This Row],[Total Value]]-Table68910111213[[#This Row],[Received]]</f>
        <v>0</v>
      </c>
      <c r="J91" s="9" t="str">
        <f t="shared" si="3"/>
        <v>✅ Paid</v>
      </c>
    </row>
    <row r="92" spans="1:10">
      <c r="A92" s="36">
        <v>46014</v>
      </c>
      <c r="B92" s="39" t="s">
        <v>381</v>
      </c>
      <c r="C92" s="39" t="s">
        <v>435</v>
      </c>
      <c r="D92" s="39" t="s">
        <v>345</v>
      </c>
      <c r="E92" s="1">
        <v>1</v>
      </c>
      <c r="F92" s="40">
        <v>35000</v>
      </c>
      <c r="G92" s="50">
        <f>Table68910111213[[#This Row],[Rate /Trips]]*Table68910111213[[#This Row],[Trips]]</f>
        <v>35000</v>
      </c>
      <c r="H92" s="40">
        <v>35000</v>
      </c>
      <c r="I92" s="50">
        <f>Table68910111213[[#This Row],[Total Value]]-Table68910111213[[#This Row],[Received]]</f>
        <v>0</v>
      </c>
      <c r="J92" s="9" t="str">
        <f t="shared" si="3"/>
        <v>✅ Paid</v>
      </c>
    </row>
    <row r="93" spans="1:10">
      <c r="A93" s="36">
        <v>46014</v>
      </c>
      <c r="B93" s="39" t="s">
        <v>381</v>
      </c>
      <c r="C93" s="39" t="s">
        <v>415</v>
      </c>
      <c r="D93" s="39" t="s">
        <v>423</v>
      </c>
      <c r="E93" s="1">
        <v>2</v>
      </c>
      <c r="F93" s="40">
        <v>23500</v>
      </c>
      <c r="G93" s="50">
        <f>Table68910111213[[#This Row],[Rate /Trips]]*Table68910111213[[#This Row],[Trips]]</f>
        <v>47000</v>
      </c>
      <c r="H93" s="40"/>
      <c r="I93" s="50">
        <f>Table68910111213[[#This Row],[Total Value]]-Table68910111213[[#This Row],[Received]]</f>
        <v>47000</v>
      </c>
      <c r="J93" s="9" t="str">
        <f t="shared" si="3"/>
        <v>🚨 URGENT: Arnav owes ₹47000</v>
      </c>
    </row>
    <row r="94" spans="1:10">
      <c r="A94" s="36">
        <v>46014</v>
      </c>
      <c r="B94" s="39" t="s">
        <v>381</v>
      </c>
      <c r="C94" s="39" t="s">
        <v>397</v>
      </c>
      <c r="D94" s="39" t="s">
        <v>40</v>
      </c>
      <c r="E94" s="1">
        <v>1</v>
      </c>
      <c r="F94" s="40">
        <v>24000</v>
      </c>
      <c r="G94" s="50">
        <f>Table68910111213[[#This Row],[Rate /Trips]]*Table68910111213[[#This Row],[Trips]]</f>
        <v>24000</v>
      </c>
      <c r="H94" s="40"/>
      <c r="I94" s="50">
        <f>Table68910111213[[#This Row],[Total Value]]-Table68910111213[[#This Row],[Received]]</f>
        <v>24000</v>
      </c>
      <c r="J94" s="9" t="str">
        <f t="shared" si="3"/>
        <v>🚨 URGENT: Ravi Mama owes ₹24000</v>
      </c>
    </row>
    <row r="95" spans="1:10">
      <c r="A95" s="36">
        <v>46014</v>
      </c>
      <c r="B95" s="39" t="s">
        <v>381</v>
      </c>
      <c r="C95" s="39" t="s">
        <v>84</v>
      </c>
      <c r="D95" s="39" t="s">
        <v>10</v>
      </c>
      <c r="E95" s="1">
        <v>1</v>
      </c>
      <c r="F95" s="40">
        <v>26000</v>
      </c>
      <c r="G95" s="50">
        <f>Table68910111213[[#This Row],[Rate /Trips]]*Table68910111213[[#This Row],[Trips]]</f>
        <v>26000</v>
      </c>
      <c r="H95" s="40">
        <v>26000</v>
      </c>
      <c r="I95" s="50">
        <f>Table68910111213[[#This Row],[Total Value]]-Table68910111213[[#This Row],[Received]]</f>
        <v>0</v>
      </c>
      <c r="J95" s="9" t="str">
        <f t="shared" si="3"/>
        <v>✅ Paid</v>
      </c>
    </row>
    <row r="96" spans="1:10">
      <c r="A96" s="36">
        <v>46015</v>
      </c>
      <c r="B96" s="39" t="s">
        <v>438</v>
      </c>
      <c r="C96" s="39" t="s">
        <v>437</v>
      </c>
      <c r="D96" s="39" t="s">
        <v>436</v>
      </c>
      <c r="E96" s="1">
        <v>2</v>
      </c>
      <c r="F96" s="40">
        <v>25000</v>
      </c>
      <c r="G96" s="50">
        <f>Table68910111213[[#This Row],[Rate /Trips]]*Table68910111213[[#This Row],[Trips]]</f>
        <v>50000</v>
      </c>
      <c r="H96" s="40"/>
      <c r="I96" s="50">
        <f>Table68910111213[[#This Row],[Total Value]]-Table68910111213[[#This Row],[Received]]</f>
        <v>50000</v>
      </c>
      <c r="J96" s="9" t="str">
        <f t="shared" si="3"/>
        <v>🚨 URGENT: Khobragade  owes ₹50000</v>
      </c>
    </row>
    <row r="97" spans="1:10">
      <c r="A97" s="36">
        <v>46015</v>
      </c>
      <c r="B97" s="39" t="s">
        <v>58</v>
      </c>
      <c r="C97" s="39" t="s">
        <v>439</v>
      </c>
      <c r="D97" s="39" t="s">
        <v>19</v>
      </c>
      <c r="E97" s="1">
        <v>1</v>
      </c>
      <c r="F97" s="40">
        <v>23000</v>
      </c>
      <c r="G97" s="50">
        <f>Table68910111213[[#This Row],[Rate /Trips]]*Table68910111213[[#This Row],[Trips]]</f>
        <v>23000</v>
      </c>
      <c r="H97" s="40"/>
      <c r="I97" s="50">
        <f>Table68910111213[[#This Row],[Total Value]]-Table68910111213[[#This Row],[Received]]</f>
        <v>23000</v>
      </c>
      <c r="J97" s="9" t="str">
        <f t="shared" si="3"/>
        <v>🚨 URGENT: Shubhash owes ₹23000</v>
      </c>
    </row>
    <row r="98" spans="1:10">
      <c r="A98" s="36">
        <v>46015</v>
      </c>
      <c r="B98" s="39" t="s">
        <v>381</v>
      </c>
      <c r="C98" s="39" t="s">
        <v>110</v>
      </c>
      <c r="D98" s="39" t="s">
        <v>413</v>
      </c>
      <c r="E98" s="1">
        <v>1</v>
      </c>
      <c r="F98" s="40">
        <v>23000</v>
      </c>
      <c r="G98" s="50">
        <f>Table68910111213[[#This Row],[Rate /Trips]]*Table68910111213[[#This Row],[Trips]]</f>
        <v>23000</v>
      </c>
      <c r="H98" s="40"/>
      <c r="I98" s="50">
        <f>Table68910111213[[#This Row],[Total Value]]-Table68910111213[[#This Row],[Received]]</f>
        <v>23000</v>
      </c>
      <c r="J98" s="9" t="str">
        <f t="shared" si="3"/>
        <v>🚨 URGENT: Ankush P owes ₹23000</v>
      </c>
    </row>
    <row r="99" spans="1:10">
      <c r="A99" s="36">
        <v>46016</v>
      </c>
      <c r="B99" s="39" t="s">
        <v>58</v>
      </c>
      <c r="C99" s="39" t="s">
        <v>442</v>
      </c>
      <c r="D99" s="39" t="s">
        <v>443</v>
      </c>
      <c r="E99" s="1">
        <v>1</v>
      </c>
      <c r="F99" s="40">
        <v>24000</v>
      </c>
      <c r="G99" s="50">
        <f>Table68910111213[[#This Row],[Rate /Trips]]*Table68910111213[[#This Row],[Trips]]</f>
        <v>24000</v>
      </c>
      <c r="H99" s="40"/>
      <c r="I99" s="50">
        <f>Table68910111213[[#This Row],[Total Value]]-Table68910111213[[#This Row],[Received]]</f>
        <v>24000</v>
      </c>
      <c r="J99" s="9" t="str">
        <f t="shared" si="3"/>
        <v>🚨 URGENT: Kailash Bhaiya owes ₹24000</v>
      </c>
    </row>
    <row r="100" spans="1:10">
      <c r="A100" s="36">
        <v>46016</v>
      </c>
      <c r="B100" s="39" t="s">
        <v>381</v>
      </c>
      <c r="C100" s="39" t="s">
        <v>405</v>
      </c>
      <c r="D100" s="39" t="s">
        <v>47</v>
      </c>
      <c r="E100" s="1">
        <v>1</v>
      </c>
      <c r="F100" s="40">
        <v>28000</v>
      </c>
      <c r="G100" s="50">
        <f>Table68910111213[[#This Row],[Rate /Trips]]*Table68910111213[[#This Row],[Trips]]</f>
        <v>28000</v>
      </c>
      <c r="H100" s="40"/>
      <c r="I100" s="50">
        <f>Table68910111213[[#This Row],[Total Value]]-Table68910111213[[#This Row],[Received]]</f>
        <v>28000</v>
      </c>
      <c r="J100" s="9" t="str">
        <f t="shared" si="3"/>
        <v>🚨 URGENT: Rishab Dada owes ₹28000</v>
      </c>
    </row>
    <row r="101" spans="1:10">
      <c r="A101" s="36">
        <v>46016</v>
      </c>
      <c r="B101" s="39" t="s">
        <v>58</v>
      </c>
      <c r="C101" s="39" t="s">
        <v>444</v>
      </c>
      <c r="D101" s="39" t="s">
        <v>137</v>
      </c>
      <c r="E101" s="1">
        <v>1</v>
      </c>
      <c r="F101" s="40">
        <v>26000</v>
      </c>
      <c r="G101" s="50">
        <f>Table68910111213[[#This Row],[Rate /Trips]]*Table68910111213[[#This Row],[Trips]]</f>
        <v>26000</v>
      </c>
      <c r="H101" s="40">
        <v>26000</v>
      </c>
      <c r="I101" s="50">
        <f>Table68910111213[[#This Row],[Total Value]]-Table68910111213[[#This Row],[Received]]</f>
        <v>0</v>
      </c>
      <c r="J101" s="9" t="str">
        <f t="shared" si="3"/>
        <v>✅ Paid</v>
      </c>
    </row>
    <row r="102" spans="1:10">
      <c r="A102" s="36">
        <v>46016</v>
      </c>
      <c r="B102" s="39" t="s">
        <v>381</v>
      </c>
      <c r="C102" s="39" t="s">
        <v>404</v>
      </c>
      <c r="D102" s="39" t="s">
        <v>122</v>
      </c>
      <c r="E102" s="1">
        <v>1</v>
      </c>
      <c r="F102" s="40">
        <v>26000</v>
      </c>
      <c r="G102" s="50">
        <f>Table68910111213[[#This Row],[Rate /Trips]]*Table68910111213[[#This Row],[Trips]]</f>
        <v>26000</v>
      </c>
      <c r="H102" s="40">
        <v>26000</v>
      </c>
      <c r="I102" s="50">
        <f>Table68910111213[[#This Row],[Total Value]]-Table68910111213[[#This Row],[Received]]</f>
        <v>0</v>
      </c>
      <c r="J102" s="9" t="str">
        <f t="shared" si="3"/>
        <v>✅ Paid</v>
      </c>
    </row>
    <row r="103" spans="1:10">
      <c r="A103" s="36">
        <v>46017</v>
      </c>
      <c r="B103" s="39" t="s">
        <v>445</v>
      </c>
      <c r="C103" s="39" t="s">
        <v>415</v>
      </c>
      <c r="D103" s="39" t="s">
        <v>423</v>
      </c>
      <c r="E103" s="1">
        <v>4</v>
      </c>
      <c r="F103" s="40">
        <v>23500</v>
      </c>
      <c r="G103" s="50">
        <f>Table68910111213[[#This Row],[Rate /Trips]]*Table68910111213[[#This Row],[Trips]]</f>
        <v>94000</v>
      </c>
      <c r="H103" s="40"/>
      <c r="I103" s="50">
        <f>Table68910111213[[#This Row],[Total Value]]-Table68910111213[[#This Row],[Received]]</f>
        <v>94000</v>
      </c>
      <c r="J103" s="9" t="str">
        <f t="shared" si="3"/>
        <v>🚨 URGENT: Arnav owes ₹94000</v>
      </c>
    </row>
    <row r="104" spans="1:10">
      <c r="A104" s="36">
        <v>46018</v>
      </c>
      <c r="B104" s="39" t="s">
        <v>447</v>
      </c>
      <c r="C104" s="39" t="s">
        <v>110</v>
      </c>
      <c r="D104" s="39" t="s">
        <v>388</v>
      </c>
      <c r="E104" s="1">
        <v>2</v>
      </c>
      <c r="F104" s="40">
        <v>23000</v>
      </c>
      <c r="G104" s="50">
        <f>Table68910111213[[#This Row],[Rate /Trips]]*Table68910111213[[#This Row],[Trips]]</f>
        <v>46000</v>
      </c>
      <c r="H104" s="40"/>
      <c r="I104" s="50">
        <f>Table68910111213[[#This Row],[Total Value]]-Table68910111213[[#This Row],[Received]]</f>
        <v>46000</v>
      </c>
      <c r="J104" s="9" t="str">
        <f t="shared" si="3"/>
        <v>🚨 URGENT: Ankush P owes ₹46000</v>
      </c>
    </row>
    <row r="105" spans="1:10">
      <c r="A105" s="36">
        <v>46018</v>
      </c>
      <c r="B105" s="39" t="s">
        <v>381</v>
      </c>
      <c r="C105" s="39" t="s">
        <v>446</v>
      </c>
      <c r="D105" s="39" t="s">
        <v>54</v>
      </c>
      <c r="E105" s="1">
        <v>1</v>
      </c>
      <c r="F105" s="40"/>
      <c r="G105" s="50">
        <f>Table68910111213[[#This Row],[Rate /Trips]]*Table68910111213[[#This Row],[Trips]]</f>
        <v>0</v>
      </c>
      <c r="H105" s="40"/>
      <c r="I105" s="50">
        <f>Table68910111213[[#This Row],[Total Value]]-Table68910111213[[#This Row],[Received]]</f>
        <v>0</v>
      </c>
      <c r="J105" s="9" t="str">
        <f t="shared" si="3"/>
        <v>✅ Paid</v>
      </c>
    </row>
    <row r="106" spans="1:10">
      <c r="A106" s="36">
        <v>46018</v>
      </c>
      <c r="B106" s="39" t="s">
        <v>58</v>
      </c>
      <c r="C106" s="39" t="s">
        <v>404</v>
      </c>
      <c r="D106" s="39" t="s">
        <v>122</v>
      </c>
      <c r="E106" s="1">
        <v>2</v>
      </c>
      <c r="F106" s="40">
        <v>26000</v>
      </c>
      <c r="G106" s="50">
        <f>Table68910111213[[#This Row],[Rate /Trips]]*Table68910111213[[#This Row],[Trips]]</f>
        <v>52000</v>
      </c>
      <c r="H106" s="40">
        <v>52000</v>
      </c>
      <c r="I106" s="50">
        <f>Table68910111213[[#This Row],[Total Value]]-Table68910111213[[#This Row],[Received]]</f>
        <v>0</v>
      </c>
      <c r="J106" s="9" t="str">
        <f t="shared" si="3"/>
        <v>✅ Paid</v>
      </c>
    </row>
    <row r="107" spans="1:10">
      <c r="A107" s="36">
        <v>46019</v>
      </c>
      <c r="B107" s="39" t="s">
        <v>58</v>
      </c>
      <c r="C107" s="39" t="s">
        <v>110</v>
      </c>
      <c r="D107" s="39" t="s">
        <v>388</v>
      </c>
      <c r="E107" s="1">
        <v>1</v>
      </c>
      <c r="F107" s="40">
        <v>23000</v>
      </c>
      <c r="G107" s="50">
        <f>Table68910111213[[#This Row],[Rate /Trips]]*Table68910111213[[#This Row],[Trips]]</f>
        <v>23000</v>
      </c>
      <c r="H107" s="40"/>
      <c r="I107" s="50">
        <f>Table68910111213[[#This Row],[Total Value]]-Table68910111213[[#This Row],[Received]]</f>
        <v>23000</v>
      </c>
      <c r="J107" s="9" t="str">
        <f t="shared" si="3"/>
        <v>🚨 URGENT: Ankush P owes ₹23000</v>
      </c>
    </row>
    <row r="108" spans="1:10">
      <c r="A108" s="36">
        <v>46019</v>
      </c>
      <c r="B108" s="39" t="s">
        <v>58</v>
      </c>
      <c r="C108" s="39" t="s">
        <v>404</v>
      </c>
      <c r="D108" s="39" t="s">
        <v>122</v>
      </c>
      <c r="E108" s="1">
        <v>1</v>
      </c>
      <c r="F108" s="40">
        <v>26000</v>
      </c>
      <c r="G108" s="50">
        <f>Table68910111213[[#This Row],[Rate /Trips]]*Table68910111213[[#This Row],[Trips]]</f>
        <v>26000</v>
      </c>
      <c r="H108" s="40">
        <v>26000</v>
      </c>
      <c r="I108" s="50">
        <f>Table68910111213[[#This Row],[Total Value]]-Table68910111213[[#This Row],[Received]]</f>
        <v>0</v>
      </c>
      <c r="J108" s="9" t="str">
        <f t="shared" si="3"/>
        <v>✅ Paid</v>
      </c>
    </row>
    <row r="109" spans="1:10">
      <c r="A109" s="36">
        <v>46019</v>
      </c>
      <c r="B109" s="39" t="s">
        <v>58</v>
      </c>
      <c r="C109" s="39" t="s">
        <v>21</v>
      </c>
      <c r="D109" s="39" t="s">
        <v>145</v>
      </c>
      <c r="E109" s="1">
        <v>1</v>
      </c>
      <c r="F109" s="40">
        <v>23000</v>
      </c>
      <c r="G109" s="50">
        <f>Table68910111213[[#This Row],[Rate /Trips]]*Table68910111213[[#This Row],[Trips]]</f>
        <v>23000</v>
      </c>
      <c r="H109" s="40">
        <v>23000</v>
      </c>
      <c r="I109" s="50">
        <f>Table68910111213[[#This Row],[Total Value]]-Table68910111213[[#This Row],[Received]]</f>
        <v>0</v>
      </c>
      <c r="J109" s="9" t="str">
        <f t="shared" si="3"/>
        <v>✅ Paid</v>
      </c>
    </row>
    <row r="110" spans="1:10">
      <c r="A110" s="36">
        <v>46020</v>
      </c>
      <c r="B110" s="39" t="s">
        <v>58</v>
      </c>
      <c r="C110" s="39" t="s">
        <v>110</v>
      </c>
      <c r="D110" s="39" t="s">
        <v>388</v>
      </c>
      <c r="E110" s="1">
        <v>1</v>
      </c>
      <c r="F110" s="40">
        <v>23000</v>
      </c>
      <c r="G110" s="50">
        <f>Table68910111213[[#This Row],[Rate /Trips]]*Table68910111213[[#This Row],[Trips]]</f>
        <v>23000</v>
      </c>
      <c r="H110" s="40"/>
      <c r="I110" s="50">
        <f>Table68910111213[[#This Row],[Total Value]]-Table68910111213[[#This Row],[Received]]</f>
        <v>23000</v>
      </c>
      <c r="J110" s="9" t="str">
        <f t="shared" si="3"/>
        <v>🚨 URGENT: Ankush P owes ₹23000</v>
      </c>
    </row>
    <row r="111" spans="1:10">
      <c r="A111" s="36">
        <v>46020</v>
      </c>
      <c r="B111" s="39" t="s">
        <v>381</v>
      </c>
      <c r="C111" s="39" t="s">
        <v>21</v>
      </c>
      <c r="D111" s="39" t="s">
        <v>22</v>
      </c>
      <c r="E111" s="1">
        <v>1</v>
      </c>
      <c r="F111" s="40">
        <v>23000</v>
      </c>
      <c r="G111" s="50">
        <f>Table68910111213[[#This Row],[Rate /Trips]]*Table68910111213[[#This Row],[Trips]]</f>
        <v>23000</v>
      </c>
      <c r="H111" s="40">
        <v>23000</v>
      </c>
      <c r="I111" s="50">
        <f>Table68910111213[[#This Row],[Total Value]]-Table68910111213[[#This Row],[Received]]</f>
        <v>0</v>
      </c>
      <c r="J111" s="9" t="str">
        <f t="shared" si="3"/>
        <v>✅ Paid</v>
      </c>
    </row>
    <row r="112" spans="1:10">
      <c r="A112" s="36">
        <v>46021</v>
      </c>
      <c r="B112" s="39" t="s">
        <v>381</v>
      </c>
      <c r="C112" s="39" t="s">
        <v>80</v>
      </c>
      <c r="D112" s="39" t="s">
        <v>208</v>
      </c>
      <c r="E112" s="1">
        <v>1</v>
      </c>
      <c r="F112" s="40">
        <v>27000</v>
      </c>
      <c r="G112" s="50">
        <f>Table68910111213[[#This Row],[Rate /Trips]]*Table68910111213[[#This Row],[Trips]]</f>
        <v>27000</v>
      </c>
      <c r="H112" s="40"/>
      <c r="I112" s="50">
        <f>Table68910111213[[#This Row],[Total Value]]-Table68910111213[[#This Row],[Received]]</f>
        <v>27000</v>
      </c>
      <c r="J112" s="9" t="str">
        <f t="shared" si="3"/>
        <v>🚨 URGENT: Atul owes ₹27000</v>
      </c>
    </row>
    <row r="113" spans="1:10">
      <c r="A113" s="36">
        <v>46021</v>
      </c>
      <c r="B113" s="39" t="s">
        <v>58</v>
      </c>
      <c r="C113" s="39" t="s">
        <v>21</v>
      </c>
      <c r="D113" s="39" t="s">
        <v>24</v>
      </c>
      <c r="E113" s="1">
        <v>1</v>
      </c>
      <c r="F113" s="40">
        <v>23000</v>
      </c>
      <c r="G113" s="50">
        <f>Table68910111213[[#This Row],[Rate /Trips]]*Table68910111213[[#This Row],[Trips]]</f>
        <v>23000</v>
      </c>
      <c r="H113" s="40">
        <v>23000</v>
      </c>
      <c r="I113" s="50">
        <f>Table68910111213[[#This Row],[Total Value]]-Table68910111213[[#This Row],[Received]]</f>
        <v>0</v>
      </c>
      <c r="J113" s="9" t="str">
        <f t="shared" si="3"/>
        <v>✅ Paid</v>
      </c>
    </row>
    <row r="114" spans="1:10">
      <c r="A114" s="36">
        <v>46021</v>
      </c>
      <c r="B114" s="39" t="s">
        <v>58</v>
      </c>
      <c r="C114" s="39" t="s">
        <v>21</v>
      </c>
      <c r="D114" s="39" t="s">
        <v>19</v>
      </c>
      <c r="E114" s="1">
        <v>1</v>
      </c>
      <c r="F114" s="40">
        <v>23000</v>
      </c>
      <c r="G114" s="50">
        <f>Table68910111213[[#This Row],[Rate /Trips]]*Table68910111213[[#This Row],[Trips]]</f>
        <v>23000</v>
      </c>
      <c r="H114" s="40">
        <v>23000</v>
      </c>
      <c r="I114" s="50">
        <f>Table68910111213[[#This Row],[Total Value]]-Table68910111213[[#This Row],[Received]]</f>
        <v>0</v>
      </c>
      <c r="J114" s="9" t="str">
        <f t="shared" si="3"/>
        <v>✅ Paid</v>
      </c>
    </row>
    <row r="115" spans="1:10">
      <c r="A115" s="36">
        <v>46021</v>
      </c>
      <c r="B115" s="39" t="s">
        <v>381</v>
      </c>
      <c r="C115" s="39" t="s">
        <v>84</v>
      </c>
      <c r="D115" s="39" t="s">
        <v>11</v>
      </c>
      <c r="E115" s="1">
        <v>1</v>
      </c>
      <c r="F115" s="40">
        <v>29000</v>
      </c>
      <c r="G115" s="50">
        <f>Table68910111213[[#This Row],[Rate /Trips]]*Table68910111213[[#This Row],[Trips]]</f>
        <v>29000</v>
      </c>
      <c r="H115" s="40">
        <v>29000</v>
      </c>
      <c r="I115" s="50">
        <f>Table68910111213[[#This Row],[Total Value]]-Table68910111213[[#This Row],[Received]]</f>
        <v>0</v>
      </c>
      <c r="J115" s="9" t="str">
        <f t="shared" si="3"/>
        <v>✅ Paid</v>
      </c>
    </row>
    <row r="116" spans="1:10">
      <c r="A116" s="36">
        <v>46022</v>
      </c>
      <c r="B116" s="39" t="s">
        <v>447</v>
      </c>
      <c r="C116" s="39" t="s">
        <v>110</v>
      </c>
      <c r="D116" s="39" t="s">
        <v>388</v>
      </c>
      <c r="E116" s="1">
        <v>2</v>
      </c>
      <c r="F116" s="40">
        <v>23000</v>
      </c>
      <c r="G116" s="50">
        <f>Table68910111213[[#This Row],[Rate /Trips]]*Table68910111213[[#This Row],[Trips]]</f>
        <v>46000</v>
      </c>
      <c r="H116" s="40"/>
      <c r="I116" s="50">
        <f>Table68910111213[[#This Row],[Total Value]]-Table68910111213[[#This Row],[Received]]</f>
        <v>46000</v>
      </c>
      <c r="J116" s="9" t="str">
        <f t="shared" si="3"/>
        <v>🚨 URGENT: Ankush P owes ₹46000</v>
      </c>
    </row>
    <row r="117" spans="1:10">
      <c r="A117" s="36">
        <v>46022</v>
      </c>
      <c r="B117" s="39" t="s">
        <v>58</v>
      </c>
      <c r="C117" s="39" t="s">
        <v>21</v>
      </c>
      <c r="D117" s="39" t="s">
        <v>22</v>
      </c>
      <c r="E117" s="1">
        <v>1</v>
      </c>
      <c r="F117" s="40">
        <v>23000</v>
      </c>
      <c r="G117" s="50">
        <f>Table68910111213[[#This Row],[Rate /Trips]]*Table68910111213[[#This Row],[Trips]]</f>
        <v>23000</v>
      </c>
      <c r="H117" s="40">
        <v>23000</v>
      </c>
      <c r="I117" s="50">
        <f>Table68910111213[[#This Row],[Total Value]]-Table68910111213[[#This Row],[Received]]</f>
        <v>0</v>
      </c>
      <c r="J117" s="9" t="str">
        <f t="shared" si="3"/>
        <v>✅ Paid</v>
      </c>
    </row>
    <row r="118" spans="1:10">
      <c r="A118" s="36">
        <v>46022</v>
      </c>
      <c r="B118" s="39" t="s">
        <v>448</v>
      </c>
      <c r="C118" s="39" t="s">
        <v>80</v>
      </c>
      <c r="D118" s="39" t="s">
        <v>208</v>
      </c>
      <c r="E118" s="1">
        <v>3</v>
      </c>
      <c r="F118" s="40">
        <v>27000</v>
      </c>
      <c r="G118" s="50">
        <f>Table68910111213[[#This Row],[Rate /Trips]]*Table68910111213[[#This Row],[Trips]]</f>
        <v>81000</v>
      </c>
      <c r="H118" s="40"/>
      <c r="I118" s="50">
        <f>Table68910111213[[#This Row],[Total Value]]-Table68910111213[[#This Row],[Received]]</f>
        <v>81000</v>
      </c>
      <c r="J118" s="9" t="str">
        <f t="shared" si="3"/>
        <v>🚨 URGENT: Atul owes ₹81000</v>
      </c>
    </row>
    <row r="119" spans="1:10">
      <c r="A119" s="36">
        <v>46022</v>
      </c>
      <c r="B119" s="39" t="s">
        <v>58</v>
      </c>
      <c r="C119" s="39" t="s">
        <v>249</v>
      </c>
      <c r="D119" s="39" t="s">
        <v>11</v>
      </c>
      <c r="E119" s="1">
        <v>1</v>
      </c>
      <c r="F119" s="40">
        <v>29000</v>
      </c>
      <c r="G119" s="50">
        <f>Table68910111213[[#This Row],[Rate /Trips]]*Table68910111213[[#This Row],[Trips]]</f>
        <v>29000</v>
      </c>
      <c r="H119" s="40"/>
      <c r="I119" s="50">
        <f>Table68910111213[[#This Row],[Total Value]]-Table68910111213[[#This Row],[Received]]</f>
        <v>29000</v>
      </c>
      <c r="J119" s="9" t="str">
        <f t="shared" si="3"/>
        <v>🚨 URGENT: Guru owes ₹29000</v>
      </c>
    </row>
    <row r="120" spans="1:10">
      <c r="A120" s="57"/>
      <c r="B120" s="55"/>
      <c r="C120" s="55"/>
      <c r="D120" s="55"/>
      <c r="E120" s="55"/>
      <c r="F120" s="60"/>
      <c r="G120" s="60"/>
      <c r="H120" s="60"/>
      <c r="I120" s="60"/>
      <c r="J120" s="9"/>
    </row>
    <row r="121" spans="1:10">
      <c r="A121" s="36"/>
      <c r="B121" s="39"/>
      <c r="C121" s="39"/>
      <c r="D121" s="39"/>
      <c r="E121" s="1"/>
      <c r="F121" s="40"/>
      <c r="G121" s="50"/>
      <c r="H121" s="40"/>
      <c r="I121" s="50"/>
      <c r="J121" s="9"/>
    </row>
    <row r="122" spans="1:10">
      <c r="A122" s="36"/>
      <c r="B122" s="39"/>
      <c r="C122" s="39"/>
      <c r="D122" s="39"/>
      <c r="E122" s="1"/>
      <c r="F122" s="40"/>
      <c r="G122" s="50"/>
      <c r="H122" s="40"/>
      <c r="I122" s="50"/>
      <c r="J122" s="9"/>
    </row>
    <row r="123" spans="1:10">
      <c r="A123" s="36"/>
      <c r="B123" s="39"/>
      <c r="C123" s="39"/>
      <c r="D123" s="39"/>
      <c r="E123" s="1"/>
      <c r="F123" s="40"/>
      <c r="G123" s="50"/>
      <c r="H123" s="40"/>
      <c r="I123" s="50"/>
      <c r="J123" s="9"/>
    </row>
    <row r="124" spans="1:10">
      <c r="A124" s="36"/>
      <c r="B124" s="39"/>
      <c r="C124" s="39"/>
      <c r="D124" s="39"/>
      <c r="E124" s="1"/>
      <c r="F124" s="40"/>
      <c r="G124" s="50"/>
      <c r="H124" s="40"/>
      <c r="I124" s="50"/>
      <c r="J124" s="9"/>
    </row>
    <row r="125" spans="1:10">
      <c r="A125" s="36"/>
      <c r="B125" s="39"/>
      <c r="C125" s="39"/>
      <c r="D125" s="39"/>
      <c r="E125" s="1"/>
      <c r="F125" s="40"/>
      <c r="G125" s="50"/>
      <c r="H125" s="40"/>
      <c r="I125" s="50"/>
      <c r="J125" s="9"/>
    </row>
    <row r="126" spans="1:10">
      <c r="A126" s="36"/>
      <c r="B126" s="1"/>
      <c r="C126" s="1"/>
      <c r="D126" s="1"/>
      <c r="E126" s="1"/>
      <c r="F126" s="40"/>
      <c r="G126" s="50"/>
      <c r="H126" s="40"/>
      <c r="I126" s="50"/>
      <c r="J126" s="9"/>
    </row>
    <row r="127" spans="1:10">
      <c r="A127" s="36"/>
      <c r="B127" s="39"/>
      <c r="C127" s="39"/>
      <c r="D127" s="39"/>
      <c r="E127" s="1"/>
      <c r="F127" s="40"/>
      <c r="G127" s="50"/>
      <c r="H127" s="40"/>
      <c r="I127" s="50"/>
      <c r="J127" s="9"/>
    </row>
    <row r="128" spans="1:10">
      <c r="A128" s="36"/>
      <c r="B128" s="55"/>
      <c r="C128" s="55"/>
      <c r="D128" s="55"/>
      <c r="E128" s="1"/>
      <c r="F128" s="40"/>
      <c r="G128" s="50"/>
      <c r="H128" s="40"/>
      <c r="I128" s="50"/>
      <c r="J128" s="9"/>
    </row>
    <row r="129" spans="1:10">
      <c r="A129" s="36"/>
      <c r="B129" s="55"/>
      <c r="C129" s="55"/>
      <c r="D129" s="55"/>
      <c r="E129" s="1"/>
      <c r="F129" s="40"/>
      <c r="G129" s="50"/>
      <c r="H129" s="2"/>
      <c r="I129" s="50"/>
      <c r="J129" s="9"/>
    </row>
    <row r="130" spans="1:10">
      <c r="A130" s="36"/>
      <c r="B130" s="39"/>
      <c r="C130" s="39"/>
      <c r="D130" s="39"/>
      <c r="E130" s="1"/>
      <c r="F130" s="40"/>
      <c r="G130" s="50"/>
      <c r="H130" s="40"/>
      <c r="I130" s="50"/>
      <c r="J130" s="9"/>
    </row>
    <row r="131" spans="1:10">
      <c r="A131" s="36"/>
      <c r="B131" s="39"/>
      <c r="C131" s="39"/>
      <c r="D131" s="39"/>
      <c r="E131" s="1"/>
      <c r="F131" s="40"/>
      <c r="G131" s="50"/>
      <c r="H131" s="40"/>
      <c r="I131" s="50"/>
      <c r="J131" s="9"/>
    </row>
    <row r="132" spans="1:10">
      <c r="A132" s="36"/>
      <c r="B132" s="39"/>
      <c r="C132" s="39"/>
      <c r="D132" s="39"/>
      <c r="E132" s="1"/>
      <c r="F132" s="40"/>
      <c r="G132" s="50"/>
      <c r="H132" s="40"/>
      <c r="I132" s="50"/>
      <c r="J132" s="9"/>
    </row>
    <row r="133" spans="1:10">
      <c r="A133" s="36"/>
      <c r="B133" s="39"/>
      <c r="C133" s="39"/>
      <c r="D133" s="39"/>
      <c r="E133" s="1"/>
      <c r="F133" s="40"/>
      <c r="G133" s="50"/>
      <c r="H133" s="40"/>
      <c r="I133" s="50"/>
      <c r="J133" s="9"/>
    </row>
    <row r="134" spans="1:10">
      <c r="A134" s="36"/>
      <c r="B134" s="39"/>
      <c r="C134" s="39"/>
      <c r="D134" s="39"/>
      <c r="E134" s="1"/>
      <c r="F134" s="40"/>
      <c r="G134" s="50"/>
      <c r="H134" s="40"/>
      <c r="I134" s="50"/>
      <c r="J134" s="9"/>
    </row>
    <row r="135" spans="1:10">
      <c r="A135" s="36"/>
      <c r="B135" s="39"/>
      <c r="C135" s="39"/>
      <c r="D135" s="39"/>
      <c r="E135" s="1"/>
      <c r="F135" s="40"/>
      <c r="G135" s="50"/>
      <c r="H135" s="40"/>
      <c r="I135" s="50"/>
      <c r="J135" s="9"/>
    </row>
    <row r="136" spans="1:10">
      <c r="A136" s="36"/>
      <c r="B136" s="39"/>
      <c r="C136" s="39"/>
      <c r="D136" s="39"/>
      <c r="E136" s="1"/>
      <c r="F136" s="40"/>
      <c r="G136" s="50"/>
      <c r="H136" s="40"/>
      <c r="I136" s="50"/>
      <c r="J136" s="9" t="str">
        <f>IF(I136&gt;10000,"🚨 URGENT: "&amp;C136&amp;" owes ₹"&amp;I136,IF(I136&gt;5000,"⚠️ WARNING: "&amp;C136&amp;" - ₹"&amp;I136&amp;" due",IF(I136&gt;0,"ℹ️ "&amp;C136&amp;" - ₹"&amp;I136&amp;" pending","✅ Paid")))</f>
        <v>✅ Paid</v>
      </c>
    </row>
    <row r="137" spans="1:10">
      <c r="A137" s="36"/>
      <c r="B137" s="39"/>
      <c r="C137" s="39"/>
      <c r="D137" s="39"/>
      <c r="E137" s="1"/>
      <c r="F137" s="40"/>
      <c r="G137" s="50"/>
      <c r="H137" s="40"/>
      <c r="I137" s="50"/>
      <c r="J137" s="9"/>
    </row>
    <row r="138" spans="1:10">
      <c r="A138" s="36"/>
      <c r="B138" s="39"/>
      <c r="C138" s="39"/>
      <c r="D138" s="39"/>
      <c r="E138" s="1"/>
      <c r="F138" s="40"/>
      <c r="G138" s="50"/>
      <c r="H138" s="2"/>
      <c r="I138" s="50"/>
      <c r="J138" s="9"/>
    </row>
    <row r="139" spans="1:10">
      <c r="A139" s="36"/>
      <c r="B139" s="39"/>
      <c r="C139" s="39"/>
      <c r="D139" s="39"/>
      <c r="E139" s="1"/>
      <c r="F139" s="40"/>
      <c r="G139" s="50"/>
      <c r="H139" s="40"/>
      <c r="I139" s="50"/>
      <c r="J139" s="9"/>
    </row>
    <row r="140" spans="1:10">
      <c r="A140" s="36"/>
      <c r="B140" s="39"/>
      <c r="C140" s="39"/>
      <c r="D140" s="39"/>
      <c r="E140" s="1"/>
      <c r="F140" s="40"/>
      <c r="G140" s="50"/>
      <c r="H140" s="40"/>
      <c r="I140" s="50"/>
      <c r="J140" s="9"/>
    </row>
    <row r="141" spans="1:10">
      <c r="A141" s="36"/>
      <c r="B141" s="39"/>
      <c r="C141" s="39"/>
      <c r="D141" s="39"/>
      <c r="E141" s="1"/>
      <c r="F141" s="40"/>
      <c r="G141" s="50"/>
      <c r="H141" s="40"/>
      <c r="I141" s="50"/>
      <c r="J141" s="9"/>
    </row>
    <row r="142" spans="1:10">
      <c r="A142" s="36"/>
      <c r="B142" s="39"/>
      <c r="C142" s="39"/>
      <c r="D142" s="39"/>
      <c r="E142" s="1"/>
      <c r="F142" s="40"/>
      <c r="G142" s="50"/>
      <c r="H142" s="40"/>
      <c r="I142" s="50"/>
      <c r="J142" s="9"/>
    </row>
    <row r="143" spans="1:10">
      <c r="A143" s="36"/>
      <c r="B143" s="39"/>
      <c r="C143" s="39"/>
      <c r="D143" s="39"/>
      <c r="E143" s="1"/>
      <c r="F143" s="40"/>
      <c r="G143" s="50"/>
      <c r="H143" s="40"/>
      <c r="I143" s="50"/>
      <c r="J143" s="9"/>
    </row>
    <row r="144" spans="1:10">
      <c r="A144" s="36"/>
      <c r="B144" s="39"/>
      <c r="C144" s="39"/>
      <c r="D144" s="39"/>
      <c r="E144" s="1"/>
      <c r="F144" s="40"/>
      <c r="G144" s="50"/>
      <c r="H144" s="40"/>
      <c r="I144" s="50"/>
      <c r="J144" s="9"/>
    </row>
    <row r="145" spans="1:10">
      <c r="A145" s="36"/>
      <c r="B145" s="39"/>
      <c r="C145" s="39"/>
      <c r="D145" s="39"/>
      <c r="E145" s="1"/>
      <c r="F145" s="40"/>
      <c r="G145" s="50"/>
      <c r="H145" s="40"/>
      <c r="I145" s="50"/>
      <c r="J145" s="9"/>
    </row>
    <row r="146" spans="1:10">
      <c r="A146" s="36"/>
      <c r="B146" s="39"/>
      <c r="C146" s="39"/>
      <c r="D146" s="39"/>
      <c r="E146" s="1"/>
      <c r="F146" s="40"/>
      <c r="G146" s="50"/>
      <c r="H146" s="40"/>
      <c r="I146" s="50"/>
      <c r="J146" s="9"/>
    </row>
    <row r="147" spans="1:10">
      <c r="A147" s="36"/>
      <c r="B147" s="39"/>
      <c r="C147" s="39"/>
      <c r="D147" s="39"/>
      <c r="E147" s="1"/>
      <c r="F147" s="40"/>
      <c r="G147" s="50"/>
      <c r="H147" s="40"/>
      <c r="I147" s="50"/>
      <c r="J147" s="9"/>
    </row>
    <row r="148" spans="1:10">
      <c r="A148" s="36"/>
      <c r="B148" s="39"/>
      <c r="C148" s="39"/>
      <c r="D148" s="39"/>
      <c r="E148" s="1"/>
      <c r="F148" s="40"/>
      <c r="G148" s="50"/>
      <c r="H148" s="40"/>
      <c r="I148" s="50"/>
      <c r="J148" s="9"/>
    </row>
    <row r="149" spans="1:10" ht="21">
      <c r="D149" s="13"/>
      <c r="E149" s="14" t="s">
        <v>78</v>
      </c>
      <c r="F149" s="15"/>
      <c r="G149" s="16" t="s">
        <v>289</v>
      </c>
      <c r="H149" s="16" t="s">
        <v>291</v>
      </c>
      <c r="I149" s="16" t="s">
        <v>61</v>
      </c>
    </row>
    <row r="150" spans="1:10" ht="21">
      <c r="D150" s="17" t="s">
        <v>292</v>
      </c>
      <c r="E150" s="18">
        <f>SUM(E4:E148)</f>
        <v>131</v>
      </c>
      <c r="F150" s="19"/>
      <c r="G150" s="20">
        <f>SUM(G4:G148)</f>
        <v>3233000</v>
      </c>
      <c r="H150" s="20">
        <f>SUM(H4:H148)</f>
        <v>1178500</v>
      </c>
      <c r="I150" s="20">
        <f>SUM(I4:I148)</f>
        <v>2054500</v>
      </c>
    </row>
    <row r="151" spans="1:10" ht="45" customHeight="1">
      <c r="A151" s="66" t="s">
        <v>295</v>
      </c>
      <c r="B151" s="66"/>
      <c r="C151" s="66"/>
      <c r="D151" s="21"/>
      <c r="E151" s="21"/>
      <c r="F151" s="21"/>
      <c r="G151" s="21"/>
      <c r="H151" s="21"/>
      <c r="I151" s="21"/>
    </row>
  </sheetData>
  <mergeCells count="3">
    <mergeCell ref="A1:J1"/>
    <mergeCell ref="A2:J2"/>
    <mergeCell ref="A151:C151"/>
  </mergeCells>
  <conditionalFormatting sqref="J4:J151">
    <cfRule type="containsText" dxfId="19" priority="5" operator="containsText" text="✅">
      <formula>NOT(ISERROR(SEARCH("✅",J4)))</formula>
    </cfRule>
    <cfRule type="containsText" dxfId="18" priority="6" operator="containsText" text="ℹ️">
      <formula>NOT(ISERROR(SEARCH("ℹ️",J4)))</formula>
    </cfRule>
    <cfRule type="containsText" dxfId="17" priority="7" operator="containsText" text="⚠️">
      <formula>NOT(ISERROR(SEARCH("⚠️",J4)))</formula>
    </cfRule>
    <cfRule type="containsText" dxfId="16" priority="8" operator="containsText" text="🚨">
      <formula>NOT(ISERROR(SEARCH("🚨",J4)))</formula>
    </cfRule>
  </conditionalFormatting>
  <conditionalFormatting sqref="L165:L166">
    <cfRule type="containsText" dxfId="15" priority="1" operator="containsText" text="✅">
      <formula>NOT(ISERROR(SEARCH("✅",L165)))</formula>
    </cfRule>
    <cfRule type="containsText" dxfId="14" priority="2" operator="containsText" text="ℹ️">
      <formula>NOT(ISERROR(SEARCH("ℹ️",L165)))</formula>
    </cfRule>
    <cfRule type="containsText" dxfId="13" priority="3" operator="containsText" text="⚠️">
      <formula>NOT(ISERROR(SEARCH("⚠️",L165)))</formula>
    </cfRule>
    <cfRule type="containsText" dxfId="12" priority="4" operator="containsText" text="🚨">
      <formula>NOT(ISERROR(SEARCH("🚨",L165)))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679E-35D6-D942-B675-FEA0F2B6DFCA}">
  <dimension ref="A1:J185"/>
  <sheetViews>
    <sheetView workbookViewId="0">
      <selection activeCell="H197" sqref="H197"/>
    </sheetView>
  </sheetViews>
  <sheetFormatPr baseColWidth="10" defaultColWidth="11.5" defaultRowHeight="15"/>
  <cols>
    <col min="1" max="1" width="28.33203125" customWidth="1"/>
    <col min="2" max="2" width="14.6640625" bestFit="1" customWidth="1"/>
    <col min="3" max="3" width="22" bestFit="1" customWidth="1"/>
    <col min="4" max="4" width="22.1640625" bestFit="1" customWidth="1"/>
    <col min="5" max="5" width="13.1640625" bestFit="1" customWidth="1"/>
    <col min="6" max="6" width="15.33203125" bestFit="1" customWidth="1"/>
    <col min="7" max="8" width="18" bestFit="1" customWidth="1"/>
    <col min="9" max="9" width="18.5" bestFit="1" customWidth="1"/>
    <col min="10" max="10" width="43.33203125" bestFit="1" customWidth="1"/>
  </cols>
  <sheetData>
    <row r="1" spans="1:10" ht="29">
      <c r="A1" s="64" t="s">
        <v>282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65" t="s">
        <v>449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16">
      <c r="A3" s="25" t="s">
        <v>0</v>
      </c>
      <c r="B3" s="26" t="s">
        <v>284</v>
      </c>
      <c r="C3" s="26" t="s">
        <v>285</v>
      </c>
      <c r="D3" s="26" t="s">
        <v>286</v>
      </c>
      <c r="E3" s="26" t="s">
        <v>287</v>
      </c>
      <c r="F3" s="27" t="s">
        <v>288</v>
      </c>
      <c r="G3" s="27" t="s">
        <v>289</v>
      </c>
      <c r="H3" s="27" t="s">
        <v>290</v>
      </c>
      <c r="I3" s="27" t="s">
        <v>1</v>
      </c>
      <c r="J3" s="27" t="s">
        <v>294</v>
      </c>
    </row>
    <row r="4" spans="1:10">
      <c r="A4" s="8"/>
      <c r="B4" s="9"/>
      <c r="C4" s="9"/>
      <c r="D4" s="9"/>
      <c r="E4" s="9"/>
      <c r="F4" s="10"/>
      <c r="G4" s="10"/>
      <c r="H4" s="10"/>
      <c r="I4" s="10"/>
      <c r="J4" s="9"/>
    </row>
    <row r="5" spans="1:10">
      <c r="A5" s="36">
        <v>45666</v>
      </c>
      <c r="B5" s="38" t="s">
        <v>2</v>
      </c>
      <c r="C5" s="39" t="s">
        <v>14</v>
      </c>
      <c r="D5" s="39" t="s">
        <v>15</v>
      </c>
      <c r="E5" s="1">
        <v>1</v>
      </c>
      <c r="F5" s="40">
        <v>35000</v>
      </c>
      <c r="G5" s="40">
        <f>Table6891011121314[[#This Row],[Rate /Trips]]*Table6891011121314[[#This Row],[Trips]]</f>
        <v>35000</v>
      </c>
      <c r="H5" s="40">
        <v>20000</v>
      </c>
      <c r="I5" s="40">
        <f>Table6891011121314[[#This Row],[Total Value]]-Table6891011121314[[#This Row],[Received]]</f>
        <v>15000</v>
      </c>
      <c r="J5" s="9" t="s">
        <v>450</v>
      </c>
    </row>
    <row r="6" spans="1:10">
      <c r="A6" s="36">
        <v>45672</v>
      </c>
      <c r="B6" s="38" t="s">
        <v>2</v>
      </c>
      <c r="C6" s="39" t="s">
        <v>28</v>
      </c>
      <c r="D6" s="39" t="s">
        <v>17</v>
      </c>
      <c r="E6" s="1">
        <v>1</v>
      </c>
      <c r="F6" s="40">
        <v>33000</v>
      </c>
      <c r="G6" s="40">
        <f>Table6891011121314[[#This Row],[Rate /Trips]]*Table6891011121314[[#This Row],[Trips]]</f>
        <v>33000</v>
      </c>
      <c r="H6" s="40"/>
      <c r="I6" s="40">
        <f>Table6891011121314[[#This Row],[Total Value]]-Table6891011121314[[#This Row],[Received]]</f>
        <v>33000</v>
      </c>
      <c r="J6" s="9" t="s">
        <v>451</v>
      </c>
    </row>
    <row r="7" spans="1:10">
      <c r="A7" s="36">
        <v>45681</v>
      </c>
      <c r="B7" s="38" t="s">
        <v>48</v>
      </c>
      <c r="C7" s="39" t="s">
        <v>49</v>
      </c>
      <c r="D7" s="39" t="s">
        <v>6</v>
      </c>
      <c r="E7" s="1">
        <v>1</v>
      </c>
      <c r="F7" s="40">
        <v>32000</v>
      </c>
      <c r="G7" s="40">
        <f>Table6891011121314[[#This Row],[Rate /Trips]]*Table6891011121314[[#This Row],[Trips]]</f>
        <v>32000</v>
      </c>
      <c r="H7" s="40"/>
      <c r="I7" s="40">
        <f>Table6891011121314[[#This Row],[Total Value]]-Table6891011121314[[#This Row],[Received]]</f>
        <v>32000</v>
      </c>
      <c r="J7" s="9" t="s">
        <v>452</v>
      </c>
    </row>
    <row r="8" spans="1:10">
      <c r="A8" s="36">
        <v>45682</v>
      </c>
      <c r="B8" s="38" t="s">
        <v>4</v>
      </c>
      <c r="C8" s="39" t="s">
        <v>84</v>
      </c>
      <c r="D8" s="39" t="s">
        <v>11</v>
      </c>
      <c r="E8" s="1">
        <v>1</v>
      </c>
      <c r="F8" s="40">
        <v>35000</v>
      </c>
      <c r="G8" s="40">
        <f>Table6891011121314[[#This Row],[Rate /Trips]]*Table6891011121314[[#This Row],[Trips]]</f>
        <v>35000</v>
      </c>
      <c r="H8" s="40"/>
      <c r="I8" s="40">
        <f>Table6891011121314[[#This Row],[Total Value]]-Table6891011121314[[#This Row],[Received]]</f>
        <v>35000</v>
      </c>
      <c r="J8" s="9" t="s">
        <v>453</v>
      </c>
    </row>
    <row r="9" spans="1:10">
      <c r="A9" s="36"/>
      <c r="B9" s="39"/>
      <c r="C9" s="39"/>
      <c r="D9" s="39"/>
      <c r="E9" s="1"/>
      <c r="F9" s="40"/>
      <c r="G9" s="40"/>
      <c r="H9" s="40"/>
      <c r="I9" s="40"/>
      <c r="J9" s="9"/>
    </row>
    <row r="10" spans="1:10">
      <c r="A10" s="36"/>
      <c r="B10" s="39"/>
      <c r="C10" s="39"/>
      <c r="D10" s="39"/>
      <c r="E10" s="1"/>
      <c r="F10" s="40"/>
      <c r="G10" s="40"/>
      <c r="H10" s="40"/>
      <c r="I10" s="40"/>
      <c r="J10" s="9"/>
    </row>
    <row r="11" spans="1:10">
      <c r="A11" s="36">
        <v>45697</v>
      </c>
      <c r="B11" s="39" t="s">
        <v>4</v>
      </c>
      <c r="C11" s="39" t="s">
        <v>84</v>
      </c>
      <c r="D11" s="39" t="s">
        <v>312</v>
      </c>
      <c r="E11" s="1">
        <v>1</v>
      </c>
      <c r="F11" s="40">
        <v>35000</v>
      </c>
      <c r="G11" s="40">
        <f>Table6891011121314[[#This Row],[Rate /Trips]]*Table6891011121314[[#This Row],[Trips]]</f>
        <v>35000</v>
      </c>
      <c r="H11" s="40"/>
      <c r="I11" s="40">
        <f>Table6891011121314[[#This Row],[Total Value]]-Table6891011121314[[#This Row],[Received]]</f>
        <v>35000</v>
      </c>
      <c r="J11" s="9" t="s">
        <v>453</v>
      </c>
    </row>
    <row r="12" spans="1:10">
      <c r="A12" s="36">
        <v>45698</v>
      </c>
      <c r="B12" s="39" t="s">
        <v>4</v>
      </c>
      <c r="C12" s="39" t="s">
        <v>73</v>
      </c>
      <c r="D12" s="39" t="s">
        <v>13</v>
      </c>
      <c r="E12" s="1">
        <v>1</v>
      </c>
      <c r="F12" s="40">
        <v>32000</v>
      </c>
      <c r="G12" s="40">
        <f>Table6891011121314[[#This Row],[Rate /Trips]]*Table6891011121314[[#This Row],[Trips]]</f>
        <v>32000</v>
      </c>
      <c r="H12" s="40">
        <v>30000</v>
      </c>
      <c r="I12" s="40">
        <f>Table6891011121314[[#This Row],[Total Value]]-Table6891011121314[[#This Row],[Received]]</f>
        <v>2000</v>
      </c>
      <c r="J12" s="9" t="s">
        <v>454</v>
      </c>
    </row>
    <row r="13" spans="1:10">
      <c r="A13" s="36">
        <v>45711</v>
      </c>
      <c r="B13" s="39" t="s">
        <v>45</v>
      </c>
      <c r="C13" s="39" t="s">
        <v>84</v>
      </c>
      <c r="D13" s="39" t="s">
        <v>85</v>
      </c>
      <c r="E13" s="1">
        <v>1</v>
      </c>
      <c r="F13" s="40">
        <v>35000</v>
      </c>
      <c r="G13" s="40">
        <f>Table6891011121314[[#This Row],[Rate /Trips]]*Table6891011121314[[#This Row],[Trips]]</f>
        <v>35000</v>
      </c>
      <c r="H13" s="40"/>
      <c r="I13" s="40">
        <f>Table6891011121314[[#This Row],[Total Value]]-Table6891011121314[[#This Row],[Received]]</f>
        <v>35000</v>
      </c>
      <c r="J13" s="9" t="s">
        <v>453</v>
      </c>
    </row>
    <row r="14" spans="1:10">
      <c r="A14" s="36"/>
      <c r="B14" s="39"/>
      <c r="C14" s="39"/>
      <c r="D14" s="39"/>
      <c r="E14" s="1"/>
      <c r="F14" s="40"/>
      <c r="G14" s="40"/>
      <c r="H14" s="40"/>
      <c r="I14" s="40"/>
      <c r="J14" s="9"/>
    </row>
    <row r="15" spans="1:10">
      <c r="A15" s="36"/>
      <c r="B15" s="39"/>
      <c r="C15" s="39"/>
      <c r="D15" s="39"/>
      <c r="E15" s="1"/>
      <c r="F15" s="40"/>
      <c r="G15" s="40"/>
      <c r="H15" s="40"/>
      <c r="I15" s="40"/>
      <c r="J15" s="9"/>
    </row>
    <row r="16" spans="1:10">
      <c r="A16" s="36">
        <v>45718</v>
      </c>
      <c r="B16" s="49" t="s">
        <v>4</v>
      </c>
      <c r="C16" s="49" t="s">
        <v>87</v>
      </c>
      <c r="D16" s="49" t="s">
        <v>13</v>
      </c>
      <c r="E16" s="3">
        <v>2</v>
      </c>
      <c r="F16" s="50">
        <v>38000</v>
      </c>
      <c r="G16" s="40">
        <f>Table6891011121314[[#This Row],[Rate /Trips]]*Table6891011121314[[#This Row],[Trips]]</f>
        <v>76000</v>
      </c>
      <c r="H16" s="50">
        <v>74000</v>
      </c>
      <c r="I16" s="40">
        <f>Table6891011121314[[#This Row],[Total Value]]-Table6891011121314[[#This Row],[Received]]</f>
        <v>2000</v>
      </c>
      <c r="J16" s="9" t="s">
        <v>455</v>
      </c>
    </row>
    <row r="17" spans="1:10">
      <c r="A17" s="36">
        <v>45725</v>
      </c>
      <c r="B17" s="39" t="s">
        <v>4</v>
      </c>
      <c r="C17" s="39" t="s">
        <v>84</v>
      </c>
      <c r="D17" s="39" t="s">
        <v>121</v>
      </c>
      <c r="E17" s="1">
        <v>1</v>
      </c>
      <c r="F17" s="40">
        <v>40000</v>
      </c>
      <c r="G17" s="40">
        <f>Table6891011121314[[#This Row],[Rate /Trips]]*Table6891011121314[[#This Row],[Trips]]</f>
        <v>40000</v>
      </c>
      <c r="H17" s="40">
        <v>35000</v>
      </c>
      <c r="I17" s="40">
        <f>Table6891011121314[[#This Row],[Total Value]]-Table6891011121314[[#This Row],[Received]]</f>
        <v>5000</v>
      </c>
      <c r="J17" s="9" t="s">
        <v>456</v>
      </c>
    </row>
    <row r="18" spans="1:10">
      <c r="A18" s="36">
        <v>45725</v>
      </c>
      <c r="B18" s="39"/>
      <c r="C18" s="39" t="s">
        <v>133</v>
      </c>
      <c r="D18" s="39" t="s">
        <v>132</v>
      </c>
      <c r="E18" s="1">
        <v>1</v>
      </c>
      <c r="F18" s="40">
        <v>20000</v>
      </c>
      <c r="G18" s="40">
        <f>Table6891011121314[[#This Row],[Rate /Trips]]*Table6891011121314[[#This Row],[Trips]]</f>
        <v>20000</v>
      </c>
      <c r="H18" s="40"/>
      <c r="I18" s="40">
        <f>Table6891011121314[[#This Row],[Total Value]]-Table6891011121314[[#This Row],[Received]]</f>
        <v>20000</v>
      </c>
      <c r="J18" s="9" t="s">
        <v>457</v>
      </c>
    </row>
    <row r="19" spans="1:10">
      <c r="A19" s="36">
        <v>45729</v>
      </c>
      <c r="B19" s="39" t="s">
        <v>58</v>
      </c>
      <c r="C19" s="39" t="s">
        <v>128</v>
      </c>
      <c r="D19" s="39" t="s">
        <v>129</v>
      </c>
      <c r="E19" s="1">
        <v>2</v>
      </c>
      <c r="F19" s="40">
        <v>38000</v>
      </c>
      <c r="G19" s="40">
        <f>Table6891011121314[[#This Row],[Rate /Trips]]*Table6891011121314[[#This Row],[Trips]]</f>
        <v>76000</v>
      </c>
      <c r="H19" s="40">
        <v>50000</v>
      </c>
      <c r="I19" s="40">
        <f>Table6891011121314[[#This Row],[Total Value]]-Table6891011121314[[#This Row],[Received]]</f>
        <v>26000</v>
      </c>
      <c r="J19" s="9" t="s">
        <v>458</v>
      </c>
    </row>
    <row r="20" spans="1:10">
      <c r="A20" s="36">
        <v>45732</v>
      </c>
      <c r="B20" s="39" t="s">
        <v>4</v>
      </c>
      <c r="C20" s="39" t="s">
        <v>9</v>
      </c>
      <c r="D20" s="39" t="s">
        <v>10</v>
      </c>
      <c r="E20" s="1">
        <v>1</v>
      </c>
      <c r="F20" s="40">
        <v>40000</v>
      </c>
      <c r="G20" s="40">
        <f>Table6891011121314[[#This Row],[Rate /Trips]]*Table6891011121314[[#This Row],[Trips]]</f>
        <v>40000</v>
      </c>
      <c r="H20" s="40"/>
      <c r="I20" s="40">
        <f>Table6891011121314[[#This Row],[Total Value]]-Table6891011121314[[#This Row],[Received]]</f>
        <v>40000</v>
      </c>
      <c r="J20" s="9" t="s">
        <v>459</v>
      </c>
    </row>
    <row r="21" spans="1:10">
      <c r="A21" s="36">
        <v>45733</v>
      </c>
      <c r="B21" s="39" t="s">
        <v>4</v>
      </c>
      <c r="C21" s="39" t="s">
        <v>110</v>
      </c>
      <c r="D21" s="39" t="s">
        <v>13</v>
      </c>
      <c r="E21" s="1">
        <v>1</v>
      </c>
      <c r="F21" s="40">
        <v>37000</v>
      </c>
      <c r="G21" s="40">
        <f>Table6891011121314[[#This Row],[Rate /Trips]]*Table6891011121314[[#This Row],[Trips]]</f>
        <v>37000</v>
      </c>
      <c r="H21" s="40"/>
      <c r="I21" s="40">
        <f>Table6891011121314[[#This Row],[Total Value]]-Table6891011121314[[#This Row],[Received]]</f>
        <v>37000</v>
      </c>
      <c r="J21" s="9" t="s">
        <v>460</v>
      </c>
    </row>
    <row r="22" spans="1:10">
      <c r="A22" s="36">
        <v>45735</v>
      </c>
      <c r="B22" s="39" t="s">
        <v>4</v>
      </c>
      <c r="C22" s="39" t="s">
        <v>23</v>
      </c>
      <c r="D22" s="39" t="s">
        <v>10</v>
      </c>
      <c r="E22" s="1">
        <v>1</v>
      </c>
      <c r="F22" s="40">
        <v>40000</v>
      </c>
      <c r="G22" s="40">
        <f>Table6891011121314[[#This Row],[Rate /Trips]]*Table6891011121314[[#This Row],[Trips]]</f>
        <v>40000</v>
      </c>
      <c r="H22" s="40"/>
      <c r="I22" s="40">
        <f>Table6891011121314[[#This Row],[Total Value]]-Table6891011121314[[#This Row],[Received]]</f>
        <v>40000</v>
      </c>
      <c r="J22" s="9" t="s">
        <v>461</v>
      </c>
    </row>
    <row r="23" spans="1:10">
      <c r="A23" s="36">
        <v>45736</v>
      </c>
      <c r="B23" s="39" t="s">
        <v>58</v>
      </c>
      <c r="C23" s="39" t="s">
        <v>110</v>
      </c>
      <c r="D23" s="39" t="s">
        <v>149</v>
      </c>
      <c r="E23" s="1">
        <v>1</v>
      </c>
      <c r="F23" s="40">
        <v>37000</v>
      </c>
      <c r="G23" s="40">
        <f>Table6891011121314[[#This Row],[Rate /Trips]]*Table6891011121314[[#This Row],[Trips]]</f>
        <v>37000</v>
      </c>
      <c r="H23" s="40"/>
      <c r="I23" s="40">
        <f>Table6891011121314[[#This Row],[Total Value]]-Table6891011121314[[#This Row],[Received]]</f>
        <v>37000</v>
      </c>
      <c r="J23" s="9" t="s">
        <v>460</v>
      </c>
    </row>
    <row r="24" spans="1:10">
      <c r="A24" s="36">
        <v>45737</v>
      </c>
      <c r="B24" s="39" t="s">
        <v>4</v>
      </c>
      <c r="C24" s="39" t="s">
        <v>110</v>
      </c>
      <c r="D24" s="39" t="s">
        <v>126</v>
      </c>
      <c r="E24" s="1">
        <v>1</v>
      </c>
      <c r="F24" s="40">
        <v>37000</v>
      </c>
      <c r="G24" s="40">
        <f>Table6891011121314[[#This Row],[Rate /Trips]]*Table6891011121314[[#This Row],[Trips]]</f>
        <v>37000</v>
      </c>
      <c r="H24" s="40"/>
      <c r="I24" s="40">
        <f>Table6891011121314[[#This Row],[Total Value]]-Table6891011121314[[#This Row],[Received]]</f>
        <v>37000</v>
      </c>
      <c r="J24" s="9" t="s">
        <v>460</v>
      </c>
    </row>
    <row r="25" spans="1:10">
      <c r="A25" s="36">
        <v>45739</v>
      </c>
      <c r="B25" s="39" t="s">
        <v>123</v>
      </c>
      <c r="C25" s="49" t="s">
        <v>84</v>
      </c>
      <c r="D25" s="39" t="s">
        <v>11</v>
      </c>
      <c r="E25" s="1">
        <v>2</v>
      </c>
      <c r="F25" s="40">
        <v>40000</v>
      </c>
      <c r="G25" s="40">
        <f>Table6891011121314[[#This Row],[Rate /Trips]]*Table6891011121314[[#This Row],[Trips]]</f>
        <v>80000</v>
      </c>
      <c r="H25" s="40"/>
      <c r="I25" s="40">
        <f>Table6891011121314[[#This Row],[Total Value]]-Table6891011121314[[#This Row],[Received]]</f>
        <v>80000</v>
      </c>
      <c r="J25" s="9" t="s">
        <v>462</v>
      </c>
    </row>
    <row r="26" spans="1:10">
      <c r="A26" s="36">
        <v>45740</v>
      </c>
      <c r="B26" s="39" t="s">
        <v>58</v>
      </c>
      <c r="C26" s="39" t="s">
        <v>110</v>
      </c>
      <c r="D26" s="39" t="s">
        <v>112</v>
      </c>
      <c r="E26" s="1">
        <v>1</v>
      </c>
      <c r="F26" s="40">
        <v>37000</v>
      </c>
      <c r="G26" s="40">
        <f>Table6891011121314[[#This Row],[Rate /Trips]]*Table6891011121314[[#This Row],[Trips]]</f>
        <v>37000</v>
      </c>
      <c r="H26" s="40"/>
      <c r="I26" s="40">
        <f>Table6891011121314[[#This Row],[Total Value]]-Table6891011121314[[#This Row],[Received]]</f>
        <v>37000</v>
      </c>
      <c r="J26" s="9" t="s">
        <v>460</v>
      </c>
    </row>
    <row r="27" spans="1:10">
      <c r="A27" s="36">
        <v>45742</v>
      </c>
      <c r="B27" s="39" t="s">
        <v>123</v>
      </c>
      <c r="C27" s="39" t="s">
        <v>84</v>
      </c>
      <c r="D27" s="39" t="s">
        <v>3</v>
      </c>
      <c r="E27" s="1">
        <v>2</v>
      </c>
      <c r="F27" s="40">
        <v>38000</v>
      </c>
      <c r="G27" s="40">
        <f>Table6891011121314[[#This Row],[Rate /Trips]]*Table6891011121314[[#This Row],[Trips]]</f>
        <v>76000</v>
      </c>
      <c r="H27" s="40"/>
      <c r="I27" s="40">
        <f>Table6891011121314[[#This Row],[Total Value]]-Table6891011121314[[#This Row],[Received]]</f>
        <v>76000</v>
      </c>
      <c r="J27" s="9" t="s">
        <v>463</v>
      </c>
    </row>
    <row r="28" spans="1:10">
      <c r="A28" s="36">
        <v>45744</v>
      </c>
      <c r="B28" s="39" t="s">
        <v>4</v>
      </c>
      <c r="C28" s="39" t="s">
        <v>84</v>
      </c>
      <c r="D28" s="39" t="s">
        <v>162</v>
      </c>
      <c r="E28" s="1">
        <v>1</v>
      </c>
      <c r="F28" s="40">
        <v>38000</v>
      </c>
      <c r="G28" s="40">
        <f>Table6891011121314[[#This Row],[Rate /Trips]]*Table6891011121314[[#This Row],[Trips]]</f>
        <v>38000</v>
      </c>
      <c r="H28" s="40"/>
      <c r="I28" s="40">
        <f>Table6891011121314[[#This Row],[Total Value]]-Table6891011121314[[#This Row],[Received]]</f>
        <v>38000</v>
      </c>
      <c r="J28" s="9" t="s">
        <v>464</v>
      </c>
    </row>
    <row r="29" spans="1:10">
      <c r="A29" s="36">
        <v>45746</v>
      </c>
      <c r="B29" s="39" t="s">
        <v>167</v>
      </c>
      <c r="C29" s="39" t="s">
        <v>199</v>
      </c>
      <c r="D29" s="39" t="s">
        <v>147</v>
      </c>
      <c r="E29" s="1">
        <v>3</v>
      </c>
      <c r="F29" s="40">
        <v>38000</v>
      </c>
      <c r="G29" s="40">
        <f>Table6891011121314[[#This Row],[Rate /Trips]]*Table6891011121314[[#This Row],[Trips]]</f>
        <v>114000</v>
      </c>
      <c r="H29" s="40"/>
      <c r="I29" s="40">
        <f>Table6891011121314[[#This Row],[Total Value]]-Table6891011121314[[#This Row],[Received]]</f>
        <v>114000</v>
      </c>
      <c r="J29" s="9" t="s">
        <v>465</v>
      </c>
    </row>
    <row r="30" spans="1:10">
      <c r="A30" s="36">
        <v>45747</v>
      </c>
      <c r="B30" s="39" t="s">
        <v>2</v>
      </c>
      <c r="C30" s="39" t="s">
        <v>110</v>
      </c>
      <c r="D30" s="39" t="s">
        <v>171</v>
      </c>
      <c r="E30" s="1">
        <v>1</v>
      </c>
      <c r="F30" s="40">
        <v>37000</v>
      </c>
      <c r="G30" s="40">
        <f>Table6891011121314[[#This Row],[Rate /Trips]]*Table6891011121314[[#This Row],[Trips]]</f>
        <v>37000</v>
      </c>
      <c r="H30" s="40"/>
      <c r="I30" s="40">
        <f>Table6891011121314[[#This Row],[Total Value]]-Table6891011121314[[#This Row],[Received]]</f>
        <v>37000</v>
      </c>
      <c r="J30" s="9" t="s">
        <v>460</v>
      </c>
    </row>
    <row r="31" spans="1:10">
      <c r="A31" s="36"/>
      <c r="B31" s="39"/>
      <c r="C31" s="39"/>
      <c r="D31" s="39"/>
      <c r="E31" s="1"/>
      <c r="F31" s="40"/>
      <c r="G31" s="40"/>
      <c r="H31" s="40"/>
      <c r="I31" s="40"/>
      <c r="J31" s="9"/>
    </row>
    <row r="32" spans="1:10">
      <c r="A32" s="36"/>
      <c r="B32" s="39"/>
      <c r="C32" s="39"/>
      <c r="D32" s="39"/>
      <c r="E32" s="1"/>
      <c r="F32" s="40"/>
      <c r="G32" s="40"/>
      <c r="H32" s="40"/>
      <c r="I32" s="40"/>
      <c r="J32" s="9"/>
    </row>
    <row r="33" spans="1:10">
      <c r="A33" s="36">
        <v>45751</v>
      </c>
      <c r="B33" s="39" t="s">
        <v>2</v>
      </c>
      <c r="C33" s="39" t="s">
        <v>110</v>
      </c>
      <c r="D33" s="39" t="s">
        <v>116</v>
      </c>
      <c r="E33" s="1">
        <v>1</v>
      </c>
      <c r="F33" s="40">
        <v>35000</v>
      </c>
      <c r="G33" s="40">
        <f>Table6891011121314[[#This Row],[Rate /Trips]]*Table6891011121314[[#This Row],[Trips]]</f>
        <v>35000</v>
      </c>
      <c r="H33" s="40"/>
      <c r="I33" s="40">
        <f>Table6891011121314[[#This Row],[Total Value]]-Table6891011121314[[#This Row],[Received]]</f>
        <v>35000</v>
      </c>
      <c r="J33" s="9" t="s">
        <v>466</v>
      </c>
    </row>
    <row r="34" spans="1:10">
      <c r="A34" s="36">
        <v>45751</v>
      </c>
      <c r="B34" s="39" t="s">
        <v>2</v>
      </c>
      <c r="C34" s="39" t="s">
        <v>188</v>
      </c>
      <c r="D34" s="39" t="s">
        <v>187</v>
      </c>
      <c r="E34" s="1">
        <v>1</v>
      </c>
      <c r="F34" s="40">
        <v>35000</v>
      </c>
      <c r="G34" s="40">
        <f>Table6891011121314[[#This Row],[Rate /Trips]]*Table6891011121314[[#This Row],[Trips]]</f>
        <v>35000</v>
      </c>
      <c r="H34" s="40">
        <v>30000</v>
      </c>
      <c r="I34" s="40">
        <f>Table6891011121314[[#This Row],[Total Value]]-Table6891011121314[[#This Row],[Received]]</f>
        <v>5000</v>
      </c>
      <c r="J34" s="9" t="s">
        <v>467</v>
      </c>
    </row>
    <row r="35" spans="1:10">
      <c r="A35" s="36">
        <v>45759</v>
      </c>
      <c r="B35" s="39" t="s">
        <v>2</v>
      </c>
      <c r="C35" s="39" t="s">
        <v>107</v>
      </c>
      <c r="D35" s="39" t="s">
        <v>160</v>
      </c>
      <c r="E35" s="1">
        <v>1</v>
      </c>
      <c r="F35" s="40">
        <v>36000</v>
      </c>
      <c r="G35" s="40">
        <f>Table6891011121314[[#This Row],[Rate /Trips]]*Table6891011121314[[#This Row],[Trips]]</f>
        <v>36000</v>
      </c>
      <c r="H35" s="40">
        <v>30000</v>
      </c>
      <c r="I35" s="40">
        <f>Table6891011121314[[#This Row],[Total Value]]-Table6891011121314[[#This Row],[Received]]</f>
        <v>6000</v>
      </c>
      <c r="J35" s="9" t="s">
        <v>468</v>
      </c>
    </row>
    <row r="36" spans="1:10">
      <c r="A36" s="36">
        <v>45764</v>
      </c>
      <c r="B36" s="39" t="s">
        <v>2</v>
      </c>
      <c r="C36" s="39" t="s">
        <v>164</v>
      </c>
      <c r="D36" s="39" t="s">
        <v>11</v>
      </c>
      <c r="E36" s="1">
        <v>1</v>
      </c>
      <c r="F36" s="40">
        <v>38000</v>
      </c>
      <c r="G36" s="40">
        <f>Table6891011121314[[#This Row],[Rate /Trips]]*Table6891011121314[[#This Row],[Trips]]</f>
        <v>38000</v>
      </c>
      <c r="H36" s="40"/>
      <c r="I36" s="40">
        <f>Table6891011121314[[#This Row],[Total Value]]-Table6891011121314[[#This Row],[Received]]</f>
        <v>38000</v>
      </c>
      <c r="J36" s="9" t="s">
        <v>469</v>
      </c>
    </row>
    <row r="37" spans="1:10">
      <c r="A37" s="36">
        <v>45765</v>
      </c>
      <c r="B37" s="39" t="s">
        <v>212</v>
      </c>
      <c r="C37" s="39" t="s">
        <v>110</v>
      </c>
      <c r="D37" s="39" t="s">
        <v>116</v>
      </c>
      <c r="E37" s="1">
        <v>2</v>
      </c>
      <c r="F37" s="40">
        <v>34000</v>
      </c>
      <c r="G37" s="40">
        <f>Table6891011121314[[#This Row],[Rate /Trips]]*Table6891011121314[[#This Row],[Trips]]</f>
        <v>68000</v>
      </c>
      <c r="H37" s="40"/>
      <c r="I37" s="40">
        <f>Table6891011121314[[#This Row],[Total Value]]-Table6891011121314[[#This Row],[Received]]</f>
        <v>68000</v>
      </c>
      <c r="J37" s="9" t="s">
        <v>470</v>
      </c>
    </row>
    <row r="38" spans="1:10">
      <c r="A38" s="36">
        <v>45768</v>
      </c>
      <c r="B38" s="39" t="s">
        <v>2</v>
      </c>
      <c r="C38" s="39" t="s">
        <v>110</v>
      </c>
      <c r="D38" s="39" t="s">
        <v>116</v>
      </c>
      <c r="E38" s="1">
        <v>1</v>
      </c>
      <c r="F38" s="40">
        <v>34000</v>
      </c>
      <c r="G38" s="40">
        <f>Table6891011121314[[#This Row],[Rate /Trips]]*Table6891011121314[[#This Row],[Trips]]</f>
        <v>34000</v>
      </c>
      <c r="H38" s="40"/>
      <c r="I38" s="40">
        <f>Table6891011121314[[#This Row],[Total Value]]-Table6891011121314[[#This Row],[Received]]</f>
        <v>34000</v>
      </c>
      <c r="J38" s="9" t="s">
        <v>471</v>
      </c>
    </row>
    <row r="39" spans="1:10">
      <c r="A39" s="36">
        <v>45769</v>
      </c>
      <c r="B39" s="39" t="s">
        <v>2</v>
      </c>
      <c r="C39" s="39" t="s">
        <v>110</v>
      </c>
      <c r="D39" s="39" t="s">
        <v>162</v>
      </c>
      <c r="E39" s="1">
        <v>1</v>
      </c>
      <c r="F39" s="40">
        <v>34000</v>
      </c>
      <c r="G39" s="40">
        <f>Table6891011121314[[#This Row],[Rate /Trips]]*Table6891011121314[[#This Row],[Trips]]</f>
        <v>34000</v>
      </c>
      <c r="H39" s="40"/>
      <c r="I39" s="40">
        <f>Table6891011121314[[#This Row],[Total Value]]-Table6891011121314[[#This Row],[Received]]</f>
        <v>34000</v>
      </c>
      <c r="J39" s="9" t="s">
        <v>471</v>
      </c>
    </row>
    <row r="40" spans="1:10">
      <c r="A40" s="36">
        <v>45770</v>
      </c>
      <c r="B40" s="39" t="s">
        <v>2</v>
      </c>
      <c r="C40" s="39" t="s">
        <v>164</v>
      </c>
      <c r="D40" s="39" t="s">
        <v>10</v>
      </c>
      <c r="E40" s="1">
        <v>1</v>
      </c>
      <c r="F40" s="40">
        <v>35000</v>
      </c>
      <c r="G40" s="40">
        <f>Table6891011121314[[#This Row],[Rate /Trips]]*Table6891011121314[[#This Row],[Trips]]</f>
        <v>35000</v>
      </c>
      <c r="H40" s="40"/>
      <c r="I40" s="40">
        <f>Table6891011121314[[#This Row],[Total Value]]-Table6891011121314[[#This Row],[Received]]</f>
        <v>35000</v>
      </c>
      <c r="J40" s="9" t="s">
        <v>472</v>
      </c>
    </row>
    <row r="41" spans="1:10">
      <c r="A41" s="36">
        <v>45774</v>
      </c>
      <c r="B41" s="39" t="s">
        <v>58</v>
      </c>
      <c r="C41" s="39" t="s">
        <v>110</v>
      </c>
      <c r="D41" s="39" t="s">
        <v>223</v>
      </c>
      <c r="E41" s="1">
        <v>1</v>
      </c>
      <c r="F41" s="40">
        <v>34000</v>
      </c>
      <c r="G41" s="40">
        <f>Table6891011121314[[#This Row],[Rate /Trips]]*Table6891011121314[[#This Row],[Trips]]</f>
        <v>34000</v>
      </c>
      <c r="H41" s="40"/>
      <c r="I41" s="40">
        <f>Table6891011121314[[#This Row],[Total Value]]-Table6891011121314[[#This Row],[Received]]</f>
        <v>34000</v>
      </c>
      <c r="J41" s="9" t="s">
        <v>471</v>
      </c>
    </row>
    <row r="42" spans="1:10">
      <c r="A42" s="36">
        <v>45777</v>
      </c>
      <c r="B42" s="39" t="s">
        <v>4</v>
      </c>
      <c r="C42" s="39" t="s">
        <v>110</v>
      </c>
      <c r="D42" s="39" t="s">
        <v>231</v>
      </c>
      <c r="E42" s="1">
        <v>1</v>
      </c>
      <c r="F42" s="40">
        <v>34000</v>
      </c>
      <c r="G42" s="40">
        <f>Table6891011121314[[#This Row],[Rate /Trips]]*Table6891011121314[[#This Row],[Trips]]</f>
        <v>34000</v>
      </c>
      <c r="H42" s="40"/>
      <c r="I42" s="40">
        <f>Table6891011121314[[#This Row],[Total Value]]-Table6891011121314[[#This Row],[Received]]</f>
        <v>34000</v>
      </c>
      <c r="J42" s="9" t="s">
        <v>471</v>
      </c>
    </row>
    <row r="43" spans="1:10">
      <c r="A43" s="36"/>
      <c r="B43" s="55"/>
      <c r="C43" s="55"/>
      <c r="D43" s="55"/>
      <c r="E43" s="1"/>
      <c r="F43" s="40"/>
      <c r="G43" s="40"/>
      <c r="H43" s="2"/>
      <c r="I43" s="40"/>
      <c r="J43" s="9"/>
    </row>
    <row r="44" spans="1:10">
      <c r="A44" s="36"/>
      <c r="B44" s="55"/>
      <c r="C44" s="55"/>
      <c r="D44" s="55"/>
      <c r="E44" s="1"/>
      <c r="F44" s="40"/>
      <c r="G44" s="40"/>
      <c r="H44" s="2"/>
      <c r="I44" s="40"/>
      <c r="J44" s="9"/>
    </row>
    <row r="45" spans="1:10">
      <c r="A45" s="49" t="s">
        <v>247</v>
      </c>
      <c r="B45" s="39" t="s">
        <v>4</v>
      </c>
      <c r="C45" s="39" t="s">
        <v>158</v>
      </c>
      <c r="D45" s="39" t="s">
        <v>157</v>
      </c>
      <c r="E45" s="1">
        <v>1</v>
      </c>
      <c r="F45" s="52">
        <v>35000</v>
      </c>
      <c r="G45" s="40">
        <f>Table6891011121314[[#This Row],[Rate /Trips]]*Table6891011121314[[#This Row],[Trips]]</f>
        <v>35000</v>
      </c>
      <c r="H45" s="40">
        <v>30000</v>
      </c>
      <c r="I45" s="40">
        <f>Table6891011121314[[#This Row],[Total Value]]-Table6891011121314[[#This Row],[Received]]</f>
        <v>5000</v>
      </c>
      <c r="J45" s="9" t="s">
        <v>473</v>
      </c>
    </row>
    <row r="46" spans="1:10">
      <c r="A46" s="49" t="s">
        <v>248</v>
      </c>
      <c r="B46" s="39" t="s">
        <v>123</v>
      </c>
      <c r="C46" s="39" t="s">
        <v>84</v>
      </c>
      <c r="D46" s="39" t="s">
        <v>10</v>
      </c>
      <c r="E46" s="1">
        <v>2</v>
      </c>
      <c r="F46" s="52">
        <v>34000</v>
      </c>
      <c r="G46" s="40">
        <f>Table6891011121314[[#This Row],[Rate /Trips]]*Table6891011121314[[#This Row],[Trips]]</f>
        <v>68000</v>
      </c>
      <c r="H46" s="52">
        <v>34000</v>
      </c>
      <c r="I46" s="40">
        <f>Table6891011121314[[#This Row],[Total Value]]-Table6891011121314[[#This Row],[Received]]</f>
        <v>34000</v>
      </c>
      <c r="J46" s="9" t="s">
        <v>474</v>
      </c>
    </row>
    <row r="47" spans="1:10">
      <c r="A47" s="36">
        <v>45801</v>
      </c>
      <c r="B47" s="39" t="s">
        <v>4</v>
      </c>
      <c r="C47" s="39" t="s">
        <v>84</v>
      </c>
      <c r="D47" s="39" t="s">
        <v>11</v>
      </c>
      <c r="E47" s="1">
        <v>1</v>
      </c>
      <c r="F47" s="40">
        <v>35000</v>
      </c>
      <c r="G47" s="40">
        <f>Table6891011121314[[#This Row],[Rate /Trips]]*Table6891011121314[[#This Row],[Trips]]</f>
        <v>35000</v>
      </c>
      <c r="H47" s="40"/>
      <c r="I47" s="40">
        <f>Table6891011121314[[#This Row],[Total Value]]-Table6891011121314[[#This Row],[Received]]</f>
        <v>35000</v>
      </c>
      <c r="J47" s="9" t="s">
        <v>453</v>
      </c>
    </row>
    <row r="48" spans="1:10">
      <c r="A48" s="36">
        <v>45801</v>
      </c>
      <c r="B48" s="39" t="s">
        <v>4</v>
      </c>
      <c r="C48" s="39" t="s">
        <v>110</v>
      </c>
      <c r="D48" s="39" t="s">
        <v>116</v>
      </c>
      <c r="E48" s="1">
        <v>1</v>
      </c>
      <c r="F48" s="40">
        <v>34000</v>
      </c>
      <c r="G48" s="40">
        <f>Table6891011121314[[#This Row],[Rate /Trips]]*Table6891011121314[[#This Row],[Trips]]</f>
        <v>34000</v>
      </c>
      <c r="H48" s="40"/>
      <c r="I48" s="40">
        <f>Table6891011121314[[#This Row],[Total Value]]-Table6891011121314[[#This Row],[Received]]</f>
        <v>34000</v>
      </c>
      <c r="J48" s="9" t="s">
        <v>471</v>
      </c>
    </row>
    <row r="49" spans="1:10">
      <c r="A49" s="36">
        <v>45801</v>
      </c>
      <c r="B49" s="39" t="s">
        <v>250</v>
      </c>
      <c r="C49" s="39" t="s">
        <v>110</v>
      </c>
      <c r="D49" s="39" t="s">
        <v>127</v>
      </c>
      <c r="E49" s="1">
        <v>1</v>
      </c>
      <c r="F49" s="40">
        <v>34000</v>
      </c>
      <c r="G49" s="40">
        <f>Table6891011121314[[#This Row],[Rate /Trips]]*Table6891011121314[[#This Row],[Trips]]</f>
        <v>34000</v>
      </c>
      <c r="H49" s="40"/>
      <c r="I49" s="40">
        <f>Table6891011121314[[#This Row],[Total Value]]-Table6891011121314[[#This Row],[Received]]</f>
        <v>34000</v>
      </c>
      <c r="J49" s="9" t="s">
        <v>471</v>
      </c>
    </row>
    <row r="50" spans="1:10">
      <c r="A50" s="36">
        <v>45801</v>
      </c>
      <c r="B50" s="39" t="s">
        <v>251</v>
      </c>
      <c r="C50" s="39" t="s">
        <v>110</v>
      </c>
      <c r="D50" s="39" t="s">
        <v>181</v>
      </c>
      <c r="E50" s="1">
        <v>1</v>
      </c>
      <c r="F50" s="40">
        <v>34000</v>
      </c>
      <c r="G50" s="40">
        <f>Table6891011121314[[#This Row],[Rate /Trips]]*Table6891011121314[[#This Row],[Trips]]</f>
        <v>34000</v>
      </c>
      <c r="H50" s="40"/>
      <c r="I50" s="40">
        <f>Table6891011121314[[#This Row],[Total Value]]-Table6891011121314[[#This Row],[Received]]</f>
        <v>34000</v>
      </c>
      <c r="J50" s="9" t="s">
        <v>471</v>
      </c>
    </row>
    <row r="51" spans="1:10">
      <c r="A51" s="36">
        <v>45801</v>
      </c>
      <c r="B51" s="39" t="s">
        <v>251</v>
      </c>
      <c r="C51" s="39" t="s">
        <v>84</v>
      </c>
      <c r="D51" s="39" t="s">
        <v>10</v>
      </c>
      <c r="E51" s="1">
        <v>1</v>
      </c>
      <c r="F51" s="40">
        <v>35000</v>
      </c>
      <c r="G51" s="40">
        <f>Table6891011121314[[#This Row],[Rate /Trips]]*Table6891011121314[[#This Row],[Trips]]</f>
        <v>35000</v>
      </c>
      <c r="H51" s="40"/>
      <c r="I51" s="40">
        <f>Table6891011121314[[#This Row],[Total Value]]-Table6891011121314[[#This Row],[Received]]</f>
        <v>35000</v>
      </c>
      <c r="J51" s="9" t="s">
        <v>453</v>
      </c>
    </row>
    <row r="52" spans="1:10">
      <c r="A52" s="36">
        <v>45803</v>
      </c>
      <c r="B52" s="39" t="s">
        <v>58</v>
      </c>
      <c r="C52" s="39" t="s">
        <v>110</v>
      </c>
      <c r="D52" s="39" t="s">
        <v>253</v>
      </c>
      <c r="E52" s="1">
        <v>1</v>
      </c>
      <c r="F52" s="40">
        <v>34000</v>
      </c>
      <c r="G52" s="40">
        <f>Table6891011121314[[#This Row],[Rate /Trips]]*Table6891011121314[[#This Row],[Trips]]</f>
        <v>34000</v>
      </c>
      <c r="H52" s="40"/>
      <c r="I52" s="40">
        <f>Table6891011121314[[#This Row],[Total Value]]-Table6891011121314[[#This Row],[Received]]</f>
        <v>34000</v>
      </c>
      <c r="J52" s="9" t="s">
        <v>471</v>
      </c>
    </row>
    <row r="53" spans="1:10">
      <c r="A53" s="36">
        <v>45803</v>
      </c>
      <c r="B53" s="39" t="s">
        <v>58</v>
      </c>
      <c r="C53" s="39" t="s">
        <v>84</v>
      </c>
      <c r="D53" s="39" t="s">
        <v>254</v>
      </c>
      <c r="E53" s="1">
        <v>1</v>
      </c>
      <c r="F53" s="40">
        <v>35000</v>
      </c>
      <c r="G53" s="40">
        <f>Table6891011121314[[#This Row],[Rate /Trips]]*Table6891011121314[[#This Row],[Trips]]</f>
        <v>35000</v>
      </c>
      <c r="H53" s="40"/>
      <c r="I53" s="40">
        <f>Table6891011121314[[#This Row],[Total Value]]-Table6891011121314[[#This Row],[Received]]</f>
        <v>35000</v>
      </c>
      <c r="J53" s="9" t="s">
        <v>453</v>
      </c>
    </row>
    <row r="54" spans="1:10">
      <c r="A54" s="36">
        <v>45804</v>
      </c>
      <c r="B54" s="39" t="s">
        <v>58</v>
      </c>
      <c r="C54" s="39" t="s">
        <v>110</v>
      </c>
      <c r="D54" s="39" t="s">
        <v>8</v>
      </c>
      <c r="E54" s="1">
        <v>1</v>
      </c>
      <c r="F54" s="40">
        <v>34000</v>
      </c>
      <c r="G54" s="40">
        <f>Table6891011121314[[#This Row],[Rate /Trips]]*Table6891011121314[[#This Row],[Trips]]</f>
        <v>34000</v>
      </c>
      <c r="H54" s="40">
        <v>0</v>
      </c>
      <c r="I54" s="40">
        <f>Table6891011121314[[#This Row],[Total Value]]-Table6891011121314[[#This Row],[Received]]</f>
        <v>34000</v>
      </c>
      <c r="J54" s="9" t="s">
        <v>471</v>
      </c>
    </row>
    <row r="55" spans="1:10">
      <c r="A55" s="36">
        <v>45804</v>
      </c>
      <c r="B55" s="39" t="s">
        <v>4</v>
      </c>
      <c r="C55" s="39" t="s">
        <v>21</v>
      </c>
      <c r="D55" s="39" t="s">
        <v>145</v>
      </c>
      <c r="E55" s="1">
        <v>1</v>
      </c>
      <c r="F55" s="40">
        <v>31000</v>
      </c>
      <c r="G55" s="40">
        <f>Table6891011121314[[#This Row],[Rate /Trips]]*Table6891011121314[[#This Row],[Trips]]</f>
        <v>31000</v>
      </c>
      <c r="H55" s="40">
        <v>4000</v>
      </c>
      <c r="I55" s="40">
        <f>Table6891011121314[[#This Row],[Total Value]]-Table6891011121314[[#This Row],[Received]]</f>
        <v>27000</v>
      </c>
      <c r="J55" s="9" t="s">
        <v>475</v>
      </c>
    </row>
    <row r="56" spans="1:10">
      <c r="A56" s="36">
        <v>45805</v>
      </c>
      <c r="B56" s="39" t="s">
        <v>4</v>
      </c>
      <c r="C56" s="39" t="s">
        <v>110</v>
      </c>
      <c r="D56" s="39" t="s">
        <v>116</v>
      </c>
      <c r="E56" s="1">
        <v>3</v>
      </c>
      <c r="F56" s="40">
        <v>34000</v>
      </c>
      <c r="G56" s="40">
        <f>Table6891011121314[[#This Row],[Rate /Trips]]*Table6891011121314[[#This Row],[Trips]]</f>
        <v>102000</v>
      </c>
      <c r="H56" s="40"/>
      <c r="I56" s="40">
        <f>Table6891011121314[[#This Row],[Total Value]]-Table6891011121314[[#This Row],[Received]]</f>
        <v>102000</v>
      </c>
      <c r="J56" s="9" t="s">
        <v>476</v>
      </c>
    </row>
    <row r="57" spans="1:10">
      <c r="A57" s="36">
        <v>45807</v>
      </c>
      <c r="B57" s="39" t="s">
        <v>58</v>
      </c>
      <c r="C57" s="39" t="s">
        <v>110</v>
      </c>
      <c r="D57" s="39" t="s">
        <v>22</v>
      </c>
      <c r="E57" s="1">
        <v>1</v>
      </c>
      <c r="F57" s="40">
        <v>34000</v>
      </c>
      <c r="G57" s="40">
        <f>Table6891011121314[[#This Row],[Rate /Trips]]*Table6891011121314[[#This Row],[Trips]]</f>
        <v>34000</v>
      </c>
      <c r="H57" s="40"/>
      <c r="I57" s="40">
        <f>Table6891011121314[[#This Row],[Total Value]]-Table6891011121314[[#This Row],[Received]]</f>
        <v>34000</v>
      </c>
      <c r="J57" s="9" t="s">
        <v>471</v>
      </c>
    </row>
    <row r="58" spans="1:10">
      <c r="A58" s="36">
        <v>45807</v>
      </c>
      <c r="B58" s="39" t="s">
        <v>4</v>
      </c>
      <c r="C58" s="39" t="s">
        <v>110</v>
      </c>
      <c r="D58" s="39" t="s">
        <v>256</v>
      </c>
      <c r="E58" s="1">
        <v>1</v>
      </c>
      <c r="F58" s="40">
        <v>34000</v>
      </c>
      <c r="G58" s="40">
        <f>Table6891011121314[[#This Row],[Rate /Trips]]*Table6891011121314[[#This Row],[Trips]]</f>
        <v>34000</v>
      </c>
      <c r="H58" s="40"/>
      <c r="I58" s="40">
        <f>Table6891011121314[[#This Row],[Total Value]]-Table6891011121314[[#This Row],[Received]]</f>
        <v>34000</v>
      </c>
      <c r="J58" s="9" t="s">
        <v>471</v>
      </c>
    </row>
    <row r="59" spans="1:10">
      <c r="A59" s="36">
        <v>45807</v>
      </c>
      <c r="B59" s="39" t="s">
        <v>58</v>
      </c>
      <c r="C59" s="39" t="s">
        <v>164</v>
      </c>
      <c r="D59" s="39" t="s">
        <v>11</v>
      </c>
      <c r="E59" s="1">
        <v>1</v>
      </c>
      <c r="F59" s="40">
        <v>35000</v>
      </c>
      <c r="G59" s="40">
        <f>Table6891011121314[[#This Row],[Rate /Trips]]*Table6891011121314[[#This Row],[Trips]]</f>
        <v>35000</v>
      </c>
      <c r="H59" s="40"/>
      <c r="I59" s="40">
        <f>Table6891011121314[[#This Row],[Total Value]]-Table6891011121314[[#This Row],[Received]]</f>
        <v>35000</v>
      </c>
      <c r="J59" s="9" t="s">
        <v>472</v>
      </c>
    </row>
    <row r="60" spans="1:10">
      <c r="A60" s="36">
        <v>45807</v>
      </c>
      <c r="B60" s="39" t="s">
        <v>58</v>
      </c>
      <c r="C60" s="39" t="s">
        <v>164</v>
      </c>
      <c r="D60" s="39" t="s">
        <v>11</v>
      </c>
      <c r="E60" s="1">
        <v>1</v>
      </c>
      <c r="F60" s="40">
        <v>35000</v>
      </c>
      <c r="G60" s="40">
        <f>Table6891011121314[[#This Row],[Rate /Trips]]*Table6891011121314[[#This Row],[Trips]]</f>
        <v>35000</v>
      </c>
      <c r="H60" s="40"/>
      <c r="I60" s="40">
        <f>Table6891011121314[[#This Row],[Total Value]]-Table6891011121314[[#This Row],[Received]]</f>
        <v>35000</v>
      </c>
      <c r="J60" s="9" t="s">
        <v>472</v>
      </c>
    </row>
    <row r="61" spans="1:10">
      <c r="A61" s="36">
        <v>45807</v>
      </c>
      <c r="B61" s="39" t="s">
        <v>4</v>
      </c>
      <c r="C61" s="39" t="s">
        <v>164</v>
      </c>
      <c r="D61" s="39" t="s">
        <v>11</v>
      </c>
      <c r="E61" s="1">
        <v>1</v>
      </c>
      <c r="F61" s="40">
        <v>35000</v>
      </c>
      <c r="G61" s="40">
        <f>Table6891011121314[[#This Row],[Rate /Trips]]*Table6891011121314[[#This Row],[Trips]]</f>
        <v>35000</v>
      </c>
      <c r="H61" s="40"/>
      <c r="I61" s="40">
        <f>Table6891011121314[[#This Row],[Total Value]]-Table6891011121314[[#This Row],[Received]]</f>
        <v>35000</v>
      </c>
      <c r="J61" s="9" t="s">
        <v>472</v>
      </c>
    </row>
    <row r="62" spans="1:10">
      <c r="A62" s="36"/>
      <c r="B62" s="39"/>
      <c r="C62" s="39"/>
      <c r="D62" s="39"/>
      <c r="E62" s="1"/>
      <c r="F62" s="40"/>
      <c r="G62" s="40"/>
      <c r="H62" s="40"/>
      <c r="I62" s="40"/>
      <c r="J62" s="9"/>
    </row>
    <row r="63" spans="1:10">
      <c r="A63" s="36"/>
      <c r="B63" s="39"/>
      <c r="C63" s="39"/>
      <c r="D63" s="39"/>
      <c r="E63" s="1"/>
      <c r="F63" s="40"/>
      <c r="G63" s="40"/>
      <c r="H63" s="40"/>
      <c r="I63" s="40"/>
      <c r="J63" s="9"/>
    </row>
    <row r="64" spans="1:10">
      <c r="A64" s="36">
        <v>45817</v>
      </c>
      <c r="B64" s="39" t="s">
        <v>271</v>
      </c>
      <c r="C64" s="39" t="s">
        <v>84</v>
      </c>
      <c r="D64" s="39" t="s">
        <v>317</v>
      </c>
      <c r="E64" s="1">
        <v>1</v>
      </c>
      <c r="F64" s="40">
        <v>39000</v>
      </c>
      <c r="G64" s="40">
        <f>Table6891011121314[[#This Row],[Rate /Trips]]*Table6891011121314[[#This Row],[Trips]]</f>
        <v>39000</v>
      </c>
      <c r="H64" s="40"/>
      <c r="I64" s="40">
        <f>Table6891011121314[[#This Row],[Total Value]]-Table6891011121314[[#This Row],[Received]]</f>
        <v>39000</v>
      </c>
      <c r="J64" s="9" t="s">
        <v>477</v>
      </c>
    </row>
    <row r="65" spans="1:10">
      <c r="A65" s="36">
        <v>45818</v>
      </c>
      <c r="B65" s="39" t="s">
        <v>4</v>
      </c>
      <c r="C65" s="39" t="s">
        <v>265</v>
      </c>
      <c r="D65" s="39" t="s">
        <v>145</v>
      </c>
      <c r="E65" s="1">
        <v>2</v>
      </c>
      <c r="F65" s="40">
        <v>28000</v>
      </c>
      <c r="G65" s="40">
        <f>Table6891011121314[[#This Row],[Rate /Trips]]*Table6891011121314[[#This Row],[Trips]]</f>
        <v>56000</v>
      </c>
      <c r="H65" s="40"/>
      <c r="I65" s="40">
        <f>Table6891011121314[[#This Row],[Total Value]]-Table6891011121314[[#This Row],[Received]]</f>
        <v>56000</v>
      </c>
      <c r="J65" s="9" t="s">
        <v>478</v>
      </c>
    </row>
    <row r="66" spans="1:10">
      <c r="A66" s="36">
        <v>45820</v>
      </c>
      <c r="B66" s="39" t="s">
        <v>4</v>
      </c>
      <c r="C66" s="39" t="s">
        <v>265</v>
      </c>
      <c r="D66" s="39" t="s">
        <v>145</v>
      </c>
      <c r="E66" s="1">
        <v>2</v>
      </c>
      <c r="F66" s="40">
        <v>28000</v>
      </c>
      <c r="G66" s="40">
        <f>Table6891011121314[[#This Row],[Rate /Trips]]*Table6891011121314[[#This Row],[Trips]]</f>
        <v>56000</v>
      </c>
      <c r="H66" s="40"/>
      <c r="I66" s="40">
        <f>Table6891011121314[[#This Row],[Total Value]]-Table6891011121314[[#This Row],[Received]]</f>
        <v>56000</v>
      </c>
      <c r="J66" s="9" t="s">
        <v>478</v>
      </c>
    </row>
    <row r="67" spans="1:10">
      <c r="A67" s="36">
        <v>45821</v>
      </c>
      <c r="B67" s="39" t="s">
        <v>58</v>
      </c>
      <c r="C67" s="39" t="s">
        <v>80</v>
      </c>
      <c r="D67" s="39" t="s">
        <v>281</v>
      </c>
      <c r="E67" s="1">
        <v>6</v>
      </c>
      <c r="F67" s="40">
        <v>35000</v>
      </c>
      <c r="G67" s="40">
        <f>Table6891011121314[[#This Row],[Rate /Trips]]*Table6891011121314[[#This Row],[Trips]]</f>
        <v>210000</v>
      </c>
      <c r="H67" s="40"/>
      <c r="I67" s="40">
        <f>Table6891011121314[[#This Row],[Total Value]]-Table6891011121314[[#This Row],[Received]]</f>
        <v>210000</v>
      </c>
      <c r="J67" s="9" t="s">
        <v>479</v>
      </c>
    </row>
    <row r="68" spans="1:10">
      <c r="A68" s="36">
        <v>45821</v>
      </c>
      <c r="B68" s="39" t="s">
        <v>4</v>
      </c>
      <c r="C68" s="39" t="s">
        <v>265</v>
      </c>
      <c r="D68" s="39" t="s">
        <v>145</v>
      </c>
      <c r="E68" s="1">
        <v>2</v>
      </c>
      <c r="F68" s="40">
        <v>28000</v>
      </c>
      <c r="G68" s="40">
        <f>Table6891011121314[[#This Row],[Rate /Trips]]*Table6891011121314[[#This Row],[Trips]]</f>
        <v>56000</v>
      </c>
      <c r="H68" s="40"/>
      <c r="I68" s="40">
        <f>Table6891011121314[[#This Row],[Total Value]]-Table6891011121314[[#This Row],[Received]]</f>
        <v>56000</v>
      </c>
      <c r="J68" s="9" t="s">
        <v>478</v>
      </c>
    </row>
    <row r="69" spans="1:10">
      <c r="A69" s="36">
        <v>45821</v>
      </c>
      <c r="B69" s="39" t="s">
        <v>58</v>
      </c>
      <c r="C69" s="39" t="s">
        <v>318</v>
      </c>
      <c r="D69" s="39" t="s">
        <v>122</v>
      </c>
      <c r="E69" s="1">
        <v>1</v>
      </c>
      <c r="F69" s="40">
        <v>32000</v>
      </c>
      <c r="G69" s="40">
        <f>Table6891011121314[[#This Row],[Rate /Trips]]*Table6891011121314[[#This Row],[Trips]]</f>
        <v>32000</v>
      </c>
      <c r="H69" s="40"/>
      <c r="I69" s="40">
        <f>Table6891011121314[[#This Row],[Total Value]]-Table6891011121314[[#This Row],[Received]]</f>
        <v>32000</v>
      </c>
      <c r="J69" s="9" t="s">
        <v>480</v>
      </c>
    </row>
    <row r="70" spans="1:10">
      <c r="A70" s="36">
        <v>45821</v>
      </c>
      <c r="B70" s="39" t="s">
        <v>4</v>
      </c>
      <c r="C70" s="39" t="s">
        <v>30</v>
      </c>
      <c r="D70" s="39" t="s">
        <v>38</v>
      </c>
      <c r="E70" s="1">
        <v>1</v>
      </c>
      <c r="F70" s="40">
        <v>30000</v>
      </c>
      <c r="G70" s="40">
        <f>Table6891011121314[[#This Row],[Rate /Trips]]*Table6891011121314[[#This Row],[Trips]]</f>
        <v>30000</v>
      </c>
      <c r="H70" s="40">
        <v>29000</v>
      </c>
      <c r="I70" s="40">
        <f>Table6891011121314[[#This Row],[Total Value]]-Table6891011121314[[#This Row],[Received]]</f>
        <v>1000</v>
      </c>
      <c r="J70" s="9" t="s">
        <v>481</v>
      </c>
    </row>
    <row r="71" spans="1:10">
      <c r="A71" s="36">
        <v>45822</v>
      </c>
      <c r="B71" s="39" t="s">
        <v>58</v>
      </c>
      <c r="C71" s="39" t="s">
        <v>80</v>
      </c>
      <c r="D71" s="39" t="s">
        <v>281</v>
      </c>
      <c r="E71" s="1">
        <v>1</v>
      </c>
      <c r="F71" s="40">
        <v>35000</v>
      </c>
      <c r="G71" s="40">
        <f>Table6891011121314[[#This Row],[Rate /Trips]]*Table6891011121314[[#This Row],[Trips]]</f>
        <v>35000</v>
      </c>
      <c r="H71" s="40"/>
      <c r="I71" s="40">
        <f>Table6891011121314[[#This Row],[Total Value]]-Table6891011121314[[#This Row],[Received]]</f>
        <v>35000</v>
      </c>
      <c r="J71" s="9" t="s">
        <v>482</v>
      </c>
    </row>
    <row r="72" spans="1:10">
      <c r="A72" s="36"/>
      <c r="B72" s="39"/>
      <c r="C72" s="39"/>
      <c r="D72" s="39"/>
      <c r="E72" s="1"/>
      <c r="F72" s="40"/>
      <c r="G72" s="40"/>
      <c r="H72" s="40"/>
      <c r="I72" s="40"/>
      <c r="J72" s="9"/>
    </row>
    <row r="73" spans="1:10">
      <c r="A73" s="36"/>
      <c r="B73" s="39"/>
      <c r="C73" s="39"/>
      <c r="D73" s="39"/>
      <c r="E73" s="1"/>
      <c r="F73" s="40"/>
      <c r="G73" s="40"/>
      <c r="H73" s="40"/>
      <c r="I73" s="40"/>
      <c r="J73" s="9"/>
    </row>
    <row r="74" spans="1:10">
      <c r="A74" s="36">
        <v>45883</v>
      </c>
      <c r="B74" s="39" t="s">
        <v>2</v>
      </c>
      <c r="C74" s="39" t="s">
        <v>23</v>
      </c>
      <c r="D74" s="39" t="s">
        <v>201</v>
      </c>
      <c r="E74" s="39">
        <v>1</v>
      </c>
      <c r="F74" s="40">
        <v>30000</v>
      </c>
      <c r="G74" s="40">
        <f>Table6891011121314[[#This Row],[Rate /Trips]]*Table6891011121314[[#This Row],[Trips]]</f>
        <v>30000</v>
      </c>
      <c r="H74" s="40">
        <v>11600</v>
      </c>
      <c r="I74" s="40">
        <f>Table6891011121314[[#This Row],[Total Value]]-Table6891011121314[[#This Row],[Received]]</f>
        <v>18400</v>
      </c>
      <c r="J74" s="9" t="str">
        <f t="shared" ref="J74" si="0">IF(I74&gt;10000,"🚨 URGENT: "&amp;C74&amp;" owes ₹"&amp;I74,IF(I74&gt;5000,"⚠️ WARNING: "&amp;C74&amp;" - ₹"&amp;I74&amp;" due",IF(I74&gt;0,"ℹ️ "&amp;C74&amp;" - ₹"&amp;I74&amp;" pending","✅ Paid")))</f>
        <v>🚨 URGENT: Preet Bhaiya owes ₹18400</v>
      </c>
    </row>
    <row r="75" spans="1:10">
      <c r="A75" s="36"/>
      <c r="B75" s="39"/>
      <c r="C75" s="39"/>
      <c r="D75" s="39"/>
      <c r="E75" s="1"/>
      <c r="F75" s="40"/>
      <c r="G75" s="40"/>
      <c r="H75" s="40"/>
      <c r="I75" s="40"/>
      <c r="J75" s="9"/>
    </row>
    <row r="76" spans="1:10">
      <c r="A76" s="36"/>
      <c r="B76" s="39"/>
      <c r="C76" s="39"/>
      <c r="D76" s="39"/>
      <c r="E76" s="1"/>
      <c r="F76" s="40"/>
      <c r="G76" s="40"/>
      <c r="H76" s="40"/>
      <c r="I76" s="40"/>
      <c r="J76" s="9"/>
    </row>
    <row r="77" spans="1:10">
      <c r="A77" s="36">
        <v>45921</v>
      </c>
      <c r="B77" s="39" t="s">
        <v>2</v>
      </c>
      <c r="C77" s="39" t="s">
        <v>107</v>
      </c>
      <c r="D77" s="39" t="s">
        <v>160</v>
      </c>
      <c r="E77" s="1">
        <v>1</v>
      </c>
      <c r="F77" s="40">
        <v>31000</v>
      </c>
      <c r="G77" s="40">
        <f>Table6891011121314[[#This Row],[Rate /Trips]]*Table6891011121314[[#This Row],[Trips]]</f>
        <v>31000</v>
      </c>
      <c r="H77" s="40">
        <v>5000</v>
      </c>
      <c r="I77" s="40">
        <f>Table6891011121314[[#This Row],[Total Value]]-Table6891011121314[[#This Row],[Received]]</f>
        <v>26000</v>
      </c>
      <c r="J77" s="9" t="s">
        <v>483</v>
      </c>
    </row>
    <row r="78" spans="1:10">
      <c r="A78" s="36">
        <v>45922</v>
      </c>
      <c r="B78" s="39" t="s">
        <v>251</v>
      </c>
      <c r="C78" s="39" t="s">
        <v>199</v>
      </c>
      <c r="D78" s="39" t="s">
        <v>344</v>
      </c>
      <c r="E78" s="1">
        <v>1</v>
      </c>
      <c r="F78" s="40">
        <v>29000</v>
      </c>
      <c r="G78" s="40">
        <f>Table6891011121314[[#This Row],[Rate /Trips]]*Table6891011121314[[#This Row],[Trips]]</f>
        <v>29000</v>
      </c>
      <c r="H78" s="40"/>
      <c r="I78" s="40">
        <f>Table6891011121314[[#This Row],[Total Value]]-Table6891011121314[[#This Row],[Received]]</f>
        <v>29000</v>
      </c>
      <c r="J78" s="9" t="s">
        <v>484</v>
      </c>
    </row>
    <row r="79" spans="1:10">
      <c r="A79" s="36"/>
      <c r="B79" s="39"/>
      <c r="C79" s="39"/>
      <c r="D79" s="39"/>
      <c r="E79" s="1"/>
      <c r="F79" s="40"/>
      <c r="G79" s="40"/>
      <c r="H79" s="40"/>
      <c r="I79" s="40"/>
      <c r="J79" s="9"/>
    </row>
    <row r="80" spans="1:10" ht="16" customHeight="1">
      <c r="A80" s="36"/>
      <c r="B80" s="39"/>
      <c r="C80" s="39"/>
      <c r="D80" s="39"/>
      <c r="E80" s="1"/>
      <c r="F80" s="40"/>
      <c r="G80" s="40"/>
      <c r="H80" s="40"/>
      <c r="I80" s="40"/>
      <c r="J80" s="9"/>
    </row>
    <row r="81" spans="1:10">
      <c r="A81" s="36">
        <v>45943</v>
      </c>
      <c r="B81" s="39" t="s">
        <v>58</v>
      </c>
      <c r="C81" s="39" t="s">
        <v>355</v>
      </c>
      <c r="D81" s="39" t="s">
        <v>19</v>
      </c>
      <c r="E81" s="1">
        <v>1</v>
      </c>
      <c r="F81" s="40">
        <v>32000</v>
      </c>
      <c r="G81" s="40">
        <f>Table6891011121314[[#This Row],[Rate /Trips]]*Table6891011121314[[#This Row],[Trips]]</f>
        <v>32000</v>
      </c>
      <c r="H81" s="40"/>
      <c r="I81" s="40">
        <f>Table6891011121314[[#This Row],[Total Value]]-Table6891011121314[[#This Row],[Received]]</f>
        <v>32000</v>
      </c>
      <c r="J81" s="9" t="s">
        <v>485</v>
      </c>
    </row>
    <row r="82" spans="1:10">
      <c r="A82" s="36">
        <v>45945</v>
      </c>
      <c r="B82" s="39" t="s">
        <v>58</v>
      </c>
      <c r="C82" s="39" t="s">
        <v>355</v>
      </c>
      <c r="D82" s="39" t="s">
        <v>357</v>
      </c>
      <c r="E82" s="1">
        <v>1</v>
      </c>
      <c r="F82" s="40">
        <v>32000</v>
      </c>
      <c r="G82" s="40">
        <f>Table6891011121314[[#This Row],[Rate /Trips]]*Table6891011121314[[#This Row],[Trips]]</f>
        <v>32000</v>
      </c>
      <c r="H82" s="40"/>
      <c r="I82" s="40">
        <f>Table6891011121314[[#This Row],[Total Value]]-Table6891011121314[[#This Row],[Received]]</f>
        <v>32000</v>
      </c>
      <c r="J82" s="9" t="s">
        <v>485</v>
      </c>
    </row>
    <row r="83" spans="1:10">
      <c r="A83" s="36">
        <v>45945</v>
      </c>
      <c r="B83" s="39" t="s">
        <v>45</v>
      </c>
      <c r="C83" s="39" t="s">
        <v>360</v>
      </c>
      <c r="D83" s="39" t="s">
        <v>13</v>
      </c>
      <c r="E83" s="1">
        <v>1</v>
      </c>
      <c r="F83" s="40">
        <v>30000</v>
      </c>
      <c r="G83" s="40">
        <f>Table6891011121314[[#This Row],[Rate /Trips]]*Table6891011121314[[#This Row],[Trips]]</f>
        <v>30000</v>
      </c>
      <c r="H83" s="40"/>
      <c r="I83" s="40">
        <f>Table6891011121314[[#This Row],[Total Value]]-Table6891011121314[[#This Row],[Received]]</f>
        <v>30000</v>
      </c>
      <c r="J83" s="9" t="s">
        <v>486</v>
      </c>
    </row>
    <row r="84" spans="1:10">
      <c r="A84" s="36">
        <v>45950</v>
      </c>
      <c r="B84" s="39" t="s">
        <v>58</v>
      </c>
      <c r="C84" s="39" t="s">
        <v>21</v>
      </c>
      <c r="D84" s="39" t="s">
        <v>10</v>
      </c>
      <c r="E84" s="1">
        <v>1</v>
      </c>
      <c r="F84" s="40">
        <v>29000</v>
      </c>
      <c r="G84" s="40">
        <f>Table6891011121314[[#This Row],[Rate /Trips]]*Table6891011121314[[#This Row],[Trips]]</f>
        <v>29000</v>
      </c>
      <c r="H84" s="40">
        <v>28000</v>
      </c>
      <c r="I84" s="40">
        <f>Table6891011121314[[#This Row],[Total Value]]-Table6891011121314[[#This Row],[Received]]</f>
        <v>1000</v>
      </c>
      <c r="J84" s="9" t="s">
        <v>487</v>
      </c>
    </row>
    <row r="85" spans="1:10">
      <c r="A85" s="36">
        <v>45955</v>
      </c>
      <c r="B85" s="39" t="s">
        <v>58</v>
      </c>
      <c r="C85" s="39" t="s">
        <v>365</v>
      </c>
      <c r="D85" s="39" t="s">
        <v>145</v>
      </c>
      <c r="E85" s="1">
        <v>1</v>
      </c>
      <c r="F85" s="40">
        <v>28000</v>
      </c>
      <c r="G85" s="40">
        <f>Table6891011121314[[#This Row],[Rate /Trips]]*Table6891011121314[[#This Row],[Trips]]</f>
        <v>28000</v>
      </c>
      <c r="H85" s="40">
        <v>25000</v>
      </c>
      <c r="I85" s="40">
        <f>Table6891011121314[[#This Row],[Total Value]]-Table6891011121314[[#This Row],[Received]]</f>
        <v>3000</v>
      </c>
      <c r="J85" s="9" t="s">
        <v>488</v>
      </c>
    </row>
    <row r="86" spans="1:10">
      <c r="A86" s="36"/>
      <c r="B86" s="39"/>
      <c r="C86" s="39"/>
      <c r="D86" s="39"/>
      <c r="E86" s="1"/>
      <c r="F86" s="40"/>
      <c r="G86" s="40"/>
      <c r="H86" s="40"/>
      <c r="I86" s="40"/>
      <c r="J86" s="9"/>
    </row>
    <row r="87" spans="1:10">
      <c r="A87" s="36"/>
      <c r="B87" s="39"/>
      <c r="C87" s="39"/>
      <c r="D87" s="39"/>
      <c r="E87" s="1"/>
      <c r="F87" s="40"/>
      <c r="G87" s="40"/>
      <c r="H87" s="40"/>
      <c r="I87" s="40"/>
      <c r="J87" s="9"/>
    </row>
    <row r="88" spans="1:10">
      <c r="A88" s="36">
        <v>45968</v>
      </c>
      <c r="B88" s="39" t="s">
        <v>58</v>
      </c>
      <c r="C88" s="39" t="s">
        <v>249</v>
      </c>
      <c r="D88" s="39" t="s">
        <v>345</v>
      </c>
      <c r="E88" s="1">
        <v>1</v>
      </c>
      <c r="F88" s="40">
        <v>35000</v>
      </c>
      <c r="G88" s="40">
        <f>Table6891011121314[[#This Row],[Rate /Trips]]*Table6891011121314[[#This Row],[Trips]]</f>
        <v>35000</v>
      </c>
      <c r="H88" s="40"/>
      <c r="I88" s="40">
        <f>Table6891011121314[[#This Row],[Total Value]]-Table6891011121314[[#This Row],[Received]]</f>
        <v>35000</v>
      </c>
      <c r="J88" s="9" t="s">
        <v>489</v>
      </c>
    </row>
    <row r="89" spans="1:10">
      <c r="A89" s="36">
        <v>45969</v>
      </c>
      <c r="B89" s="39" t="s">
        <v>58</v>
      </c>
      <c r="C89" s="39" t="s">
        <v>249</v>
      </c>
      <c r="D89" s="39" t="s">
        <v>345</v>
      </c>
      <c r="E89" s="1">
        <v>1</v>
      </c>
      <c r="F89" s="40">
        <v>35000</v>
      </c>
      <c r="G89" s="40">
        <f>Table6891011121314[[#This Row],[Rate /Trips]]*Table6891011121314[[#This Row],[Trips]]</f>
        <v>35000</v>
      </c>
      <c r="H89" s="40"/>
      <c r="I89" s="40">
        <f>Table6891011121314[[#This Row],[Total Value]]-Table6891011121314[[#This Row],[Received]]</f>
        <v>35000</v>
      </c>
      <c r="J89" s="9" t="s">
        <v>489</v>
      </c>
    </row>
    <row r="90" spans="1:10">
      <c r="A90" s="36">
        <v>45969</v>
      </c>
      <c r="B90" s="39" t="s">
        <v>58</v>
      </c>
      <c r="C90" s="39" t="s">
        <v>107</v>
      </c>
      <c r="D90" s="39" t="s">
        <v>160</v>
      </c>
      <c r="E90" s="1">
        <v>1</v>
      </c>
      <c r="F90" s="40">
        <v>28000</v>
      </c>
      <c r="G90" s="40">
        <f>Table6891011121314[[#This Row],[Rate /Trips]]*Table6891011121314[[#This Row],[Trips]]</f>
        <v>28000</v>
      </c>
      <c r="H90" s="40"/>
      <c r="I90" s="40">
        <f>Table6891011121314[[#This Row],[Total Value]]-Table6891011121314[[#This Row],[Received]]</f>
        <v>28000</v>
      </c>
      <c r="J90" s="9" t="s">
        <v>490</v>
      </c>
    </row>
    <row r="91" spans="1:10">
      <c r="A91" s="36">
        <v>45971</v>
      </c>
      <c r="B91" s="39" t="s">
        <v>58</v>
      </c>
      <c r="C91" s="39" t="s">
        <v>374</v>
      </c>
      <c r="D91" s="39" t="s">
        <v>254</v>
      </c>
      <c r="E91" s="1">
        <v>1</v>
      </c>
      <c r="F91" s="40">
        <v>28000</v>
      </c>
      <c r="G91" s="40">
        <f>Table6891011121314[[#This Row],[Rate /Trips]]*Table6891011121314[[#This Row],[Trips]]</f>
        <v>28000</v>
      </c>
      <c r="H91" s="40"/>
      <c r="I91" s="40">
        <f>Table6891011121314[[#This Row],[Total Value]]-Table6891011121314[[#This Row],[Received]]</f>
        <v>28000</v>
      </c>
      <c r="J91" s="9" t="s">
        <v>491</v>
      </c>
    </row>
    <row r="92" spans="1:10">
      <c r="A92" s="36">
        <v>45972</v>
      </c>
      <c r="B92" s="39" t="s">
        <v>58</v>
      </c>
      <c r="C92" s="39" t="s">
        <v>374</v>
      </c>
      <c r="D92" s="39" t="s">
        <v>345</v>
      </c>
      <c r="E92" s="1">
        <v>2</v>
      </c>
      <c r="F92" s="40">
        <v>34000</v>
      </c>
      <c r="G92" s="40">
        <f>Table6891011121314[[#This Row],[Rate /Trips]]*Table6891011121314[[#This Row],[Trips]]</f>
        <v>68000</v>
      </c>
      <c r="H92" s="40"/>
      <c r="I92" s="40">
        <f>Table6891011121314[[#This Row],[Total Value]]-Table6891011121314[[#This Row],[Received]]</f>
        <v>68000</v>
      </c>
      <c r="J92" s="9" t="s">
        <v>492</v>
      </c>
    </row>
    <row r="93" spans="1:10">
      <c r="A93" s="36">
        <v>45972</v>
      </c>
      <c r="B93" s="39" t="s">
        <v>2</v>
      </c>
      <c r="C93" s="39" t="s">
        <v>43</v>
      </c>
      <c r="D93" s="39" t="s">
        <v>375</v>
      </c>
      <c r="E93" s="1">
        <v>1</v>
      </c>
      <c r="F93" s="40">
        <v>31000</v>
      </c>
      <c r="G93" s="40">
        <f>Table6891011121314[[#This Row],[Rate /Trips]]*Table6891011121314[[#This Row],[Trips]]</f>
        <v>31000</v>
      </c>
      <c r="H93" s="40"/>
      <c r="I93" s="40">
        <f>Table6891011121314[[#This Row],[Total Value]]-Table6891011121314[[#This Row],[Received]]</f>
        <v>31000</v>
      </c>
      <c r="J93" s="9" t="s">
        <v>493</v>
      </c>
    </row>
    <row r="94" spans="1:10">
      <c r="A94" s="36">
        <v>45974</v>
      </c>
      <c r="B94" s="39" t="s">
        <v>58</v>
      </c>
      <c r="C94" s="39" t="s">
        <v>249</v>
      </c>
      <c r="D94" s="39" t="s">
        <v>11</v>
      </c>
      <c r="E94" s="1">
        <v>1</v>
      </c>
      <c r="F94" s="40">
        <v>31000</v>
      </c>
      <c r="G94" s="40">
        <f>Table6891011121314[[#This Row],[Rate /Trips]]*Table6891011121314[[#This Row],[Trips]]</f>
        <v>31000</v>
      </c>
      <c r="H94" s="40"/>
      <c r="I94" s="40">
        <f>Table6891011121314[[#This Row],[Total Value]]-Table6891011121314[[#This Row],[Received]]</f>
        <v>31000</v>
      </c>
      <c r="J94" s="9" t="s">
        <v>494</v>
      </c>
    </row>
    <row r="95" spans="1:10">
      <c r="A95" s="36">
        <v>45976</v>
      </c>
      <c r="B95" s="39" t="s">
        <v>378</v>
      </c>
      <c r="C95" s="39" t="s">
        <v>110</v>
      </c>
      <c r="D95" s="39" t="s">
        <v>116</v>
      </c>
      <c r="E95" s="1">
        <v>2</v>
      </c>
      <c r="F95" s="40">
        <v>25000</v>
      </c>
      <c r="G95" s="40">
        <f>Table6891011121314[[#This Row],[Rate /Trips]]*Table6891011121314[[#This Row],[Trips]]</f>
        <v>50000</v>
      </c>
      <c r="H95" s="40"/>
      <c r="I95" s="40">
        <f>Table6891011121314[[#This Row],[Total Value]]-Table6891011121314[[#This Row],[Received]]</f>
        <v>50000</v>
      </c>
      <c r="J95" s="9" t="s">
        <v>495</v>
      </c>
    </row>
    <row r="96" spans="1:10">
      <c r="A96" s="36">
        <v>45978</v>
      </c>
      <c r="B96" s="39" t="s">
        <v>4</v>
      </c>
      <c r="C96" s="39" t="s">
        <v>249</v>
      </c>
      <c r="D96" s="39" t="s">
        <v>11</v>
      </c>
      <c r="E96" s="1">
        <v>1</v>
      </c>
      <c r="F96" s="40">
        <v>31000</v>
      </c>
      <c r="G96" s="40">
        <f>Table6891011121314[[#This Row],[Rate /Trips]]*Table6891011121314[[#This Row],[Trips]]</f>
        <v>31000</v>
      </c>
      <c r="H96" s="40"/>
      <c r="I96" s="40">
        <f>Table6891011121314[[#This Row],[Total Value]]-Table6891011121314[[#This Row],[Received]]</f>
        <v>31000</v>
      </c>
      <c r="J96" s="9" t="s">
        <v>494</v>
      </c>
    </row>
    <row r="97" spans="1:10">
      <c r="A97" s="36">
        <v>45978</v>
      </c>
      <c r="B97" s="39" t="s">
        <v>383</v>
      </c>
      <c r="C97" s="39" t="s">
        <v>249</v>
      </c>
      <c r="D97" s="39" t="s">
        <v>382</v>
      </c>
      <c r="E97" s="1">
        <v>1</v>
      </c>
      <c r="F97" s="40">
        <v>31000</v>
      </c>
      <c r="G97" s="40">
        <f>Table6891011121314[[#This Row],[Rate /Trips]]*Table6891011121314[[#This Row],[Trips]]</f>
        <v>31000</v>
      </c>
      <c r="H97" s="40"/>
      <c r="I97" s="40">
        <f>Table6891011121314[[#This Row],[Total Value]]-Table6891011121314[[#This Row],[Received]]</f>
        <v>31000</v>
      </c>
      <c r="J97" s="9" t="s">
        <v>494</v>
      </c>
    </row>
    <row r="98" spans="1:10">
      <c r="A98" s="36">
        <v>45978</v>
      </c>
      <c r="B98" s="39" t="s">
        <v>4</v>
      </c>
      <c r="C98" s="39" t="s">
        <v>110</v>
      </c>
      <c r="D98" s="39" t="s">
        <v>24</v>
      </c>
      <c r="E98" s="1">
        <v>1</v>
      </c>
      <c r="F98" s="40">
        <v>25000</v>
      </c>
      <c r="G98" s="40">
        <f>Table6891011121314[[#This Row],[Rate /Trips]]*Table6891011121314[[#This Row],[Trips]]</f>
        <v>25000</v>
      </c>
      <c r="H98" s="40"/>
      <c r="I98" s="40">
        <f>Table6891011121314[[#This Row],[Total Value]]-Table6891011121314[[#This Row],[Received]]</f>
        <v>25000</v>
      </c>
      <c r="J98" s="9" t="s">
        <v>496</v>
      </c>
    </row>
    <row r="99" spans="1:10">
      <c r="A99" s="36">
        <v>45979</v>
      </c>
      <c r="B99" s="39" t="s">
        <v>394</v>
      </c>
      <c r="C99" s="39" t="s">
        <v>110</v>
      </c>
      <c r="D99" s="39" t="s">
        <v>395</v>
      </c>
      <c r="E99" s="1">
        <v>2</v>
      </c>
      <c r="F99" s="40">
        <v>25000</v>
      </c>
      <c r="G99" s="40">
        <f>Table6891011121314[[#This Row],[Rate /Trips]]*Table6891011121314[[#This Row],[Trips]]</f>
        <v>50000</v>
      </c>
      <c r="H99" s="40"/>
      <c r="I99" s="40">
        <f>Table6891011121314[[#This Row],[Total Value]]-Table6891011121314[[#This Row],[Received]]</f>
        <v>50000</v>
      </c>
      <c r="J99" s="9" t="s">
        <v>495</v>
      </c>
    </row>
    <row r="100" spans="1:10">
      <c r="A100" s="36">
        <v>45979</v>
      </c>
      <c r="B100" s="39" t="s">
        <v>58</v>
      </c>
      <c r="C100" s="39" t="s">
        <v>396</v>
      </c>
      <c r="D100" s="39" t="s">
        <v>345</v>
      </c>
      <c r="E100" s="1">
        <v>1</v>
      </c>
      <c r="F100" s="40">
        <v>34000</v>
      </c>
      <c r="G100" s="40">
        <f>Table6891011121314[[#This Row],[Rate /Trips]]*Table6891011121314[[#This Row],[Trips]]</f>
        <v>34000</v>
      </c>
      <c r="H100" s="40"/>
      <c r="I100" s="40">
        <f>Table6891011121314[[#This Row],[Total Value]]-Table6891011121314[[#This Row],[Received]]</f>
        <v>34000</v>
      </c>
      <c r="J100" s="9" t="s">
        <v>497</v>
      </c>
    </row>
    <row r="101" spans="1:10">
      <c r="A101" s="36">
        <v>45980</v>
      </c>
      <c r="B101" s="39" t="s">
        <v>58</v>
      </c>
      <c r="C101" s="39" t="s">
        <v>110</v>
      </c>
      <c r="D101" s="39" t="s">
        <v>388</v>
      </c>
      <c r="E101" s="1">
        <v>2</v>
      </c>
      <c r="F101" s="40">
        <v>22000</v>
      </c>
      <c r="G101" s="40">
        <f>Table6891011121314[[#This Row],[Rate /Trips]]*Table6891011121314[[#This Row],[Trips]]</f>
        <v>44000</v>
      </c>
      <c r="H101" s="40"/>
      <c r="I101" s="40">
        <f>Table6891011121314[[#This Row],[Total Value]]-Table6891011121314[[#This Row],[Received]]</f>
        <v>44000</v>
      </c>
      <c r="J101" s="9" t="s">
        <v>498</v>
      </c>
    </row>
    <row r="102" spans="1:10">
      <c r="A102" s="36">
        <v>45985</v>
      </c>
      <c r="B102" s="39" t="s">
        <v>58</v>
      </c>
      <c r="C102" s="39" t="s">
        <v>199</v>
      </c>
      <c r="D102" s="39" t="s">
        <v>373</v>
      </c>
      <c r="E102" s="1">
        <v>2</v>
      </c>
      <c r="F102" s="40">
        <v>22000</v>
      </c>
      <c r="G102" s="40">
        <f>Table6891011121314[[#This Row],[Rate /Trips]]*Table6891011121314[[#This Row],[Trips]]</f>
        <v>44000</v>
      </c>
      <c r="H102" s="40"/>
      <c r="I102" s="40">
        <f>Table6891011121314[[#This Row],[Total Value]]-Table6891011121314[[#This Row],[Received]]</f>
        <v>44000</v>
      </c>
      <c r="J102" s="9" t="s">
        <v>499</v>
      </c>
    </row>
    <row r="103" spans="1:10">
      <c r="A103" s="36">
        <v>45986</v>
      </c>
      <c r="B103" s="39" t="s">
        <v>58</v>
      </c>
      <c r="C103" s="39" t="s">
        <v>110</v>
      </c>
      <c r="D103" s="39" t="s">
        <v>390</v>
      </c>
      <c r="E103" s="1">
        <v>1</v>
      </c>
      <c r="F103" s="40">
        <v>22000</v>
      </c>
      <c r="G103" s="40">
        <f>Table6891011121314[[#This Row],[Rate /Trips]]*Table6891011121314[[#This Row],[Trips]]</f>
        <v>22000</v>
      </c>
      <c r="H103" s="40"/>
      <c r="I103" s="40">
        <f>Table6891011121314[[#This Row],[Total Value]]-Table6891011121314[[#This Row],[Received]]</f>
        <v>22000</v>
      </c>
      <c r="J103" s="9" t="s">
        <v>500</v>
      </c>
    </row>
    <row r="104" spans="1:10">
      <c r="A104" s="36">
        <v>45986</v>
      </c>
      <c r="B104" s="39" t="s">
        <v>58</v>
      </c>
      <c r="C104" s="39" t="s">
        <v>110</v>
      </c>
      <c r="D104" s="39" t="s">
        <v>388</v>
      </c>
      <c r="E104" s="1">
        <v>1</v>
      </c>
      <c r="F104" s="40">
        <v>22000</v>
      </c>
      <c r="G104" s="40">
        <f>Table6891011121314[[#This Row],[Rate /Trips]]*Table6891011121314[[#This Row],[Trips]]</f>
        <v>22000</v>
      </c>
      <c r="H104" s="40"/>
      <c r="I104" s="40">
        <f>Table6891011121314[[#This Row],[Total Value]]-Table6891011121314[[#This Row],[Received]]</f>
        <v>22000</v>
      </c>
      <c r="J104" s="9" t="s">
        <v>500</v>
      </c>
    </row>
    <row r="105" spans="1:10">
      <c r="A105" s="36">
        <v>45988</v>
      </c>
      <c r="B105" s="39" t="s">
        <v>58</v>
      </c>
      <c r="C105" s="39" t="s">
        <v>110</v>
      </c>
      <c r="D105" s="39" t="s">
        <v>388</v>
      </c>
      <c r="E105" s="1">
        <v>2</v>
      </c>
      <c r="F105" s="40">
        <v>22000</v>
      </c>
      <c r="G105" s="40">
        <f>Table6891011121314[[#This Row],[Rate /Trips]]*Table6891011121314[[#This Row],[Trips]]</f>
        <v>44000</v>
      </c>
      <c r="H105" s="40"/>
      <c r="I105" s="40">
        <f>Table6891011121314[[#This Row],[Total Value]]-Table6891011121314[[#This Row],[Received]]</f>
        <v>44000</v>
      </c>
      <c r="J105" s="9" t="s">
        <v>498</v>
      </c>
    </row>
    <row r="106" spans="1:10">
      <c r="A106" s="36">
        <v>45989</v>
      </c>
      <c r="B106" s="39" t="s">
        <v>58</v>
      </c>
      <c r="C106" s="39" t="s">
        <v>110</v>
      </c>
      <c r="D106" s="39" t="s">
        <v>388</v>
      </c>
      <c r="E106" s="1">
        <v>1</v>
      </c>
      <c r="F106" s="40">
        <v>22000</v>
      </c>
      <c r="G106" s="40">
        <f>Table6891011121314[[#This Row],[Rate /Trips]]*Table6891011121314[[#This Row],[Trips]]</f>
        <v>22000</v>
      </c>
      <c r="H106" s="40"/>
      <c r="I106" s="40">
        <f>Table6891011121314[[#This Row],[Total Value]]-Table6891011121314[[#This Row],[Received]]</f>
        <v>22000</v>
      </c>
      <c r="J106" s="9" t="s">
        <v>500</v>
      </c>
    </row>
    <row r="107" spans="1:10">
      <c r="A107" s="36">
        <v>45990</v>
      </c>
      <c r="B107" s="39" t="s">
        <v>58</v>
      </c>
      <c r="C107" s="39" t="s">
        <v>110</v>
      </c>
      <c r="D107" s="39" t="s">
        <v>388</v>
      </c>
      <c r="E107" s="1">
        <v>2</v>
      </c>
      <c r="F107" s="40">
        <v>22000</v>
      </c>
      <c r="G107" s="40">
        <f>Table6891011121314[[#This Row],[Rate /Trips]]*Table6891011121314[[#This Row],[Trips]]</f>
        <v>44000</v>
      </c>
      <c r="H107" s="40"/>
      <c r="I107" s="40">
        <f>Table6891011121314[[#This Row],[Total Value]]-Table6891011121314[[#This Row],[Received]]</f>
        <v>44000</v>
      </c>
      <c r="J107" s="9" t="s">
        <v>498</v>
      </c>
    </row>
    <row r="108" spans="1:10">
      <c r="A108" s="36">
        <v>45991</v>
      </c>
      <c r="B108" s="39" t="s">
        <v>58</v>
      </c>
      <c r="C108" s="39" t="s">
        <v>110</v>
      </c>
      <c r="D108" s="39" t="s">
        <v>253</v>
      </c>
      <c r="E108" s="1">
        <v>1</v>
      </c>
      <c r="F108" s="40">
        <v>22000</v>
      </c>
      <c r="G108" s="40">
        <f>Table6891011121314[[#This Row],[Rate /Trips]]*Table6891011121314[[#This Row],[Trips]]</f>
        <v>22000</v>
      </c>
      <c r="H108" s="40"/>
      <c r="I108" s="40">
        <f>Table6891011121314[[#This Row],[Total Value]]-Table6891011121314[[#This Row],[Received]]</f>
        <v>22000</v>
      </c>
      <c r="J108" s="9" t="s">
        <v>500</v>
      </c>
    </row>
    <row r="109" spans="1:10">
      <c r="A109" s="36"/>
      <c r="B109" s="39"/>
      <c r="C109" s="39"/>
      <c r="D109" s="39"/>
      <c r="E109" s="1"/>
      <c r="F109" s="40"/>
      <c r="G109" s="40"/>
      <c r="H109" s="40"/>
      <c r="I109" s="40"/>
      <c r="J109" s="9"/>
    </row>
    <row r="110" spans="1:10">
      <c r="A110" s="36"/>
      <c r="B110" s="39"/>
      <c r="C110" s="39"/>
      <c r="D110" s="39"/>
      <c r="E110" s="1"/>
      <c r="F110" s="40"/>
      <c r="G110" s="40"/>
      <c r="H110" s="40"/>
      <c r="I110" s="40"/>
      <c r="J110" s="9"/>
    </row>
    <row r="111" spans="1:10">
      <c r="A111" s="36">
        <v>45992</v>
      </c>
      <c r="B111" s="39" t="s">
        <v>383</v>
      </c>
      <c r="C111" s="39" t="s">
        <v>110</v>
      </c>
      <c r="D111" s="39" t="s">
        <v>401</v>
      </c>
      <c r="E111" s="1">
        <v>1</v>
      </c>
      <c r="F111" s="40">
        <v>23000</v>
      </c>
      <c r="G111" s="40">
        <f>Table6891011121314[[#This Row],[Rate /Trips]]*Table6891011121314[[#This Row],[Trips]]</f>
        <v>23000</v>
      </c>
      <c r="H111" s="40"/>
      <c r="I111" s="40">
        <f>Table6891011121314[[#This Row],[Total Value]]-Table6891011121314[[#This Row],[Received]]</f>
        <v>23000</v>
      </c>
      <c r="J111" s="9" t="s">
        <v>501</v>
      </c>
    </row>
    <row r="112" spans="1:10">
      <c r="A112" s="36">
        <v>45992</v>
      </c>
      <c r="B112" s="39" t="s">
        <v>400</v>
      </c>
      <c r="C112" s="39" t="s">
        <v>110</v>
      </c>
      <c r="D112" s="39" t="s">
        <v>402</v>
      </c>
      <c r="E112" s="1">
        <v>1</v>
      </c>
      <c r="F112" s="40">
        <v>23000</v>
      </c>
      <c r="G112" s="40">
        <f>Table6891011121314[[#This Row],[Rate /Trips]]*Table6891011121314[[#This Row],[Trips]]</f>
        <v>23000</v>
      </c>
      <c r="H112" s="40"/>
      <c r="I112" s="40">
        <f>Table6891011121314[[#This Row],[Total Value]]-Table6891011121314[[#This Row],[Received]]</f>
        <v>23000</v>
      </c>
      <c r="J112" s="9" t="s">
        <v>501</v>
      </c>
    </row>
    <row r="113" spans="1:10">
      <c r="A113" s="36">
        <v>45994</v>
      </c>
      <c r="B113" s="39" t="s">
        <v>58</v>
      </c>
      <c r="C113" s="39" t="s">
        <v>110</v>
      </c>
      <c r="D113" s="39" t="s">
        <v>388</v>
      </c>
      <c r="E113" s="1">
        <v>2</v>
      </c>
      <c r="F113" s="40">
        <v>23000</v>
      </c>
      <c r="G113" s="40">
        <f>Table6891011121314[[#This Row],[Rate /Trips]]*Table6891011121314[[#This Row],[Trips]]</f>
        <v>46000</v>
      </c>
      <c r="H113" s="40"/>
      <c r="I113" s="40">
        <f>Table6891011121314[[#This Row],[Total Value]]-Table6891011121314[[#This Row],[Received]]</f>
        <v>46000</v>
      </c>
      <c r="J113" s="9" t="s">
        <v>502</v>
      </c>
    </row>
    <row r="114" spans="1:10">
      <c r="A114" s="36">
        <v>45994</v>
      </c>
      <c r="B114" s="39" t="s">
        <v>58</v>
      </c>
      <c r="C114" s="39" t="s">
        <v>23</v>
      </c>
      <c r="D114" s="39" t="s">
        <v>13</v>
      </c>
      <c r="E114" s="1">
        <v>1</v>
      </c>
      <c r="F114" s="40">
        <v>22000</v>
      </c>
      <c r="G114" s="40">
        <f>Table6891011121314[[#This Row],[Rate /Trips]]*Table6891011121314[[#This Row],[Trips]]</f>
        <v>22000</v>
      </c>
      <c r="H114" s="40"/>
      <c r="I114" s="40">
        <f>Table6891011121314[[#This Row],[Total Value]]-Table6891011121314[[#This Row],[Received]]</f>
        <v>22000</v>
      </c>
      <c r="J114" s="9" t="s">
        <v>503</v>
      </c>
    </row>
    <row r="115" spans="1:10">
      <c r="A115" s="36">
        <v>45996</v>
      </c>
      <c r="B115" s="39" t="s">
        <v>58</v>
      </c>
      <c r="C115" s="39" t="s">
        <v>110</v>
      </c>
      <c r="D115" s="39" t="s">
        <v>388</v>
      </c>
      <c r="E115" s="1">
        <v>1</v>
      </c>
      <c r="F115" s="40">
        <v>23000</v>
      </c>
      <c r="G115" s="40">
        <f>Table6891011121314[[#This Row],[Rate /Trips]]*Table6891011121314[[#This Row],[Trips]]</f>
        <v>23000</v>
      </c>
      <c r="H115" s="40"/>
      <c r="I115" s="40">
        <f>Table6891011121314[[#This Row],[Total Value]]-Table6891011121314[[#This Row],[Received]]</f>
        <v>23000</v>
      </c>
      <c r="J115" s="9" t="s">
        <v>501</v>
      </c>
    </row>
    <row r="116" spans="1:10">
      <c r="A116" s="36">
        <v>45996</v>
      </c>
      <c r="B116" s="39" t="s">
        <v>58</v>
      </c>
      <c r="C116" s="39" t="s">
        <v>23</v>
      </c>
      <c r="D116" s="39" t="s">
        <v>91</v>
      </c>
      <c r="E116" s="1">
        <v>1</v>
      </c>
      <c r="F116" s="40">
        <v>22000</v>
      </c>
      <c r="G116" s="40">
        <f>Table6891011121314[[#This Row],[Rate /Trips]]*Table6891011121314[[#This Row],[Trips]]</f>
        <v>22000</v>
      </c>
      <c r="H116" s="40"/>
      <c r="I116" s="40">
        <f>Table6891011121314[[#This Row],[Total Value]]-Table6891011121314[[#This Row],[Received]]</f>
        <v>22000</v>
      </c>
      <c r="J116" s="9" t="s">
        <v>503</v>
      </c>
    </row>
    <row r="117" spans="1:10">
      <c r="A117" s="36">
        <v>45997</v>
      </c>
      <c r="B117" s="39" t="s">
        <v>58</v>
      </c>
      <c r="C117" s="39" t="s">
        <v>39</v>
      </c>
      <c r="D117" s="39" t="s">
        <v>376</v>
      </c>
      <c r="E117" s="1">
        <v>1</v>
      </c>
      <c r="F117" s="40">
        <v>23000</v>
      </c>
      <c r="G117" s="40">
        <f>Table6891011121314[[#This Row],[Rate /Trips]]*Table6891011121314[[#This Row],[Trips]]</f>
        <v>23000</v>
      </c>
      <c r="H117" s="40"/>
      <c r="I117" s="40">
        <f>Table6891011121314[[#This Row],[Total Value]]-Table6891011121314[[#This Row],[Received]]</f>
        <v>23000</v>
      </c>
      <c r="J117" s="9" t="s">
        <v>504</v>
      </c>
    </row>
    <row r="118" spans="1:10">
      <c r="A118" s="36">
        <v>45997</v>
      </c>
      <c r="B118" s="39" t="s">
        <v>58</v>
      </c>
      <c r="C118" s="39" t="s">
        <v>23</v>
      </c>
      <c r="D118" s="39" t="s">
        <v>42</v>
      </c>
      <c r="E118" s="1">
        <v>1</v>
      </c>
      <c r="F118" s="40">
        <v>23000</v>
      </c>
      <c r="G118" s="40">
        <f>Table6891011121314[[#This Row],[Rate /Trips]]*Table6891011121314[[#This Row],[Trips]]</f>
        <v>23000</v>
      </c>
      <c r="H118" s="40"/>
      <c r="I118" s="40">
        <f>Table6891011121314[[#This Row],[Total Value]]-Table6891011121314[[#This Row],[Received]]</f>
        <v>23000</v>
      </c>
      <c r="J118" s="9" t="s">
        <v>505</v>
      </c>
    </row>
    <row r="119" spans="1:10">
      <c r="A119" s="36">
        <v>45998</v>
      </c>
      <c r="B119" s="39" t="s">
        <v>58</v>
      </c>
      <c r="C119" s="39" t="s">
        <v>39</v>
      </c>
      <c r="D119" s="39" t="s">
        <v>54</v>
      </c>
      <c r="E119" s="1">
        <v>1</v>
      </c>
      <c r="F119" s="40">
        <v>23000</v>
      </c>
      <c r="G119" s="40">
        <f>Table6891011121314[[#This Row],[Rate /Trips]]*Table6891011121314[[#This Row],[Trips]]</f>
        <v>23000</v>
      </c>
      <c r="H119" s="40"/>
      <c r="I119" s="40">
        <f>Table6891011121314[[#This Row],[Total Value]]-Table6891011121314[[#This Row],[Received]]</f>
        <v>23000</v>
      </c>
      <c r="J119" s="9" t="s">
        <v>504</v>
      </c>
    </row>
    <row r="120" spans="1:10">
      <c r="A120" s="36">
        <v>45998</v>
      </c>
      <c r="B120" s="39" t="s">
        <v>58</v>
      </c>
      <c r="C120" s="39" t="s">
        <v>43</v>
      </c>
      <c r="D120" s="39" t="s">
        <v>408</v>
      </c>
      <c r="E120" s="1">
        <v>1</v>
      </c>
      <c r="F120" s="40">
        <v>23000</v>
      </c>
      <c r="G120" s="40">
        <f>Table6891011121314[[#This Row],[Rate /Trips]]*Table6891011121314[[#This Row],[Trips]]</f>
        <v>23000</v>
      </c>
      <c r="H120" s="40"/>
      <c r="I120" s="40">
        <f>Table6891011121314[[#This Row],[Total Value]]-Table6891011121314[[#This Row],[Received]]</f>
        <v>23000</v>
      </c>
      <c r="J120" s="9" t="s">
        <v>506</v>
      </c>
    </row>
    <row r="121" spans="1:10">
      <c r="A121" s="36">
        <v>45998</v>
      </c>
      <c r="B121" s="39" t="s">
        <v>383</v>
      </c>
      <c r="C121" s="39" t="s">
        <v>43</v>
      </c>
      <c r="D121" s="39" t="s">
        <v>409</v>
      </c>
      <c r="E121" s="1">
        <v>1</v>
      </c>
      <c r="F121" s="40">
        <v>23000</v>
      </c>
      <c r="G121" s="40">
        <f>Table6891011121314[[#This Row],[Rate /Trips]]*Table6891011121314[[#This Row],[Trips]]</f>
        <v>23000</v>
      </c>
      <c r="H121" s="40"/>
      <c r="I121" s="40">
        <f>Table6891011121314[[#This Row],[Total Value]]-Table6891011121314[[#This Row],[Received]]</f>
        <v>23000</v>
      </c>
      <c r="J121" s="9" t="s">
        <v>506</v>
      </c>
    </row>
    <row r="122" spans="1:10">
      <c r="A122" s="36">
        <v>46000</v>
      </c>
      <c r="B122" s="55" t="s">
        <v>58</v>
      </c>
      <c r="C122" s="55" t="s">
        <v>43</v>
      </c>
      <c r="D122" s="55" t="s">
        <v>412</v>
      </c>
      <c r="E122" s="1">
        <v>1</v>
      </c>
      <c r="F122" s="40">
        <v>23000</v>
      </c>
      <c r="G122" s="40">
        <f>Table6891011121314[[#This Row],[Rate /Trips]]*Table6891011121314[[#This Row],[Trips]]</f>
        <v>23000</v>
      </c>
      <c r="H122" s="40"/>
      <c r="I122" s="40">
        <f>Table6891011121314[[#This Row],[Total Value]]-Table6891011121314[[#This Row],[Received]]</f>
        <v>23000</v>
      </c>
      <c r="J122" s="9" t="s">
        <v>506</v>
      </c>
    </row>
    <row r="123" spans="1:10">
      <c r="A123" s="36">
        <v>46000</v>
      </c>
      <c r="B123" s="55" t="s">
        <v>383</v>
      </c>
      <c r="C123" s="55" t="s">
        <v>110</v>
      </c>
      <c r="D123" s="55" t="s">
        <v>413</v>
      </c>
      <c r="E123" s="1">
        <v>1</v>
      </c>
      <c r="F123" s="40">
        <v>23000</v>
      </c>
      <c r="G123" s="40">
        <f>Table6891011121314[[#This Row],[Rate /Trips]]*Table6891011121314[[#This Row],[Trips]]</f>
        <v>23000</v>
      </c>
      <c r="H123" s="40"/>
      <c r="I123" s="40">
        <f>Table6891011121314[[#This Row],[Total Value]]-Table6891011121314[[#This Row],[Received]]</f>
        <v>23000</v>
      </c>
      <c r="J123" s="9" t="s">
        <v>501</v>
      </c>
    </row>
    <row r="124" spans="1:10">
      <c r="A124" s="36">
        <v>46001</v>
      </c>
      <c r="B124" s="55" t="s">
        <v>58</v>
      </c>
      <c r="C124" s="55" t="s">
        <v>43</v>
      </c>
      <c r="D124" s="55" t="s">
        <v>162</v>
      </c>
      <c r="E124" s="1">
        <v>1</v>
      </c>
      <c r="F124" s="40">
        <v>23000</v>
      </c>
      <c r="G124" s="40">
        <f>Table6891011121314[[#This Row],[Rate /Trips]]*Table6891011121314[[#This Row],[Trips]]</f>
        <v>23000</v>
      </c>
      <c r="H124" s="2"/>
      <c r="I124" s="40">
        <f>Table6891011121314[[#This Row],[Total Value]]-Table6891011121314[[#This Row],[Received]]</f>
        <v>23000</v>
      </c>
      <c r="J124" s="9" t="s">
        <v>506</v>
      </c>
    </row>
    <row r="125" spans="1:10">
      <c r="A125" s="36">
        <v>46001</v>
      </c>
      <c r="B125" s="55" t="s">
        <v>58</v>
      </c>
      <c r="C125" s="55" t="s">
        <v>110</v>
      </c>
      <c r="D125" s="55" t="s">
        <v>116</v>
      </c>
      <c r="E125" s="1">
        <v>1</v>
      </c>
      <c r="F125" s="40">
        <v>23000</v>
      </c>
      <c r="G125" s="40">
        <f>Table6891011121314[[#This Row],[Rate /Trips]]*Table6891011121314[[#This Row],[Trips]]</f>
        <v>23000</v>
      </c>
      <c r="H125" s="2"/>
      <c r="I125" s="40">
        <f>Table6891011121314[[#This Row],[Total Value]]-Table6891011121314[[#This Row],[Received]]</f>
        <v>23000</v>
      </c>
      <c r="J125" s="9" t="s">
        <v>501</v>
      </c>
    </row>
    <row r="126" spans="1:10">
      <c r="A126" s="36">
        <v>46001</v>
      </c>
      <c r="B126" s="55" t="s">
        <v>58</v>
      </c>
      <c r="C126" s="55" t="s">
        <v>43</v>
      </c>
      <c r="D126" s="55" t="s">
        <v>63</v>
      </c>
      <c r="E126" s="1">
        <v>1</v>
      </c>
      <c r="F126" s="40">
        <v>23000</v>
      </c>
      <c r="G126" s="40">
        <f>Table6891011121314[[#This Row],[Rate /Trips]]*Table6891011121314[[#This Row],[Trips]]</f>
        <v>23000</v>
      </c>
      <c r="H126" s="2"/>
      <c r="I126" s="40">
        <f>Table6891011121314[[#This Row],[Total Value]]-Table6891011121314[[#This Row],[Received]]</f>
        <v>23000</v>
      </c>
      <c r="J126" s="9" t="s">
        <v>506</v>
      </c>
    </row>
    <row r="127" spans="1:10">
      <c r="A127" s="36">
        <v>46002</v>
      </c>
      <c r="B127" s="39" t="s">
        <v>58</v>
      </c>
      <c r="C127" s="39" t="s">
        <v>43</v>
      </c>
      <c r="D127" s="39" t="s">
        <v>63</v>
      </c>
      <c r="E127" s="1">
        <v>2</v>
      </c>
      <c r="F127" s="40">
        <v>23000</v>
      </c>
      <c r="G127" s="40">
        <f>Table6891011121314[[#This Row],[Rate /Trips]]*Table6891011121314[[#This Row],[Trips]]</f>
        <v>46000</v>
      </c>
      <c r="H127" s="40"/>
      <c r="I127" s="40">
        <f>Table6891011121314[[#This Row],[Total Value]]-Table6891011121314[[#This Row],[Received]]</f>
        <v>46000</v>
      </c>
      <c r="J127" s="9" t="s">
        <v>507</v>
      </c>
    </row>
    <row r="128" spans="1:10">
      <c r="A128" s="36">
        <v>46004</v>
      </c>
      <c r="B128" s="39" t="s">
        <v>58</v>
      </c>
      <c r="C128" s="39" t="s">
        <v>110</v>
      </c>
      <c r="D128" s="39" t="s">
        <v>126</v>
      </c>
      <c r="E128" s="1">
        <v>1</v>
      </c>
      <c r="F128" s="40">
        <v>23000</v>
      </c>
      <c r="G128" s="40">
        <f>Table6891011121314[[#This Row],[Rate /Trips]]*Table6891011121314[[#This Row],[Trips]]</f>
        <v>23000</v>
      </c>
      <c r="H128" s="40"/>
      <c r="I128" s="40">
        <f>Table6891011121314[[#This Row],[Total Value]]-Table6891011121314[[#This Row],[Received]]</f>
        <v>23000</v>
      </c>
      <c r="J128" s="9" t="s">
        <v>501</v>
      </c>
    </row>
    <row r="129" spans="1:10">
      <c r="A129" s="36">
        <v>46004</v>
      </c>
      <c r="B129" s="39" t="s">
        <v>58</v>
      </c>
      <c r="C129" s="39" t="s">
        <v>39</v>
      </c>
      <c r="D129" s="39" t="s">
        <v>54</v>
      </c>
      <c r="E129" s="1">
        <v>1</v>
      </c>
      <c r="F129" s="40">
        <v>23000</v>
      </c>
      <c r="G129" s="40">
        <f>Table6891011121314[[#This Row],[Rate /Trips]]*Table6891011121314[[#This Row],[Trips]]</f>
        <v>23000</v>
      </c>
      <c r="H129" s="40"/>
      <c r="I129" s="40">
        <f>Table6891011121314[[#This Row],[Total Value]]-Table6891011121314[[#This Row],[Received]]</f>
        <v>23000</v>
      </c>
      <c r="J129" s="9" t="s">
        <v>504</v>
      </c>
    </row>
    <row r="130" spans="1:10">
      <c r="A130" s="36">
        <v>46004</v>
      </c>
      <c r="B130" s="39" t="s">
        <v>58</v>
      </c>
      <c r="C130" s="39" t="s">
        <v>39</v>
      </c>
      <c r="D130" s="39" t="s">
        <v>421</v>
      </c>
      <c r="E130" s="1">
        <v>1</v>
      </c>
      <c r="F130" s="40">
        <v>24000</v>
      </c>
      <c r="G130" s="40">
        <f>Table6891011121314[[#This Row],[Rate /Trips]]*Table6891011121314[[#This Row],[Trips]]</f>
        <v>24000</v>
      </c>
      <c r="H130" s="40"/>
      <c r="I130" s="40">
        <f>Table6891011121314[[#This Row],[Total Value]]-Table6891011121314[[#This Row],[Received]]</f>
        <v>24000</v>
      </c>
      <c r="J130" s="9" t="s">
        <v>508</v>
      </c>
    </row>
    <row r="131" spans="1:10">
      <c r="A131" s="36">
        <v>46004</v>
      </c>
      <c r="B131" s="39" t="s">
        <v>58</v>
      </c>
      <c r="C131" s="39" t="s">
        <v>23</v>
      </c>
      <c r="D131" s="39" t="s">
        <v>19</v>
      </c>
      <c r="E131" s="1">
        <v>1</v>
      </c>
      <c r="F131" s="40">
        <v>23000</v>
      </c>
      <c r="G131" s="40">
        <f>Table6891011121314[[#This Row],[Rate /Trips]]*Table6891011121314[[#This Row],[Trips]]</f>
        <v>23000</v>
      </c>
      <c r="H131" s="40"/>
      <c r="I131" s="40">
        <f>Table6891011121314[[#This Row],[Total Value]]-Table6891011121314[[#This Row],[Received]]</f>
        <v>23000</v>
      </c>
      <c r="J131" s="9" t="s">
        <v>505</v>
      </c>
    </row>
    <row r="132" spans="1:10">
      <c r="A132" s="36">
        <v>46004</v>
      </c>
      <c r="B132" s="39" t="s">
        <v>58</v>
      </c>
      <c r="C132" s="39" t="s">
        <v>422</v>
      </c>
      <c r="D132" s="39" t="s">
        <v>19</v>
      </c>
      <c r="E132" s="1">
        <v>1</v>
      </c>
      <c r="F132" s="40">
        <v>23000</v>
      </c>
      <c r="G132" s="40">
        <f>Table6891011121314[[#This Row],[Rate /Trips]]*Table6891011121314[[#This Row],[Trips]]</f>
        <v>23000</v>
      </c>
      <c r="H132" s="40"/>
      <c r="I132" s="40">
        <f>Table6891011121314[[#This Row],[Total Value]]-Table6891011121314[[#This Row],[Received]]</f>
        <v>23000</v>
      </c>
      <c r="J132" s="9" t="s">
        <v>509</v>
      </c>
    </row>
    <row r="133" spans="1:10">
      <c r="A133" s="36">
        <v>46004</v>
      </c>
      <c r="B133" s="39" t="s">
        <v>58</v>
      </c>
      <c r="C133" s="39" t="s">
        <v>415</v>
      </c>
      <c r="D133" s="39" t="s">
        <v>34</v>
      </c>
      <c r="E133" s="1">
        <v>1</v>
      </c>
      <c r="F133" s="40">
        <v>26000</v>
      </c>
      <c r="G133" s="40">
        <f>Table6891011121314[[#This Row],[Rate /Trips]]*Table6891011121314[[#This Row],[Trips]]</f>
        <v>26000</v>
      </c>
      <c r="H133" s="40"/>
      <c r="I133" s="40">
        <f>Table6891011121314[[#This Row],[Total Value]]-Table6891011121314[[#This Row],[Received]]</f>
        <v>26000</v>
      </c>
      <c r="J133" s="9" t="s">
        <v>510</v>
      </c>
    </row>
    <row r="134" spans="1:10">
      <c r="A134" s="36">
        <v>46005</v>
      </c>
      <c r="B134" s="39" t="s">
        <v>419</v>
      </c>
      <c r="C134" s="39" t="s">
        <v>110</v>
      </c>
      <c r="D134" s="39" t="s">
        <v>388</v>
      </c>
      <c r="E134" s="1">
        <v>2</v>
      </c>
      <c r="F134" s="40">
        <v>23000</v>
      </c>
      <c r="G134" s="40">
        <f>Table6891011121314[[#This Row],[Rate /Trips]]*Table6891011121314[[#This Row],[Trips]]</f>
        <v>46000</v>
      </c>
      <c r="H134" s="40"/>
      <c r="I134" s="40">
        <f>Table6891011121314[[#This Row],[Total Value]]-Table6891011121314[[#This Row],[Received]]</f>
        <v>46000</v>
      </c>
      <c r="J134" s="9" t="s">
        <v>502</v>
      </c>
    </row>
    <row r="135" spans="1:10">
      <c r="A135" s="36">
        <v>46005</v>
      </c>
      <c r="B135" s="39" t="s">
        <v>58</v>
      </c>
      <c r="C135" s="39" t="s">
        <v>415</v>
      </c>
      <c r="D135" s="39" t="s">
        <v>162</v>
      </c>
      <c r="E135" s="1">
        <v>1</v>
      </c>
      <c r="F135" s="40">
        <v>26000</v>
      </c>
      <c r="G135" s="40">
        <f>Table6891011121314[[#This Row],[Rate /Trips]]*Table6891011121314[[#This Row],[Trips]]</f>
        <v>26000</v>
      </c>
      <c r="H135" s="40"/>
      <c r="I135" s="40">
        <f>Table6891011121314[[#This Row],[Total Value]]-Table6891011121314[[#This Row],[Received]]</f>
        <v>26000</v>
      </c>
      <c r="J135" s="9" t="s">
        <v>510</v>
      </c>
    </row>
    <row r="136" spans="1:10">
      <c r="A136" s="36">
        <v>46005</v>
      </c>
      <c r="B136" s="39" t="s">
        <v>58</v>
      </c>
      <c r="C136" s="39" t="s">
        <v>18</v>
      </c>
      <c r="D136" s="39" t="s">
        <v>162</v>
      </c>
      <c r="E136" s="1">
        <v>1</v>
      </c>
      <c r="F136" s="40">
        <v>26000</v>
      </c>
      <c r="G136" s="40">
        <f>Table6891011121314[[#This Row],[Rate /Trips]]*Table6891011121314[[#This Row],[Trips]]</f>
        <v>26000</v>
      </c>
      <c r="H136" s="40"/>
      <c r="I136" s="40">
        <f>Table6891011121314[[#This Row],[Total Value]]-Table6891011121314[[#This Row],[Received]]</f>
        <v>26000</v>
      </c>
      <c r="J136" s="9" t="s">
        <v>511</v>
      </c>
    </row>
    <row r="137" spans="1:10">
      <c r="A137" s="36">
        <v>46005</v>
      </c>
      <c r="B137" s="39" t="s">
        <v>58</v>
      </c>
      <c r="C137" s="39" t="s">
        <v>23</v>
      </c>
      <c r="D137" s="39" t="s">
        <v>63</v>
      </c>
      <c r="E137" s="1">
        <v>1</v>
      </c>
      <c r="F137" s="40">
        <v>26000</v>
      </c>
      <c r="G137" s="40">
        <f>Table6891011121314[[#This Row],[Rate /Trips]]*Table6891011121314[[#This Row],[Trips]]</f>
        <v>26000</v>
      </c>
      <c r="H137" s="40"/>
      <c r="I137" s="40">
        <f>Table6891011121314[[#This Row],[Total Value]]-Table6891011121314[[#This Row],[Received]]</f>
        <v>26000</v>
      </c>
      <c r="J137" s="9" t="s">
        <v>512</v>
      </c>
    </row>
    <row r="138" spans="1:10">
      <c r="A138" s="36">
        <v>46005</v>
      </c>
      <c r="B138" s="39" t="s">
        <v>4</v>
      </c>
      <c r="C138" s="39" t="s">
        <v>39</v>
      </c>
      <c r="D138" s="39" t="s">
        <v>416</v>
      </c>
      <c r="E138" s="1">
        <v>1</v>
      </c>
      <c r="F138" s="40">
        <v>26000</v>
      </c>
      <c r="G138" s="40">
        <f>Table6891011121314[[#This Row],[Rate /Trips]]*Table6891011121314[[#This Row],[Trips]]</f>
        <v>26000</v>
      </c>
      <c r="H138" s="40"/>
      <c r="I138" s="40">
        <f>Table6891011121314[[#This Row],[Total Value]]-Table6891011121314[[#This Row],[Received]]</f>
        <v>26000</v>
      </c>
      <c r="J138" s="9" t="s">
        <v>513</v>
      </c>
    </row>
    <row r="139" spans="1:10">
      <c r="A139" s="36">
        <v>46005</v>
      </c>
      <c r="B139" s="39" t="s">
        <v>58</v>
      </c>
      <c r="C139" s="39" t="s">
        <v>405</v>
      </c>
      <c r="D139" s="39" t="s">
        <v>417</v>
      </c>
      <c r="E139" s="1">
        <v>1</v>
      </c>
      <c r="F139" s="40">
        <v>27000</v>
      </c>
      <c r="G139" s="40">
        <f>Table6891011121314[[#This Row],[Rate /Trips]]*Table6891011121314[[#This Row],[Trips]]</f>
        <v>27000</v>
      </c>
      <c r="H139" s="40"/>
      <c r="I139" s="40">
        <f>Table6891011121314[[#This Row],[Total Value]]-Table6891011121314[[#This Row],[Received]]</f>
        <v>27000</v>
      </c>
      <c r="J139" s="9" t="s">
        <v>514</v>
      </c>
    </row>
    <row r="140" spans="1:10">
      <c r="A140" s="36">
        <v>46005</v>
      </c>
      <c r="B140" s="39" t="s">
        <v>4</v>
      </c>
      <c r="C140" s="39" t="s">
        <v>43</v>
      </c>
      <c r="D140" s="39" t="s">
        <v>418</v>
      </c>
      <c r="E140" s="1">
        <v>1</v>
      </c>
      <c r="F140" s="40">
        <v>26000</v>
      </c>
      <c r="G140" s="40">
        <f>Table6891011121314[[#This Row],[Rate /Trips]]*Table6891011121314[[#This Row],[Trips]]</f>
        <v>26000</v>
      </c>
      <c r="H140" s="40"/>
      <c r="I140" s="40">
        <f>Table6891011121314[[#This Row],[Total Value]]-Table6891011121314[[#This Row],[Received]]</f>
        <v>26000</v>
      </c>
      <c r="J140" s="9" t="s">
        <v>515</v>
      </c>
    </row>
    <row r="141" spans="1:10">
      <c r="A141" s="36">
        <v>46005</v>
      </c>
      <c r="B141" s="39" t="s">
        <v>4</v>
      </c>
      <c r="C141" s="39" t="s">
        <v>39</v>
      </c>
      <c r="D141" s="39" t="s">
        <v>54</v>
      </c>
      <c r="E141" s="1">
        <v>1</v>
      </c>
      <c r="F141" s="40">
        <v>26000</v>
      </c>
      <c r="G141" s="40">
        <f>Table6891011121314[[#This Row],[Rate /Trips]]*Table6891011121314[[#This Row],[Trips]]</f>
        <v>26000</v>
      </c>
      <c r="H141" s="40"/>
      <c r="I141" s="40">
        <f>Table6891011121314[[#This Row],[Total Value]]-Table6891011121314[[#This Row],[Received]]</f>
        <v>26000</v>
      </c>
      <c r="J141" s="9" t="s">
        <v>513</v>
      </c>
    </row>
    <row r="142" spans="1:10">
      <c r="A142" s="36">
        <v>46005</v>
      </c>
      <c r="B142" s="39" t="s">
        <v>58</v>
      </c>
      <c r="C142" s="39" t="s">
        <v>415</v>
      </c>
      <c r="D142" s="39" t="s">
        <v>34</v>
      </c>
      <c r="E142" s="1">
        <v>1</v>
      </c>
      <c r="F142" s="40">
        <v>26000</v>
      </c>
      <c r="G142" s="40">
        <f>Table6891011121314[[#This Row],[Rate /Trips]]*Table6891011121314[[#This Row],[Trips]]</f>
        <v>26000</v>
      </c>
      <c r="H142" s="40"/>
      <c r="I142" s="40">
        <f>Table6891011121314[[#This Row],[Total Value]]-Table6891011121314[[#This Row],[Received]]</f>
        <v>26000</v>
      </c>
      <c r="J142" s="9" t="s">
        <v>510</v>
      </c>
    </row>
    <row r="143" spans="1:10">
      <c r="A143" s="36">
        <v>46006</v>
      </c>
      <c r="B143" s="39" t="s">
        <v>58</v>
      </c>
      <c r="C143" s="39" t="s">
        <v>43</v>
      </c>
      <c r="D143" s="39" t="s">
        <v>423</v>
      </c>
      <c r="E143" s="1">
        <v>1</v>
      </c>
      <c r="F143" s="40">
        <v>26000</v>
      </c>
      <c r="G143" s="40">
        <f>Table6891011121314[[#This Row],[Rate /Trips]]*Table6891011121314[[#This Row],[Trips]]</f>
        <v>26000</v>
      </c>
      <c r="H143" s="40"/>
      <c r="I143" s="40">
        <f>Table6891011121314[[#This Row],[Total Value]]-Table6891011121314[[#This Row],[Received]]</f>
        <v>26000</v>
      </c>
      <c r="J143" s="9" t="s">
        <v>515</v>
      </c>
    </row>
    <row r="144" spans="1:10">
      <c r="A144" s="36">
        <v>46006</v>
      </c>
      <c r="B144" s="39" t="s">
        <v>58</v>
      </c>
      <c r="C144" s="39" t="s">
        <v>39</v>
      </c>
      <c r="D144" s="39" t="s">
        <v>424</v>
      </c>
      <c r="E144" s="1">
        <v>1</v>
      </c>
      <c r="F144" s="40">
        <v>26000</v>
      </c>
      <c r="G144" s="40">
        <f>Table6891011121314[[#This Row],[Rate /Trips]]*Table6891011121314[[#This Row],[Trips]]</f>
        <v>26000</v>
      </c>
      <c r="H144" s="40"/>
      <c r="I144" s="40">
        <f>Table6891011121314[[#This Row],[Total Value]]-Table6891011121314[[#This Row],[Received]]</f>
        <v>26000</v>
      </c>
      <c r="J144" s="9" t="s">
        <v>513</v>
      </c>
    </row>
    <row r="145" spans="1:10">
      <c r="A145" s="36">
        <v>46006</v>
      </c>
      <c r="B145" s="39" t="s">
        <v>58</v>
      </c>
      <c r="C145" s="39" t="s">
        <v>23</v>
      </c>
      <c r="D145" s="39" t="s">
        <v>425</v>
      </c>
      <c r="E145" s="1">
        <v>1</v>
      </c>
      <c r="F145" s="40">
        <v>26000</v>
      </c>
      <c r="G145" s="40">
        <f>Table6891011121314[[#This Row],[Rate /Trips]]*Table6891011121314[[#This Row],[Trips]]</f>
        <v>26000</v>
      </c>
      <c r="H145" s="40"/>
      <c r="I145" s="40">
        <f>Table6891011121314[[#This Row],[Total Value]]-Table6891011121314[[#This Row],[Received]]</f>
        <v>26000</v>
      </c>
      <c r="J145" s="9" t="s">
        <v>512</v>
      </c>
    </row>
    <row r="146" spans="1:10">
      <c r="A146" s="36">
        <v>46006</v>
      </c>
      <c r="B146" s="39" t="s">
        <v>58</v>
      </c>
      <c r="C146" s="39" t="s">
        <v>110</v>
      </c>
      <c r="D146" s="39" t="s">
        <v>426</v>
      </c>
      <c r="E146" s="1">
        <v>1</v>
      </c>
      <c r="F146" s="40">
        <v>25000</v>
      </c>
      <c r="G146" s="40">
        <f>Table6891011121314[[#This Row],[Rate /Trips]]*Table6891011121314[[#This Row],[Trips]]</f>
        <v>25000</v>
      </c>
      <c r="H146" s="40"/>
      <c r="I146" s="40">
        <f>Table6891011121314[[#This Row],[Total Value]]-Table6891011121314[[#This Row],[Received]]</f>
        <v>25000</v>
      </c>
      <c r="J146" s="9" t="s">
        <v>496</v>
      </c>
    </row>
    <row r="147" spans="1:10">
      <c r="A147" s="36">
        <v>46007</v>
      </c>
      <c r="B147" s="39" t="s">
        <v>58</v>
      </c>
      <c r="C147" s="39" t="s">
        <v>110</v>
      </c>
      <c r="D147" s="39" t="s">
        <v>427</v>
      </c>
      <c r="E147" s="1">
        <v>1</v>
      </c>
      <c r="F147" s="40">
        <v>25000</v>
      </c>
      <c r="G147" s="40">
        <f>Table6891011121314[[#This Row],[Rate /Trips]]*Table6891011121314[[#This Row],[Trips]]</f>
        <v>25000</v>
      </c>
      <c r="H147" s="40"/>
      <c r="I147" s="40">
        <f>Table6891011121314[[#This Row],[Total Value]]-Table6891011121314[[#This Row],[Received]]</f>
        <v>25000</v>
      </c>
      <c r="J147" s="9" t="s">
        <v>496</v>
      </c>
    </row>
    <row r="148" spans="1:10">
      <c r="A148" s="36">
        <v>46007</v>
      </c>
      <c r="B148" s="39" t="s">
        <v>58</v>
      </c>
      <c r="C148" s="39" t="s">
        <v>110</v>
      </c>
      <c r="D148" s="39" t="s">
        <v>8</v>
      </c>
      <c r="E148" s="1">
        <v>1</v>
      </c>
      <c r="F148" s="40">
        <v>25000</v>
      </c>
      <c r="G148" s="40">
        <f>Table6891011121314[[#This Row],[Rate /Trips]]*Table6891011121314[[#This Row],[Trips]]</f>
        <v>25000</v>
      </c>
      <c r="H148" s="40"/>
      <c r="I148" s="40">
        <f>Table6891011121314[[#This Row],[Total Value]]-Table6891011121314[[#This Row],[Received]]</f>
        <v>25000</v>
      </c>
      <c r="J148" s="9" t="s">
        <v>496</v>
      </c>
    </row>
    <row r="149" spans="1:10">
      <c r="A149" s="36">
        <v>46007</v>
      </c>
      <c r="B149" s="39" t="s">
        <v>58</v>
      </c>
      <c r="C149" s="39" t="s">
        <v>84</v>
      </c>
      <c r="D149" s="39" t="s">
        <v>10</v>
      </c>
      <c r="E149" s="1">
        <v>1</v>
      </c>
      <c r="F149" s="40">
        <v>28000</v>
      </c>
      <c r="G149" s="40">
        <f>Table6891011121314[[#This Row],[Rate /Trips]]*Table6891011121314[[#This Row],[Trips]]</f>
        <v>28000</v>
      </c>
      <c r="H149" s="40"/>
      <c r="I149" s="40">
        <f>Table6891011121314[[#This Row],[Total Value]]-Table6891011121314[[#This Row],[Received]]</f>
        <v>28000</v>
      </c>
      <c r="J149" s="9" t="s">
        <v>516</v>
      </c>
    </row>
    <row r="150" spans="1:10">
      <c r="A150" s="36">
        <v>46007</v>
      </c>
      <c r="B150" s="39" t="s">
        <v>58</v>
      </c>
      <c r="C150" s="39" t="s">
        <v>249</v>
      </c>
      <c r="D150" s="39" t="s">
        <v>11</v>
      </c>
      <c r="E150" s="1">
        <v>1</v>
      </c>
      <c r="F150" s="40">
        <v>30000</v>
      </c>
      <c r="G150" s="40">
        <f>Table6891011121314[[#This Row],[Rate /Trips]]*Table6891011121314[[#This Row],[Trips]]</f>
        <v>30000</v>
      </c>
      <c r="H150" s="40"/>
      <c r="I150" s="40">
        <f>Table6891011121314[[#This Row],[Total Value]]-Table6891011121314[[#This Row],[Received]]</f>
        <v>30000</v>
      </c>
      <c r="J150" s="9" t="s">
        <v>517</v>
      </c>
    </row>
    <row r="151" spans="1:10">
      <c r="A151" s="36">
        <v>46009</v>
      </c>
      <c r="B151" s="39" t="s">
        <v>58</v>
      </c>
      <c r="C151" s="39" t="s">
        <v>43</v>
      </c>
      <c r="D151" s="39" t="s">
        <v>352</v>
      </c>
      <c r="E151" s="1">
        <v>1</v>
      </c>
      <c r="F151" s="40">
        <v>30000</v>
      </c>
      <c r="G151" s="40">
        <f>Table6891011121314[[#This Row],[Rate /Trips]]*Table6891011121314[[#This Row],[Trips]]</f>
        <v>30000</v>
      </c>
      <c r="H151" s="40"/>
      <c r="I151" s="40">
        <f>Table6891011121314[[#This Row],[Total Value]]-Table6891011121314[[#This Row],[Received]]</f>
        <v>30000</v>
      </c>
      <c r="J151" s="9" t="s">
        <v>518</v>
      </c>
    </row>
    <row r="152" spans="1:10">
      <c r="A152" s="36">
        <v>46009</v>
      </c>
      <c r="B152" s="39" t="s">
        <v>58</v>
      </c>
      <c r="C152" s="39" t="s">
        <v>110</v>
      </c>
      <c r="D152" s="39" t="s">
        <v>402</v>
      </c>
      <c r="E152" s="1">
        <v>1</v>
      </c>
      <c r="F152" s="40">
        <v>23000</v>
      </c>
      <c r="G152" s="40">
        <f>Table6891011121314[[#This Row],[Rate /Trips]]*Table6891011121314[[#This Row],[Trips]]</f>
        <v>23000</v>
      </c>
      <c r="H152" s="40"/>
      <c r="I152" s="40">
        <f>Table6891011121314[[#This Row],[Total Value]]-Table6891011121314[[#This Row],[Received]]</f>
        <v>23000</v>
      </c>
      <c r="J152" s="9" t="s">
        <v>501</v>
      </c>
    </row>
    <row r="153" spans="1:10">
      <c r="A153" s="36">
        <v>46009</v>
      </c>
      <c r="B153" s="39" t="s">
        <v>58</v>
      </c>
      <c r="C153" s="39" t="s">
        <v>430</v>
      </c>
      <c r="D153" s="39" t="s">
        <v>429</v>
      </c>
      <c r="E153" s="1">
        <v>1</v>
      </c>
      <c r="F153" s="40">
        <v>30000</v>
      </c>
      <c r="G153" s="40">
        <f>Table6891011121314[[#This Row],[Rate /Trips]]*Table6891011121314[[#This Row],[Trips]]</f>
        <v>30000</v>
      </c>
      <c r="H153" s="40"/>
      <c r="I153" s="40">
        <f>Table6891011121314[[#This Row],[Total Value]]-Table6891011121314[[#This Row],[Received]]</f>
        <v>30000</v>
      </c>
      <c r="J153" s="9" t="s">
        <v>519</v>
      </c>
    </row>
    <row r="154" spans="1:10">
      <c r="A154" s="36">
        <v>46010</v>
      </c>
      <c r="B154" s="39" t="s">
        <v>381</v>
      </c>
      <c r="C154" s="39" t="s">
        <v>110</v>
      </c>
      <c r="D154" s="39" t="s">
        <v>388</v>
      </c>
      <c r="E154" s="1">
        <v>2</v>
      </c>
      <c r="F154" s="40">
        <v>23000</v>
      </c>
      <c r="G154" s="40">
        <f>Table6891011121314[[#This Row],[Rate /Trips]]*Table6891011121314[[#This Row],[Trips]]</f>
        <v>46000</v>
      </c>
      <c r="H154" s="40"/>
      <c r="I154" s="40">
        <f>Table6891011121314[[#This Row],[Total Value]]-Table6891011121314[[#This Row],[Received]]</f>
        <v>46000</v>
      </c>
      <c r="J154" s="9" t="s">
        <v>502</v>
      </c>
    </row>
    <row r="155" spans="1:10">
      <c r="A155" s="36">
        <v>46010</v>
      </c>
      <c r="B155" s="39" t="s">
        <v>381</v>
      </c>
      <c r="C155" s="39" t="s">
        <v>110</v>
      </c>
      <c r="D155" s="39" t="s">
        <v>432</v>
      </c>
      <c r="E155" s="1">
        <v>1</v>
      </c>
      <c r="F155" s="40">
        <v>23000</v>
      </c>
      <c r="G155" s="40">
        <f>Table6891011121314[[#This Row],[Rate /Trips]]*Table6891011121314[[#This Row],[Trips]]</f>
        <v>23000</v>
      </c>
      <c r="H155" s="40"/>
      <c r="I155" s="40">
        <f>Table6891011121314[[#This Row],[Total Value]]-Table6891011121314[[#This Row],[Received]]</f>
        <v>23000</v>
      </c>
      <c r="J155" s="9" t="s">
        <v>501</v>
      </c>
    </row>
    <row r="156" spans="1:10">
      <c r="A156" s="36">
        <v>46010</v>
      </c>
      <c r="B156" s="39" t="s">
        <v>381</v>
      </c>
      <c r="C156" s="39" t="s">
        <v>43</v>
      </c>
      <c r="D156" s="39" t="s">
        <v>431</v>
      </c>
      <c r="E156" s="1">
        <v>1</v>
      </c>
      <c r="F156" s="40">
        <v>23000</v>
      </c>
      <c r="G156" s="40">
        <f>Table6891011121314[[#This Row],[Rate /Trips]]*Table6891011121314[[#This Row],[Trips]]</f>
        <v>23000</v>
      </c>
      <c r="H156" s="40"/>
      <c r="I156" s="40">
        <f>Table6891011121314[[#This Row],[Total Value]]-Table6891011121314[[#This Row],[Received]]</f>
        <v>23000</v>
      </c>
      <c r="J156" s="9" t="s">
        <v>506</v>
      </c>
    </row>
    <row r="157" spans="1:10">
      <c r="A157" s="36">
        <v>46010</v>
      </c>
      <c r="B157" s="39" t="s">
        <v>381</v>
      </c>
      <c r="C157" s="39" t="s">
        <v>23</v>
      </c>
      <c r="D157" s="39" t="s">
        <v>120</v>
      </c>
      <c r="E157" s="1">
        <v>1</v>
      </c>
      <c r="F157" s="40">
        <v>23000</v>
      </c>
      <c r="G157" s="40">
        <f>Table6891011121314[[#This Row],[Rate /Trips]]*Table6891011121314[[#This Row],[Trips]]</f>
        <v>23000</v>
      </c>
      <c r="H157" s="40"/>
      <c r="I157" s="40">
        <f>Table6891011121314[[#This Row],[Total Value]]-Table6891011121314[[#This Row],[Received]]</f>
        <v>23000</v>
      </c>
      <c r="J157" s="9" t="s">
        <v>505</v>
      </c>
    </row>
    <row r="158" spans="1:10">
      <c r="A158" s="36">
        <v>46011</v>
      </c>
      <c r="B158" s="39" t="s">
        <v>381</v>
      </c>
      <c r="C158" s="39" t="s">
        <v>92</v>
      </c>
      <c r="D158" s="39" t="s">
        <v>254</v>
      </c>
      <c r="E158" s="1">
        <v>1</v>
      </c>
      <c r="F158" s="40">
        <v>28000</v>
      </c>
      <c r="G158" s="40">
        <f>Table6891011121314[[#This Row],[Rate /Trips]]*Table6891011121314[[#This Row],[Trips]]</f>
        <v>28000</v>
      </c>
      <c r="H158" s="40"/>
      <c r="I158" s="40">
        <f>Table6891011121314[[#This Row],[Total Value]]-Table6891011121314[[#This Row],[Received]]</f>
        <v>28000</v>
      </c>
      <c r="J158" s="9" t="s">
        <v>520</v>
      </c>
    </row>
    <row r="159" spans="1:10">
      <c r="A159" s="36">
        <v>46012</v>
      </c>
      <c r="B159" s="39" t="s">
        <v>58</v>
      </c>
      <c r="C159" s="39" t="s">
        <v>107</v>
      </c>
      <c r="D159" s="39" t="s">
        <v>160</v>
      </c>
      <c r="E159" s="1">
        <v>1</v>
      </c>
      <c r="F159" s="40">
        <v>25000</v>
      </c>
      <c r="G159" s="40">
        <f>Table6891011121314[[#This Row],[Rate /Trips]]*Table6891011121314[[#This Row],[Trips]]</f>
        <v>25000</v>
      </c>
      <c r="H159" s="2"/>
      <c r="I159" s="40">
        <f>Table6891011121314[[#This Row],[Total Value]]-Table6891011121314[[#This Row],[Received]]</f>
        <v>25000</v>
      </c>
      <c r="J159" s="9" t="s">
        <v>521</v>
      </c>
    </row>
    <row r="160" spans="1:10">
      <c r="A160" s="36">
        <v>46012</v>
      </c>
      <c r="B160" s="39" t="s">
        <v>58</v>
      </c>
      <c r="C160" s="39" t="s">
        <v>110</v>
      </c>
      <c r="D160" s="39" t="s">
        <v>253</v>
      </c>
      <c r="E160" s="1">
        <v>1</v>
      </c>
      <c r="F160" s="40">
        <v>23000</v>
      </c>
      <c r="G160" s="40">
        <f>Table6891011121314[[#This Row],[Rate /Trips]]*Table6891011121314[[#This Row],[Trips]]</f>
        <v>23000</v>
      </c>
      <c r="H160" s="2"/>
      <c r="I160" s="40">
        <f>Table6891011121314[[#This Row],[Total Value]]-Table6891011121314[[#This Row],[Received]]</f>
        <v>23000</v>
      </c>
      <c r="J160" s="9" t="s">
        <v>501</v>
      </c>
    </row>
    <row r="161" spans="1:10">
      <c r="A161" s="36">
        <v>46012</v>
      </c>
      <c r="B161" s="39" t="s">
        <v>58</v>
      </c>
      <c r="C161" s="39" t="s">
        <v>415</v>
      </c>
      <c r="D161" s="39" t="s">
        <v>17</v>
      </c>
      <c r="E161" s="1">
        <v>1</v>
      </c>
      <c r="F161" s="40">
        <v>23500</v>
      </c>
      <c r="G161" s="40">
        <f>Table6891011121314[[#This Row],[Rate /Trips]]*Table6891011121314[[#This Row],[Trips]]</f>
        <v>23500</v>
      </c>
      <c r="H161" s="2"/>
      <c r="I161" s="40">
        <f>Table6891011121314[[#This Row],[Total Value]]-Table6891011121314[[#This Row],[Received]]</f>
        <v>23500</v>
      </c>
      <c r="J161" s="9" t="s">
        <v>522</v>
      </c>
    </row>
    <row r="162" spans="1:10">
      <c r="A162" s="36">
        <v>46012</v>
      </c>
      <c r="B162" s="39" t="s">
        <v>381</v>
      </c>
      <c r="C162" s="39" t="s">
        <v>110</v>
      </c>
      <c r="D162" s="39" t="s">
        <v>376</v>
      </c>
      <c r="E162" s="1">
        <v>1</v>
      </c>
      <c r="F162" s="40">
        <v>23000</v>
      </c>
      <c r="G162" s="40">
        <f>Table6891011121314[[#This Row],[Rate /Trips]]*Table6891011121314[[#This Row],[Trips]]</f>
        <v>23000</v>
      </c>
      <c r="H162" s="2"/>
      <c r="I162" s="40">
        <f>Table6891011121314[[#This Row],[Total Value]]-Table6891011121314[[#This Row],[Received]]</f>
        <v>23000</v>
      </c>
      <c r="J162" s="9" t="s">
        <v>501</v>
      </c>
    </row>
    <row r="163" spans="1:10">
      <c r="A163" s="36">
        <v>46012</v>
      </c>
      <c r="B163" s="39" t="s">
        <v>381</v>
      </c>
      <c r="C163" s="39" t="s">
        <v>415</v>
      </c>
      <c r="D163" s="39" t="s">
        <v>412</v>
      </c>
      <c r="E163" s="1">
        <v>1</v>
      </c>
      <c r="F163" s="40">
        <v>24000</v>
      </c>
      <c r="G163" s="40">
        <f>Table6891011121314[[#This Row],[Rate /Trips]]*Table6891011121314[[#This Row],[Trips]]</f>
        <v>24000</v>
      </c>
      <c r="H163" s="2"/>
      <c r="I163" s="40">
        <f>Table6891011121314[[#This Row],[Total Value]]-Table6891011121314[[#This Row],[Received]]</f>
        <v>24000</v>
      </c>
      <c r="J163" s="9" t="s">
        <v>523</v>
      </c>
    </row>
    <row r="164" spans="1:10">
      <c r="A164" s="36">
        <v>46013</v>
      </c>
      <c r="B164" s="39" t="s">
        <v>58</v>
      </c>
      <c r="C164" s="39" t="s">
        <v>80</v>
      </c>
      <c r="D164" s="39" t="s">
        <v>208</v>
      </c>
      <c r="E164" s="1">
        <v>1</v>
      </c>
      <c r="F164" s="40">
        <v>27000</v>
      </c>
      <c r="G164" s="40">
        <f>Table6891011121314[[#This Row],[Rate /Trips]]*Table6891011121314[[#This Row],[Trips]]</f>
        <v>27000</v>
      </c>
      <c r="H164" s="40"/>
      <c r="I164" s="40">
        <f>Table6891011121314[[#This Row],[Total Value]]-Table6891011121314[[#This Row],[Received]]</f>
        <v>27000</v>
      </c>
      <c r="J164" s="9" t="s">
        <v>524</v>
      </c>
    </row>
    <row r="165" spans="1:10">
      <c r="A165" s="36">
        <v>46014</v>
      </c>
      <c r="B165" s="39" t="s">
        <v>434</v>
      </c>
      <c r="C165" s="39" t="s">
        <v>43</v>
      </c>
      <c r="D165" s="39" t="s">
        <v>418</v>
      </c>
      <c r="E165" s="1">
        <v>2</v>
      </c>
      <c r="F165" s="40">
        <v>26000</v>
      </c>
      <c r="G165" s="40">
        <f>Table6891011121314[[#This Row],[Rate /Trips]]*Table6891011121314[[#This Row],[Trips]]</f>
        <v>52000</v>
      </c>
      <c r="H165" s="40"/>
      <c r="I165" s="40">
        <f>Table6891011121314[[#This Row],[Total Value]]-Table6891011121314[[#This Row],[Received]]</f>
        <v>52000</v>
      </c>
      <c r="J165" s="9" t="s">
        <v>525</v>
      </c>
    </row>
    <row r="166" spans="1:10">
      <c r="A166" s="36">
        <v>46014</v>
      </c>
      <c r="B166" s="39" t="s">
        <v>381</v>
      </c>
      <c r="C166" s="39" t="s">
        <v>415</v>
      </c>
      <c r="D166" s="39" t="s">
        <v>423</v>
      </c>
      <c r="E166" s="1">
        <v>2</v>
      </c>
      <c r="F166" s="40">
        <v>23500</v>
      </c>
      <c r="G166" s="40">
        <f>Table6891011121314[[#This Row],[Rate /Trips]]*Table6891011121314[[#This Row],[Trips]]</f>
        <v>47000</v>
      </c>
      <c r="H166" s="40"/>
      <c r="I166" s="40">
        <f>Table6891011121314[[#This Row],[Total Value]]-Table6891011121314[[#This Row],[Received]]</f>
        <v>47000</v>
      </c>
      <c r="J166" s="9" t="s">
        <v>526</v>
      </c>
    </row>
    <row r="167" spans="1:10">
      <c r="A167" s="36">
        <v>46014</v>
      </c>
      <c r="B167" s="39" t="s">
        <v>381</v>
      </c>
      <c r="C167" s="39" t="s">
        <v>397</v>
      </c>
      <c r="D167" s="39" t="s">
        <v>40</v>
      </c>
      <c r="E167" s="1">
        <v>1</v>
      </c>
      <c r="F167" s="40">
        <v>24000</v>
      </c>
      <c r="G167" s="40">
        <f>Table6891011121314[[#This Row],[Rate /Trips]]*Table6891011121314[[#This Row],[Trips]]</f>
        <v>24000</v>
      </c>
      <c r="H167" s="40"/>
      <c r="I167" s="40">
        <f>Table6891011121314[[#This Row],[Total Value]]-Table6891011121314[[#This Row],[Received]]</f>
        <v>24000</v>
      </c>
      <c r="J167" s="9" t="s">
        <v>527</v>
      </c>
    </row>
    <row r="168" spans="1:10">
      <c r="A168" s="36">
        <v>46015</v>
      </c>
      <c r="B168" s="39" t="s">
        <v>438</v>
      </c>
      <c r="C168" s="39" t="s">
        <v>437</v>
      </c>
      <c r="D168" s="39" t="s">
        <v>436</v>
      </c>
      <c r="E168" s="1">
        <v>2</v>
      </c>
      <c r="F168" s="40">
        <v>25000</v>
      </c>
      <c r="G168" s="40">
        <f>Table6891011121314[[#This Row],[Rate /Trips]]*Table6891011121314[[#This Row],[Trips]]</f>
        <v>50000</v>
      </c>
      <c r="H168" s="40"/>
      <c r="I168" s="40">
        <f>Table6891011121314[[#This Row],[Total Value]]-Table6891011121314[[#This Row],[Received]]</f>
        <v>50000</v>
      </c>
      <c r="J168" s="9" t="s">
        <v>528</v>
      </c>
    </row>
    <row r="169" spans="1:10">
      <c r="A169" s="36">
        <v>46015</v>
      </c>
      <c r="B169" s="39" t="s">
        <v>58</v>
      </c>
      <c r="C169" s="39" t="s">
        <v>439</v>
      </c>
      <c r="D169" s="39" t="s">
        <v>19</v>
      </c>
      <c r="E169" s="1">
        <v>1</v>
      </c>
      <c r="F169" s="40">
        <v>23000</v>
      </c>
      <c r="G169" s="40">
        <f>Table6891011121314[[#This Row],[Rate /Trips]]*Table6891011121314[[#This Row],[Trips]]</f>
        <v>23000</v>
      </c>
      <c r="H169" s="40"/>
      <c r="I169" s="40">
        <f>Table6891011121314[[#This Row],[Total Value]]-Table6891011121314[[#This Row],[Received]]</f>
        <v>23000</v>
      </c>
      <c r="J169" s="9" t="s">
        <v>529</v>
      </c>
    </row>
    <row r="170" spans="1:10">
      <c r="A170" s="36">
        <v>46015</v>
      </c>
      <c r="B170" s="39" t="s">
        <v>381</v>
      </c>
      <c r="C170" s="39" t="s">
        <v>110</v>
      </c>
      <c r="D170" s="39" t="s">
        <v>413</v>
      </c>
      <c r="E170" s="1">
        <v>1</v>
      </c>
      <c r="F170" s="40">
        <v>23000</v>
      </c>
      <c r="G170" s="40">
        <f>Table6891011121314[[#This Row],[Rate /Trips]]*Table6891011121314[[#This Row],[Trips]]</f>
        <v>23000</v>
      </c>
      <c r="H170" s="40"/>
      <c r="I170" s="40">
        <f>Table6891011121314[[#This Row],[Total Value]]-Table6891011121314[[#This Row],[Received]]</f>
        <v>23000</v>
      </c>
      <c r="J170" s="9" t="s">
        <v>501</v>
      </c>
    </row>
    <row r="171" spans="1:10">
      <c r="A171" s="36">
        <v>46016</v>
      </c>
      <c r="B171" s="39" t="s">
        <v>58</v>
      </c>
      <c r="C171" s="39" t="s">
        <v>442</v>
      </c>
      <c r="D171" s="39" t="s">
        <v>443</v>
      </c>
      <c r="E171" s="1">
        <v>1</v>
      </c>
      <c r="F171" s="40">
        <v>24000</v>
      </c>
      <c r="G171" s="40">
        <f>Table6891011121314[[#This Row],[Rate /Trips]]*Table6891011121314[[#This Row],[Trips]]</f>
        <v>24000</v>
      </c>
      <c r="H171" s="40"/>
      <c r="I171" s="40">
        <f>Table6891011121314[[#This Row],[Total Value]]-Table6891011121314[[#This Row],[Received]]</f>
        <v>24000</v>
      </c>
      <c r="J171" s="9" t="s">
        <v>530</v>
      </c>
    </row>
    <row r="172" spans="1:10">
      <c r="A172" s="36">
        <v>46016</v>
      </c>
      <c r="B172" s="39" t="s">
        <v>381</v>
      </c>
      <c r="C172" s="39" t="s">
        <v>405</v>
      </c>
      <c r="D172" s="39" t="s">
        <v>47</v>
      </c>
      <c r="E172" s="1">
        <v>1</v>
      </c>
      <c r="F172" s="40">
        <v>28000</v>
      </c>
      <c r="G172" s="40">
        <f>Table6891011121314[[#This Row],[Rate /Trips]]*Table6891011121314[[#This Row],[Trips]]</f>
        <v>28000</v>
      </c>
      <c r="H172" s="40"/>
      <c r="I172" s="40">
        <f>Table6891011121314[[#This Row],[Total Value]]-Table6891011121314[[#This Row],[Received]]</f>
        <v>28000</v>
      </c>
      <c r="J172" s="9" t="s">
        <v>531</v>
      </c>
    </row>
    <row r="173" spans="1:10">
      <c r="A173" s="36">
        <v>46017</v>
      </c>
      <c r="B173" s="39" t="s">
        <v>445</v>
      </c>
      <c r="C173" s="39" t="s">
        <v>415</v>
      </c>
      <c r="D173" s="39" t="s">
        <v>423</v>
      </c>
      <c r="E173" s="1">
        <v>4</v>
      </c>
      <c r="F173" s="40">
        <v>23500</v>
      </c>
      <c r="G173" s="40">
        <f>Table6891011121314[[#This Row],[Rate /Trips]]*Table6891011121314[[#This Row],[Trips]]</f>
        <v>94000</v>
      </c>
      <c r="H173" s="40"/>
      <c r="I173" s="40">
        <f>Table6891011121314[[#This Row],[Total Value]]-Table6891011121314[[#This Row],[Received]]</f>
        <v>94000</v>
      </c>
      <c r="J173" s="9" t="s">
        <v>532</v>
      </c>
    </row>
    <row r="174" spans="1:10">
      <c r="A174" s="36">
        <v>46018</v>
      </c>
      <c r="B174" s="39" t="s">
        <v>447</v>
      </c>
      <c r="C174" s="39" t="s">
        <v>110</v>
      </c>
      <c r="D174" s="39" t="s">
        <v>388</v>
      </c>
      <c r="E174" s="1">
        <v>2</v>
      </c>
      <c r="F174" s="40">
        <v>23000</v>
      </c>
      <c r="G174" s="40">
        <f>Table6891011121314[[#This Row],[Rate /Trips]]*Table6891011121314[[#This Row],[Trips]]</f>
        <v>46000</v>
      </c>
      <c r="H174" s="40"/>
      <c r="I174" s="40">
        <f>Table6891011121314[[#This Row],[Total Value]]-Table6891011121314[[#This Row],[Received]]</f>
        <v>46000</v>
      </c>
      <c r="J174" s="9" t="s">
        <v>502</v>
      </c>
    </row>
    <row r="175" spans="1:10">
      <c r="A175" s="36">
        <v>46019</v>
      </c>
      <c r="B175" s="39" t="s">
        <v>58</v>
      </c>
      <c r="C175" s="39" t="s">
        <v>110</v>
      </c>
      <c r="D175" s="39" t="s">
        <v>388</v>
      </c>
      <c r="E175" s="1">
        <v>1</v>
      </c>
      <c r="F175" s="40">
        <v>23000</v>
      </c>
      <c r="G175" s="40">
        <f>Table6891011121314[[#This Row],[Rate /Trips]]*Table6891011121314[[#This Row],[Trips]]</f>
        <v>23000</v>
      </c>
      <c r="H175" s="40"/>
      <c r="I175" s="40">
        <f>Table6891011121314[[#This Row],[Total Value]]-Table6891011121314[[#This Row],[Received]]</f>
        <v>23000</v>
      </c>
      <c r="J175" s="9" t="s">
        <v>501</v>
      </c>
    </row>
    <row r="176" spans="1:10">
      <c r="A176" s="36">
        <v>46020</v>
      </c>
      <c r="B176" s="39" t="s">
        <v>58</v>
      </c>
      <c r="C176" s="39" t="s">
        <v>110</v>
      </c>
      <c r="D176" s="39" t="s">
        <v>388</v>
      </c>
      <c r="E176" s="1">
        <v>1</v>
      </c>
      <c r="F176" s="40">
        <v>23000</v>
      </c>
      <c r="G176" s="40">
        <f>Table6891011121314[[#This Row],[Rate /Trips]]*Table6891011121314[[#This Row],[Trips]]</f>
        <v>23000</v>
      </c>
      <c r="H176" s="40"/>
      <c r="I176" s="40">
        <f>Table6891011121314[[#This Row],[Total Value]]-Table6891011121314[[#This Row],[Received]]</f>
        <v>23000</v>
      </c>
      <c r="J176" s="9" t="s">
        <v>501</v>
      </c>
    </row>
    <row r="177" spans="1:10">
      <c r="A177" s="36">
        <v>46021</v>
      </c>
      <c r="B177" s="39" t="s">
        <v>381</v>
      </c>
      <c r="C177" s="39" t="s">
        <v>80</v>
      </c>
      <c r="D177" s="39" t="s">
        <v>208</v>
      </c>
      <c r="E177" s="1">
        <v>1</v>
      </c>
      <c r="F177" s="40">
        <v>27000</v>
      </c>
      <c r="G177" s="40">
        <f>Table6891011121314[[#This Row],[Rate /Trips]]*Table6891011121314[[#This Row],[Trips]]</f>
        <v>27000</v>
      </c>
      <c r="H177" s="40"/>
      <c r="I177" s="40">
        <f>Table6891011121314[[#This Row],[Total Value]]-Table6891011121314[[#This Row],[Received]]</f>
        <v>27000</v>
      </c>
      <c r="J177" s="9" t="s">
        <v>524</v>
      </c>
    </row>
    <row r="178" spans="1:10">
      <c r="A178" s="36">
        <v>46022</v>
      </c>
      <c r="B178" s="39" t="s">
        <v>447</v>
      </c>
      <c r="C178" s="39" t="s">
        <v>110</v>
      </c>
      <c r="D178" s="39" t="s">
        <v>388</v>
      </c>
      <c r="E178" s="1">
        <v>2</v>
      </c>
      <c r="F178" s="40">
        <v>23000</v>
      </c>
      <c r="G178" s="40">
        <f>Table6891011121314[[#This Row],[Rate /Trips]]*Table6891011121314[[#This Row],[Trips]]</f>
        <v>46000</v>
      </c>
      <c r="H178" s="40"/>
      <c r="I178" s="40">
        <f>Table6891011121314[[#This Row],[Total Value]]-Table6891011121314[[#This Row],[Received]]</f>
        <v>46000</v>
      </c>
      <c r="J178" s="9" t="s">
        <v>502</v>
      </c>
    </row>
    <row r="179" spans="1:10">
      <c r="A179" s="36">
        <v>46022</v>
      </c>
      <c r="B179" s="39" t="s">
        <v>448</v>
      </c>
      <c r="C179" s="39" t="s">
        <v>80</v>
      </c>
      <c r="D179" s="39" t="s">
        <v>208</v>
      </c>
      <c r="E179" s="1">
        <v>3</v>
      </c>
      <c r="F179" s="40">
        <v>27000</v>
      </c>
      <c r="G179" s="40">
        <f>Table6891011121314[[#This Row],[Rate /Trips]]*Table6891011121314[[#This Row],[Trips]]</f>
        <v>81000</v>
      </c>
      <c r="H179" s="40"/>
      <c r="I179" s="40">
        <f>Table6891011121314[[#This Row],[Total Value]]-Table6891011121314[[#This Row],[Received]]</f>
        <v>81000</v>
      </c>
      <c r="J179" s="9" t="s">
        <v>533</v>
      </c>
    </row>
    <row r="180" spans="1:10">
      <c r="A180" s="36">
        <v>46022</v>
      </c>
      <c r="B180" s="39" t="s">
        <v>58</v>
      </c>
      <c r="C180" s="39" t="s">
        <v>249</v>
      </c>
      <c r="D180" s="39" t="s">
        <v>11</v>
      </c>
      <c r="E180" s="1">
        <v>1</v>
      </c>
      <c r="F180" s="40">
        <v>29000</v>
      </c>
      <c r="G180" s="40">
        <f>Table6891011121314[[#This Row],[Rate /Trips]]*Table6891011121314[[#This Row],[Trips]]</f>
        <v>29000</v>
      </c>
      <c r="H180" s="40"/>
      <c r="I180" s="40">
        <f>Table6891011121314[[#This Row],[Total Value]]-Table6891011121314[[#This Row],[Received]]</f>
        <v>29000</v>
      </c>
      <c r="J180" s="9" t="s">
        <v>534</v>
      </c>
    </row>
    <row r="181" spans="1:10">
      <c r="A181" s="36"/>
      <c r="B181" s="39"/>
      <c r="C181" s="39"/>
      <c r="D181" s="39"/>
      <c r="E181" s="1"/>
      <c r="F181" s="40"/>
      <c r="G181" s="50"/>
      <c r="H181" s="40"/>
      <c r="I181" s="50"/>
      <c r="J181" s="9"/>
    </row>
    <row r="182" spans="1:10">
      <c r="A182" s="36"/>
      <c r="B182" s="39"/>
      <c r="C182" s="39"/>
      <c r="D182" s="39"/>
      <c r="E182" s="1"/>
      <c r="F182" s="40"/>
      <c r="G182" s="50"/>
      <c r="H182" s="40"/>
      <c r="I182" s="50"/>
      <c r="J182" s="9"/>
    </row>
    <row r="183" spans="1:10" ht="21">
      <c r="D183" s="13"/>
      <c r="E183" s="14" t="s">
        <v>78</v>
      </c>
      <c r="F183" s="15"/>
      <c r="G183" s="16" t="s">
        <v>289</v>
      </c>
      <c r="H183" s="16" t="s">
        <v>291</v>
      </c>
      <c r="I183" s="16" t="s">
        <v>61</v>
      </c>
    </row>
    <row r="184" spans="1:10" ht="21">
      <c r="D184" s="17" t="s">
        <v>292</v>
      </c>
      <c r="E184" s="18">
        <f>SUM(E4:E182)</f>
        <v>195</v>
      </c>
      <c r="F184" s="19"/>
      <c r="G184" s="20">
        <f>SUM(G4:G182)</f>
        <v>5639500</v>
      </c>
      <c r="H184" s="20">
        <f>SUM(H4:H182)</f>
        <v>435600</v>
      </c>
      <c r="I184" s="20">
        <f>SUM(I4:I182)</f>
        <v>5203900</v>
      </c>
    </row>
    <row r="185" spans="1:10" ht="45" customHeight="1">
      <c r="A185" s="66" t="s">
        <v>295</v>
      </c>
      <c r="B185" s="66"/>
      <c r="C185" s="66"/>
      <c r="D185" s="21"/>
      <c r="E185" s="21"/>
      <c r="F185" s="21"/>
      <c r="G185" s="21"/>
      <c r="H185" s="21"/>
      <c r="I185" s="21"/>
    </row>
  </sheetData>
  <mergeCells count="3">
    <mergeCell ref="A1:J1"/>
    <mergeCell ref="A2:J2"/>
    <mergeCell ref="A185:C185"/>
  </mergeCells>
  <phoneticPr fontId="10" type="noConversion"/>
  <conditionalFormatting sqref="J4:J78">
    <cfRule type="containsText" dxfId="11" priority="1" operator="containsText" text="✅">
      <formula>NOT(ISERROR(SEARCH("✅",J4)))</formula>
    </cfRule>
    <cfRule type="containsText" dxfId="10" priority="2" operator="containsText" text="ℹ️">
      <formula>NOT(ISERROR(SEARCH("ℹ️",J4)))</formula>
    </cfRule>
    <cfRule type="containsText" dxfId="9" priority="3" operator="containsText" text="⚠️">
      <formula>NOT(ISERROR(SEARCH("⚠️",J4)))</formula>
    </cfRule>
    <cfRule type="containsText" dxfId="8" priority="4" operator="containsText" text="🚨">
      <formula>NOT(ISERROR(SEARCH("🚨",J4)))</formula>
    </cfRule>
  </conditionalFormatting>
  <conditionalFormatting sqref="J79:J185">
    <cfRule type="containsText" dxfId="7" priority="53" operator="containsText" text="✅">
      <formula>NOT(ISERROR(SEARCH("✅",J79)))</formula>
    </cfRule>
    <cfRule type="containsText" dxfId="6" priority="54" operator="containsText" text="ℹ️">
      <formula>NOT(ISERROR(SEARCH("ℹ️",J79)))</formula>
    </cfRule>
    <cfRule type="containsText" dxfId="5" priority="55" operator="containsText" text="⚠️">
      <formula>NOT(ISERROR(SEARCH("⚠️",J79)))</formula>
    </cfRule>
    <cfRule type="containsText" dxfId="4" priority="56" operator="containsText" text="🚨">
      <formula>NOT(ISERROR(SEARCH("🚨",J79)))</formula>
    </cfRule>
  </conditionalFormatting>
  <conditionalFormatting sqref="L199:L200">
    <cfRule type="containsText" dxfId="3" priority="49" operator="containsText" text="✅">
      <formula>NOT(ISERROR(SEARCH("✅",L199)))</formula>
    </cfRule>
    <cfRule type="containsText" dxfId="2" priority="50" operator="containsText" text="ℹ️">
      <formula>NOT(ISERROR(SEARCH("ℹ️",L199)))</formula>
    </cfRule>
    <cfRule type="containsText" dxfId="1" priority="51" operator="containsText" text="⚠️">
      <formula>NOT(ISERROR(SEARCH("⚠️",L199)))</formula>
    </cfRule>
    <cfRule type="containsText" dxfId="0" priority="52" operator="containsText" text="🚨">
      <formula>NOT(ISERROR(SEARCH("🚨",L199)))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Pending Amount Including All</vt:lpstr>
      <vt:lpstr>January!Print_Titles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Sahil Waghmare</cp:lastModifiedBy>
  <cp:lastPrinted>2025-11-15T13:47:11Z</cp:lastPrinted>
  <dcterms:created xsi:type="dcterms:W3CDTF">2015-06-05T18:17:20Z</dcterms:created>
  <dcterms:modified xsi:type="dcterms:W3CDTF">2026-08-15T20:31:39Z</dcterms:modified>
</cp:coreProperties>
</file>