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sahilwaghmare/Desktop/Data Transfer 2024 Raj Construction/"/>
    </mc:Choice>
  </mc:AlternateContent>
  <xr:revisionPtr revIDLastSave="0" documentId="13_ncr:1_{A25C5533-355A-DA45-ADAF-B4066773C891}" xr6:coauthVersionLast="47" xr6:coauthVersionMax="47" xr10:uidLastSave="{00000000-0000-0000-0000-000000000000}"/>
  <bookViews>
    <workbookView xWindow="0" yWindow="780" windowWidth="36000" windowHeight="22600" activeTab="11" xr2:uid="{00000000-000D-0000-FFFF-FFFF00000000}"/>
  </bookViews>
  <sheets>
    <sheet name="January" sheetId="1" r:id="rId1"/>
    <sheet name="February" sheetId="2" r:id="rId2"/>
    <sheet name="March" sheetId="3" r:id="rId3"/>
    <sheet name="April" sheetId="4" r:id="rId4"/>
    <sheet name="May" sheetId="7" r:id="rId5"/>
    <sheet name="June" sheetId="8" r:id="rId6"/>
    <sheet name="July" sheetId="9" r:id="rId7"/>
    <sheet name="August" sheetId="10" r:id="rId8"/>
    <sheet name="September" sheetId="11" r:id="rId9"/>
    <sheet name="October" sheetId="12" r:id="rId10"/>
    <sheet name="November" sheetId="13" r:id="rId11"/>
    <sheet name="December" sheetId="15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17" i="15"/>
  <c r="H17" i="15" s="1"/>
  <c r="I17" i="15" s="1"/>
  <c r="F19" i="15"/>
  <c r="H19" i="15" s="1"/>
  <c r="I19" i="15" s="1"/>
  <c r="D92" i="15"/>
  <c r="H40" i="15"/>
  <c r="F13" i="15"/>
  <c r="H13" i="15" s="1"/>
  <c r="I13" i="15" s="1"/>
  <c r="F18" i="15"/>
  <c r="H18" i="15" s="1"/>
  <c r="I18" i="15" s="1"/>
  <c r="F25" i="15"/>
  <c r="H25" i="15" s="1"/>
  <c r="I25" i="15" s="1"/>
  <c r="F6" i="15"/>
  <c r="H6" i="15" s="1"/>
  <c r="I6" i="15" s="1"/>
  <c r="F14" i="15"/>
  <c r="H14" i="15" s="1"/>
  <c r="I14" i="15" s="1"/>
  <c r="F17" i="13"/>
  <c r="H17" i="13" s="1"/>
  <c r="F32" i="13"/>
  <c r="H32" i="13" s="1"/>
  <c r="I32" i="13" s="1"/>
  <c r="F9" i="13"/>
  <c r="H9" i="13" s="1"/>
  <c r="I9" i="13" s="1"/>
  <c r="F12" i="13"/>
  <c r="H12" i="13" s="1"/>
  <c r="I12" i="13" s="1"/>
  <c r="F30" i="13"/>
  <c r="H30" i="13" s="1"/>
  <c r="I30" i="13" s="1"/>
  <c r="F31" i="13"/>
  <c r="H31" i="13" s="1"/>
  <c r="I31" i="13" s="1"/>
  <c r="F11" i="13"/>
  <c r="H11" i="13" s="1"/>
  <c r="I11" i="13" s="1"/>
  <c r="I17" i="13" l="1"/>
  <c r="F27" i="13"/>
  <c r="H27" i="13" s="1"/>
  <c r="I27" i="13" s="1"/>
  <c r="F22" i="13"/>
  <c r="H22" i="13" s="1"/>
  <c r="I22" i="13" s="1"/>
  <c r="F24" i="13"/>
  <c r="H24" i="13" s="1"/>
  <c r="I24" i="13" s="1"/>
  <c r="F28" i="13"/>
  <c r="H28" i="13" s="1"/>
  <c r="I28" i="13" s="1"/>
  <c r="F33" i="13"/>
  <c r="H33" i="13" s="1"/>
  <c r="I33" i="13" s="1"/>
  <c r="F6" i="13"/>
  <c r="H6" i="13" s="1"/>
  <c r="I6" i="13" s="1"/>
  <c r="F25" i="12"/>
  <c r="H25" i="12" s="1"/>
  <c r="I25" i="12" s="1"/>
  <c r="F24" i="12"/>
  <c r="H24" i="12" s="1"/>
  <c r="I24" i="12" s="1"/>
  <c r="F18" i="12"/>
  <c r="H18" i="12" s="1"/>
  <c r="I18" i="12" s="1"/>
  <c r="F16" i="12"/>
  <c r="H16" i="12" s="1"/>
  <c r="I16" i="12" s="1"/>
  <c r="F14" i="12" l="1"/>
  <c r="H14" i="12" s="1"/>
  <c r="I14" i="12" s="1"/>
  <c r="F12" i="12"/>
  <c r="H12" i="12" s="1"/>
  <c r="I12" i="12" s="1"/>
  <c r="F11" i="12"/>
  <c r="H11" i="12" s="1"/>
  <c r="I11" i="12" s="1"/>
  <c r="F10" i="12"/>
  <c r="H10" i="12" s="1"/>
  <c r="I10" i="12" s="1"/>
  <c r="F8" i="12"/>
  <c r="H8" i="12" s="1"/>
  <c r="I8" i="12" s="1"/>
  <c r="F7" i="12"/>
  <c r="H7" i="12" s="1"/>
  <c r="I7" i="12" s="1"/>
  <c r="G45" i="15"/>
  <c r="D45" i="15"/>
  <c r="F9" i="15"/>
  <c r="H9" i="15" s="1"/>
  <c r="I9" i="15" s="1"/>
  <c r="F5" i="15"/>
  <c r="H5" i="15" s="1"/>
  <c r="I5" i="15" s="1"/>
  <c r="F26" i="15"/>
  <c r="H26" i="15" s="1"/>
  <c r="I26" i="15" s="1"/>
  <c r="F23" i="15"/>
  <c r="H23" i="15" s="1"/>
  <c r="I23" i="15" s="1"/>
  <c r="F8" i="15"/>
  <c r="H8" i="15" s="1"/>
  <c r="I8" i="15" s="1"/>
  <c r="F4" i="15"/>
  <c r="H4" i="15" s="1"/>
  <c r="I4" i="15" s="1"/>
  <c r="F22" i="15"/>
  <c r="H22" i="15" s="1"/>
  <c r="I22" i="15" s="1"/>
  <c r="F15" i="15"/>
  <c r="H15" i="15" s="1"/>
  <c r="I15" i="15" s="1"/>
  <c r="F7" i="15"/>
  <c r="H7" i="15" s="1"/>
  <c r="I7" i="15" s="1"/>
  <c r="F12" i="15"/>
  <c r="H12" i="15" s="1"/>
  <c r="I12" i="15" s="1"/>
  <c r="F10" i="15"/>
  <c r="H10" i="15" s="1"/>
  <c r="I10" i="15" s="1"/>
  <c r="F24" i="15"/>
  <c r="H24" i="15" s="1"/>
  <c r="I24" i="15" s="1"/>
  <c r="F16" i="15"/>
  <c r="H16" i="15" s="1"/>
  <c r="I16" i="15" s="1"/>
  <c r="F11" i="15"/>
  <c r="H11" i="15" s="1"/>
  <c r="I11" i="15" s="1"/>
  <c r="F21" i="15"/>
  <c r="H21" i="15" s="1"/>
  <c r="I21" i="15" s="1"/>
  <c r="F20" i="15"/>
  <c r="H20" i="15" s="1"/>
  <c r="I20" i="15" s="1"/>
  <c r="D142" i="13"/>
  <c r="G56" i="13"/>
  <c r="D56" i="13"/>
  <c r="F18" i="13"/>
  <c r="H18" i="13" s="1"/>
  <c r="I18" i="13" s="1"/>
  <c r="F21" i="13"/>
  <c r="H21" i="13" s="1"/>
  <c r="I21" i="13" s="1"/>
  <c r="F8" i="13"/>
  <c r="H8" i="13" s="1"/>
  <c r="I8" i="13" s="1"/>
  <c r="F13" i="13"/>
  <c r="H13" i="13" s="1"/>
  <c r="I13" i="13" s="1"/>
  <c r="F16" i="13"/>
  <c r="H16" i="13" s="1"/>
  <c r="I16" i="13" s="1"/>
  <c r="F7" i="13"/>
  <c r="H7" i="13" s="1"/>
  <c r="I7" i="13" s="1"/>
  <c r="F26" i="13"/>
  <c r="F34" i="13"/>
  <c r="H34" i="13" s="1"/>
  <c r="I34" i="13" s="1"/>
  <c r="F15" i="13"/>
  <c r="H15" i="13" s="1"/>
  <c r="I15" i="13" s="1"/>
  <c r="F20" i="13"/>
  <c r="H20" i="13" s="1"/>
  <c r="I20" i="13" s="1"/>
  <c r="F5" i="13"/>
  <c r="H5" i="13" s="1"/>
  <c r="I5" i="13" s="1"/>
  <c r="F19" i="13"/>
  <c r="H19" i="13" s="1"/>
  <c r="I19" i="13" s="1"/>
  <c r="F29" i="13"/>
  <c r="H29" i="13" s="1"/>
  <c r="I29" i="13" s="1"/>
  <c r="F4" i="13"/>
  <c r="H4" i="13" s="1"/>
  <c r="I4" i="13" s="1"/>
  <c r="F25" i="13"/>
  <c r="H25" i="13" s="1"/>
  <c r="I25" i="13" s="1"/>
  <c r="F14" i="13"/>
  <c r="H14" i="13" s="1"/>
  <c r="I14" i="13" s="1"/>
  <c r="F10" i="13"/>
  <c r="H10" i="13" s="1"/>
  <c r="I10" i="13" s="1"/>
  <c r="F23" i="13"/>
  <c r="H23" i="13" s="1"/>
  <c r="I23" i="13" s="1"/>
  <c r="F4" i="12"/>
  <c r="H4" i="12" s="1"/>
  <c r="I4" i="12" s="1"/>
  <c r="F5" i="12"/>
  <c r="H5" i="12" s="1"/>
  <c r="I5" i="12" s="1"/>
  <c r="F6" i="12"/>
  <c r="H6" i="12" s="1"/>
  <c r="I6" i="12" s="1"/>
  <c r="F9" i="12"/>
  <c r="H9" i="12" s="1"/>
  <c r="I9" i="12" s="1"/>
  <c r="F13" i="12"/>
  <c r="H13" i="12" s="1"/>
  <c r="I13" i="12" s="1"/>
  <c r="F15" i="12"/>
  <c r="H15" i="12" s="1"/>
  <c r="I15" i="12" s="1"/>
  <c r="F17" i="12"/>
  <c r="H17" i="12" s="1"/>
  <c r="I17" i="12" s="1"/>
  <c r="F19" i="12"/>
  <c r="H19" i="12" s="1"/>
  <c r="I19" i="12" s="1"/>
  <c r="F20" i="12"/>
  <c r="H20" i="12" s="1"/>
  <c r="I20" i="12" s="1"/>
  <c r="F21" i="12"/>
  <c r="H21" i="12" s="1"/>
  <c r="I21" i="12" s="1"/>
  <c r="F22" i="12"/>
  <c r="H22" i="12" s="1"/>
  <c r="I22" i="12" s="1"/>
  <c r="F23" i="12"/>
  <c r="H23" i="12" s="1"/>
  <c r="I23" i="12" s="1"/>
  <c r="F26" i="12"/>
  <c r="H26" i="12" s="1"/>
  <c r="I26" i="12" s="1"/>
  <c r="F27" i="12"/>
  <c r="H27" i="12" s="1"/>
  <c r="I27" i="12" s="1"/>
  <c r="F28" i="12"/>
  <c r="H28" i="12" s="1"/>
  <c r="I28" i="12" s="1"/>
  <c r="D101" i="12"/>
  <c r="G46" i="12"/>
  <c r="D46" i="12"/>
  <c r="H10" i="1"/>
  <c r="I10" i="1" s="1"/>
  <c r="F9" i="1"/>
  <c r="H9" i="1" s="1"/>
  <c r="I9" i="1" s="1"/>
  <c r="D56" i="1"/>
  <c r="G20" i="1"/>
  <c r="D20" i="1"/>
  <c r="H11" i="1"/>
  <c r="I11" i="1" s="1"/>
  <c r="F8" i="1"/>
  <c r="H8" i="1" s="1"/>
  <c r="I8" i="1" s="1"/>
  <c r="F7" i="1"/>
  <c r="H7" i="1" s="1"/>
  <c r="I7" i="1" s="1"/>
  <c r="F6" i="1"/>
  <c r="H6" i="1" s="1"/>
  <c r="I6" i="1" s="1"/>
  <c r="F5" i="1"/>
  <c r="H5" i="1" s="1"/>
  <c r="I5" i="1" s="1"/>
  <c r="F4" i="1"/>
  <c r="H4" i="1" s="1"/>
  <c r="I4" i="1" s="1"/>
  <c r="H26" i="13" l="1"/>
  <c r="I26" i="13" s="1"/>
  <c r="F45" i="15"/>
  <c r="H45" i="15"/>
  <c r="F56" i="13"/>
  <c r="F46" i="12"/>
  <c r="H20" i="1"/>
  <c r="F20" i="1"/>
  <c r="F35" i="11"/>
  <c r="H35" i="11" s="1"/>
  <c r="I35" i="11" s="1"/>
  <c r="F33" i="11"/>
  <c r="H33" i="11" s="1"/>
  <c r="I33" i="11" s="1"/>
  <c r="F34" i="11"/>
  <c r="H34" i="11" s="1"/>
  <c r="I34" i="11" s="1"/>
  <c r="F5" i="2"/>
  <c r="H5" i="2" s="1"/>
  <c r="I5" i="2" s="1"/>
  <c r="F6" i="2"/>
  <c r="H6" i="2" s="1"/>
  <c r="I6" i="2" s="1"/>
  <c r="F7" i="2"/>
  <c r="H7" i="2" s="1"/>
  <c r="I7" i="2" s="1"/>
  <c r="F8" i="2"/>
  <c r="H8" i="2" s="1"/>
  <c r="I8" i="2" s="1"/>
  <c r="F9" i="2"/>
  <c r="H9" i="2" s="1"/>
  <c r="I9" i="2" s="1"/>
  <c r="F10" i="2"/>
  <c r="H10" i="2" s="1"/>
  <c r="I10" i="2" s="1"/>
  <c r="F11" i="2"/>
  <c r="H11" i="2" s="1"/>
  <c r="I11" i="2" s="1"/>
  <c r="F12" i="2"/>
  <c r="H12" i="2" s="1"/>
  <c r="I12" i="2" s="1"/>
  <c r="F13" i="2"/>
  <c r="H13" i="2" s="1"/>
  <c r="I13" i="2" s="1"/>
  <c r="F14" i="2"/>
  <c r="H14" i="2" s="1"/>
  <c r="I14" i="2" s="1"/>
  <c r="F15" i="2"/>
  <c r="H15" i="2" s="1"/>
  <c r="I15" i="2" s="1"/>
  <c r="F16" i="2"/>
  <c r="H16" i="2" s="1"/>
  <c r="I16" i="2" s="1"/>
  <c r="D58" i="2"/>
  <c r="G26" i="2"/>
  <c r="D26" i="2"/>
  <c r="F4" i="2"/>
  <c r="H4" i="2" s="1"/>
  <c r="H56" i="13" l="1"/>
  <c r="H46" i="12"/>
  <c r="F26" i="2"/>
  <c r="I4" i="2"/>
  <c r="H26" i="2" l="1"/>
  <c r="F7" i="3" l="1"/>
  <c r="H7" i="3" s="1"/>
  <c r="I7" i="3" s="1"/>
  <c r="F8" i="3"/>
  <c r="H8" i="3" s="1"/>
  <c r="I8" i="3" s="1"/>
  <c r="F9" i="3"/>
  <c r="H9" i="3" s="1"/>
  <c r="I9" i="3" s="1"/>
  <c r="F10" i="3"/>
  <c r="H10" i="3" s="1"/>
  <c r="I10" i="3" s="1"/>
  <c r="F11" i="3"/>
  <c r="H11" i="3" s="1"/>
  <c r="I11" i="3" s="1"/>
  <c r="F12" i="3"/>
  <c r="H12" i="3" s="1"/>
  <c r="I12" i="3" s="1"/>
  <c r="F13" i="3"/>
  <c r="H13" i="3" s="1"/>
  <c r="I13" i="3" s="1"/>
  <c r="F14" i="3"/>
  <c r="H14" i="3" s="1"/>
  <c r="I14" i="3" s="1"/>
  <c r="F5" i="3"/>
  <c r="H5" i="3" s="1"/>
  <c r="I5" i="3" s="1"/>
  <c r="D64" i="3"/>
  <c r="G22" i="3"/>
  <c r="D22" i="3"/>
  <c r="F6" i="3"/>
  <c r="H6" i="3" s="1"/>
  <c r="I6" i="3" s="1"/>
  <c r="F4" i="3"/>
  <c r="H4" i="3" s="1"/>
  <c r="I4" i="3" s="1"/>
  <c r="I22" i="4"/>
  <c r="F15" i="4"/>
  <c r="H15" i="4" s="1"/>
  <c r="I15" i="4" s="1"/>
  <c r="F16" i="4"/>
  <c r="H16" i="4" s="1"/>
  <c r="I16" i="4" s="1"/>
  <c r="F17" i="4"/>
  <c r="H17" i="4" s="1"/>
  <c r="I17" i="4" s="1"/>
  <c r="F9" i="4"/>
  <c r="H9" i="4" s="1"/>
  <c r="I9" i="4" s="1"/>
  <c r="F6" i="4"/>
  <c r="H6" i="4" s="1"/>
  <c r="I6" i="4" s="1"/>
  <c r="F7" i="4"/>
  <c r="H7" i="4" s="1"/>
  <c r="I7" i="4" s="1"/>
  <c r="F4" i="4"/>
  <c r="H4" i="4" s="1"/>
  <c r="I4" i="4" s="1"/>
  <c r="F5" i="4"/>
  <c r="H5" i="4" s="1"/>
  <c r="I5" i="4" s="1"/>
  <c r="F8" i="4"/>
  <c r="H8" i="4" s="1"/>
  <c r="I8" i="4" s="1"/>
  <c r="F10" i="4"/>
  <c r="H10" i="4" s="1"/>
  <c r="I10" i="4" s="1"/>
  <c r="F11" i="4"/>
  <c r="H11" i="4" s="1"/>
  <c r="I11" i="4" s="1"/>
  <c r="F12" i="4"/>
  <c r="H12" i="4" s="1"/>
  <c r="I12" i="4" s="1"/>
  <c r="F13" i="4"/>
  <c r="H13" i="4" s="1"/>
  <c r="I13" i="4" s="1"/>
  <c r="F25" i="4"/>
  <c r="F14" i="4"/>
  <c r="H14" i="4" s="1"/>
  <c r="I14" i="4" s="1"/>
  <c r="D70" i="4"/>
  <c r="G28" i="4"/>
  <c r="D28" i="4"/>
  <c r="D91" i="10"/>
  <c r="D65" i="9"/>
  <c r="F23" i="8"/>
  <c r="H23" i="8" s="1"/>
  <c r="I23" i="8" s="1"/>
  <c r="D80" i="8"/>
  <c r="D95" i="7"/>
  <c r="F29" i="11"/>
  <c r="H29" i="11" s="1"/>
  <c r="F27" i="11"/>
  <c r="H27" i="11" s="1"/>
  <c r="I27" i="11" s="1"/>
  <c r="F25" i="11"/>
  <c r="H25" i="11" s="1"/>
  <c r="I25" i="11" s="1"/>
  <c r="F26" i="11"/>
  <c r="H26" i="11" s="1"/>
  <c r="I26" i="11" s="1"/>
  <c r="F19" i="11"/>
  <c r="H19" i="11" s="1"/>
  <c r="I19" i="11" s="1"/>
  <c r="F23" i="11"/>
  <c r="H23" i="11" s="1"/>
  <c r="I23" i="11" s="1"/>
  <c r="F20" i="11"/>
  <c r="H20" i="11" s="1"/>
  <c r="I20" i="11" s="1"/>
  <c r="F22" i="3" l="1"/>
  <c r="H28" i="4"/>
  <c r="F28" i="4"/>
  <c r="F21" i="11"/>
  <c r="H21" i="11" s="1"/>
  <c r="I21" i="11" s="1"/>
  <c r="F18" i="11"/>
  <c r="H18" i="11" s="1"/>
  <c r="I18" i="11" s="1"/>
  <c r="F13" i="11"/>
  <c r="H13" i="11" s="1"/>
  <c r="I13" i="11" s="1"/>
  <c r="F15" i="11"/>
  <c r="H15" i="11" s="1"/>
  <c r="I15" i="11" s="1"/>
  <c r="F14" i="11"/>
  <c r="H14" i="11" s="1"/>
  <c r="I14" i="11" s="1"/>
  <c r="F8" i="11"/>
  <c r="H8" i="11" s="1"/>
  <c r="I8" i="11" s="1"/>
  <c r="F6" i="11"/>
  <c r="H6" i="11" s="1"/>
  <c r="F10" i="11"/>
  <c r="H10" i="11" s="1"/>
  <c r="I10" i="11" s="1"/>
  <c r="F7" i="11"/>
  <c r="H7" i="11" s="1"/>
  <c r="I7" i="11" s="1"/>
  <c r="F5" i="11"/>
  <c r="H5" i="11" s="1"/>
  <c r="I5" i="11" s="1"/>
  <c r="F4" i="11"/>
  <c r="H4" i="11" s="1"/>
  <c r="F9" i="11"/>
  <c r="H9" i="11" s="1"/>
  <c r="I9" i="11" s="1"/>
  <c r="F11" i="11"/>
  <c r="H11" i="11" s="1"/>
  <c r="F12" i="11"/>
  <c r="H12" i="11" s="1"/>
  <c r="I12" i="11" s="1"/>
  <c r="F16" i="11"/>
  <c r="H16" i="11" s="1"/>
  <c r="I16" i="11" s="1"/>
  <c r="F17" i="11"/>
  <c r="H17" i="11" s="1"/>
  <c r="I17" i="11" s="1"/>
  <c r="F22" i="11"/>
  <c r="H22" i="11" s="1"/>
  <c r="I22" i="11" s="1"/>
  <c r="F24" i="11"/>
  <c r="H24" i="11" s="1"/>
  <c r="I24" i="11" s="1"/>
  <c r="F28" i="11"/>
  <c r="H28" i="11" s="1"/>
  <c r="I28" i="11" s="1"/>
  <c r="I29" i="11"/>
  <c r="F30" i="11"/>
  <c r="H30" i="11" s="1"/>
  <c r="I30" i="11" s="1"/>
  <c r="F31" i="11"/>
  <c r="H31" i="11" s="1"/>
  <c r="I31" i="11" s="1"/>
  <c r="F32" i="11"/>
  <c r="H32" i="11" s="1"/>
  <c r="I32" i="11" s="1"/>
  <c r="D89" i="11"/>
  <c r="G51" i="11"/>
  <c r="D51" i="11"/>
  <c r="F49" i="10"/>
  <c r="H49" i="10" s="1"/>
  <c r="I49" i="10" s="1"/>
  <c r="F46" i="10"/>
  <c r="H46" i="10" s="1"/>
  <c r="I46" i="10" s="1"/>
  <c r="F47" i="10"/>
  <c r="H47" i="10" s="1"/>
  <c r="I47" i="10" s="1"/>
  <c r="F43" i="10"/>
  <c r="H43" i="10" s="1"/>
  <c r="I43" i="10" s="1"/>
  <c r="F44" i="10"/>
  <c r="H44" i="10" s="1"/>
  <c r="I44" i="10" s="1"/>
  <c r="F42" i="10"/>
  <c r="H42" i="10" s="1"/>
  <c r="I42" i="10" s="1"/>
  <c r="F41" i="10"/>
  <c r="H41" i="10" s="1"/>
  <c r="I41" i="10" s="1"/>
  <c r="F45" i="10"/>
  <c r="H45" i="10" s="1"/>
  <c r="I45" i="10" s="1"/>
  <c r="F38" i="10"/>
  <c r="H38" i="10" s="1"/>
  <c r="I38" i="10" s="1"/>
  <c r="F39" i="10"/>
  <c r="H39" i="10" s="1"/>
  <c r="I39" i="10" s="1"/>
  <c r="F40" i="10"/>
  <c r="H40" i="10" s="1"/>
  <c r="I40" i="10" s="1"/>
  <c r="F48" i="10"/>
  <c r="H48" i="10" s="1"/>
  <c r="I48" i="10" s="1"/>
  <c r="F35" i="10"/>
  <c r="H35" i="10" s="1"/>
  <c r="I35" i="10" s="1"/>
  <c r="F36" i="10"/>
  <c r="H36" i="10" s="1"/>
  <c r="I36" i="10" s="1"/>
  <c r="F34" i="10"/>
  <c r="H34" i="10" s="1"/>
  <c r="I34" i="10" s="1"/>
  <c r="F37" i="10"/>
  <c r="H37" i="10" s="1"/>
  <c r="I37" i="10" s="1"/>
  <c r="F29" i="10"/>
  <c r="H29" i="10" s="1"/>
  <c r="I29" i="10" s="1"/>
  <c r="F31" i="10"/>
  <c r="H31" i="10" s="1"/>
  <c r="I31" i="10" s="1"/>
  <c r="F30" i="10"/>
  <c r="H30" i="10" s="1"/>
  <c r="I30" i="10" s="1"/>
  <c r="F33" i="10"/>
  <c r="H33" i="10" s="1"/>
  <c r="I33" i="10" s="1"/>
  <c r="F32" i="10"/>
  <c r="H32" i="10" s="1"/>
  <c r="I32" i="10" s="1"/>
  <c r="F25" i="10"/>
  <c r="H25" i="10" s="1"/>
  <c r="I25" i="10" s="1"/>
  <c r="F26" i="10"/>
  <c r="H26" i="10" s="1"/>
  <c r="I26" i="10" s="1"/>
  <c r="F27" i="10"/>
  <c r="H27" i="10" s="1"/>
  <c r="I27" i="10" s="1"/>
  <c r="F28" i="10"/>
  <c r="H28" i="10" s="1"/>
  <c r="I28" i="10" s="1"/>
  <c r="F23" i="10"/>
  <c r="H23" i="10" s="1"/>
  <c r="I23" i="10" s="1"/>
  <c r="F22" i="10"/>
  <c r="H22" i="10" s="1"/>
  <c r="I22" i="10" s="1"/>
  <c r="F24" i="10"/>
  <c r="H24" i="10" s="1"/>
  <c r="I24" i="10" s="1"/>
  <c r="I28" i="9"/>
  <c r="F19" i="10"/>
  <c r="H19" i="10" s="1"/>
  <c r="I19" i="10" s="1"/>
  <c r="F21" i="10"/>
  <c r="H21" i="10" s="1"/>
  <c r="I21" i="10" s="1"/>
  <c r="F57" i="10"/>
  <c r="H57" i="10" s="1"/>
  <c r="I57" i="10" s="1"/>
  <c r="F20" i="10"/>
  <c r="H20" i="10" s="1"/>
  <c r="I20" i="10" s="1"/>
  <c r="F17" i="10"/>
  <c r="H17" i="10" s="1"/>
  <c r="I17" i="10" s="1"/>
  <c r="F18" i="10"/>
  <c r="H18" i="10" s="1"/>
  <c r="I18" i="10" s="1"/>
  <c r="F15" i="10"/>
  <c r="H15" i="10" s="1"/>
  <c r="I15" i="10" s="1"/>
  <c r="F16" i="10"/>
  <c r="H16" i="10" s="1"/>
  <c r="I16" i="10" s="1"/>
  <c r="F12" i="10"/>
  <c r="H12" i="10" s="1"/>
  <c r="I12" i="10" s="1"/>
  <c r="F14" i="10"/>
  <c r="H14" i="10" s="1"/>
  <c r="I14" i="10" s="1"/>
  <c r="F13" i="10"/>
  <c r="H13" i="10" s="1"/>
  <c r="I13" i="10" s="1"/>
  <c r="F11" i="10"/>
  <c r="H11" i="10" s="1"/>
  <c r="I11" i="10" s="1"/>
  <c r="F6" i="10"/>
  <c r="H6" i="10" s="1"/>
  <c r="I6" i="10" s="1"/>
  <c r="F5" i="10"/>
  <c r="H5" i="10" s="1"/>
  <c r="I5" i="10" s="1"/>
  <c r="F4" i="10"/>
  <c r="H4" i="10" s="1"/>
  <c r="I4" i="10" s="1"/>
  <c r="F9" i="10"/>
  <c r="H9" i="10" s="1"/>
  <c r="I9" i="10" s="1"/>
  <c r="F10" i="10"/>
  <c r="H10" i="10" s="1"/>
  <c r="I10" i="10" s="1"/>
  <c r="F8" i="10"/>
  <c r="H8" i="10" s="1"/>
  <c r="I8" i="10" s="1"/>
  <c r="F7" i="10"/>
  <c r="H7" i="10" s="1"/>
  <c r="I7" i="10" s="1"/>
  <c r="G72" i="10"/>
  <c r="D72" i="10"/>
  <c r="F36" i="9"/>
  <c r="H36" i="9" s="1"/>
  <c r="I36" i="9" s="1"/>
  <c r="F37" i="9"/>
  <c r="H37" i="9" s="1"/>
  <c r="I37" i="9" s="1"/>
  <c r="F35" i="9"/>
  <c r="H35" i="9" s="1"/>
  <c r="I35" i="9" s="1"/>
  <c r="F30" i="9"/>
  <c r="H30" i="9" s="1"/>
  <c r="I30" i="9" s="1"/>
  <c r="H9" i="9"/>
  <c r="I9" i="9" s="1"/>
  <c r="F33" i="9"/>
  <c r="H33" i="9" s="1"/>
  <c r="I33" i="9" s="1"/>
  <c r="F32" i="9"/>
  <c r="H32" i="9" s="1"/>
  <c r="I32" i="9" s="1"/>
  <c r="F34" i="9"/>
  <c r="H34" i="9" s="1"/>
  <c r="I34" i="9" s="1"/>
  <c r="F29" i="9"/>
  <c r="H29" i="9" s="1"/>
  <c r="I29" i="9" s="1"/>
  <c r="F31" i="9"/>
  <c r="H31" i="9" s="1"/>
  <c r="I31" i="9" s="1"/>
  <c r="F8" i="9"/>
  <c r="H8" i="9" s="1"/>
  <c r="F12" i="9"/>
  <c r="H12" i="9" s="1"/>
  <c r="I12" i="9" s="1"/>
  <c r="F10" i="9"/>
  <c r="H10" i="9" s="1"/>
  <c r="I10" i="9" s="1"/>
  <c r="F11" i="9"/>
  <c r="H11" i="9" s="1"/>
  <c r="I11" i="9" s="1"/>
  <c r="F13" i="9"/>
  <c r="H13" i="9" s="1"/>
  <c r="I13" i="9" s="1"/>
  <c r="F25" i="9"/>
  <c r="H25" i="9" s="1"/>
  <c r="I25" i="9" s="1"/>
  <c r="F22" i="9"/>
  <c r="H22" i="9" s="1"/>
  <c r="I22" i="9" s="1"/>
  <c r="F20" i="9"/>
  <c r="H20" i="9" s="1"/>
  <c r="I20" i="9" s="1"/>
  <c r="F24" i="9"/>
  <c r="H24" i="9" s="1"/>
  <c r="I24" i="9" s="1"/>
  <c r="F21" i="9"/>
  <c r="H21" i="9" s="1"/>
  <c r="I21" i="9" s="1"/>
  <c r="F27" i="9"/>
  <c r="H27" i="9" s="1"/>
  <c r="I27" i="9" s="1"/>
  <c r="F26" i="9"/>
  <c r="H26" i="9" s="1"/>
  <c r="I26" i="9" s="1"/>
  <c r="F23" i="9"/>
  <c r="H23" i="9" s="1"/>
  <c r="I23" i="9" s="1"/>
  <c r="F14" i="9"/>
  <c r="H14" i="9" s="1"/>
  <c r="I14" i="9" s="1"/>
  <c r="F15" i="9"/>
  <c r="H15" i="9" s="1"/>
  <c r="I15" i="9" s="1"/>
  <c r="F17" i="9"/>
  <c r="H17" i="9" s="1"/>
  <c r="F19" i="9"/>
  <c r="H19" i="9" s="1"/>
  <c r="I19" i="9" s="1"/>
  <c r="F16" i="9"/>
  <c r="H16" i="9" s="1"/>
  <c r="I16" i="9" s="1"/>
  <c r="F18" i="9"/>
  <c r="H18" i="9" s="1"/>
  <c r="I18" i="9" s="1"/>
  <c r="F7" i="9"/>
  <c r="H7" i="9" s="1"/>
  <c r="I7" i="9" s="1"/>
  <c r="F4" i="9"/>
  <c r="F6" i="9"/>
  <c r="H6" i="9" s="1"/>
  <c r="I6" i="9" s="1"/>
  <c r="F5" i="9"/>
  <c r="H5" i="9" s="1"/>
  <c r="I5" i="9" s="1"/>
  <c r="G51" i="9"/>
  <c r="D51" i="9"/>
  <c r="F20" i="8"/>
  <c r="H20" i="8" s="1"/>
  <c r="I20" i="8" s="1"/>
  <c r="H22" i="3" l="1"/>
  <c r="I6" i="11"/>
  <c r="I11" i="11"/>
  <c r="H51" i="11"/>
  <c r="I4" i="11"/>
  <c r="F51" i="11"/>
  <c r="H72" i="10"/>
  <c r="F72" i="10"/>
  <c r="F51" i="9"/>
  <c r="H4" i="9"/>
  <c r="I4" i="9" s="1"/>
  <c r="F22" i="8"/>
  <c r="H22" i="8" s="1"/>
  <c r="I22" i="8" s="1"/>
  <c r="F21" i="8"/>
  <c r="H21" i="8" s="1"/>
  <c r="I21" i="8" s="1"/>
  <c r="F18" i="8"/>
  <c r="F8" i="8"/>
  <c r="H8" i="8" s="1"/>
  <c r="I8" i="8" s="1"/>
  <c r="G37" i="8"/>
  <c r="D37" i="8"/>
  <c r="F4" i="8"/>
  <c r="H4" i="8" s="1"/>
  <c r="I4" i="8" s="1"/>
  <c r="F5" i="8"/>
  <c r="H5" i="8" s="1"/>
  <c r="I5" i="8" s="1"/>
  <c r="F6" i="8"/>
  <c r="H6" i="8" s="1"/>
  <c r="I6" i="8" s="1"/>
  <c r="F7" i="8"/>
  <c r="H7" i="8" s="1"/>
  <c r="I7" i="8" s="1"/>
  <c r="F9" i="8"/>
  <c r="H9" i="8" s="1"/>
  <c r="I9" i="8" s="1"/>
  <c r="F10" i="8"/>
  <c r="H10" i="8" s="1"/>
  <c r="I10" i="8" s="1"/>
  <c r="F11" i="8"/>
  <c r="H11" i="8" s="1"/>
  <c r="I11" i="8" s="1"/>
  <c r="F12" i="8"/>
  <c r="H12" i="8" s="1"/>
  <c r="I12" i="8" s="1"/>
  <c r="F15" i="8"/>
  <c r="H15" i="8" s="1"/>
  <c r="I15" i="8" s="1"/>
  <c r="F14" i="8"/>
  <c r="H14" i="8" s="1"/>
  <c r="I14" i="8" s="1"/>
  <c r="F13" i="8"/>
  <c r="H13" i="8" s="1"/>
  <c r="I13" i="8" s="1"/>
  <c r="F16" i="8"/>
  <c r="H16" i="8" s="1"/>
  <c r="I16" i="8" s="1"/>
  <c r="F17" i="8"/>
  <c r="H17" i="8" s="1"/>
  <c r="I17" i="8" s="1"/>
  <c r="F19" i="8"/>
  <c r="H19" i="8" s="1"/>
  <c r="I19" i="8" s="1"/>
  <c r="F4" i="7"/>
  <c r="H4" i="7" s="1"/>
  <c r="F5" i="7"/>
  <c r="H5" i="7" s="1"/>
  <c r="I5" i="7" s="1"/>
  <c r="F6" i="7"/>
  <c r="H6" i="7" s="1"/>
  <c r="I6" i="7" s="1"/>
  <c r="F7" i="7"/>
  <c r="H7" i="7" s="1"/>
  <c r="I7" i="7" s="1"/>
  <c r="F8" i="7"/>
  <c r="H8" i="7" s="1"/>
  <c r="I8" i="7" s="1"/>
  <c r="F9" i="7"/>
  <c r="H9" i="7" s="1"/>
  <c r="I9" i="7" s="1"/>
  <c r="F10" i="7"/>
  <c r="H10" i="7" s="1"/>
  <c r="I10" i="7" s="1"/>
  <c r="F11" i="7"/>
  <c r="H11" i="7" s="1"/>
  <c r="I11" i="7" s="1"/>
  <c r="F12" i="7"/>
  <c r="H12" i="7" s="1"/>
  <c r="I12" i="7" s="1"/>
  <c r="F13" i="7"/>
  <c r="H13" i="7" s="1"/>
  <c r="I13" i="7" s="1"/>
  <c r="F14" i="7"/>
  <c r="H14" i="7" s="1"/>
  <c r="I14" i="7" s="1"/>
  <c r="F15" i="7"/>
  <c r="H15" i="7" s="1"/>
  <c r="I15" i="7" s="1"/>
  <c r="F16" i="7"/>
  <c r="H16" i="7" s="1"/>
  <c r="I16" i="7" s="1"/>
  <c r="F17" i="7"/>
  <c r="H17" i="7" s="1"/>
  <c r="I17" i="7" s="1"/>
  <c r="F18" i="7"/>
  <c r="H18" i="7" s="1"/>
  <c r="I18" i="7" s="1"/>
  <c r="F20" i="7"/>
  <c r="H20" i="7" s="1"/>
  <c r="I20" i="7" s="1"/>
  <c r="F21" i="7"/>
  <c r="H21" i="7" s="1"/>
  <c r="I21" i="7" s="1"/>
  <c r="F22" i="7"/>
  <c r="H22" i="7" s="1"/>
  <c r="I22" i="7" s="1"/>
  <c r="F23" i="7"/>
  <c r="H23" i="7" s="1"/>
  <c r="I23" i="7" s="1"/>
  <c r="F24" i="7"/>
  <c r="H24" i="7" s="1"/>
  <c r="I24" i="7" s="1"/>
  <c r="F25" i="7"/>
  <c r="H25" i="7" s="1"/>
  <c r="I25" i="7" s="1"/>
  <c r="F26" i="7"/>
  <c r="H26" i="7" s="1"/>
  <c r="I26" i="7" s="1"/>
  <c r="F27" i="7"/>
  <c r="H27" i="7" s="1"/>
  <c r="I27" i="7" s="1"/>
  <c r="F28" i="7"/>
  <c r="H28" i="7" s="1"/>
  <c r="I28" i="7" s="1"/>
  <c r="F29" i="7"/>
  <c r="H29" i="7" s="1"/>
  <c r="I29" i="7" s="1"/>
  <c r="F30" i="7"/>
  <c r="H30" i="7" s="1"/>
  <c r="I30" i="7" s="1"/>
  <c r="D50" i="7"/>
  <c r="G50" i="7"/>
  <c r="F50" i="7" l="1"/>
  <c r="H51" i="9"/>
  <c r="H18" i="8"/>
  <c r="I18" i="8" s="1"/>
  <c r="F37" i="8"/>
  <c r="H50" i="7"/>
  <c r="I4" i="7"/>
  <c r="H37" i="8" l="1"/>
</calcChain>
</file>

<file path=xl/sharedStrings.xml><?xml version="1.0" encoding="utf-8"?>
<sst xmlns="http://schemas.openxmlformats.org/spreadsheetml/2006/main" count="1442" uniqueCount="336">
  <si>
    <t>Date</t>
  </si>
  <si>
    <t>Trips</t>
  </si>
  <si>
    <t>Balance</t>
  </si>
  <si>
    <t>Vichoda</t>
  </si>
  <si>
    <t>Kosara</t>
  </si>
  <si>
    <t xml:space="preserve">Near Yenurkar House </t>
  </si>
  <si>
    <t>Padoli</t>
  </si>
  <si>
    <t>Total Trips</t>
  </si>
  <si>
    <t>Yashwant Nagar</t>
  </si>
  <si>
    <t>Bandu</t>
  </si>
  <si>
    <t xml:space="preserve">Ataullah </t>
  </si>
  <si>
    <t>Roshan Order</t>
  </si>
  <si>
    <t>Vicoda</t>
  </si>
  <si>
    <t>Sudha Hotel</t>
  </si>
  <si>
    <t>Ataullah</t>
  </si>
  <si>
    <t>Yete</t>
  </si>
  <si>
    <t>Zamare</t>
  </si>
  <si>
    <t>Bondhare</t>
  </si>
  <si>
    <t>Gaurav</t>
  </si>
  <si>
    <t>Narayan Tiles</t>
  </si>
  <si>
    <t>Gautre</t>
  </si>
  <si>
    <t>Chiwande</t>
  </si>
  <si>
    <t>Chambhare</t>
  </si>
  <si>
    <t xml:space="preserve">Gaju Panthela </t>
  </si>
  <si>
    <t>Sakdev</t>
  </si>
  <si>
    <t>Borkute</t>
  </si>
  <si>
    <t>Rachna Ramteke</t>
  </si>
  <si>
    <t>Bondre</t>
  </si>
  <si>
    <t>Devanand Sav</t>
  </si>
  <si>
    <t>Shrisagar</t>
  </si>
  <si>
    <t>2 Trip Rakad Yashwant Nagar</t>
  </si>
  <si>
    <t>Ravi Electrician</t>
  </si>
  <si>
    <t>Anil Khokale</t>
  </si>
  <si>
    <t>Balu Khokale</t>
  </si>
  <si>
    <t>Balu Khokle</t>
  </si>
  <si>
    <t>Shayam Kulmete</t>
  </si>
  <si>
    <t>Raju Manusmare</t>
  </si>
  <si>
    <t>Sandeep Borkhute</t>
  </si>
  <si>
    <t>Daru Ramtake</t>
  </si>
  <si>
    <t>Kamlakar Ramtake</t>
  </si>
  <si>
    <t>Rakesh ramatke</t>
  </si>
  <si>
    <t>Nagendra Gadge</t>
  </si>
  <si>
    <t>Ramchandra Dongre</t>
  </si>
  <si>
    <t>Prem Meshram</t>
  </si>
  <si>
    <t>Nitesh</t>
  </si>
  <si>
    <t>Lakhmapur</t>
  </si>
  <si>
    <t>Jay Amte ( Raj Dad  Order )</t>
  </si>
  <si>
    <t>SaijaBai ( Raj Dad Order )</t>
  </si>
  <si>
    <t>Total Balance</t>
  </si>
  <si>
    <t>Total Received</t>
  </si>
  <si>
    <t>Total Value</t>
  </si>
  <si>
    <t>Padoli ( Raj Dad Order)</t>
  </si>
  <si>
    <t>Kosara ( Raj Dad Order )</t>
  </si>
  <si>
    <t>Vichoda ( Roshan Order )</t>
  </si>
  <si>
    <t>Vichoda (Raj Order )</t>
  </si>
  <si>
    <t>Padoli ( Raj Dad Order )</t>
  </si>
  <si>
    <t>Yashwant Nagar ( Raj Dad Order )]</t>
  </si>
  <si>
    <t>Rundawan ( Raj Dad Order )</t>
  </si>
  <si>
    <t>Vichoda ( Raj Dad Order )</t>
  </si>
  <si>
    <t>Kosara ( Raj Order )</t>
  </si>
  <si>
    <t>Vichoda ( Raj Order )</t>
  </si>
  <si>
    <t>Chowki / Vichoda ( Raj Dad Order )</t>
  </si>
  <si>
    <t>Yashwant Nagar ( Raj Dad Order )</t>
  </si>
  <si>
    <t>Duttnagar ( Raj Dad Order )</t>
  </si>
  <si>
    <t>IMSR ( Raj Order )</t>
  </si>
  <si>
    <t>Paid / Urgent / Warning</t>
  </si>
  <si>
    <t>Received</t>
  </si>
  <si>
    <t>Rate /Trips</t>
  </si>
  <si>
    <t xml:space="preserve">Destination </t>
  </si>
  <si>
    <t>Client</t>
  </si>
  <si>
    <t>SHRI RAJ CONSTRUCTION &amp; BUILDING MATERIAL SUPPLIERS</t>
  </si>
  <si>
    <t>Datada ( Raj Dad Order )</t>
  </si>
  <si>
    <t>Vichoda ( Mahendra Order )</t>
  </si>
  <si>
    <t>Rahul Dhaba ( Raj Order )</t>
  </si>
  <si>
    <t>Sonalika Ramtake ( Raj Order )</t>
  </si>
  <si>
    <t>Awde ( Shubham Order )</t>
  </si>
  <si>
    <t>Raj Order</t>
  </si>
  <si>
    <t>Prajwal Kasaute (Ashay Jal )</t>
  </si>
  <si>
    <t>Rakad:- Kosara 1</t>
  </si>
  <si>
    <t>Shubhash Mistri ( Raj Dad )</t>
  </si>
  <si>
    <t>Bhimrao Padwekar ( Raj )</t>
  </si>
  <si>
    <t>Tulsi Nagar</t>
  </si>
  <si>
    <t>Santosh Parde ( Raj Dad )</t>
  </si>
  <si>
    <t>Rundawan</t>
  </si>
  <si>
    <t>Gaju Pan Thela ( Raj Dad )</t>
  </si>
  <si>
    <t>Dev Kumar ( Raj Dad )</t>
  </si>
  <si>
    <t>Jay Amte ( Raj Dad )</t>
  </si>
  <si>
    <t>Akash ( Raj )</t>
  </si>
  <si>
    <t>Vineet Ramteke ( Raj )</t>
  </si>
  <si>
    <t>Washing Center</t>
  </si>
  <si>
    <t>Datada</t>
  </si>
  <si>
    <t>Padoli ( 5 Rakad Trip )</t>
  </si>
  <si>
    <t>Backside Narayana School ( 1 Rakad Trip )</t>
  </si>
  <si>
    <t>Ankit Khokle ( Raj Dad )</t>
  </si>
  <si>
    <t>Manoj Khokle ( Raj Dad )</t>
  </si>
  <si>
    <t>Kalam ( Raj Dad )</t>
  </si>
  <si>
    <t>Near Sachin Hotel, Padoli Road</t>
  </si>
  <si>
    <t>Bhangar Katta , Sharma Chowk</t>
  </si>
  <si>
    <t>Gautre ( Raj Dad )</t>
  </si>
  <si>
    <t>Narendra Chiwande ( Roshan )</t>
  </si>
  <si>
    <t>Shyam Kulmethe ( Roshan )</t>
  </si>
  <si>
    <t>Khanda Nagri</t>
  </si>
  <si>
    <t>Dayarkar ( Raj Dad )</t>
  </si>
  <si>
    <t>Khutada</t>
  </si>
  <si>
    <t>Akshu ( Raj Dad )</t>
  </si>
  <si>
    <t>Dutt Nagar</t>
  </si>
  <si>
    <t>MIDC</t>
  </si>
  <si>
    <t>Aatram ( Raj )</t>
  </si>
  <si>
    <t>Padoli ( 2 Rakad Trip )</t>
  </si>
  <si>
    <t>Nishan Bhattar</t>
  </si>
  <si>
    <t>Washing Center ( Raj )</t>
  </si>
  <si>
    <t>Rajura Thekedar ( Raj )</t>
  </si>
  <si>
    <t>Rahul Borkute</t>
  </si>
  <si>
    <t>Mada Colony</t>
  </si>
  <si>
    <t>Giratkar ( Raj Dad )</t>
  </si>
  <si>
    <t>Girtkar Farm Pipe Line ( Bharran 1 Trip)</t>
  </si>
  <si>
    <t>Yete ( Raj )</t>
  </si>
  <si>
    <t>Chetan Bobde Raj Order</t>
  </si>
  <si>
    <t>Masekar ( Raj Dad )</t>
  </si>
  <si>
    <t>Rashtrawadi</t>
  </si>
  <si>
    <t>Vineet Ramteke</t>
  </si>
  <si>
    <t xml:space="preserve">Joyti Dhote ( Raj Dad) </t>
  </si>
  <si>
    <t>Rashtrawadi ( Raj )</t>
  </si>
  <si>
    <t>Morwa</t>
  </si>
  <si>
    <t>Naresh Kaka</t>
  </si>
  <si>
    <t xml:space="preserve">Padoli Majid </t>
  </si>
  <si>
    <t>Nitin Bhoyar</t>
  </si>
  <si>
    <t>Mohan Lonbole ( Raj Dad )</t>
  </si>
  <si>
    <t>Kiran</t>
  </si>
  <si>
    <t>Akshu</t>
  </si>
  <si>
    <t>Nitin Bhoyar ( Raj )</t>
  </si>
  <si>
    <t>Jagannath Chukre ( Mahendra )</t>
  </si>
  <si>
    <t>Hari Thekedar ( Raj )</t>
  </si>
  <si>
    <t>Vedant Wargane ( Raj )</t>
  </si>
  <si>
    <t>Bappya Mama ( Mahendra )</t>
  </si>
  <si>
    <t xml:space="preserve">From JCB Shiftinng to MIDC </t>
  </si>
  <si>
    <t>Gaju Panthela ( Raj Dad )</t>
  </si>
  <si>
    <t>39 Rakad Shifting</t>
  </si>
  <si>
    <t>Dayakar ( Raj Dad )</t>
  </si>
  <si>
    <t>Sachin ( Raj )</t>
  </si>
  <si>
    <t>8  Rakad Shifting</t>
  </si>
  <si>
    <t>9  Rakad Shifting</t>
  </si>
  <si>
    <t>Shri Sai ( Raj Dad )</t>
  </si>
  <si>
    <t>Sharmachowk</t>
  </si>
  <si>
    <t>Manoj Khokle ( raj Dad )</t>
  </si>
  <si>
    <t>Chhabu Sahare ( Raj Dad )</t>
  </si>
  <si>
    <t>Naresh kaka</t>
  </si>
  <si>
    <t>Lonbole ( Mahendra )</t>
  </si>
  <si>
    <t>Lauji Nagar</t>
  </si>
  <si>
    <t>Ravi Mama</t>
  </si>
  <si>
    <t xml:space="preserve">Chaudhary ( Raj Dad) </t>
  </si>
  <si>
    <t>Juni Padoli</t>
  </si>
  <si>
    <t>1 Gitti Tulsi</t>
  </si>
  <si>
    <t xml:space="preserve">Rajesh ( Ravi Mama </t>
  </si>
  <si>
    <t>Lauji nagar</t>
  </si>
  <si>
    <t>Rajura Thekedar</t>
  </si>
  <si>
    <t xml:space="preserve">Gitti Tractor </t>
  </si>
  <si>
    <t>Rakad Padoli</t>
  </si>
  <si>
    <t>Sagar Morey ( Mahendra )</t>
  </si>
  <si>
    <t>Bandhu ( Raj  Dad )</t>
  </si>
  <si>
    <t>Prakash Nagarkar ( Raj Dad )</t>
  </si>
  <si>
    <t>Rishab ( Raj )</t>
  </si>
  <si>
    <t>TRANSPORT TRACTOR  RETI- Customer Data | SEPTEMBER  2025</t>
  </si>
  <si>
    <t>TRANSPORT TRACTOR  RETI - STOCK | SEPTEMBER 2025</t>
  </si>
  <si>
    <t>Ravi Mama ( Mahendra )</t>
  </si>
  <si>
    <t>Arjun Chinchurwar ( Raj Dad )</t>
  </si>
  <si>
    <t>Tulsi nagar ( Rakad )</t>
  </si>
  <si>
    <t>Raj Farms</t>
  </si>
  <si>
    <t>Bandhu ( Raj Dad )</t>
  </si>
  <si>
    <t>Aawde ( Raj )</t>
  </si>
  <si>
    <t>Bappya Mama ( Raj )</t>
  </si>
  <si>
    <t>Sanju Sonwane ( Mahendra )</t>
  </si>
  <si>
    <t>Kamlakar Ramteke ( Mahendra )</t>
  </si>
  <si>
    <t>Mada</t>
  </si>
  <si>
    <t>Sumit Meshram ( Raj )</t>
  </si>
  <si>
    <t>Chetan U ( Raj )</t>
  </si>
  <si>
    <t>Pramod Mistri ( Raj Dad )</t>
  </si>
  <si>
    <t>Raj Home ( Stock )</t>
  </si>
  <si>
    <t>Raj Home ( Stock ) JCB Shifting</t>
  </si>
  <si>
    <t>Sau ( Raj Order )</t>
  </si>
  <si>
    <t>Manog Khokle ( Raj Dad )</t>
  </si>
  <si>
    <t>Anil Khokle ( Raj Dad. )</t>
  </si>
  <si>
    <t>Raj ( Khadan)</t>
  </si>
  <si>
    <t>Raj ( Lakhmapur River )</t>
  </si>
  <si>
    <t>Raj ( Lakhmapur Stock )</t>
  </si>
  <si>
    <t>Pachare ( Stock )</t>
  </si>
  <si>
    <t>Anil Shukdev ( Mahendra )</t>
  </si>
  <si>
    <t xml:space="preserve"> Raj ( Khadan )</t>
  </si>
  <si>
    <t xml:space="preserve">Pachare Stock </t>
  </si>
  <si>
    <t>Pachare Stock :- JCB Shifting</t>
  </si>
  <si>
    <t>TRANSPORT TRACTOR  RETI - STOCK | MAY 2025</t>
  </si>
  <si>
    <t>TRANSPORT TRACTOR  RETI - STOCK | JUNE 2025</t>
  </si>
  <si>
    <t xml:space="preserve"> Raj </t>
  </si>
  <si>
    <t>From Pachare Stock To Farm</t>
  </si>
  <si>
    <t>TRANSPORT TRACTOR  RETI - STOCK | JULY  2025</t>
  </si>
  <si>
    <t>From Pachare Stock To Farm :- JCB Shifting</t>
  </si>
  <si>
    <t xml:space="preserve">2 Bricks To Raj Farms </t>
  </si>
  <si>
    <t xml:space="preserve"> Raj</t>
  </si>
  <si>
    <t>TRANSPORT TRACTOR  RETI - STOCK | AUGUST  2025</t>
  </si>
  <si>
    <t>Arjun Chinchurkar ( Raj Dad )</t>
  </si>
  <si>
    <t>Dev Kumar  ( Raj Dad )</t>
  </si>
  <si>
    <t>Padoli ( Bharran )</t>
  </si>
  <si>
    <t>Shubham Bondare ( Roshan )</t>
  </si>
  <si>
    <t>Gandfade ( Raj Dad )</t>
  </si>
  <si>
    <t>Ramnagar:- Reti</t>
  </si>
  <si>
    <t>Ramnagar Gitti</t>
  </si>
  <si>
    <t>JI Sav ( Roshan )</t>
  </si>
  <si>
    <t>Zamare ( Raj Dad )</t>
  </si>
  <si>
    <t xml:space="preserve">Raj Order </t>
  </si>
  <si>
    <t>Ramnagar:- Bricks</t>
  </si>
  <si>
    <t>Bandu ( Raj Dad )</t>
  </si>
  <si>
    <t>Sau ( Raj )</t>
  </si>
  <si>
    <t>Ghorpade ( Roshan )</t>
  </si>
  <si>
    <t>Hitesh Zamare ( Raj Dad )</t>
  </si>
  <si>
    <t>TRANSPORT TRACTOR  RETI - STOCK | APRIL 2025</t>
  </si>
  <si>
    <t>Rakesh Ramteke ( Raj )</t>
  </si>
  <si>
    <t>Desi Ramteke ( Roshan Order )</t>
  </si>
  <si>
    <t>Sham Kulmethe ( Roshan Order</t>
  </si>
  <si>
    <t>Yete ( Raj Dad )</t>
  </si>
  <si>
    <t>TRANSPORT TRACTOR  RETI - STOCK | MARCH 2025</t>
  </si>
  <si>
    <t>TRANSPORT TRACTOR  RETI- Customer Data | AUGUST  2025</t>
  </si>
  <si>
    <t>TRANSPORT TRACTOR  RETI- Customer Data | JULY  2025</t>
  </si>
  <si>
    <t>TRANSPORT TRACTOR  RETI- Customer Data | JUNE  2025</t>
  </si>
  <si>
    <t>TRANSPORT TRACTOR  RETI- Customer Data | MAY  2025</t>
  </si>
  <si>
    <t>TRANSPORT TRACTOR  RETI- Customer Data | APRIL  2025</t>
  </si>
  <si>
    <t>TRANSPORT TRACTOR  RETI- Customer Data | MARCH  2025</t>
  </si>
  <si>
    <t>Hemendra  ( Raj Dad )</t>
  </si>
  <si>
    <t>Ramteke ( Roshan Order )</t>
  </si>
  <si>
    <t>Kirmire ( Raj Dad )</t>
  </si>
  <si>
    <t>Rakad :-  Kosara</t>
  </si>
  <si>
    <t>Rohankar ( Raj Dad )</t>
  </si>
  <si>
    <t>Bharran :- Padoli</t>
  </si>
  <si>
    <t>Jivan Sao ( Roshan )</t>
  </si>
  <si>
    <t>Rakesh Ramtake ( Roshan )</t>
  </si>
  <si>
    <t>Ramtake Farms ( Roshan )</t>
  </si>
  <si>
    <t>Road ( Raj Dad )</t>
  </si>
  <si>
    <t>Shubham Bhonde ( Roshan Order )</t>
  </si>
  <si>
    <t>Sentring To Raj Farms</t>
  </si>
  <si>
    <t>TRANSPORT TRACTOR  RETI - STOCK | FEBRUARY 2025</t>
  </si>
  <si>
    <t>TRANSPORT TRACTOR  RETI- Customer Data | FEBRUARY  2025</t>
  </si>
  <si>
    <t>Aniket Chaudhary ( Raj )</t>
  </si>
  <si>
    <t>Mada Road</t>
  </si>
  <si>
    <t>Santosh Sinha Rupali ( Raj Dad )</t>
  </si>
  <si>
    <t>Raj ( Gram Panchayat Stock )</t>
  </si>
  <si>
    <t>TRANSPORT TRACTOR  RETI- Customer Data | JANUARY 2025</t>
  </si>
  <si>
    <t>TRANSPORT TRACTOR  RETI - STOCK | JANUARY 2025</t>
  </si>
  <si>
    <t>Vichoda ( Vitta 1500 )</t>
  </si>
  <si>
    <t>Ramteke ( Raj Dad )</t>
  </si>
  <si>
    <t>Arvind Rohankar ( Raj Dad )</t>
  </si>
  <si>
    <t>Devrao ( Raj Dad )</t>
  </si>
  <si>
    <t>Rundawan ( Bharran )</t>
  </si>
  <si>
    <t>Suresh Pachare ( Raj Dad )</t>
  </si>
  <si>
    <t>Pachare Farms</t>
  </si>
  <si>
    <t>Raju Bala ( Raj Dad )</t>
  </si>
  <si>
    <t>TRANSPORT TRACTOR  RETI- Customer Data | OCTOBER  2025</t>
  </si>
  <si>
    <t>TRANSPORT TRACTOR  RETI - STOCK | OCTOBER 2025</t>
  </si>
  <si>
    <t>TRANSPORT TRACTOR  RETI- Customer Data | NOVEMBER  2025</t>
  </si>
  <si>
    <t>TRANSPORT TRACTOR  RETI - STOCK | NOVEMBER 2025</t>
  </si>
  <si>
    <t>TRANSPORT TRACTOR  RETI- Customer Data | DECEMBER  2025</t>
  </si>
  <si>
    <t>TRANSPORT TRACTOR  RETI - STOCK | DECEMBER 2025</t>
  </si>
  <si>
    <t>Pratap Yard ( Raj Dad )</t>
  </si>
  <si>
    <t>Tulsi Nagar Rakad Trip</t>
  </si>
  <si>
    <t>Santosh Sinha ( Raj Dad )</t>
  </si>
  <si>
    <t xml:space="preserve">Juni Padoli Road </t>
  </si>
  <si>
    <t>Vijayendra Selokar ( Raj Order )</t>
  </si>
  <si>
    <t>Sardar Colony</t>
  </si>
  <si>
    <t>Nana ( Raj Dad )</t>
  </si>
  <si>
    <t>Rohan Nagarkar ( Mahendra )</t>
  </si>
  <si>
    <t>Bandobas Bar MIDC</t>
  </si>
  <si>
    <t>Raj ( Khadan )</t>
  </si>
  <si>
    <t>Raj ( Pachare Stock )</t>
  </si>
  <si>
    <t>Chaudhary ( Raj Dad )</t>
  </si>
  <si>
    <t>Vilas Tonge ( Raj )</t>
  </si>
  <si>
    <t>Thackery ( Raj )</t>
  </si>
  <si>
    <t>Anil Khokle ( Raj Dad )</t>
  </si>
  <si>
    <t>Matthe Colony</t>
  </si>
  <si>
    <t>Vasanta ( Raj Dad )</t>
  </si>
  <si>
    <t>Tulsi Nagar ( Rakad )</t>
  </si>
  <si>
    <t>Hari Thekedar</t>
  </si>
  <si>
    <t>Pipe Line Road</t>
  </si>
  <si>
    <t xml:space="preserve">Raj Dad </t>
  </si>
  <si>
    <t>Mahendra</t>
  </si>
  <si>
    <t xml:space="preserve">Kosara River </t>
  </si>
  <si>
    <t>Grampanchayat Stock</t>
  </si>
  <si>
    <t>Vasanta ( Mahendra )</t>
  </si>
  <si>
    <t>Masirkar ( Raj Order )</t>
  </si>
  <si>
    <t>Sunny Dad ( Raj Order )</t>
  </si>
  <si>
    <t>Gurudwara</t>
  </si>
  <si>
    <t>Ganesh LCB. ( Raj Order</t>
  </si>
  <si>
    <t>Sonteke ( Raj Dad )</t>
  </si>
  <si>
    <t>Madarsa Padoli</t>
  </si>
  <si>
    <t>Sandeep Borkute ( Mahendra )</t>
  </si>
  <si>
    <t>Arjun Chinhurwar ( Raj Dad )</t>
  </si>
  <si>
    <t>Parchake ( Raj )</t>
  </si>
  <si>
    <t>Sonawane ( Mahendra )</t>
  </si>
  <si>
    <t>Sumit ( Raj )</t>
  </si>
  <si>
    <t xml:space="preserve">Saija Bai </t>
  </si>
  <si>
    <t xml:space="preserve">Yashwant Nagar </t>
  </si>
  <si>
    <t>Sumit ( Mahendra )</t>
  </si>
  <si>
    <t>Amtha ( Raj )</t>
  </si>
  <si>
    <t>Ramteke ( Raj )</t>
  </si>
  <si>
    <t>Rohan ( Mahendra )</t>
  </si>
  <si>
    <t>Sadar Colony</t>
  </si>
  <si>
    <t>Sonteke  ( Raj Dad)</t>
  </si>
  <si>
    <t>Sonteke  ( raj Dad )</t>
  </si>
  <si>
    <t>23 oct 10k</t>
  </si>
  <si>
    <t>28 aught 28, 800</t>
  </si>
  <si>
    <t>Vasanda ( Mahendra</t>
  </si>
  <si>
    <t>Kamalar Ramteke ( Mahendra )</t>
  </si>
  <si>
    <t>Chabu Sahare ( Raj Dad )</t>
  </si>
  <si>
    <t>Raju Mistri ( Mahendra )</t>
  </si>
  <si>
    <t>1 Vita</t>
  </si>
  <si>
    <t>Fish Wala ( Mahendra )</t>
  </si>
  <si>
    <t>Fish wala ( Raj Order )</t>
  </si>
  <si>
    <t>Fish Wala ( Raj Order )</t>
  </si>
  <si>
    <t>Chauhan. ( Raj Dad )</t>
  </si>
  <si>
    <t>Prajwal ( Mahendra )</t>
  </si>
  <si>
    <t>Chargaon</t>
  </si>
  <si>
    <t>Nitesh Khandarkar ( Mahendra )</t>
  </si>
  <si>
    <t>Sonaware ( Mahendra )</t>
  </si>
  <si>
    <t>Mandir ( Raj Dad )</t>
  </si>
  <si>
    <t>Gurudwara Mada Colony</t>
  </si>
  <si>
    <t>Sonaware ( Sahil )</t>
  </si>
  <si>
    <t>Lonbole ( Sahil )</t>
  </si>
  <si>
    <t>Chauhan ( Raj Dad )</t>
  </si>
  <si>
    <t>Nattu Meshram</t>
  </si>
  <si>
    <t>Vasanda</t>
  </si>
  <si>
    <t>Raj ( Farms )</t>
  </si>
  <si>
    <t>Raj ( Vita )</t>
  </si>
  <si>
    <t>Raj ( Farms ) 1</t>
  </si>
  <si>
    <t>Sonaware ( Roshan )</t>
  </si>
  <si>
    <t>Vishal Chawarre ( Raj Dad )</t>
  </si>
  <si>
    <t>Near Pyaar Foundation</t>
  </si>
  <si>
    <t>Rahul Dhaba</t>
  </si>
  <si>
    <t>Ghopal ( Mahendra )</t>
  </si>
  <si>
    <t>Arvind Gupta ( raj)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</si>
</sst>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&quot;₹&quot;#,##0.00"/>
    <numFmt numFmtId="166" formatCode="&quot;₹&quot;\ #,##0.00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rgb="FF7D1D3F"/>
      <name val="Georgia"/>
      <family val="1"/>
    </font>
    <font>
      <b/>
      <u/>
      <sz val="22"/>
      <color rgb="FFD4AF37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D1D3F"/>
        <bgColor indexed="64"/>
      </patternFill>
    </fill>
    <fill>
      <patternFill patternType="solid">
        <fgColor rgb="FFF5F0E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rgb="FFD4AF37"/>
      </left>
      <right style="double">
        <color rgb="FFD4AF37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4" fillId="0" borderId="0" xfId="1"/>
    <xf numFmtId="165" fontId="6" fillId="0" borderId="1" xfId="1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4" fillId="0" borderId="2" xfId="1" applyBorder="1"/>
    <xf numFmtId="0" fontId="4" fillId="0" borderId="2" xfId="1" applyBorder="1" applyAlignment="1">
      <alignment horizontal="center"/>
    </xf>
    <xf numFmtId="0" fontId="4" fillId="0" borderId="1" xfId="1" applyBorder="1"/>
    <xf numFmtId="165" fontId="4" fillId="0" borderId="1" xfId="1" applyNumberFormat="1" applyBorder="1"/>
    <xf numFmtId="0" fontId="4" fillId="0" borderId="1" xfId="1" applyBorder="1" applyAlignment="1">
      <alignment horizontal="center"/>
    </xf>
    <xf numFmtId="164" fontId="5" fillId="0" borderId="1" xfId="1" applyNumberFormat="1" applyFont="1" applyBorder="1" applyAlignment="1">
      <alignment horizontal="center"/>
    </xf>
    <xf numFmtId="165" fontId="8" fillId="2" borderId="3" xfId="1" applyNumberFormat="1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/>
    </xf>
    <xf numFmtId="164" fontId="8" fillId="2" borderId="3" xfId="1" applyNumberFormat="1" applyFont="1" applyFill="1" applyBorder="1" applyAlignment="1">
      <alignment horizontal="center" vertical="center"/>
    </xf>
    <xf numFmtId="166" fontId="0" fillId="0" borderId="1" xfId="0" applyNumberFormat="1" applyBorder="1"/>
    <xf numFmtId="0" fontId="7" fillId="0" borderId="1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7" fillId="0" borderId="1" xfId="0" applyFont="1" applyBorder="1" applyAlignment="1">
      <alignment horizontal="left"/>
    </xf>
    <xf numFmtId="164" fontId="5" fillId="0" borderId="1" xfId="0" applyNumberFormat="1" applyFont="1" applyBorder="1" applyAlignment="1">
      <alignment horizontal="left"/>
    </xf>
    <xf numFmtId="166" fontId="0" fillId="0" borderId="1" xfId="0" applyNumberFormat="1" applyBorder="1" applyAlignment="1">
      <alignment horizontal="left"/>
    </xf>
    <xf numFmtId="164" fontId="5" fillId="0" borderId="1" xfId="1" applyNumberFormat="1" applyFont="1" applyBorder="1" applyAlignment="1">
      <alignment horizontal="left"/>
    </xf>
    <xf numFmtId="0" fontId="4" fillId="0" borderId="1" xfId="1" applyBorder="1" applyAlignment="1">
      <alignment horizontal="left"/>
    </xf>
    <xf numFmtId="165" fontId="4" fillId="0" borderId="1" xfId="1" applyNumberFormat="1" applyBorder="1" applyAlignment="1">
      <alignment horizontal="left"/>
    </xf>
    <xf numFmtId="164" fontId="5" fillId="0" borderId="2" xfId="1" applyNumberFormat="1" applyFont="1" applyBorder="1" applyAlignment="1">
      <alignment horizontal="left"/>
    </xf>
    <xf numFmtId="0" fontId="4" fillId="0" borderId="2" xfId="1" applyBorder="1" applyAlignment="1">
      <alignment horizontal="left"/>
    </xf>
    <xf numFmtId="165" fontId="4" fillId="0" borderId="2" xfId="1" applyNumberFormat="1" applyBorder="1" applyAlignment="1">
      <alignment horizontal="left"/>
    </xf>
    <xf numFmtId="0" fontId="3" fillId="0" borderId="1" xfId="1" applyFont="1" applyBorder="1" applyAlignment="1">
      <alignment horizontal="left"/>
    </xf>
    <xf numFmtId="0" fontId="7" fillId="0" borderId="1" xfId="0" applyFont="1" applyBorder="1"/>
    <xf numFmtId="0" fontId="2" fillId="0" borderId="1" xfId="1" applyFont="1" applyBorder="1" applyAlignment="1">
      <alignment horizontal="left"/>
    </xf>
    <xf numFmtId="164" fontId="5" fillId="0" borderId="0" xfId="0" applyNumberFormat="1" applyFont="1" applyAlignment="1">
      <alignment horizontal="left"/>
    </xf>
    <xf numFmtId="0" fontId="7" fillId="0" borderId="0" xfId="0" applyFont="1"/>
    <xf numFmtId="166" fontId="0" fillId="0" borderId="0" xfId="0" applyNumberFormat="1" applyAlignment="1">
      <alignment horizontal="left"/>
    </xf>
    <xf numFmtId="0" fontId="7" fillId="0" borderId="0" xfId="0" applyFont="1" applyAlignment="1">
      <alignment horizontal="center"/>
    </xf>
    <xf numFmtId="165" fontId="0" fillId="0" borderId="0" xfId="0" applyNumberFormat="1"/>
    <xf numFmtId="0" fontId="7" fillId="0" borderId="0" xfId="0" applyFont="1" applyAlignment="1">
      <alignment horizontal="left"/>
    </xf>
    <xf numFmtId="0" fontId="7" fillId="0" borderId="4" xfId="0" applyFont="1" applyBorder="1" applyAlignment="1">
      <alignment horizontal="center"/>
    </xf>
    <xf numFmtId="0" fontId="10" fillId="2" borderId="0" xfId="1" applyFont="1" applyFill="1" applyAlignment="1">
      <alignment horizontal="center" vertical="center"/>
    </xf>
    <xf numFmtId="0" fontId="9" fillId="3" borderId="0" xfId="1" applyFont="1" applyFill="1" applyAlignment="1">
      <alignment horizontal="center"/>
    </xf>
    <xf numFmtId="0" fontId="4" fillId="0" borderId="0" xfId="1"/>
    <xf numFmtId="0" fontId="1" fillId="0" borderId="1" xfId="1" applyFont="1" applyBorder="1" applyAlignment="1">
      <alignment horizontal="left"/>
    </xf>
  </cellXfs>
  <cellStyles count="2">
    <cellStyle name="Normal" xfId="0" builtinId="0"/>
    <cellStyle name="Normal 2" xfId="1" xr:uid="{B24E42C5-ED7B-6647-9B43-6D5FBF266E40}"/>
  </cellStyles>
  <dxfs count="233"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5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5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5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5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5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5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5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5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5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5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5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5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5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5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5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5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5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5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5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5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5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5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5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5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2901DE0-93BB-0944-B5B4-D00B13CD3672}" name="Table218" displayName="Table218" ref="A3:I18" totalsRowShown="0" headerRowDxfId="232" headerRowCellStyle="Normal 2">
  <autoFilter ref="A3:I18" xr:uid="{72901DE0-93BB-0944-B5B4-D00B13CD3672}"/>
  <sortState xmlns:xlrd2="http://schemas.microsoft.com/office/spreadsheetml/2017/richdata2" ref="A4:I18">
    <sortCondition ref="A3:A18"/>
  </sortState>
  <tableColumns count="9">
    <tableColumn id="1" xr3:uid="{3ACA5FF6-F44A-BF45-98AD-9ED0DE6CA9E5}" name="Date" dataDxfId="231"/>
    <tableColumn id="2" xr3:uid="{08802500-7C2E-E04A-9241-236FFF6E4781}" name="Client" dataDxfId="230"/>
    <tableColumn id="3" xr3:uid="{F72E522D-576C-8A4C-A0DE-FBBD6BF4118E}" name="Destination " dataDxfId="229"/>
    <tableColumn id="4" xr3:uid="{5CCB8125-6FC0-DB47-ABC6-747785E65D73}" name="Trips" dataDxfId="228"/>
    <tableColumn id="5" xr3:uid="{EF42E59E-D97C-8D48-AF31-6992D4364427}" name="Rate /Trips" dataDxfId="227"/>
    <tableColumn id="6" xr3:uid="{EA957416-5B35-194F-9755-010EEF34E999}" name="Total Value" dataDxfId="226"/>
    <tableColumn id="7" xr3:uid="{FBDE1D94-C83D-DE41-A6B8-C47E5CA93513}" name="Received" dataDxfId="225"/>
    <tableColumn id="8" xr3:uid="{D58D5DDD-4F8B-F14A-A771-9DC7271446A7}" name="Balance" dataDxfId="224"/>
    <tableColumn id="9" xr3:uid="{1F09F601-18D1-1948-BCAC-0E1CC072EAC3}" name="Paid / Urgent / Warning" dataDxfId="223" dataCellStyle="Normal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834476C-F4FC-744C-BD43-B2F87AF94F72}" name="Table245687919" displayName="Table245687919" ref="A28:D56" totalsRowShown="0" headerRowDxfId="222" headerRowCellStyle="Normal 2">
  <autoFilter ref="A28:D56" xr:uid="{6834476C-F4FC-744C-BD43-B2F87AF94F72}"/>
  <tableColumns count="4">
    <tableColumn id="1" xr3:uid="{A0C2CA54-27F1-D54A-8692-5998CE3AF0BA}" name="Date" dataDxfId="221"/>
    <tableColumn id="2" xr3:uid="{CE8A08EA-0ACC-1444-93E6-55930868CCEA}" name="Client" dataDxfId="220"/>
    <tableColumn id="3" xr3:uid="{5F5BBBD9-EBFE-E748-BEAC-9DF630B16D14}" name="Destination " dataDxfId="219"/>
    <tableColumn id="4" xr3:uid="{20720ABB-13FE-3E4F-BB20-95FF3C89164F}" name="Trips" dataDxfId="21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8624236-304C-4C18-9F69-3B85F6EB5A74}" name="Table216" displayName="Table216" ref="A3:I24" totalsRowShown="0" headerRowDxfId="217" headerRowCellStyle="Normal 2">
  <autoFilter ref="A3:I24" xr:uid="{28624236-304C-4C18-9F69-3B85F6EB5A74}"/>
  <sortState xmlns:xlrd2="http://schemas.microsoft.com/office/spreadsheetml/2017/richdata2" ref="A4:I24">
    <sortCondition ref="A3:A24"/>
  </sortState>
  <tableColumns count="9">
    <tableColumn id="1" xr3:uid="{A4698DB7-315B-44E9-99FE-C6636004B0AB}" name="Date" dataDxfId="216"/>
    <tableColumn id="2" xr3:uid="{1081907B-E44F-4B12-8EFC-BF78531FBCA4}" name="Client" dataDxfId="215"/>
    <tableColumn id="3" xr3:uid="{B5942F0F-00B0-4A0D-84F8-467BD0EE2F3A}" name="Destination " dataDxfId="214"/>
    <tableColumn id="4" xr3:uid="{14603062-90C2-4073-9B0A-2075C9F75CD4}" name="Trips" dataDxfId="213"/>
    <tableColumn id="5" xr3:uid="{C49F20ED-1D12-4BFB-BF6F-57099E385A38}" name="Rate /Trips" dataDxfId="212"/>
    <tableColumn id="6" xr3:uid="{428B477E-9C83-4B3E-9227-84AD0D08A263}" name="Total Value" dataDxfId="211"/>
    <tableColumn id="7" xr3:uid="{92E01BA3-D0C1-468C-88FF-3732B58F8684}" name="Received" dataDxfId="210"/>
    <tableColumn id="8" xr3:uid="{2A3C42A2-D273-4168-8B4F-D6A2343BD25A}" name="Balance" dataDxfId="209"/>
    <tableColumn id="9" xr3:uid="{D6338491-2DCB-41DE-8A7B-1EFFD031FA73}" name="Paid / Urgent / Warning" dataDxfId="208" dataCellStyle="Normal 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F04301F-1D71-4AEB-9F5B-EDCDB068259B}" name="Table245687917" displayName="Table245687917" ref="A34:D58" totalsRowShown="0" headerRowDxfId="207" headerRowCellStyle="Normal 2">
  <autoFilter ref="A34:D58" xr:uid="{0F04301F-1D71-4AEB-9F5B-EDCDB068259B}"/>
  <tableColumns count="4">
    <tableColumn id="1" xr3:uid="{13688F62-50B8-49E2-8D55-E0759A9C3AA1}" name="Date" dataDxfId="206"/>
    <tableColumn id="2" xr3:uid="{8138F2CF-3502-4DEB-9E0D-8926BD77A9D5}" name="Client" dataDxfId="205"/>
    <tableColumn id="3" xr3:uid="{2C05C9CF-E899-471B-ADB1-F9652383B295}" name="Destination " dataDxfId="204"/>
    <tableColumn id="4" xr3:uid="{A4F04F0A-0F18-4B4A-95F4-3CF1AF3BBB27}" name="Trips" dataDxfId="20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6E745D0-0592-49C5-8E30-21C126F51C16}" name="Table214" displayName="Table214" ref="A3:I20" totalsRowShown="0" headerRowDxfId="202" headerRowCellStyle="Normal 2">
  <autoFilter ref="A3:I20" xr:uid="{86E745D0-0592-49C5-8E30-21C126F51C16}"/>
  <sortState xmlns:xlrd2="http://schemas.microsoft.com/office/spreadsheetml/2017/richdata2" ref="A4:I20">
    <sortCondition ref="A3:A20"/>
  </sortState>
  <tableColumns count="9">
    <tableColumn id="1" xr3:uid="{954CE616-14B0-4270-A46F-2013A56A81A1}" name="Date" dataDxfId="201"/>
    <tableColumn id="2" xr3:uid="{19AED7C5-38BB-4E28-BD50-1BFA168432F6}" name="Client" dataDxfId="200"/>
    <tableColumn id="3" xr3:uid="{79E3F114-F576-4CA0-AE57-ABA6E6894542}" name="Destination " dataDxfId="199"/>
    <tableColumn id="4" xr3:uid="{09D04F20-6F18-4475-BE9D-3B8288D1F62A}" name="Trips" dataDxfId="198"/>
    <tableColumn id="5" xr3:uid="{513C5E4C-55E2-472C-BAAC-3FF69599F53A}" name="Rate /Trips" dataDxfId="197"/>
    <tableColumn id="6" xr3:uid="{7709CF67-1ACA-41F3-A417-3C4207117838}" name="Total Value" dataDxfId="196"/>
    <tableColumn id="7" xr3:uid="{5910D15F-1254-4681-A9D5-7D6AA88AE6E7}" name="Received" dataDxfId="195"/>
    <tableColumn id="8" xr3:uid="{7755A2EB-3226-4D94-968F-95493219C9EB}" name="Balance" dataDxfId="194"/>
    <tableColumn id="9" xr3:uid="{5523A516-9EFE-4C72-AAD2-1494B54FE394}" name="Paid / Urgent / Warning" dataDxfId="193" dataCellStyle="Normal 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A71A9D1-BDDF-4784-92AC-7C4CC15E1DAB}" name="Table245687915" displayName="Table245687915" ref="A30:D64" totalsRowShown="0" headerRowDxfId="192" headerRowCellStyle="Normal 2">
  <autoFilter ref="A30:D64" xr:uid="{6A71A9D1-BDDF-4784-92AC-7C4CC15E1DAB}"/>
  <tableColumns count="4">
    <tableColumn id="1" xr3:uid="{A2755485-D652-4579-9930-B6DC13FAC723}" name="Date" dataDxfId="191"/>
    <tableColumn id="2" xr3:uid="{6A73DECA-264B-4298-A8EB-01C73540A135}" name="Client" dataDxfId="190"/>
    <tableColumn id="3" xr3:uid="{7A10BD8E-0DC4-4D03-B175-123DA054C380}" name="Destination " dataDxfId="189"/>
    <tableColumn id="4" xr3:uid="{643ECB46-4783-419E-8710-A202AD4DBBC1}" name="Trips" dataDxfId="188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2C72C2B-236C-4B51-BD25-6693AEF060E9}" name="Table212" displayName="Table212" ref="A3:I26" totalsRowShown="0" headerRowDxfId="187" headerRowCellStyle="Normal 2">
  <autoFilter ref="A3:I26" xr:uid="{A2C72C2B-236C-4B51-BD25-6693AEF060E9}"/>
  <sortState xmlns:xlrd2="http://schemas.microsoft.com/office/spreadsheetml/2017/richdata2" ref="A4:I26">
    <sortCondition ref="A3:A26"/>
  </sortState>
  <tableColumns count="9">
    <tableColumn id="1" xr3:uid="{3AFEBEAF-4517-4B5F-AEC3-94F0EE2E6C69}" name="Date" dataDxfId="186"/>
    <tableColumn id="2" xr3:uid="{8981BE8C-E175-4CEC-ABEC-DF784FD84827}" name="Client" dataDxfId="185"/>
    <tableColumn id="3" xr3:uid="{618FF1F6-1728-44D9-B7E1-CC773AC5EB9E}" name="Destination " dataDxfId="184"/>
    <tableColumn id="4" xr3:uid="{3DA421FB-BFB3-4748-B743-20F3CFC74104}" name="Trips" dataDxfId="183"/>
    <tableColumn id="5" xr3:uid="{83F2C0AB-0BDE-4D7C-A588-54E834AD7E80}" name="Rate /Trips" dataDxfId="182"/>
    <tableColumn id="6" xr3:uid="{D433FC72-503F-455A-8D69-1A72DB518E0E}" name="Total Value" dataDxfId="181">
      <calculatedColumnFormula>Table212[[#This Row],[Rate /Trips]]*Table212[[#This Row],[Trips]]</calculatedColumnFormula>
    </tableColumn>
    <tableColumn id="7" xr3:uid="{4B997A3E-1EAA-49E1-B1BD-0590BF2CA1CB}" name="Received" dataDxfId="180"/>
    <tableColumn id="8" xr3:uid="{70BAFA6A-3D72-4B78-89E1-0A8F73E2FAF6}" name="Balance" dataDxfId="179">
      <calculatedColumnFormula>Table212[[#This Row],[Total Value]]-Table212[[#This Row],[Received]]</calculatedColumnFormula>
    </tableColumn>
    <tableColumn id="9" xr3:uid="{CB814C3E-4C5D-4D73-BC30-E79AC1BC7635}" name="Paid / Urgent / Warning" dataDxfId="178" dataCellStyle="Normal 2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7C17A0F-BB43-4620-B0BB-2D474E5D7D0E}" name="Table245687913" displayName="Table245687913" ref="A36:D70" totalsRowShown="0" headerRowDxfId="177" headerRowCellStyle="Normal 2">
  <autoFilter ref="A36:D70" xr:uid="{B7C17A0F-BB43-4620-B0BB-2D474E5D7D0E}"/>
  <tableColumns count="4">
    <tableColumn id="1" xr3:uid="{6E4E2A7A-453E-49EE-B390-155277D38CBE}" name="Date" dataDxfId="176"/>
    <tableColumn id="2" xr3:uid="{070CF92C-12B1-49E8-8386-85358DB6E6C3}" name="Client" dataDxfId="175"/>
    <tableColumn id="3" xr3:uid="{F8A6BAD7-827A-4AE0-B6F6-506A0E8DE812}" name="Destination " dataDxfId="174"/>
    <tableColumn id="4" xr3:uid="{5AC6DA79-D3CA-4A6D-8AB5-B76FC923E940}" name="Trips" dataDxfId="173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78737F-3423-9B4D-A838-97DA1731E3F3}" name="Table1" displayName="Table1" ref="A3:I47" totalsRowShown="0" headerRowDxfId="172" tableBorderDxfId="171">
  <autoFilter ref="A3:I47" xr:uid="{B16CA6F1-FBA6-0748-A931-D2E416D86ED5}"/>
  <sortState xmlns:xlrd2="http://schemas.microsoft.com/office/spreadsheetml/2017/richdata2" ref="A4:I47">
    <sortCondition ref="A3:A47"/>
  </sortState>
  <tableColumns count="9">
    <tableColumn id="1" xr3:uid="{53F48192-4554-794E-8589-2AB0611FFEBD}" name="Date" dataDxfId="170"/>
    <tableColumn id="2" xr3:uid="{DC5E1D28-B505-584D-A1D5-E1E1F857B889}" name="Client" dataDxfId="169"/>
    <tableColumn id="3" xr3:uid="{8B2854D0-BA79-C04D-98C6-5BC0CB71B4F5}" name="Destination " dataDxfId="168"/>
    <tableColumn id="4" xr3:uid="{E711684F-EF48-844E-997D-C3552358F2C9}" name="Trips" dataDxfId="167"/>
    <tableColumn id="5" xr3:uid="{DB81BB98-4BD4-B643-9D59-34687335EF6E}" name="Rate /Trips" dataDxfId="166"/>
    <tableColumn id="6" xr3:uid="{37D6D674-167C-8B4F-8A4E-0F4122753304}" name="Total Value" dataDxfId="165"/>
    <tableColumn id="7" xr3:uid="{544DC600-5941-8149-8993-B0D87B740ECE}" name="Received" dataDxfId="164"/>
    <tableColumn id="8" xr3:uid="{EEC9F3B4-0CE3-E149-8086-1893F1C73A1C}" name="Balance" dataDxfId="163"/>
    <tableColumn id="9" xr3:uid="{E6A66F4A-658C-3547-B5E3-58043918AC66}" name="Paid / Urgent / Warning" dataDxfId="162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AA3EA11-34D0-8348-B2B2-F644208CC35F}" name="Table245687" displayName="Table245687" ref="A59:D95" totalsRowShown="0" headerRowDxfId="161" headerRowCellStyle="Normal 2">
  <autoFilter ref="A59:D95" xr:uid="{1AA3EA11-34D0-8348-B2B2-F644208CC35F}"/>
  <tableColumns count="4">
    <tableColumn id="1" xr3:uid="{71BDE2C2-8F51-1D44-B9F9-C1A066F25977}" name="Date" dataDxfId="160"/>
    <tableColumn id="2" xr3:uid="{FB50637C-E19E-7B4D-AC44-518A75800A4C}" name="Client" dataDxfId="159"/>
    <tableColumn id="3" xr3:uid="{22EDC8E8-9F9E-CB46-9472-88F8ECDA80C2}" name="Destination " dataDxfId="158"/>
    <tableColumn id="4" xr3:uid="{DF9BBFD7-8FD4-2146-84FA-278EFA259B46}" name="Trips" dataDxfId="157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E372E6-1679-4BE8-987C-308B46188B78}" name="Table2" displayName="Table2" ref="A3:I35" totalsRowShown="0" headerRowDxfId="156" headerRowCellStyle="Normal 2">
  <autoFilter ref="A3:I35" xr:uid="{F0E372E6-1679-4BE8-987C-308B46188B78}"/>
  <sortState xmlns:xlrd2="http://schemas.microsoft.com/office/spreadsheetml/2017/richdata2" ref="A4:I35">
    <sortCondition ref="A3:A35"/>
  </sortState>
  <tableColumns count="9">
    <tableColumn id="1" xr3:uid="{5F5D88FA-49C1-4B28-BF33-4CF516D57599}" name="Date" dataDxfId="155"/>
    <tableColumn id="2" xr3:uid="{4659C3CF-CEC8-477C-816C-38629E049212}" name="Client" dataDxfId="154"/>
    <tableColumn id="3" xr3:uid="{A0CDA45C-2046-4AE2-BC21-8BD4A96D4CA0}" name="Destination " dataDxfId="153"/>
    <tableColumn id="4" xr3:uid="{5E4AF309-6C74-4DB9-8E35-F1A5EAC89E47}" name="Trips" dataDxfId="152"/>
    <tableColumn id="5" xr3:uid="{01EC0345-18D0-45BC-A870-7DE6D8B5B28D}" name="Rate /Trips" dataDxfId="151"/>
    <tableColumn id="6" xr3:uid="{B7420375-89AA-46D1-95B8-292C537440E0}" name="Total Value" dataDxfId="150"/>
    <tableColumn id="7" xr3:uid="{85312A62-4C5E-4CC3-8137-09043F6646E2}" name="Received" dataDxfId="149"/>
    <tableColumn id="8" xr3:uid="{6FD8ED43-941D-4BAF-965C-FD5DA7FDAB23}" name="Balance" dataDxfId="148"/>
    <tableColumn id="9" xr3:uid="{6AE4D4B5-D744-43B8-B7E1-B0ACD2DCB851}" name="Paid / Urgent / Warning" dataDxfId="147" dataCellStyle="Normal 2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47C6163-B8E4-49C1-8F1E-F42BA9BF6D64}" name="Table2456879" displayName="Table2456879" ref="A45:D80" totalsRowShown="0" headerRowDxfId="146" headerRowCellStyle="Normal 2">
  <autoFilter ref="A45:D80" xr:uid="{647C6163-B8E4-49C1-8F1E-F42BA9BF6D64}"/>
  <tableColumns count="4">
    <tableColumn id="1" xr3:uid="{6799726C-5360-4F9C-B91E-2F93DB1ACCE7}" name="Date" dataDxfId="145"/>
    <tableColumn id="2" xr3:uid="{8D5DA992-D9CF-4A87-AD3A-2F98D6A2BEF5}" name="Client" dataDxfId="144"/>
    <tableColumn id="3" xr3:uid="{01861017-2D1B-41DE-80B7-6CFD365B5F8A}" name="Destination " dataDxfId="143"/>
    <tableColumn id="4" xr3:uid="{6A9836D6-0891-42F4-88CF-F4943552C551}" name="Trips" dataDxfId="142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ABF254-7DB8-8743-9205-F87D67F77AA1}" name="Table24" displayName="Table24" ref="A3:I49" totalsRowShown="0" headerRowDxfId="141" headerRowCellStyle="Normal 2">
  <autoFilter ref="A3:I49" xr:uid="{8CABF254-7DB8-8743-9205-F87D67F77AA1}"/>
  <sortState xmlns:xlrd2="http://schemas.microsoft.com/office/spreadsheetml/2017/richdata2" ref="A4:I49">
    <sortCondition ref="A3:A49"/>
  </sortState>
  <tableColumns count="9">
    <tableColumn id="1" xr3:uid="{5926CC47-D68E-3C43-9A6A-08316A1EEF1E}" name="Date" dataDxfId="140"/>
    <tableColumn id="2" xr3:uid="{A6C27A13-27E3-7242-A0F6-65D3279BFC94}" name="Client" dataDxfId="139"/>
    <tableColumn id="3" xr3:uid="{BEA7A231-8499-FB4F-9FE2-0A09B7C13E0F}" name="Destination " dataDxfId="138"/>
    <tableColumn id="4" xr3:uid="{612A03EF-AB10-FC49-B551-758E2568E33F}" name="Trips" dataDxfId="137"/>
    <tableColumn id="5" xr3:uid="{D3F0A82C-238B-E04E-A71C-338BAB9D3D18}" name="Rate /Trips" dataDxfId="136"/>
    <tableColumn id="6" xr3:uid="{73A3933A-3762-7345-8F3D-7520C261F3B0}" name="Total Value" dataDxfId="135">
      <calculatedColumnFormula>Table24[[#This Row],[Trips]]*Table24[[#This Row],[Rate /Trips]]</calculatedColumnFormula>
    </tableColumn>
    <tableColumn id="7" xr3:uid="{8267FAD8-E597-0A42-A081-54D9C4125ECF}" name="Received" dataDxfId="134"/>
    <tableColumn id="8" xr3:uid="{B7216DE4-7670-9647-92B1-04FE76289863}" name="Balance" dataDxfId="133">
      <calculatedColumnFormula>Table24[[#This Row],[Total Value]]-Table24[[#This Row],[Received]]</calculatedColumnFormula>
    </tableColumn>
    <tableColumn id="9" xr3:uid="{F2E27568-DC72-5D46-93F1-40DD7B9E13BC}" name="Paid / Urgent / Warning" dataDxfId="132" dataCellStyle="Normal 2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D92BE05-5FC9-49FE-B7FE-4687790F5E7F}" name="Table245687910" displayName="Table245687910" ref="A58:D65" totalsRowShown="0" headerRowDxfId="131" headerRowCellStyle="Normal 2">
  <autoFilter ref="A58:D65" xr:uid="{7D92BE05-5FC9-49FE-B7FE-4687790F5E7F}"/>
  <tableColumns count="4">
    <tableColumn id="1" xr3:uid="{33A6EA82-CCD2-4F8B-B7F6-D2F654ED052C}" name="Date" dataDxfId="130"/>
    <tableColumn id="2" xr3:uid="{6A4FC94E-B23A-4E00-AB13-447B82270188}" name="Client" dataDxfId="129"/>
    <tableColumn id="3" xr3:uid="{0063CC39-B35E-4FB1-8F96-D5E80841A281}" name="Destination " dataDxfId="128"/>
    <tableColumn id="4" xr3:uid="{B52F14DA-5A89-4A52-A902-ED3B7B472581}" name="Trips" dataDxfId="127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C20AF6-A8E1-4545-8251-E57744E8A4B4}" name="Table245" displayName="Table245" ref="A3:I70" totalsRowShown="0" headerRowDxfId="126" headerRowCellStyle="Normal 2">
  <autoFilter ref="A3:I70" xr:uid="{36C20AF6-A8E1-4545-8251-E57744E8A4B4}"/>
  <sortState xmlns:xlrd2="http://schemas.microsoft.com/office/spreadsheetml/2017/richdata2" ref="A4:I70">
    <sortCondition ref="A3:A70"/>
  </sortState>
  <tableColumns count="9">
    <tableColumn id="1" xr3:uid="{AD18098E-6D0E-3541-AE85-D4670F4465FC}" name="Date" dataDxfId="125"/>
    <tableColumn id="2" xr3:uid="{BE307714-9863-5C42-A28D-77642129400C}" name="Client" dataDxfId="124"/>
    <tableColumn id="3" xr3:uid="{61AEBD80-B695-F641-9DC3-F933AA2BE8C8}" name="Destination " dataDxfId="123"/>
    <tableColumn id="4" xr3:uid="{D5E860F1-27DF-8745-B560-E0CA52D3E2E3}" name="Trips" dataDxfId="122"/>
    <tableColumn id="5" xr3:uid="{3ECC2533-A53D-1344-80BB-A4E2FFD4C073}" name="Rate /Trips" dataDxfId="121"/>
    <tableColumn id="6" xr3:uid="{DECA3B30-3F6D-8C4F-A855-34481497D911}" name="Total Value" dataDxfId="120">
      <calculatedColumnFormula>Table245[[#This Row],[Rate /Trips]]*Table245[[#This Row],[Trips]]</calculatedColumnFormula>
    </tableColumn>
    <tableColumn id="7" xr3:uid="{7DC0727A-292E-6443-802A-187F59E069FB}" name="Received" dataDxfId="119"/>
    <tableColumn id="8" xr3:uid="{37B6D4A1-98BE-734B-B9EC-D9644C23F55D}" name="Balance" dataDxfId="118">
      <calculatedColumnFormula>Table245[[#This Row],[Total Value]]-Table245[[#This Row],[Received]]</calculatedColumnFormula>
    </tableColumn>
    <tableColumn id="9" xr3:uid="{CFD174DB-7733-FE40-979C-8DA4BB23AB0D}" name="Paid / Urgent / Warning" dataDxfId="117" dataCellStyle="Normal 2">
      <calculatedColumnFormula>IF(H4&gt;10000,"🚨 URGENT: "&amp;B4&amp;" owes ₹"&amp;H4,IF(H4&gt;5000,"⚠️ WARNING: "&amp;B4&amp;" - ₹"&amp;H4&amp;" due",IF(H4&gt;0,"ℹ️ "&amp;B4&amp;" - ₹"&amp;H4&amp;" pending","✅ Paid")))</calculatedColumnFormula>
    </tableColumn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15DAA79-66A3-457E-A6DB-337F4487CC01}" name="Table24568791011" displayName="Table24568791011" ref="A82:D91" totalsRowShown="0" headerRowDxfId="116" headerRowCellStyle="Normal 2">
  <autoFilter ref="A82:D91" xr:uid="{415DAA79-66A3-457E-A6DB-337F4487CC01}"/>
  <tableColumns count="4">
    <tableColumn id="1" xr3:uid="{C1620FAC-510A-4C70-B375-D50AC61CA4D1}" name="Date" dataDxfId="115"/>
    <tableColumn id="2" xr3:uid="{05A00B3A-7728-426D-954E-67FE47664C4B}" name="Client" dataDxfId="114"/>
    <tableColumn id="3" xr3:uid="{49B8712A-64BC-47E6-9383-C6E2D5A98279}" name="Destination " dataDxfId="113"/>
    <tableColumn id="4" xr3:uid="{995822D4-D757-4CC2-85B0-FCABD73FFEB1}" name="Trips" dataDxfId="112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3F4ABF6-5366-2F43-AB4F-514D37E0F376}" name="Table2456" displayName="Table2456" ref="A3:I49" totalsRowShown="0" headerRowDxfId="111" headerRowCellStyle="Normal 2">
  <autoFilter ref="A3:I49" xr:uid="{83F4ABF6-5366-2F43-AB4F-514D37E0F376}"/>
  <sortState xmlns:xlrd2="http://schemas.microsoft.com/office/spreadsheetml/2017/richdata2" ref="A4:I49">
    <sortCondition ref="A3:A49"/>
  </sortState>
  <tableColumns count="9">
    <tableColumn id="1" xr3:uid="{415E10DD-ED1B-C146-B131-421B4BEBEF46}" name="Date" dataDxfId="110"/>
    <tableColumn id="2" xr3:uid="{D2821D2D-A05B-774E-8D82-A0D10DCA498C}" name="Client" dataDxfId="109"/>
    <tableColumn id="3" xr3:uid="{0717FF65-5BAE-6B44-A622-5316D2E23C72}" name="Destination " dataDxfId="108"/>
    <tableColumn id="4" xr3:uid="{75B32511-3371-BF43-9820-B6215A2577E1}" name="Trips" dataDxfId="107"/>
    <tableColumn id="5" xr3:uid="{2797ED3C-F0E9-2E48-9B69-E3072991B78A}" name="Rate /Trips" dataDxfId="106"/>
    <tableColumn id="6" xr3:uid="{B4F56257-003E-9D47-B4B4-0116243816DB}" name="Total Value" dataDxfId="105">
      <calculatedColumnFormula>Table2456[[#This Row],[Rate /Trips]]*Table2456[[#This Row],[Trips]]</calculatedColumnFormula>
    </tableColumn>
    <tableColumn id="7" xr3:uid="{E7233D9A-36B4-C043-9BF3-645FB781B00A}" name="Received" dataDxfId="104"/>
    <tableColumn id="8" xr3:uid="{53F95529-9B58-D944-9859-993A88E4CDF2}" name="Balance" dataDxfId="103">
      <calculatedColumnFormula>Table2456[[#This Row],[Total Value]]-Table2456[[#This Row],[Received]]</calculatedColumnFormula>
    </tableColumn>
    <tableColumn id="9" xr3:uid="{30151FAE-E749-004B-B674-5D7FE0EC5C7A}" name="Paid / Urgent / Warning" dataDxfId="102" dataCellStyle="Normal 2">
      <calculatedColumnFormula>IF(H4&gt;10000,"🚨 URGENT: "&amp;B4&amp;" owes ₹"&amp;H4,IF(H4&gt;5000,"⚠️ WARNING: "&amp;B4&amp;" - ₹"&amp;H4&amp;" due",IF(H4&gt;0,"ℹ️ "&amp;B4&amp;" - ₹"&amp;H4&amp;" pending","✅ Paid")))</calculatedColumnFormula>
    </tableColumn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CF1E519-1351-F44D-9D39-FE36C5A25EB0}" name="Table24568" displayName="Table24568" ref="A59:D89" totalsRowShown="0" headerRowDxfId="101" headerRowCellStyle="Normal 2">
  <autoFilter ref="A59:D89" xr:uid="{CCF1E519-1351-F44D-9D39-FE36C5A25EB0}"/>
  <sortState xmlns:xlrd2="http://schemas.microsoft.com/office/spreadsheetml/2017/richdata2" ref="A60:D89">
    <sortCondition ref="A59:A89"/>
  </sortState>
  <tableColumns count="4">
    <tableColumn id="1" xr3:uid="{1C826E5B-A5DE-D441-975C-667FE8501347}" name="Date" dataDxfId="100"/>
    <tableColumn id="2" xr3:uid="{5DD3469A-9A62-B04E-B370-CFA37A31EFDE}" name="Client" dataDxfId="99"/>
    <tableColumn id="3" xr3:uid="{696F7238-C3C4-1747-97E8-E2BB38548FA4}" name="Destination " dataDxfId="98"/>
    <tableColumn id="4" xr3:uid="{666EFAF2-05BF-064B-91C9-DBEDB122B442}" name="Trips" dataDxfId="97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49C0168-8A11-5545-9906-70249EBCD2D8}" name="Table245620" displayName="Table245620" ref="A3:I43" totalsRowShown="0" headerRowDxfId="96" headerRowCellStyle="Normal 2">
  <autoFilter ref="A3:I43" xr:uid="{149C0168-8A11-5545-9906-70249EBCD2D8}"/>
  <sortState xmlns:xlrd2="http://schemas.microsoft.com/office/spreadsheetml/2017/richdata2" ref="A4:I43">
    <sortCondition ref="A3:A43"/>
  </sortState>
  <tableColumns count="9">
    <tableColumn id="1" xr3:uid="{FA4EFF72-345E-4442-B315-CCB50A1F2728}" name="Date" dataDxfId="95"/>
    <tableColumn id="2" xr3:uid="{8C722389-706A-5747-B067-DCCAA7DFCC84}" name="Client" dataDxfId="94"/>
    <tableColumn id="3" xr3:uid="{09F407CA-85D6-8A44-9458-7B1492527A19}" name="Destination " dataDxfId="93"/>
    <tableColumn id="4" xr3:uid="{70B525A7-7326-424C-A407-D3C8ECBE957B}" name="Trips" dataDxfId="92"/>
    <tableColumn id="5" xr3:uid="{BFDF03E7-CD32-764D-A3D0-3619677203AB}" name="Rate /Trips" dataDxfId="91"/>
    <tableColumn id="6" xr3:uid="{72DC0388-EC6B-F84B-BB90-4C15BE66630E}" name="Total Value" dataDxfId="90">
      <calculatedColumnFormula>Table245620[[#This Row],[Rate /Trips]]*Table245620[[#This Row],[Trips]]</calculatedColumnFormula>
    </tableColumn>
    <tableColumn id="7" xr3:uid="{7AC36F0A-ADA2-3A4F-9151-DD9BBB7419F1}" name="Received" dataDxfId="89"/>
    <tableColumn id="8" xr3:uid="{9463AE1B-FBF2-534D-9826-917820A459BB}" name="Balance" dataDxfId="88">
      <calculatedColumnFormula>Table245620[[#This Row],[Total Value]]-Table245620[[#This Row],[Received]]</calculatedColumnFormula>
    </tableColumn>
    <tableColumn id="9" xr3:uid="{88D4DFC4-6BED-5542-BEFD-080E37B7D727}" name="Paid / Urgent / Warning" dataDxfId="87" dataCellStyle="Normal 2">
      <calculatedColumnFormula>IF(H4&gt;10000,"🚨 URGENT: "&amp;B4&amp;" owes ₹"&amp;H4,IF(H4&gt;5000,"⚠️ WARNING: "&amp;B4&amp;" - ₹"&amp;H4&amp;" due",IF(H4&gt;0,"ℹ️ "&amp;B4&amp;" - ₹"&amp;H4&amp;" pending","✅ Paid")))</calculatedColumnFormula>
    </tableColumn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38248C2-7D1C-4D44-BAA5-8415074B0072}" name="Table2456821" displayName="Table2456821" ref="A54:D101" totalsRowShown="0" headerRowDxfId="86" headerRowCellStyle="Normal 2">
  <autoFilter ref="A54:D101" xr:uid="{A38248C2-7D1C-4D44-BAA5-8415074B0072}"/>
  <sortState xmlns:xlrd2="http://schemas.microsoft.com/office/spreadsheetml/2017/richdata2" ref="A55:D101">
    <sortCondition ref="A54:A101"/>
  </sortState>
  <tableColumns count="4">
    <tableColumn id="1" xr3:uid="{E22BD812-88D1-244F-87C9-7613760BAC98}" name="Date" dataDxfId="85"/>
    <tableColumn id="2" xr3:uid="{FF599261-5591-2043-8605-0F8E2DDD57F0}" name="Client" dataDxfId="84"/>
    <tableColumn id="3" xr3:uid="{8A00D196-F796-5E44-B782-C39C7201B408}" name="Destination " dataDxfId="83"/>
    <tableColumn id="4" xr3:uid="{1FD6BB78-30DC-044F-868E-55E6CC72E1FD}" name="Trips" dataDxfId="82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83AC9CE-94B8-1442-ABC1-6675CACC2F9B}" name="Table24562022" displayName="Table24562022" ref="A3:I53" totalsRowShown="0" headerRowDxfId="81" headerRowCellStyle="Normal 2">
  <autoFilter ref="A3:I53" xr:uid="{E83AC9CE-94B8-1442-ABC1-6675CACC2F9B}"/>
  <sortState xmlns:xlrd2="http://schemas.microsoft.com/office/spreadsheetml/2017/richdata2" ref="A4:I53">
    <sortCondition ref="B3:B53"/>
  </sortState>
  <tableColumns count="9">
    <tableColumn id="1" xr3:uid="{5FD84E07-DC88-2F48-B93F-7B398100682A}" name="Date" dataDxfId="80"/>
    <tableColumn id="2" xr3:uid="{EF1B880A-4B56-6F46-9381-73564BDA66B5}" name="Client" dataDxfId="79"/>
    <tableColumn id="3" xr3:uid="{AAC08A85-D308-8E4E-B65C-DD1779744E61}" name="Destination " dataDxfId="78"/>
    <tableColumn id="4" xr3:uid="{2F8971F0-9161-8042-A358-22E8D518C7D4}" name="Trips" dataDxfId="77"/>
    <tableColumn id="5" xr3:uid="{EB298A8C-8918-0842-9E07-FCF4CC7888AC}" name="Rate /Trips" dataDxfId="76"/>
    <tableColumn id="6" xr3:uid="{42AE24BB-082D-A946-9726-8EB55E559A55}" name="Total Value" dataDxfId="75">
      <calculatedColumnFormula>Table24562022[[#This Row],[Rate /Trips]]*Table24562022[[#This Row],[Trips]]</calculatedColumnFormula>
    </tableColumn>
    <tableColumn id="7" xr3:uid="{62B6807B-3EE8-B04B-B75C-97937FEB731E}" name="Received" dataDxfId="74"/>
    <tableColumn id="8" xr3:uid="{05E20001-8035-F145-8966-52C471F75E77}" name="Balance" dataDxfId="73">
      <calculatedColumnFormula>Table24562022[[#This Row],[Total Value]]-Table24562022[[#This Row],[Received]]</calculatedColumnFormula>
    </tableColumn>
    <tableColumn id="9" xr3:uid="{6DEB8BFD-ED7B-894A-811A-37A5EA8210F2}" name="Paid / Urgent / Warning" dataDxfId="72" dataCellStyle="Normal 2">
      <calculatedColumnFormula>IF(H4&gt;10000,"🚨 URGENT: "&amp;B4&amp;" owes ₹"&amp;H4,IF(H4&gt;5000,"⚠️ WARNING: "&amp;B4&amp;" - ₹"&amp;H4&amp;" due",IF(H4&gt;0,"ℹ️ "&amp;B4&amp;" - ₹"&amp;H4&amp;" pending","✅ Paid")))</calculatedColumnFormula>
    </tableColumn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5A718A8-1D20-1E44-8480-3517593A3CB3}" name="Table245682123" displayName="Table245682123" ref="A64:D142" totalsRowShown="0" headerRowDxfId="71" headerRowCellStyle="Normal 2">
  <autoFilter ref="A64:D142" xr:uid="{B5A718A8-1D20-1E44-8480-3517593A3CB3}"/>
  <sortState xmlns:xlrd2="http://schemas.microsoft.com/office/spreadsheetml/2017/richdata2" ref="A65:D142">
    <sortCondition ref="A64:A142"/>
  </sortState>
  <tableColumns count="4">
    <tableColumn id="1" xr3:uid="{EFCC2A41-4C9C-934B-8259-A80B2AD44971}" name="Date" dataDxfId="70"/>
    <tableColumn id="2" xr3:uid="{CFD1CBEB-ECCB-AD42-8146-C9CD4D73FAFE}" name="Client" dataDxfId="69"/>
    <tableColumn id="3" xr3:uid="{31224D34-265F-8A4D-BAE9-AB5F31F690C8}" name="Destination " dataDxfId="68"/>
    <tableColumn id="4" xr3:uid="{6BF3FD95-9242-264A-9A27-33E9BC33FBC7}" name="Trips" dataDxfId="67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CB553A6D-1990-8247-9367-88582745A655}" name="Table24562024" displayName="Table24562024" ref="A3:I42" totalsRowShown="0" headerRowDxfId="66" headerRowCellStyle="Normal 2">
  <autoFilter ref="A3:I42" xr:uid="{CB553A6D-1990-8247-9367-88582745A655}"/>
  <sortState xmlns:xlrd2="http://schemas.microsoft.com/office/spreadsheetml/2017/richdata2" ref="A4:I42">
    <sortCondition ref="B3:B42"/>
  </sortState>
  <tableColumns count="9">
    <tableColumn id="1" xr3:uid="{9412C654-9F36-4F41-A84A-443E3A2D0A87}" name="Date" dataDxfId="65"/>
    <tableColumn id="2" xr3:uid="{C43B65ED-6A8D-1C42-AD62-E473D69DF2C1}" name="Client" dataDxfId="64"/>
    <tableColumn id="3" xr3:uid="{3C84528F-7477-304F-9297-84626FBBF18A}" name="Destination " dataDxfId="63"/>
    <tableColumn id="4" xr3:uid="{0F31C71C-6B79-594B-9B2E-B7F5F008D584}" name="Trips" dataDxfId="62"/>
    <tableColumn id="5" xr3:uid="{036C8A81-1730-1B46-996D-F4F5B71AA6E9}" name="Rate /Trips" dataDxfId="61"/>
    <tableColumn id="6" xr3:uid="{E848A423-9AA0-824A-959F-904143AD9EF6}" name="Total Value" dataDxfId="60">
      <calculatedColumnFormula>Table24562024[[#This Row],[Rate /Trips]]*Table24562024[[#This Row],[Trips]]</calculatedColumnFormula>
    </tableColumn>
    <tableColumn id="7" xr3:uid="{FC2CFD3B-82EC-D440-9DC3-00A6F78B1310}" name="Received" dataDxfId="59"/>
    <tableColumn id="8" xr3:uid="{0BB2C764-DE29-A641-83CD-62B0E41DAAE8}" name="Balance" dataDxfId="58">
      <calculatedColumnFormula>Table24562024[[#This Row],[Total Value]]-Table24562024[[#This Row],[Received]]</calculatedColumnFormula>
    </tableColumn>
    <tableColumn id="9" xr3:uid="{1AE65549-48A4-DA40-AF01-7537CD464F1C}" name="Paid / Urgent / Warning" dataDxfId="57" dataCellStyle="Normal 2">
      <calculatedColumnFormula>IF(H4&gt;10000,"🚨 URGENT: "&amp;B4&amp;" owes ₹"&amp;H4,IF(H4&gt;5000,"⚠️ WARNING: "&amp;B4&amp;" - ₹"&amp;H4&amp;" due",IF(H4&gt;0,"ℹ️ "&amp;B4&amp;" - ₹"&amp;H4&amp;" pending","✅ Paid")))</calculatedColumnFormula>
    </tableColumn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C0DB5165-5937-1E44-8C04-B41CE9EE2CAC}" name="Table245682125" displayName="Table245682125" ref="A53:D92" totalsRowShown="0" headerRowDxfId="56" headerRowCellStyle="Normal 2">
  <autoFilter ref="A53:D92" xr:uid="{C0DB5165-5937-1E44-8C04-B41CE9EE2CAC}"/>
  <tableColumns count="4">
    <tableColumn id="1" xr3:uid="{50C59FCF-4D7A-D147-A2CA-D786B1944292}" name="Date" dataDxfId="55"/>
    <tableColumn id="2" xr3:uid="{66BF8E2D-C46D-C045-B48F-FB3352FB7345}" name="Client" dataDxfId="54"/>
    <tableColumn id="3" xr3:uid="{E796A6A2-3784-9541-9D0B-B0325FF9F00D}" name="Destination " dataDxfId="53"/>
    <tableColumn id="4" xr3:uid="{6B91C1AE-774A-AA4D-9CD3-990E01C3FCDB}" name="Trips" dataDxfId="5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table" Target="../tables/table2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56"/>
  <sheetViews>
    <sheetView topLeftCell="A25" workbookViewId="0">
      <selection activeCell="D30" sqref="D30:D53"/>
    </sheetView>
  </sheetViews>
  <sheetFormatPr baseColWidth="10" defaultColWidth="9.1640625" defaultRowHeight="15" x14ac:dyDescent="0.2"/>
  <cols>
    <col min="1" max="1" width="31.5" style="1" customWidth="1"/>
    <col min="2" max="2" width="23.6640625" style="1" bestFit="1" customWidth="1"/>
    <col min="3" max="3" width="25.6640625" style="1" bestFit="1" customWidth="1"/>
    <col min="4" max="4" width="18.83203125" style="1" customWidth="1"/>
    <col min="5" max="5" width="15.33203125" style="1" bestFit="1" customWidth="1"/>
    <col min="6" max="6" width="23.83203125" style="1" bestFit="1" customWidth="1"/>
    <col min="7" max="7" width="20" style="1" bestFit="1" customWidth="1"/>
    <col min="8" max="8" width="18.5" style="1" bestFit="1" customWidth="1"/>
    <col min="9" max="9" width="41" style="1" bestFit="1" customWidth="1"/>
    <col min="10" max="16384" width="9.1640625" style="1"/>
  </cols>
  <sheetData>
    <row r="1" spans="1:9" ht="29" x14ac:dyDescent="0.2">
      <c r="A1" s="42" t="s">
        <v>70</v>
      </c>
      <c r="B1" s="42"/>
      <c r="C1" s="42"/>
      <c r="D1" s="42"/>
      <c r="E1" s="42"/>
      <c r="F1" s="42"/>
      <c r="G1" s="42"/>
      <c r="H1" s="42"/>
      <c r="I1" s="42"/>
    </row>
    <row r="2" spans="1:9" x14ac:dyDescent="0.2">
      <c r="A2" s="43" t="s">
        <v>244</v>
      </c>
      <c r="B2" s="43"/>
      <c r="C2" s="43"/>
      <c r="D2" s="43"/>
      <c r="E2" s="43"/>
      <c r="F2" s="43"/>
      <c r="G2" s="43"/>
      <c r="H2" s="43"/>
      <c r="I2" s="43"/>
    </row>
    <row r="3" spans="1:9" ht="16" x14ac:dyDescent="0.2">
      <c r="A3" s="15" t="s">
        <v>0</v>
      </c>
      <c r="B3" s="14" t="s">
        <v>69</v>
      </c>
      <c r="C3" s="14" t="s">
        <v>68</v>
      </c>
      <c r="D3" s="14" t="s">
        <v>1</v>
      </c>
      <c r="E3" s="13" t="s">
        <v>67</v>
      </c>
      <c r="F3" s="13" t="s">
        <v>50</v>
      </c>
      <c r="G3" s="13" t="s">
        <v>66</v>
      </c>
      <c r="H3" s="13" t="s">
        <v>2</v>
      </c>
      <c r="I3" s="13" t="s">
        <v>65</v>
      </c>
    </row>
    <row r="4" spans="1:9" ht="16" x14ac:dyDescent="0.2">
      <c r="A4" s="24">
        <v>45667</v>
      </c>
      <c r="B4" s="22" t="s">
        <v>247</v>
      </c>
      <c r="C4" s="22" t="s">
        <v>3</v>
      </c>
      <c r="D4" s="2">
        <v>1</v>
      </c>
      <c r="E4" s="25">
        <v>4000</v>
      </c>
      <c r="F4" s="25">
        <f t="shared" ref="F4:F9" si="0">E4*D4</f>
        <v>4000</v>
      </c>
      <c r="G4" s="25">
        <v>4000</v>
      </c>
      <c r="H4" s="25">
        <f t="shared" ref="H4:H11" si="1">F4-G4</f>
        <v>0</v>
      </c>
      <c r="I4" s="9" t="str">
        <f t="shared" ref="I4:I11" si="2">IF(H4&gt;10000,"🚨 URGENT: "&amp;B4&amp;" owes ₹"&amp;H4,IF(H4&gt;5000,"⚠️ WARNING: "&amp;B4&amp;" - ₹"&amp;H4&amp;" due",IF(H4&gt;0,"ℹ️ "&amp;B4&amp;" - ₹"&amp;H4&amp;" pending","✅ Paid")))</f>
        <v>✅ Paid</v>
      </c>
    </row>
    <row r="5" spans="1:9" ht="16" x14ac:dyDescent="0.2">
      <c r="A5" s="24">
        <v>45669</v>
      </c>
      <c r="B5" s="22" t="s">
        <v>248</v>
      </c>
      <c r="C5" s="22" t="s">
        <v>4</v>
      </c>
      <c r="D5" s="2">
        <v>1</v>
      </c>
      <c r="E5" s="25">
        <v>4000</v>
      </c>
      <c r="F5" s="25">
        <f t="shared" si="0"/>
        <v>4000</v>
      </c>
      <c r="G5" s="25">
        <v>4000</v>
      </c>
      <c r="H5" s="25">
        <f t="shared" si="1"/>
        <v>0</v>
      </c>
      <c r="I5" s="9" t="str">
        <f t="shared" si="2"/>
        <v>✅ Paid</v>
      </c>
    </row>
    <row r="6" spans="1:9" ht="16" x14ac:dyDescent="0.2">
      <c r="A6" s="24">
        <v>45672</v>
      </c>
      <c r="B6" s="23" t="s">
        <v>249</v>
      </c>
      <c r="C6" s="23" t="s">
        <v>250</v>
      </c>
      <c r="D6" s="17">
        <v>1</v>
      </c>
      <c r="E6" s="25">
        <v>1000</v>
      </c>
      <c r="F6" s="25">
        <f t="shared" si="0"/>
        <v>1000</v>
      </c>
      <c r="G6" s="25">
        <v>1000</v>
      </c>
      <c r="H6" s="25">
        <f t="shared" si="1"/>
        <v>0</v>
      </c>
      <c r="I6" s="9" t="str">
        <f t="shared" si="2"/>
        <v>✅ Paid</v>
      </c>
    </row>
    <row r="7" spans="1:9" ht="16" x14ac:dyDescent="0.2">
      <c r="A7" s="24">
        <v>45673</v>
      </c>
      <c r="B7" s="23" t="s">
        <v>247</v>
      </c>
      <c r="C7" s="23" t="s">
        <v>3</v>
      </c>
      <c r="D7" s="17">
        <v>1</v>
      </c>
      <c r="E7" s="25">
        <v>4000</v>
      </c>
      <c r="F7" s="25">
        <f t="shared" si="0"/>
        <v>4000</v>
      </c>
      <c r="G7" s="25">
        <v>4000</v>
      </c>
      <c r="H7" s="25">
        <f t="shared" si="1"/>
        <v>0</v>
      </c>
      <c r="I7" s="9" t="str">
        <f t="shared" si="2"/>
        <v>✅ Paid</v>
      </c>
    </row>
    <row r="8" spans="1:9" ht="16" x14ac:dyDescent="0.2">
      <c r="A8" s="24">
        <v>45675</v>
      </c>
      <c r="B8" s="23" t="s">
        <v>248</v>
      </c>
      <c r="C8" s="23" t="s">
        <v>4</v>
      </c>
      <c r="D8" s="17">
        <v>1</v>
      </c>
      <c r="E8" s="25">
        <v>4000</v>
      </c>
      <c r="F8" s="25">
        <f t="shared" si="0"/>
        <v>4000</v>
      </c>
      <c r="G8" s="25">
        <v>4000</v>
      </c>
      <c r="H8" s="25">
        <f t="shared" si="1"/>
        <v>0</v>
      </c>
      <c r="I8" s="9" t="str">
        <f t="shared" si="2"/>
        <v>✅ Paid</v>
      </c>
    </row>
    <row r="9" spans="1:9" ht="16" x14ac:dyDescent="0.2">
      <c r="A9" s="24">
        <v>45681</v>
      </c>
      <c r="B9" s="23" t="s">
        <v>251</v>
      </c>
      <c r="C9" s="23" t="s">
        <v>252</v>
      </c>
      <c r="D9" s="17">
        <v>1</v>
      </c>
      <c r="E9" s="25">
        <v>4000</v>
      </c>
      <c r="F9" s="25">
        <f t="shared" si="0"/>
        <v>4000</v>
      </c>
      <c r="G9" s="25">
        <v>4000</v>
      </c>
      <c r="H9" s="25">
        <f t="shared" si="1"/>
        <v>0</v>
      </c>
      <c r="I9" s="9" t="str">
        <f t="shared" si="2"/>
        <v>✅ Paid</v>
      </c>
    </row>
    <row r="10" spans="1:9" ht="16" x14ac:dyDescent="0.2">
      <c r="A10" s="24">
        <v>45681</v>
      </c>
      <c r="B10" s="23" t="s">
        <v>253</v>
      </c>
      <c r="C10" s="23" t="s">
        <v>4</v>
      </c>
      <c r="D10" s="17">
        <v>1</v>
      </c>
      <c r="E10" s="25">
        <v>4000</v>
      </c>
      <c r="F10" s="25">
        <f t="shared" ref="F10:F11" si="3">E10*D10</f>
        <v>4000</v>
      </c>
      <c r="G10" s="25">
        <v>4000</v>
      </c>
      <c r="H10" s="25">
        <f t="shared" si="1"/>
        <v>0</v>
      </c>
      <c r="I10" s="9" t="str">
        <f t="shared" si="2"/>
        <v>✅ Paid</v>
      </c>
    </row>
    <row r="11" spans="1:9" ht="16" x14ac:dyDescent="0.2">
      <c r="A11" s="24">
        <v>45682</v>
      </c>
      <c r="B11" s="23" t="s">
        <v>5</v>
      </c>
      <c r="C11" s="23" t="s">
        <v>6</v>
      </c>
      <c r="D11" s="17">
        <v>1</v>
      </c>
      <c r="E11" s="25">
        <v>4000</v>
      </c>
      <c r="F11" s="25">
        <f t="shared" si="3"/>
        <v>4000</v>
      </c>
      <c r="G11" s="25">
        <v>4000</v>
      </c>
      <c r="H11" s="25">
        <f t="shared" si="1"/>
        <v>0</v>
      </c>
      <c r="I11" s="9" t="str">
        <f t="shared" si="2"/>
        <v>✅ Paid</v>
      </c>
    </row>
    <row r="12" spans="1:9" ht="16" x14ac:dyDescent="0.2">
      <c r="A12" s="3"/>
      <c r="B12" s="2"/>
      <c r="C12" s="2"/>
      <c r="D12" s="2"/>
      <c r="E12" s="16"/>
      <c r="F12" s="16"/>
      <c r="G12" s="16"/>
      <c r="H12" s="16"/>
      <c r="I12" s="9"/>
    </row>
    <row r="13" spans="1:9" ht="16" x14ac:dyDescent="0.2">
      <c r="A13" s="24"/>
      <c r="B13" s="22"/>
      <c r="C13" s="22"/>
      <c r="D13" s="2"/>
      <c r="E13" s="25"/>
      <c r="F13" s="25"/>
      <c r="G13" s="25"/>
      <c r="H13" s="25"/>
      <c r="I13" s="9"/>
    </row>
    <row r="14" spans="1:9" ht="16" x14ac:dyDescent="0.2">
      <c r="A14" s="24"/>
      <c r="B14" s="22"/>
      <c r="C14" s="22"/>
      <c r="D14" s="2"/>
      <c r="E14" s="25"/>
      <c r="F14" s="25"/>
      <c r="G14" s="25"/>
      <c r="H14" s="25"/>
      <c r="I14" s="9"/>
    </row>
    <row r="15" spans="1:9" ht="16" x14ac:dyDescent="0.2">
      <c r="A15" s="24"/>
      <c r="B15" s="23"/>
      <c r="C15" s="23"/>
      <c r="D15" s="17"/>
      <c r="E15" s="25"/>
      <c r="F15" s="25"/>
      <c r="G15" s="25"/>
      <c r="H15" s="25"/>
      <c r="I15" s="9"/>
    </row>
    <row r="16" spans="1:9" ht="16" x14ac:dyDescent="0.2">
      <c r="A16" s="24"/>
      <c r="B16" s="23"/>
      <c r="C16" s="23"/>
      <c r="D16" s="17"/>
      <c r="E16" s="25"/>
      <c r="F16" s="25"/>
      <c r="G16" s="25"/>
      <c r="H16" s="25"/>
      <c r="I16" s="9"/>
    </row>
    <row r="17" spans="1:9" ht="16" x14ac:dyDescent="0.2">
      <c r="A17" s="24"/>
      <c r="B17" s="23"/>
      <c r="C17" s="23"/>
      <c r="D17" s="17"/>
      <c r="E17" s="25"/>
      <c r="F17" s="25"/>
      <c r="G17" s="25"/>
      <c r="H17" s="25"/>
      <c r="I17" s="9"/>
    </row>
    <row r="18" spans="1:9" ht="16" x14ac:dyDescent="0.2">
      <c r="A18" s="24"/>
      <c r="B18" s="23"/>
      <c r="C18" s="23"/>
      <c r="D18" s="17"/>
      <c r="E18" s="25"/>
      <c r="F18" s="25"/>
      <c r="G18" s="25"/>
      <c r="H18" s="25"/>
      <c r="I18" s="9"/>
    </row>
    <row r="19" spans="1:9" ht="24" x14ac:dyDescent="0.2">
      <c r="A19"/>
      <c r="B19"/>
      <c r="C19"/>
      <c r="D19" s="21" t="s">
        <v>7</v>
      </c>
      <c r="E19" s="18"/>
      <c r="F19" s="21" t="s">
        <v>50</v>
      </c>
      <c r="G19" s="21" t="s">
        <v>49</v>
      </c>
      <c r="H19" s="21" t="s">
        <v>48</v>
      </c>
      <c r="I19"/>
    </row>
    <row r="20" spans="1:9" ht="24" x14ac:dyDescent="0.2">
      <c r="A20"/>
      <c r="B20"/>
      <c r="C20"/>
      <c r="D20" s="19">
        <f>SUM(D4:D18)</f>
        <v>8</v>
      </c>
      <c r="E20" s="18"/>
      <c r="F20" s="20">
        <f>SUM(F4:F18)</f>
        <v>29000</v>
      </c>
      <c r="G20" s="20">
        <f>SUM(G4:G18)</f>
        <v>29000</v>
      </c>
      <c r="H20" s="20">
        <f>SUM(H4:H18)</f>
        <v>0</v>
      </c>
      <c r="I20"/>
    </row>
    <row r="21" spans="1:9" x14ac:dyDescent="0.2">
      <c r="A21"/>
      <c r="B21"/>
      <c r="C21"/>
      <c r="D21"/>
      <c r="E21"/>
      <c r="F21"/>
      <c r="G21"/>
      <c r="H21"/>
      <c r="I21"/>
    </row>
    <row r="22" spans="1:9" x14ac:dyDescent="0.2">
      <c r="A22"/>
      <c r="B22"/>
      <c r="C22"/>
      <c r="D22"/>
      <c r="E22"/>
      <c r="F22"/>
      <c r="G22"/>
      <c r="H22"/>
      <c r="I22"/>
    </row>
    <row r="23" spans="1:9" x14ac:dyDescent="0.2">
      <c r="A23"/>
      <c r="B23"/>
      <c r="C23"/>
      <c r="D23"/>
      <c r="E23"/>
      <c r="F23"/>
      <c r="G23"/>
      <c r="H23"/>
      <c r="I23"/>
    </row>
    <row r="24" spans="1:9" x14ac:dyDescent="0.2">
      <c r="A24"/>
      <c r="B24"/>
      <c r="C24"/>
      <c r="D24"/>
      <c r="E24"/>
      <c r="F24"/>
      <c r="G24"/>
      <c r="H24"/>
      <c r="I24"/>
    </row>
    <row r="25" spans="1:9" x14ac:dyDescent="0.2">
      <c r="A25"/>
      <c r="B25"/>
      <c r="C25"/>
      <c r="D25"/>
      <c r="E25"/>
      <c r="F25"/>
      <c r="G25"/>
      <c r="H25"/>
      <c r="I25"/>
    </row>
    <row r="26" spans="1:9" ht="29" x14ac:dyDescent="0.2">
      <c r="A26" s="42" t="s">
        <v>70</v>
      </c>
      <c r="B26" s="42"/>
      <c r="C26" s="42"/>
      <c r="D26" s="42"/>
      <c r="E26"/>
      <c r="F26"/>
      <c r="G26"/>
      <c r="H26"/>
      <c r="I26"/>
    </row>
    <row r="27" spans="1:9" x14ac:dyDescent="0.2">
      <c r="A27" s="43" t="s">
        <v>245</v>
      </c>
      <c r="B27" s="43"/>
      <c r="C27" s="43"/>
      <c r="D27" s="43"/>
      <c r="E27"/>
      <c r="F27"/>
      <c r="G27"/>
      <c r="H27"/>
      <c r="I27"/>
    </row>
    <row r="28" spans="1:9" ht="16" x14ac:dyDescent="0.2">
      <c r="A28" s="15" t="s">
        <v>0</v>
      </c>
      <c r="B28" s="14" t="s">
        <v>69</v>
      </c>
      <c r="C28" s="14" t="s">
        <v>68</v>
      </c>
      <c r="D28" s="14" t="s">
        <v>1</v>
      </c>
      <c r="E28"/>
      <c r="F28"/>
      <c r="G28"/>
      <c r="H28"/>
      <c r="I28"/>
    </row>
    <row r="29" spans="1:9" x14ac:dyDescent="0.2">
      <c r="A29" s="3"/>
      <c r="B29" s="22"/>
      <c r="C29" s="22"/>
      <c r="D29" s="2"/>
      <c r="E29"/>
      <c r="F29"/>
      <c r="G29"/>
      <c r="H29"/>
      <c r="I29"/>
    </row>
    <row r="30" spans="1:9" ht="16" x14ac:dyDescent="0.2">
      <c r="A30" s="24">
        <v>45658</v>
      </c>
      <c r="B30" s="32" t="s">
        <v>187</v>
      </c>
      <c r="C30" s="32" t="s">
        <v>188</v>
      </c>
      <c r="D30" s="11">
        <v>1</v>
      </c>
      <c r="E30"/>
      <c r="F30"/>
      <c r="G30"/>
      <c r="H30"/>
      <c r="I30"/>
    </row>
    <row r="31" spans="1:9" ht="16" x14ac:dyDescent="0.2">
      <c r="A31" s="24">
        <v>45666</v>
      </c>
      <c r="B31" s="32" t="s">
        <v>187</v>
      </c>
      <c r="C31" s="34" t="s">
        <v>246</v>
      </c>
      <c r="D31" s="17">
        <v>3</v>
      </c>
      <c r="E31"/>
      <c r="F31"/>
      <c r="G31"/>
      <c r="H31"/>
      <c r="I31"/>
    </row>
    <row r="32" spans="1:9" ht="16" x14ac:dyDescent="0.2">
      <c r="A32" s="24">
        <v>45667</v>
      </c>
      <c r="B32" s="32" t="s">
        <v>187</v>
      </c>
      <c r="C32" s="32" t="s">
        <v>188</v>
      </c>
      <c r="D32" s="17">
        <v>7</v>
      </c>
      <c r="E32"/>
      <c r="F32"/>
      <c r="G32"/>
      <c r="H32"/>
      <c r="I32"/>
    </row>
    <row r="33" spans="1:9" ht="16" x14ac:dyDescent="0.2">
      <c r="A33" s="24">
        <v>45668</v>
      </c>
      <c r="B33" s="32" t="s">
        <v>187</v>
      </c>
      <c r="C33" s="32" t="s">
        <v>188</v>
      </c>
      <c r="D33" s="17">
        <v>13</v>
      </c>
      <c r="E33"/>
      <c r="F33"/>
      <c r="G33"/>
      <c r="H33"/>
      <c r="I33"/>
    </row>
    <row r="34" spans="1:9" ht="16" x14ac:dyDescent="0.2">
      <c r="A34" s="24">
        <v>45669</v>
      </c>
      <c r="B34" s="32" t="s">
        <v>187</v>
      </c>
      <c r="C34" s="32" t="s">
        <v>188</v>
      </c>
      <c r="D34" s="17">
        <v>11</v>
      </c>
      <c r="E34"/>
      <c r="F34"/>
      <c r="G34"/>
      <c r="H34"/>
      <c r="I34"/>
    </row>
    <row r="35" spans="1:9" ht="16" x14ac:dyDescent="0.2">
      <c r="A35" s="24">
        <v>45670</v>
      </c>
      <c r="B35" s="32" t="s">
        <v>187</v>
      </c>
      <c r="C35" s="32" t="s">
        <v>188</v>
      </c>
      <c r="D35" s="17">
        <v>12</v>
      </c>
      <c r="E35"/>
      <c r="F35"/>
      <c r="G35"/>
      <c r="H35"/>
      <c r="I35"/>
    </row>
    <row r="36" spans="1:9" ht="16" x14ac:dyDescent="0.2">
      <c r="A36" s="24">
        <v>45671</v>
      </c>
      <c r="B36" s="32" t="s">
        <v>187</v>
      </c>
      <c r="C36" s="32" t="s">
        <v>188</v>
      </c>
      <c r="D36" s="17">
        <v>16</v>
      </c>
      <c r="E36"/>
      <c r="F36"/>
      <c r="G36"/>
      <c r="H36"/>
      <c r="I36"/>
    </row>
    <row r="37" spans="1:9" ht="16" x14ac:dyDescent="0.2">
      <c r="A37" s="24">
        <v>45672</v>
      </c>
      <c r="B37" s="32" t="s">
        <v>187</v>
      </c>
      <c r="C37" s="32" t="s">
        <v>188</v>
      </c>
      <c r="D37" s="17">
        <v>10</v>
      </c>
      <c r="E37"/>
      <c r="F37"/>
      <c r="G37"/>
      <c r="H37"/>
      <c r="I37"/>
    </row>
    <row r="38" spans="1:9" ht="16" x14ac:dyDescent="0.2">
      <c r="A38" s="24">
        <v>45673</v>
      </c>
      <c r="B38" s="32" t="s">
        <v>187</v>
      </c>
      <c r="C38" s="32" t="s">
        <v>188</v>
      </c>
      <c r="D38" s="17">
        <v>10</v>
      </c>
      <c r="E38"/>
      <c r="F38"/>
      <c r="G38"/>
      <c r="H38"/>
      <c r="I38"/>
    </row>
    <row r="39" spans="1:9" ht="16" x14ac:dyDescent="0.2">
      <c r="A39" s="24">
        <v>45674</v>
      </c>
      <c r="B39" s="32" t="s">
        <v>187</v>
      </c>
      <c r="C39" s="32" t="s">
        <v>188</v>
      </c>
      <c r="D39" s="17">
        <v>11</v>
      </c>
      <c r="E39"/>
      <c r="F39"/>
      <c r="G39"/>
      <c r="H39"/>
      <c r="I39"/>
    </row>
    <row r="40" spans="1:9" ht="16" x14ac:dyDescent="0.2">
      <c r="A40" s="24">
        <v>45675</v>
      </c>
      <c r="B40" s="32" t="s">
        <v>187</v>
      </c>
      <c r="C40" s="32" t="s">
        <v>188</v>
      </c>
      <c r="D40" s="17">
        <v>15</v>
      </c>
      <c r="E40"/>
      <c r="F40"/>
      <c r="G40"/>
      <c r="H40"/>
      <c r="I40"/>
    </row>
    <row r="41" spans="1:9" ht="16" x14ac:dyDescent="0.2">
      <c r="A41" s="24">
        <v>45676</v>
      </c>
      <c r="B41" s="32" t="s">
        <v>187</v>
      </c>
      <c r="C41" s="32" t="s">
        <v>188</v>
      </c>
      <c r="D41" s="17">
        <v>5</v>
      </c>
      <c r="E41"/>
      <c r="F41"/>
      <c r="G41"/>
      <c r="H41"/>
      <c r="I41"/>
    </row>
    <row r="42" spans="1:9" ht="16" x14ac:dyDescent="0.2">
      <c r="A42" s="24">
        <v>45677</v>
      </c>
      <c r="B42" s="32" t="s">
        <v>187</v>
      </c>
      <c r="C42" s="32" t="s">
        <v>188</v>
      </c>
      <c r="D42" s="17">
        <v>7</v>
      </c>
      <c r="E42"/>
      <c r="F42"/>
      <c r="G42"/>
      <c r="H42"/>
      <c r="I42"/>
    </row>
    <row r="43" spans="1:9" ht="16" x14ac:dyDescent="0.2">
      <c r="A43" s="24">
        <v>45678</v>
      </c>
      <c r="B43" s="32" t="s">
        <v>187</v>
      </c>
      <c r="C43" s="32" t="s">
        <v>188</v>
      </c>
      <c r="D43" s="17">
        <v>13</v>
      </c>
      <c r="E43"/>
      <c r="F43"/>
      <c r="G43"/>
      <c r="H43"/>
      <c r="I43"/>
    </row>
    <row r="44" spans="1:9" ht="16" x14ac:dyDescent="0.2">
      <c r="A44" s="24">
        <v>45679</v>
      </c>
      <c r="B44" s="32" t="s">
        <v>187</v>
      </c>
      <c r="C44" s="32" t="s">
        <v>188</v>
      </c>
      <c r="D44" s="17">
        <v>3</v>
      </c>
      <c r="E44"/>
      <c r="F44"/>
      <c r="G44"/>
      <c r="H44"/>
      <c r="I44"/>
    </row>
    <row r="45" spans="1:9" ht="16" x14ac:dyDescent="0.2">
      <c r="A45" s="24">
        <v>45680</v>
      </c>
      <c r="B45" s="32" t="s">
        <v>187</v>
      </c>
      <c r="C45" s="32" t="s">
        <v>188</v>
      </c>
      <c r="D45" s="17">
        <v>11</v>
      </c>
      <c r="E45"/>
      <c r="F45"/>
      <c r="G45"/>
      <c r="H45"/>
      <c r="I45"/>
    </row>
    <row r="46" spans="1:9" ht="16" x14ac:dyDescent="0.2">
      <c r="A46" s="24">
        <v>45681</v>
      </c>
      <c r="B46" s="32" t="s">
        <v>187</v>
      </c>
      <c r="C46" s="32" t="s">
        <v>188</v>
      </c>
      <c r="D46" s="17">
        <v>11</v>
      </c>
      <c r="E46"/>
      <c r="F46"/>
      <c r="G46"/>
      <c r="H46"/>
      <c r="I46"/>
    </row>
    <row r="47" spans="1:9" ht="16" x14ac:dyDescent="0.2">
      <c r="A47" s="24">
        <v>45682</v>
      </c>
      <c r="B47" s="32" t="s">
        <v>187</v>
      </c>
      <c r="C47" s="32" t="s">
        <v>188</v>
      </c>
      <c r="D47" s="17">
        <v>14</v>
      </c>
      <c r="E47"/>
      <c r="F47"/>
      <c r="G47"/>
      <c r="H47"/>
      <c r="I47"/>
    </row>
    <row r="48" spans="1:9" ht="16" x14ac:dyDescent="0.2">
      <c r="A48" s="24">
        <v>45683</v>
      </c>
      <c r="B48" s="32" t="s">
        <v>187</v>
      </c>
      <c r="C48" s="32" t="s">
        <v>188</v>
      </c>
      <c r="D48" s="17">
        <v>8</v>
      </c>
      <c r="E48"/>
      <c r="F48"/>
      <c r="G48"/>
      <c r="H48"/>
      <c r="I48"/>
    </row>
    <row r="49" spans="1:9" ht="16" x14ac:dyDescent="0.2">
      <c r="A49" s="24">
        <v>45684</v>
      </c>
      <c r="B49" s="32" t="s">
        <v>187</v>
      </c>
      <c r="C49" s="32" t="s">
        <v>188</v>
      </c>
      <c r="D49" s="17">
        <v>10</v>
      </c>
      <c r="E49"/>
      <c r="F49"/>
      <c r="G49"/>
      <c r="H49"/>
      <c r="I49"/>
    </row>
    <row r="50" spans="1:9" ht="16" x14ac:dyDescent="0.2">
      <c r="A50" s="24">
        <v>45685</v>
      </c>
      <c r="B50" s="32" t="s">
        <v>187</v>
      </c>
      <c r="C50" s="32" t="s">
        <v>188</v>
      </c>
      <c r="D50" s="17">
        <v>6</v>
      </c>
      <c r="E50"/>
      <c r="F50"/>
      <c r="G50"/>
      <c r="H50"/>
      <c r="I50"/>
    </row>
    <row r="51" spans="1:9" ht="16" x14ac:dyDescent="0.2">
      <c r="A51" s="24">
        <v>45686</v>
      </c>
      <c r="B51" s="32" t="s">
        <v>187</v>
      </c>
      <c r="C51" s="32" t="s">
        <v>188</v>
      </c>
      <c r="D51" s="17">
        <v>14</v>
      </c>
      <c r="E51"/>
      <c r="F51"/>
      <c r="G51"/>
      <c r="H51"/>
      <c r="I51"/>
    </row>
    <row r="52" spans="1:9" ht="16" x14ac:dyDescent="0.2">
      <c r="A52" s="24">
        <v>45687</v>
      </c>
      <c r="B52" s="32" t="s">
        <v>187</v>
      </c>
      <c r="C52" s="32" t="s">
        <v>188</v>
      </c>
      <c r="D52" s="17">
        <v>21</v>
      </c>
      <c r="E52"/>
      <c r="F52"/>
      <c r="G52"/>
      <c r="H52"/>
      <c r="I52"/>
    </row>
    <row r="53" spans="1:9" ht="16" x14ac:dyDescent="0.2">
      <c r="A53" s="24">
        <v>45688</v>
      </c>
      <c r="B53" s="32" t="s">
        <v>187</v>
      </c>
      <c r="C53" s="32" t="s">
        <v>188</v>
      </c>
      <c r="D53" s="17">
        <v>21</v>
      </c>
      <c r="E53"/>
      <c r="F53"/>
      <c r="G53"/>
      <c r="H53"/>
      <c r="I53"/>
    </row>
    <row r="54" spans="1:9" x14ac:dyDescent="0.2">
      <c r="A54" s="24"/>
      <c r="B54" s="23"/>
      <c r="C54" s="23"/>
      <c r="D54" s="17"/>
      <c r="E54"/>
      <c r="F54"/>
      <c r="G54"/>
      <c r="H54"/>
      <c r="I54"/>
    </row>
    <row r="55" spans="1:9" ht="24" x14ac:dyDescent="0.2">
      <c r="A55"/>
      <c r="B55"/>
      <c r="C55"/>
      <c r="D55" s="21" t="s">
        <v>7</v>
      </c>
      <c r="E55"/>
      <c r="F55"/>
      <c r="G55"/>
      <c r="H55"/>
      <c r="I55"/>
    </row>
    <row r="56" spans="1:9" ht="24" x14ac:dyDescent="0.2">
      <c r="A56"/>
      <c r="B56"/>
      <c r="C56"/>
      <c r="D56" s="19">
        <f>SUM(D29:D54)</f>
        <v>253</v>
      </c>
      <c r="E56"/>
      <c r="F56"/>
      <c r="G56"/>
      <c r="H56"/>
      <c r="I56"/>
    </row>
  </sheetData>
  <mergeCells count="4">
    <mergeCell ref="A1:I1"/>
    <mergeCell ref="A2:I2"/>
    <mergeCell ref="A26:D26"/>
    <mergeCell ref="A27:D27"/>
  </mergeCells>
  <conditionalFormatting sqref="I4:I18">
    <cfRule type="containsText" dxfId="51" priority="1" operator="containsText" text="✅">
      <formula>NOT(ISERROR(SEARCH("✅",I4)))</formula>
    </cfRule>
    <cfRule type="containsText" dxfId="50" priority="2" operator="containsText" text="ℹ️">
      <formula>NOT(ISERROR(SEARCH("ℹ️",I4)))</formula>
    </cfRule>
    <cfRule type="containsText" dxfId="49" priority="3" operator="containsText" text="⚠️">
      <formula>NOT(ISERROR(SEARCH("⚠️",I4)))</formula>
    </cfRule>
    <cfRule type="containsText" dxfId="48" priority="4" operator="containsText" text="🚨">
      <formula>NOT(ISERROR(SEARCH("🚨",I4)))</formula>
    </cfRule>
  </conditionalFormatting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D3D32-214A-4ADC-82EB-6F5B7CDF8A13}">
  <sheetPr codeName="Sheet2"/>
  <dimension ref="A1:I58"/>
  <sheetViews>
    <sheetView topLeftCell="A24" zoomScale="115" zoomScaleNormal="115" workbookViewId="0">
      <selection activeCell="D36" sqref="D36:D55"/>
    </sheetView>
  </sheetViews>
  <sheetFormatPr baseColWidth="10" defaultColWidth="8.83203125" defaultRowHeight="15" x14ac:dyDescent="0.2"/>
  <cols>
    <col min="1" max="1" width="25.5" bestFit="1" customWidth="1"/>
    <col min="2" max="2" width="38.6640625" customWidth="1"/>
    <col min="3" max="3" width="34.33203125" customWidth="1"/>
    <col min="4" max="4" width="16.83203125" bestFit="1" customWidth="1"/>
    <col min="5" max="5" width="16.33203125" bestFit="1" customWidth="1"/>
    <col min="6" max="6" width="20.33203125" bestFit="1" customWidth="1"/>
    <col min="7" max="7" width="22.5" bestFit="1" customWidth="1"/>
    <col min="8" max="8" width="20.6640625" bestFit="1" customWidth="1"/>
    <col min="9" max="9" width="43" customWidth="1"/>
  </cols>
  <sheetData>
    <row r="1" spans="1:9" ht="29" x14ac:dyDescent="0.2">
      <c r="A1" s="42" t="s">
        <v>70</v>
      </c>
      <c r="B1" s="42"/>
      <c r="C1" s="42"/>
      <c r="D1" s="42"/>
      <c r="E1" s="42"/>
      <c r="F1" s="42"/>
      <c r="G1" s="42"/>
      <c r="H1" s="42"/>
      <c r="I1" s="42"/>
    </row>
    <row r="2" spans="1:9" x14ac:dyDescent="0.2">
      <c r="A2" s="43" t="s">
        <v>239</v>
      </c>
      <c r="B2" s="43"/>
      <c r="C2" s="43"/>
      <c r="D2" s="43"/>
      <c r="E2" s="43"/>
      <c r="F2" s="43"/>
      <c r="G2" s="43"/>
      <c r="H2" s="43"/>
      <c r="I2" s="43"/>
    </row>
    <row r="3" spans="1:9" ht="16" x14ac:dyDescent="0.2">
      <c r="A3" s="15" t="s">
        <v>0</v>
      </c>
      <c r="B3" s="14" t="s">
        <v>69</v>
      </c>
      <c r="C3" s="14" t="s">
        <v>68</v>
      </c>
      <c r="D3" s="14" t="s">
        <v>1</v>
      </c>
      <c r="E3" s="13" t="s">
        <v>67</v>
      </c>
      <c r="F3" s="13" t="s">
        <v>50</v>
      </c>
      <c r="G3" s="13" t="s">
        <v>66</v>
      </c>
      <c r="H3" s="13" t="s">
        <v>2</v>
      </c>
      <c r="I3" s="13" t="s">
        <v>65</v>
      </c>
    </row>
    <row r="4" spans="1:9" ht="16" x14ac:dyDescent="0.2">
      <c r="A4" s="24">
        <v>45689</v>
      </c>
      <c r="B4" s="22" t="s">
        <v>226</v>
      </c>
      <c r="C4" s="22" t="s">
        <v>8</v>
      </c>
      <c r="D4" s="2">
        <v>1</v>
      </c>
      <c r="E4" s="25">
        <v>5000</v>
      </c>
      <c r="F4" s="25">
        <f>E4*D4</f>
        <v>5000</v>
      </c>
      <c r="G4" s="25">
        <v>5000</v>
      </c>
      <c r="H4" s="25">
        <f>F4-G4</f>
        <v>0</v>
      </c>
      <c r="I4" s="9" t="str">
        <f>IF(H4&gt;10000,"🚨 URGENT: "&amp;B4&amp;" owes ₹"&amp;H4,IF(H4&gt;5000,"⚠️ WARNING: "&amp;B4&amp;" - ₹"&amp;H4&amp;" due",IF(H4&gt;0,"ℹ️ "&amp;B4&amp;" - ₹"&amp;H4&amp;" pending","✅ Paid")))</f>
        <v>✅ Paid</v>
      </c>
    </row>
    <row r="5" spans="1:9" ht="16" x14ac:dyDescent="0.2">
      <c r="A5" s="24">
        <v>45690</v>
      </c>
      <c r="B5" s="22" t="s">
        <v>227</v>
      </c>
      <c r="C5" s="22" t="s">
        <v>3</v>
      </c>
      <c r="D5" s="2">
        <v>1</v>
      </c>
      <c r="E5" s="25">
        <v>4000</v>
      </c>
      <c r="F5" s="25">
        <f>E5*D5</f>
        <v>4000</v>
      </c>
      <c r="G5" s="25">
        <v>4000</v>
      </c>
      <c r="H5" s="25">
        <f>F5-G5</f>
        <v>0</v>
      </c>
      <c r="I5" s="9" t="str">
        <f>IF(H5&gt;10000,"🚨 URGENT: "&amp;B5&amp;" owes ₹"&amp;H5,IF(H5&gt;5000,"⚠️ WARNING: "&amp;B5&amp;" - ₹"&amp;H5&amp;" due",IF(H5&gt;0,"ℹ️ "&amp;B5&amp;" - ₹"&amp;H5&amp;" pending","✅ Paid")))</f>
        <v>✅ Paid</v>
      </c>
    </row>
    <row r="6" spans="1:9" ht="16" x14ac:dyDescent="0.2">
      <c r="A6" s="24">
        <v>45690</v>
      </c>
      <c r="B6" s="22" t="s">
        <v>228</v>
      </c>
      <c r="C6" s="22" t="s">
        <v>229</v>
      </c>
      <c r="D6" s="2">
        <v>2</v>
      </c>
      <c r="E6" s="25">
        <v>1000</v>
      </c>
      <c r="F6" s="25">
        <f>E6*D6</f>
        <v>2000</v>
      </c>
      <c r="G6" s="25">
        <v>2000</v>
      </c>
      <c r="H6" s="25">
        <f>F6-G6</f>
        <v>0</v>
      </c>
      <c r="I6" s="9" t="str">
        <f>IF(H6&gt;10000,"🚨 URGENT: "&amp;B6&amp;" owes ₹"&amp;H6,IF(H6&gt;5000,"⚠️ WARNING: "&amp;B6&amp;" - ₹"&amp;H6&amp;" due",IF(H6&gt;0,"ℹ️ "&amp;B6&amp;" - ₹"&amp;H6&amp;" pending","✅ Paid")))</f>
        <v>✅ Paid</v>
      </c>
    </row>
    <row r="7" spans="1:9" ht="16" x14ac:dyDescent="0.2">
      <c r="A7" s="24">
        <v>45695</v>
      </c>
      <c r="B7" s="22" t="s">
        <v>230</v>
      </c>
      <c r="C7" s="22" t="s">
        <v>4</v>
      </c>
      <c r="D7" s="2">
        <v>1</v>
      </c>
      <c r="E7" s="25">
        <v>4000</v>
      </c>
      <c r="F7" s="25">
        <f>E7*D7</f>
        <v>4000</v>
      </c>
      <c r="G7" s="25">
        <v>4000</v>
      </c>
      <c r="H7" s="25">
        <f>F7-G7</f>
        <v>0</v>
      </c>
      <c r="I7" s="9" t="str">
        <f>IF(H7&gt;10000,"🚨 URGENT: "&amp;B7&amp;" owes ₹"&amp;H7,IF(H7&gt;5000,"⚠️ WARNING: "&amp;B7&amp;" - ₹"&amp;H7&amp;" due",IF(H7&gt;0,"ℹ️ "&amp;B7&amp;" - ₹"&amp;H7&amp;" pending","✅ Paid")))</f>
        <v>✅ Paid</v>
      </c>
    </row>
    <row r="8" spans="1:9" ht="16" x14ac:dyDescent="0.2">
      <c r="A8" s="24">
        <v>45700</v>
      </c>
      <c r="B8" s="22" t="s">
        <v>85</v>
      </c>
      <c r="C8" s="22" t="s">
        <v>231</v>
      </c>
      <c r="D8" s="2">
        <v>4</v>
      </c>
      <c r="E8" s="25">
        <v>1000</v>
      </c>
      <c r="F8" s="25">
        <f>E8*D8</f>
        <v>4000</v>
      </c>
      <c r="G8" s="25">
        <v>4000</v>
      </c>
      <c r="H8" s="25">
        <f>F8-G8</f>
        <v>0</v>
      </c>
      <c r="I8" s="9" t="str">
        <f>IF(H8&gt;10000,"🚨 URGENT: "&amp;B8&amp;" owes ₹"&amp;H8,IF(H8&gt;5000,"⚠️ WARNING: "&amp;B8&amp;" - ₹"&amp;H8&amp;" due",IF(H8&gt;0,"ℹ️ "&amp;B8&amp;" - ₹"&amp;H8&amp;" pending","✅ Paid")))</f>
        <v>✅ Paid</v>
      </c>
    </row>
    <row r="9" spans="1:9" ht="16" x14ac:dyDescent="0.2">
      <c r="A9" s="24">
        <v>45702</v>
      </c>
      <c r="B9" s="23" t="s">
        <v>168</v>
      </c>
      <c r="C9" s="23" t="s">
        <v>4</v>
      </c>
      <c r="D9" s="17">
        <v>2</v>
      </c>
      <c r="E9" s="25">
        <v>4000</v>
      </c>
      <c r="F9" s="25">
        <f>E9*D9</f>
        <v>8000</v>
      </c>
      <c r="G9" s="25">
        <v>8000</v>
      </c>
      <c r="H9" s="25">
        <f>F9-G9</f>
        <v>0</v>
      </c>
      <c r="I9" s="9" t="str">
        <f>IF(H9&gt;10000,"🚨 URGENT: "&amp;B9&amp;" owes ₹"&amp;H9,IF(H9&gt;5000,"⚠️ WARNING: "&amp;B9&amp;" - ₹"&amp;H9&amp;" due",IF(H9&gt;0,"ℹ️ "&amp;B9&amp;" - ₹"&amp;H9&amp;" pending","✅ Paid")))</f>
        <v>✅ Paid</v>
      </c>
    </row>
    <row r="10" spans="1:9" ht="16" x14ac:dyDescent="0.2">
      <c r="A10" s="24">
        <v>45703</v>
      </c>
      <c r="B10" s="22" t="s">
        <v>85</v>
      </c>
      <c r="C10" s="22" t="s">
        <v>231</v>
      </c>
      <c r="D10" s="2">
        <v>3</v>
      </c>
      <c r="E10" s="25">
        <v>1000</v>
      </c>
      <c r="F10" s="25">
        <f>E10*D10</f>
        <v>3000</v>
      </c>
      <c r="G10" s="25">
        <v>3000</v>
      </c>
      <c r="H10" s="25">
        <f>F10-G10</f>
        <v>0</v>
      </c>
      <c r="I10" s="9" t="str">
        <f>IF(H10&gt;10000,"🚨 URGENT: "&amp;B10&amp;" owes ₹"&amp;H10,IF(H10&gt;5000,"⚠️ WARNING: "&amp;B10&amp;" - ₹"&amp;H10&amp;" due",IF(H10&gt;0,"ℹ️ "&amp;B10&amp;" - ₹"&amp;H10&amp;" pending","✅ Paid")))</f>
        <v>✅ Paid</v>
      </c>
    </row>
    <row r="11" spans="1:9" ht="16" x14ac:dyDescent="0.2">
      <c r="A11" s="24">
        <v>45711</v>
      </c>
      <c r="B11" s="22" t="s">
        <v>232</v>
      </c>
      <c r="C11" s="22" t="s">
        <v>3</v>
      </c>
      <c r="D11" s="17">
        <v>2</v>
      </c>
      <c r="E11" s="25">
        <v>4000</v>
      </c>
      <c r="F11" s="25">
        <f>E11*D11</f>
        <v>8000</v>
      </c>
      <c r="G11" s="25">
        <v>8000</v>
      </c>
      <c r="H11" s="25">
        <f>F11-G11</f>
        <v>0</v>
      </c>
      <c r="I11" s="9" t="str">
        <f>IF(H11&gt;10000,"🚨 URGENT: "&amp;B11&amp;" owes ₹"&amp;H11,IF(H11&gt;5000,"⚠️ WARNING: "&amp;B11&amp;" - ₹"&amp;H11&amp;" due",IF(H11&gt;0,"ℹ️ "&amp;B11&amp;" - ₹"&amp;H11&amp;" pending","✅ Paid")))</f>
        <v>✅ Paid</v>
      </c>
    </row>
    <row r="12" spans="1:9" ht="16" x14ac:dyDescent="0.2">
      <c r="A12" s="24">
        <v>45711</v>
      </c>
      <c r="B12" s="22" t="s">
        <v>233</v>
      </c>
      <c r="C12" s="22" t="s">
        <v>3</v>
      </c>
      <c r="D12" s="17">
        <v>1</v>
      </c>
      <c r="E12" s="25">
        <v>4000</v>
      </c>
      <c r="F12" s="25">
        <f>E12*D12</f>
        <v>4000</v>
      </c>
      <c r="G12" s="25">
        <v>4000</v>
      </c>
      <c r="H12" s="25">
        <f>F12-G12</f>
        <v>0</v>
      </c>
      <c r="I12" s="9" t="str">
        <f>IF(H12&gt;10000,"🚨 URGENT: "&amp;B12&amp;" owes ₹"&amp;H12,IF(H12&gt;5000,"⚠️ WARNING: "&amp;B12&amp;" - ₹"&amp;H12&amp;" due",IF(H12&gt;0,"ℹ️ "&amp;B12&amp;" - ₹"&amp;H12&amp;" pending","✅ Paid")))</f>
        <v>✅ Paid</v>
      </c>
    </row>
    <row r="13" spans="1:9" ht="16" x14ac:dyDescent="0.2">
      <c r="A13" s="24">
        <v>45711</v>
      </c>
      <c r="B13" s="22" t="s">
        <v>234</v>
      </c>
      <c r="C13" s="22" t="s">
        <v>3</v>
      </c>
      <c r="D13" s="17">
        <v>2</v>
      </c>
      <c r="E13" s="25">
        <v>4000</v>
      </c>
      <c r="F13" s="25">
        <f>E13*D13</f>
        <v>8000</v>
      </c>
      <c r="G13" s="25">
        <v>8000</v>
      </c>
      <c r="H13" s="25">
        <f>F13-G13</f>
        <v>0</v>
      </c>
      <c r="I13" s="9" t="str">
        <f>IF(H13&gt;10000,"🚨 URGENT: "&amp;B13&amp;" owes ₹"&amp;H13,IF(H13&gt;5000,"⚠️ WARNING: "&amp;B13&amp;" - ₹"&amp;H13&amp;" due",IF(H13&gt;0,"ℹ️ "&amp;B13&amp;" - ₹"&amp;H13&amp;" pending","✅ Paid")))</f>
        <v>✅ Paid</v>
      </c>
    </row>
    <row r="14" spans="1:9" ht="16" x14ac:dyDescent="0.2">
      <c r="A14" s="24">
        <v>45711</v>
      </c>
      <c r="B14" s="22" t="s">
        <v>235</v>
      </c>
      <c r="C14" s="22" t="s">
        <v>3</v>
      </c>
      <c r="D14" s="17">
        <v>1</v>
      </c>
      <c r="E14" s="25">
        <v>4000</v>
      </c>
      <c r="F14" s="25">
        <f>E14*D14</f>
        <v>4000</v>
      </c>
      <c r="G14" s="25">
        <v>4000</v>
      </c>
      <c r="H14" s="25">
        <f>F14-G14</f>
        <v>0</v>
      </c>
      <c r="I14" s="9" t="str">
        <f>IF(H14&gt;10000,"🚨 URGENT: "&amp;B14&amp;" owes ₹"&amp;H14,IF(H14&gt;5000,"⚠️ WARNING: "&amp;B14&amp;" - ₹"&amp;H14&amp;" due",IF(H14&gt;0,"ℹ️ "&amp;B14&amp;" - ₹"&amp;H14&amp;" pending","✅ Paid")))</f>
        <v>✅ Paid</v>
      </c>
    </row>
    <row r="15" spans="1:9" ht="16" x14ac:dyDescent="0.2">
      <c r="A15" s="24">
        <v>45712</v>
      </c>
      <c r="B15" s="22" t="s">
        <v>236</v>
      </c>
      <c r="C15" s="23" t="s">
        <v>3</v>
      </c>
      <c r="D15" s="17">
        <v>2</v>
      </c>
      <c r="E15" s="25">
        <v>4000</v>
      </c>
      <c r="F15" s="25">
        <f>E15*D15</f>
        <v>8000</v>
      </c>
      <c r="G15" s="25">
        <v>8000</v>
      </c>
      <c r="H15" s="25">
        <f>F15-G15</f>
        <v>0</v>
      </c>
      <c r="I15" s="9" t="str">
        <f>IF(H15&gt;10000,"🚨 URGENT: "&amp;B15&amp;" owes ₹"&amp;H15,IF(H15&gt;5000,"⚠️ WARNING: "&amp;B15&amp;" - ₹"&amp;H15&amp;" due",IF(H15&gt;0,"ℹ️ "&amp;B15&amp;" - ₹"&amp;H15&amp;" pending","✅ Paid")))</f>
        <v>✅ Paid</v>
      </c>
    </row>
    <row r="16" spans="1:9" ht="16" x14ac:dyDescent="0.2">
      <c r="A16" s="24">
        <v>45712</v>
      </c>
      <c r="B16" s="22" t="s">
        <v>10</v>
      </c>
      <c r="C16" s="23" t="s">
        <v>6</v>
      </c>
      <c r="D16" s="17">
        <v>1</v>
      </c>
      <c r="E16" s="25">
        <v>4000</v>
      </c>
      <c r="F16" s="25">
        <f>E16*D16</f>
        <v>4000</v>
      </c>
      <c r="G16" s="25">
        <v>4000</v>
      </c>
      <c r="H16" s="25">
        <f>F16-G16</f>
        <v>0</v>
      </c>
      <c r="I16" s="9" t="str">
        <f>IF(H16&gt;10000,"🚨 URGENT: "&amp;B16&amp;" owes ₹"&amp;H16,IF(H16&gt;5000,"⚠️ WARNING: "&amp;B16&amp;" - ₹"&amp;H16&amp;" due",IF(H16&gt;0,"ℹ️ "&amp;B16&amp;" - ₹"&amp;H16&amp;" pending","✅ Paid")))</f>
        <v>✅ Paid</v>
      </c>
    </row>
    <row r="17" spans="1:9" ht="16" x14ac:dyDescent="0.2">
      <c r="A17" s="3"/>
      <c r="B17" s="2"/>
      <c r="C17" s="2"/>
      <c r="D17" s="2"/>
      <c r="E17" s="16"/>
      <c r="F17" s="16"/>
      <c r="G17" s="16"/>
      <c r="H17" s="16"/>
      <c r="I17" s="9"/>
    </row>
    <row r="18" spans="1:9" ht="16" x14ac:dyDescent="0.2">
      <c r="A18" s="24"/>
      <c r="B18" s="22"/>
      <c r="C18" s="22"/>
      <c r="D18" s="2"/>
      <c r="E18" s="25"/>
      <c r="F18" s="25"/>
      <c r="G18" s="25"/>
      <c r="H18" s="25"/>
      <c r="I18" s="9"/>
    </row>
    <row r="19" spans="1:9" ht="16" x14ac:dyDescent="0.2">
      <c r="A19" s="24"/>
      <c r="B19" s="22"/>
      <c r="C19" s="22"/>
      <c r="D19" s="2"/>
      <c r="E19" s="25"/>
      <c r="F19" s="25"/>
      <c r="G19" s="25"/>
      <c r="H19" s="25"/>
      <c r="I19" s="9"/>
    </row>
    <row r="20" spans="1:9" ht="16" x14ac:dyDescent="0.2">
      <c r="A20" s="24"/>
      <c r="B20" s="22"/>
      <c r="C20" s="22"/>
      <c r="D20" s="2"/>
      <c r="E20" s="25"/>
      <c r="F20" s="25"/>
      <c r="G20" s="25"/>
      <c r="H20" s="25"/>
      <c r="I20" s="9"/>
    </row>
    <row r="21" spans="1:9" ht="16" x14ac:dyDescent="0.2">
      <c r="A21" s="24"/>
      <c r="B21" s="22"/>
      <c r="C21" s="22"/>
      <c r="D21" s="2"/>
      <c r="E21" s="25"/>
      <c r="F21" s="25"/>
      <c r="G21" s="25"/>
      <c r="H21" s="25"/>
      <c r="I21" s="9"/>
    </row>
    <row r="22" spans="1:9" ht="16" x14ac:dyDescent="0.2">
      <c r="A22" s="24"/>
      <c r="B22" s="23"/>
      <c r="C22" s="23"/>
      <c r="D22" s="17"/>
      <c r="E22" s="25"/>
      <c r="F22" s="25"/>
      <c r="G22" s="25"/>
      <c r="H22" s="25"/>
      <c r="I22" s="9"/>
    </row>
    <row r="23" spans="1:9" ht="16" x14ac:dyDescent="0.2">
      <c r="A23" s="24"/>
      <c r="B23" s="23"/>
      <c r="C23" s="23"/>
      <c r="D23" s="17"/>
      <c r="E23" s="25"/>
      <c r="F23" s="25"/>
      <c r="G23" s="25"/>
      <c r="H23" s="25"/>
      <c r="I23" s="9"/>
    </row>
    <row r="24" spans="1:9" ht="16" x14ac:dyDescent="0.2">
      <c r="A24" s="24"/>
      <c r="B24" s="23"/>
      <c r="C24" s="23"/>
      <c r="D24" s="17"/>
      <c r="E24" s="25"/>
      <c r="F24" s="25"/>
      <c r="G24" s="25"/>
      <c r="H24" s="25"/>
      <c r="I24" s="9"/>
    </row>
    <row r="25" spans="1:9" ht="24" x14ac:dyDescent="0.2">
      <c r="D25" s="21" t="s">
        <v>7</v>
      </c>
      <c r="E25" s="18"/>
      <c r="F25" s="21" t="s">
        <v>50</v>
      </c>
      <c r="G25" s="21" t="s">
        <v>49</v>
      </c>
      <c r="H25" s="21" t="s">
        <v>48</v>
      </c>
    </row>
    <row r="26" spans="1:9" ht="24" x14ac:dyDescent="0.2">
      <c r="D26" s="19">
        <f>SUM(D4:D24)</f>
        <v>23</v>
      </c>
      <c r="E26" s="18"/>
      <c r="F26" s="20">
        <f>SUM(F4:F24)</f>
        <v>66000</v>
      </c>
      <c r="G26" s="20">
        <f>SUM(G4:G24)</f>
        <v>66000</v>
      </c>
      <c r="H26" s="20">
        <f>SUM(H4:H24)</f>
        <v>0</v>
      </c>
    </row>
    <row r="32" spans="1:9" ht="29" x14ac:dyDescent="0.2">
      <c r="A32" s="42" t="s">
        <v>70</v>
      </c>
      <c r="B32" s="42"/>
      <c r="C32" s="42"/>
      <c r="D32" s="42"/>
    </row>
    <row r="33" spans="1:4" x14ac:dyDescent="0.2">
      <c r="A33" s="43" t="s">
        <v>238</v>
      </c>
      <c r="B33" s="43"/>
      <c r="C33" s="43"/>
      <c r="D33" s="43"/>
    </row>
    <row r="34" spans="1:4" ht="16" x14ac:dyDescent="0.2">
      <c r="A34" s="15" t="s">
        <v>0</v>
      </c>
      <c r="B34" s="14" t="s">
        <v>69</v>
      </c>
      <c r="C34" s="14" t="s">
        <v>68</v>
      </c>
      <c r="D34" s="14" t="s">
        <v>1</v>
      </c>
    </row>
    <row r="35" spans="1:4" x14ac:dyDescent="0.2">
      <c r="A35" s="3"/>
      <c r="B35" s="22"/>
      <c r="C35" s="22"/>
      <c r="D35" s="2"/>
    </row>
    <row r="36" spans="1:4" ht="16" x14ac:dyDescent="0.2">
      <c r="A36" s="24">
        <v>45690</v>
      </c>
      <c r="B36" s="32" t="s">
        <v>187</v>
      </c>
      <c r="C36" s="32" t="s">
        <v>188</v>
      </c>
      <c r="D36" s="11">
        <v>10</v>
      </c>
    </row>
    <row r="37" spans="1:4" ht="16" x14ac:dyDescent="0.2">
      <c r="A37" s="24">
        <v>45691</v>
      </c>
      <c r="B37" s="32" t="s">
        <v>187</v>
      </c>
      <c r="C37" s="32" t="s">
        <v>188</v>
      </c>
      <c r="D37" s="11">
        <v>14</v>
      </c>
    </row>
    <row r="38" spans="1:4" ht="16" x14ac:dyDescent="0.2">
      <c r="A38" s="24">
        <v>45692</v>
      </c>
      <c r="B38" s="32" t="s">
        <v>187</v>
      </c>
      <c r="C38" s="32" t="s">
        <v>188</v>
      </c>
      <c r="D38" s="17">
        <v>12</v>
      </c>
    </row>
    <row r="39" spans="1:4" ht="16" x14ac:dyDescent="0.2">
      <c r="A39" s="24">
        <v>45693</v>
      </c>
      <c r="B39" s="32" t="s">
        <v>187</v>
      </c>
      <c r="C39" s="32" t="s">
        <v>188</v>
      </c>
      <c r="D39" s="11">
        <v>6</v>
      </c>
    </row>
    <row r="40" spans="1:4" ht="16" x14ac:dyDescent="0.2">
      <c r="A40" s="24">
        <v>45694</v>
      </c>
      <c r="B40" s="32" t="s">
        <v>187</v>
      </c>
      <c r="C40" s="32" t="s">
        <v>188</v>
      </c>
      <c r="D40" s="17">
        <v>9</v>
      </c>
    </row>
    <row r="41" spans="1:4" ht="16" x14ac:dyDescent="0.2">
      <c r="A41" s="24">
        <v>45695</v>
      </c>
      <c r="B41" s="32" t="s">
        <v>187</v>
      </c>
      <c r="C41" s="32" t="s">
        <v>188</v>
      </c>
      <c r="D41" s="11">
        <v>8</v>
      </c>
    </row>
    <row r="42" spans="1:4" ht="16" x14ac:dyDescent="0.2">
      <c r="A42" s="24">
        <v>45696</v>
      </c>
      <c r="B42" s="32" t="s">
        <v>187</v>
      </c>
      <c r="C42" s="32" t="s">
        <v>188</v>
      </c>
      <c r="D42" s="11">
        <v>2</v>
      </c>
    </row>
    <row r="43" spans="1:4" ht="16" x14ac:dyDescent="0.2">
      <c r="A43" s="24">
        <v>45697</v>
      </c>
      <c r="B43" s="32" t="s">
        <v>187</v>
      </c>
      <c r="C43" s="32" t="s">
        <v>188</v>
      </c>
      <c r="D43" s="17">
        <v>18</v>
      </c>
    </row>
    <row r="44" spans="1:4" ht="16" x14ac:dyDescent="0.2">
      <c r="A44" s="24">
        <v>45698</v>
      </c>
      <c r="B44" s="32" t="s">
        <v>187</v>
      </c>
      <c r="C44" s="32" t="s">
        <v>188</v>
      </c>
      <c r="D44" s="17">
        <v>12</v>
      </c>
    </row>
    <row r="45" spans="1:4" ht="16" x14ac:dyDescent="0.2">
      <c r="A45" s="24">
        <v>45699</v>
      </c>
      <c r="B45" s="32" t="s">
        <v>187</v>
      </c>
      <c r="C45" s="32" t="s">
        <v>188</v>
      </c>
      <c r="D45" s="17">
        <v>17</v>
      </c>
    </row>
    <row r="46" spans="1:4" ht="16" x14ac:dyDescent="0.2">
      <c r="A46" s="24">
        <v>45700</v>
      </c>
      <c r="B46" s="32" t="s">
        <v>187</v>
      </c>
      <c r="C46" s="32" t="s">
        <v>188</v>
      </c>
      <c r="D46" s="17">
        <v>16</v>
      </c>
    </row>
    <row r="47" spans="1:4" ht="16" x14ac:dyDescent="0.2">
      <c r="A47" s="24">
        <v>45701</v>
      </c>
      <c r="B47" s="32" t="s">
        <v>187</v>
      </c>
      <c r="C47" s="32" t="s">
        <v>188</v>
      </c>
      <c r="D47" s="17">
        <v>16</v>
      </c>
    </row>
    <row r="48" spans="1:4" ht="16" x14ac:dyDescent="0.2">
      <c r="A48" s="24">
        <v>45702</v>
      </c>
      <c r="B48" s="32" t="s">
        <v>187</v>
      </c>
      <c r="C48" s="32" t="s">
        <v>188</v>
      </c>
      <c r="D48" s="17">
        <v>1</v>
      </c>
    </row>
    <row r="49" spans="1:4" ht="16" x14ac:dyDescent="0.2">
      <c r="A49" s="24">
        <v>45705</v>
      </c>
      <c r="B49" s="32" t="s">
        <v>192</v>
      </c>
      <c r="C49" s="32" t="s">
        <v>237</v>
      </c>
      <c r="D49" s="17">
        <v>2</v>
      </c>
    </row>
    <row r="50" spans="1:4" ht="16" x14ac:dyDescent="0.2">
      <c r="A50" s="24">
        <v>45710</v>
      </c>
      <c r="B50" s="32" t="s">
        <v>187</v>
      </c>
      <c r="C50" s="32" t="s">
        <v>188</v>
      </c>
      <c r="D50" s="17">
        <v>7</v>
      </c>
    </row>
    <row r="51" spans="1:4" ht="16" x14ac:dyDescent="0.2">
      <c r="A51" s="24">
        <v>45711</v>
      </c>
      <c r="B51" s="32" t="s">
        <v>187</v>
      </c>
      <c r="C51" s="32" t="s">
        <v>188</v>
      </c>
      <c r="D51" s="17">
        <v>14</v>
      </c>
    </row>
    <row r="52" spans="1:4" ht="16" x14ac:dyDescent="0.2">
      <c r="A52" s="24">
        <v>45712</v>
      </c>
      <c r="B52" s="32" t="s">
        <v>187</v>
      </c>
      <c r="C52" s="32" t="s">
        <v>188</v>
      </c>
      <c r="D52" s="17">
        <v>7</v>
      </c>
    </row>
    <row r="53" spans="1:4" ht="16" x14ac:dyDescent="0.2">
      <c r="A53" s="24">
        <v>45713</v>
      </c>
      <c r="B53" s="32" t="s">
        <v>187</v>
      </c>
      <c r="C53" s="32" t="s">
        <v>188</v>
      </c>
      <c r="D53" s="17">
        <v>22</v>
      </c>
    </row>
    <row r="54" spans="1:4" ht="16" x14ac:dyDescent="0.2">
      <c r="A54" s="24">
        <v>45714</v>
      </c>
      <c r="B54" s="32" t="s">
        <v>187</v>
      </c>
      <c r="C54" s="32" t="s">
        <v>188</v>
      </c>
      <c r="D54" s="17">
        <v>10</v>
      </c>
    </row>
    <row r="55" spans="1:4" ht="16" x14ac:dyDescent="0.2">
      <c r="A55" s="24">
        <v>45716</v>
      </c>
      <c r="B55" s="32" t="s">
        <v>187</v>
      </c>
      <c r="C55" s="32" t="s">
        <v>188</v>
      </c>
      <c r="D55" s="17">
        <v>21</v>
      </c>
    </row>
    <row r="56" spans="1:4" x14ac:dyDescent="0.2">
      <c r="A56" s="24"/>
      <c r="B56" s="23"/>
      <c r="C56" s="23"/>
      <c r="D56" s="17"/>
    </row>
    <row r="57" spans="1:4" ht="24" x14ac:dyDescent="0.2">
      <c r="D57" s="21" t="s">
        <v>7</v>
      </c>
    </row>
    <row r="58" spans="1:4" ht="24" x14ac:dyDescent="0.2">
      <c r="D58" s="19">
        <f>SUM(D35:D56)</f>
        <v>224</v>
      </c>
    </row>
  </sheetData>
  <mergeCells count="4">
    <mergeCell ref="A1:I1"/>
    <mergeCell ref="A2:I2"/>
    <mergeCell ref="A32:D32"/>
    <mergeCell ref="A33:D33"/>
  </mergeCells>
  <conditionalFormatting sqref="I4:I24">
    <cfRule type="containsText" dxfId="47" priority="1" operator="containsText" text="✅">
      <formula>NOT(ISERROR(SEARCH("✅",I4)))</formula>
    </cfRule>
    <cfRule type="containsText" dxfId="46" priority="2" operator="containsText" text="ℹ️">
      <formula>NOT(ISERROR(SEARCH("ℹ️",I4)))</formula>
    </cfRule>
    <cfRule type="containsText" dxfId="45" priority="3" operator="containsText" text="⚠️">
      <formula>NOT(ISERROR(SEARCH("⚠️",I4)))</formula>
    </cfRule>
    <cfRule type="containsText" dxfId="44" priority="4" operator="containsText" text="🚨">
      <formula>NOT(ISERROR(SEARCH("🚨",I4)))</formula>
    </cfRule>
  </conditionalFormatting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9938C-C51B-40FE-8A27-233C76B0CD93}">
  <sheetPr codeName="Sheet3"/>
  <dimension ref="A1:I64"/>
  <sheetViews>
    <sheetView topLeftCell="A5" zoomScale="85" zoomScaleNormal="85" workbookViewId="0">
      <selection activeCell="D32" sqref="D32:D61"/>
    </sheetView>
  </sheetViews>
  <sheetFormatPr baseColWidth="10" defaultColWidth="8.83203125" defaultRowHeight="15" x14ac:dyDescent="0.2"/>
  <cols>
    <col min="1" max="1" width="29.1640625" customWidth="1"/>
    <col min="2" max="2" width="33.6640625" customWidth="1"/>
    <col min="3" max="3" width="30.5" bestFit="1" customWidth="1"/>
    <col min="4" max="4" width="16.5" bestFit="1" customWidth="1"/>
    <col min="5" max="5" width="16.33203125" bestFit="1" customWidth="1"/>
    <col min="6" max="6" width="20.6640625" bestFit="1" customWidth="1"/>
    <col min="7" max="7" width="22.5" bestFit="1" customWidth="1"/>
    <col min="8" max="8" width="20.6640625" bestFit="1" customWidth="1"/>
    <col min="9" max="9" width="36.5" bestFit="1" customWidth="1"/>
  </cols>
  <sheetData>
    <row r="1" spans="1:9" ht="29" x14ac:dyDescent="0.2">
      <c r="A1" s="42" t="s">
        <v>70</v>
      </c>
      <c r="B1" s="42"/>
      <c r="C1" s="42"/>
      <c r="D1" s="42"/>
      <c r="E1" s="42"/>
      <c r="F1" s="42"/>
      <c r="G1" s="42"/>
      <c r="H1" s="42"/>
      <c r="I1" s="42"/>
    </row>
    <row r="2" spans="1:9" x14ac:dyDescent="0.2">
      <c r="A2" s="43" t="s">
        <v>225</v>
      </c>
      <c r="B2" s="43"/>
      <c r="C2" s="43"/>
      <c r="D2" s="43"/>
      <c r="E2" s="43"/>
      <c r="F2" s="43"/>
      <c r="G2" s="43"/>
      <c r="H2" s="43"/>
      <c r="I2" s="43"/>
    </row>
    <row r="3" spans="1:9" ht="16" x14ac:dyDescent="0.2">
      <c r="A3" s="15" t="s">
        <v>0</v>
      </c>
      <c r="B3" s="14" t="s">
        <v>69</v>
      </c>
      <c r="C3" s="14" t="s">
        <v>68</v>
      </c>
      <c r="D3" s="14" t="s">
        <v>1</v>
      </c>
      <c r="E3" s="13" t="s">
        <v>67</v>
      </c>
      <c r="F3" s="13" t="s">
        <v>50</v>
      </c>
      <c r="G3" s="13" t="s">
        <v>66</v>
      </c>
      <c r="H3" s="13" t="s">
        <v>2</v>
      </c>
      <c r="I3" s="13" t="s">
        <v>65</v>
      </c>
    </row>
    <row r="4" spans="1:9" ht="16" x14ac:dyDescent="0.2">
      <c r="A4" s="24">
        <v>45720</v>
      </c>
      <c r="B4" s="22" t="s">
        <v>215</v>
      </c>
      <c r="C4" s="22" t="s">
        <v>3</v>
      </c>
      <c r="D4" s="2">
        <v>1</v>
      </c>
      <c r="E4" s="25">
        <v>4000</v>
      </c>
      <c r="F4" s="25">
        <f>E4*D4</f>
        <v>4000</v>
      </c>
      <c r="G4" s="25">
        <v>4000</v>
      </c>
      <c r="H4" s="25">
        <f>F4-G4</f>
        <v>0</v>
      </c>
      <c r="I4" s="9" t="str">
        <f>IF(H4&gt;10000,"🚨 URGENT: "&amp;B4&amp;" owes ₹"&amp;H4,IF(H4&gt;5000,"⚠️ WARNING: "&amp;B4&amp;" - ₹"&amp;H4&amp;" due",IF(H4&gt;0,"ℹ️ "&amp;B4&amp;" - ₹"&amp;H4&amp;" pending","✅ Paid")))</f>
        <v>✅ Paid</v>
      </c>
    </row>
    <row r="5" spans="1:9" ht="16" x14ac:dyDescent="0.2">
      <c r="A5" s="24">
        <v>45727</v>
      </c>
      <c r="B5" s="22" t="s">
        <v>11</v>
      </c>
      <c r="C5" s="22" t="s">
        <v>3</v>
      </c>
      <c r="D5" s="2">
        <v>1</v>
      </c>
      <c r="E5" s="25">
        <v>4000</v>
      </c>
      <c r="F5" s="25">
        <f>E5*D5</f>
        <v>4000</v>
      </c>
      <c r="G5" s="25">
        <v>4000</v>
      </c>
      <c r="H5" s="25">
        <f>F5-G5</f>
        <v>0</v>
      </c>
      <c r="I5" s="9" t="str">
        <f>IF(H5&gt;10000,"🚨 URGENT: "&amp;B5&amp;" owes ₹"&amp;H5,IF(H5&gt;5000,"⚠️ WARNING: "&amp;B5&amp;" - ₹"&amp;H5&amp;" due",IF(H5&gt;0,"ℹ️ "&amp;B5&amp;" - ₹"&amp;H5&amp;" pending","✅ Paid")))</f>
        <v>✅ Paid</v>
      </c>
    </row>
    <row r="6" spans="1:9" ht="16" x14ac:dyDescent="0.2">
      <c r="A6" s="24">
        <v>45728</v>
      </c>
      <c r="B6" s="22" t="s">
        <v>216</v>
      </c>
      <c r="C6" s="22" t="s">
        <v>3</v>
      </c>
      <c r="D6" s="2">
        <v>1</v>
      </c>
      <c r="E6" s="25">
        <v>4000</v>
      </c>
      <c r="F6" s="25">
        <f>E6*D6</f>
        <v>4000</v>
      </c>
      <c r="G6" s="25">
        <v>4000</v>
      </c>
      <c r="H6" s="25">
        <f>F6-G6</f>
        <v>0</v>
      </c>
      <c r="I6" s="9" t="str">
        <f>IF(H6&gt;10000,"🚨 URGENT: "&amp;B6&amp;" owes ₹"&amp;H6,IF(H6&gt;5000,"⚠️ WARNING: "&amp;B6&amp;" - ₹"&amp;H6&amp;" due",IF(H6&gt;0,"ℹ️ "&amp;B6&amp;" - ₹"&amp;H6&amp;" pending","✅ Paid")))</f>
        <v>✅ Paid</v>
      </c>
    </row>
    <row r="7" spans="1:9" ht="16" x14ac:dyDescent="0.2">
      <c r="A7" s="24">
        <v>45737</v>
      </c>
      <c r="B7" s="22" t="s">
        <v>11</v>
      </c>
      <c r="C7" s="23" t="s">
        <v>3</v>
      </c>
      <c r="D7" s="17">
        <v>1</v>
      </c>
      <c r="E7" s="25">
        <v>4000</v>
      </c>
      <c r="F7" s="25">
        <f>E7*D7</f>
        <v>4000</v>
      </c>
      <c r="G7" s="25">
        <v>4000</v>
      </c>
      <c r="H7" s="25">
        <f>F7-G7</f>
        <v>0</v>
      </c>
      <c r="I7" s="9" t="str">
        <f>IF(H7&gt;10000,"🚨 URGENT: "&amp;B7&amp;" owes ₹"&amp;H7,IF(H7&gt;5000,"⚠️ WARNING: "&amp;B7&amp;" - ₹"&amp;H7&amp;" due",IF(H7&gt;0,"ℹ️ "&amp;B7&amp;" - ₹"&amp;H7&amp;" pending","✅ Paid")))</f>
        <v>✅ Paid</v>
      </c>
    </row>
    <row r="8" spans="1:9" ht="16" x14ac:dyDescent="0.2">
      <c r="A8" s="24">
        <v>45737</v>
      </c>
      <c r="B8" s="22" t="s">
        <v>13</v>
      </c>
      <c r="C8" s="23" t="s">
        <v>13</v>
      </c>
      <c r="D8" s="17">
        <v>1</v>
      </c>
      <c r="E8" s="25">
        <v>5000</v>
      </c>
      <c r="F8" s="25">
        <f>E8*D8</f>
        <v>5000</v>
      </c>
      <c r="G8" s="25">
        <v>5000</v>
      </c>
      <c r="H8" s="25">
        <f>F8-G8</f>
        <v>0</v>
      </c>
      <c r="I8" s="9" t="str">
        <f>IF(H8&gt;10000,"🚨 URGENT: "&amp;B8&amp;" owes ₹"&amp;H8,IF(H8&gt;5000,"⚠️ WARNING: "&amp;B8&amp;" - ₹"&amp;H8&amp;" due",IF(H8&gt;0,"ℹ️ "&amp;B8&amp;" - ₹"&amp;H8&amp;" pending","✅ Paid")))</f>
        <v>✅ Paid</v>
      </c>
    </row>
    <row r="9" spans="1:9" ht="16" x14ac:dyDescent="0.2">
      <c r="A9" s="24">
        <v>45737</v>
      </c>
      <c r="B9" s="22" t="s">
        <v>217</v>
      </c>
      <c r="C9" s="23" t="s">
        <v>3</v>
      </c>
      <c r="D9" s="17">
        <v>1</v>
      </c>
      <c r="E9" s="25">
        <v>4000</v>
      </c>
      <c r="F9" s="25">
        <f>E9*D9</f>
        <v>4000</v>
      </c>
      <c r="G9" s="25">
        <v>4000</v>
      </c>
      <c r="H9" s="25">
        <f>F9-G9</f>
        <v>0</v>
      </c>
      <c r="I9" s="9" t="str">
        <f>IF(H9&gt;10000,"🚨 URGENT: "&amp;B9&amp;" owes ₹"&amp;H9,IF(H9&gt;5000,"⚠️ WARNING: "&amp;B9&amp;" - ₹"&amp;H9&amp;" due",IF(H9&gt;0,"ℹ️ "&amp;B9&amp;" - ₹"&amp;H9&amp;" pending","✅ Paid")))</f>
        <v>✅ Paid</v>
      </c>
    </row>
    <row r="10" spans="1:9" ht="16" x14ac:dyDescent="0.2">
      <c r="A10" s="24">
        <v>45739</v>
      </c>
      <c r="B10" s="22" t="s">
        <v>11</v>
      </c>
      <c r="C10" s="22" t="s">
        <v>12</v>
      </c>
      <c r="D10" s="17">
        <v>1</v>
      </c>
      <c r="E10" s="25">
        <v>4000</v>
      </c>
      <c r="F10" s="25">
        <f>E10*D10</f>
        <v>4000</v>
      </c>
      <c r="G10" s="25">
        <v>4000</v>
      </c>
      <c r="H10" s="25">
        <f>F10-G10</f>
        <v>0</v>
      </c>
      <c r="I10" s="9" t="str">
        <f>IF(H10&gt;10000,"🚨 URGENT: "&amp;B10&amp;" owes ₹"&amp;H10,IF(H10&gt;5000,"⚠️ WARNING: "&amp;B10&amp;" - ₹"&amp;H10&amp;" due",IF(H10&gt;0,"ℹ️ "&amp;B10&amp;" - ₹"&amp;H10&amp;" pending","✅ Paid")))</f>
        <v>✅ Paid</v>
      </c>
    </row>
    <row r="11" spans="1:9" ht="16" x14ac:dyDescent="0.2">
      <c r="A11" s="24">
        <v>45739</v>
      </c>
      <c r="B11" s="22" t="s">
        <v>14</v>
      </c>
      <c r="C11" s="22" t="s">
        <v>6</v>
      </c>
      <c r="D11" s="17">
        <v>1</v>
      </c>
      <c r="E11" s="25">
        <v>4000</v>
      </c>
      <c r="F11" s="25">
        <f>E11*D11</f>
        <v>4000</v>
      </c>
      <c r="G11" s="25">
        <v>4000</v>
      </c>
      <c r="H11" s="25">
        <f>F11-G11</f>
        <v>0</v>
      </c>
      <c r="I11" s="9" t="str">
        <f>IF(H11&gt;10000,"🚨 URGENT: "&amp;B11&amp;" owes ₹"&amp;H11,IF(H11&gt;5000,"⚠️ WARNING: "&amp;B11&amp;" - ₹"&amp;H11&amp;" due",IF(H11&gt;0,"ℹ️ "&amp;B11&amp;" - ₹"&amp;H11&amp;" pending","✅ Paid")))</f>
        <v>✅ Paid</v>
      </c>
    </row>
    <row r="12" spans="1:9" ht="16" x14ac:dyDescent="0.2">
      <c r="A12" s="24">
        <v>45741</v>
      </c>
      <c r="B12" s="23" t="s">
        <v>76</v>
      </c>
      <c r="C12" s="23" t="s">
        <v>45</v>
      </c>
      <c r="D12" s="17">
        <v>1</v>
      </c>
      <c r="E12" s="25">
        <v>5000</v>
      </c>
      <c r="F12" s="25">
        <f>E12*D12</f>
        <v>5000</v>
      </c>
      <c r="G12" s="25">
        <v>5000</v>
      </c>
      <c r="H12" s="25">
        <f>F12-G12</f>
        <v>0</v>
      </c>
      <c r="I12" s="9" t="str">
        <f>IF(H12&gt;10000,"🚨 URGENT: "&amp;B12&amp;" owes ₹"&amp;H12,IF(H12&gt;5000,"⚠️ WARNING: "&amp;B12&amp;" - ₹"&amp;H12&amp;" due",IF(H12&gt;0,"ℹ️ "&amp;B12&amp;" - ₹"&amp;H12&amp;" pending","✅ Paid")))</f>
        <v>✅ Paid</v>
      </c>
    </row>
    <row r="13" spans="1:9" ht="16" x14ac:dyDescent="0.2">
      <c r="A13" s="24">
        <v>45741</v>
      </c>
      <c r="B13" s="23" t="s">
        <v>218</v>
      </c>
      <c r="C13" s="23" t="s">
        <v>4</v>
      </c>
      <c r="D13" s="17">
        <v>1</v>
      </c>
      <c r="E13" s="25">
        <v>4000</v>
      </c>
      <c r="F13" s="25">
        <f>E13*D13</f>
        <v>4000</v>
      </c>
      <c r="G13" s="25">
        <v>4000</v>
      </c>
      <c r="H13" s="25">
        <f>F13-G13</f>
        <v>0</v>
      </c>
      <c r="I13" s="9" t="str">
        <f>IF(H13&gt;10000,"🚨 URGENT: "&amp;B13&amp;" owes ₹"&amp;H13,IF(H13&gt;5000,"⚠️ WARNING: "&amp;B13&amp;" - ₹"&amp;H13&amp;" due",IF(H13&gt;0,"ℹ️ "&amp;B13&amp;" - ₹"&amp;H13&amp;" pending","✅ Paid")))</f>
        <v>✅ Paid</v>
      </c>
    </row>
    <row r="14" spans="1:9" ht="16" x14ac:dyDescent="0.2">
      <c r="A14" s="24">
        <v>45741</v>
      </c>
      <c r="B14" s="27" t="s">
        <v>19</v>
      </c>
      <c r="C14" s="23" t="s">
        <v>105</v>
      </c>
      <c r="D14" s="17">
        <v>1</v>
      </c>
      <c r="E14" s="25">
        <v>5000</v>
      </c>
      <c r="F14" s="25">
        <f>E14*D14</f>
        <v>5000</v>
      </c>
      <c r="G14" s="25">
        <v>0</v>
      </c>
      <c r="H14" s="25">
        <f>F14-G14</f>
        <v>5000</v>
      </c>
      <c r="I14" s="9" t="str">
        <f>IF(H14&gt;10000,"🚨 URGENT: "&amp;B14&amp;" owes ₹"&amp;H14,IF(H14&gt;5000,"⚠️ WARNING: "&amp;B14&amp;" - ₹"&amp;H14&amp;" due",IF(H14&gt;0,"ℹ️ "&amp;B14&amp;" - ₹"&amp;H14&amp;" pending","✅ Paid")))</f>
        <v>ℹ️ Narayan Tiles - ₹5000 pending</v>
      </c>
    </row>
    <row r="15" spans="1:9" ht="16" x14ac:dyDescent="0.2">
      <c r="A15" s="3"/>
      <c r="B15" s="2"/>
      <c r="C15" s="2"/>
      <c r="D15" s="2"/>
      <c r="E15" s="16"/>
      <c r="F15" s="16"/>
      <c r="G15" s="16"/>
      <c r="H15" s="16"/>
      <c r="I15" s="9"/>
    </row>
    <row r="16" spans="1:9" ht="16" x14ac:dyDescent="0.2">
      <c r="A16" s="24"/>
      <c r="B16" s="22"/>
      <c r="C16" s="22"/>
      <c r="D16" s="2"/>
      <c r="E16" s="25"/>
      <c r="F16" s="25"/>
      <c r="G16" s="25"/>
      <c r="H16" s="25"/>
      <c r="I16" s="9"/>
    </row>
    <row r="17" spans="1:9" ht="16" x14ac:dyDescent="0.2">
      <c r="A17" s="24"/>
      <c r="B17" s="23"/>
      <c r="C17" s="23"/>
      <c r="D17" s="17"/>
      <c r="E17" s="25"/>
      <c r="F17" s="25"/>
      <c r="G17" s="25"/>
      <c r="H17" s="25"/>
      <c r="I17" s="9"/>
    </row>
    <row r="18" spans="1:9" ht="16" x14ac:dyDescent="0.2">
      <c r="A18" s="24"/>
      <c r="B18" s="23"/>
      <c r="C18" s="23"/>
      <c r="D18" s="17"/>
      <c r="E18" s="25"/>
      <c r="F18" s="25"/>
      <c r="G18" s="25"/>
      <c r="H18" s="25"/>
      <c r="I18" s="9"/>
    </row>
    <row r="19" spans="1:9" ht="16" x14ac:dyDescent="0.2">
      <c r="A19" s="24"/>
      <c r="B19" s="23"/>
      <c r="C19" s="23"/>
      <c r="D19" s="17"/>
      <c r="E19" s="25"/>
      <c r="F19" s="25"/>
      <c r="G19" s="25"/>
      <c r="H19" s="25"/>
      <c r="I19" s="9"/>
    </row>
    <row r="20" spans="1:9" ht="16" x14ac:dyDescent="0.2">
      <c r="A20" s="24"/>
      <c r="B20" s="23"/>
      <c r="C20" s="23"/>
      <c r="D20" s="23"/>
      <c r="E20" s="25"/>
      <c r="F20" s="25"/>
      <c r="G20" s="25"/>
      <c r="H20" s="25"/>
      <c r="I20" s="9"/>
    </row>
    <row r="21" spans="1:9" ht="24" x14ac:dyDescent="0.2">
      <c r="D21" s="21" t="s">
        <v>7</v>
      </c>
      <c r="E21" s="18"/>
      <c r="F21" s="21" t="s">
        <v>50</v>
      </c>
      <c r="G21" s="21" t="s">
        <v>49</v>
      </c>
      <c r="H21" s="21" t="s">
        <v>48</v>
      </c>
    </row>
    <row r="22" spans="1:9" ht="24" x14ac:dyDescent="0.2">
      <c r="D22" s="19">
        <f>SUM(D4:D20)</f>
        <v>11</v>
      </c>
      <c r="E22" s="18"/>
      <c r="F22" s="20">
        <f>SUM(F4:F20)</f>
        <v>47000</v>
      </c>
      <c r="G22" s="20">
        <f>SUM(G4:G20)</f>
        <v>42000</v>
      </c>
      <c r="H22" s="20">
        <f>SUM(H4:H20)</f>
        <v>5000</v>
      </c>
    </row>
    <row r="28" spans="1:9" ht="29" x14ac:dyDescent="0.2">
      <c r="A28" s="42" t="s">
        <v>70</v>
      </c>
      <c r="B28" s="42"/>
      <c r="C28" s="42"/>
      <c r="D28" s="42"/>
    </row>
    <row r="29" spans="1:9" x14ac:dyDescent="0.2">
      <c r="A29" s="43" t="s">
        <v>219</v>
      </c>
      <c r="B29" s="43"/>
      <c r="C29" s="43"/>
      <c r="D29" s="43"/>
    </row>
    <row r="30" spans="1:9" ht="16" x14ac:dyDescent="0.2">
      <c r="A30" s="15" t="s">
        <v>0</v>
      </c>
      <c r="B30" s="14" t="s">
        <v>69</v>
      </c>
      <c r="C30" s="14" t="s">
        <v>68</v>
      </c>
      <c r="D30" s="14" t="s">
        <v>1</v>
      </c>
    </row>
    <row r="31" spans="1:9" x14ac:dyDescent="0.2">
      <c r="A31" s="3"/>
      <c r="B31" s="22"/>
      <c r="C31" s="22"/>
      <c r="D31" s="2"/>
    </row>
    <row r="32" spans="1:9" ht="16" x14ac:dyDescent="0.2">
      <c r="A32" s="24">
        <v>45717</v>
      </c>
      <c r="B32" s="32" t="s">
        <v>187</v>
      </c>
      <c r="C32" s="32" t="s">
        <v>188</v>
      </c>
      <c r="D32" s="11">
        <v>16</v>
      </c>
    </row>
    <row r="33" spans="1:4" ht="16" x14ac:dyDescent="0.2">
      <c r="A33" s="24">
        <v>45718</v>
      </c>
      <c r="B33" s="32" t="s">
        <v>187</v>
      </c>
      <c r="C33" s="32" t="s">
        <v>188</v>
      </c>
      <c r="D33" s="11">
        <v>15</v>
      </c>
    </row>
    <row r="34" spans="1:4" ht="16" x14ac:dyDescent="0.2">
      <c r="A34" s="24">
        <v>45719</v>
      </c>
      <c r="B34" s="32" t="s">
        <v>187</v>
      </c>
      <c r="C34" s="32" t="s">
        <v>188</v>
      </c>
      <c r="D34" s="17">
        <v>18</v>
      </c>
    </row>
    <row r="35" spans="1:4" ht="16" x14ac:dyDescent="0.2">
      <c r="A35" s="24">
        <v>45720</v>
      </c>
      <c r="B35" s="32" t="s">
        <v>187</v>
      </c>
      <c r="C35" s="32" t="s">
        <v>188</v>
      </c>
      <c r="D35" s="11">
        <v>14</v>
      </c>
    </row>
    <row r="36" spans="1:4" ht="16" x14ac:dyDescent="0.2">
      <c r="A36" s="24">
        <v>45721</v>
      </c>
      <c r="B36" s="32" t="s">
        <v>187</v>
      </c>
      <c r="C36" s="32" t="s">
        <v>188</v>
      </c>
      <c r="D36" s="17">
        <v>20</v>
      </c>
    </row>
    <row r="37" spans="1:4" ht="16" x14ac:dyDescent="0.2">
      <c r="A37" s="24">
        <v>45722</v>
      </c>
      <c r="B37" s="32" t="s">
        <v>187</v>
      </c>
      <c r="C37" s="32" t="s">
        <v>188</v>
      </c>
      <c r="D37" s="11">
        <v>23</v>
      </c>
    </row>
    <row r="38" spans="1:4" ht="16" x14ac:dyDescent="0.2">
      <c r="A38" s="24">
        <v>45722</v>
      </c>
      <c r="B38" s="32" t="s">
        <v>187</v>
      </c>
      <c r="C38" s="32" t="s">
        <v>189</v>
      </c>
      <c r="D38" s="11">
        <v>20</v>
      </c>
    </row>
    <row r="39" spans="1:4" ht="16" x14ac:dyDescent="0.2">
      <c r="A39" s="24">
        <v>45723</v>
      </c>
      <c r="B39" s="32" t="s">
        <v>187</v>
      </c>
      <c r="C39" s="32" t="s">
        <v>188</v>
      </c>
      <c r="D39" s="11">
        <v>23</v>
      </c>
    </row>
    <row r="40" spans="1:4" ht="16" x14ac:dyDescent="0.2">
      <c r="A40" s="24">
        <v>45724</v>
      </c>
      <c r="B40" s="32" t="s">
        <v>187</v>
      </c>
      <c r="C40" s="32" t="s">
        <v>188</v>
      </c>
      <c r="D40" s="17">
        <v>21</v>
      </c>
    </row>
    <row r="41" spans="1:4" ht="16" x14ac:dyDescent="0.2">
      <c r="A41" s="24">
        <v>45725</v>
      </c>
      <c r="B41" s="32" t="s">
        <v>187</v>
      </c>
      <c r="C41" s="32" t="s">
        <v>188</v>
      </c>
      <c r="D41" s="17">
        <v>18</v>
      </c>
    </row>
    <row r="42" spans="1:4" ht="16" x14ac:dyDescent="0.2">
      <c r="A42" s="24">
        <v>45726</v>
      </c>
      <c r="B42" s="32" t="s">
        <v>187</v>
      </c>
      <c r="C42" s="32" t="s">
        <v>188</v>
      </c>
      <c r="D42" s="17">
        <v>19</v>
      </c>
    </row>
    <row r="43" spans="1:4" ht="16" x14ac:dyDescent="0.2">
      <c r="A43" s="24">
        <v>45727</v>
      </c>
      <c r="B43" s="32" t="s">
        <v>187</v>
      </c>
      <c r="C43" s="32" t="s">
        <v>188</v>
      </c>
      <c r="D43" s="17">
        <v>15</v>
      </c>
    </row>
    <row r="44" spans="1:4" ht="16" x14ac:dyDescent="0.2">
      <c r="A44" s="24">
        <v>45727</v>
      </c>
      <c r="B44" s="32" t="s">
        <v>187</v>
      </c>
      <c r="C44" s="32" t="s">
        <v>189</v>
      </c>
      <c r="D44" s="17">
        <v>23</v>
      </c>
    </row>
    <row r="45" spans="1:4" ht="16" x14ac:dyDescent="0.2">
      <c r="A45" s="24">
        <v>45728</v>
      </c>
      <c r="B45" s="32" t="s">
        <v>187</v>
      </c>
      <c r="C45" s="32" t="s">
        <v>188</v>
      </c>
      <c r="D45" s="17">
        <v>21</v>
      </c>
    </row>
    <row r="46" spans="1:4" ht="16" x14ac:dyDescent="0.2">
      <c r="A46" s="24">
        <v>45729</v>
      </c>
      <c r="B46" s="32" t="s">
        <v>187</v>
      </c>
      <c r="C46" s="32" t="s">
        <v>188</v>
      </c>
      <c r="D46" s="17">
        <v>12</v>
      </c>
    </row>
    <row r="47" spans="1:4" ht="16" x14ac:dyDescent="0.2">
      <c r="A47" s="24">
        <v>45733</v>
      </c>
      <c r="B47" s="32" t="s">
        <v>187</v>
      </c>
      <c r="C47" s="32" t="s">
        <v>188</v>
      </c>
      <c r="D47" s="17">
        <v>16</v>
      </c>
    </row>
    <row r="48" spans="1:4" ht="16" x14ac:dyDescent="0.2">
      <c r="A48" s="24">
        <v>45733</v>
      </c>
      <c r="B48" s="32" t="s">
        <v>187</v>
      </c>
      <c r="C48" s="32" t="s">
        <v>189</v>
      </c>
      <c r="D48" s="17">
        <v>15</v>
      </c>
    </row>
    <row r="49" spans="1:4" ht="16" x14ac:dyDescent="0.2">
      <c r="A49" s="24">
        <v>45734</v>
      </c>
      <c r="B49" s="32" t="s">
        <v>187</v>
      </c>
      <c r="C49" s="32" t="s">
        <v>188</v>
      </c>
      <c r="D49" s="17">
        <v>18</v>
      </c>
    </row>
    <row r="50" spans="1:4" ht="16" x14ac:dyDescent="0.2">
      <c r="A50" s="24">
        <v>45735</v>
      </c>
      <c r="B50" s="32" t="s">
        <v>187</v>
      </c>
      <c r="C50" s="32" t="s">
        <v>188</v>
      </c>
      <c r="D50" s="17">
        <v>17</v>
      </c>
    </row>
    <row r="51" spans="1:4" ht="16" x14ac:dyDescent="0.2">
      <c r="A51" s="24">
        <v>45736</v>
      </c>
      <c r="B51" s="32" t="s">
        <v>187</v>
      </c>
      <c r="C51" s="32" t="s">
        <v>188</v>
      </c>
      <c r="D51" s="17">
        <v>22</v>
      </c>
    </row>
    <row r="52" spans="1:4" ht="16" x14ac:dyDescent="0.2">
      <c r="A52" s="24">
        <v>45737</v>
      </c>
      <c r="B52" s="32" t="s">
        <v>187</v>
      </c>
      <c r="C52" s="32" t="s">
        <v>188</v>
      </c>
      <c r="D52" s="17">
        <v>15</v>
      </c>
    </row>
    <row r="53" spans="1:4" ht="16" x14ac:dyDescent="0.2">
      <c r="A53" s="24">
        <v>45738</v>
      </c>
      <c r="B53" s="32" t="s">
        <v>187</v>
      </c>
      <c r="C53" s="32" t="s">
        <v>188</v>
      </c>
      <c r="D53" s="17">
        <v>17</v>
      </c>
    </row>
    <row r="54" spans="1:4" ht="16" x14ac:dyDescent="0.2">
      <c r="A54" s="24">
        <v>45739</v>
      </c>
      <c r="B54" s="32" t="s">
        <v>187</v>
      </c>
      <c r="C54" s="32" t="s">
        <v>188</v>
      </c>
      <c r="D54" s="17">
        <v>20</v>
      </c>
    </row>
    <row r="55" spans="1:4" ht="16" x14ac:dyDescent="0.2">
      <c r="A55" s="24">
        <v>45740</v>
      </c>
      <c r="B55" s="32" t="s">
        <v>187</v>
      </c>
      <c r="C55" s="32" t="s">
        <v>188</v>
      </c>
      <c r="D55" s="17">
        <v>23</v>
      </c>
    </row>
    <row r="56" spans="1:4" ht="16" x14ac:dyDescent="0.2">
      <c r="A56" s="24">
        <v>45741</v>
      </c>
      <c r="B56" s="32" t="s">
        <v>187</v>
      </c>
      <c r="C56" s="32" t="s">
        <v>188</v>
      </c>
      <c r="D56" s="17">
        <v>19</v>
      </c>
    </row>
    <row r="57" spans="1:4" ht="16" x14ac:dyDescent="0.2">
      <c r="A57" s="24">
        <v>45742</v>
      </c>
      <c r="B57" s="32" t="s">
        <v>187</v>
      </c>
      <c r="C57" s="32" t="s">
        <v>188</v>
      </c>
      <c r="D57" s="17">
        <v>22</v>
      </c>
    </row>
    <row r="58" spans="1:4" ht="16" x14ac:dyDescent="0.2">
      <c r="A58" s="24">
        <v>45743</v>
      </c>
      <c r="B58" s="32" t="s">
        <v>187</v>
      </c>
      <c r="C58" s="32" t="s">
        <v>188</v>
      </c>
      <c r="D58" s="17">
        <v>15</v>
      </c>
    </row>
    <row r="59" spans="1:4" ht="16" x14ac:dyDescent="0.2">
      <c r="A59" s="24">
        <v>45744</v>
      </c>
      <c r="B59" s="32" t="s">
        <v>187</v>
      </c>
      <c r="C59" s="32" t="s">
        <v>188</v>
      </c>
      <c r="D59" s="17">
        <v>17</v>
      </c>
    </row>
    <row r="60" spans="1:4" ht="16" x14ac:dyDescent="0.2">
      <c r="A60" s="24">
        <v>45745</v>
      </c>
      <c r="B60" s="32" t="s">
        <v>187</v>
      </c>
      <c r="C60" s="32" t="s">
        <v>188</v>
      </c>
      <c r="D60" s="17">
        <v>19</v>
      </c>
    </row>
    <row r="61" spans="1:4" ht="16" x14ac:dyDescent="0.2">
      <c r="A61" s="24">
        <v>45747</v>
      </c>
      <c r="B61" s="32" t="s">
        <v>187</v>
      </c>
      <c r="C61" s="32" t="s">
        <v>188</v>
      </c>
      <c r="D61" s="17">
        <v>16</v>
      </c>
    </row>
    <row r="62" spans="1:4" x14ac:dyDescent="0.2">
      <c r="A62" s="24"/>
      <c r="B62" s="23"/>
      <c r="C62" s="23"/>
      <c r="D62" s="17"/>
    </row>
    <row r="63" spans="1:4" ht="24" x14ac:dyDescent="0.2">
      <c r="D63" s="21" t="s">
        <v>7</v>
      </c>
    </row>
    <row r="64" spans="1:4" ht="24" x14ac:dyDescent="0.2">
      <c r="D64" s="19">
        <f>SUM(D31:D62)</f>
        <v>549</v>
      </c>
    </row>
  </sheetData>
  <mergeCells count="4">
    <mergeCell ref="A1:I1"/>
    <mergeCell ref="A2:I2"/>
    <mergeCell ref="A28:D28"/>
    <mergeCell ref="A29:D29"/>
  </mergeCells>
  <conditionalFormatting sqref="I4:I20">
    <cfRule type="containsText" dxfId="43" priority="1" operator="containsText" text="✅">
      <formula>NOT(ISERROR(SEARCH("✅",I4)))</formula>
    </cfRule>
    <cfRule type="containsText" dxfId="42" priority="2" operator="containsText" text="ℹ️">
      <formula>NOT(ISERROR(SEARCH("ℹ️",I4)))</formula>
    </cfRule>
    <cfRule type="containsText" dxfId="41" priority="3" operator="containsText" text="⚠️">
      <formula>NOT(ISERROR(SEARCH("⚠️",I4)))</formula>
    </cfRule>
    <cfRule type="containsText" dxfId="40" priority="4" operator="containsText" text="🚨">
      <formula>NOT(ISERROR(SEARCH("🚨",I4)))</formula>
    </cfRule>
  </conditionalFormatting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EA384-BD36-446D-B100-327998D82AFB}">
  <sheetPr codeName="Sheet4"/>
  <dimension ref="A1:I70"/>
  <sheetViews>
    <sheetView zoomScaleNormal="100" workbookViewId="0">
      <pane ySplit="3" topLeftCell="A22" activePane="bottomLeft" state="frozen"/>
      <selection pane="bottomLeft" activeCell="C38" sqref="C38:D66"/>
    </sheetView>
  </sheetViews>
  <sheetFormatPr baseColWidth="10" defaultColWidth="8.83203125" defaultRowHeight="15" x14ac:dyDescent="0.2"/>
  <cols>
    <col min="1" max="1" width="27.33203125" customWidth="1"/>
    <col min="2" max="2" width="31.83203125" customWidth="1"/>
    <col min="3" max="3" width="35.5" customWidth="1"/>
    <col min="4" max="4" width="16.5" bestFit="1" customWidth="1"/>
    <col min="5" max="5" width="16.33203125" bestFit="1" customWidth="1"/>
    <col min="6" max="6" width="20.83203125" bestFit="1" customWidth="1"/>
    <col min="7" max="7" width="22.5" bestFit="1" customWidth="1"/>
    <col min="8" max="8" width="20.6640625" bestFit="1" customWidth="1"/>
    <col min="9" max="9" width="35.33203125" bestFit="1" customWidth="1"/>
  </cols>
  <sheetData>
    <row r="1" spans="1:9" ht="29" x14ac:dyDescent="0.2">
      <c r="A1" s="42" t="s">
        <v>70</v>
      </c>
      <c r="B1" s="42"/>
      <c r="C1" s="42"/>
      <c r="D1" s="42"/>
      <c r="E1" s="42"/>
      <c r="F1" s="42"/>
      <c r="G1" s="42"/>
      <c r="H1" s="42"/>
      <c r="I1" s="42"/>
    </row>
    <row r="2" spans="1:9" x14ac:dyDescent="0.2">
      <c r="A2" s="43" t="s">
        <v>224</v>
      </c>
      <c r="B2" s="43"/>
      <c r="C2" s="43"/>
      <c r="D2" s="43"/>
      <c r="E2" s="43"/>
      <c r="F2" s="43"/>
      <c r="G2" s="43"/>
      <c r="H2" s="43"/>
      <c r="I2" s="43"/>
    </row>
    <row r="3" spans="1:9" ht="16" x14ac:dyDescent="0.2">
      <c r="A3" s="15" t="s">
        <v>0</v>
      </c>
      <c r="B3" s="14" t="s">
        <v>69</v>
      </c>
      <c r="C3" s="14" t="s">
        <v>68</v>
      </c>
      <c r="D3" s="14" t="s">
        <v>1</v>
      </c>
      <c r="E3" s="13" t="s">
        <v>67</v>
      </c>
      <c r="F3" s="13" t="s">
        <v>50</v>
      </c>
      <c r="G3" s="13" t="s">
        <v>66</v>
      </c>
      <c r="H3" s="13" t="s">
        <v>2</v>
      </c>
      <c r="I3" s="13" t="s">
        <v>65</v>
      </c>
    </row>
    <row r="4" spans="1:9" ht="16" x14ac:dyDescent="0.2">
      <c r="A4" s="24">
        <v>45751</v>
      </c>
      <c r="B4" s="22" t="s">
        <v>200</v>
      </c>
      <c r="C4" s="22" t="s">
        <v>201</v>
      </c>
      <c r="D4" s="2">
        <v>3</v>
      </c>
      <c r="E4" s="25">
        <v>1000</v>
      </c>
      <c r="F4" s="25">
        <f>Table212[[#This Row],[Rate /Trips]]*Table212[[#This Row],[Trips]]</f>
        <v>3000</v>
      </c>
      <c r="G4" s="25">
        <v>3000</v>
      </c>
      <c r="H4" s="25">
        <f>Table212[[#This Row],[Total Value]]-Table212[[#This Row],[Received]]</f>
        <v>0</v>
      </c>
      <c r="I4" s="9" t="str">
        <f>IF(H4&gt;10000,"🚨 URGENT: "&amp;B4&amp;" owes ₹"&amp;H4,IF(H4&gt;5000,"⚠️ WARNING: "&amp;B4&amp;" - ₹"&amp;H4&amp;" due",IF(H4&gt;0,"ℹ️ "&amp;B4&amp;" - ₹"&amp;H4&amp;" pending","✅ Paid")))</f>
        <v>✅ Paid</v>
      </c>
    </row>
    <row r="5" spans="1:9" ht="16" x14ac:dyDescent="0.2">
      <c r="A5" s="24">
        <v>45753</v>
      </c>
      <c r="B5" s="22" t="s">
        <v>202</v>
      </c>
      <c r="C5" s="22" t="s">
        <v>3</v>
      </c>
      <c r="D5" s="2">
        <v>1</v>
      </c>
      <c r="E5" s="25">
        <v>4000</v>
      </c>
      <c r="F5" s="25">
        <f>Table212[[#This Row],[Rate /Trips]]*Table212[[#This Row],[Trips]]</f>
        <v>4000</v>
      </c>
      <c r="G5" s="25">
        <v>4000</v>
      </c>
      <c r="H5" s="25">
        <f>Table212[[#This Row],[Total Value]]-Table212[[#This Row],[Received]]</f>
        <v>0</v>
      </c>
      <c r="I5" s="9" t="str">
        <f>IF(H5&gt;10000,"🚨 URGENT: "&amp;B5&amp;" owes ₹"&amp;H5,IF(H5&gt;5000,"⚠️ WARNING: "&amp;B5&amp;" - ₹"&amp;H5&amp;" due",IF(H5&gt;0,"ℹ️ "&amp;B5&amp;" - ₹"&amp;H5&amp;" pending","✅ Paid")))</f>
        <v>✅ Paid</v>
      </c>
    </row>
    <row r="6" spans="1:9" ht="16" x14ac:dyDescent="0.2">
      <c r="A6" s="24">
        <v>45753</v>
      </c>
      <c r="B6" s="22" t="s">
        <v>203</v>
      </c>
      <c r="C6" s="22" t="s">
        <v>204</v>
      </c>
      <c r="D6" s="2">
        <v>1</v>
      </c>
      <c r="E6" s="25">
        <v>0</v>
      </c>
      <c r="F6" s="25">
        <f>Table212[[#This Row],[Rate /Trips]]*Table212[[#This Row],[Trips]]</f>
        <v>0</v>
      </c>
      <c r="G6" s="25"/>
      <c r="H6" s="25">
        <f>Table212[[#This Row],[Total Value]]-Table212[[#This Row],[Received]]</f>
        <v>0</v>
      </c>
      <c r="I6" s="9" t="str">
        <f>IF(H6&gt;10000,"🚨 URGENT: "&amp;B6&amp;" owes ₹"&amp;H6,IF(H6&gt;5000,"⚠️ WARNING: "&amp;B6&amp;" - ₹"&amp;H6&amp;" due",IF(H6&gt;0,"ℹ️ "&amp;B6&amp;" - ₹"&amp;H6&amp;" pending","✅ Paid")))</f>
        <v>✅ Paid</v>
      </c>
    </row>
    <row r="7" spans="1:9" ht="16" x14ac:dyDescent="0.2">
      <c r="A7" s="24">
        <v>45753</v>
      </c>
      <c r="B7" s="22" t="s">
        <v>203</v>
      </c>
      <c r="C7" s="22" t="s">
        <v>205</v>
      </c>
      <c r="D7" s="2">
        <v>1</v>
      </c>
      <c r="E7" s="25">
        <v>0</v>
      </c>
      <c r="F7" s="25">
        <f>Table212[[#This Row],[Rate /Trips]]*Table212[[#This Row],[Trips]]</f>
        <v>0</v>
      </c>
      <c r="G7" s="25"/>
      <c r="H7" s="25">
        <f>Table212[[#This Row],[Total Value]]-Table212[[#This Row],[Received]]</f>
        <v>0</v>
      </c>
      <c r="I7" s="9" t="str">
        <f>IF(H7&gt;10000,"🚨 URGENT: "&amp;B7&amp;" owes ₹"&amp;H7,IF(H7&gt;5000,"⚠️ WARNING: "&amp;B7&amp;" - ₹"&amp;H7&amp;" due",IF(H7&gt;0,"ℹ️ "&amp;B7&amp;" - ₹"&amp;H7&amp;" pending","✅ Paid")))</f>
        <v>✅ Paid</v>
      </c>
    </row>
    <row r="8" spans="1:9" ht="16" x14ac:dyDescent="0.2">
      <c r="A8" s="24">
        <v>45754</v>
      </c>
      <c r="B8" s="22" t="s">
        <v>206</v>
      </c>
      <c r="C8" s="22" t="s">
        <v>3</v>
      </c>
      <c r="D8" s="2">
        <v>1</v>
      </c>
      <c r="E8" s="25">
        <v>4000</v>
      </c>
      <c r="F8" s="25">
        <f>Table212[[#This Row],[Rate /Trips]]*Table212[[#This Row],[Trips]]</f>
        <v>4000</v>
      </c>
      <c r="G8" s="25">
        <v>4000</v>
      </c>
      <c r="H8" s="25">
        <f>Table212[[#This Row],[Total Value]]-Table212[[#This Row],[Received]]</f>
        <v>0</v>
      </c>
      <c r="I8" s="9" t="str">
        <f>IF(H8&gt;10000,"🚨 URGENT: "&amp;B8&amp;" owes ₹"&amp;H8,IF(H8&gt;5000,"⚠️ WARNING: "&amp;B8&amp;" - ₹"&amp;H8&amp;" due",IF(H8&gt;0,"ℹ️ "&amp;B8&amp;" - ₹"&amp;H8&amp;" pending","✅ Paid")))</f>
        <v>✅ Paid</v>
      </c>
    </row>
    <row r="9" spans="1:9" ht="16" x14ac:dyDescent="0.2">
      <c r="A9" s="24">
        <v>45754</v>
      </c>
      <c r="B9" s="22" t="s">
        <v>207</v>
      </c>
      <c r="C9" s="22" t="s">
        <v>4</v>
      </c>
      <c r="D9" s="2">
        <v>1</v>
      </c>
      <c r="E9" s="25">
        <v>4000</v>
      </c>
      <c r="F9" s="25">
        <f>Table212[[#This Row],[Rate /Trips]]*Table212[[#This Row],[Trips]]</f>
        <v>4000</v>
      </c>
      <c r="G9" s="25">
        <v>4000</v>
      </c>
      <c r="H9" s="25">
        <f>Table212[[#This Row],[Total Value]]-Table212[[#This Row],[Received]]</f>
        <v>0</v>
      </c>
      <c r="I9" s="9" t="str">
        <f>IF(H9&gt;10000,"🚨 URGENT: "&amp;B9&amp;" owes ₹"&amp;H9,IF(H9&gt;5000,"⚠️ WARNING: "&amp;B9&amp;" - ₹"&amp;H9&amp;" due",IF(H9&gt;0,"ℹ️ "&amp;B9&amp;" - ₹"&amp;H9&amp;" pending","✅ Paid")))</f>
        <v>✅ Paid</v>
      </c>
    </row>
    <row r="10" spans="1:9" ht="16" x14ac:dyDescent="0.2">
      <c r="A10" s="24">
        <v>45758</v>
      </c>
      <c r="B10" s="22" t="s">
        <v>208</v>
      </c>
      <c r="C10" s="22" t="s">
        <v>3</v>
      </c>
      <c r="D10" s="2">
        <v>1</v>
      </c>
      <c r="E10" s="25">
        <v>4000</v>
      </c>
      <c r="F10" s="25">
        <f>Table212[[#This Row],[Rate /Trips]]*Table212[[#This Row],[Trips]]</f>
        <v>4000</v>
      </c>
      <c r="G10" s="25">
        <v>4000</v>
      </c>
      <c r="H10" s="25">
        <f>Table212[[#This Row],[Total Value]]-Table212[[#This Row],[Received]]</f>
        <v>0</v>
      </c>
      <c r="I10" s="9" t="str">
        <f>IF(H10&gt;10000,"🚨 URGENT: "&amp;B10&amp;" owes ₹"&amp;H10,IF(H10&gt;5000,"⚠️ WARNING: "&amp;B10&amp;" - ₹"&amp;H10&amp;" due",IF(H10&gt;0,"ℹ️ "&amp;B10&amp;" - ₹"&amp;H10&amp;" pending","✅ Paid")))</f>
        <v>✅ Paid</v>
      </c>
    </row>
    <row r="11" spans="1:9" ht="16" x14ac:dyDescent="0.2">
      <c r="A11" s="24">
        <v>45763</v>
      </c>
      <c r="B11" s="23" t="s">
        <v>11</v>
      </c>
      <c r="C11" s="23" t="s">
        <v>3</v>
      </c>
      <c r="D11" s="17">
        <v>1</v>
      </c>
      <c r="E11" s="25">
        <v>4000</v>
      </c>
      <c r="F11" s="25">
        <f>Table212[[#This Row],[Rate /Trips]]*Table212[[#This Row],[Trips]]</f>
        <v>4000</v>
      </c>
      <c r="G11" s="25">
        <v>4000</v>
      </c>
      <c r="H11" s="25">
        <f>Table212[[#This Row],[Total Value]]-Table212[[#This Row],[Received]]</f>
        <v>0</v>
      </c>
      <c r="I11" s="9" t="str">
        <f>IF(H11&gt;10000,"🚨 URGENT: "&amp;B11&amp;" owes ₹"&amp;H11,IF(H11&gt;5000,"⚠️ WARNING: "&amp;B11&amp;" - ₹"&amp;H11&amp;" due",IF(H11&gt;0,"ℹ️ "&amp;B11&amp;" - ₹"&amp;H11&amp;" pending","✅ Paid")))</f>
        <v>✅ Paid</v>
      </c>
    </row>
    <row r="12" spans="1:9" ht="16" x14ac:dyDescent="0.2">
      <c r="A12" s="24">
        <v>45767</v>
      </c>
      <c r="B12" s="22" t="s">
        <v>203</v>
      </c>
      <c r="C12" s="22" t="s">
        <v>209</v>
      </c>
      <c r="D12" s="17">
        <v>1</v>
      </c>
      <c r="E12" s="25">
        <v>0</v>
      </c>
      <c r="F12" s="25">
        <f>Table212[[#This Row],[Rate /Trips]]*Table212[[#This Row],[Trips]]</f>
        <v>0</v>
      </c>
      <c r="G12" s="25"/>
      <c r="H12" s="25">
        <f>Table212[[#This Row],[Total Value]]-Table212[[#This Row],[Received]]</f>
        <v>0</v>
      </c>
      <c r="I12" s="9" t="str">
        <f>IF(H12&gt;10000,"🚨 URGENT: "&amp;B12&amp;" owes ₹"&amp;H12,IF(H12&gt;5000,"⚠️ WARNING: "&amp;B12&amp;" - ₹"&amp;H12&amp;" due",IF(H12&gt;0,"ℹ️ "&amp;B12&amp;" - ₹"&amp;H12&amp;" pending","✅ Paid")))</f>
        <v>✅ Paid</v>
      </c>
    </row>
    <row r="13" spans="1:9" ht="16" x14ac:dyDescent="0.2">
      <c r="A13" s="24">
        <v>45769</v>
      </c>
      <c r="B13" s="23" t="s">
        <v>11</v>
      </c>
      <c r="C13" s="23" t="s">
        <v>3</v>
      </c>
      <c r="D13" s="17">
        <v>1</v>
      </c>
      <c r="E13" s="25">
        <v>4000</v>
      </c>
      <c r="F13" s="25">
        <f>Table212[[#This Row],[Rate /Trips]]*Table212[[#This Row],[Trips]]</f>
        <v>4000</v>
      </c>
      <c r="G13" s="25">
        <v>4000</v>
      </c>
      <c r="H13" s="25">
        <f>Table212[[#This Row],[Total Value]]-Table212[[#This Row],[Received]]</f>
        <v>0</v>
      </c>
      <c r="I13" s="9" t="str">
        <f>IF(H13&gt;10000,"🚨 URGENT: "&amp;B13&amp;" owes ₹"&amp;H13,IF(H13&gt;5000,"⚠️ WARNING: "&amp;B13&amp;" - ₹"&amp;H13&amp;" due",IF(H13&gt;0,"ℹ️ "&amp;B13&amp;" - ₹"&amp;H13&amp;" pending","✅ Paid")))</f>
        <v>✅ Paid</v>
      </c>
    </row>
    <row r="14" spans="1:9" ht="16" x14ac:dyDescent="0.2">
      <c r="A14" s="24">
        <v>45775</v>
      </c>
      <c r="B14" s="22" t="s">
        <v>210</v>
      </c>
      <c r="C14" s="22" t="s">
        <v>3</v>
      </c>
      <c r="D14" s="2">
        <v>2</v>
      </c>
      <c r="E14" s="25">
        <v>4000</v>
      </c>
      <c r="F14" s="25">
        <f>Table212[[#This Row],[Rate /Trips]]*Table212[[#This Row],[Trips]]</f>
        <v>8000</v>
      </c>
      <c r="G14" s="25">
        <v>8000</v>
      </c>
      <c r="H14" s="25">
        <f>Table212[[#This Row],[Total Value]]-Table212[[#This Row],[Received]]</f>
        <v>0</v>
      </c>
      <c r="I14" s="9" t="str">
        <f>IF(H14&gt;10000,"🚨 URGENT: "&amp;B14&amp;" owes ₹"&amp;H14,IF(H14&gt;5000,"⚠️ WARNING: "&amp;B14&amp;" - ₹"&amp;H14&amp;" due",IF(H14&gt;0,"ℹ️ "&amp;B14&amp;" - ₹"&amp;H14&amp;" pending","✅ Paid")))</f>
        <v>✅ Paid</v>
      </c>
    </row>
    <row r="15" spans="1:9" ht="16" x14ac:dyDescent="0.2">
      <c r="A15" s="24">
        <v>45775</v>
      </c>
      <c r="B15" s="22" t="s">
        <v>211</v>
      </c>
      <c r="C15" s="22" t="s">
        <v>3</v>
      </c>
      <c r="D15" s="2">
        <v>1</v>
      </c>
      <c r="E15" s="25">
        <v>4000</v>
      </c>
      <c r="F15" s="25">
        <f>Table212[[#This Row],[Rate /Trips]]*Table212[[#This Row],[Trips]]</f>
        <v>4000</v>
      </c>
      <c r="G15" s="25">
        <v>4000</v>
      </c>
      <c r="H15" s="25">
        <f>Table212[[#This Row],[Total Value]]-Table212[[#This Row],[Received]]</f>
        <v>0</v>
      </c>
      <c r="I15" s="9" t="str">
        <f>IF(H15&gt;10000,"🚨 URGENT: "&amp;B15&amp;" owes ₹"&amp;H15,IF(H15&gt;5000,"⚠️ WARNING: "&amp;B15&amp;" - ₹"&amp;H15&amp;" due",IF(H15&gt;0,"ℹ️ "&amp;B15&amp;" - ₹"&amp;H15&amp;" pending","✅ Paid")))</f>
        <v>✅ Paid</v>
      </c>
    </row>
    <row r="16" spans="1:9" ht="16" x14ac:dyDescent="0.2">
      <c r="A16" s="24">
        <v>45775</v>
      </c>
      <c r="B16" s="22" t="s">
        <v>212</v>
      </c>
      <c r="C16" s="22" t="s">
        <v>3</v>
      </c>
      <c r="D16" s="2">
        <v>1</v>
      </c>
      <c r="E16" s="25">
        <v>4000</v>
      </c>
      <c r="F16" s="25">
        <f>Table212[[#This Row],[Rate /Trips]]*Table212[[#This Row],[Trips]]</f>
        <v>4000</v>
      </c>
      <c r="G16" s="25">
        <v>4000</v>
      </c>
      <c r="H16" s="25">
        <f>Table212[[#This Row],[Total Value]]-Table212[[#This Row],[Received]]</f>
        <v>0</v>
      </c>
      <c r="I16" s="9" t="str">
        <f>IF(H16&gt;10000,"🚨 URGENT: "&amp;B16&amp;" owes ₹"&amp;H16,IF(H16&gt;5000,"⚠️ WARNING: "&amp;B16&amp;" - ₹"&amp;H16&amp;" due",IF(H16&gt;0,"ℹ️ "&amp;B16&amp;" - ₹"&amp;H16&amp;" pending","✅ Paid")))</f>
        <v>✅ Paid</v>
      </c>
    </row>
    <row r="17" spans="1:9" ht="16" x14ac:dyDescent="0.2">
      <c r="A17" s="24">
        <v>45775</v>
      </c>
      <c r="B17" s="22" t="s">
        <v>213</v>
      </c>
      <c r="C17" s="22" t="s">
        <v>4</v>
      </c>
      <c r="D17" s="2">
        <v>2</v>
      </c>
      <c r="E17" s="25">
        <v>4000</v>
      </c>
      <c r="F17" s="25">
        <f>Table212[[#This Row],[Rate /Trips]]*Table212[[#This Row],[Trips]]</f>
        <v>8000</v>
      </c>
      <c r="G17" s="25">
        <v>8000</v>
      </c>
      <c r="H17" s="25">
        <f>Table212[[#This Row],[Total Value]]-Table212[[#This Row],[Received]]</f>
        <v>0</v>
      </c>
      <c r="I17" s="9" t="str">
        <f>IF(H17&gt;10000,"🚨 URGENT: "&amp;B17&amp;" owes ₹"&amp;H17,IF(H17&gt;5000,"⚠️ WARNING: "&amp;B17&amp;" - ₹"&amp;H17&amp;" due",IF(H17&gt;0,"ℹ️ "&amp;B17&amp;" - ₹"&amp;H17&amp;" pending","✅ Paid")))</f>
        <v>✅ Paid</v>
      </c>
    </row>
    <row r="18" spans="1:9" ht="16" x14ac:dyDescent="0.2">
      <c r="A18" s="3"/>
      <c r="B18" s="2"/>
      <c r="C18" s="2"/>
      <c r="D18" s="2"/>
      <c r="E18" s="16"/>
      <c r="F18" s="16"/>
      <c r="G18" s="16"/>
      <c r="H18" s="16"/>
      <c r="I18" s="9"/>
    </row>
    <row r="19" spans="1:9" ht="16" x14ac:dyDescent="0.2">
      <c r="A19" s="24"/>
      <c r="B19" s="22"/>
      <c r="C19" s="22"/>
      <c r="D19" s="2"/>
      <c r="E19" s="25"/>
      <c r="F19" s="25"/>
      <c r="G19" s="25"/>
      <c r="H19" s="25"/>
      <c r="I19" s="9"/>
    </row>
    <row r="20" spans="1:9" ht="16" x14ac:dyDescent="0.2">
      <c r="A20" s="24"/>
      <c r="B20" s="22"/>
      <c r="C20" s="22"/>
      <c r="D20" s="2"/>
      <c r="E20" s="25"/>
      <c r="F20" s="25"/>
      <c r="G20" s="25"/>
      <c r="H20" s="25"/>
      <c r="I20" s="9"/>
    </row>
    <row r="21" spans="1:9" ht="16" x14ac:dyDescent="0.2">
      <c r="A21" s="24"/>
      <c r="B21" s="22"/>
      <c r="C21" s="22"/>
      <c r="D21" s="2"/>
      <c r="E21" s="25"/>
      <c r="F21" s="25"/>
      <c r="G21" s="25"/>
      <c r="H21" s="25"/>
      <c r="I21" s="9"/>
    </row>
    <row r="22" spans="1:9" ht="16" x14ac:dyDescent="0.2">
      <c r="A22" s="24"/>
      <c r="B22" s="22"/>
      <c r="C22" s="22"/>
      <c r="D22" s="2"/>
      <c r="E22" s="25"/>
      <c r="F22" s="25"/>
      <c r="G22" s="25"/>
      <c r="H22" s="25"/>
      <c r="I22" s="9" t="str">
        <f>IF(H22&gt;10000,"🚨 URGENT: "&amp;B22&amp;" owes ₹"&amp;H22,IF(H22&gt;5000,"⚠️ WARNING: "&amp;B22&amp;" - ₹"&amp;H22&amp;" due",IF(H22&gt;0,"ℹ️ "&amp;B22&amp;" - ₹"&amp;H22&amp;" pending","✅ Paid")))</f>
        <v>✅ Paid</v>
      </c>
    </row>
    <row r="23" spans="1:9" ht="16" x14ac:dyDescent="0.2">
      <c r="A23" s="24"/>
      <c r="B23" s="23"/>
      <c r="C23" s="23"/>
      <c r="D23" s="17"/>
      <c r="E23" s="25"/>
      <c r="F23" s="25"/>
      <c r="G23" s="25"/>
      <c r="H23" s="25"/>
      <c r="I23" s="9"/>
    </row>
    <row r="24" spans="1:9" ht="16" x14ac:dyDescent="0.2">
      <c r="A24" s="24"/>
      <c r="B24" s="23"/>
      <c r="C24" s="23"/>
      <c r="D24" s="17"/>
      <c r="E24" s="25"/>
      <c r="F24" s="25"/>
      <c r="G24" s="25"/>
      <c r="H24" s="25"/>
      <c r="I24" s="9"/>
    </row>
    <row r="25" spans="1:9" ht="16" x14ac:dyDescent="0.2">
      <c r="A25" s="24"/>
      <c r="B25" s="23"/>
      <c r="C25" s="23"/>
      <c r="D25" s="17"/>
      <c r="E25" s="25"/>
      <c r="F25" s="25">
        <f>Table212[[#This Row],[Rate /Trips]]*Table212[[#This Row],[Trips]]</f>
        <v>0</v>
      </c>
      <c r="G25" s="25"/>
      <c r="H25" s="25"/>
      <c r="I25" s="9"/>
    </row>
    <row r="26" spans="1:9" ht="16" x14ac:dyDescent="0.2">
      <c r="A26" s="24"/>
      <c r="B26" s="23"/>
      <c r="C26" s="23"/>
      <c r="D26" s="17"/>
      <c r="E26" s="25"/>
      <c r="F26" s="25"/>
      <c r="G26" s="25"/>
      <c r="H26" s="25"/>
      <c r="I26" s="9"/>
    </row>
    <row r="27" spans="1:9" ht="24" x14ac:dyDescent="0.2">
      <c r="D27" s="21" t="s">
        <v>7</v>
      </c>
      <c r="E27" s="18"/>
      <c r="F27" s="21" t="s">
        <v>50</v>
      </c>
      <c r="G27" s="21" t="s">
        <v>49</v>
      </c>
      <c r="H27" s="21" t="s">
        <v>48</v>
      </c>
    </row>
    <row r="28" spans="1:9" ht="24" x14ac:dyDescent="0.2">
      <c r="D28" s="19">
        <f>SUM(D4:D26)</f>
        <v>18</v>
      </c>
      <c r="E28" s="18"/>
      <c r="F28" s="20">
        <f>SUM(F4:F26)</f>
        <v>51000</v>
      </c>
      <c r="G28" s="20">
        <f>SUM(G4:G26)</f>
        <v>51000</v>
      </c>
      <c r="H28" s="20">
        <f>SUM(H4:H26)</f>
        <v>0</v>
      </c>
    </row>
    <row r="34" spans="1:4" ht="29" x14ac:dyDescent="0.2">
      <c r="A34" s="42" t="s">
        <v>70</v>
      </c>
      <c r="B34" s="42"/>
      <c r="C34" s="42"/>
      <c r="D34" s="42"/>
    </row>
    <row r="35" spans="1:4" x14ac:dyDescent="0.2">
      <c r="A35" s="43" t="s">
        <v>214</v>
      </c>
      <c r="B35" s="43"/>
      <c r="C35" s="43"/>
      <c r="D35" s="43"/>
    </row>
    <row r="36" spans="1:4" ht="16" x14ac:dyDescent="0.2">
      <c r="A36" s="15" t="s">
        <v>0</v>
      </c>
      <c r="B36" s="14" t="s">
        <v>69</v>
      </c>
      <c r="C36" s="14" t="s">
        <v>68</v>
      </c>
      <c r="D36" s="14" t="s">
        <v>1</v>
      </c>
    </row>
    <row r="37" spans="1:4" x14ac:dyDescent="0.2">
      <c r="A37" s="3"/>
      <c r="B37" s="22"/>
      <c r="C37" s="22"/>
      <c r="D37" s="2"/>
    </row>
    <row r="38" spans="1:4" ht="16" x14ac:dyDescent="0.2">
      <c r="A38" s="24">
        <v>45748</v>
      </c>
      <c r="B38" s="32" t="s">
        <v>187</v>
      </c>
      <c r="C38" s="32" t="s">
        <v>188</v>
      </c>
      <c r="D38" s="11">
        <v>19</v>
      </c>
    </row>
    <row r="39" spans="1:4" ht="16" x14ac:dyDescent="0.2">
      <c r="A39" s="24">
        <v>45749</v>
      </c>
      <c r="B39" s="32" t="s">
        <v>187</v>
      </c>
      <c r="C39" s="32" t="s">
        <v>188</v>
      </c>
      <c r="D39" s="11">
        <v>16</v>
      </c>
    </row>
    <row r="40" spans="1:4" ht="16" x14ac:dyDescent="0.2">
      <c r="A40" s="24">
        <v>45750</v>
      </c>
      <c r="B40" s="32" t="s">
        <v>187</v>
      </c>
      <c r="C40" s="32" t="s">
        <v>188</v>
      </c>
      <c r="D40" s="17">
        <v>13</v>
      </c>
    </row>
    <row r="41" spans="1:4" ht="16" x14ac:dyDescent="0.2">
      <c r="A41" s="24">
        <v>45751</v>
      </c>
      <c r="B41" s="32" t="s">
        <v>187</v>
      </c>
      <c r="C41" s="32" t="s">
        <v>188</v>
      </c>
      <c r="D41" s="11">
        <v>11</v>
      </c>
    </row>
    <row r="42" spans="1:4" ht="16" x14ac:dyDescent="0.2">
      <c r="A42" s="24">
        <v>45752</v>
      </c>
      <c r="B42" s="32" t="s">
        <v>187</v>
      </c>
      <c r="C42" s="32" t="s">
        <v>188</v>
      </c>
      <c r="D42" s="17">
        <v>2</v>
      </c>
    </row>
    <row r="43" spans="1:4" ht="16" x14ac:dyDescent="0.2">
      <c r="A43" s="24">
        <v>45753</v>
      </c>
      <c r="B43" s="32" t="s">
        <v>187</v>
      </c>
      <c r="C43" s="32" t="s">
        <v>188</v>
      </c>
      <c r="D43" s="11">
        <v>6</v>
      </c>
    </row>
    <row r="44" spans="1:4" ht="16" x14ac:dyDescent="0.2">
      <c r="A44" s="24">
        <v>45754</v>
      </c>
      <c r="B44" s="32" t="s">
        <v>187</v>
      </c>
      <c r="C44" s="32" t="s">
        <v>188</v>
      </c>
      <c r="D44" s="11">
        <v>13</v>
      </c>
    </row>
    <row r="45" spans="1:4" ht="16" x14ac:dyDescent="0.2">
      <c r="A45" s="24">
        <v>45755</v>
      </c>
      <c r="B45" s="32" t="s">
        <v>187</v>
      </c>
      <c r="C45" s="32" t="s">
        <v>188</v>
      </c>
      <c r="D45" s="17">
        <v>15</v>
      </c>
    </row>
    <row r="46" spans="1:4" ht="16" x14ac:dyDescent="0.2">
      <c r="A46" s="24">
        <v>45756</v>
      </c>
      <c r="B46" s="32" t="s">
        <v>187</v>
      </c>
      <c r="C46" s="32" t="s">
        <v>188</v>
      </c>
      <c r="D46" s="17">
        <v>15</v>
      </c>
    </row>
    <row r="47" spans="1:4" ht="16" x14ac:dyDescent="0.2">
      <c r="A47" s="24">
        <v>45757</v>
      </c>
      <c r="B47" s="32" t="s">
        <v>187</v>
      </c>
      <c r="C47" s="32" t="s">
        <v>188</v>
      </c>
      <c r="D47" s="17">
        <v>8</v>
      </c>
    </row>
    <row r="48" spans="1:4" ht="16" x14ac:dyDescent="0.2">
      <c r="A48" s="24">
        <v>45758</v>
      </c>
      <c r="B48" s="32" t="s">
        <v>187</v>
      </c>
      <c r="C48" s="32" t="s">
        <v>188</v>
      </c>
      <c r="D48" s="17">
        <v>19</v>
      </c>
    </row>
    <row r="49" spans="1:4" ht="16" x14ac:dyDescent="0.2">
      <c r="A49" s="24">
        <v>45759</v>
      </c>
      <c r="B49" s="32" t="s">
        <v>187</v>
      </c>
      <c r="C49" s="32" t="s">
        <v>188</v>
      </c>
      <c r="D49" s="17">
        <v>9</v>
      </c>
    </row>
    <row r="50" spans="1:4" ht="16" x14ac:dyDescent="0.2">
      <c r="A50" s="24">
        <v>45760</v>
      </c>
      <c r="B50" s="32" t="s">
        <v>187</v>
      </c>
      <c r="C50" s="32" t="s">
        <v>188</v>
      </c>
      <c r="D50" s="17">
        <v>10</v>
      </c>
    </row>
    <row r="51" spans="1:4" ht="16" x14ac:dyDescent="0.2">
      <c r="A51" s="24">
        <v>45761</v>
      </c>
      <c r="B51" s="32" t="s">
        <v>187</v>
      </c>
      <c r="C51" s="32" t="s">
        <v>188</v>
      </c>
      <c r="D51" s="17">
        <v>15</v>
      </c>
    </row>
    <row r="52" spans="1:4" ht="16" x14ac:dyDescent="0.2">
      <c r="A52" s="24">
        <v>45762</v>
      </c>
      <c r="B52" s="32" t="s">
        <v>187</v>
      </c>
      <c r="C52" s="32" t="s">
        <v>188</v>
      </c>
      <c r="D52" s="17">
        <v>13</v>
      </c>
    </row>
    <row r="53" spans="1:4" ht="16" x14ac:dyDescent="0.2">
      <c r="A53" s="24">
        <v>45763</v>
      </c>
      <c r="B53" s="32" t="s">
        <v>187</v>
      </c>
      <c r="C53" s="32" t="s">
        <v>188</v>
      </c>
      <c r="D53" s="17">
        <v>11</v>
      </c>
    </row>
    <row r="54" spans="1:4" ht="16" x14ac:dyDescent="0.2">
      <c r="A54" s="24">
        <v>45764</v>
      </c>
      <c r="B54" s="32" t="s">
        <v>187</v>
      </c>
      <c r="C54" s="32" t="s">
        <v>188</v>
      </c>
      <c r="D54" s="17">
        <v>19</v>
      </c>
    </row>
    <row r="55" spans="1:4" ht="16" x14ac:dyDescent="0.2">
      <c r="A55" s="24">
        <v>45765</v>
      </c>
      <c r="B55" s="32" t="s">
        <v>187</v>
      </c>
      <c r="C55" s="32" t="s">
        <v>188</v>
      </c>
      <c r="D55" s="17">
        <v>18</v>
      </c>
    </row>
    <row r="56" spans="1:4" ht="16" x14ac:dyDescent="0.2">
      <c r="A56" s="24">
        <v>45766</v>
      </c>
      <c r="B56" s="32" t="s">
        <v>187</v>
      </c>
      <c r="C56" s="32" t="s">
        <v>188</v>
      </c>
      <c r="D56" s="17">
        <v>15</v>
      </c>
    </row>
    <row r="57" spans="1:4" ht="16" x14ac:dyDescent="0.2">
      <c r="A57" s="24">
        <v>45767</v>
      </c>
      <c r="B57" s="32" t="s">
        <v>187</v>
      </c>
      <c r="C57" s="32" t="s">
        <v>188</v>
      </c>
      <c r="D57" s="17">
        <v>7</v>
      </c>
    </row>
    <row r="58" spans="1:4" ht="16" x14ac:dyDescent="0.2">
      <c r="A58" s="24">
        <v>45768</v>
      </c>
      <c r="B58" s="32" t="s">
        <v>187</v>
      </c>
      <c r="C58" s="32" t="s">
        <v>188</v>
      </c>
      <c r="D58" s="17">
        <v>13</v>
      </c>
    </row>
    <row r="59" spans="1:4" ht="16" x14ac:dyDescent="0.2">
      <c r="A59" s="24">
        <v>45769</v>
      </c>
      <c r="B59" s="32" t="s">
        <v>187</v>
      </c>
      <c r="C59" s="32" t="s">
        <v>188</v>
      </c>
      <c r="D59" s="17">
        <v>12</v>
      </c>
    </row>
    <row r="60" spans="1:4" ht="16" x14ac:dyDescent="0.2">
      <c r="A60" s="24">
        <v>45769</v>
      </c>
      <c r="B60" s="32" t="s">
        <v>187</v>
      </c>
      <c r="C60" s="32" t="s">
        <v>189</v>
      </c>
      <c r="D60" s="17">
        <v>3</v>
      </c>
    </row>
    <row r="61" spans="1:4" ht="16" x14ac:dyDescent="0.2">
      <c r="A61" s="24">
        <v>45770</v>
      </c>
      <c r="B61" s="32" t="s">
        <v>187</v>
      </c>
      <c r="C61" s="32" t="s">
        <v>188</v>
      </c>
      <c r="D61" s="17">
        <v>17</v>
      </c>
    </row>
    <row r="62" spans="1:4" ht="16" x14ac:dyDescent="0.2">
      <c r="A62" s="24">
        <v>45771</v>
      </c>
      <c r="B62" s="32" t="s">
        <v>187</v>
      </c>
      <c r="C62" s="32" t="s">
        <v>188</v>
      </c>
      <c r="D62" s="17">
        <v>19</v>
      </c>
    </row>
    <row r="63" spans="1:4" ht="16" x14ac:dyDescent="0.2">
      <c r="A63" s="24">
        <v>45774</v>
      </c>
      <c r="B63" s="32" t="s">
        <v>187</v>
      </c>
      <c r="C63" s="32" t="s">
        <v>188</v>
      </c>
      <c r="D63" s="17">
        <v>17</v>
      </c>
    </row>
    <row r="64" spans="1:4" ht="16" x14ac:dyDescent="0.2">
      <c r="A64" s="24">
        <v>45775</v>
      </c>
      <c r="B64" s="32" t="s">
        <v>187</v>
      </c>
      <c r="C64" s="32" t="s">
        <v>188</v>
      </c>
      <c r="D64" s="17">
        <v>11</v>
      </c>
    </row>
    <row r="65" spans="1:4" ht="16" x14ac:dyDescent="0.2">
      <c r="A65" s="24">
        <v>45776</v>
      </c>
      <c r="B65" s="32" t="s">
        <v>187</v>
      </c>
      <c r="C65" s="32" t="s">
        <v>188</v>
      </c>
      <c r="D65" s="17">
        <v>19</v>
      </c>
    </row>
    <row r="66" spans="1:4" ht="16" x14ac:dyDescent="0.2">
      <c r="A66" s="24">
        <v>45777</v>
      </c>
      <c r="B66" s="32" t="s">
        <v>187</v>
      </c>
      <c r="C66" s="32" t="s">
        <v>188</v>
      </c>
      <c r="D66" s="17">
        <v>15</v>
      </c>
    </row>
    <row r="67" spans="1:4" ht="16" x14ac:dyDescent="0.2">
      <c r="A67" s="24"/>
      <c r="B67" s="32"/>
      <c r="C67" s="32"/>
      <c r="D67" s="17"/>
    </row>
    <row r="68" spans="1:4" x14ac:dyDescent="0.2">
      <c r="A68" s="24"/>
      <c r="B68" s="23"/>
      <c r="C68" s="23"/>
      <c r="D68" s="17"/>
    </row>
    <row r="69" spans="1:4" ht="24" x14ac:dyDescent="0.2">
      <c r="D69" s="21" t="s">
        <v>7</v>
      </c>
    </row>
    <row r="70" spans="1:4" ht="24" x14ac:dyDescent="0.2">
      <c r="D70" s="19">
        <f>SUM(D37:D68)</f>
        <v>380</v>
      </c>
    </row>
  </sheetData>
  <mergeCells count="4">
    <mergeCell ref="A1:I1"/>
    <mergeCell ref="A2:I2"/>
    <mergeCell ref="A34:D34"/>
    <mergeCell ref="A35:D35"/>
  </mergeCells>
  <conditionalFormatting sqref="I4:I26">
    <cfRule type="containsText" dxfId="39" priority="1" operator="containsText" text="✅">
      <formula>NOT(ISERROR(SEARCH("✅",I4)))</formula>
    </cfRule>
    <cfRule type="containsText" dxfId="38" priority="2" operator="containsText" text="ℹ️">
      <formula>NOT(ISERROR(SEARCH("ℹ️",I4)))</formula>
    </cfRule>
    <cfRule type="containsText" dxfId="37" priority="3" operator="containsText" text="⚠️">
      <formula>NOT(ISERROR(SEARCH("⚠️",I4)))</formula>
    </cfRule>
    <cfRule type="containsText" dxfId="36" priority="4" operator="containsText" text="🚨">
      <formula>NOT(ISERROR(SEARCH("🚨",I4)))</formula>
    </cfRule>
  </conditionalFormatting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65EC2-DB40-4044-B8CC-696002185DA5}">
  <sheetPr codeName="Sheet5"/>
  <dimension ref="A1:I95"/>
  <sheetViews>
    <sheetView zoomScale="85" zoomScaleNormal="85" workbookViewId="0">
      <pane ySplit="3" topLeftCell="A50" activePane="bottomLeft" state="frozen"/>
      <selection pane="bottomLeft" activeCell="C61" sqref="C61:D92"/>
    </sheetView>
  </sheetViews>
  <sheetFormatPr baseColWidth="10" defaultColWidth="10.83203125" defaultRowHeight="16" x14ac:dyDescent="0.2"/>
  <cols>
    <col min="1" max="1" width="27" style="4" customWidth="1"/>
    <col min="2" max="2" width="29.83203125" style="4" customWidth="1"/>
    <col min="3" max="3" width="38.6640625" style="4" customWidth="1"/>
    <col min="4" max="4" width="16.5" style="4" bestFit="1" customWidth="1"/>
    <col min="5" max="5" width="16.33203125" style="4" bestFit="1" customWidth="1"/>
    <col min="6" max="6" width="18.1640625" style="4" bestFit="1" customWidth="1"/>
    <col min="7" max="7" width="20.33203125" style="4" bestFit="1" customWidth="1"/>
    <col min="8" max="8" width="18.5" style="4" bestFit="1" customWidth="1"/>
    <col min="9" max="9" width="41.1640625" style="4" bestFit="1" customWidth="1"/>
    <col min="10" max="10" width="10.83203125" style="4"/>
    <col min="11" max="11" width="12.5" style="4" bestFit="1" customWidth="1"/>
    <col min="12" max="12" width="14.6640625" style="4" bestFit="1" customWidth="1"/>
    <col min="13" max="13" width="17.5" style="4" bestFit="1" customWidth="1"/>
    <col min="14" max="14" width="16.6640625" style="4" bestFit="1" customWidth="1"/>
    <col min="15" max="16384" width="10.83203125" style="4"/>
  </cols>
  <sheetData>
    <row r="1" spans="1:9" ht="29" x14ac:dyDescent="0.2">
      <c r="A1" s="42" t="s">
        <v>70</v>
      </c>
      <c r="B1" s="42"/>
      <c r="C1" s="42"/>
      <c r="D1" s="42"/>
      <c r="E1" s="42"/>
      <c r="F1" s="42"/>
      <c r="G1" s="42"/>
      <c r="H1" s="42"/>
      <c r="I1" s="42"/>
    </row>
    <row r="2" spans="1:9" x14ac:dyDescent="0.2">
      <c r="A2" s="43" t="s">
        <v>223</v>
      </c>
      <c r="B2" s="43"/>
      <c r="C2" s="43"/>
      <c r="D2" s="43"/>
      <c r="E2" s="43"/>
      <c r="F2" s="43"/>
      <c r="G2" s="43"/>
      <c r="H2" s="43"/>
      <c r="I2" s="43"/>
    </row>
    <row r="3" spans="1:9" x14ac:dyDescent="0.2">
      <c r="A3" s="15" t="s">
        <v>0</v>
      </c>
      <c r="B3" s="14" t="s">
        <v>69</v>
      </c>
      <c r="C3" s="14" t="s">
        <v>68</v>
      </c>
      <c r="D3" s="14" t="s">
        <v>1</v>
      </c>
      <c r="E3" s="13" t="s">
        <v>67</v>
      </c>
      <c r="F3" s="13" t="s">
        <v>50</v>
      </c>
      <c r="G3" s="13" t="s">
        <v>66</v>
      </c>
      <c r="H3" s="13" t="s">
        <v>2</v>
      </c>
      <c r="I3" s="13" t="s">
        <v>65</v>
      </c>
    </row>
    <row r="4" spans="1:9" x14ac:dyDescent="0.2">
      <c r="A4" s="26">
        <v>45780</v>
      </c>
      <c r="B4" s="27" t="s">
        <v>17</v>
      </c>
      <c r="C4" s="27" t="s">
        <v>60</v>
      </c>
      <c r="D4" s="11">
        <v>1</v>
      </c>
      <c r="E4" s="28">
        <v>4000</v>
      </c>
      <c r="F4" s="28">
        <f>E4*D4</f>
        <v>4000</v>
      </c>
      <c r="G4" s="28">
        <v>4000</v>
      </c>
      <c r="H4" s="28">
        <f>F4-G4</f>
        <v>0</v>
      </c>
      <c r="I4" s="9" t="str">
        <f>IF(H4&gt;10000,"🚨 URGENT: "&amp;B4&amp;" owes ₹"&amp;H4,IF(H4&gt;5000,"⚠️ WARNING: "&amp;B4&amp;" - ₹"&amp;H4&amp;" due",IF(H4&gt;0,"ℹ️ "&amp;B4&amp;" - ₹"&amp;H4&amp;" pending","✅ Paid")))</f>
        <v>✅ Paid</v>
      </c>
    </row>
    <row r="5" spans="1:9" x14ac:dyDescent="0.2">
      <c r="A5" s="26">
        <v>45780</v>
      </c>
      <c r="B5" s="27" t="s">
        <v>18</v>
      </c>
      <c r="C5" s="27" t="s">
        <v>64</v>
      </c>
      <c r="D5" s="11">
        <v>1</v>
      </c>
      <c r="E5" s="28">
        <v>4500</v>
      </c>
      <c r="F5" s="28">
        <f>E5*D5</f>
        <v>4500</v>
      </c>
      <c r="G5" s="28">
        <v>4500</v>
      </c>
      <c r="H5" s="28">
        <f>F5-G5</f>
        <v>0</v>
      </c>
      <c r="I5" s="9" t="str">
        <f>IF(H5&gt;10000,"🚨 URGENT: "&amp;B5&amp;" owes ₹"&amp;H5,IF(H5&gt;5000,"⚠️ WARNING: "&amp;B5&amp;" - ₹"&amp;H5&amp;" due",IF(H5&gt;0,"ℹ️ "&amp;B5&amp;" - ₹"&amp;H5&amp;" pending","✅ Paid")))</f>
        <v>✅ Paid</v>
      </c>
    </row>
    <row r="6" spans="1:9" x14ac:dyDescent="0.2">
      <c r="A6" s="26">
        <v>45782</v>
      </c>
      <c r="B6" s="27" t="s">
        <v>19</v>
      </c>
      <c r="C6" s="27" t="s">
        <v>63</v>
      </c>
      <c r="D6" s="11">
        <v>3</v>
      </c>
      <c r="E6" s="28">
        <v>5000</v>
      </c>
      <c r="F6" s="28">
        <f>E6*D6</f>
        <v>15000</v>
      </c>
      <c r="G6" s="28"/>
      <c r="H6" s="28">
        <f>F6-G6</f>
        <v>15000</v>
      </c>
      <c r="I6" s="9" t="str">
        <f>IF(H6&gt;10000,"🚨 URGENT: "&amp;B6&amp;" owes ₹"&amp;H6,IF(H6&gt;5000,"⚠️ WARNING: "&amp;B6&amp;" - ₹"&amp;H6&amp;" due",IF(H6&gt;0,"ℹ️ "&amp;B6&amp;" - ₹"&amp;H6&amp;" pending","✅ Paid")))</f>
        <v>🚨 URGENT: Narayan Tiles owes ₹15000</v>
      </c>
    </row>
    <row r="7" spans="1:9" x14ac:dyDescent="0.2">
      <c r="A7" s="26">
        <v>45784</v>
      </c>
      <c r="B7" s="27" t="s">
        <v>20</v>
      </c>
      <c r="C7" s="27" t="s">
        <v>62</v>
      </c>
      <c r="D7" s="11">
        <v>3</v>
      </c>
      <c r="E7" s="28">
        <v>5000</v>
      </c>
      <c r="F7" s="28">
        <f>E7*D7</f>
        <v>15000</v>
      </c>
      <c r="G7" s="28">
        <v>15000</v>
      </c>
      <c r="H7" s="28">
        <f>F7-G7</f>
        <v>0</v>
      </c>
      <c r="I7" s="9" t="str">
        <f>IF(H7&gt;10000,"🚨 URGENT: "&amp;B7&amp;" owes ₹"&amp;H7,IF(H7&gt;5000,"⚠️ WARNING: "&amp;B7&amp;" - ₹"&amp;H7&amp;" due",IF(H7&gt;0,"ℹ️ "&amp;B7&amp;" - ₹"&amp;H7&amp;" pending","✅ Paid")))</f>
        <v>✅ Paid</v>
      </c>
    </row>
    <row r="8" spans="1:9" x14ac:dyDescent="0.2">
      <c r="A8" s="26">
        <v>45784</v>
      </c>
      <c r="B8" s="27" t="s">
        <v>21</v>
      </c>
      <c r="C8" s="27" t="s">
        <v>52</v>
      </c>
      <c r="D8" s="11">
        <v>1</v>
      </c>
      <c r="E8" s="28">
        <v>4000</v>
      </c>
      <c r="F8" s="28">
        <f>E8*D8</f>
        <v>4000</v>
      </c>
      <c r="G8" s="28">
        <v>4000</v>
      </c>
      <c r="H8" s="28">
        <f>F8-G8</f>
        <v>0</v>
      </c>
      <c r="I8" s="9" t="str">
        <f>IF(H8&gt;10000,"🚨 URGENT: "&amp;B8&amp;" owes ₹"&amp;H8,IF(H8&gt;5000,"⚠️ WARNING: "&amp;B8&amp;" - ₹"&amp;H8&amp;" due",IF(H8&gt;0,"ℹ️ "&amp;B8&amp;" - ₹"&amp;H8&amp;" pending","✅ Paid")))</f>
        <v>✅ Paid</v>
      </c>
    </row>
    <row r="9" spans="1:9" x14ac:dyDescent="0.2">
      <c r="A9" s="26">
        <v>45785</v>
      </c>
      <c r="B9" s="27" t="s">
        <v>22</v>
      </c>
      <c r="C9" s="27" t="s">
        <v>61</v>
      </c>
      <c r="D9" s="11">
        <v>1</v>
      </c>
      <c r="E9" s="28">
        <v>4000</v>
      </c>
      <c r="F9" s="28">
        <f>E9*D9</f>
        <v>4000</v>
      </c>
      <c r="G9" s="28">
        <v>4000</v>
      </c>
      <c r="H9" s="28">
        <f>F9-G9</f>
        <v>0</v>
      </c>
      <c r="I9" s="9" t="str">
        <f>IF(H9&gt;10000,"🚨 URGENT: "&amp;B9&amp;" owes ₹"&amp;H9,IF(H9&gt;5000,"⚠️ WARNING: "&amp;B9&amp;" - ₹"&amp;H9&amp;" due",IF(H9&gt;0,"ℹ️ "&amp;B9&amp;" - ₹"&amp;H9&amp;" pending","✅ Paid")))</f>
        <v>✅ Paid</v>
      </c>
    </row>
    <row r="10" spans="1:9" x14ac:dyDescent="0.2">
      <c r="A10" s="26">
        <v>45788</v>
      </c>
      <c r="B10" s="27" t="s">
        <v>23</v>
      </c>
      <c r="C10" s="27" t="s">
        <v>52</v>
      </c>
      <c r="D10" s="11">
        <v>2</v>
      </c>
      <c r="E10" s="28">
        <v>4500</v>
      </c>
      <c r="F10" s="28">
        <f>E10*D10</f>
        <v>9000</v>
      </c>
      <c r="G10" s="28">
        <v>9000</v>
      </c>
      <c r="H10" s="28">
        <f>F10-G10</f>
        <v>0</v>
      </c>
      <c r="I10" s="9" t="str">
        <f>IF(H10&gt;10000,"🚨 URGENT: "&amp;B10&amp;" owes ₹"&amp;H10,IF(H10&gt;5000,"⚠️ WARNING: "&amp;B10&amp;" - ₹"&amp;H10&amp;" due",IF(H10&gt;0,"ℹ️ "&amp;B10&amp;" - ₹"&amp;H10&amp;" pending","✅ Paid")))</f>
        <v>✅ Paid</v>
      </c>
    </row>
    <row r="11" spans="1:9" x14ac:dyDescent="0.2">
      <c r="A11" s="26">
        <v>45790</v>
      </c>
      <c r="B11" s="27" t="s">
        <v>24</v>
      </c>
      <c r="C11" s="27" t="s">
        <v>60</v>
      </c>
      <c r="D11" s="11">
        <v>1</v>
      </c>
      <c r="E11" s="28">
        <v>4000</v>
      </c>
      <c r="F11" s="28">
        <f>E11*D11</f>
        <v>4000</v>
      </c>
      <c r="G11" s="28">
        <v>4000</v>
      </c>
      <c r="H11" s="28">
        <f>F11-G11</f>
        <v>0</v>
      </c>
      <c r="I11" s="9" t="str">
        <f>IF(H11&gt;10000,"🚨 URGENT: "&amp;B11&amp;" owes ₹"&amp;H11,IF(H11&gt;5000,"⚠️ WARNING: "&amp;B11&amp;" - ₹"&amp;H11&amp;" due",IF(H11&gt;0,"ℹ️ "&amp;B11&amp;" - ₹"&amp;H11&amp;" pending","✅ Paid")))</f>
        <v>✅ Paid</v>
      </c>
    </row>
    <row r="12" spans="1:9" x14ac:dyDescent="0.2">
      <c r="A12" s="26">
        <v>45790</v>
      </c>
      <c r="B12" s="27" t="s">
        <v>25</v>
      </c>
      <c r="C12" s="27" t="s">
        <v>60</v>
      </c>
      <c r="D12" s="11">
        <v>1</v>
      </c>
      <c r="E12" s="28">
        <v>4000</v>
      </c>
      <c r="F12" s="28">
        <f>E12*D12</f>
        <v>4000</v>
      </c>
      <c r="G12" s="28">
        <v>4000</v>
      </c>
      <c r="H12" s="28">
        <f>F12-G12</f>
        <v>0</v>
      </c>
      <c r="I12" s="9" t="str">
        <f>IF(H12&gt;10000,"🚨 URGENT: "&amp;B12&amp;" owes ₹"&amp;H12,IF(H12&gt;5000,"⚠️ WARNING: "&amp;B12&amp;" - ₹"&amp;H12&amp;" due",IF(H12&gt;0,"ℹ️ "&amp;B12&amp;" - ₹"&amp;H12&amp;" pending","✅ Paid")))</f>
        <v>✅ Paid</v>
      </c>
    </row>
    <row r="13" spans="1:9" x14ac:dyDescent="0.2">
      <c r="A13" s="26">
        <v>45793</v>
      </c>
      <c r="B13" s="27" t="s">
        <v>26</v>
      </c>
      <c r="C13" s="27" t="s">
        <v>53</v>
      </c>
      <c r="D13" s="11">
        <v>3</v>
      </c>
      <c r="E13" s="28">
        <v>4000</v>
      </c>
      <c r="F13" s="28">
        <f>E13*D13</f>
        <v>12000</v>
      </c>
      <c r="G13" s="28">
        <v>12000</v>
      </c>
      <c r="H13" s="28">
        <f>F13-G13</f>
        <v>0</v>
      </c>
      <c r="I13" s="9" t="str">
        <f>IF(H13&gt;10000,"🚨 URGENT: "&amp;B13&amp;" owes ₹"&amp;H13,IF(H13&gt;5000,"⚠️ WARNING: "&amp;B13&amp;" - ₹"&amp;H13&amp;" due",IF(H13&gt;0,"ℹ️ "&amp;B13&amp;" - ₹"&amp;H13&amp;" pending","✅ Paid")))</f>
        <v>✅ Paid</v>
      </c>
    </row>
    <row r="14" spans="1:9" x14ac:dyDescent="0.2">
      <c r="A14" s="26">
        <v>45794</v>
      </c>
      <c r="B14" s="27" t="s">
        <v>27</v>
      </c>
      <c r="C14" s="27" t="s">
        <v>58</v>
      </c>
      <c r="D14" s="11">
        <v>1</v>
      </c>
      <c r="E14" s="28">
        <v>4000</v>
      </c>
      <c r="F14" s="28">
        <f>E14*D14</f>
        <v>4000</v>
      </c>
      <c r="G14" s="28">
        <v>4000</v>
      </c>
      <c r="H14" s="28">
        <f>F14-G14</f>
        <v>0</v>
      </c>
      <c r="I14" s="9" t="str">
        <f>IF(H14&gt;10000,"🚨 URGENT: "&amp;B14&amp;" owes ₹"&amp;H14,IF(H14&gt;5000,"⚠️ WARNING: "&amp;B14&amp;" - ₹"&amp;H14&amp;" due",IF(H14&gt;0,"ℹ️ "&amp;B14&amp;" - ₹"&amp;H14&amp;" pending","✅ Paid")))</f>
        <v>✅ Paid</v>
      </c>
    </row>
    <row r="15" spans="1:9" x14ac:dyDescent="0.2">
      <c r="A15" s="26">
        <v>45794</v>
      </c>
      <c r="B15" s="27" t="s">
        <v>15</v>
      </c>
      <c r="C15" s="27" t="s">
        <v>59</v>
      </c>
      <c r="D15" s="11">
        <v>1</v>
      </c>
      <c r="E15" s="28">
        <v>4000</v>
      </c>
      <c r="F15" s="28">
        <f>E15*D15</f>
        <v>4000</v>
      </c>
      <c r="G15" s="28">
        <v>4000</v>
      </c>
      <c r="H15" s="28">
        <f>F15-G15</f>
        <v>0</v>
      </c>
      <c r="I15" s="9" t="str">
        <f>IF(H15&gt;10000,"🚨 URGENT: "&amp;B15&amp;" owes ₹"&amp;H15,IF(H15&gt;5000,"⚠️ WARNING: "&amp;B15&amp;" - ₹"&amp;H15&amp;" due",IF(H15&gt;0,"ℹ️ "&amp;B15&amp;" - ₹"&amp;H15&amp;" pending","✅ Paid")))</f>
        <v>✅ Paid</v>
      </c>
    </row>
    <row r="16" spans="1:9" x14ac:dyDescent="0.2">
      <c r="A16" s="26">
        <v>45795</v>
      </c>
      <c r="B16" s="27" t="s">
        <v>28</v>
      </c>
      <c r="C16" s="27" t="s">
        <v>58</v>
      </c>
      <c r="D16" s="11">
        <v>1</v>
      </c>
      <c r="E16" s="28">
        <v>4000</v>
      </c>
      <c r="F16" s="28">
        <f>E16*D16</f>
        <v>4000</v>
      </c>
      <c r="G16" s="28">
        <v>4000</v>
      </c>
      <c r="H16" s="28">
        <f>F16-G16</f>
        <v>0</v>
      </c>
      <c r="I16" s="9" t="str">
        <f>IF(H16&gt;10000,"🚨 URGENT: "&amp;B16&amp;" owes ₹"&amp;H16,IF(H16&gt;5000,"⚠️ WARNING: "&amp;B16&amp;" - ₹"&amp;H16&amp;" due",IF(H16&gt;0,"ℹ️ "&amp;B16&amp;" - ₹"&amp;H16&amp;" pending","✅ Paid")))</f>
        <v>✅ Paid</v>
      </c>
    </row>
    <row r="17" spans="1:9" x14ac:dyDescent="0.2">
      <c r="A17" s="26">
        <v>45796</v>
      </c>
      <c r="B17" s="27" t="s">
        <v>9</v>
      </c>
      <c r="C17" s="27" t="s">
        <v>52</v>
      </c>
      <c r="D17" s="11">
        <v>1</v>
      </c>
      <c r="E17" s="28">
        <v>4000</v>
      </c>
      <c r="F17" s="28">
        <f>E17*D17</f>
        <v>4000</v>
      </c>
      <c r="G17" s="28">
        <v>4000</v>
      </c>
      <c r="H17" s="28">
        <f>F17-G17</f>
        <v>0</v>
      </c>
      <c r="I17" s="9" t="str">
        <f>IF(H17&gt;10000,"🚨 URGENT: "&amp;B17&amp;" owes ₹"&amp;H17,IF(H17&gt;5000,"⚠️ WARNING: "&amp;B17&amp;" - ₹"&amp;H17&amp;" due",IF(H17&gt;0,"ℹ️ "&amp;B17&amp;" - ₹"&amp;H17&amp;" pending","✅ Paid")))</f>
        <v>✅ Paid</v>
      </c>
    </row>
    <row r="18" spans="1:9" x14ac:dyDescent="0.2">
      <c r="A18" s="26">
        <v>45796</v>
      </c>
      <c r="B18" s="27" t="s">
        <v>29</v>
      </c>
      <c r="C18" s="27" t="s">
        <v>57</v>
      </c>
      <c r="D18" s="11">
        <v>1</v>
      </c>
      <c r="E18" s="28">
        <v>4500</v>
      </c>
      <c r="F18" s="28">
        <f>E18*D18</f>
        <v>4500</v>
      </c>
      <c r="G18" s="28">
        <v>4500</v>
      </c>
      <c r="H18" s="28">
        <f>F18-G18</f>
        <v>0</v>
      </c>
      <c r="I18" s="9" t="str">
        <f>IF(H18&gt;10000,"🚨 URGENT: "&amp;B18&amp;" owes ₹"&amp;H18,IF(H18&gt;5000,"⚠️ WARNING: "&amp;B18&amp;" - ₹"&amp;H18&amp;" due",IF(H18&gt;0,"ℹ️ "&amp;B18&amp;" - ₹"&amp;H18&amp;" pending","✅ Paid")))</f>
        <v>✅ Paid</v>
      </c>
    </row>
    <row r="19" spans="1:9" x14ac:dyDescent="0.2">
      <c r="A19" s="26">
        <v>45798</v>
      </c>
      <c r="B19" s="27" t="s">
        <v>20</v>
      </c>
      <c r="C19" s="27" t="s">
        <v>30</v>
      </c>
      <c r="D19" s="11"/>
      <c r="E19" s="28"/>
      <c r="F19" s="28"/>
      <c r="G19" s="28"/>
      <c r="H19" s="28"/>
      <c r="I19" s="9"/>
    </row>
    <row r="20" spans="1:9" x14ac:dyDescent="0.2">
      <c r="A20" s="26">
        <v>45803</v>
      </c>
      <c r="B20" s="27" t="s">
        <v>16</v>
      </c>
      <c r="C20" s="27" t="s">
        <v>52</v>
      </c>
      <c r="D20" s="11">
        <v>2</v>
      </c>
      <c r="E20" s="28">
        <v>4000</v>
      </c>
      <c r="F20" s="28">
        <f>E20*D20</f>
        <v>8000</v>
      </c>
      <c r="G20" s="28">
        <v>8000</v>
      </c>
      <c r="H20" s="28">
        <f>F20-G20</f>
        <v>0</v>
      </c>
      <c r="I20" s="9" t="str">
        <f>IF(H20&gt;10000,"🚨 URGENT: "&amp;B20&amp;" owes ₹"&amp;H20,IF(H20&gt;5000,"⚠️ WARNING: "&amp;B20&amp;" - ₹"&amp;H20&amp;" due",IF(H20&gt;0,"ℹ️ "&amp;B20&amp;" - ₹"&amp;H20&amp;" pending","✅ Paid")))</f>
        <v>✅ Paid</v>
      </c>
    </row>
    <row r="21" spans="1:9" x14ac:dyDescent="0.2">
      <c r="A21" s="26">
        <v>45805</v>
      </c>
      <c r="B21" s="27" t="s">
        <v>20</v>
      </c>
      <c r="C21" s="27" t="s">
        <v>56</v>
      </c>
      <c r="D21" s="11">
        <v>2</v>
      </c>
      <c r="E21" s="28">
        <v>5000</v>
      </c>
      <c r="F21" s="28">
        <f>E21*D21</f>
        <v>10000</v>
      </c>
      <c r="G21" s="28">
        <v>10000</v>
      </c>
      <c r="H21" s="28">
        <f>F21-G21</f>
        <v>0</v>
      </c>
      <c r="I21" s="9" t="str">
        <f>IF(H21&gt;10000,"🚨 URGENT: "&amp;B21&amp;" owes ₹"&amp;H21,IF(H21&gt;5000,"⚠️ WARNING: "&amp;B21&amp;" - ₹"&amp;H21&amp;" due",IF(H21&gt;0,"ℹ️ "&amp;B21&amp;" - ₹"&amp;H21&amp;" pending","✅ Paid")))</f>
        <v>✅ Paid</v>
      </c>
    </row>
    <row r="22" spans="1:9" x14ac:dyDescent="0.2">
      <c r="A22" s="26">
        <v>45805</v>
      </c>
      <c r="B22" s="27" t="s">
        <v>31</v>
      </c>
      <c r="C22" s="27" t="s">
        <v>55</v>
      </c>
      <c r="D22" s="11">
        <v>1</v>
      </c>
      <c r="E22" s="28">
        <v>4500</v>
      </c>
      <c r="F22" s="28">
        <f>E22*D22</f>
        <v>4500</v>
      </c>
      <c r="G22" s="28">
        <v>4500</v>
      </c>
      <c r="H22" s="28">
        <f>F22-G22</f>
        <v>0</v>
      </c>
      <c r="I22" s="9" t="str">
        <f>IF(H22&gt;10000,"🚨 URGENT: "&amp;B22&amp;" owes ₹"&amp;H22,IF(H22&gt;5000,"⚠️ WARNING: "&amp;B22&amp;" - ₹"&amp;H22&amp;" due",IF(H22&gt;0,"ℹ️ "&amp;B22&amp;" - ₹"&amp;H22&amp;" pending","✅ Paid")))</f>
        <v>✅ Paid</v>
      </c>
    </row>
    <row r="23" spans="1:9" x14ac:dyDescent="0.2">
      <c r="A23" s="26">
        <v>45806</v>
      </c>
      <c r="B23" s="27" t="s">
        <v>23</v>
      </c>
      <c r="C23" s="27" t="s">
        <v>52</v>
      </c>
      <c r="D23" s="11">
        <v>2</v>
      </c>
      <c r="E23" s="28">
        <v>4500</v>
      </c>
      <c r="F23" s="28">
        <f>E23*D23</f>
        <v>9000</v>
      </c>
      <c r="G23" s="28">
        <v>9000</v>
      </c>
      <c r="H23" s="28">
        <f>F23-G23</f>
        <v>0</v>
      </c>
      <c r="I23" s="9" t="str">
        <f>IF(H23&gt;10000,"🚨 URGENT: "&amp;B23&amp;" owes ₹"&amp;H23,IF(H23&gt;5000,"⚠️ WARNING: "&amp;B23&amp;" - ₹"&amp;H23&amp;" due",IF(H23&gt;0,"ℹ️ "&amp;B23&amp;" - ₹"&amp;H23&amp;" pending","✅ Paid")))</f>
        <v>✅ Paid</v>
      </c>
    </row>
    <row r="24" spans="1:9" x14ac:dyDescent="0.2">
      <c r="A24" s="26">
        <v>45807</v>
      </c>
      <c r="B24" s="27" t="s">
        <v>33</v>
      </c>
      <c r="C24" s="27" t="s">
        <v>52</v>
      </c>
      <c r="D24" s="11">
        <v>2</v>
      </c>
      <c r="E24" s="28">
        <v>4000</v>
      </c>
      <c r="F24" s="28">
        <f>E24*D24</f>
        <v>8000</v>
      </c>
      <c r="G24" s="28">
        <v>8000</v>
      </c>
      <c r="H24" s="28">
        <f>F24-G24</f>
        <v>0</v>
      </c>
      <c r="I24" s="9" t="str">
        <f>IF(H24&gt;10000,"🚨 URGENT: "&amp;B24&amp;" owes ₹"&amp;H24,IF(H24&gt;5000,"⚠️ WARNING: "&amp;B24&amp;" - ₹"&amp;H24&amp;" due",IF(H24&gt;0,"ℹ️ "&amp;B24&amp;" - ₹"&amp;H24&amp;" pending","✅ Paid")))</f>
        <v>✅ Paid</v>
      </c>
    </row>
    <row r="25" spans="1:9" x14ac:dyDescent="0.2">
      <c r="A25" s="26">
        <v>45807</v>
      </c>
      <c r="B25" s="27" t="s">
        <v>32</v>
      </c>
      <c r="C25" s="27" t="s">
        <v>52</v>
      </c>
      <c r="D25" s="11">
        <v>3</v>
      </c>
      <c r="E25" s="28">
        <v>4000</v>
      </c>
      <c r="F25" s="28">
        <f>E25*D25</f>
        <v>12000</v>
      </c>
      <c r="G25" s="28">
        <v>12000</v>
      </c>
      <c r="H25" s="28">
        <f>F25-G25</f>
        <v>0</v>
      </c>
      <c r="I25" s="9" t="str">
        <f>IF(H25&gt;10000,"🚨 URGENT: "&amp;B25&amp;" owes ₹"&amp;H25,IF(H25&gt;5000,"⚠️ WARNING: "&amp;B25&amp;" - ₹"&amp;H25&amp;" due",IF(H25&gt;0,"ℹ️ "&amp;B25&amp;" - ₹"&amp;H25&amp;" pending","✅ Paid")))</f>
        <v>✅ Paid</v>
      </c>
    </row>
    <row r="26" spans="1:9" x14ac:dyDescent="0.2">
      <c r="A26" s="26">
        <v>45807</v>
      </c>
      <c r="B26" s="27" t="s">
        <v>25</v>
      </c>
      <c r="C26" s="27" t="s">
        <v>54</v>
      </c>
      <c r="D26" s="11">
        <v>2</v>
      </c>
      <c r="E26" s="28">
        <v>4000</v>
      </c>
      <c r="F26" s="28">
        <f>E26*D26</f>
        <v>8000</v>
      </c>
      <c r="G26" s="28">
        <v>8000</v>
      </c>
      <c r="H26" s="28">
        <f>F26-G26</f>
        <v>0</v>
      </c>
      <c r="I26" s="9" t="str">
        <f>IF(H26&gt;10000,"🚨 URGENT: "&amp;B26&amp;" owes ₹"&amp;H26,IF(H26&gt;5000,"⚠️ WARNING: "&amp;B26&amp;" - ₹"&amp;H26&amp;" due",IF(H26&gt;0,"ℹ️ "&amp;B26&amp;" - ₹"&amp;H26&amp;" pending","✅ Paid")))</f>
        <v>✅ Paid</v>
      </c>
    </row>
    <row r="27" spans="1:9" x14ac:dyDescent="0.2">
      <c r="A27" s="26">
        <v>45807</v>
      </c>
      <c r="B27" s="27" t="s">
        <v>41</v>
      </c>
      <c r="C27" s="27" t="s">
        <v>53</v>
      </c>
      <c r="D27" s="11">
        <v>1</v>
      </c>
      <c r="E27" s="28">
        <v>4000</v>
      </c>
      <c r="F27" s="28">
        <f>E27*D27</f>
        <v>4000</v>
      </c>
      <c r="G27" s="28">
        <v>4000</v>
      </c>
      <c r="H27" s="28">
        <f>F27-G27</f>
        <v>0</v>
      </c>
      <c r="I27" s="9" t="str">
        <f>IF(H27&gt;10000,"🚨 URGENT: "&amp;B27&amp;" owes ₹"&amp;H27,IF(H27&gt;5000,"⚠️ WARNING: "&amp;B27&amp;" - ₹"&amp;H27&amp;" due",IF(H27&gt;0,"ℹ️ "&amp;B27&amp;" - ₹"&amp;H27&amp;" pending","✅ Paid")))</f>
        <v>✅ Paid</v>
      </c>
    </row>
    <row r="28" spans="1:9" x14ac:dyDescent="0.2">
      <c r="A28" s="26">
        <v>45808</v>
      </c>
      <c r="B28" s="27" t="s">
        <v>9</v>
      </c>
      <c r="C28" s="27" t="s">
        <v>52</v>
      </c>
      <c r="D28" s="11">
        <v>1</v>
      </c>
      <c r="E28" s="28">
        <v>4000</v>
      </c>
      <c r="F28" s="28">
        <f>E28*D28</f>
        <v>4000</v>
      </c>
      <c r="G28" s="28">
        <v>4000</v>
      </c>
      <c r="H28" s="28">
        <f>F28-G28</f>
        <v>0</v>
      </c>
      <c r="I28" s="9" t="str">
        <f>IF(H28&gt;10000,"🚨 URGENT: "&amp;B28&amp;" owes ₹"&amp;H28,IF(H28&gt;5000,"⚠️ WARNING: "&amp;B28&amp;" - ₹"&amp;H28&amp;" due",IF(H28&gt;0,"ℹ️ "&amp;B28&amp;" - ₹"&amp;H28&amp;" pending","✅ Paid")))</f>
        <v>✅ Paid</v>
      </c>
    </row>
    <row r="29" spans="1:9" x14ac:dyDescent="0.2">
      <c r="A29" s="26">
        <v>45808</v>
      </c>
      <c r="B29" s="27" t="s">
        <v>34</v>
      </c>
      <c r="C29" s="27" t="s">
        <v>52</v>
      </c>
      <c r="D29" s="11">
        <v>1</v>
      </c>
      <c r="E29" s="28">
        <v>4500</v>
      </c>
      <c r="F29" s="28">
        <f>E29*D29</f>
        <v>4500</v>
      </c>
      <c r="G29" s="28">
        <v>4500</v>
      </c>
      <c r="H29" s="28">
        <f>F29-G29</f>
        <v>0</v>
      </c>
      <c r="I29" s="9" t="str">
        <f>IF(H29&gt;10000,"🚨 URGENT: "&amp;B29&amp;" owes ₹"&amp;H29,IF(H29&gt;5000,"⚠️ WARNING: "&amp;B29&amp;" - ₹"&amp;H29&amp;" due",IF(H29&gt;0,"ℹ️ "&amp;B29&amp;" - ₹"&amp;H29&amp;" pending","✅ Paid")))</f>
        <v>✅ Paid</v>
      </c>
    </row>
    <row r="30" spans="1:9" x14ac:dyDescent="0.2">
      <c r="A30" s="26">
        <v>45808</v>
      </c>
      <c r="B30" s="27" t="s">
        <v>31</v>
      </c>
      <c r="C30" s="27" t="s">
        <v>51</v>
      </c>
      <c r="D30" s="11">
        <v>1</v>
      </c>
      <c r="E30" s="28">
        <v>4500</v>
      </c>
      <c r="F30" s="28">
        <f>E30*D30</f>
        <v>4500</v>
      </c>
      <c r="G30" s="28">
        <v>4500</v>
      </c>
      <c r="H30" s="28">
        <f>F30-G30</f>
        <v>0</v>
      </c>
      <c r="I30" s="9" t="str">
        <f>IF(H30&gt;10000,"🚨 URGENT: "&amp;B30&amp;" owes ₹"&amp;H30,IF(H30&gt;5000,"⚠️ WARNING: "&amp;B30&amp;" - ₹"&amp;H30&amp;" due",IF(H30&gt;0,"ℹ️ "&amp;B30&amp;" - ₹"&amp;H30&amp;" pending","✅ Paid")))</f>
        <v>✅ Paid</v>
      </c>
    </row>
    <row r="31" spans="1:9" x14ac:dyDescent="0.2">
      <c r="A31" s="12"/>
      <c r="B31" s="11"/>
      <c r="C31" s="11"/>
      <c r="D31" s="11"/>
      <c r="E31" s="10"/>
      <c r="F31" s="10"/>
      <c r="G31" s="10"/>
      <c r="H31" s="10"/>
      <c r="I31" s="9"/>
    </row>
    <row r="32" spans="1:9" x14ac:dyDescent="0.2">
      <c r="A32" s="26"/>
      <c r="B32" s="27"/>
      <c r="C32" s="27"/>
      <c r="D32" s="11"/>
      <c r="E32" s="28"/>
      <c r="F32" s="28"/>
      <c r="G32" s="28"/>
      <c r="H32" s="28"/>
      <c r="I32" s="9"/>
    </row>
    <row r="33" spans="1:9" x14ac:dyDescent="0.2">
      <c r="A33" s="26"/>
      <c r="B33" s="27"/>
      <c r="C33" s="27"/>
      <c r="D33" s="11"/>
      <c r="E33" s="28"/>
      <c r="F33" s="28"/>
      <c r="G33" s="28"/>
      <c r="H33" s="28"/>
      <c r="I33" s="9"/>
    </row>
    <row r="34" spans="1:9" x14ac:dyDescent="0.2">
      <c r="A34" s="26"/>
      <c r="B34" s="27"/>
      <c r="C34" s="27"/>
      <c r="D34" s="11"/>
      <c r="E34" s="28"/>
      <c r="F34" s="28"/>
      <c r="G34" s="28"/>
      <c r="H34" s="28"/>
      <c r="I34" s="9"/>
    </row>
    <row r="35" spans="1:9" x14ac:dyDescent="0.2">
      <c r="A35" s="26"/>
      <c r="B35" s="27"/>
      <c r="C35" s="27"/>
      <c r="D35" s="11"/>
      <c r="E35" s="28"/>
      <c r="F35" s="28"/>
      <c r="G35" s="28"/>
      <c r="H35" s="28"/>
      <c r="I35" s="9"/>
    </row>
    <row r="36" spans="1:9" x14ac:dyDescent="0.2">
      <c r="A36" s="26"/>
      <c r="B36" s="27"/>
      <c r="C36" s="27"/>
      <c r="D36" s="11"/>
      <c r="E36" s="28"/>
      <c r="F36" s="28"/>
      <c r="G36" s="28"/>
      <c r="H36" s="28"/>
      <c r="I36" s="9"/>
    </row>
    <row r="37" spans="1:9" x14ac:dyDescent="0.2">
      <c r="A37" s="26"/>
      <c r="B37" s="27"/>
      <c r="C37" s="27"/>
      <c r="D37" s="11"/>
      <c r="E37" s="28"/>
      <c r="F37" s="28"/>
      <c r="G37" s="28"/>
      <c r="H37" s="28"/>
      <c r="I37" s="9"/>
    </row>
    <row r="38" spans="1:9" x14ac:dyDescent="0.2">
      <c r="A38" s="26"/>
      <c r="B38" s="27"/>
      <c r="C38" s="27"/>
      <c r="D38" s="11"/>
      <c r="E38" s="28"/>
      <c r="F38" s="28"/>
      <c r="G38" s="28"/>
      <c r="H38" s="28"/>
      <c r="I38" s="9"/>
    </row>
    <row r="39" spans="1:9" x14ac:dyDescent="0.2">
      <c r="A39" s="26"/>
      <c r="B39" s="27"/>
      <c r="C39" s="27"/>
      <c r="D39" s="11"/>
      <c r="E39" s="28"/>
      <c r="F39" s="28"/>
      <c r="G39" s="28"/>
      <c r="H39" s="28"/>
      <c r="I39" s="9"/>
    </row>
    <row r="40" spans="1:9" x14ac:dyDescent="0.2">
      <c r="A40" s="26"/>
      <c r="B40" s="27"/>
      <c r="C40" s="27"/>
      <c r="D40" s="11"/>
      <c r="E40" s="28"/>
      <c r="F40" s="28"/>
      <c r="G40" s="28"/>
      <c r="H40" s="28"/>
      <c r="I40" s="9"/>
    </row>
    <row r="41" spans="1:9" x14ac:dyDescent="0.2">
      <c r="A41" s="26"/>
      <c r="B41" s="27"/>
      <c r="C41" s="27"/>
      <c r="D41" s="11"/>
      <c r="E41" s="28"/>
      <c r="F41" s="28"/>
      <c r="G41" s="28"/>
      <c r="H41" s="28"/>
      <c r="I41" s="9"/>
    </row>
    <row r="42" spans="1:9" x14ac:dyDescent="0.2">
      <c r="A42" s="26"/>
      <c r="B42" s="27"/>
      <c r="C42" s="27"/>
      <c r="D42" s="11"/>
      <c r="E42" s="28"/>
      <c r="F42" s="28"/>
      <c r="G42" s="28"/>
      <c r="H42" s="28"/>
      <c r="I42" s="9"/>
    </row>
    <row r="43" spans="1:9" x14ac:dyDescent="0.2">
      <c r="A43" s="26"/>
      <c r="B43" s="27"/>
      <c r="C43" s="27"/>
      <c r="D43" s="11"/>
      <c r="E43" s="28"/>
      <c r="F43" s="28"/>
      <c r="G43" s="28"/>
      <c r="H43" s="28"/>
      <c r="I43" s="9"/>
    </row>
    <row r="44" spans="1:9" x14ac:dyDescent="0.2">
      <c r="A44" s="26"/>
      <c r="B44" s="27"/>
      <c r="C44" s="27"/>
      <c r="D44" s="11"/>
      <c r="E44" s="28"/>
      <c r="F44" s="28"/>
      <c r="G44" s="28"/>
      <c r="H44" s="28"/>
      <c r="I44" s="9"/>
    </row>
    <row r="45" spans="1:9" x14ac:dyDescent="0.2">
      <c r="A45" s="26"/>
      <c r="B45" s="27"/>
      <c r="C45" s="27"/>
      <c r="D45" s="11"/>
      <c r="E45" s="28"/>
      <c r="F45" s="28"/>
      <c r="G45" s="28"/>
      <c r="H45" s="28"/>
      <c r="I45" s="9"/>
    </row>
    <row r="46" spans="1:9" x14ac:dyDescent="0.2">
      <c r="A46" s="26"/>
      <c r="B46" s="27"/>
      <c r="C46" s="27"/>
      <c r="D46" s="11"/>
      <c r="E46" s="28"/>
      <c r="F46" s="28"/>
      <c r="G46" s="28"/>
      <c r="H46" s="28"/>
      <c r="I46" s="9"/>
    </row>
    <row r="47" spans="1:9" x14ac:dyDescent="0.2">
      <c r="A47" s="29"/>
      <c r="B47" s="30"/>
      <c r="C47" s="30"/>
      <c r="D47" s="8"/>
      <c r="E47" s="31"/>
      <c r="F47" s="31"/>
      <c r="G47" s="31"/>
      <c r="H47" s="31"/>
      <c r="I47" s="7"/>
    </row>
    <row r="49" spans="1:8" ht="21" x14ac:dyDescent="0.2">
      <c r="D49" s="6" t="s">
        <v>7</v>
      </c>
      <c r="F49" s="6" t="s">
        <v>50</v>
      </c>
      <c r="G49" s="6" t="s">
        <v>49</v>
      </c>
      <c r="H49" s="6" t="s">
        <v>48</v>
      </c>
    </row>
    <row r="50" spans="1:8" ht="21" x14ac:dyDescent="0.2">
      <c r="D50" s="6">
        <f>SUM(D4:D46)</f>
        <v>40</v>
      </c>
      <c r="F50" s="5">
        <f>SUM(F4:F46)</f>
        <v>172500</v>
      </c>
      <c r="G50" s="5">
        <f>SUM(G4:G46)</f>
        <v>157500</v>
      </c>
      <c r="H50" s="5">
        <f>SUM(H4:H46)</f>
        <v>15000</v>
      </c>
    </row>
    <row r="57" spans="1:8" ht="29" x14ac:dyDescent="0.2">
      <c r="A57" s="42" t="s">
        <v>70</v>
      </c>
      <c r="B57" s="42"/>
      <c r="C57" s="42"/>
      <c r="D57" s="42"/>
    </row>
    <row r="58" spans="1:8" x14ac:dyDescent="0.2">
      <c r="A58" s="43" t="s">
        <v>190</v>
      </c>
      <c r="B58" s="43"/>
      <c r="C58" s="43"/>
      <c r="D58" s="43"/>
    </row>
    <row r="59" spans="1:8" x14ac:dyDescent="0.2">
      <c r="A59" s="15" t="s">
        <v>0</v>
      </c>
      <c r="B59" s="14" t="s">
        <v>69</v>
      </c>
      <c r="C59" s="14" t="s">
        <v>68</v>
      </c>
      <c r="D59" s="14" t="s">
        <v>1</v>
      </c>
    </row>
    <row r="60" spans="1:8" x14ac:dyDescent="0.2">
      <c r="A60" s="3"/>
      <c r="B60" s="22"/>
      <c r="C60" s="22"/>
      <c r="D60" s="2"/>
    </row>
    <row r="61" spans="1:8" x14ac:dyDescent="0.2">
      <c r="A61" s="24">
        <v>45778</v>
      </c>
      <c r="B61" s="32" t="s">
        <v>187</v>
      </c>
      <c r="C61" s="32" t="s">
        <v>188</v>
      </c>
      <c r="D61" s="11">
        <v>18</v>
      </c>
    </row>
    <row r="62" spans="1:8" x14ac:dyDescent="0.2">
      <c r="A62" s="24">
        <v>45779</v>
      </c>
      <c r="B62" s="32" t="s">
        <v>187</v>
      </c>
      <c r="C62" s="32" t="s">
        <v>188</v>
      </c>
      <c r="D62" s="11">
        <v>19</v>
      </c>
    </row>
    <row r="63" spans="1:8" x14ac:dyDescent="0.2">
      <c r="A63" s="24">
        <v>45780</v>
      </c>
      <c r="B63" s="32" t="s">
        <v>187</v>
      </c>
      <c r="C63" s="32" t="s">
        <v>188</v>
      </c>
      <c r="D63" s="11">
        <v>15</v>
      </c>
    </row>
    <row r="64" spans="1:8" x14ac:dyDescent="0.2">
      <c r="A64" s="24">
        <v>45781</v>
      </c>
      <c r="B64" s="32" t="s">
        <v>187</v>
      </c>
      <c r="C64" s="32" t="s">
        <v>188</v>
      </c>
      <c r="D64" s="11">
        <v>8</v>
      </c>
    </row>
    <row r="65" spans="1:4" x14ac:dyDescent="0.2">
      <c r="A65" s="24">
        <v>45782</v>
      </c>
      <c r="B65" s="32" t="s">
        <v>187</v>
      </c>
      <c r="C65" s="32" t="s">
        <v>188</v>
      </c>
      <c r="D65" s="11">
        <v>13</v>
      </c>
    </row>
    <row r="66" spans="1:4" x14ac:dyDescent="0.2">
      <c r="A66" s="24">
        <v>45783</v>
      </c>
      <c r="B66" s="32" t="s">
        <v>187</v>
      </c>
      <c r="C66" s="32" t="s">
        <v>188</v>
      </c>
      <c r="D66" s="17">
        <v>18</v>
      </c>
    </row>
    <row r="67" spans="1:4" x14ac:dyDescent="0.2">
      <c r="A67" s="24">
        <v>45784</v>
      </c>
      <c r="B67" s="32" t="s">
        <v>187</v>
      </c>
      <c r="C67" s="32" t="s">
        <v>188</v>
      </c>
      <c r="D67" s="17">
        <v>8</v>
      </c>
    </row>
    <row r="68" spans="1:4" x14ac:dyDescent="0.2">
      <c r="A68" s="24">
        <v>45785</v>
      </c>
      <c r="B68" s="32" t="s">
        <v>187</v>
      </c>
      <c r="C68" s="32" t="s">
        <v>188</v>
      </c>
      <c r="D68" s="17">
        <v>10</v>
      </c>
    </row>
    <row r="69" spans="1:4" x14ac:dyDescent="0.2">
      <c r="A69" s="24">
        <v>45786</v>
      </c>
      <c r="B69" s="32" t="s">
        <v>187</v>
      </c>
      <c r="C69" s="32" t="s">
        <v>188</v>
      </c>
      <c r="D69" s="17">
        <v>23</v>
      </c>
    </row>
    <row r="70" spans="1:4" x14ac:dyDescent="0.2">
      <c r="A70" s="24">
        <v>45787</v>
      </c>
      <c r="B70" s="32" t="s">
        <v>187</v>
      </c>
      <c r="C70" s="32" t="s">
        <v>188</v>
      </c>
      <c r="D70" s="17">
        <v>16</v>
      </c>
    </row>
    <row r="71" spans="1:4" x14ac:dyDescent="0.2">
      <c r="A71" s="24">
        <v>45788</v>
      </c>
      <c r="B71" s="32" t="s">
        <v>187</v>
      </c>
      <c r="C71" s="32" t="s">
        <v>188</v>
      </c>
      <c r="D71" s="17">
        <v>16</v>
      </c>
    </row>
    <row r="72" spans="1:4" x14ac:dyDescent="0.2">
      <c r="A72" s="24">
        <v>45789</v>
      </c>
      <c r="B72" s="32" t="s">
        <v>187</v>
      </c>
      <c r="C72" s="32" t="s">
        <v>188</v>
      </c>
      <c r="D72" s="17">
        <v>12</v>
      </c>
    </row>
    <row r="73" spans="1:4" x14ac:dyDescent="0.2">
      <c r="A73" s="24">
        <v>45790</v>
      </c>
      <c r="B73" s="32" t="s">
        <v>187</v>
      </c>
      <c r="C73" s="32" t="s">
        <v>188</v>
      </c>
      <c r="D73" s="17">
        <v>11</v>
      </c>
    </row>
    <row r="74" spans="1:4" x14ac:dyDescent="0.2">
      <c r="A74" s="24">
        <v>45791</v>
      </c>
      <c r="B74" s="32" t="s">
        <v>187</v>
      </c>
      <c r="C74" s="32" t="s">
        <v>188</v>
      </c>
      <c r="D74" s="17">
        <v>13</v>
      </c>
    </row>
    <row r="75" spans="1:4" x14ac:dyDescent="0.2">
      <c r="A75" s="24">
        <v>45792</v>
      </c>
      <c r="B75" s="32" t="s">
        <v>187</v>
      </c>
      <c r="C75" s="32" t="s">
        <v>188</v>
      </c>
      <c r="D75" s="17">
        <v>11</v>
      </c>
    </row>
    <row r="76" spans="1:4" x14ac:dyDescent="0.2">
      <c r="A76" s="24">
        <v>45793</v>
      </c>
      <c r="B76" s="32" t="s">
        <v>187</v>
      </c>
      <c r="C76" s="32" t="s">
        <v>188</v>
      </c>
      <c r="D76" s="17">
        <v>11</v>
      </c>
    </row>
    <row r="77" spans="1:4" x14ac:dyDescent="0.2">
      <c r="A77" s="24">
        <v>45794</v>
      </c>
      <c r="B77" s="32" t="s">
        <v>187</v>
      </c>
      <c r="C77" s="32" t="s">
        <v>188</v>
      </c>
      <c r="D77" s="17">
        <v>13</v>
      </c>
    </row>
    <row r="78" spans="1:4" x14ac:dyDescent="0.2">
      <c r="A78" s="24">
        <v>45795</v>
      </c>
      <c r="B78" s="32" t="s">
        <v>187</v>
      </c>
      <c r="C78" s="32" t="s">
        <v>188</v>
      </c>
      <c r="D78" s="17">
        <v>14</v>
      </c>
    </row>
    <row r="79" spans="1:4" x14ac:dyDescent="0.2">
      <c r="A79" s="24">
        <v>45796</v>
      </c>
      <c r="B79" s="32" t="s">
        <v>187</v>
      </c>
      <c r="C79" s="32" t="s">
        <v>188</v>
      </c>
      <c r="D79" s="17">
        <v>13</v>
      </c>
    </row>
    <row r="80" spans="1:4" x14ac:dyDescent="0.2">
      <c r="A80" s="24">
        <v>45797</v>
      </c>
      <c r="B80" s="32" t="s">
        <v>187</v>
      </c>
      <c r="C80" s="32" t="s">
        <v>188</v>
      </c>
      <c r="D80" s="17">
        <v>15</v>
      </c>
    </row>
    <row r="81" spans="1:4" x14ac:dyDescent="0.2">
      <c r="A81" s="24">
        <v>45798</v>
      </c>
      <c r="B81" s="32" t="s">
        <v>187</v>
      </c>
      <c r="C81" s="32" t="s">
        <v>188</v>
      </c>
      <c r="D81" s="17">
        <v>12</v>
      </c>
    </row>
    <row r="82" spans="1:4" x14ac:dyDescent="0.2">
      <c r="A82" s="24">
        <v>45799</v>
      </c>
      <c r="B82" s="32" t="s">
        <v>187</v>
      </c>
      <c r="C82" s="32" t="s">
        <v>188</v>
      </c>
      <c r="D82" s="17">
        <v>1</v>
      </c>
    </row>
    <row r="83" spans="1:4" x14ac:dyDescent="0.2">
      <c r="A83" s="24">
        <v>45803</v>
      </c>
      <c r="B83" s="32" t="s">
        <v>187</v>
      </c>
      <c r="C83" s="32" t="s">
        <v>188</v>
      </c>
      <c r="D83" s="17">
        <v>12</v>
      </c>
    </row>
    <row r="84" spans="1:4" x14ac:dyDescent="0.2">
      <c r="A84" s="24">
        <v>45804</v>
      </c>
      <c r="B84" s="32" t="s">
        <v>187</v>
      </c>
      <c r="C84" s="32" t="s">
        <v>188</v>
      </c>
      <c r="D84" s="17">
        <v>8</v>
      </c>
    </row>
    <row r="85" spans="1:4" x14ac:dyDescent="0.2">
      <c r="A85" s="24">
        <v>45804</v>
      </c>
      <c r="B85" s="32" t="s">
        <v>187</v>
      </c>
      <c r="C85" s="32" t="s">
        <v>189</v>
      </c>
      <c r="D85" s="17">
        <v>19</v>
      </c>
    </row>
    <row r="86" spans="1:4" x14ac:dyDescent="0.2">
      <c r="A86" s="24">
        <v>45805</v>
      </c>
      <c r="B86" s="32" t="s">
        <v>187</v>
      </c>
      <c r="C86" s="32" t="s">
        <v>188</v>
      </c>
      <c r="D86" s="17">
        <v>12</v>
      </c>
    </row>
    <row r="87" spans="1:4" x14ac:dyDescent="0.2">
      <c r="A87" s="24">
        <v>45805</v>
      </c>
      <c r="B87" s="32" t="s">
        <v>187</v>
      </c>
      <c r="C87" s="32" t="s">
        <v>189</v>
      </c>
      <c r="D87" s="17">
        <v>2</v>
      </c>
    </row>
    <row r="88" spans="1:4" x14ac:dyDescent="0.2">
      <c r="A88" s="24">
        <v>45806</v>
      </c>
      <c r="B88" s="32" t="s">
        <v>187</v>
      </c>
      <c r="C88" s="32" t="s">
        <v>188</v>
      </c>
      <c r="D88" s="17">
        <v>14</v>
      </c>
    </row>
    <row r="89" spans="1:4" x14ac:dyDescent="0.2">
      <c r="A89" s="24">
        <v>45807</v>
      </c>
      <c r="B89" s="32" t="s">
        <v>187</v>
      </c>
      <c r="C89" s="32" t="s">
        <v>188</v>
      </c>
      <c r="D89" s="17">
        <v>14</v>
      </c>
    </row>
    <row r="90" spans="1:4" x14ac:dyDescent="0.2">
      <c r="A90" s="24">
        <v>45807</v>
      </c>
      <c r="B90" s="32" t="s">
        <v>187</v>
      </c>
      <c r="C90" s="32" t="s">
        <v>189</v>
      </c>
      <c r="D90" s="17">
        <v>29</v>
      </c>
    </row>
    <row r="91" spans="1:4" x14ac:dyDescent="0.2">
      <c r="A91" s="24">
        <v>45808</v>
      </c>
      <c r="B91" s="32" t="s">
        <v>187</v>
      </c>
      <c r="C91" s="32" t="s">
        <v>188</v>
      </c>
      <c r="D91" s="17">
        <v>13</v>
      </c>
    </row>
    <row r="92" spans="1:4" x14ac:dyDescent="0.2">
      <c r="A92" s="24">
        <v>45808</v>
      </c>
      <c r="B92" s="32" t="s">
        <v>187</v>
      </c>
      <c r="C92" s="32" t="s">
        <v>189</v>
      </c>
      <c r="D92" s="17">
        <v>13</v>
      </c>
    </row>
    <row r="93" spans="1:4" x14ac:dyDescent="0.2">
      <c r="A93" s="24"/>
      <c r="B93" s="23"/>
      <c r="C93" s="23"/>
      <c r="D93" s="17"/>
    </row>
    <row r="94" spans="1:4" ht="24" x14ac:dyDescent="0.2">
      <c r="A94"/>
      <c r="B94"/>
      <c r="C94"/>
      <c r="D94" s="21" t="s">
        <v>7</v>
      </c>
    </row>
    <row r="95" spans="1:4" ht="24" x14ac:dyDescent="0.2">
      <c r="A95"/>
      <c r="B95"/>
      <c r="C95"/>
      <c r="D95" s="19">
        <f>SUM(D60:D93)</f>
        <v>426</v>
      </c>
    </row>
  </sheetData>
  <mergeCells count="4">
    <mergeCell ref="A1:I1"/>
    <mergeCell ref="A2:I2"/>
    <mergeCell ref="A57:D57"/>
    <mergeCell ref="A58:D58"/>
  </mergeCells>
  <conditionalFormatting sqref="I4:I47">
    <cfRule type="containsText" dxfId="35" priority="1" operator="containsText" text="✅">
      <formula>NOT(ISERROR(SEARCH("✅",I4)))</formula>
    </cfRule>
    <cfRule type="containsText" dxfId="34" priority="2" operator="containsText" text="ℹ️">
      <formula>NOT(ISERROR(SEARCH("ℹ️",I4)))</formula>
    </cfRule>
    <cfRule type="containsText" dxfId="33" priority="3" operator="containsText" text="⚠️">
      <formula>NOT(ISERROR(SEARCH("⚠️",I4)))</formula>
    </cfRule>
    <cfRule type="containsText" dxfId="32" priority="4" operator="containsText" text="🚨">
      <formula>NOT(ISERROR(SEARCH("🚨",I4)))</formula>
    </cfRule>
  </conditionalFormatting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BF840-9760-459B-BB38-A738C67A4351}">
  <sheetPr codeName="Sheet6"/>
  <dimension ref="A1:I80"/>
  <sheetViews>
    <sheetView zoomScaleNormal="100" workbookViewId="0">
      <pane ySplit="3" topLeftCell="A33" activePane="bottomLeft" state="frozen"/>
      <selection pane="bottomLeft" activeCell="C47" sqref="C47:D77"/>
    </sheetView>
  </sheetViews>
  <sheetFormatPr baseColWidth="10" defaultColWidth="8.83203125" defaultRowHeight="15" x14ac:dyDescent="0.2"/>
  <cols>
    <col min="1" max="1" width="21.6640625" bestFit="1" customWidth="1"/>
    <col min="2" max="2" width="38.5" customWidth="1"/>
    <col min="3" max="3" width="36.33203125" customWidth="1"/>
    <col min="4" max="4" width="16.5" bestFit="1" customWidth="1"/>
    <col min="5" max="5" width="16.33203125" bestFit="1" customWidth="1"/>
    <col min="6" max="6" width="22.1640625" bestFit="1" customWidth="1"/>
    <col min="7" max="7" width="22.5" bestFit="1" customWidth="1"/>
    <col min="8" max="8" width="20.6640625" bestFit="1" customWidth="1"/>
    <col min="9" max="9" width="50" bestFit="1" customWidth="1"/>
    <col min="10" max="10" width="9" customWidth="1"/>
    <col min="11" max="11" width="17.33203125" bestFit="1" customWidth="1"/>
    <col min="12" max="12" width="16.5" customWidth="1"/>
    <col min="14" max="14" width="19" customWidth="1"/>
  </cols>
  <sheetData>
    <row r="1" spans="1:9" ht="29" x14ac:dyDescent="0.2">
      <c r="A1" s="42" t="s">
        <v>70</v>
      </c>
      <c r="B1" s="42"/>
      <c r="C1" s="42"/>
      <c r="D1" s="42"/>
      <c r="E1" s="42"/>
      <c r="F1" s="42"/>
      <c r="G1" s="42"/>
      <c r="H1" s="42"/>
      <c r="I1" s="42"/>
    </row>
    <row r="2" spans="1:9" x14ac:dyDescent="0.2">
      <c r="A2" s="43" t="s">
        <v>222</v>
      </c>
      <c r="B2" s="43"/>
      <c r="C2" s="43"/>
      <c r="D2" s="43"/>
      <c r="E2" s="43"/>
      <c r="F2" s="43"/>
      <c r="G2" s="43"/>
      <c r="H2" s="43"/>
      <c r="I2" s="43"/>
    </row>
    <row r="3" spans="1:9" ht="16" x14ac:dyDescent="0.2">
      <c r="A3" s="15" t="s">
        <v>0</v>
      </c>
      <c r="B3" s="14" t="s">
        <v>69</v>
      </c>
      <c r="C3" s="14" t="s">
        <v>68</v>
      </c>
      <c r="D3" s="14" t="s">
        <v>1</v>
      </c>
      <c r="E3" s="13" t="s">
        <v>67</v>
      </c>
      <c r="F3" s="13" t="s">
        <v>50</v>
      </c>
      <c r="G3" s="13" t="s">
        <v>66</v>
      </c>
      <c r="H3" s="13" t="s">
        <v>2</v>
      </c>
      <c r="I3" s="13" t="s">
        <v>65</v>
      </c>
    </row>
    <row r="4" spans="1:9" ht="16" x14ac:dyDescent="0.2">
      <c r="A4" s="24">
        <v>45810</v>
      </c>
      <c r="B4" s="22" t="s">
        <v>35</v>
      </c>
      <c r="C4" s="22" t="s">
        <v>53</v>
      </c>
      <c r="D4" s="2">
        <v>2</v>
      </c>
      <c r="E4" s="25">
        <v>4000</v>
      </c>
      <c r="F4" s="25">
        <f>E4*D4</f>
        <v>8000</v>
      </c>
      <c r="G4" s="25">
        <v>8000</v>
      </c>
      <c r="H4" s="25">
        <f>F4-G4</f>
        <v>0</v>
      </c>
      <c r="I4" s="9" t="str">
        <f>IF(H4&gt;10000,"🚨 URGENT: "&amp;B4&amp;" owes ₹"&amp;H4,IF(H4&gt;5000,"⚠️ WARNING: "&amp;B4&amp;" - ₹"&amp;H4&amp;" due",IF(H4&gt;0,"ℹ️ "&amp;B4&amp;" - ₹"&amp;H4&amp;" pending","✅ Paid")))</f>
        <v>✅ Paid</v>
      </c>
    </row>
    <row r="5" spans="1:9" ht="16" x14ac:dyDescent="0.2">
      <c r="A5" s="24">
        <v>45811</v>
      </c>
      <c r="B5" s="22" t="s">
        <v>36</v>
      </c>
      <c r="C5" s="22" t="s">
        <v>71</v>
      </c>
      <c r="D5" s="2">
        <v>1</v>
      </c>
      <c r="E5" s="25">
        <v>4500</v>
      </c>
      <c r="F5" s="25">
        <f>E5*D5</f>
        <v>4500</v>
      </c>
      <c r="G5" s="25">
        <v>4500</v>
      </c>
      <c r="H5" s="25">
        <f>F5-G5</f>
        <v>0</v>
      </c>
      <c r="I5" s="9" t="str">
        <f>IF(H5&gt;10000,"🚨 URGENT: "&amp;B5&amp;" owes ₹"&amp;H5,IF(H5&gt;5000,"⚠️ WARNING: "&amp;B5&amp;" - ₹"&amp;H5&amp;" due",IF(H5&gt;0,"ℹ️ "&amp;B5&amp;" - ₹"&amp;H5&amp;" pending","✅ Paid")))</f>
        <v>✅ Paid</v>
      </c>
    </row>
    <row r="6" spans="1:9" ht="16" x14ac:dyDescent="0.2">
      <c r="A6" s="24">
        <v>45811</v>
      </c>
      <c r="B6" s="22" t="s">
        <v>37</v>
      </c>
      <c r="C6" s="22" t="s">
        <v>72</v>
      </c>
      <c r="D6" s="2">
        <v>3</v>
      </c>
      <c r="E6" s="25">
        <v>4000</v>
      </c>
      <c r="F6" s="25">
        <f>E6*D6</f>
        <v>12000</v>
      </c>
      <c r="G6" s="25">
        <v>12000</v>
      </c>
      <c r="H6" s="25">
        <f>F6-G6</f>
        <v>0</v>
      </c>
      <c r="I6" s="9" t="str">
        <f>IF(H6&gt;10000,"🚨 URGENT: "&amp;B6&amp;" owes ₹"&amp;H6,IF(H6&gt;5000,"⚠️ WARNING: "&amp;B6&amp;" - ₹"&amp;H6&amp;" due",IF(H6&gt;0,"ℹ️ "&amp;B6&amp;" - ₹"&amp;H6&amp;" pending","✅ Paid")))</f>
        <v>✅ Paid</v>
      </c>
    </row>
    <row r="7" spans="1:9" ht="16" x14ac:dyDescent="0.2">
      <c r="A7" s="24">
        <v>45813</v>
      </c>
      <c r="B7" s="22" t="s">
        <v>38</v>
      </c>
      <c r="C7" s="22" t="s">
        <v>53</v>
      </c>
      <c r="D7" s="2">
        <v>1</v>
      </c>
      <c r="E7" s="25">
        <v>4000</v>
      </c>
      <c r="F7" s="25">
        <f>E7*D7</f>
        <v>4000</v>
      </c>
      <c r="G7" s="25">
        <v>4000</v>
      </c>
      <c r="H7" s="25">
        <f>F7-G7</f>
        <v>0</v>
      </c>
      <c r="I7" s="9" t="str">
        <f>IF(H7&gt;10000,"🚨 URGENT: "&amp;B7&amp;" owes ₹"&amp;H7,IF(H7&gt;5000,"⚠️ WARNING: "&amp;B7&amp;" - ₹"&amp;H7&amp;" due",IF(H7&gt;0,"ℹ️ "&amp;B7&amp;" - ₹"&amp;H7&amp;" pending","✅ Paid")))</f>
        <v>✅ Paid</v>
      </c>
    </row>
    <row r="8" spans="1:9" ht="16" x14ac:dyDescent="0.2">
      <c r="A8" s="24">
        <v>45813</v>
      </c>
      <c r="B8" s="22" t="s">
        <v>39</v>
      </c>
      <c r="C8" s="22" t="s">
        <v>58</v>
      </c>
      <c r="D8" s="2">
        <v>2</v>
      </c>
      <c r="E8" s="25">
        <v>4000</v>
      </c>
      <c r="F8" s="25">
        <f>E8*D8</f>
        <v>8000</v>
      </c>
      <c r="G8" s="25">
        <v>8000</v>
      </c>
      <c r="H8" s="25">
        <f>F8-G8</f>
        <v>0</v>
      </c>
      <c r="I8" s="9" t="str">
        <f>IF(H8&gt;10000,"🚨 URGENT: "&amp;B8&amp;" owes ₹"&amp;H8,IF(H8&gt;5000,"⚠️ WARNING: "&amp;B8&amp;" - ₹"&amp;H8&amp;" due",IF(H8&gt;0,"ℹ️ "&amp;B8&amp;" - ₹"&amp;H8&amp;" pending","✅ Paid")))</f>
        <v>✅ Paid</v>
      </c>
    </row>
    <row r="9" spans="1:9" ht="16" x14ac:dyDescent="0.2">
      <c r="A9" s="24">
        <v>45822</v>
      </c>
      <c r="B9" s="22" t="s">
        <v>20</v>
      </c>
      <c r="C9" s="22" t="s">
        <v>62</v>
      </c>
      <c r="D9" s="2">
        <v>2</v>
      </c>
      <c r="E9" s="25">
        <v>5000</v>
      </c>
      <c r="F9" s="25">
        <f>E9*D9</f>
        <v>10000</v>
      </c>
      <c r="G9" s="25">
        <v>10000</v>
      </c>
      <c r="H9" s="25">
        <f>F9-G9</f>
        <v>0</v>
      </c>
      <c r="I9" s="9" t="str">
        <f>IF(H9&gt;10000,"🚨 URGENT: "&amp;B9&amp;" owes ₹"&amp;H9,IF(H9&gt;5000,"⚠️ WARNING: "&amp;B9&amp;" - ₹"&amp;H9&amp;" due",IF(H9&gt;0,"ℹ️ "&amp;B9&amp;" - ₹"&amp;H9&amp;" pending","✅ Paid")))</f>
        <v>✅ Paid</v>
      </c>
    </row>
    <row r="10" spans="1:9" ht="16" x14ac:dyDescent="0.2">
      <c r="A10" s="24">
        <v>45822</v>
      </c>
      <c r="B10" s="22" t="s">
        <v>44</v>
      </c>
      <c r="C10" s="22" t="s">
        <v>73</v>
      </c>
      <c r="D10" s="2">
        <v>1</v>
      </c>
      <c r="E10" s="25">
        <v>4000</v>
      </c>
      <c r="F10" s="25">
        <f>E10*D10</f>
        <v>4000</v>
      </c>
      <c r="G10" s="25"/>
      <c r="H10" s="25">
        <f>F10-G10</f>
        <v>4000</v>
      </c>
      <c r="I10" s="9" t="str">
        <f>IF(H10&gt;10000,"🚨 URGENT: "&amp;B10&amp;" owes ₹"&amp;H10,IF(H10&gt;5000,"⚠️ WARNING: "&amp;B10&amp;" - ₹"&amp;H10&amp;" due",IF(H10&gt;0,"ℹ️ "&amp;B10&amp;" - ₹"&amp;H10&amp;" pending","✅ Paid")))</f>
        <v>ℹ️ Nitesh - ₹4000 pending</v>
      </c>
    </row>
    <row r="11" spans="1:9" ht="16" x14ac:dyDescent="0.2">
      <c r="A11" s="24">
        <v>45824</v>
      </c>
      <c r="B11" s="22" t="s">
        <v>40</v>
      </c>
      <c r="C11" s="22" t="s">
        <v>58</v>
      </c>
      <c r="D11" s="2">
        <v>1</v>
      </c>
      <c r="E11" s="25">
        <v>4000</v>
      </c>
      <c r="F11" s="25">
        <f>E11*D11</f>
        <v>4000</v>
      </c>
      <c r="G11" s="25">
        <v>4000</v>
      </c>
      <c r="H11" s="25">
        <f>F11-G11</f>
        <v>0</v>
      </c>
      <c r="I11" s="9" t="str">
        <f>IF(H11&gt;10000,"🚨 URGENT: "&amp;B11&amp;" owes ₹"&amp;H11,IF(H11&gt;5000,"⚠️ WARNING: "&amp;B11&amp;" - ₹"&amp;H11&amp;" due",IF(H11&gt;0,"ℹ️ "&amp;B11&amp;" - ₹"&amp;H11&amp;" pending","✅ Paid")))</f>
        <v>✅ Paid</v>
      </c>
    </row>
    <row r="12" spans="1:9" ht="16" x14ac:dyDescent="0.2">
      <c r="A12" s="24">
        <v>45828</v>
      </c>
      <c r="B12" s="23" t="s">
        <v>41</v>
      </c>
      <c r="C12" s="23" t="s">
        <v>58</v>
      </c>
      <c r="D12" s="17">
        <v>2</v>
      </c>
      <c r="E12" s="25">
        <v>4000</v>
      </c>
      <c r="F12" s="25">
        <f>E12*D12</f>
        <v>8000</v>
      </c>
      <c r="G12" s="25">
        <v>8000</v>
      </c>
      <c r="H12" s="25">
        <f>F12-G12</f>
        <v>0</v>
      </c>
      <c r="I12" s="9" t="str">
        <f>IF(H12&gt;10000,"🚨 URGENT: "&amp;B12&amp;" owes ₹"&amp;H12,IF(H12&gt;5000,"⚠️ WARNING: "&amp;B12&amp;" - ₹"&amp;H12&amp;" due",IF(H12&gt;0,"ℹ️ "&amp;B12&amp;" - ₹"&amp;H12&amp;" pending","✅ Paid")))</f>
        <v>✅ Paid</v>
      </c>
    </row>
    <row r="13" spans="1:9" ht="16" x14ac:dyDescent="0.2">
      <c r="A13" s="24">
        <v>45828</v>
      </c>
      <c r="B13" s="23" t="s">
        <v>109</v>
      </c>
      <c r="C13" s="23" t="s">
        <v>52</v>
      </c>
      <c r="D13" s="17">
        <v>1</v>
      </c>
      <c r="E13" s="25">
        <v>4000</v>
      </c>
      <c r="F13" s="25">
        <f>E13*D13</f>
        <v>4000</v>
      </c>
      <c r="G13" s="25">
        <v>4000</v>
      </c>
      <c r="H13" s="25">
        <f>F13-G13</f>
        <v>0</v>
      </c>
      <c r="I13" s="9" t="str">
        <f>IF(H13&gt;10000,"🚨 URGENT: "&amp;B13&amp;" owes ₹"&amp;H13,IF(H13&gt;5000,"⚠️ WARNING: "&amp;B13&amp;" - ₹"&amp;H13&amp;" due",IF(H13&gt;0,"ℹ️ "&amp;B13&amp;" - ₹"&amp;H13&amp;" pending","✅ Paid")))</f>
        <v>✅ Paid</v>
      </c>
    </row>
    <row r="14" spans="1:9" ht="16" x14ac:dyDescent="0.2">
      <c r="A14" s="24">
        <v>45828</v>
      </c>
      <c r="B14" s="23" t="s">
        <v>43</v>
      </c>
      <c r="C14" s="23" t="s">
        <v>58</v>
      </c>
      <c r="D14" s="17">
        <v>1</v>
      </c>
      <c r="E14" s="25">
        <v>4000</v>
      </c>
      <c r="F14" s="25">
        <f>E14*D14</f>
        <v>4000</v>
      </c>
      <c r="G14" s="25">
        <v>4000</v>
      </c>
      <c r="H14" s="25">
        <f>F14-G14</f>
        <v>0</v>
      </c>
      <c r="I14" s="9" t="str">
        <f>IF(H14&gt;10000,"🚨 URGENT: "&amp;B14&amp;" owes ₹"&amp;H14,IF(H14&gt;5000,"⚠️ WARNING: "&amp;B14&amp;" - ₹"&amp;H14&amp;" due",IF(H14&gt;0,"ℹ️ "&amp;B14&amp;" - ₹"&amp;H14&amp;" pending","✅ Paid")))</f>
        <v>✅ Paid</v>
      </c>
    </row>
    <row r="15" spans="1:9" ht="16" x14ac:dyDescent="0.2">
      <c r="A15" s="24">
        <v>45828</v>
      </c>
      <c r="B15" s="23" t="s">
        <v>42</v>
      </c>
      <c r="C15" s="23" t="s">
        <v>58</v>
      </c>
      <c r="D15" s="17">
        <v>1</v>
      </c>
      <c r="E15" s="25">
        <v>4000</v>
      </c>
      <c r="F15" s="25">
        <f>E15*D15</f>
        <v>4000</v>
      </c>
      <c r="G15" s="25">
        <v>4000</v>
      </c>
      <c r="H15" s="25">
        <f>F15-G15</f>
        <v>0</v>
      </c>
      <c r="I15" s="9" t="str">
        <f>IF(H15&gt;10000,"🚨 URGENT: "&amp;B15&amp;" owes ₹"&amp;H15,IF(H15&gt;5000,"⚠️ WARNING: "&amp;B15&amp;" - ₹"&amp;H15&amp;" due",IF(H15&gt;0,"ℹ️ "&amp;B15&amp;" - ₹"&amp;H15&amp;" pending","✅ Paid")))</f>
        <v>✅ Paid</v>
      </c>
    </row>
    <row r="16" spans="1:9" ht="16" x14ac:dyDescent="0.2">
      <c r="A16" s="24">
        <v>45828</v>
      </c>
      <c r="B16" s="23" t="s">
        <v>47</v>
      </c>
      <c r="C16" s="23" t="s">
        <v>55</v>
      </c>
      <c r="D16" s="17">
        <v>2</v>
      </c>
      <c r="E16" s="25">
        <v>4750</v>
      </c>
      <c r="F16" s="25">
        <f>E16*D16</f>
        <v>9500</v>
      </c>
      <c r="G16" s="25">
        <v>9500</v>
      </c>
      <c r="H16" s="25">
        <f>F16-G16</f>
        <v>0</v>
      </c>
      <c r="I16" s="9" t="str">
        <f>IF(H16&gt;10000,"🚨 URGENT: "&amp;B16&amp;" owes ₹"&amp;H16,IF(H16&gt;5000,"⚠️ WARNING: "&amp;B16&amp;" - ₹"&amp;H16&amp;" due",IF(H16&gt;0,"ℹ️ "&amp;B16&amp;" - ₹"&amp;H16&amp;" pending","✅ Paid")))</f>
        <v>✅ Paid</v>
      </c>
    </row>
    <row r="17" spans="1:9" ht="16" x14ac:dyDescent="0.2">
      <c r="A17" s="24">
        <v>45829</v>
      </c>
      <c r="B17" s="23" t="s">
        <v>74</v>
      </c>
      <c r="C17" s="23" t="s">
        <v>45</v>
      </c>
      <c r="D17" s="17">
        <v>1</v>
      </c>
      <c r="E17" s="25">
        <v>4000</v>
      </c>
      <c r="F17" s="25">
        <f>E17*D17</f>
        <v>4000</v>
      </c>
      <c r="G17" s="25">
        <v>4000</v>
      </c>
      <c r="H17" s="25">
        <f>F17-G17</f>
        <v>0</v>
      </c>
      <c r="I17" s="9" t="str">
        <f>IF(H17&gt;10000,"🚨 URGENT: "&amp;B17&amp;" owes ₹"&amp;H17,IF(H17&gt;5000,"⚠️ WARNING: "&amp;B17&amp;" - ₹"&amp;H17&amp;" due",IF(H17&gt;0,"ℹ️ "&amp;B17&amp;" - ₹"&amp;H17&amp;" pending","✅ Paid")))</f>
        <v>✅ Paid</v>
      </c>
    </row>
    <row r="18" spans="1:9" ht="16" x14ac:dyDescent="0.2">
      <c r="A18" s="24">
        <v>45831</v>
      </c>
      <c r="B18" s="23" t="s">
        <v>46</v>
      </c>
      <c r="C18" s="23" t="s">
        <v>4</v>
      </c>
      <c r="D18" s="17">
        <v>1</v>
      </c>
      <c r="E18" s="25">
        <v>4000</v>
      </c>
      <c r="F18" s="25">
        <f>E18*D18</f>
        <v>4000</v>
      </c>
      <c r="G18" s="25">
        <v>4000</v>
      </c>
      <c r="H18" s="25">
        <f>F18-G18</f>
        <v>0</v>
      </c>
      <c r="I18" s="9" t="str">
        <f>IF(H18&gt;10000,"🚨 URGENT: "&amp;B18&amp;" owes ₹"&amp;H18,IF(H18&gt;5000,"⚠️ WARNING: "&amp;B18&amp;" - ₹"&amp;H18&amp;" due",IF(H18&gt;0,"ℹ️ "&amp;B18&amp;" - ₹"&amp;H18&amp;" pending","✅ Paid")))</f>
        <v>✅ Paid</v>
      </c>
    </row>
    <row r="19" spans="1:9" ht="16" x14ac:dyDescent="0.2">
      <c r="A19" s="24">
        <v>45831</v>
      </c>
      <c r="B19" s="23" t="s">
        <v>47</v>
      </c>
      <c r="C19" s="23" t="s">
        <v>6</v>
      </c>
      <c r="D19" s="17">
        <v>1</v>
      </c>
      <c r="E19" s="25">
        <v>4750</v>
      </c>
      <c r="F19" s="25">
        <f>E19*D19</f>
        <v>4750</v>
      </c>
      <c r="G19" s="25">
        <v>4750</v>
      </c>
      <c r="H19" s="25">
        <f>F19-G19</f>
        <v>0</v>
      </c>
      <c r="I19" s="9" t="str">
        <f>IF(H19&gt;10000,"🚨 URGENT: "&amp;B19&amp;" owes ₹"&amp;H19,IF(H19&gt;5000,"⚠️ WARNING: "&amp;B19&amp;" - ₹"&amp;H19&amp;" due",IF(H19&gt;0,"ℹ️ "&amp;B19&amp;" - ₹"&amp;H19&amp;" pending","✅ Paid")))</f>
        <v>✅ Paid</v>
      </c>
    </row>
    <row r="20" spans="1:9" ht="16" x14ac:dyDescent="0.2">
      <c r="A20" s="24">
        <v>45835</v>
      </c>
      <c r="B20" s="23" t="s">
        <v>75</v>
      </c>
      <c r="C20" s="23" t="s">
        <v>8</v>
      </c>
      <c r="D20" s="17">
        <v>1</v>
      </c>
      <c r="E20" s="25">
        <v>5000</v>
      </c>
      <c r="F20" s="25">
        <f>E20*D20</f>
        <v>5000</v>
      </c>
      <c r="G20" s="25">
        <v>5000</v>
      </c>
      <c r="H20" s="25">
        <f>F20-G20</f>
        <v>0</v>
      </c>
      <c r="I20" s="9" t="str">
        <f>IF(H20&gt;10000,"🚨 URGENT: "&amp;B20&amp;" owes ₹"&amp;H20,IF(H20&gt;5000,"⚠️ WARNING: "&amp;B20&amp;" - ₹"&amp;H20&amp;" due",IF(H20&gt;0,"ℹ️ "&amp;B20&amp;" - ₹"&amp;H20&amp;" pending","✅ Paid")))</f>
        <v>✅ Paid</v>
      </c>
    </row>
    <row r="21" spans="1:9" ht="16" x14ac:dyDescent="0.2">
      <c r="A21" s="24">
        <v>45835</v>
      </c>
      <c r="B21" s="23" t="s">
        <v>76</v>
      </c>
      <c r="C21" s="23" t="s">
        <v>45</v>
      </c>
      <c r="D21" s="17">
        <v>1</v>
      </c>
      <c r="E21" s="25">
        <v>5000</v>
      </c>
      <c r="F21" s="25">
        <f>E21*D21</f>
        <v>5000</v>
      </c>
      <c r="G21" s="25">
        <v>5000</v>
      </c>
      <c r="H21" s="25">
        <f>F21-G21</f>
        <v>0</v>
      </c>
      <c r="I21" s="9" t="str">
        <f>IF(H21&gt;10000,"🚨 URGENT: "&amp;B21&amp;" owes ₹"&amp;H21,IF(H21&gt;5000,"⚠️ WARNING: "&amp;B21&amp;" - ₹"&amp;H21&amp;" due",IF(H21&gt;0,"ℹ️ "&amp;B21&amp;" - ₹"&amp;H21&amp;" pending","✅ Paid")))</f>
        <v>✅ Paid</v>
      </c>
    </row>
    <row r="22" spans="1:9" ht="16" x14ac:dyDescent="0.2">
      <c r="A22" s="24">
        <v>45835</v>
      </c>
      <c r="B22" s="23" t="s">
        <v>179</v>
      </c>
      <c r="C22" s="23" t="s">
        <v>3</v>
      </c>
      <c r="D22" s="17">
        <v>1</v>
      </c>
      <c r="E22" s="25">
        <v>4500</v>
      </c>
      <c r="F22" s="25">
        <f>E22*D22</f>
        <v>4500</v>
      </c>
      <c r="G22" s="25">
        <v>4000</v>
      </c>
      <c r="H22" s="25">
        <f>F22-G22</f>
        <v>500</v>
      </c>
      <c r="I22" s="9" t="str">
        <f>IF(H22&gt;10000,"🚨 URGENT: "&amp;B22&amp;" owes ₹"&amp;H22,IF(H22&gt;5000,"⚠️ WARNING: "&amp;B22&amp;" - ₹"&amp;H22&amp;" due",IF(H22&gt;0,"ℹ️ "&amp;B22&amp;" - ₹"&amp;H22&amp;" pending","✅ Paid")))</f>
        <v>ℹ️ Sau ( Raj Order ) - ₹500 pending</v>
      </c>
    </row>
    <row r="23" spans="1:9" ht="16" x14ac:dyDescent="0.2">
      <c r="A23" s="24">
        <v>45838</v>
      </c>
      <c r="B23" s="23" t="s">
        <v>77</v>
      </c>
      <c r="C23" s="23" t="s">
        <v>78</v>
      </c>
      <c r="D23" s="17">
        <v>1</v>
      </c>
      <c r="E23" s="25">
        <v>1500</v>
      </c>
      <c r="F23" s="25">
        <f>E23*D23</f>
        <v>1500</v>
      </c>
      <c r="G23" s="25">
        <v>1500</v>
      </c>
      <c r="H23" s="25">
        <f>F23-G23</f>
        <v>0</v>
      </c>
      <c r="I23" s="9" t="str">
        <f>IF(H23&gt;10000,"🚨 URGENT: "&amp;B23&amp;" owes ₹"&amp;H23,IF(H23&gt;5000,"⚠️ WARNING: "&amp;B23&amp;" - ₹"&amp;H23&amp;" due",IF(H23&gt;0,"ℹ️ "&amp;B23&amp;" - ₹"&amp;H23&amp;" pending","✅ Paid")))</f>
        <v>✅ Paid</v>
      </c>
    </row>
    <row r="24" spans="1:9" ht="16" x14ac:dyDescent="0.2">
      <c r="A24" s="3"/>
      <c r="B24" s="2"/>
      <c r="C24" s="2"/>
      <c r="D24" s="2"/>
      <c r="E24" s="16"/>
      <c r="F24" s="16"/>
      <c r="G24" s="16"/>
      <c r="H24" s="16"/>
      <c r="I24" s="9"/>
    </row>
    <row r="25" spans="1:9" ht="16" x14ac:dyDescent="0.2">
      <c r="A25" s="24"/>
      <c r="B25" s="22"/>
      <c r="C25" s="22"/>
      <c r="D25" s="2"/>
      <c r="E25" s="25"/>
      <c r="F25" s="25"/>
      <c r="G25" s="25"/>
      <c r="H25" s="25"/>
      <c r="I25" s="9"/>
    </row>
    <row r="26" spans="1:9" ht="16" x14ac:dyDescent="0.2">
      <c r="A26" s="24"/>
      <c r="B26" s="22"/>
      <c r="C26" s="22"/>
      <c r="D26" s="2"/>
      <c r="E26" s="25"/>
      <c r="F26" s="25"/>
      <c r="G26" s="25"/>
      <c r="H26" s="25"/>
      <c r="I26" s="9"/>
    </row>
    <row r="27" spans="1:9" ht="16" x14ac:dyDescent="0.2">
      <c r="A27" s="24"/>
      <c r="B27" s="22"/>
      <c r="C27" s="22"/>
      <c r="D27" s="2"/>
      <c r="E27" s="25"/>
      <c r="F27" s="25"/>
      <c r="G27" s="25"/>
      <c r="H27" s="25"/>
      <c r="I27" s="9"/>
    </row>
    <row r="28" spans="1:9" ht="16" x14ac:dyDescent="0.2">
      <c r="A28" s="24"/>
      <c r="B28" s="22"/>
      <c r="C28" s="22"/>
      <c r="D28" s="2"/>
      <c r="E28" s="25"/>
      <c r="F28" s="25"/>
      <c r="G28" s="25"/>
      <c r="H28" s="25"/>
      <c r="I28" s="9"/>
    </row>
    <row r="29" spans="1:9" ht="16" x14ac:dyDescent="0.2">
      <c r="A29" s="24"/>
      <c r="B29" s="22"/>
      <c r="C29" s="22"/>
      <c r="D29" s="2"/>
      <c r="E29" s="25"/>
      <c r="F29" s="25"/>
      <c r="G29" s="25"/>
      <c r="H29" s="25"/>
      <c r="I29" s="9"/>
    </row>
    <row r="30" spans="1:9" ht="16" x14ac:dyDescent="0.2">
      <c r="A30" s="24"/>
      <c r="B30" s="23"/>
      <c r="C30" s="23"/>
      <c r="D30" s="17"/>
      <c r="E30" s="25"/>
      <c r="F30" s="25"/>
      <c r="G30" s="25"/>
      <c r="H30" s="25"/>
      <c r="I30" s="9"/>
    </row>
    <row r="31" spans="1:9" ht="16" x14ac:dyDescent="0.2">
      <c r="A31" s="24"/>
      <c r="B31" s="23"/>
      <c r="C31" s="23"/>
      <c r="D31" s="17"/>
      <c r="E31" s="25"/>
      <c r="F31" s="25"/>
      <c r="G31" s="25"/>
      <c r="H31" s="25"/>
      <c r="I31" s="9"/>
    </row>
    <row r="32" spans="1:9" ht="16" x14ac:dyDescent="0.2">
      <c r="A32" s="24"/>
      <c r="B32" s="23"/>
      <c r="C32" s="23"/>
      <c r="D32" s="17"/>
      <c r="E32" s="25"/>
      <c r="F32" s="25"/>
      <c r="G32" s="25"/>
      <c r="H32" s="25"/>
      <c r="I32" s="9"/>
    </row>
    <row r="33" spans="1:9" ht="16" x14ac:dyDescent="0.2">
      <c r="A33" s="24"/>
      <c r="B33" s="23"/>
      <c r="C33" s="23"/>
      <c r="D33" s="17"/>
      <c r="E33" s="25"/>
      <c r="F33" s="25"/>
      <c r="G33" s="25"/>
      <c r="H33" s="25"/>
      <c r="I33" s="9"/>
    </row>
    <row r="34" spans="1:9" ht="16" x14ac:dyDescent="0.2">
      <c r="A34" s="24"/>
      <c r="B34" s="23"/>
      <c r="C34" s="23"/>
      <c r="D34" s="17"/>
      <c r="E34" s="25"/>
      <c r="F34" s="25"/>
      <c r="G34" s="25"/>
      <c r="H34" s="25"/>
      <c r="I34" s="9"/>
    </row>
    <row r="35" spans="1:9" ht="16" x14ac:dyDescent="0.2">
      <c r="A35" s="24"/>
      <c r="B35" s="23"/>
      <c r="C35" s="23"/>
      <c r="D35" s="17"/>
      <c r="E35" s="25"/>
      <c r="F35" s="25"/>
      <c r="G35" s="25"/>
      <c r="H35" s="25"/>
      <c r="I35" s="9"/>
    </row>
    <row r="36" spans="1:9" ht="24" x14ac:dyDescent="0.2">
      <c r="D36" s="21" t="s">
        <v>7</v>
      </c>
      <c r="E36" s="18"/>
      <c r="F36" s="21" t="s">
        <v>50</v>
      </c>
      <c r="G36" s="21" t="s">
        <v>49</v>
      </c>
      <c r="H36" s="21" t="s">
        <v>48</v>
      </c>
    </row>
    <row r="37" spans="1:9" ht="24" x14ac:dyDescent="0.2">
      <c r="D37" s="19">
        <f>SUM(D4:D35)</f>
        <v>27</v>
      </c>
      <c r="E37" s="18"/>
      <c r="F37" s="20">
        <f>SUM(F4:F35)</f>
        <v>112750</v>
      </c>
      <c r="G37" s="20">
        <f>SUM(G4:G35)</f>
        <v>108250</v>
      </c>
      <c r="H37" s="20">
        <f>SUM(H4:H35)</f>
        <v>4500</v>
      </c>
    </row>
    <row r="43" spans="1:9" ht="29" x14ac:dyDescent="0.2">
      <c r="A43" s="42" t="s">
        <v>70</v>
      </c>
      <c r="B43" s="42"/>
      <c r="C43" s="42"/>
      <c r="D43" s="42"/>
    </row>
    <row r="44" spans="1:9" x14ac:dyDescent="0.2">
      <c r="A44" s="43" t="s">
        <v>191</v>
      </c>
      <c r="B44" s="43"/>
      <c r="C44" s="43"/>
      <c r="D44" s="43"/>
    </row>
    <row r="45" spans="1:9" ht="16" x14ac:dyDescent="0.2">
      <c r="A45" s="15" t="s">
        <v>0</v>
      </c>
      <c r="B45" s="14" t="s">
        <v>69</v>
      </c>
      <c r="C45" s="14" t="s">
        <v>68</v>
      </c>
      <c r="D45" s="14" t="s">
        <v>1</v>
      </c>
    </row>
    <row r="46" spans="1:9" x14ac:dyDescent="0.2">
      <c r="A46" s="3"/>
      <c r="B46" s="22"/>
      <c r="C46" s="22"/>
      <c r="D46" s="2"/>
    </row>
    <row r="47" spans="1:9" ht="16" x14ac:dyDescent="0.2">
      <c r="A47" s="24">
        <v>45809</v>
      </c>
      <c r="B47" s="32" t="s">
        <v>187</v>
      </c>
      <c r="C47" s="32" t="s">
        <v>188</v>
      </c>
      <c r="D47" s="11">
        <v>18</v>
      </c>
    </row>
    <row r="48" spans="1:9" ht="16" x14ac:dyDescent="0.2">
      <c r="A48" s="24">
        <v>45810</v>
      </c>
      <c r="B48" s="32" t="s">
        <v>187</v>
      </c>
      <c r="C48" s="32" t="s">
        <v>188</v>
      </c>
      <c r="D48" s="11">
        <v>16</v>
      </c>
    </row>
    <row r="49" spans="1:4" ht="16" x14ac:dyDescent="0.2">
      <c r="A49" s="24">
        <v>45810</v>
      </c>
      <c r="B49" s="32" t="s">
        <v>187</v>
      </c>
      <c r="C49" s="32" t="s">
        <v>189</v>
      </c>
      <c r="D49" s="17">
        <v>8</v>
      </c>
    </row>
    <row r="50" spans="1:4" ht="16" x14ac:dyDescent="0.2">
      <c r="A50" s="24">
        <v>45811</v>
      </c>
      <c r="B50" s="32" t="s">
        <v>187</v>
      </c>
      <c r="C50" s="32" t="s">
        <v>188</v>
      </c>
      <c r="D50" s="11">
        <v>16</v>
      </c>
    </row>
    <row r="51" spans="1:4" ht="16" x14ac:dyDescent="0.2">
      <c r="A51" s="24">
        <v>45811</v>
      </c>
      <c r="B51" s="32" t="s">
        <v>187</v>
      </c>
      <c r="C51" s="32" t="s">
        <v>189</v>
      </c>
      <c r="D51" s="17">
        <v>24</v>
      </c>
    </row>
    <row r="52" spans="1:4" ht="16" x14ac:dyDescent="0.2">
      <c r="A52" s="24">
        <v>45812</v>
      </c>
      <c r="B52" s="32" t="s">
        <v>187</v>
      </c>
      <c r="C52" s="32" t="s">
        <v>188</v>
      </c>
      <c r="D52" s="11">
        <v>10</v>
      </c>
    </row>
    <row r="53" spans="1:4" ht="16" x14ac:dyDescent="0.2">
      <c r="A53" s="24">
        <v>45813</v>
      </c>
      <c r="B53" s="32" t="s">
        <v>187</v>
      </c>
      <c r="C53" s="32" t="s">
        <v>188</v>
      </c>
      <c r="D53" s="11">
        <v>9</v>
      </c>
    </row>
    <row r="54" spans="1:4" ht="16" x14ac:dyDescent="0.2">
      <c r="A54" s="24">
        <v>45813</v>
      </c>
      <c r="B54" s="32" t="s">
        <v>187</v>
      </c>
      <c r="C54" s="32" t="s">
        <v>189</v>
      </c>
      <c r="D54" s="17">
        <v>34</v>
      </c>
    </row>
    <row r="55" spans="1:4" ht="16" x14ac:dyDescent="0.2">
      <c r="A55" s="24">
        <v>45814</v>
      </c>
      <c r="B55" s="32" t="s">
        <v>187</v>
      </c>
      <c r="C55" s="32" t="s">
        <v>188</v>
      </c>
      <c r="D55" s="17">
        <v>10</v>
      </c>
    </row>
    <row r="56" spans="1:4" ht="16" x14ac:dyDescent="0.2">
      <c r="A56" s="24">
        <v>45815</v>
      </c>
      <c r="B56" s="32" t="s">
        <v>187</v>
      </c>
      <c r="C56" s="32" t="s">
        <v>188</v>
      </c>
      <c r="D56" s="17">
        <v>18</v>
      </c>
    </row>
    <row r="57" spans="1:4" ht="16" x14ac:dyDescent="0.2">
      <c r="A57" s="24">
        <v>45817</v>
      </c>
      <c r="B57" s="32" t="s">
        <v>187</v>
      </c>
      <c r="C57" s="32" t="s">
        <v>188</v>
      </c>
      <c r="D57" s="17">
        <v>9</v>
      </c>
    </row>
    <row r="58" spans="1:4" ht="16" x14ac:dyDescent="0.2">
      <c r="A58" s="24">
        <v>45818</v>
      </c>
      <c r="B58" s="32" t="s">
        <v>187</v>
      </c>
      <c r="C58" s="32" t="s">
        <v>188</v>
      </c>
      <c r="D58" s="17">
        <v>10</v>
      </c>
    </row>
    <row r="59" spans="1:4" ht="16" x14ac:dyDescent="0.2">
      <c r="A59" s="24">
        <v>45818</v>
      </c>
      <c r="B59" s="32" t="s">
        <v>187</v>
      </c>
      <c r="C59" s="32" t="s">
        <v>189</v>
      </c>
      <c r="D59" s="17">
        <v>14</v>
      </c>
    </row>
    <row r="60" spans="1:4" ht="16" x14ac:dyDescent="0.2">
      <c r="A60" s="24">
        <v>45819</v>
      </c>
      <c r="B60" s="32" t="s">
        <v>187</v>
      </c>
      <c r="C60" s="32" t="s">
        <v>188</v>
      </c>
      <c r="D60" s="17">
        <v>3</v>
      </c>
    </row>
    <row r="61" spans="1:4" ht="16" x14ac:dyDescent="0.2">
      <c r="A61" s="24">
        <v>45820</v>
      </c>
      <c r="B61" s="32" t="s">
        <v>187</v>
      </c>
      <c r="C61" s="32" t="s">
        <v>188</v>
      </c>
      <c r="D61" s="17">
        <v>11</v>
      </c>
    </row>
    <row r="62" spans="1:4" ht="16" x14ac:dyDescent="0.2">
      <c r="A62" s="24">
        <v>45821</v>
      </c>
      <c r="B62" s="32" t="s">
        <v>187</v>
      </c>
      <c r="C62" s="32" t="s">
        <v>188</v>
      </c>
      <c r="D62" s="17">
        <v>13</v>
      </c>
    </row>
    <row r="63" spans="1:4" ht="16" x14ac:dyDescent="0.2">
      <c r="A63" s="24">
        <v>45822</v>
      </c>
      <c r="B63" s="32" t="s">
        <v>187</v>
      </c>
      <c r="C63" s="32" t="s">
        <v>188</v>
      </c>
      <c r="D63" s="17">
        <v>8</v>
      </c>
    </row>
    <row r="64" spans="1:4" ht="16" x14ac:dyDescent="0.2">
      <c r="A64" s="24">
        <v>45822</v>
      </c>
      <c r="B64" s="32" t="s">
        <v>187</v>
      </c>
      <c r="C64" s="32" t="s">
        <v>189</v>
      </c>
      <c r="D64" s="17">
        <v>13</v>
      </c>
    </row>
    <row r="65" spans="1:4" ht="16" x14ac:dyDescent="0.2">
      <c r="A65" s="24">
        <v>45824</v>
      </c>
      <c r="B65" s="32" t="s">
        <v>187</v>
      </c>
      <c r="C65" s="32" t="s">
        <v>188</v>
      </c>
      <c r="D65" s="17">
        <v>14</v>
      </c>
    </row>
    <row r="66" spans="1:4" ht="16" x14ac:dyDescent="0.2">
      <c r="A66" s="24">
        <v>45824</v>
      </c>
      <c r="B66" s="32" t="s">
        <v>187</v>
      </c>
      <c r="C66" s="32" t="s">
        <v>189</v>
      </c>
      <c r="D66" s="17">
        <v>2</v>
      </c>
    </row>
    <row r="67" spans="1:4" ht="16" x14ac:dyDescent="0.2">
      <c r="A67" s="24">
        <v>45825</v>
      </c>
      <c r="B67" s="32" t="s">
        <v>187</v>
      </c>
      <c r="C67" s="32" t="s">
        <v>188</v>
      </c>
      <c r="D67" s="17">
        <v>12</v>
      </c>
    </row>
    <row r="68" spans="1:4" ht="16" x14ac:dyDescent="0.2">
      <c r="A68" s="24">
        <v>45826</v>
      </c>
      <c r="B68" s="32" t="s">
        <v>187</v>
      </c>
      <c r="C68" s="32" t="s">
        <v>188</v>
      </c>
      <c r="D68" s="17">
        <v>15</v>
      </c>
    </row>
    <row r="69" spans="1:4" ht="16" x14ac:dyDescent="0.2">
      <c r="A69" s="24">
        <v>45827</v>
      </c>
      <c r="B69" s="32" t="s">
        <v>187</v>
      </c>
      <c r="C69" s="32" t="s">
        <v>188</v>
      </c>
      <c r="D69" s="17">
        <v>15</v>
      </c>
    </row>
    <row r="70" spans="1:4" ht="16" x14ac:dyDescent="0.2">
      <c r="A70" s="24">
        <v>45828</v>
      </c>
      <c r="B70" s="32" t="s">
        <v>187</v>
      </c>
      <c r="C70" s="32" t="s">
        <v>188</v>
      </c>
      <c r="D70" s="17">
        <v>10</v>
      </c>
    </row>
    <row r="71" spans="1:4" ht="16" x14ac:dyDescent="0.2">
      <c r="A71" s="24">
        <v>45828</v>
      </c>
      <c r="B71" s="32" t="s">
        <v>187</v>
      </c>
      <c r="C71" s="32" t="s">
        <v>189</v>
      </c>
      <c r="D71" s="17">
        <v>6</v>
      </c>
    </row>
    <row r="72" spans="1:4" ht="16" x14ac:dyDescent="0.2">
      <c r="A72" s="24">
        <v>45829</v>
      </c>
      <c r="B72" s="32" t="s">
        <v>187</v>
      </c>
      <c r="C72" s="32" t="s">
        <v>188</v>
      </c>
      <c r="D72" s="17">
        <v>7</v>
      </c>
    </row>
    <row r="73" spans="1:4" ht="16" x14ac:dyDescent="0.2">
      <c r="A73" s="24">
        <v>45829</v>
      </c>
      <c r="B73" s="32" t="s">
        <v>187</v>
      </c>
      <c r="C73" s="32" t="s">
        <v>189</v>
      </c>
      <c r="D73" s="17">
        <v>10</v>
      </c>
    </row>
    <row r="74" spans="1:4" ht="16" x14ac:dyDescent="0.2">
      <c r="A74" s="24">
        <v>45831</v>
      </c>
      <c r="B74" s="32" t="s">
        <v>187</v>
      </c>
      <c r="C74" s="32" t="s">
        <v>188</v>
      </c>
      <c r="D74" s="17">
        <v>9</v>
      </c>
    </row>
    <row r="75" spans="1:4" ht="16" x14ac:dyDescent="0.2">
      <c r="A75" s="24">
        <v>45832</v>
      </c>
      <c r="B75" s="32" t="s">
        <v>187</v>
      </c>
      <c r="C75" s="32" t="s">
        <v>188</v>
      </c>
      <c r="D75" s="17">
        <v>7</v>
      </c>
    </row>
    <row r="76" spans="1:4" ht="16" x14ac:dyDescent="0.2">
      <c r="A76" s="24">
        <v>45835</v>
      </c>
      <c r="B76" s="32" t="s">
        <v>187</v>
      </c>
      <c r="C76" s="32" t="s">
        <v>189</v>
      </c>
      <c r="D76" s="17">
        <v>19</v>
      </c>
    </row>
    <row r="77" spans="1:4" ht="16" x14ac:dyDescent="0.2">
      <c r="A77" s="24">
        <v>45836</v>
      </c>
      <c r="B77" s="32" t="s">
        <v>187</v>
      </c>
      <c r="C77" s="32" t="s">
        <v>188</v>
      </c>
      <c r="D77" s="17">
        <v>10</v>
      </c>
    </row>
    <row r="78" spans="1:4" x14ac:dyDescent="0.2">
      <c r="A78" s="24"/>
      <c r="B78" s="23"/>
      <c r="C78" s="23"/>
      <c r="D78" s="17"/>
    </row>
    <row r="79" spans="1:4" ht="24" x14ac:dyDescent="0.2">
      <c r="D79" s="21" t="s">
        <v>7</v>
      </c>
    </row>
    <row r="80" spans="1:4" ht="24" x14ac:dyDescent="0.2">
      <c r="D80" s="19">
        <f>SUM(D46:D78)</f>
        <v>380</v>
      </c>
    </row>
  </sheetData>
  <mergeCells count="4">
    <mergeCell ref="A1:I1"/>
    <mergeCell ref="A2:I2"/>
    <mergeCell ref="A43:D43"/>
    <mergeCell ref="A44:D44"/>
  </mergeCells>
  <conditionalFormatting sqref="I4:I35">
    <cfRule type="containsText" dxfId="31" priority="1" operator="containsText" text="✅">
      <formula>NOT(ISERROR(SEARCH("✅",I4)))</formula>
    </cfRule>
    <cfRule type="containsText" dxfId="30" priority="2" operator="containsText" text="ℹ️">
      <formula>NOT(ISERROR(SEARCH("ℹ️",I4)))</formula>
    </cfRule>
    <cfRule type="containsText" dxfId="29" priority="3" operator="containsText" text="⚠️">
      <formula>NOT(ISERROR(SEARCH("⚠️",I4)))</formula>
    </cfRule>
    <cfRule type="containsText" dxfId="28" priority="4" operator="containsText" text="🚨">
      <formula>NOT(ISERROR(SEARCH("🚨",I4)))</formula>
    </cfRule>
  </conditionalFormatting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1FF56-9738-BE4A-81D5-FF86D5505AEE}">
  <sheetPr codeName="Sheet7"/>
  <dimension ref="A1:I65"/>
  <sheetViews>
    <sheetView zoomScaleNormal="100" workbookViewId="0">
      <pane ySplit="3" topLeftCell="A27" activePane="bottomLeft" state="frozen"/>
      <selection pane="bottomLeft" activeCell="C60" sqref="C60:D62"/>
    </sheetView>
  </sheetViews>
  <sheetFormatPr baseColWidth="10" defaultColWidth="11.5" defaultRowHeight="15" x14ac:dyDescent="0.2"/>
  <cols>
    <col min="1" max="1" width="21.6640625" bestFit="1" customWidth="1"/>
    <col min="2" max="2" width="28.33203125" bestFit="1" customWidth="1"/>
    <col min="3" max="3" width="36.6640625" bestFit="1" customWidth="1"/>
    <col min="4" max="4" width="18.1640625" customWidth="1"/>
    <col min="5" max="5" width="15.33203125" bestFit="1" customWidth="1"/>
    <col min="6" max="7" width="28.5" customWidth="1"/>
    <col min="8" max="8" width="26" customWidth="1"/>
    <col min="9" max="9" width="53.5" bestFit="1" customWidth="1"/>
  </cols>
  <sheetData>
    <row r="1" spans="1:9" ht="29" x14ac:dyDescent="0.2">
      <c r="A1" s="42" t="s">
        <v>70</v>
      </c>
      <c r="B1" s="42"/>
      <c r="C1" s="42"/>
      <c r="D1" s="42"/>
      <c r="E1" s="42"/>
      <c r="F1" s="42"/>
      <c r="G1" s="42"/>
      <c r="H1" s="42"/>
      <c r="I1" s="42"/>
    </row>
    <row r="2" spans="1:9" x14ac:dyDescent="0.2">
      <c r="A2" s="43" t="s">
        <v>221</v>
      </c>
      <c r="B2" s="43"/>
      <c r="C2" s="43"/>
      <c r="D2" s="43"/>
      <c r="E2" s="43"/>
      <c r="F2" s="43"/>
      <c r="G2" s="43"/>
      <c r="H2" s="43"/>
      <c r="I2" s="43"/>
    </row>
    <row r="3" spans="1:9" ht="16" x14ac:dyDescent="0.2">
      <c r="A3" s="15" t="s">
        <v>0</v>
      </c>
      <c r="B3" s="14" t="s">
        <v>69</v>
      </c>
      <c r="C3" s="14" t="s">
        <v>68</v>
      </c>
      <c r="D3" s="14" t="s">
        <v>1</v>
      </c>
      <c r="E3" s="13" t="s">
        <v>67</v>
      </c>
      <c r="F3" s="13" t="s">
        <v>50</v>
      </c>
      <c r="G3" s="13" t="s">
        <v>66</v>
      </c>
      <c r="H3" s="13" t="s">
        <v>2</v>
      </c>
      <c r="I3" s="13" t="s">
        <v>65</v>
      </c>
    </row>
    <row r="4" spans="1:9" ht="16" x14ac:dyDescent="0.2">
      <c r="A4" s="24">
        <v>45841</v>
      </c>
      <c r="B4" s="22" t="s">
        <v>80</v>
      </c>
      <c r="C4" s="22" t="s">
        <v>81</v>
      </c>
      <c r="D4" s="2">
        <v>1</v>
      </c>
      <c r="E4" s="25">
        <v>5000</v>
      </c>
      <c r="F4" s="25">
        <f>Table24[[#This Row],[Trips]]*Table24[[#This Row],[Rate /Trips]]</f>
        <v>5000</v>
      </c>
      <c r="G4" s="25">
        <v>5000</v>
      </c>
      <c r="H4" s="25">
        <f>Table24[[#This Row],[Total Value]]-Table24[[#This Row],[Received]]</f>
        <v>0</v>
      </c>
      <c r="I4" s="9" t="str">
        <f>IF(H4&gt;10000,"🚨 URGENT: "&amp;B4&amp;" owes ₹"&amp;H4,IF(H4&gt;5000,"⚠️ WARNING: "&amp;B4&amp;" - ₹"&amp;H4&amp;" due",IF(H4&gt;0,"ℹ️ "&amp;B4&amp;" - ₹"&amp;H4&amp;" pending","✅ Paid")))</f>
        <v>✅ Paid</v>
      </c>
    </row>
    <row r="5" spans="1:9" ht="16" x14ac:dyDescent="0.2">
      <c r="A5" s="24">
        <v>45841</v>
      </c>
      <c r="B5" s="22" t="s">
        <v>84</v>
      </c>
      <c r="C5" s="22" t="s">
        <v>4</v>
      </c>
      <c r="D5" s="2">
        <v>3</v>
      </c>
      <c r="E5" s="25">
        <v>4000</v>
      </c>
      <c r="F5" s="25">
        <f>Table24[[#This Row],[Trips]]*Table24[[#This Row],[Rate /Trips]]</f>
        <v>12000</v>
      </c>
      <c r="G5" s="25">
        <v>12000</v>
      </c>
      <c r="H5" s="25">
        <f>Table24[[#This Row],[Total Value]]-Table24[[#This Row],[Received]]</f>
        <v>0</v>
      </c>
      <c r="I5" s="9" t="str">
        <f>IF(H5&gt;10000,"🚨 URGENT: "&amp;B5&amp;" owes ₹"&amp;H5,IF(H5&gt;5000,"⚠️ WARNING: "&amp;B5&amp;" - ₹"&amp;H5&amp;" due",IF(H5&gt;0,"ℹ️ "&amp;B5&amp;" - ₹"&amp;H5&amp;" pending","✅ Paid")))</f>
        <v>✅ Paid</v>
      </c>
    </row>
    <row r="6" spans="1:9" ht="16" x14ac:dyDescent="0.2">
      <c r="A6" s="24">
        <v>45841</v>
      </c>
      <c r="B6" s="22" t="s">
        <v>82</v>
      </c>
      <c r="C6" s="22" t="s">
        <v>83</v>
      </c>
      <c r="D6" s="2">
        <v>2</v>
      </c>
      <c r="E6" s="25">
        <v>4000</v>
      </c>
      <c r="F6" s="25">
        <f>Table24[[#This Row],[Trips]]*Table24[[#This Row],[Rate /Trips]]</f>
        <v>8000</v>
      </c>
      <c r="G6" s="25">
        <v>8000</v>
      </c>
      <c r="H6" s="25">
        <f>Table24[[#This Row],[Total Value]]-Table24[[#This Row],[Received]]</f>
        <v>0</v>
      </c>
      <c r="I6" s="9" t="str">
        <f>IF(H6&gt;10000,"🚨 URGENT: "&amp;B6&amp;" owes ₹"&amp;H6,IF(H6&gt;5000,"⚠️ WARNING: "&amp;B6&amp;" - ₹"&amp;H6&amp;" due",IF(H6&gt;0,"ℹ️ "&amp;B6&amp;" - ₹"&amp;H6&amp;" pending","✅ Paid")))</f>
        <v>✅ Paid</v>
      </c>
    </row>
    <row r="7" spans="1:9" ht="16" x14ac:dyDescent="0.2">
      <c r="A7" s="24">
        <v>45841</v>
      </c>
      <c r="B7" s="22" t="s">
        <v>79</v>
      </c>
      <c r="C7" s="22" t="s">
        <v>6</v>
      </c>
      <c r="D7" s="2">
        <v>1</v>
      </c>
      <c r="E7" s="25">
        <v>4000</v>
      </c>
      <c r="F7" s="25">
        <f>Table24[[#This Row],[Trips]]*Table24[[#This Row],[Rate /Trips]]</f>
        <v>4000</v>
      </c>
      <c r="G7" s="25">
        <v>4000</v>
      </c>
      <c r="H7" s="25">
        <f>Table24[[#This Row],[Total Value]]-Table24[[#This Row],[Received]]</f>
        <v>0</v>
      </c>
      <c r="I7" s="9" t="str">
        <f>IF(H7&gt;10000,"🚨 URGENT: "&amp;B7&amp;" owes ₹"&amp;H7,IF(H7&gt;5000,"⚠️ WARNING: "&amp;B7&amp;" - ₹"&amp;H7&amp;" due",IF(H7&gt;0,"ℹ️ "&amp;B7&amp;" - ₹"&amp;H7&amp;" pending","✅ Paid")))</f>
        <v>✅ Paid</v>
      </c>
    </row>
    <row r="8" spans="1:9" ht="16" x14ac:dyDescent="0.2">
      <c r="A8" s="24">
        <v>45842</v>
      </c>
      <c r="B8" s="22" t="s">
        <v>85</v>
      </c>
      <c r="C8" s="22" t="s">
        <v>91</v>
      </c>
      <c r="D8" s="2">
        <v>5</v>
      </c>
      <c r="E8" s="25">
        <v>1000</v>
      </c>
      <c r="F8" s="25">
        <f>Table24[[#This Row],[Trips]]*Table24[[#This Row],[Rate /Trips]]</f>
        <v>5000</v>
      </c>
      <c r="G8" s="25">
        <v>5000</v>
      </c>
      <c r="H8" s="25">
        <f>Table24[[#This Row],[Total Value]]-Table24[[#This Row],[Received]]</f>
        <v>0</v>
      </c>
      <c r="I8" s="9"/>
    </row>
    <row r="9" spans="1:9" ht="16" x14ac:dyDescent="0.2">
      <c r="A9" s="24">
        <v>45842</v>
      </c>
      <c r="B9" s="22" t="s">
        <v>76</v>
      </c>
      <c r="C9" s="22" t="s">
        <v>92</v>
      </c>
      <c r="D9" s="2">
        <v>1</v>
      </c>
      <c r="E9" s="25">
        <v>1300</v>
      </c>
      <c r="F9" s="25">
        <v>1300</v>
      </c>
      <c r="G9" s="25">
        <v>1300</v>
      </c>
      <c r="H9" s="25">
        <f>Table24[[#This Row],[Total Value]]-Table24[[#This Row],[Received]]</f>
        <v>0</v>
      </c>
      <c r="I9" s="9" t="str">
        <f>IF(H9&gt;10000,"🚨 URGENT: "&amp;B9&amp;" owes ₹"&amp;H9,IF(H9&gt;5000,"⚠️ WARNING: "&amp;B9&amp;" - ₹"&amp;H9&amp;" due",IF(H9&gt;0,"ℹ️ "&amp;B9&amp;" - ₹"&amp;H9&amp;" pending","✅ Paid")))</f>
        <v>✅ Paid</v>
      </c>
    </row>
    <row r="10" spans="1:9" ht="16" x14ac:dyDescent="0.2">
      <c r="A10" s="24">
        <v>45843</v>
      </c>
      <c r="B10" s="23" t="s">
        <v>87</v>
      </c>
      <c r="C10" s="23" t="s">
        <v>8</v>
      </c>
      <c r="D10" s="17">
        <v>2</v>
      </c>
      <c r="E10" s="25">
        <v>4750</v>
      </c>
      <c r="F10" s="25">
        <f>Table24[[#This Row],[Trips]]*Table24[[#This Row],[Rate /Trips]]</f>
        <v>9500</v>
      </c>
      <c r="G10" s="25">
        <v>9500</v>
      </c>
      <c r="H10" s="25">
        <f>Table24[[#This Row],[Total Value]]-Table24[[#This Row],[Received]]</f>
        <v>0</v>
      </c>
      <c r="I10" s="9" t="str">
        <f>IF(H10&gt;10000,"🚨 URGENT: "&amp;B10&amp;" owes ₹"&amp;H10,IF(H10&gt;5000,"⚠️ WARNING: "&amp;B10&amp;" - ₹"&amp;H10&amp;" due",IF(H10&gt;0,"ℹ️ "&amp;B10&amp;" - ₹"&amp;H10&amp;" pending","✅ Paid")))</f>
        <v>✅ Paid</v>
      </c>
    </row>
    <row r="11" spans="1:9" ht="16" x14ac:dyDescent="0.2">
      <c r="A11" s="24">
        <v>45843</v>
      </c>
      <c r="B11" s="23" t="s">
        <v>93</v>
      </c>
      <c r="C11" s="23" t="s">
        <v>4</v>
      </c>
      <c r="D11" s="17">
        <v>1</v>
      </c>
      <c r="E11" s="25">
        <v>4000</v>
      </c>
      <c r="F11" s="25">
        <f>Table24[[#This Row],[Trips]]*Table24[[#This Row],[Rate /Trips]]</f>
        <v>4000</v>
      </c>
      <c r="G11" s="25">
        <v>4000</v>
      </c>
      <c r="H11" s="25">
        <f>Table24[[#This Row],[Total Value]]-Table24[[#This Row],[Received]]</f>
        <v>0</v>
      </c>
      <c r="I11" s="9" t="str">
        <f>IF(H11&gt;10000,"🚨 URGENT: "&amp;B11&amp;" owes ₹"&amp;H11,IF(H11&gt;5000,"⚠️ WARNING: "&amp;B11&amp;" - ₹"&amp;H11&amp;" due",IF(H11&gt;0,"ℹ️ "&amp;B11&amp;" - ₹"&amp;H11&amp;" pending","✅ Paid")))</f>
        <v>✅ Paid</v>
      </c>
    </row>
    <row r="12" spans="1:9" ht="16" x14ac:dyDescent="0.2">
      <c r="A12" s="24">
        <v>45843</v>
      </c>
      <c r="B12" s="23" t="s">
        <v>86</v>
      </c>
      <c r="C12" s="23" t="s">
        <v>4</v>
      </c>
      <c r="D12" s="17">
        <v>1</v>
      </c>
      <c r="E12" s="25">
        <v>4000</v>
      </c>
      <c r="F12" s="25">
        <f>Table24[[#This Row],[Trips]]*Table24[[#This Row],[Rate /Trips]]</f>
        <v>4000</v>
      </c>
      <c r="G12" s="25">
        <v>4000</v>
      </c>
      <c r="H12" s="25">
        <f>Table24[[#This Row],[Total Value]]-Table24[[#This Row],[Received]]</f>
        <v>0</v>
      </c>
      <c r="I12" s="9" t="str">
        <f>IF(H12&gt;10000,"🚨 URGENT: "&amp;B12&amp;" owes ₹"&amp;H12,IF(H12&gt;5000,"⚠️ WARNING: "&amp;B12&amp;" - ₹"&amp;H12&amp;" due",IF(H12&gt;0,"ℹ️ "&amp;B12&amp;" - ₹"&amp;H12&amp;" pending","✅ Paid")))</f>
        <v>✅ Paid</v>
      </c>
    </row>
    <row r="13" spans="1:9" ht="16" x14ac:dyDescent="0.2">
      <c r="A13" s="24">
        <v>45843</v>
      </c>
      <c r="B13" s="23" t="s">
        <v>94</v>
      </c>
      <c r="C13" s="23" t="s">
        <v>4</v>
      </c>
      <c r="D13" s="17">
        <v>1</v>
      </c>
      <c r="E13" s="25">
        <v>4000</v>
      </c>
      <c r="F13" s="25">
        <f>Table24[[#This Row],[Trips]]*Table24[[#This Row],[Rate /Trips]]</f>
        <v>4000</v>
      </c>
      <c r="G13" s="25">
        <v>4000</v>
      </c>
      <c r="H13" s="25">
        <f>Table24[[#This Row],[Total Value]]-Table24[[#This Row],[Received]]</f>
        <v>0</v>
      </c>
      <c r="I13" s="9" t="str">
        <f>IF(H13&gt;10000,"🚨 URGENT: "&amp;B13&amp;" owes ₹"&amp;H13,IF(H13&gt;5000,"⚠️ WARNING: "&amp;B13&amp;" - ₹"&amp;H13&amp;" due",IF(H13&gt;0,"ℹ️ "&amp;B13&amp;" - ₹"&amp;H13&amp;" pending","✅ Paid")))</f>
        <v>✅ Paid</v>
      </c>
    </row>
    <row r="14" spans="1:9" ht="16" x14ac:dyDescent="0.2">
      <c r="A14" s="24">
        <v>45848</v>
      </c>
      <c r="B14" s="23" t="s">
        <v>88</v>
      </c>
      <c r="C14" s="23" t="s">
        <v>83</v>
      </c>
      <c r="D14" s="17">
        <v>2</v>
      </c>
      <c r="E14" s="25">
        <v>4750</v>
      </c>
      <c r="F14" s="25">
        <f>Table24[[#This Row],[Trips]]*Table24[[#This Row],[Rate /Trips]]</f>
        <v>9500</v>
      </c>
      <c r="G14" s="25">
        <v>9500</v>
      </c>
      <c r="H14" s="25">
        <f>Table24[[#This Row],[Total Value]]-Table24[[#This Row],[Received]]</f>
        <v>0</v>
      </c>
      <c r="I14" s="9" t="str">
        <f>IF(H14&gt;10000,"🚨 URGENT: "&amp;B14&amp;" owes ₹"&amp;H14,IF(H14&gt;5000,"⚠️ WARNING: "&amp;B14&amp;" - ₹"&amp;H14&amp;" due",IF(H14&gt;0,"ℹ️ "&amp;B14&amp;" - ₹"&amp;H14&amp;" pending","✅ Paid")))</f>
        <v>✅ Paid</v>
      </c>
    </row>
    <row r="15" spans="1:9" ht="16" x14ac:dyDescent="0.2">
      <c r="A15" s="24">
        <v>45848</v>
      </c>
      <c r="B15" s="23" t="s">
        <v>110</v>
      </c>
      <c r="C15" s="23" t="s">
        <v>90</v>
      </c>
      <c r="D15" s="17">
        <v>2</v>
      </c>
      <c r="E15" s="25">
        <v>5000</v>
      </c>
      <c r="F15" s="25">
        <f>Table24[[#This Row],[Trips]]*Table24[[#This Row],[Rate /Trips]]</f>
        <v>10000</v>
      </c>
      <c r="G15" s="25">
        <v>10000</v>
      </c>
      <c r="H15" s="25">
        <f>Table24[[#This Row],[Total Value]]-Table24[[#This Row],[Received]]</f>
        <v>0</v>
      </c>
      <c r="I15" s="9" t="str">
        <f>IF(H15&gt;10000,"🚨 URGENT: "&amp;B15&amp;" owes ₹"&amp;H15,IF(H15&gt;5000,"⚠️ WARNING: "&amp;B15&amp;" - ₹"&amp;H15&amp;" due",IF(H15&gt;0,"ℹ️ "&amp;B15&amp;" - ₹"&amp;H15&amp;" pending","✅ Paid")))</f>
        <v>✅ Paid</v>
      </c>
    </row>
    <row r="16" spans="1:9" ht="16" x14ac:dyDescent="0.2">
      <c r="A16" s="24">
        <v>45851</v>
      </c>
      <c r="B16" s="23" t="s">
        <v>93</v>
      </c>
      <c r="C16" s="23" t="s">
        <v>4</v>
      </c>
      <c r="D16" s="17">
        <v>1</v>
      </c>
      <c r="E16" s="25">
        <v>4000</v>
      </c>
      <c r="F16" s="25">
        <f>Table24[[#This Row],[Trips]]*Table24[[#This Row],[Rate /Trips]]</f>
        <v>4000</v>
      </c>
      <c r="G16" s="25">
        <v>4000</v>
      </c>
      <c r="H16" s="25">
        <f>Table24[[#This Row],[Total Value]]-Table24[[#This Row],[Received]]</f>
        <v>0</v>
      </c>
      <c r="I16" s="9" t="str">
        <f>IF(H16&gt;10000,"🚨 URGENT: "&amp;B16&amp;" owes ₹"&amp;H16,IF(H16&gt;5000,"⚠️ WARNING: "&amp;B16&amp;" - ₹"&amp;H16&amp;" due",IF(H16&gt;0,"ℹ️ "&amp;B16&amp;" - ₹"&amp;H16&amp;" pending","✅ Paid")))</f>
        <v>✅ Paid</v>
      </c>
    </row>
    <row r="17" spans="1:9" ht="16" x14ac:dyDescent="0.2">
      <c r="A17" s="24">
        <v>45851</v>
      </c>
      <c r="B17" s="23" t="s">
        <v>85</v>
      </c>
      <c r="C17" s="23" t="s">
        <v>91</v>
      </c>
      <c r="D17" s="17">
        <v>5</v>
      </c>
      <c r="E17" s="25">
        <v>1000</v>
      </c>
      <c r="F17" s="25">
        <f>Table24[[#This Row],[Trips]]*Table24[[#This Row],[Rate /Trips]]</f>
        <v>5000</v>
      </c>
      <c r="G17" s="25">
        <v>5000</v>
      </c>
      <c r="H17" s="25">
        <f>Table24[[#This Row],[Total Value]]-Table24[[#This Row],[Received]]</f>
        <v>0</v>
      </c>
      <c r="I17" s="9"/>
    </row>
    <row r="18" spans="1:9" ht="16" x14ac:dyDescent="0.2">
      <c r="A18" s="24">
        <v>45851</v>
      </c>
      <c r="B18" s="23" t="s">
        <v>95</v>
      </c>
      <c r="C18" s="23" t="s">
        <v>96</v>
      </c>
      <c r="D18" s="17">
        <v>1</v>
      </c>
      <c r="E18" s="25">
        <v>4000</v>
      </c>
      <c r="F18" s="25">
        <f>Table24[[#This Row],[Trips]]*Table24[[#This Row],[Rate /Trips]]</f>
        <v>4000</v>
      </c>
      <c r="G18" s="25">
        <v>4000</v>
      </c>
      <c r="H18" s="25">
        <f>Table24[[#This Row],[Total Value]]-Table24[[#This Row],[Received]]</f>
        <v>0</v>
      </c>
      <c r="I18" s="9" t="str">
        <f>IF(H18&gt;10000,"🚨 URGENT: "&amp;B18&amp;" owes ₹"&amp;H18,IF(H18&gt;5000,"⚠️ WARNING: "&amp;B18&amp;" - ₹"&amp;H18&amp;" due",IF(H18&gt;0,"ℹ️ "&amp;B18&amp;" - ₹"&amp;H18&amp;" pending","✅ Paid")))</f>
        <v>✅ Paid</v>
      </c>
    </row>
    <row r="19" spans="1:9" ht="16" x14ac:dyDescent="0.2">
      <c r="A19" s="24">
        <v>45851</v>
      </c>
      <c r="B19" s="23" t="s">
        <v>89</v>
      </c>
      <c r="C19" s="23" t="s">
        <v>90</v>
      </c>
      <c r="D19" s="17">
        <v>1</v>
      </c>
      <c r="E19" s="25">
        <v>5000</v>
      </c>
      <c r="F19" s="25">
        <f>Table24[[#This Row],[Trips]]*Table24[[#This Row],[Rate /Trips]]</f>
        <v>5000</v>
      </c>
      <c r="G19" s="25">
        <v>5000</v>
      </c>
      <c r="H19" s="25">
        <f>Table24[[#This Row],[Total Value]]-Table24[[#This Row],[Received]]</f>
        <v>0</v>
      </c>
      <c r="I19" s="9" t="str">
        <f>IF(H19&gt;10000,"🚨 URGENT: "&amp;B19&amp;" owes ₹"&amp;H19,IF(H19&gt;5000,"⚠️ WARNING: "&amp;B19&amp;" - ₹"&amp;H19&amp;" due",IF(H19&gt;0,"ℹ️ "&amp;B19&amp;" - ₹"&amp;H19&amp;" pending","✅ Paid")))</f>
        <v>✅ Paid</v>
      </c>
    </row>
    <row r="20" spans="1:9" ht="16" x14ac:dyDescent="0.2">
      <c r="A20" s="24">
        <v>45852</v>
      </c>
      <c r="B20" s="23" t="s">
        <v>274</v>
      </c>
      <c r="C20" s="23" t="s">
        <v>4</v>
      </c>
      <c r="D20" s="17">
        <v>1</v>
      </c>
      <c r="E20" s="25">
        <v>4000</v>
      </c>
      <c r="F20" s="25">
        <f>Table24[[#This Row],[Trips]]*Table24[[#This Row],[Rate /Trips]]</f>
        <v>4000</v>
      </c>
      <c r="G20" s="25">
        <v>0</v>
      </c>
      <c r="H20" s="25">
        <f>Table24[[#This Row],[Total Value]]-Table24[[#This Row],[Received]]</f>
        <v>4000</v>
      </c>
      <c r="I20" s="9" t="str">
        <f>IF(H20&gt;10000,"🚨 URGENT: "&amp;B20&amp;" owes ₹"&amp;H20,IF(H20&gt;5000,"⚠️ WARNING: "&amp;B20&amp;" - ₹"&amp;H20&amp;" due",IF(H20&gt;0,"ℹ️ "&amp;B20&amp;" - ₹"&amp;H20&amp;" pending","✅ Paid")))</f>
        <v>ℹ️ Anil Khokle ( Raj Dad ) - ₹4000 pending</v>
      </c>
    </row>
    <row r="21" spans="1:9" ht="16" x14ac:dyDescent="0.2">
      <c r="A21" s="24">
        <v>45852</v>
      </c>
      <c r="B21" s="23" t="s">
        <v>102</v>
      </c>
      <c r="C21" s="23" t="s">
        <v>103</v>
      </c>
      <c r="D21" s="17">
        <v>1</v>
      </c>
      <c r="E21" s="25">
        <v>4000</v>
      </c>
      <c r="F21" s="25">
        <f>Table24[[#This Row],[Trips]]*Table24[[#This Row],[Rate /Trips]]</f>
        <v>4000</v>
      </c>
      <c r="G21" s="25">
        <v>4000</v>
      </c>
      <c r="H21" s="25">
        <f>Table24[[#This Row],[Total Value]]-Table24[[#This Row],[Received]]</f>
        <v>0</v>
      </c>
      <c r="I21" s="9" t="str">
        <f>IF(H21&gt;10000,"🚨 URGENT: "&amp;B21&amp;" owes ₹"&amp;H21,IF(H21&gt;5000,"⚠️ WARNING: "&amp;B21&amp;" - ₹"&amp;H21&amp;" due",IF(H21&gt;0,"ℹ️ "&amp;B21&amp;" - ₹"&amp;H21&amp;" pending","✅ Paid")))</f>
        <v>✅ Paid</v>
      </c>
    </row>
    <row r="22" spans="1:9" ht="16" x14ac:dyDescent="0.2">
      <c r="A22" s="24">
        <v>45852</v>
      </c>
      <c r="B22" s="23" t="s">
        <v>98</v>
      </c>
      <c r="C22" s="23" t="s">
        <v>8</v>
      </c>
      <c r="D22" s="17">
        <v>4</v>
      </c>
      <c r="E22" s="25">
        <v>4000</v>
      </c>
      <c r="F22" s="25">
        <f>Table24[[#This Row],[Trips]]*Table24[[#This Row],[Rate /Trips]]</f>
        <v>16000</v>
      </c>
      <c r="G22" s="25">
        <v>16000</v>
      </c>
      <c r="H22" s="25">
        <f>Table24[[#This Row],[Total Value]]-Table24[[#This Row],[Received]]</f>
        <v>0</v>
      </c>
      <c r="I22" s="9" t="str">
        <f>IF(H22&gt;10000,"🚨 URGENT: "&amp;B22&amp;" owes ₹"&amp;H22,IF(H22&gt;5000,"⚠️ WARNING: "&amp;B22&amp;" - ₹"&amp;H22&amp;" due",IF(H22&gt;0,"ℹ️ "&amp;B22&amp;" - ₹"&amp;H22&amp;" pending","✅ Paid")))</f>
        <v>✅ Paid</v>
      </c>
    </row>
    <row r="23" spans="1:9" ht="16" x14ac:dyDescent="0.2">
      <c r="A23" s="24">
        <v>45852</v>
      </c>
      <c r="B23" s="23" t="s">
        <v>99</v>
      </c>
      <c r="C23" s="23" t="s">
        <v>97</v>
      </c>
      <c r="D23" s="17">
        <v>1</v>
      </c>
      <c r="E23" s="25">
        <v>4000</v>
      </c>
      <c r="F23" s="25">
        <f>Table24[[#This Row],[Trips]]*Table24[[#This Row],[Rate /Trips]]</f>
        <v>4000</v>
      </c>
      <c r="G23" s="25">
        <v>4000</v>
      </c>
      <c r="H23" s="25">
        <f>Table24[[#This Row],[Total Value]]-Table24[[#This Row],[Received]]</f>
        <v>0</v>
      </c>
      <c r="I23" s="9" t="str">
        <f>IF(H23&gt;10000,"🚨 URGENT: "&amp;B23&amp;" owes ₹"&amp;H23,IF(H23&gt;5000,"⚠️ WARNING: "&amp;B23&amp;" - ₹"&amp;H23&amp;" due",IF(H23&gt;0,"ℹ️ "&amp;B23&amp;" - ₹"&amp;H23&amp;" pending","✅ Paid")))</f>
        <v>✅ Paid</v>
      </c>
    </row>
    <row r="24" spans="1:9" ht="16" x14ac:dyDescent="0.2">
      <c r="A24" s="24">
        <v>45852</v>
      </c>
      <c r="B24" s="23" t="s">
        <v>111</v>
      </c>
      <c r="C24" s="23" t="s">
        <v>101</v>
      </c>
      <c r="D24" s="17">
        <v>5</v>
      </c>
      <c r="E24" s="25">
        <v>6000</v>
      </c>
      <c r="F24" s="25">
        <f>Table24[[#This Row],[Trips]]*Table24[[#This Row],[Rate /Trips]]</f>
        <v>30000</v>
      </c>
      <c r="G24" s="25">
        <v>30000</v>
      </c>
      <c r="H24" s="25">
        <f>Table24[[#This Row],[Total Value]]-Table24[[#This Row],[Received]]</f>
        <v>0</v>
      </c>
      <c r="I24" s="9" t="str">
        <f>IF(H24&gt;10000,"🚨 URGENT: "&amp;B24&amp;" owes ₹"&amp;H24,IF(H24&gt;5000,"⚠️ WARNING: "&amp;B24&amp;" - ₹"&amp;H24&amp;" due",IF(H24&gt;0,"ℹ️ "&amp;B24&amp;" - ₹"&amp;H24&amp;" pending","✅ Paid")))</f>
        <v>✅ Paid</v>
      </c>
    </row>
    <row r="25" spans="1:9" ht="16" x14ac:dyDescent="0.2">
      <c r="A25" s="24">
        <v>45852</v>
      </c>
      <c r="B25" s="23" t="s">
        <v>100</v>
      </c>
      <c r="C25" s="23" t="s">
        <v>3</v>
      </c>
      <c r="D25" s="17">
        <v>1</v>
      </c>
      <c r="E25" s="25">
        <v>4000</v>
      </c>
      <c r="F25" s="25">
        <f>Table24[[#This Row],[Trips]]*Table24[[#This Row],[Rate /Trips]]</f>
        <v>4000</v>
      </c>
      <c r="G25" s="25">
        <v>4000</v>
      </c>
      <c r="H25" s="25">
        <f>Table24[[#This Row],[Total Value]]-Table24[[#This Row],[Received]]</f>
        <v>0</v>
      </c>
      <c r="I25" s="9" t="str">
        <f>IF(H25&gt;10000,"🚨 URGENT: "&amp;B25&amp;" owes ₹"&amp;H25,IF(H25&gt;5000,"⚠️ WARNING: "&amp;B25&amp;" - ₹"&amp;H25&amp;" due",IF(H25&gt;0,"ℹ️ "&amp;B25&amp;" - ₹"&amp;H25&amp;" pending","✅ Paid")))</f>
        <v>✅ Paid</v>
      </c>
    </row>
    <row r="26" spans="1:9" ht="16" x14ac:dyDescent="0.2">
      <c r="A26" s="24">
        <v>45853</v>
      </c>
      <c r="B26" s="23" t="s">
        <v>107</v>
      </c>
      <c r="C26" s="23" t="s">
        <v>106</v>
      </c>
      <c r="D26" s="17">
        <v>1</v>
      </c>
      <c r="E26" s="25">
        <v>5500</v>
      </c>
      <c r="F26" s="25">
        <f>Table24[[#This Row],[Trips]]*Table24[[#This Row],[Rate /Trips]]</f>
        <v>5500</v>
      </c>
      <c r="G26" s="25">
        <v>5500</v>
      </c>
      <c r="H26" s="25">
        <f>Table24[[#This Row],[Total Value]]-Table24[[#This Row],[Received]]</f>
        <v>0</v>
      </c>
      <c r="I26" s="9" t="str">
        <f>IF(H26&gt;10000,"🚨 URGENT: "&amp;B26&amp;" owes ₹"&amp;H26,IF(H26&gt;5000,"⚠️ WARNING: "&amp;B26&amp;" - ₹"&amp;H26&amp;" due",IF(H26&gt;0,"ℹ️ "&amp;B26&amp;" - ₹"&amp;H26&amp;" pending","✅ Paid")))</f>
        <v>✅ Paid</v>
      </c>
    </row>
    <row r="27" spans="1:9" ht="16" x14ac:dyDescent="0.2">
      <c r="A27" s="24">
        <v>45853</v>
      </c>
      <c r="B27" s="23" t="s">
        <v>104</v>
      </c>
      <c r="C27" s="23" t="s">
        <v>105</v>
      </c>
      <c r="D27" s="17">
        <v>1</v>
      </c>
      <c r="E27" s="25">
        <v>0</v>
      </c>
      <c r="F27" s="25">
        <f>Table24[[#This Row],[Trips]]*Table24[[#This Row],[Rate /Trips]]</f>
        <v>0</v>
      </c>
      <c r="G27" s="25"/>
      <c r="H27" s="25">
        <f>Table24[[#This Row],[Total Value]]-Table24[[#This Row],[Received]]</f>
        <v>0</v>
      </c>
      <c r="I27" s="9" t="str">
        <f>IF(H27&gt;10000,"🚨 URGENT: "&amp;B27&amp;" owes ₹"&amp;H27,IF(H27&gt;5000,"⚠️ WARNING: "&amp;B27&amp;" - ₹"&amp;H27&amp;" due",IF(H27&gt;0,"ℹ️ "&amp;B27&amp;" - ₹"&amp;H27&amp;" pending","✅ Paid")))</f>
        <v>✅ Paid</v>
      </c>
    </row>
    <row r="28" spans="1:9" ht="16" x14ac:dyDescent="0.2">
      <c r="A28" s="24">
        <v>45853</v>
      </c>
      <c r="B28" s="23" t="s">
        <v>85</v>
      </c>
      <c r="C28" s="23" t="s">
        <v>108</v>
      </c>
      <c r="D28" s="17"/>
      <c r="E28" s="25"/>
      <c r="F28" s="25"/>
      <c r="G28" s="25"/>
      <c r="H28" s="25"/>
      <c r="I28" s="9" t="str">
        <f>IF(H28&gt;10000,"🚨 URGENT: "&amp;B28&amp;" owes ₹"&amp;H28,IF(H28&gt;5000,"⚠️ WARNING: "&amp;B28&amp;" - ₹"&amp;H28&amp;" due",IF(H28&gt;0,"ℹ️ "&amp;B28&amp;" - ₹"&amp;H28&amp;" pending","✅ Paid")))</f>
        <v>✅ Paid</v>
      </c>
    </row>
    <row r="29" spans="1:9" ht="16" x14ac:dyDescent="0.2">
      <c r="A29" s="24">
        <v>45855</v>
      </c>
      <c r="B29" s="23" t="s">
        <v>112</v>
      </c>
      <c r="C29" s="23" t="s">
        <v>3</v>
      </c>
      <c r="D29" s="17">
        <v>1</v>
      </c>
      <c r="E29" s="25">
        <v>4000</v>
      </c>
      <c r="F29" s="25">
        <f>Table24[[#This Row],[Trips]]*Table24[[#This Row],[Rate /Trips]]</f>
        <v>4000</v>
      </c>
      <c r="G29" s="25">
        <v>4000</v>
      </c>
      <c r="H29" s="25">
        <f>Table24[[#This Row],[Total Value]]-Table24[[#This Row],[Received]]</f>
        <v>0</v>
      </c>
      <c r="I29" s="9" t="str">
        <f>IF(H29&gt;10000,"🚨 URGENT: "&amp;B29&amp;" owes ₹"&amp;H29,IF(H29&gt;5000,"⚠️ WARNING: "&amp;B29&amp;" - ₹"&amp;H29&amp;" due",IF(H29&gt;0,"ℹ️ "&amp;B29&amp;" - ₹"&amp;H29&amp;" pending","✅ Paid")))</f>
        <v>✅ Paid</v>
      </c>
    </row>
    <row r="30" spans="1:9" ht="16" x14ac:dyDescent="0.2">
      <c r="A30" s="24">
        <v>45857</v>
      </c>
      <c r="B30" s="23" t="s">
        <v>117</v>
      </c>
      <c r="C30" s="23" t="s">
        <v>113</v>
      </c>
      <c r="D30" s="17">
        <v>1</v>
      </c>
      <c r="E30" s="25">
        <v>5000</v>
      </c>
      <c r="F30" s="25">
        <f>Table24[[#This Row],[Trips]]*Table24[[#This Row],[Rate /Trips]]</f>
        <v>5000</v>
      </c>
      <c r="G30" s="25">
        <v>5000</v>
      </c>
      <c r="H30" s="25">
        <f>Table24[[#This Row],[Total Value]]-Table24[[#This Row],[Received]]</f>
        <v>0</v>
      </c>
      <c r="I30" s="9" t="str">
        <f>IF(H30&gt;10000,"🚨 URGENT: "&amp;B30&amp;" owes ₹"&amp;H30,IF(H30&gt;5000,"⚠️ WARNING: "&amp;B30&amp;" - ₹"&amp;H30&amp;" due",IF(H30&gt;0,"ℹ️ "&amp;B30&amp;" - ₹"&amp;H30&amp;" pending","✅ Paid")))</f>
        <v>✅ Paid</v>
      </c>
    </row>
    <row r="31" spans="1:9" ht="16" x14ac:dyDescent="0.2">
      <c r="A31" s="24">
        <v>45857</v>
      </c>
      <c r="B31" s="23" t="s">
        <v>85</v>
      </c>
      <c r="C31" s="23" t="s">
        <v>6</v>
      </c>
      <c r="D31" s="17">
        <v>2</v>
      </c>
      <c r="E31" s="25">
        <v>4500</v>
      </c>
      <c r="F31" s="25">
        <f>Table24[[#This Row],[Trips]]*Table24[[#This Row],[Rate /Trips]]</f>
        <v>9000</v>
      </c>
      <c r="G31" s="25">
        <v>9000</v>
      </c>
      <c r="H31" s="25">
        <f>Table24[[#This Row],[Total Value]]-Table24[[#This Row],[Received]]</f>
        <v>0</v>
      </c>
      <c r="I31" s="9" t="str">
        <f>IF(H31&gt;10000,"🚨 URGENT: "&amp;B31&amp;" owes ₹"&amp;H31,IF(H31&gt;5000,"⚠️ WARNING: "&amp;B31&amp;" - ₹"&amp;H31&amp;" due",IF(H31&gt;0,"ℹ️ "&amp;B31&amp;" - ₹"&amp;H31&amp;" pending","✅ Paid")))</f>
        <v>✅ Paid</v>
      </c>
    </row>
    <row r="32" spans="1:9" ht="16" x14ac:dyDescent="0.2">
      <c r="A32" s="24">
        <v>45857</v>
      </c>
      <c r="B32" s="23" t="s">
        <v>114</v>
      </c>
      <c r="C32" s="23" t="s">
        <v>115</v>
      </c>
      <c r="D32" s="17"/>
      <c r="E32" s="25"/>
      <c r="F32" s="25">
        <f>Table24[[#This Row],[Trips]]*Table24[[#This Row],[Rate /Trips]]</f>
        <v>0</v>
      </c>
      <c r="G32" s="25"/>
      <c r="H32" s="25">
        <f>Table24[[#This Row],[Total Value]]-Table24[[#This Row],[Received]]</f>
        <v>0</v>
      </c>
      <c r="I32" s="9" t="str">
        <f>IF(H32&gt;10000,"🚨 URGENT: "&amp;B32&amp;" owes ₹"&amp;H32,IF(H32&gt;5000,"⚠️ WARNING: "&amp;B32&amp;" - ₹"&amp;H32&amp;" due",IF(H32&gt;0,"ℹ️ "&amp;B32&amp;" - ₹"&amp;H32&amp;" pending","✅ Paid")))</f>
        <v>✅ Paid</v>
      </c>
    </row>
    <row r="33" spans="1:9" ht="16" x14ac:dyDescent="0.2">
      <c r="A33" s="24">
        <v>45857</v>
      </c>
      <c r="B33" s="23" t="s">
        <v>110</v>
      </c>
      <c r="C33" s="23" t="s">
        <v>90</v>
      </c>
      <c r="D33" s="17">
        <v>1</v>
      </c>
      <c r="E33" s="25">
        <v>5000</v>
      </c>
      <c r="F33" s="25">
        <f>Table24[[#This Row],[Trips]]*Table24[[#This Row],[Rate /Trips]]</f>
        <v>5000</v>
      </c>
      <c r="G33" s="25">
        <v>5000</v>
      </c>
      <c r="H33" s="25">
        <f>Table24[[#This Row],[Total Value]]-Table24[[#This Row],[Received]]</f>
        <v>0</v>
      </c>
      <c r="I33" s="9" t="str">
        <f>IF(H33&gt;10000,"🚨 URGENT: "&amp;B33&amp;" owes ₹"&amp;H33,IF(H33&gt;5000,"⚠️ WARNING: "&amp;B33&amp;" - ₹"&amp;H33&amp;" due",IF(H33&gt;0,"ℹ️ "&amp;B33&amp;" - ₹"&amp;H33&amp;" pending","✅ Paid")))</f>
        <v>✅ Paid</v>
      </c>
    </row>
    <row r="34" spans="1:9" ht="16" x14ac:dyDescent="0.2">
      <c r="A34" s="24">
        <v>45868</v>
      </c>
      <c r="B34" s="23" t="s">
        <v>116</v>
      </c>
      <c r="C34" s="23" t="s">
        <v>4</v>
      </c>
      <c r="D34" s="17">
        <v>1</v>
      </c>
      <c r="E34" s="25">
        <v>4000</v>
      </c>
      <c r="F34" s="25">
        <f>Table24[[#This Row],[Trips]]*Table24[[#This Row],[Rate /Trips]]</f>
        <v>4000</v>
      </c>
      <c r="G34" s="25">
        <v>4000</v>
      </c>
      <c r="H34" s="25">
        <f>Table24[[#This Row],[Total Value]]-Table24[[#This Row],[Received]]</f>
        <v>0</v>
      </c>
      <c r="I34" s="9" t="str">
        <f>IF(H34&gt;10000,"🚨 URGENT: "&amp;B34&amp;" owes ₹"&amp;H34,IF(H34&gt;5000,"⚠️ WARNING: "&amp;B34&amp;" - ₹"&amp;H34&amp;" due",IF(H34&gt;0,"ℹ️ "&amp;B34&amp;" - ₹"&amp;H34&amp;" pending","✅ Paid")))</f>
        <v>✅ Paid</v>
      </c>
    </row>
    <row r="35" spans="1:9" ht="16" x14ac:dyDescent="0.2">
      <c r="A35" s="24">
        <v>45869</v>
      </c>
      <c r="B35" s="23" t="s">
        <v>121</v>
      </c>
      <c r="C35" s="23" t="s">
        <v>123</v>
      </c>
      <c r="D35" s="17">
        <v>3</v>
      </c>
      <c r="E35" s="25">
        <v>5500</v>
      </c>
      <c r="F35" s="25">
        <f>Table24[[#This Row],[Trips]]*Table24[[#This Row],[Rate /Trips]]</f>
        <v>16500</v>
      </c>
      <c r="G35" s="25">
        <v>16500</v>
      </c>
      <c r="H35" s="25">
        <f>Table24[[#This Row],[Total Value]]-Table24[[#This Row],[Received]]</f>
        <v>0</v>
      </c>
      <c r="I35" s="9" t="str">
        <f>IF(H35&gt;10000,"🚨 URGENT: "&amp;B35&amp;" owes ₹"&amp;H35,IF(H35&gt;5000,"⚠️ WARNING: "&amp;B35&amp;" - ₹"&amp;H35&amp;" due",IF(H35&gt;0,"ℹ️ "&amp;B35&amp;" - ₹"&amp;H35&amp;" pending","✅ Paid")))</f>
        <v>✅ Paid</v>
      </c>
    </row>
    <row r="36" spans="1:9" ht="16" x14ac:dyDescent="0.2">
      <c r="A36" s="24">
        <v>45869</v>
      </c>
      <c r="B36" s="23" t="s">
        <v>118</v>
      </c>
      <c r="C36" s="23" t="s">
        <v>6</v>
      </c>
      <c r="D36" s="17">
        <v>4</v>
      </c>
      <c r="E36" s="25">
        <v>5000</v>
      </c>
      <c r="F36" s="25">
        <f>Table24[[#This Row],[Trips]]*Table24[[#This Row],[Rate /Trips]]</f>
        <v>20000</v>
      </c>
      <c r="G36" s="25">
        <v>20000</v>
      </c>
      <c r="H36" s="25">
        <f>Table24[[#This Row],[Total Value]]-Table24[[#This Row],[Received]]</f>
        <v>0</v>
      </c>
      <c r="I36" s="9" t="str">
        <f>IF(H36&gt;10000,"🚨 URGENT: "&amp;B36&amp;" owes ₹"&amp;H36,IF(H36&gt;5000,"⚠️ WARNING: "&amp;B36&amp;" - ₹"&amp;H36&amp;" due",IF(H36&gt;0,"ℹ️ "&amp;B36&amp;" - ₹"&amp;H36&amp;" pending","✅ Paid")))</f>
        <v>✅ Paid</v>
      </c>
    </row>
    <row r="37" spans="1:9" ht="16" x14ac:dyDescent="0.2">
      <c r="A37" s="24">
        <v>45869</v>
      </c>
      <c r="B37" s="23" t="s">
        <v>122</v>
      </c>
      <c r="C37" s="23" t="s">
        <v>120</v>
      </c>
      <c r="D37" s="17">
        <v>1</v>
      </c>
      <c r="E37" s="25">
        <v>4750</v>
      </c>
      <c r="F37" s="25">
        <f>Table24[[#This Row],[Trips]]*Table24[[#This Row],[Rate /Trips]]</f>
        <v>4750</v>
      </c>
      <c r="G37" s="25">
        <v>4750</v>
      </c>
      <c r="H37" s="25">
        <f>Table24[[#This Row],[Total Value]]-Table24[[#This Row],[Received]]</f>
        <v>0</v>
      </c>
      <c r="I37" s="9" t="str">
        <f>IF(H37&gt;10000,"🚨 URGENT: "&amp;B37&amp;" owes ₹"&amp;H37,IF(H37&gt;5000,"⚠️ WARNING: "&amp;B37&amp;" - ₹"&amp;H37&amp;" due",IF(H37&gt;0,"ℹ️ "&amp;B37&amp;" - ₹"&amp;H37&amp;" pending","✅ Paid")))</f>
        <v>✅ Paid</v>
      </c>
    </row>
    <row r="38" spans="1:9" ht="16" x14ac:dyDescent="0.2">
      <c r="A38" s="3"/>
      <c r="B38" s="2"/>
      <c r="C38" s="2"/>
      <c r="D38" s="2"/>
      <c r="E38" s="16"/>
      <c r="F38" s="16"/>
      <c r="G38" s="16"/>
      <c r="H38" s="16"/>
      <c r="I38" s="9"/>
    </row>
    <row r="39" spans="1:9" ht="16" x14ac:dyDescent="0.2">
      <c r="A39" s="24"/>
      <c r="B39" s="22"/>
      <c r="C39" s="22"/>
      <c r="D39" s="2"/>
      <c r="E39" s="25"/>
      <c r="F39" s="25"/>
      <c r="G39" s="25"/>
      <c r="H39" s="25"/>
      <c r="I39" s="9"/>
    </row>
    <row r="40" spans="1:9" ht="16" x14ac:dyDescent="0.2">
      <c r="A40" s="24"/>
      <c r="B40" s="22"/>
      <c r="C40" s="22"/>
      <c r="D40" s="2"/>
      <c r="E40" s="25"/>
      <c r="F40" s="25"/>
      <c r="G40" s="25"/>
      <c r="H40" s="25"/>
      <c r="I40" s="9"/>
    </row>
    <row r="41" spans="1:9" ht="16" x14ac:dyDescent="0.2">
      <c r="A41" s="24"/>
      <c r="B41" s="23"/>
      <c r="C41" s="23"/>
      <c r="D41" s="17"/>
      <c r="E41" s="25"/>
      <c r="F41" s="25"/>
      <c r="G41" s="25"/>
      <c r="H41" s="25"/>
      <c r="I41" s="9"/>
    </row>
    <row r="42" spans="1:9" ht="16" x14ac:dyDescent="0.2">
      <c r="A42" s="24"/>
      <c r="B42" s="23"/>
      <c r="C42" s="23"/>
      <c r="D42" s="17"/>
      <c r="E42" s="25"/>
      <c r="F42" s="25"/>
      <c r="G42" s="25"/>
      <c r="H42" s="25"/>
      <c r="I42" s="9"/>
    </row>
    <row r="43" spans="1:9" ht="16" x14ac:dyDescent="0.2">
      <c r="A43" s="24"/>
      <c r="B43" s="23"/>
      <c r="C43" s="23"/>
      <c r="D43" s="17"/>
      <c r="E43" s="25"/>
      <c r="F43" s="25"/>
      <c r="G43" s="25"/>
      <c r="H43" s="25"/>
      <c r="I43" s="9"/>
    </row>
    <row r="44" spans="1:9" ht="16" x14ac:dyDescent="0.2">
      <c r="A44" s="24"/>
      <c r="B44" s="23"/>
      <c r="C44" s="23"/>
      <c r="D44" s="17"/>
      <c r="E44" s="25"/>
      <c r="F44" s="25"/>
      <c r="G44" s="25"/>
      <c r="H44" s="25"/>
      <c r="I44" s="9"/>
    </row>
    <row r="45" spans="1:9" ht="16" x14ac:dyDescent="0.2">
      <c r="A45" s="24"/>
      <c r="B45" s="23"/>
      <c r="C45" s="23"/>
      <c r="D45" s="17"/>
      <c r="E45" s="25"/>
      <c r="F45" s="25"/>
      <c r="G45" s="25"/>
      <c r="H45" s="25"/>
      <c r="I45" s="9"/>
    </row>
    <row r="46" spans="1:9" ht="16" x14ac:dyDescent="0.2">
      <c r="A46" s="24"/>
      <c r="B46" s="23"/>
      <c r="C46" s="23"/>
      <c r="D46" s="17"/>
      <c r="E46" s="25"/>
      <c r="F46" s="25"/>
      <c r="G46" s="25"/>
      <c r="H46" s="25"/>
      <c r="I46" s="9"/>
    </row>
    <row r="47" spans="1:9" ht="16" x14ac:dyDescent="0.2">
      <c r="A47" s="24"/>
      <c r="B47" s="23"/>
      <c r="C47" s="23"/>
      <c r="D47" s="17"/>
      <c r="E47" s="25"/>
      <c r="F47" s="25"/>
      <c r="G47" s="25"/>
      <c r="H47" s="25"/>
      <c r="I47" s="9"/>
    </row>
    <row r="48" spans="1:9" ht="16" x14ac:dyDescent="0.2">
      <c r="A48" s="24"/>
      <c r="B48" s="23"/>
      <c r="C48" s="23"/>
      <c r="D48" s="17"/>
      <c r="E48" s="25"/>
      <c r="F48" s="25"/>
      <c r="G48" s="25"/>
      <c r="H48" s="25"/>
      <c r="I48" s="9"/>
    </row>
    <row r="49" spans="1:9" ht="16" x14ac:dyDescent="0.2">
      <c r="A49" s="24"/>
      <c r="B49" s="17"/>
      <c r="C49" s="17"/>
      <c r="D49" s="17"/>
      <c r="E49" s="16"/>
      <c r="F49" s="16"/>
      <c r="G49" s="16"/>
      <c r="H49" s="16"/>
      <c r="I49" s="9"/>
    </row>
    <row r="50" spans="1:9" ht="24" x14ac:dyDescent="0.2">
      <c r="D50" s="21" t="s">
        <v>7</v>
      </c>
      <c r="E50" s="18"/>
      <c r="F50" s="21" t="s">
        <v>50</v>
      </c>
      <c r="G50" s="21" t="s">
        <v>49</v>
      </c>
      <c r="H50" s="21" t="s">
        <v>48</v>
      </c>
    </row>
    <row r="51" spans="1:9" ht="24" x14ac:dyDescent="0.2">
      <c r="D51" s="19">
        <f>SUM(D4:D49)</f>
        <v>59</v>
      </c>
      <c r="E51" s="18"/>
      <c r="F51" s="20">
        <f>SUM(F4:F49)</f>
        <v>230050</v>
      </c>
      <c r="G51" s="20">
        <f>SUM(G4:G49)</f>
        <v>226050</v>
      </c>
      <c r="H51" s="20">
        <f>SUM(H4:H49)</f>
        <v>4000</v>
      </c>
    </row>
    <row r="56" spans="1:9" ht="29" x14ac:dyDescent="0.2">
      <c r="A56" s="42" t="s">
        <v>70</v>
      </c>
      <c r="B56" s="42"/>
      <c r="C56" s="42"/>
      <c r="D56" s="42"/>
    </row>
    <row r="57" spans="1:9" x14ac:dyDescent="0.2">
      <c r="A57" s="43" t="s">
        <v>194</v>
      </c>
      <c r="B57" s="43"/>
      <c r="C57" s="43"/>
      <c r="D57" s="43"/>
    </row>
    <row r="58" spans="1:9" ht="16" x14ac:dyDescent="0.2">
      <c r="A58" s="15" t="s">
        <v>0</v>
      </c>
      <c r="B58" s="14" t="s">
        <v>69</v>
      </c>
      <c r="C58" s="14" t="s">
        <v>68</v>
      </c>
      <c r="D58" s="14" t="s">
        <v>1</v>
      </c>
    </row>
    <row r="59" spans="1:9" x14ac:dyDescent="0.2">
      <c r="A59" s="3"/>
      <c r="B59" s="22"/>
      <c r="C59" s="22"/>
      <c r="D59" s="2"/>
    </row>
    <row r="60" spans="1:9" ht="16" x14ac:dyDescent="0.2">
      <c r="A60" s="24">
        <v>45849</v>
      </c>
      <c r="B60" s="32" t="s">
        <v>192</v>
      </c>
      <c r="C60" s="32" t="s">
        <v>193</v>
      </c>
      <c r="D60" s="17">
        <v>9</v>
      </c>
    </row>
    <row r="61" spans="1:9" ht="16" x14ac:dyDescent="0.2">
      <c r="A61" s="24">
        <v>45854</v>
      </c>
      <c r="B61" s="45" t="s">
        <v>187</v>
      </c>
      <c r="C61" s="32" t="s">
        <v>189</v>
      </c>
      <c r="D61" s="17">
        <v>13</v>
      </c>
    </row>
    <row r="62" spans="1:9" ht="16" x14ac:dyDescent="0.2">
      <c r="A62" s="24">
        <v>45855</v>
      </c>
      <c r="B62" s="32" t="s">
        <v>187</v>
      </c>
      <c r="C62" s="32" t="s">
        <v>188</v>
      </c>
      <c r="D62" s="17">
        <v>3</v>
      </c>
    </row>
    <row r="63" spans="1:9" x14ac:dyDescent="0.2">
      <c r="A63" s="24"/>
      <c r="B63" s="23"/>
      <c r="C63" s="23"/>
      <c r="D63" s="17"/>
    </row>
    <row r="64" spans="1:9" ht="24" x14ac:dyDescent="0.2">
      <c r="D64" s="21" t="s">
        <v>7</v>
      </c>
    </row>
    <row r="65" spans="4:4" ht="24" x14ac:dyDescent="0.2">
      <c r="D65" s="19">
        <f>SUM(D59:D63)</f>
        <v>25</v>
      </c>
    </row>
  </sheetData>
  <mergeCells count="4">
    <mergeCell ref="A1:I1"/>
    <mergeCell ref="A2:I2"/>
    <mergeCell ref="A56:D56"/>
    <mergeCell ref="A57:D57"/>
  </mergeCells>
  <conditionalFormatting sqref="I4:I49">
    <cfRule type="containsText" dxfId="27" priority="1" operator="containsText" text="✅">
      <formula>NOT(ISERROR(SEARCH("✅",I4)))</formula>
    </cfRule>
    <cfRule type="containsText" dxfId="26" priority="2" operator="containsText" text="ℹ️">
      <formula>NOT(ISERROR(SEARCH("ℹ️",I4)))</formula>
    </cfRule>
    <cfRule type="containsText" dxfId="25" priority="3" operator="containsText" text="⚠️">
      <formula>NOT(ISERROR(SEARCH("⚠️",I4)))</formula>
    </cfRule>
    <cfRule type="containsText" dxfId="24" priority="4" operator="containsText" text="🚨">
      <formula>NOT(ISERROR(SEARCH("🚨",I4)))</formula>
    </cfRule>
  </conditionalFormatting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7CA67-032C-C74D-8FF3-8F455F2E8C92}">
  <sheetPr codeName="Sheet8"/>
  <dimension ref="A1:I91"/>
  <sheetViews>
    <sheetView zoomScale="125" zoomScaleNormal="100" workbookViewId="0">
      <pane ySplit="3" topLeftCell="A72" activePane="bottomLeft" state="frozen"/>
      <selection pane="bottomLeft" activeCell="C84" sqref="C84:D88"/>
    </sheetView>
  </sheetViews>
  <sheetFormatPr baseColWidth="10" defaultColWidth="11.5" defaultRowHeight="15" x14ac:dyDescent="0.2"/>
  <cols>
    <col min="1" max="1" width="23.33203125" bestFit="1" customWidth="1"/>
    <col min="2" max="2" width="28.83203125" bestFit="1" customWidth="1"/>
    <col min="3" max="3" width="41.33203125" bestFit="1" customWidth="1"/>
    <col min="4" max="4" width="16.5" bestFit="1" customWidth="1"/>
    <col min="5" max="5" width="16.33203125" bestFit="1" customWidth="1"/>
    <col min="6" max="6" width="20.33203125" bestFit="1" customWidth="1"/>
    <col min="7" max="7" width="22.83203125" bestFit="1" customWidth="1"/>
    <col min="8" max="8" width="21.33203125" bestFit="1" customWidth="1"/>
    <col min="9" max="9" width="55.5" bestFit="1" customWidth="1"/>
  </cols>
  <sheetData>
    <row r="1" spans="1:9" ht="29" x14ac:dyDescent="0.2">
      <c r="A1" s="42" t="s">
        <v>70</v>
      </c>
      <c r="B1" s="42"/>
      <c r="C1" s="42"/>
      <c r="D1" s="42"/>
      <c r="E1" s="42"/>
      <c r="F1" s="42"/>
      <c r="G1" s="42"/>
      <c r="H1" s="42"/>
      <c r="I1" s="42"/>
    </row>
    <row r="2" spans="1:9" x14ac:dyDescent="0.2">
      <c r="A2" s="43" t="s">
        <v>220</v>
      </c>
      <c r="B2" s="43"/>
      <c r="C2" s="43"/>
      <c r="D2" s="43"/>
      <c r="E2" s="43"/>
      <c r="F2" s="43"/>
      <c r="G2" s="43"/>
      <c r="H2" s="43"/>
      <c r="I2" s="43"/>
    </row>
    <row r="3" spans="1:9" ht="16" x14ac:dyDescent="0.2">
      <c r="A3" s="15" t="s">
        <v>0</v>
      </c>
      <c r="B3" s="14" t="s">
        <v>69</v>
      </c>
      <c r="C3" s="14" t="s">
        <v>68</v>
      </c>
      <c r="D3" s="14" t="s">
        <v>1</v>
      </c>
      <c r="E3" s="13" t="s">
        <v>67</v>
      </c>
      <c r="F3" s="13" t="s">
        <v>50</v>
      </c>
      <c r="G3" s="13" t="s">
        <v>66</v>
      </c>
      <c r="H3" s="13" t="s">
        <v>2</v>
      </c>
      <c r="I3" s="13" t="s">
        <v>65</v>
      </c>
    </row>
    <row r="4" spans="1:9" ht="16" x14ac:dyDescent="0.2">
      <c r="A4" s="24">
        <v>45870</v>
      </c>
      <c r="B4" s="22" t="s">
        <v>87</v>
      </c>
      <c r="C4" s="22" t="s">
        <v>8</v>
      </c>
      <c r="D4" s="2">
        <v>2</v>
      </c>
      <c r="E4" s="25">
        <v>4750</v>
      </c>
      <c r="F4" s="25">
        <f>Table245[[#This Row],[Rate /Trips]]*Table245[[#This Row],[Trips]]</f>
        <v>9500</v>
      </c>
      <c r="G4" s="25">
        <v>9500</v>
      </c>
      <c r="H4" s="25">
        <f>Table245[[#This Row],[Total Value]]-Table245[[#This Row],[Received]]</f>
        <v>0</v>
      </c>
      <c r="I4" s="9" t="str">
        <f>IF(H4&gt;10000,"🚨 URGENT: "&amp;B4&amp;" owes ₹"&amp;H4,IF(H4&gt;5000,"⚠️ WARNING: "&amp;B4&amp;" - ₹"&amp;H4&amp;" due",IF(H4&gt;0,"ℹ️ "&amp;B4&amp;" - ₹"&amp;H4&amp;" pending","✅ Paid")))</f>
        <v>✅ Paid</v>
      </c>
    </row>
    <row r="5" spans="1:9" ht="16" x14ac:dyDescent="0.2">
      <c r="A5" s="24">
        <v>45870</v>
      </c>
      <c r="B5" s="23" t="s">
        <v>129</v>
      </c>
      <c r="C5" s="23" t="s">
        <v>105</v>
      </c>
      <c r="D5" s="17">
        <v>1</v>
      </c>
      <c r="E5" s="25">
        <v>0</v>
      </c>
      <c r="F5" s="25">
        <f>Table245[[#This Row],[Rate /Trips]]*Table245[[#This Row],[Trips]]</f>
        <v>0</v>
      </c>
      <c r="G5" s="25">
        <v>0</v>
      </c>
      <c r="H5" s="25">
        <f>Table245[[#This Row],[Total Value]]-Table245[[#This Row],[Received]]</f>
        <v>0</v>
      </c>
      <c r="I5" s="9" t="str">
        <f>IF(H5&gt;10000,"🚨 URGENT: "&amp;B5&amp;" owes ₹"&amp;H5,IF(H5&gt;5000,"⚠️ WARNING: "&amp;B5&amp;" - ₹"&amp;H5&amp;" due",IF(H5&gt;0,"ℹ️ "&amp;B5&amp;" - ₹"&amp;H5&amp;" pending","✅ Paid")))</f>
        <v>✅ Paid</v>
      </c>
    </row>
    <row r="6" spans="1:9" ht="16" x14ac:dyDescent="0.2">
      <c r="A6" s="24">
        <v>45870</v>
      </c>
      <c r="B6" s="23" t="s">
        <v>128</v>
      </c>
      <c r="C6" s="23" t="s">
        <v>6</v>
      </c>
      <c r="D6" s="17">
        <v>2</v>
      </c>
      <c r="E6" s="25">
        <v>5000</v>
      </c>
      <c r="F6" s="25">
        <f>Table245[[#This Row],[Rate /Trips]]*Table245[[#This Row],[Trips]]</f>
        <v>10000</v>
      </c>
      <c r="G6" s="25">
        <v>10000</v>
      </c>
      <c r="H6" s="25">
        <f>Table245[[#This Row],[Total Value]]-Table245[[#This Row],[Received]]</f>
        <v>0</v>
      </c>
      <c r="I6" s="9" t="str">
        <f>IF(H6&gt;10000,"🚨 URGENT: "&amp;B6&amp;" owes ₹"&amp;H6,IF(H6&gt;5000,"⚠️ WARNING: "&amp;B6&amp;" - ₹"&amp;H6&amp;" due",IF(H6&gt;0,"ℹ️ "&amp;B6&amp;" - ₹"&amp;H6&amp;" pending","✅ Paid")))</f>
        <v>✅ Paid</v>
      </c>
    </row>
    <row r="7" spans="1:9" ht="16" x14ac:dyDescent="0.2">
      <c r="A7" s="24">
        <v>45870</v>
      </c>
      <c r="B7" s="23" t="s">
        <v>118</v>
      </c>
      <c r="C7" s="23" t="s">
        <v>6</v>
      </c>
      <c r="D7" s="17">
        <v>1</v>
      </c>
      <c r="E7" s="25">
        <v>5000</v>
      </c>
      <c r="F7" s="25">
        <f>Table245[[#This Row],[Rate /Trips]]*Table245[[#This Row],[Trips]]</f>
        <v>5000</v>
      </c>
      <c r="G7" s="25">
        <v>5000</v>
      </c>
      <c r="H7" s="25">
        <f>Table245[[#This Row],[Total Value]]-Table245[[#This Row],[Received]]</f>
        <v>0</v>
      </c>
      <c r="I7" s="9" t="str">
        <f>IF(H7&gt;10000,"🚨 URGENT: "&amp;B7&amp;" owes ₹"&amp;H7,IF(H7&gt;5000,"⚠️ WARNING: "&amp;B7&amp;" - ₹"&amp;H7&amp;" due",IF(H7&gt;0,"ℹ️ "&amp;B7&amp;" - ₹"&amp;H7&amp;" pending","✅ Paid")))</f>
        <v>✅ Paid</v>
      </c>
    </row>
    <row r="8" spans="1:9" ht="16" x14ac:dyDescent="0.2">
      <c r="A8" s="24">
        <v>45870</v>
      </c>
      <c r="B8" s="23" t="s">
        <v>127</v>
      </c>
      <c r="C8" s="23" t="s">
        <v>3</v>
      </c>
      <c r="D8" s="17">
        <v>2</v>
      </c>
      <c r="E8" s="25">
        <v>4000</v>
      </c>
      <c r="F8" s="25">
        <f>Table245[[#This Row],[Rate /Trips]]*Table245[[#This Row],[Trips]]</f>
        <v>8000</v>
      </c>
      <c r="G8" s="25">
        <v>8000</v>
      </c>
      <c r="H8" s="25">
        <f>Table245[[#This Row],[Total Value]]-Table245[[#This Row],[Received]]</f>
        <v>0</v>
      </c>
      <c r="I8" s="9" t="str">
        <f>IF(H8&gt;10000,"🚨 URGENT: "&amp;B8&amp;" owes ₹"&amp;H8,IF(H8&gt;5000,"⚠️ WARNING: "&amp;B8&amp;" - ₹"&amp;H8&amp;" due",IF(H8&gt;0,"ℹ️ "&amp;B8&amp;" - ₹"&amp;H8&amp;" pending","✅ Paid")))</f>
        <v>✅ Paid</v>
      </c>
    </row>
    <row r="9" spans="1:9" ht="16" x14ac:dyDescent="0.2">
      <c r="A9" s="24">
        <v>45870</v>
      </c>
      <c r="B9" s="22" t="s">
        <v>124</v>
      </c>
      <c r="C9" s="22" t="s">
        <v>125</v>
      </c>
      <c r="D9" s="2">
        <v>1</v>
      </c>
      <c r="E9" s="25">
        <v>5500</v>
      </c>
      <c r="F9" s="25">
        <f>Table245[[#This Row],[Rate /Trips]]*Table245[[#This Row],[Trips]]</f>
        <v>5500</v>
      </c>
      <c r="G9" s="25">
        <v>5500</v>
      </c>
      <c r="H9" s="25">
        <f>Table245[[#This Row],[Total Value]]-Table245[[#This Row],[Received]]</f>
        <v>0</v>
      </c>
      <c r="I9" s="9" t="str">
        <f>IF(H9&gt;10000,"🚨 URGENT: "&amp;B9&amp;" owes ₹"&amp;H9,IF(H9&gt;5000,"⚠️ WARNING: "&amp;B9&amp;" - ₹"&amp;H9&amp;" due",IF(H9&gt;0,"ℹ️ "&amp;B9&amp;" - ₹"&amp;H9&amp;" pending","✅ Paid")))</f>
        <v>✅ Paid</v>
      </c>
    </row>
    <row r="10" spans="1:9" ht="16" x14ac:dyDescent="0.2">
      <c r="A10" s="24">
        <v>45870</v>
      </c>
      <c r="B10" s="23" t="s">
        <v>126</v>
      </c>
      <c r="C10" s="23" t="s">
        <v>119</v>
      </c>
      <c r="D10" s="17">
        <v>1</v>
      </c>
      <c r="E10" s="25">
        <v>4750</v>
      </c>
      <c r="F10" s="25">
        <f>Table245[[#This Row],[Rate /Trips]]*Table245[[#This Row],[Trips]]</f>
        <v>4750</v>
      </c>
      <c r="G10" s="25">
        <v>4750</v>
      </c>
      <c r="H10" s="25">
        <f>Table245[[#This Row],[Total Value]]-Table245[[#This Row],[Received]]</f>
        <v>0</v>
      </c>
      <c r="I10" s="9" t="str">
        <f>IF(H10&gt;10000,"🚨 URGENT: "&amp;B10&amp;" owes ₹"&amp;H10,IF(H10&gt;5000,"⚠️ WARNING: "&amp;B10&amp;" - ₹"&amp;H10&amp;" due",IF(H10&gt;0,"ℹ️ "&amp;B10&amp;" - ₹"&amp;H10&amp;" pending","✅ Paid")))</f>
        <v>✅ Paid</v>
      </c>
    </row>
    <row r="11" spans="1:9" ht="16" x14ac:dyDescent="0.2">
      <c r="A11" s="24">
        <v>45871</v>
      </c>
      <c r="B11" s="23" t="s">
        <v>131</v>
      </c>
      <c r="C11" s="23" t="s">
        <v>3</v>
      </c>
      <c r="D11" s="17">
        <v>1</v>
      </c>
      <c r="E11" s="25">
        <v>4000</v>
      </c>
      <c r="F11" s="25">
        <f>Table245[[#This Row],[Rate /Trips]]*Table245[[#This Row],[Trips]]</f>
        <v>4000</v>
      </c>
      <c r="G11" s="25">
        <v>4000</v>
      </c>
      <c r="H11" s="25">
        <f>Table245[[#This Row],[Total Value]]-Table245[[#This Row],[Received]]</f>
        <v>0</v>
      </c>
      <c r="I11" s="9" t="str">
        <f>IF(H11&gt;10000,"🚨 URGENT: "&amp;B11&amp;" owes ₹"&amp;H11,IF(H11&gt;5000,"⚠️ WARNING: "&amp;B11&amp;" - ₹"&amp;H11&amp;" due",IF(H11&gt;0,"ℹ️ "&amp;B11&amp;" - ₹"&amp;H11&amp;" pending","✅ Paid")))</f>
        <v>✅ Paid</v>
      </c>
    </row>
    <row r="12" spans="1:9" ht="16" x14ac:dyDescent="0.2">
      <c r="A12" s="24">
        <v>45871</v>
      </c>
      <c r="B12" s="23" t="s">
        <v>130</v>
      </c>
      <c r="C12" s="23" t="s">
        <v>119</v>
      </c>
      <c r="D12" s="17">
        <v>3</v>
      </c>
      <c r="E12" s="25">
        <v>4750</v>
      </c>
      <c r="F12" s="25">
        <f>Table245[[#This Row],[Rate /Trips]]*Table245[[#This Row],[Trips]]</f>
        <v>14250</v>
      </c>
      <c r="G12" s="25">
        <v>14250</v>
      </c>
      <c r="H12" s="25">
        <f>Table245[[#This Row],[Total Value]]-Table245[[#This Row],[Received]]</f>
        <v>0</v>
      </c>
      <c r="I12" s="9" t="str">
        <f>IF(H12&gt;10000,"🚨 URGENT: "&amp;B12&amp;" owes ₹"&amp;H12,IF(H12&gt;5000,"⚠️ WARNING: "&amp;B12&amp;" - ₹"&amp;H12&amp;" due",IF(H12&gt;0,"ℹ️ "&amp;B12&amp;" - ₹"&amp;H12&amp;" pending","✅ Paid")))</f>
        <v>✅ Paid</v>
      </c>
    </row>
    <row r="13" spans="1:9" ht="16" x14ac:dyDescent="0.2">
      <c r="A13" s="24">
        <v>45872</v>
      </c>
      <c r="B13" s="23" t="s">
        <v>132</v>
      </c>
      <c r="C13" s="23" t="s">
        <v>81</v>
      </c>
      <c r="D13" s="17">
        <v>5</v>
      </c>
      <c r="E13" s="25">
        <v>4500</v>
      </c>
      <c r="F13" s="25">
        <f>Table245[[#This Row],[Rate /Trips]]*Table245[[#This Row],[Trips]]</f>
        <v>22500</v>
      </c>
      <c r="G13" s="25">
        <v>22500</v>
      </c>
      <c r="H13" s="25">
        <f>Table245[[#This Row],[Total Value]]-Table245[[#This Row],[Received]]</f>
        <v>0</v>
      </c>
      <c r="I13" s="9" t="str">
        <f>IF(H13&gt;10000,"🚨 URGENT: "&amp;B13&amp;" owes ₹"&amp;H13,IF(H13&gt;5000,"⚠️ WARNING: "&amp;B13&amp;" - ₹"&amp;H13&amp;" due",IF(H13&gt;0,"ℹ️ "&amp;B13&amp;" - ₹"&amp;H13&amp;" pending","✅ Paid")))</f>
        <v>✅ Paid</v>
      </c>
    </row>
    <row r="14" spans="1:9" ht="16" x14ac:dyDescent="0.2">
      <c r="A14" s="24">
        <v>45872</v>
      </c>
      <c r="B14" s="23" t="s">
        <v>130</v>
      </c>
      <c r="C14" s="23" t="s">
        <v>119</v>
      </c>
      <c r="D14" s="17">
        <v>2</v>
      </c>
      <c r="E14" s="25">
        <v>4750</v>
      </c>
      <c r="F14" s="25">
        <f>Table245[[#This Row],[Rate /Trips]]*Table245[[#This Row],[Trips]]</f>
        <v>9500</v>
      </c>
      <c r="G14" s="25">
        <v>9500</v>
      </c>
      <c r="H14" s="25">
        <f>Table245[[#This Row],[Total Value]]-Table245[[#This Row],[Received]]</f>
        <v>0</v>
      </c>
      <c r="I14" s="9" t="str">
        <f>IF(H14&gt;10000,"🚨 URGENT: "&amp;B14&amp;" owes ₹"&amp;H14,IF(H14&gt;5000,"⚠️ WARNING: "&amp;B14&amp;" - ₹"&amp;H14&amp;" due",IF(H14&gt;0,"ℹ️ "&amp;B14&amp;" - ₹"&amp;H14&amp;" pending","✅ Paid")))</f>
        <v>✅ Paid</v>
      </c>
    </row>
    <row r="15" spans="1:9" ht="16" x14ac:dyDescent="0.2">
      <c r="A15" s="24">
        <v>45873</v>
      </c>
      <c r="B15" s="23" t="s">
        <v>132</v>
      </c>
      <c r="C15" s="23" t="s">
        <v>81</v>
      </c>
      <c r="D15" s="17">
        <v>1</v>
      </c>
      <c r="E15" s="25">
        <v>4500</v>
      </c>
      <c r="F15" s="25">
        <f>Table245[[#This Row],[Rate /Trips]]*Table245[[#This Row],[Trips]]</f>
        <v>4500</v>
      </c>
      <c r="G15" s="25">
        <v>4500</v>
      </c>
      <c r="H15" s="25">
        <f>Table245[[#This Row],[Total Value]]-Table245[[#This Row],[Received]]</f>
        <v>0</v>
      </c>
      <c r="I15" s="9" t="str">
        <f>IF(H15&gt;10000,"🚨 URGENT: "&amp;B15&amp;" owes ₹"&amp;H15,IF(H15&gt;5000,"⚠️ WARNING: "&amp;B15&amp;" - ₹"&amp;H15&amp;" due",IF(H15&gt;0,"ℹ️ "&amp;B15&amp;" - ₹"&amp;H15&amp;" pending","✅ Paid")))</f>
        <v>✅ Paid</v>
      </c>
    </row>
    <row r="16" spans="1:9" ht="16" x14ac:dyDescent="0.2">
      <c r="A16" s="24">
        <v>45873</v>
      </c>
      <c r="B16" s="23" t="s">
        <v>82</v>
      </c>
      <c r="C16" s="23" t="s">
        <v>83</v>
      </c>
      <c r="D16" s="17">
        <v>2</v>
      </c>
      <c r="E16" s="25">
        <v>4000</v>
      </c>
      <c r="F16" s="25">
        <f>Table245[[#This Row],[Rate /Trips]]*Table245[[#This Row],[Trips]]</f>
        <v>8000</v>
      </c>
      <c r="G16" s="25">
        <v>8000</v>
      </c>
      <c r="H16" s="25">
        <f>Table245[[#This Row],[Total Value]]-Table245[[#This Row],[Received]]</f>
        <v>0</v>
      </c>
      <c r="I16" s="9" t="str">
        <f>IF(H16&gt;10000,"🚨 URGENT: "&amp;B16&amp;" owes ₹"&amp;H16,IF(H16&gt;5000,"⚠️ WARNING: "&amp;B16&amp;" - ₹"&amp;H16&amp;" due",IF(H16&gt;0,"ℹ️ "&amp;B16&amp;" - ₹"&amp;H16&amp;" pending","✅ Paid")))</f>
        <v>✅ Paid</v>
      </c>
    </row>
    <row r="17" spans="1:9" ht="16" x14ac:dyDescent="0.2">
      <c r="A17" s="24">
        <v>45874</v>
      </c>
      <c r="B17" s="23" t="s">
        <v>133</v>
      </c>
      <c r="C17" s="23" t="s">
        <v>6</v>
      </c>
      <c r="D17" s="17">
        <v>3</v>
      </c>
      <c r="E17" s="25">
        <v>4800</v>
      </c>
      <c r="F17" s="25">
        <f>Table245[[#This Row],[Rate /Trips]]*Table245[[#This Row],[Trips]]</f>
        <v>14400</v>
      </c>
      <c r="G17" s="25">
        <v>14400</v>
      </c>
      <c r="H17" s="25">
        <f>Table245[[#This Row],[Total Value]]-Table245[[#This Row],[Received]]</f>
        <v>0</v>
      </c>
      <c r="I17" s="9" t="str">
        <f>IF(H17&gt;10000,"🚨 URGENT: "&amp;B17&amp;" owes ₹"&amp;H17,IF(H17&gt;5000,"⚠️ WARNING: "&amp;B17&amp;" - ₹"&amp;H17&amp;" due",IF(H17&gt;0,"ℹ️ "&amp;B17&amp;" - ₹"&amp;H17&amp;" pending","✅ Paid")))</f>
        <v>✅ Paid</v>
      </c>
    </row>
    <row r="18" spans="1:9" ht="16" x14ac:dyDescent="0.2">
      <c r="A18" s="24">
        <v>45875</v>
      </c>
      <c r="B18" s="23" t="s">
        <v>134</v>
      </c>
      <c r="C18" s="23" t="s">
        <v>135</v>
      </c>
      <c r="D18" s="17">
        <v>1</v>
      </c>
      <c r="E18" s="25">
        <v>5000</v>
      </c>
      <c r="F18" s="25">
        <f>Table245[[#This Row],[Rate /Trips]]*Table245[[#This Row],[Trips]]</f>
        <v>5000</v>
      </c>
      <c r="G18" s="25">
        <v>5000</v>
      </c>
      <c r="H18" s="25">
        <f>Table245[[#This Row],[Total Value]]-Table245[[#This Row],[Received]]</f>
        <v>0</v>
      </c>
      <c r="I18" s="9" t="str">
        <f>IF(H18&gt;10000,"🚨 URGENT: "&amp;B18&amp;" owes ₹"&amp;H18,IF(H18&gt;5000,"⚠️ WARNING: "&amp;B18&amp;" - ₹"&amp;H18&amp;" due",IF(H18&gt;0,"ℹ️ "&amp;B18&amp;" - ₹"&amp;H18&amp;" pending","✅ Paid")))</f>
        <v>✅ Paid</v>
      </c>
    </row>
    <row r="19" spans="1:9" ht="16" x14ac:dyDescent="0.2">
      <c r="A19" s="24">
        <v>45875</v>
      </c>
      <c r="B19" s="23" t="s">
        <v>130</v>
      </c>
      <c r="C19" s="23" t="s">
        <v>152</v>
      </c>
      <c r="D19" s="17">
        <v>1</v>
      </c>
      <c r="E19" s="25">
        <v>5500</v>
      </c>
      <c r="F19" s="25">
        <f>Table245[[#This Row],[Rate /Trips]]*Table245[[#This Row],[Trips]]</f>
        <v>5500</v>
      </c>
      <c r="G19" s="25">
        <v>5500</v>
      </c>
      <c r="H19" s="25">
        <f>Table245[[#This Row],[Total Value]]-Table245[[#This Row],[Received]]</f>
        <v>0</v>
      </c>
      <c r="I19" s="9" t="str">
        <f>IF(H19&gt;10000,"🚨 URGENT: "&amp;B19&amp;" owes ₹"&amp;H19,IF(H19&gt;5000,"⚠️ WARNING: "&amp;B19&amp;" - ₹"&amp;H19&amp;" due",IF(H19&gt;0,"ℹ️ "&amp;B19&amp;" - ₹"&amp;H19&amp;" pending","✅ Paid")))</f>
        <v>✅ Paid</v>
      </c>
    </row>
    <row r="20" spans="1:9" ht="16" x14ac:dyDescent="0.2">
      <c r="A20" s="24">
        <v>45876</v>
      </c>
      <c r="B20" s="23" t="s">
        <v>134</v>
      </c>
      <c r="C20" s="23" t="s">
        <v>6</v>
      </c>
      <c r="D20" s="17">
        <v>2</v>
      </c>
      <c r="E20" s="25">
        <v>5000</v>
      </c>
      <c r="F20" s="25">
        <f>Table245[[#This Row],[Rate /Trips]]*Table245[[#This Row],[Trips]]</f>
        <v>10000</v>
      </c>
      <c r="G20" s="25">
        <v>10000</v>
      </c>
      <c r="H20" s="25">
        <f>Table245[[#This Row],[Total Value]]-Table245[[#This Row],[Received]]</f>
        <v>0</v>
      </c>
      <c r="I20" s="9" t="str">
        <f>IF(H20&gt;10000,"🚨 URGENT: "&amp;B20&amp;" owes ₹"&amp;H20,IF(H20&gt;5000,"⚠️ WARNING: "&amp;B20&amp;" - ₹"&amp;H20&amp;" due",IF(H20&gt;0,"ℹ️ "&amp;B20&amp;" - ₹"&amp;H20&amp;" pending","✅ Paid")))</f>
        <v>✅ Paid</v>
      </c>
    </row>
    <row r="21" spans="1:9" ht="16" x14ac:dyDescent="0.2">
      <c r="A21" s="24">
        <v>45876</v>
      </c>
      <c r="B21" s="23" t="s">
        <v>134</v>
      </c>
      <c r="C21" s="23" t="s">
        <v>106</v>
      </c>
      <c r="D21" s="17">
        <v>1</v>
      </c>
      <c r="E21" s="25">
        <v>5000</v>
      </c>
      <c r="F21" s="25">
        <f>Table245[[#This Row],[Rate /Trips]]*Table245[[#This Row],[Trips]]</f>
        <v>5000</v>
      </c>
      <c r="G21" s="25">
        <v>5000</v>
      </c>
      <c r="H21" s="25">
        <f>Table245[[#This Row],[Total Value]]-Table245[[#This Row],[Received]]</f>
        <v>0</v>
      </c>
      <c r="I21" s="9" t="str">
        <f>IF(H21&gt;10000,"🚨 URGENT: "&amp;B21&amp;" owes ₹"&amp;H21,IF(H21&gt;5000,"⚠️ WARNING: "&amp;B21&amp;" - ₹"&amp;H21&amp;" due",IF(H21&gt;0,"ℹ️ "&amp;B21&amp;" - ₹"&amp;H21&amp;" pending","✅ Paid")))</f>
        <v>✅ Paid</v>
      </c>
    </row>
    <row r="22" spans="1:9" ht="16" x14ac:dyDescent="0.2">
      <c r="A22" s="24">
        <v>45879</v>
      </c>
      <c r="B22" s="23" t="s">
        <v>129</v>
      </c>
      <c r="C22" s="23" t="s">
        <v>105</v>
      </c>
      <c r="D22" s="17">
        <v>1</v>
      </c>
      <c r="E22" s="25">
        <v>0</v>
      </c>
      <c r="F22" s="25">
        <f>Table245[[#This Row],[Rate /Trips]]*Table245[[#This Row],[Trips]]</f>
        <v>0</v>
      </c>
      <c r="G22" s="25">
        <v>0</v>
      </c>
      <c r="H22" s="25">
        <f>Table245[[#This Row],[Total Value]]-Table245[[#This Row],[Received]]</f>
        <v>0</v>
      </c>
      <c r="I22" s="9" t="str">
        <f>IF(H22&gt;10000,"🚨 URGENT: "&amp;B22&amp;" owes ₹"&amp;H22,IF(H22&gt;5000,"⚠️ WARNING: "&amp;B22&amp;" - ₹"&amp;H22&amp;" due",IF(H22&gt;0,"ℹ️ "&amp;B22&amp;" - ₹"&amp;H22&amp;" pending","✅ Paid")))</f>
        <v>✅ Paid</v>
      </c>
    </row>
    <row r="23" spans="1:9" ht="16" x14ac:dyDescent="0.2">
      <c r="A23" s="24">
        <v>45879</v>
      </c>
      <c r="B23" s="23" t="s">
        <v>136</v>
      </c>
      <c r="C23" s="23" t="s">
        <v>4</v>
      </c>
      <c r="D23" s="17">
        <v>2</v>
      </c>
      <c r="E23" s="25">
        <v>4000</v>
      </c>
      <c r="F23" s="25">
        <f>Table245[[#This Row],[Rate /Trips]]*Table245[[#This Row],[Trips]]</f>
        <v>8000</v>
      </c>
      <c r="G23" s="25">
        <v>8000</v>
      </c>
      <c r="H23" s="25">
        <f>Table245[[#This Row],[Total Value]]-Table245[[#This Row],[Received]]</f>
        <v>0</v>
      </c>
      <c r="I23" s="9" t="str">
        <f>IF(H23&gt;10000,"🚨 URGENT: "&amp;B23&amp;" owes ₹"&amp;H23,IF(H23&gt;5000,"⚠️ WARNING: "&amp;B23&amp;" - ₹"&amp;H23&amp;" due",IF(H23&gt;0,"ℹ️ "&amp;B23&amp;" - ₹"&amp;H23&amp;" pending","✅ Paid")))</f>
        <v>✅ Paid</v>
      </c>
    </row>
    <row r="24" spans="1:9" ht="16" x14ac:dyDescent="0.2">
      <c r="A24" s="24">
        <v>45879</v>
      </c>
      <c r="B24" s="23" t="s">
        <v>139</v>
      </c>
      <c r="C24" s="23" t="s">
        <v>137</v>
      </c>
      <c r="D24" s="17">
        <v>39</v>
      </c>
      <c r="E24" s="25">
        <v>1000</v>
      </c>
      <c r="F24" s="25">
        <f>Table245[[#This Row],[Rate /Trips]]*Table245[[#This Row],[Trips]]</f>
        <v>39000</v>
      </c>
      <c r="G24" s="25">
        <v>39000</v>
      </c>
      <c r="H24" s="25">
        <f>Table245[[#This Row],[Total Value]]-Table245[[#This Row],[Received]]</f>
        <v>0</v>
      </c>
      <c r="I24" s="9" t="str">
        <f>IF(H24&gt;10000,"🚨 URGENT: "&amp;B24&amp;" owes ₹"&amp;H24,IF(H24&gt;5000,"⚠️ WARNING: "&amp;B24&amp;" - ₹"&amp;H24&amp;" due",IF(H24&gt;0,"ℹ️ "&amp;B24&amp;" - ₹"&amp;H24&amp;" pending","✅ Paid")))</f>
        <v>✅ Paid</v>
      </c>
    </row>
    <row r="25" spans="1:9" ht="16" x14ac:dyDescent="0.2">
      <c r="A25" s="24">
        <v>45880</v>
      </c>
      <c r="B25" s="23" t="s">
        <v>134</v>
      </c>
      <c r="C25" s="23" t="s">
        <v>103</v>
      </c>
      <c r="D25" s="17">
        <v>2</v>
      </c>
      <c r="E25" s="25">
        <v>4750</v>
      </c>
      <c r="F25" s="25">
        <f>Table245[[#This Row],[Rate /Trips]]*Table245[[#This Row],[Trips]]</f>
        <v>9500</v>
      </c>
      <c r="G25" s="25">
        <v>9500</v>
      </c>
      <c r="H25" s="25">
        <f>Table245[[#This Row],[Total Value]]-Table245[[#This Row],[Received]]</f>
        <v>0</v>
      </c>
      <c r="I25" s="9" t="str">
        <f>IF(H25&gt;10000,"🚨 URGENT: "&amp;B25&amp;" owes ₹"&amp;H25,IF(H25&gt;5000,"⚠️ WARNING: "&amp;B25&amp;" - ₹"&amp;H25&amp;" due",IF(H25&gt;0,"ℹ️ "&amp;B25&amp;" - ₹"&amp;H25&amp;" pending","✅ Paid")))</f>
        <v>✅ Paid</v>
      </c>
    </row>
    <row r="26" spans="1:9" ht="16" x14ac:dyDescent="0.2">
      <c r="A26" s="24">
        <v>45880</v>
      </c>
      <c r="B26" s="23" t="s">
        <v>138</v>
      </c>
      <c r="C26" s="23" t="s">
        <v>103</v>
      </c>
      <c r="D26" s="17">
        <v>1</v>
      </c>
      <c r="E26" s="25">
        <v>5000</v>
      </c>
      <c r="F26" s="25">
        <f>Table245[[#This Row],[Rate /Trips]]*Table245[[#This Row],[Trips]]</f>
        <v>5000</v>
      </c>
      <c r="G26" s="25">
        <v>5000</v>
      </c>
      <c r="H26" s="25">
        <f>Table245[[#This Row],[Total Value]]-Table245[[#This Row],[Received]]</f>
        <v>0</v>
      </c>
      <c r="I26" s="9" t="str">
        <f>IF(H26&gt;10000,"🚨 URGENT: "&amp;B26&amp;" owes ₹"&amp;H26,IF(H26&gt;5000,"⚠️ WARNING: "&amp;B26&amp;" - ₹"&amp;H26&amp;" due",IF(H26&gt;0,"ℹ️ "&amp;B26&amp;" - ₹"&amp;H26&amp;" pending","✅ Paid")))</f>
        <v>✅ Paid</v>
      </c>
    </row>
    <row r="27" spans="1:9" ht="16" x14ac:dyDescent="0.2">
      <c r="A27" s="24">
        <v>45880</v>
      </c>
      <c r="B27" s="23" t="s">
        <v>139</v>
      </c>
      <c r="C27" s="23" t="s">
        <v>140</v>
      </c>
      <c r="D27" s="17">
        <v>8</v>
      </c>
      <c r="E27" s="25">
        <v>1000</v>
      </c>
      <c r="F27" s="25">
        <f>Table245[[#This Row],[Rate /Trips]]*Table245[[#This Row],[Trips]]</f>
        <v>8000</v>
      </c>
      <c r="G27" s="25">
        <v>8000</v>
      </c>
      <c r="H27" s="25">
        <f>Table245[[#This Row],[Total Value]]-Table245[[#This Row],[Received]]</f>
        <v>0</v>
      </c>
      <c r="I27" s="9" t="str">
        <f>IF(H27&gt;10000,"🚨 URGENT: "&amp;B27&amp;" owes ₹"&amp;H27,IF(H27&gt;5000,"⚠️ WARNING: "&amp;B27&amp;" - ₹"&amp;H27&amp;" due",IF(H27&gt;0,"ℹ️ "&amp;B27&amp;" - ₹"&amp;H27&amp;" pending","✅ Paid")))</f>
        <v>✅ Paid</v>
      </c>
    </row>
    <row r="28" spans="1:9" ht="16" x14ac:dyDescent="0.2">
      <c r="A28" s="24">
        <v>45880</v>
      </c>
      <c r="B28" s="23" t="s">
        <v>82</v>
      </c>
      <c r="C28" s="23" t="s">
        <v>141</v>
      </c>
      <c r="D28" s="17">
        <v>9</v>
      </c>
      <c r="E28" s="25">
        <v>800</v>
      </c>
      <c r="F28" s="25">
        <f>Table245[[#This Row],[Rate /Trips]]*Table245[[#This Row],[Trips]]</f>
        <v>7200</v>
      </c>
      <c r="G28" s="25">
        <v>7200</v>
      </c>
      <c r="H28" s="25">
        <f>Table245[[#This Row],[Total Value]]-Table245[[#This Row],[Received]]</f>
        <v>0</v>
      </c>
      <c r="I28" s="9" t="str">
        <f>IF(H28&gt;10000,"🚨 URGENT: "&amp;B28&amp;" owes ₹"&amp;H28,IF(H28&gt;5000,"⚠️ WARNING: "&amp;B28&amp;" - ₹"&amp;H28&amp;" due",IF(H28&gt;0,"ℹ️ "&amp;B28&amp;" - ₹"&amp;H28&amp;" pending","✅ Paid")))</f>
        <v>✅ Paid</v>
      </c>
    </row>
    <row r="29" spans="1:9" ht="16" x14ac:dyDescent="0.2">
      <c r="A29" s="24">
        <v>45881</v>
      </c>
      <c r="B29" s="23" t="s">
        <v>134</v>
      </c>
      <c r="C29" s="23" t="s">
        <v>106</v>
      </c>
      <c r="D29" s="17">
        <v>2</v>
      </c>
      <c r="E29" s="25">
        <v>5000</v>
      </c>
      <c r="F29" s="25">
        <f>Table245[[#This Row],[Rate /Trips]]*Table245[[#This Row],[Trips]]</f>
        <v>10000</v>
      </c>
      <c r="G29" s="25">
        <v>10000</v>
      </c>
      <c r="H29" s="25">
        <f>Table245[[#This Row],[Total Value]]-Table245[[#This Row],[Received]]</f>
        <v>0</v>
      </c>
      <c r="I29" s="9" t="str">
        <f>IF(H29&gt;10000,"🚨 URGENT: "&amp;B29&amp;" owes ₹"&amp;H29,IF(H29&gt;5000,"⚠️ WARNING: "&amp;B29&amp;" - ₹"&amp;H29&amp;" due",IF(H29&gt;0,"ℹ️ "&amp;B29&amp;" - ₹"&amp;H29&amp;" pending","✅ Paid")))</f>
        <v>✅ Paid</v>
      </c>
    </row>
    <row r="30" spans="1:9" ht="16" x14ac:dyDescent="0.2">
      <c r="A30" s="24">
        <v>45881</v>
      </c>
      <c r="B30" s="23" t="s">
        <v>144</v>
      </c>
      <c r="C30" s="23" t="s">
        <v>4</v>
      </c>
      <c r="D30" s="17">
        <v>1</v>
      </c>
      <c r="E30" s="25">
        <v>4000</v>
      </c>
      <c r="F30" s="25">
        <f>Table245[[#This Row],[Rate /Trips]]*Table245[[#This Row],[Trips]]</f>
        <v>4000</v>
      </c>
      <c r="G30" s="25">
        <v>4000</v>
      </c>
      <c r="H30" s="25">
        <f>Table245[[#This Row],[Total Value]]-Table245[[#This Row],[Received]]</f>
        <v>0</v>
      </c>
      <c r="I30" s="9" t="str">
        <f>IF(H30&gt;10000,"🚨 URGENT: "&amp;B30&amp;" owes ₹"&amp;H30,IF(H30&gt;5000,"⚠️ WARNING: "&amp;B30&amp;" - ₹"&amp;H30&amp;" due",IF(H30&gt;0,"ℹ️ "&amp;B30&amp;" - ₹"&amp;H30&amp;" pending","✅ Paid")))</f>
        <v>✅ Paid</v>
      </c>
    </row>
    <row r="31" spans="1:9" ht="16" x14ac:dyDescent="0.2">
      <c r="A31" s="24">
        <v>45881</v>
      </c>
      <c r="B31" s="23" t="s">
        <v>142</v>
      </c>
      <c r="C31" s="23" t="s">
        <v>143</v>
      </c>
      <c r="D31" s="17">
        <v>1</v>
      </c>
      <c r="E31" s="25">
        <v>5000</v>
      </c>
      <c r="F31" s="25">
        <f>Table245[[#This Row],[Rate /Trips]]*Table245[[#This Row],[Trips]]</f>
        <v>5000</v>
      </c>
      <c r="G31" s="25">
        <v>5000</v>
      </c>
      <c r="H31" s="25">
        <f>Table245[[#This Row],[Total Value]]-Table245[[#This Row],[Received]]</f>
        <v>0</v>
      </c>
      <c r="I31" s="9" t="str">
        <f>IF(H31&gt;10000,"🚨 URGENT: "&amp;B31&amp;" owes ₹"&amp;H31,IF(H31&gt;5000,"⚠️ WARNING: "&amp;B31&amp;" - ₹"&amp;H31&amp;" due",IF(H31&gt;0,"ℹ️ "&amp;B31&amp;" - ₹"&amp;H31&amp;" pending","✅ Paid")))</f>
        <v>✅ Paid</v>
      </c>
    </row>
    <row r="32" spans="1:9" ht="16" x14ac:dyDescent="0.2">
      <c r="A32" s="24">
        <v>45886</v>
      </c>
      <c r="B32" s="23" t="s">
        <v>145</v>
      </c>
      <c r="C32" s="23" t="s">
        <v>103</v>
      </c>
      <c r="D32" s="17">
        <v>2</v>
      </c>
      <c r="E32" s="25">
        <v>5000</v>
      </c>
      <c r="F32" s="25">
        <f>Table245[[#This Row],[Rate /Trips]]*Table245[[#This Row],[Trips]]</f>
        <v>10000</v>
      </c>
      <c r="G32" s="25">
        <v>10000</v>
      </c>
      <c r="H32" s="25">
        <f>Table245[[#This Row],[Total Value]]-Table245[[#This Row],[Received]]</f>
        <v>0</v>
      </c>
      <c r="I32" s="9" t="str">
        <f>IF(H32&gt;10000,"🚨 URGENT: "&amp;B32&amp;" owes ₹"&amp;H32,IF(H32&gt;5000,"⚠️ WARNING: "&amp;B32&amp;" - ₹"&amp;H32&amp;" due",IF(H32&gt;0,"ℹ️ "&amp;B32&amp;" - ₹"&amp;H32&amp;" pending","✅ Paid")))</f>
        <v>✅ Paid</v>
      </c>
    </row>
    <row r="33" spans="1:9" ht="16" x14ac:dyDescent="0.2">
      <c r="A33" s="24">
        <v>45886</v>
      </c>
      <c r="B33" s="23" t="s">
        <v>132</v>
      </c>
      <c r="C33" s="23" t="s">
        <v>83</v>
      </c>
      <c r="D33" s="17">
        <v>3</v>
      </c>
      <c r="E33" s="25">
        <v>5500</v>
      </c>
      <c r="F33" s="25">
        <f>Table245[[#This Row],[Rate /Trips]]*Table245[[#This Row],[Trips]]</f>
        <v>16500</v>
      </c>
      <c r="G33" s="25">
        <v>16500</v>
      </c>
      <c r="H33" s="25">
        <f>Table245[[#This Row],[Total Value]]-Table245[[#This Row],[Received]]</f>
        <v>0</v>
      </c>
      <c r="I33" s="9" t="str">
        <f>IF(H33&gt;10000,"🚨 URGENT: "&amp;B33&amp;" owes ₹"&amp;H33,IF(H33&gt;5000,"⚠️ WARNING: "&amp;B33&amp;" - ₹"&amp;H33&amp;" due",IF(H33&gt;0,"ℹ️ "&amp;B33&amp;" - ₹"&amp;H33&amp;" pending","✅ Paid")))</f>
        <v>✅ Paid</v>
      </c>
    </row>
    <row r="34" spans="1:9" ht="16" x14ac:dyDescent="0.2">
      <c r="A34" s="24">
        <v>45886</v>
      </c>
      <c r="B34" s="23" t="s">
        <v>146</v>
      </c>
      <c r="C34" s="23" t="s">
        <v>4</v>
      </c>
      <c r="D34" s="17">
        <v>1</v>
      </c>
      <c r="E34" s="25">
        <v>5000</v>
      </c>
      <c r="F34" s="25">
        <f>Table245[[#This Row],[Rate /Trips]]*Table245[[#This Row],[Trips]]</f>
        <v>5000</v>
      </c>
      <c r="G34" s="25">
        <v>5000</v>
      </c>
      <c r="H34" s="25">
        <f>Table245[[#This Row],[Total Value]]-Table245[[#This Row],[Received]]</f>
        <v>0</v>
      </c>
      <c r="I34" s="9" t="str">
        <f>IF(H34&gt;10000,"🚨 URGENT: "&amp;B34&amp;" owes ₹"&amp;H34,IF(H34&gt;5000,"⚠️ WARNING: "&amp;B34&amp;" - ₹"&amp;H34&amp;" due",IF(H34&gt;0,"ℹ️ "&amp;B34&amp;" - ₹"&amp;H34&amp;" pending","✅ Paid")))</f>
        <v>✅ Paid</v>
      </c>
    </row>
    <row r="35" spans="1:9" ht="16" x14ac:dyDescent="0.2">
      <c r="A35" s="24">
        <v>45889</v>
      </c>
      <c r="B35" s="23" t="s">
        <v>147</v>
      </c>
      <c r="C35" s="23" t="s">
        <v>3</v>
      </c>
      <c r="D35" s="17">
        <v>1</v>
      </c>
      <c r="E35" s="25">
        <v>5000</v>
      </c>
      <c r="F35" s="25">
        <f>Table245[[#This Row],[Rate /Trips]]*Table245[[#This Row],[Trips]]</f>
        <v>5000</v>
      </c>
      <c r="G35" s="25">
        <v>5000</v>
      </c>
      <c r="H35" s="25">
        <f>Table245[[#This Row],[Total Value]]-Table245[[#This Row],[Received]]</f>
        <v>0</v>
      </c>
      <c r="I35" s="9" t="str">
        <f>IF(H35&gt;10000,"🚨 URGENT: "&amp;B35&amp;" owes ₹"&amp;H35,IF(H35&gt;5000,"⚠️ WARNING: "&amp;B35&amp;" - ₹"&amp;H35&amp;" due",IF(H35&gt;0,"ℹ️ "&amp;B35&amp;" - ₹"&amp;H35&amp;" pending","✅ Paid")))</f>
        <v>✅ Paid</v>
      </c>
    </row>
    <row r="36" spans="1:9" ht="16" x14ac:dyDescent="0.2">
      <c r="A36" s="24">
        <v>45889</v>
      </c>
      <c r="B36" s="23" t="s">
        <v>149</v>
      </c>
      <c r="C36" s="23" t="s">
        <v>148</v>
      </c>
      <c r="D36" s="17">
        <v>1</v>
      </c>
      <c r="E36" s="25">
        <v>5000</v>
      </c>
      <c r="F36" s="25">
        <f>Table245[[#This Row],[Rate /Trips]]*Table245[[#This Row],[Trips]]</f>
        <v>5000</v>
      </c>
      <c r="G36" s="25">
        <v>5000</v>
      </c>
      <c r="H36" s="25">
        <f>Table245[[#This Row],[Total Value]]-Table245[[#This Row],[Received]]</f>
        <v>0</v>
      </c>
      <c r="I36" s="9" t="str">
        <f>IF(H36&gt;10000,"🚨 URGENT: "&amp;B36&amp;" owes ₹"&amp;H36,IF(H36&gt;5000,"⚠️ WARNING: "&amp;B36&amp;" - ₹"&amp;H36&amp;" due",IF(H36&gt;0,"ℹ️ "&amp;B36&amp;" - ₹"&amp;H36&amp;" pending","✅ Paid")))</f>
        <v>✅ Paid</v>
      </c>
    </row>
    <row r="37" spans="1:9" ht="16" x14ac:dyDescent="0.2">
      <c r="A37" s="24">
        <v>45890</v>
      </c>
      <c r="B37" s="23" t="s">
        <v>150</v>
      </c>
      <c r="C37" s="23" t="s">
        <v>151</v>
      </c>
      <c r="D37" s="17">
        <v>1</v>
      </c>
      <c r="E37" s="25">
        <v>4000</v>
      </c>
      <c r="F37" s="25">
        <f>Table245[[#This Row],[Rate /Trips]]*Table245[[#This Row],[Trips]]</f>
        <v>4000</v>
      </c>
      <c r="G37" s="25">
        <v>4000</v>
      </c>
      <c r="H37" s="25">
        <f>Table245[[#This Row],[Total Value]]-Table245[[#This Row],[Received]]</f>
        <v>0</v>
      </c>
      <c r="I37" s="9" t="str">
        <f>IF(H37&gt;10000,"🚨 URGENT: "&amp;B37&amp;" owes ₹"&amp;H37,IF(H37&gt;5000,"⚠️ WARNING: "&amp;B37&amp;" - ₹"&amp;H37&amp;" due",IF(H37&gt;0,"ℹ️ "&amp;B37&amp;" - ₹"&amp;H37&amp;" pending","✅ Paid")))</f>
        <v>✅ Paid</v>
      </c>
    </row>
    <row r="38" spans="1:9" ht="16" x14ac:dyDescent="0.2">
      <c r="A38" s="24">
        <v>45891</v>
      </c>
      <c r="B38" s="23" t="s">
        <v>153</v>
      </c>
      <c r="C38" s="23" t="s">
        <v>154</v>
      </c>
      <c r="D38" s="17">
        <v>2</v>
      </c>
      <c r="E38" s="25">
        <v>5000</v>
      </c>
      <c r="F38" s="25">
        <f>Table245[[#This Row],[Rate /Trips]]*Table245[[#This Row],[Trips]]</f>
        <v>10000</v>
      </c>
      <c r="G38" s="25">
        <v>10000</v>
      </c>
      <c r="H38" s="25">
        <f>Table245[[#This Row],[Total Value]]-Table245[[#This Row],[Received]]</f>
        <v>0</v>
      </c>
      <c r="I38" s="9" t="str">
        <f>IF(H38&gt;10000,"🚨 URGENT: "&amp;B38&amp;" owes ₹"&amp;H38,IF(H38&gt;5000,"⚠️ WARNING: "&amp;B38&amp;" - ₹"&amp;H38&amp;" due",IF(H38&gt;0,"ℹ️ "&amp;B38&amp;" - ₹"&amp;H38&amp;" pending","✅ Paid")))</f>
        <v>✅ Paid</v>
      </c>
    </row>
    <row r="39" spans="1:9" ht="16" x14ac:dyDescent="0.2">
      <c r="A39" s="24">
        <v>45891</v>
      </c>
      <c r="B39" s="23" t="s">
        <v>155</v>
      </c>
      <c r="C39" s="23" t="s">
        <v>156</v>
      </c>
      <c r="D39" s="17">
        <v>1</v>
      </c>
      <c r="E39" s="25">
        <v>7000</v>
      </c>
      <c r="F39" s="25">
        <f>Table245[[#This Row],[Rate /Trips]]*Table245[[#This Row],[Trips]]</f>
        <v>7000</v>
      </c>
      <c r="G39" s="25">
        <v>7000</v>
      </c>
      <c r="H39" s="25">
        <f>Table245[[#This Row],[Total Value]]-Table245[[#This Row],[Received]]</f>
        <v>0</v>
      </c>
      <c r="I39" s="9" t="str">
        <f>IF(H39&gt;10000,"🚨 URGENT: "&amp;B39&amp;" owes ₹"&amp;H39,IF(H39&gt;5000,"⚠️ WARNING: "&amp;B39&amp;" - ₹"&amp;H39&amp;" due",IF(H39&gt;0,"ℹ️ "&amp;B39&amp;" - ₹"&amp;H39&amp;" pending","✅ Paid")))</f>
        <v>✅ Paid</v>
      </c>
    </row>
    <row r="40" spans="1:9" ht="16" x14ac:dyDescent="0.2">
      <c r="A40" s="24">
        <v>45891</v>
      </c>
      <c r="B40" s="23" t="s">
        <v>303</v>
      </c>
      <c r="C40" s="23" t="s">
        <v>157</v>
      </c>
      <c r="D40" s="17">
        <v>1</v>
      </c>
      <c r="E40" s="25">
        <v>800</v>
      </c>
      <c r="F40" s="25">
        <f>Table245[[#This Row],[Rate /Trips]]*Table245[[#This Row],[Trips]]</f>
        <v>800</v>
      </c>
      <c r="G40" s="25">
        <v>800</v>
      </c>
      <c r="H40" s="25">
        <f>Table245[[#This Row],[Total Value]]-Table245[[#This Row],[Received]]</f>
        <v>0</v>
      </c>
      <c r="I40" s="9" t="str">
        <f>IF(H40&gt;10000,"🚨 URGENT: "&amp;B40&amp;" owes ₹"&amp;H40,IF(H40&gt;5000,"⚠️ WARNING: "&amp;B40&amp;" - ₹"&amp;H40&amp;" due",IF(H40&gt;0,"ℹ️ "&amp;B40&amp;" - ₹"&amp;H40&amp;" pending","✅ Paid")))</f>
        <v>✅ Paid</v>
      </c>
    </row>
    <row r="41" spans="1:9" ht="16" x14ac:dyDescent="0.2">
      <c r="A41" s="24">
        <v>45892</v>
      </c>
      <c r="B41" s="23" t="s">
        <v>304</v>
      </c>
      <c r="C41" s="23" t="s">
        <v>157</v>
      </c>
      <c r="D41" s="17">
        <v>9</v>
      </c>
      <c r="E41" s="25">
        <v>800</v>
      </c>
      <c r="F41" s="25">
        <f>Table245[[#This Row],[Rate /Trips]]*Table245[[#This Row],[Trips]]</f>
        <v>7200</v>
      </c>
      <c r="G41" s="25">
        <v>7200</v>
      </c>
      <c r="H41" s="25">
        <f>Table245[[#This Row],[Total Value]]-Table245[[#This Row],[Received]]</f>
        <v>0</v>
      </c>
      <c r="I41" s="9" t="str">
        <f>IF(H41&gt;10000,"🚨 URGENT: "&amp;B41&amp;" owes ₹"&amp;H41,IF(H41&gt;5000,"⚠️ WARNING: "&amp;B41&amp;" - ₹"&amp;H41&amp;" due",IF(H41&gt;0,"ℹ️ "&amp;B41&amp;" - ₹"&amp;H41&amp;" pending","✅ Paid")))</f>
        <v>✅ Paid</v>
      </c>
    </row>
    <row r="42" spans="1:9" ht="16" x14ac:dyDescent="0.2">
      <c r="A42" s="24">
        <v>45894</v>
      </c>
      <c r="B42" s="23" t="s">
        <v>104</v>
      </c>
      <c r="C42" s="23" t="s">
        <v>105</v>
      </c>
      <c r="D42" s="17">
        <v>1</v>
      </c>
      <c r="E42" s="25">
        <v>0</v>
      </c>
      <c r="F42" s="25">
        <f>Table245[[#This Row],[Rate /Trips]]*Table245[[#This Row],[Trips]]</f>
        <v>0</v>
      </c>
      <c r="G42" s="25">
        <v>0</v>
      </c>
      <c r="H42" s="25">
        <f>Table245[[#This Row],[Total Value]]-Table245[[#This Row],[Received]]</f>
        <v>0</v>
      </c>
      <c r="I42" s="9" t="str">
        <f>IF(H42&gt;10000,"🚨 URGENT: "&amp;B42&amp;" owes ₹"&amp;H42,IF(H42&gt;5000,"⚠️ WARNING: "&amp;B42&amp;" - ₹"&amp;H42&amp;" due",IF(H42&gt;0,"ℹ️ "&amp;B42&amp;" - ₹"&amp;H42&amp;" pending","✅ Paid")))</f>
        <v>✅ Paid</v>
      </c>
    </row>
    <row r="43" spans="1:9" ht="16" x14ac:dyDescent="0.2">
      <c r="A43" s="24">
        <v>45894</v>
      </c>
      <c r="B43" s="23" t="s">
        <v>199</v>
      </c>
      <c r="C43" s="23" t="s">
        <v>4</v>
      </c>
      <c r="D43" s="17">
        <v>1</v>
      </c>
      <c r="E43" s="25">
        <v>4000</v>
      </c>
      <c r="F43" s="25">
        <f>Table245[[#This Row],[Rate /Trips]]*Table245[[#This Row],[Trips]]</f>
        <v>4000</v>
      </c>
      <c r="G43" s="25">
        <v>4000</v>
      </c>
      <c r="H43" s="25">
        <f>Table245[[#This Row],[Total Value]]-Table245[[#This Row],[Received]]</f>
        <v>0</v>
      </c>
      <c r="I43" s="9" t="str">
        <f>IF(H43&gt;10000,"🚨 URGENT: "&amp;B43&amp;" owes ₹"&amp;H43,IF(H43&gt;5000,"⚠️ WARNING: "&amp;B43&amp;" - ₹"&amp;H43&amp;" due",IF(H43&gt;0,"ℹ️ "&amp;B43&amp;" - ₹"&amp;H43&amp;" pending","✅ Paid")))</f>
        <v>✅ Paid</v>
      </c>
    </row>
    <row r="44" spans="1:9" ht="16" x14ac:dyDescent="0.2">
      <c r="A44" s="24">
        <v>45894</v>
      </c>
      <c r="B44" s="23" t="s">
        <v>159</v>
      </c>
      <c r="C44" s="23" t="s">
        <v>4</v>
      </c>
      <c r="D44" s="17">
        <v>1</v>
      </c>
      <c r="E44" s="25">
        <v>4000</v>
      </c>
      <c r="F44" s="25">
        <f>Table245[[#This Row],[Rate /Trips]]*Table245[[#This Row],[Trips]]</f>
        <v>4000</v>
      </c>
      <c r="G44" s="25">
        <v>4000</v>
      </c>
      <c r="H44" s="25">
        <f>Table245[[#This Row],[Total Value]]-Table245[[#This Row],[Received]]</f>
        <v>0</v>
      </c>
      <c r="I44" s="9" t="str">
        <f>IF(H44&gt;10000,"🚨 URGENT: "&amp;B44&amp;" owes ₹"&amp;H44,IF(H44&gt;5000,"⚠️ WARNING: "&amp;B44&amp;" - ₹"&amp;H44&amp;" due",IF(H44&gt;0,"ℹ️ "&amp;B44&amp;" - ₹"&amp;H44&amp;" pending","✅ Paid")))</f>
        <v>✅ Paid</v>
      </c>
    </row>
    <row r="45" spans="1:9" ht="16" x14ac:dyDescent="0.2">
      <c r="A45" s="24">
        <v>45894</v>
      </c>
      <c r="B45" s="23" t="s">
        <v>158</v>
      </c>
      <c r="C45" s="23" t="s">
        <v>6</v>
      </c>
      <c r="D45" s="17">
        <v>2</v>
      </c>
      <c r="E45" s="25">
        <v>5000</v>
      </c>
      <c r="F45" s="25">
        <f>Table245[[#This Row],[Rate /Trips]]*Table245[[#This Row],[Trips]]</f>
        <v>10000</v>
      </c>
      <c r="G45" s="25">
        <v>10000</v>
      </c>
      <c r="H45" s="25">
        <f>Table245[[#This Row],[Total Value]]-Table245[[#This Row],[Received]]</f>
        <v>0</v>
      </c>
      <c r="I45" s="9" t="str">
        <f>IF(H45&gt;10000,"🚨 URGENT: "&amp;B45&amp;" owes ₹"&amp;H45,IF(H45&gt;5000,"⚠️ WARNING: "&amp;B45&amp;" - ₹"&amp;H45&amp;" due",IF(H45&gt;0,"ℹ️ "&amp;B45&amp;" - ₹"&amp;H45&amp;" pending","✅ Paid")))</f>
        <v>✅ Paid</v>
      </c>
    </row>
    <row r="46" spans="1:9" ht="16" x14ac:dyDescent="0.2">
      <c r="A46" s="24">
        <v>45895</v>
      </c>
      <c r="B46" s="23" t="s">
        <v>303</v>
      </c>
      <c r="C46" s="23" t="s">
        <v>157</v>
      </c>
      <c r="D46" s="17">
        <v>12</v>
      </c>
      <c r="E46" s="25">
        <v>800</v>
      </c>
      <c r="F46" s="25">
        <f>Table245[[#This Row],[Rate /Trips]]*Table245[[#This Row],[Trips]]</f>
        <v>9600</v>
      </c>
      <c r="G46" s="25">
        <v>9600</v>
      </c>
      <c r="H46" s="25">
        <f>Table245[[#This Row],[Total Value]]-Table245[[#This Row],[Received]]</f>
        <v>0</v>
      </c>
      <c r="I46" s="9" t="str">
        <f>IF(H46&gt;10000,"🚨 URGENT: "&amp;B46&amp;" owes ₹"&amp;H46,IF(H46&gt;5000,"⚠️ WARNING: "&amp;B46&amp;" - ₹"&amp;H46&amp;" due",IF(H46&gt;0,"ℹ️ "&amp;B46&amp;" - ₹"&amp;H46&amp;" pending","✅ Paid")))</f>
        <v>✅ Paid</v>
      </c>
    </row>
    <row r="47" spans="1:9" ht="16" x14ac:dyDescent="0.2">
      <c r="A47" s="24">
        <v>45896</v>
      </c>
      <c r="B47" s="23" t="s">
        <v>160</v>
      </c>
      <c r="C47" s="23" t="s">
        <v>123</v>
      </c>
      <c r="D47" s="17">
        <v>1</v>
      </c>
      <c r="E47" s="25">
        <v>5000</v>
      </c>
      <c r="F47" s="25">
        <f>Table245[[#This Row],[Rate /Trips]]*Table245[[#This Row],[Trips]]</f>
        <v>5000</v>
      </c>
      <c r="G47" s="25">
        <v>5000</v>
      </c>
      <c r="H47" s="25">
        <f>Table245[[#This Row],[Total Value]]-Table245[[#This Row],[Received]]</f>
        <v>0</v>
      </c>
      <c r="I47" s="9" t="str">
        <f>IF(H47&gt;10000,"🚨 URGENT: "&amp;B47&amp;" owes ₹"&amp;H47,IF(H47&gt;5000,"⚠️ WARNING: "&amp;B47&amp;" - ₹"&amp;H47&amp;" due",IF(H47&gt;0,"ℹ️ "&amp;B47&amp;" - ₹"&amp;H47&amp;" pending","✅ Paid")))</f>
        <v>✅ Paid</v>
      </c>
    </row>
    <row r="48" spans="1:9" ht="16" x14ac:dyDescent="0.2">
      <c r="A48" s="24">
        <v>45900</v>
      </c>
      <c r="B48" s="23" t="s">
        <v>132</v>
      </c>
      <c r="C48" s="23" t="s">
        <v>83</v>
      </c>
      <c r="D48" s="17">
        <v>3</v>
      </c>
      <c r="E48" s="25">
        <v>5500</v>
      </c>
      <c r="F48" s="25">
        <f>Table245[[#This Row],[Rate /Trips]]*Table245[[#This Row],[Trips]]</f>
        <v>16500</v>
      </c>
      <c r="G48" s="25">
        <v>16500</v>
      </c>
      <c r="H48" s="25">
        <f>Table245[[#This Row],[Total Value]]-Table245[[#This Row],[Received]]</f>
        <v>0</v>
      </c>
      <c r="I48" s="9" t="str">
        <f>IF(H48&gt;10000,"🚨 URGENT: "&amp;B48&amp;" owes ₹"&amp;H48,IF(H48&gt;5000,"⚠️ WARNING: "&amp;B48&amp;" - ₹"&amp;H48&amp;" due",IF(H48&gt;0,"ℹ️ "&amp;B48&amp;" - ₹"&amp;H48&amp;" pending","✅ Paid")))</f>
        <v>✅ Paid</v>
      </c>
    </row>
    <row r="49" spans="1:9" ht="16" x14ac:dyDescent="0.2">
      <c r="A49" s="24">
        <v>45900</v>
      </c>
      <c r="B49" s="23" t="s">
        <v>161</v>
      </c>
      <c r="C49" s="23" t="s">
        <v>123</v>
      </c>
      <c r="D49" s="17">
        <v>1</v>
      </c>
      <c r="E49" s="25">
        <v>5000</v>
      </c>
      <c r="F49" s="25">
        <f>Table245[[#This Row],[Rate /Trips]]*Table245[[#This Row],[Trips]]</f>
        <v>5000</v>
      </c>
      <c r="G49" s="25">
        <v>5000</v>
      </c>
      <c r="H49" s="25">
        <f>Table245[[#This Row],[Total Value]]-Table245[[#This Row],[Received]]</f>
        <v>0</v>
      </c>
      <c r="I49" s="9" t="str">
        <f>IF(H49&gt;10000,"🚨 URGENT: "&amp;B49&amp;" owes ₹"&amp;H49,IF(H49&gt;5000,"⚠️ WARNING: "&amp;B49&amp;" - ₹"&amp;H49&amp;" due",IF(H49&gt;0,"ℹ️ "&amp;B49&amp;" - ₹"&amp;H49&amp;" pending","✅ Paid")))</f>
        <v>✅ Paid</v>
      </c>
    </row>
    <row r="50" spans="1:9" ht="16" x14ac:dyDescent="0.2">
      <c r="A50" s="3"/>
      <c r="B50" s="2"/>
      <c r="C50" s="2"/>
      <c r="D50" s="2"/>
      <c r="E50" s="16"/>
      <c r="F50" s="16"/>
      <c r="G50" s="16"/>
      <c r="H50" s="16"/>
      <c r="I50" s="9"/>
    </row>
    <row r="51" spans="1:9" ht="16" x14ac:dyDescent="0.2">
      <c r="A51" s="24"/>
      <c r="B51" s="23"/>
      <c r="C51" s="23"/>
      <c r="D51" s="17"/>
      <c r="E51" s="25"/>
      <c r="F51" s="25"/>
      <c r="G51" s="25"/>
      <c r="H51" s="25"/>
      <c r="I51" s="9"/>
    </row>
    <row r="52" spans="1:9" ht="16" x14ac:dyDescent="0.2">
      <c r="A52" s="24"/>
      <c r="B52" s="23"/>
      <c r="C52" s="23"/>
      <c r="D52" s="17"/>
      <c r="E52" s="25"/>
      <c r="F52" s="25"/>
      <c r="G52" s="25"/>
      <c r="H52" s="25"/>
      <c r="I52" s="9"/>
    </row>
    <row r="53" spans="1:9" ht="16" x14ac:dyDescent="0.2">
      <c r="A53" s="24"/>
      <c r="B53" s="23"/>
      <c r="C53" s="23"/>
      <c r="D53" s="17"/>
      <c r="E53" s="25"/>
      <c r="F53" s="25"/>
      <c r="G53" s="25"/>
      <c r="H53" s="25"/>
      <c r="I53" s="9"/>
    </row>
    <row r="54" spans="1:9" ht="16" x14ac:dyDescent="0.2">
      <c r="A54" s="24"/>
      <c r="B54" s="23"/>
      <c r="C54" s="23"/>
      <c r="D54" s="17"/>
      <c r="E54" s="25"/>
      <c r="F54" s="25"/>
      <c r="G54" s="25"/>
      <c r="H54" s="25"/>
      <c r="I54" s="9"/>
    </row>
    <row r="55" spans="1:9" ht="16" x14ac:dyDescent="0.2">
      <c r="A55" s="24"/>
      <c r="B55" s="23"/>
      <c r="C55" s="23"/>
      <c r="D55" s="17"/>
      <c r="E55" s="25"/>
      <c r="F55" s="25"/>
      <c r="G55" s="25"/>
      <c r="H55" s="25"/>
      <c r="I55" s="9"/>
    </row>
    <row r="56" spans="1:9" ht="16" x14ac:dyDescent="0.2">
      <c r="A56" s="24"/>
      <c r="B56" s="23"/>
      <c r="C56" s="23"/>
      <c r="D56" s="17"/>
      <c r="E56" s="25"/>
      <c r="F56" s="25"/>
      <c r="G56" s="25"/>
      <c r="H56" s="25"/>
      <c r="I56" s="9"/>
    </row>
    <row r="57" spans="1:9" ht="16" x14ac:dyDescent="0.2">
      <c r="A57" s="24"/>
      <c r="B57" s="23"/>
      <c r="C57" s="23"/>
      <c r="D57" s="17"/>
      <c r="E57" s="25"/>
      <c r="F57" s="25">
        <f>Table245[[#This Row],[Rate /Trips]]*Table245[[#This Row],[Trips]]</f>
        <v>0</v>
      </c>
      <c r="G57" s="25"/>
      <c r="H57" s="25">
        <f>Table245[[#This Row],[Total Value]]-Table245[[#This Row],[Received]]</f>
        <v>0</v>
      </c>
      <c r="I57" s="9" t="str">
        <f>IF(H57&gt;10000,"🚨 URGENT: "&amp;B57&amp;" owes ₹"&amp;H57,IF(H57&gt;5000,"⚠️ WARNING: "&amp;B57&amp;" - ₹"&amp;H57&amp;" due",IF(H57&gt;0,"ℹ️ "&amp;B57&amp;" - ₹"&amp;H57&amp;" pending","✅ Paid")))</f>
        <v>✅ Paid</v>
      </c>
    </row>
    <row r="58" spans="1:9" ht="16" x14ac:dyDescent="0.2">
      <c r="A58" s="24"/>
      <c r="B58" s="23"/>
      <c r="C58" s="23"/>
      <c r="D58" s="17"/>
      <c r="E58" s="25"/>
      <c r="F58" s="25"/>
      <c r="G58" s="25"/>
      <c r="H58" s="25"/>
      <c r="I58" s="9"/>
    </row>
    <row r="59" spans="1:9" ht="16" x14ac:dyDescent="0.2">
      <c r="A59" s="24"/>
      <c r="B59" s="23"/>
      <c r="C59" s="23"/>
      <c r="D59" s="17"/>
      <c r="E59" s="25"/>
      <c r="F59" s="25"/>
      <c r="G59" s="25"/>
      <c r="H59" s="25"/>
      <c r="I59" s="9"/>
    </row>
    <row r="60" spans="1:9" ht="16" x14ac:dyDescent="0.2">
      <c r="A60" s="24"/>
      <c r="B60" s="23"/>
      <c r="C60" s="23"/>
      <c r="D60" s="17"/>
      <c r="E60" s="25"/>
      <c r="F60" s="25"/>
      <c r="G60" s="25"/>
      <c r="H60" s="25"/>
      <c r="I60" s="9"/>
    </row>
    <row r="61" spans="1:9" ht="16" x14ac:dyDescent="0.2">
      <c r="A61" s="24"/>
      <c r="B61" s="23"/>
      <c r="C61" s="23"/>
      <c r="D61" s="17"/>
      <c r="E61" s="25"/>
      <c r="F61" s="25"/>
      <c r="G61" s="25"/>
      <c r="H61" s="25"/>
      <c r="I61" s="9"/>
    </row>
    <row r="62" spans="1:9" ht="16" x14ac:dyDescent="0.2">
      <c r="A62" s="24"/>
      <c r="B62" s="23"/>
      <c r="C62" s="23"/>
      <c r="D62" s="17"/>
      <c r="E62" s="25"/>
      <c r="F62" s="25"/>
      <c r="G62" s="25"/>
      <c r="H62" s="25"/>
      <c r="I62" s="9"/>
    </row>
    <row r="63" spans="1:9" ht="16" x14ac:dyDescent="0.2">
      <c r="A63" s="24"/>
      <c r="B63" s="23"/>
      <c r="C63" s="23"/>
      <c r="D63" s="17"/>
      <c r="E63" s="25"/>
      <c r="F63" s="25"/>
      <c r="G63" s="25"/>
      <c r="H63" s="25"/>
      <c r="I63" s="9"/>
    </row>
    <row r="64" spans="1:9" ht="16" x14ac:dyDescent="0.2">
      <c r="A64" s="24"/>
      <c r="B64" s="23"/>
      <c r="C64" s="23"/>
      <c r="D64" s="17"/>
      <c r="E64" s="25"/>
      <c r="F64" s="25"/>
      <c r="G64" s="25"/>
      <c r="H64" s="25"/>
      <c r="I64" s="9"/>
    </row>
    <row r="65" spans="1:9" ht="16" x14ac:dyDescent="0.2">
      <c r="A65" s="24"/>
      <c r="B65" s="23"/>
      <c r="C65" s="23"/>
      <c r="D65" s="17"/>
      <c r="E65" s="25"/>
      <c r="F65" s="25"/>
      <c r="G65" s="25"/>
      <c r="H65" s="25"/>
      <c r="I65" s="9"/>
    </row>
    <row r="66" spans="1:9" ht="16" x14ac:dyDescent="0.2">
      <c r="A66" s="24"/>
      <c r="B66" s="23"/>
      <c r="C66" s="23"/>
      <c r="D66" s="17"/>
      <c r="E66" s="25"/>
      <c r="F66" s="25"/>
      <c r="G66" s="25"/>
      <c r="H66" s="25"/>
      <c r="I66" s="9"/>
    </row>
    <row r="67" spans="1:9" ht="16" x14ac:dyDescent="0.2">
      <c r="A67" s="24"/>
      <c r="B67" s="23"/>
      <c r="C67" s="23"/>
      <c r="D67" s="17"/>
      <c r="E67" s="25"/>
      <c r="F67" s="25"/>
      <c r="G67" s="25"/>
      <c r="H67" s="25"/>
      <c r="I67" s="9"/>
    </row>
    <row r="68" spans="1:9" ht="16" x14ac:dyDescent="0.2">
      <c r="A68" s="24"/>
      <c r="B68" s="23"/>
      <c r="C68" s="23"/>
      <c r="D68" s="17"/>
      <c r="E68" s="25"/>
      <c r="F68" s="25"/>
      <c r="G68" s="25"/>
      <c r="H68" s="25"/>
      <c r="I68" s="9"/>
    </row>
    <row r="69" spans="1:9" ht="16" x14ac:dyDescent="0.2">
      <c r="A69" s="24"/>
      <c r="B69" s="23"/>
      <c r="C69" s="23"/>
      <c r="D69" s="17"/>
      <c r="E69" s="25"/>
      <c r="F69" s="25"/>
      <c r="G69" s="25"/>
      <c r="H69" s="25"/>
      <c r="I69" s="9"/>
    </row>
    <row r="70" spans="1:9" ht="16" x14ac:dyDescent="0.2">
      <c r="A70" s="24"/>
      <c r="B70" s="23"/>
      <c r="C70" s="23"/>
      <c r="D70" s="17"/>
      <c r="E70" s="25"/>
      <c r="F70" s="25"/>
      <c r="G70" s="25"/>
      <c r="H70" s="25"/>
      <c r="I70" s="9"/>
    </row>
    <row r="71" spans="1:9" ht="24" x14ac:dyDescent="0.2">
      <c r="D71" s="21" t="s">
        <v>7</v>
      </c>
      <c r="E71" s="18"/>
      <c r="F71" s="21" t="s">
        <v>50</v>
      </c>
      <c r="G71" s="21" t="s">
        <v>49</v>
      </c>
      <c r="H71" s="21" t="s">
        <v>48</v>
      </c>
    </row>
    <row r="72" spans="1:9" ht="24" x14ac:dyDescent="0.2">
      <c r="D72" s="19">
        <f>SUM(D4:D70)</f>
        <v>142</v>
      </c>
      <c r="E72" s="18"/>
      <c r="F72" s="20">
        <f>SUM(F4:F70)</f>
        <v>365700</v>
      </c>
      <c r="G72" s="20">
        <f>SUM(G4:G70)</f>
        <v>365700</v>
      </c>
      <c r="H72" s="20">
        <f>SUM(H4:H70)</f>
        <v>0</v>
      </c>
    </row>
    <row r="76" spans="1:9" x14ac:dyDescent="0.2">
      <c r="C76" t="s">
        <v>305</v>
      </c>
    </row>
    <row r="77" spans="1:9" x14ac:dyDescent="0.2">
      <c r="C77" t="s">
        <v>306</v>
      </c>
    </row>
    <row r="80" spans="1:9" ht="29" x14ac:dyDescent="0.2">
      <c r="A80" s="42" t="s">
        <v>70</v>
      </c>
      <c r="B80" s="42"/>
      <c r="C80" s="42"/>
      <c r="D80" s="42"/>
    </row>
    <row r="81" spans="1:4" x14ac:dyDescent="0.2">
      <c r="A81" s="43" t="s">
        <v>198</v>
      </c>
      <c r="B81" s="43"/>
      <c r="C81" s="43"/>
      <c r="D81" s="43"/>
    </row>
    <row r="82" spans="1:4" ht="16" x14ac:dyDescent="0.2">
      <c r="A82" s="15" t="s">
        <v>0</v>
      </c>
      <c r="B82" s="14" t="s">
        <v>69</v>
      </c>
      <c r="C82" s="14" t="s">
        <v>68</v>
      </c>
      <c r="D82" s="14" t="s">
        <v>1</v>
      </c>
    </row>
    <row r="83" spans="1:4" x14ac:dyDescent="0.2">
      <c r="A83" s="3"/>
      <c r="B83" s="22"/>
      <c r="C83" s="22"/>
      <c r="D83" s="2"/>
    </row>
    <row r="84" spans="1:4" ht="16" x14ac:dyDescent="0.2">
      <c r="A84" s="24">
        <v>45874</v>
      </c>
      <c r="B84" s="32" t="s">
        <v>192</v>
      </c>
      <c r="C84" s="32" t="s">
        <v>195</v>
      </c>
      <c r="D84" s="17">
        <v>2</v>
      </c>
    </row>
    <row r="85" spans="1:4" ht="16" x14ac:dyDescent="0.2">
      <c r="A85" s="24">
        <v>45875</v>
      </c>
      <c r="B85" s="32" t="s">
        <v>197</v>
      </c>
      <c r="C85" s="32" t="s">
        <v>196</v>
      </c>
      <c r="D85" s="17">
        <v>2</v>
      </c>
    </row>
    <row r="86" spans="1:4" ht="16" x14ac:dyDescent="0.2">
      <c r="A86" s="24">
        <v>45875</v>
      </c>
      <c r="B86" s="32" t="s">
        <v>187</v>
      </c>
      <c r="C86" s="32" t="s">
        <v>189</v>
      </c>
      <c r="D86" s="17">
        <v>10</v>
      </c>
    </row>
    <row r="87" spans="1:4" ht="16" x14ac:dyDescent="0.2">
      <c r="A87" s="24">
        <v>45876</v>
      </c>
      <c r="B87" s="32" t="s">
        <v>187</v>
      </c>
      <c r="C87" s="32" t="s">
        <v>188</v>
      </c>
      <c r="D87" s="17">
        <v>2</v>
      </c>
    </row>
    <row r="88" spans="1:4" ht="16" x14ac:dyDescent="0.2">
      <c r="A88" s="24">
        <v>45877</v>
      </c>
      <c r="B88" s="32" t="s">
        <v>197</v>
      </c>
      <c r="C88" s="32" t="s">
        <v>196</v>
      </c>
      <c r="D88" s="17">
        <v>2</v>
      </c>
    </row>
    <row r="89" spans="1:4" x14ac:dyDescent="0.2">
      <c r="A89" s="24"/>
      <c r="B89" s="23"/>
      <c r="C89" s="23"/>
      <c r="D89" s="17"/>
    </row>
    <row r="90" spans="1:4" ht="24" x14ac:dyDescent="0.2">
      <c r="D90" s="21" t="s">
        <v>7</v>
      </c>
    </row>
    <row r="91" spans="1:4" ht="24" x14ac:dyDescent="0.2">
      <c r="D91" s="19">
        <f>SUM(D83:D89)</f>
        <v>18</v>
      </c>
    </row>
  </sheetData>
  <mergeCells count="4">
    <mergeCell ref="A1:I1"/>
    <mergeCell ref="A2:I2"/>
    <mergeCell ref="A80:D80"/>
    <mergeCell ref="A81:D81"/>
  </mergeCells>
  <conditionalFormatting sqref="I4:I70">
    <cfRule type="containsText" dxfId="23" priority="1" operator="containsText" text="✅">
      <formula>NOT(ISERROR(SEARCH("✅",I4)))</formula>
    </cfRule>
    <cfRule type="containsText" dxfId="22" priority="2" operator="containsText" text="ℹ️">
      <formula>NOT(ISERROR(SEARCH("ℹ️",I4)))</formula>
    </cfRule>
    <cfRule type="containsText" dxfId="21" priority="3" operator="containsText" text="⚠️">
      <formula>NOT(ISERROR(SEARCH("⚠️",I4)))</formula>
    </cfRule>
    <cfRule type="containsText" dxfId="20" priority="4" operator="containsText" text="🚨">
      <formula>NOT(ISERROR(SEARCH("🚨",I4)))</formula>
    </cfRule>
  </conditionalFormatting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B6DBA-D061-1C4D-A94D-B1181F667E30}">
  <sheetPr codeName="Sheet9"/>
  <dimension ref="A1:I90"/>
  <sheetViews>
    <sheetView zoomScale="130" zoomScaleNormal="130" workbookViewId="0">
      <pane ySplit="3" topLeftCell="A57" activePane="bottomLeft" state="frozen"/>
      <selection pane="bottomLeft" activeCell="C60" sqref="C60:D77"/>
    </sheetView>
  </sheetViews>
  <sheetFormatPr baseColWidth="10" defaultColWidth="11.5" defaultRowHeight="15" x14ac:dyDescent="0.2"/>
  <cols>
    <col min="1" max="1" width="26.83203125" bestFit="1" customWidth="1"/>
    <col min="2" max="2" width="25.83203125" bestFit="1" customWidth="1"/>
    <col min="3" max="3" width="24" bestFit="1" customWidth="1"/>
    <col min="4" max="4" width="16.5" bestFit="1" customWidth="1"/>
    <col min="5" max="5" width="16.33203125" bestFit="1" customWidth="1"/>
    <col min="6" max="6" width="20.33203125" bestFit="1" customWidth="1"/>
    <col min="7" max="7" width="20" bestFit="1" customWidth="1"/>
    <col min="8" max="8" width="20.6640625" bestFit="1" customWidth="1"/>
    <col min="9" max="9" width="55.5" bestFit="1" customWidth="1"/>
  </cols>
  <sheetData>
    <row r="1" spans="1:9" ht="29" x14ac:dyDescent="0.2">
      <c r="A1" s="42" t="s">
        <v>70</v>
      </c>
      <c r="B1" s="42"/>
      <c r="C1" s="42"/>
      <c r="D1" s="42"/>
      <c r="E1" s="42"/>
      <c r="F1" s="42"/>
      <c r="G1" s="42"/>
      <c r="H1" s="42"/>
      <c r="I1" s="42"/>
    </row>
    <row r="2" spans="1:9" x14ac:dyDescent="0.2">
      <c r="A2" s="43" t="s">
        <v>162</v>
      </c>
      <c r="B2" s="43"/>
      <c r="C2" s="43"/>
      <c r="D2" s="43"/>
      <c r="E2" s="43"/>
      <c r="F2" s="43"/>
      <c r="G2" s="43"/>
      <c r="H2" s="43"/>
      <c r="I2" s="43"/>
    </row>
    <row r="3" spans="1:9" ht="16" x14ac:dyDescent="0.2">
      <c r="A3" s="15" t="s">
        <v>0</v>
      </c>
      <c r="B3" s="14" t="s">
        <v>69</v>
      </c>
      <c r="C3" s="14" t="s">
        <v>68</v>
      </c>
      <c r="D3" s="14" t="s">
        <v>1</v>
      </c>
      <c r="E3" s="13" t="s">
        <v>67</v>
      </c>
      <c r="F3" s="13" t="s">
        <v>50</v>
      </c>
      <c r="G3" s="13" t="s">
        <v>66</v>
      </c>
      <c r="H3" s="13" t="s">
        <v>2</v>
      </c>
      <c r="I3" s="13" t="s">
        <v>65</v>
      </c>
    </row>
    <row r="4" spans="1:9" ht="16" x14ac:dyDescent="0.2">
      <c r="A4" s="24">
        <v>45901</v>
      </c>
      <c r="B4" s="22" t="s">
        <v>164</v>
      </c>
      <c r="C4" s="22" t="s">
        <v>148</v>
      </c>
      <c r="D4" s="2">
        <v>1</v>
      </c>
      <c r="E4" s="25">
        <v>5000</v>
      </c>
      <c r="F4" s="25">
        <f>Table2456[[#This Row],[Rate /Trips]]*Table2456[[#This Row],[Trips]]</f>
        <v>5000</v>
      </c>
      <c r="G4" s="25">
        <v>5000</v>
      </c>
      <c r="H4" s="25">
        <f>Table2456[[#This Row],[Total Value]]-Table2456[[#This Row],[Received]]</f>
        <v>0</v>
      </c>
      <c r="I4" s="9" t="str">
        <f>IF(H4&gt;10000,"🚨 URGENT: "&amp;B4&amp;" owes ₹"&amp;H4,IF(H4&gt;5000,"⚠️ WARNING: "&amp;B4&amp;" - ₹"&amp;H4&amp;" due",IF(H4&gt;0,"ℹ️ "&amp;B4&amp;" - ₹"&amp;H4&amp;" pending","✅ Paid")))</f>
        <v>✅ Paid</v>
      </c>
    </row>
    <row r="5" spans="1:9" ht="16" x14ac:dyDescent="0.2">
      <c r="A5" s="24">
        <v>45908</v>
      </c>
      <c r="B5" s="22" t="s">
        <v>87</v>
      </c>
      <c r="C5" s="22" t="s">
        <v>8</v>
      </c>
      <c r="D5" s="2">
        <v>1</v>
      </c>
      <c r="E5" s="25">
        <v>5500</v>
      </c>
      <c r="F5" s="25">
        <f>Table2456[[#This Row],[Rate /Trips]]*Table2456[[#This Row],[Trips]]</f>
        <v>5500</v>
      </c>
      <c r="G5" s="25">
        <v>5500</v>
      </c>
      <c r="H5" s="25">
        <f>Table2456[[#This Row],[Total Value]]-Table2456[[#This Row],[Received]]</f>
        <v>0</v>
      </c>
      <c r="I5" s="9" t="str">
        <f>IF(H5&gt;10000,"🚨 URGENT: "&amp;B5&amp;" owes ₹"&amp;H5,IF(H5&gt;5000,"⚠️ WARNING: "&amp;B5&amp;" - ₹"&amp;H5&amp;" due",IF(H5&gt;0,"ℹ️ "&amp;B5&amp;" - ₹"&amp;H5&amp;" pending","✅ Paid")))</f>
        <v>✅ Paid</v>
      </c>
    </row>
    <row r="6" spans="1:9" ht="16" x14ac:dyDescent="0.2">
      <c r="A6" s="24">
        <v>45908</v>
      </c>
      <c r="B6" s="22" t="s">
        <v>129</v>
      </c>
      <c r="C6" s="22" t="s">
        <v>105</v>
      </c>
      <c r="D6" s="2">
        <v>1</v>
      </c>
      <c r="E6" s="25">
        <v>0</v>
      </c>
      <c r="F6" s="25">
        <f>Table2456[[#This Row],[Rate /Trips]]*Table2456[[#This Row],[Trips]]</f>
        <v>0</v>
      </c>
      <c r="G6" s="25"/>
      <c r="H6" s="25">
        <f>Table2456[[#This Row],[Total Value]]-Table2456[[#This Row],[Received]]</f>
        <v>0</v>
      </c>
      <c r="I6" s="9" t="str">
        <f>IF(H6&gt;10000,"🚨 URGENT: "&amp;B6&amp;" owes ₹"&amp;H6,IF(H6&gt;5000,"⚠️ WARNING: "&amp;B6&amp;" - ₹"&amp;H6&amp;" due",IF(H6&gt;0,"ℹ️ "&amp;B6&amp;" - ₹"&amp;H6&amp;" pending","✅ Paid")))</f>
        <v>✅ Paid</v>
      </c>
    </row>
    <row r="7" spans="1:9" ht="16" x14ac:dyDescent="0.2">
      <c r="A7" s="24">
        <v>45908</v>
      </c>
      <c r="B7" s="22" t="s">
        <v>165</v>
      </c>
      <c r="C7" s="22" t="s">
        <v>4</v>
      </c>
      <c r="D7" s="2">
        <v>1</v>
      </c>
      <c r="E7" s="25">
        <v>5000</v>
      </c>
      <c r="F7" s="25">
        <f>Table2456[[#This Row],[Rate /Trips]]*Table2456[[#This Row],[Trips]]</f>
        <v>5000</v>
      </c>
      <c r="G7" s="25">
        <v>5000</v>
      </c>
      <c r="H7" s="25">
        <f>Table2456[[#This Row],[Total Value]]-Table2456[[#This Row],[Received]]</f>
        <v>0</v>
      </c>
      <c r="I7" s="9" t="str">
        <f>IF(H7&gt;10000,"🚨 URGENT: "&amp;B7&amp;" owes ₹"&amp;H7,IF(H7&gt;5000,"⚠️ WARNING: "&amp;B7&amp;" - ₹"&amp;H7&amp;" due",IF(H7&gt;0,"ℹ️ "&amp;B7&amp;" - ₹"&amp;H7&amp;" pending","✅ Paid")))</f>
        <v>✅ Paid</v>
      </c>
    </row>
    <row r="8" spans="1:9" ht="16" x14ac:dyDescent="0.2">
      <c r="A8" s="24">
        <v>45908</v>
      </c>
      <c r="B8" s="22" t="s">
        <v>165</v>
      </c>
      <c r="C8" s="22" t="s">
        <v>4</v>
      </c>
      <c r="D8" s="2">
        <v>1</v>
      </c>
      <c r="E8" s="25">
        <v>5000</v>
      </c>
      <c r="F8" s="25">
        <f>Table2456[[#This Row],[Rate /Trips]]*Table2456[[#This Row],[Trips]]</f>
        <v>5000</v>
      </c>
      <c r="G8" s="25">
        <v>5000</v>
      </c>
      <c r="H8" s="25">
        <f>Table2456[[#This Row],[Total Value]]-Table2456[[#This Row],[Received]]</f>
        <v>0</v>
      </c>
      <c r="I8" s="9" t="str">
        <f>IF(H8&gt;10000,"🚨 URGENT: "&amp;B8&amp;" owes ₹"&amp;H8,IF(H8&gt;5000,"⚠️ WARNING: "&amp;B8&amp;" - ₹"&amp;H8&amp;" due",IF(H8&gt;0,"ℹ️ "&amp;B8&amp;" - ₹"&amp;H8&amp;" pending","✅ Paid")))</f>
        <v>✅ Paid</v>
      </c>
    </row>
    <row r="9" spans="1:9" ht="16" x14ac:dyDescent="0.2">
      <c r="A9" s="24">
        <v>45908</v>
      </c>
      <c r="B9" s="22" t="s">
        <v>147</v>
      </c>
      <c r="C9" s="22" t="s">
        <v>3</v>
      </c>
      <c r="D9" s="2">
        <v>1</v>
      </c>
      <c r="E9" s="25">
        <v>5000</v>
      </c>
      <c r="F9" s="25">
        <f>Table2456[[#This Row],[Rate /Trips]]*Table2456[[#This Row],[Trips]]</f>
        <v>5000</v>
      </c>
      <c r="G9" s="25">
        <v>5000</v>
      </c>
      <c r="H9" s="25">
        <f>Table2456[[#This Row],[Total Value]]-Table2456[[#This Row],[Received]]</f>
        <v>0</v>
      </c>
      <c r="I9" s="9" t="str">
        <f>IF(H9&gt;10000,"🚨 URGENT: "&amp;B9&amp;" owes ₹"&amp;H9,IF(H9&gt;5000,"⚠️ WARNING: "&amp;B9&amp;" - ₹"&amp;H9&amp;" due",IF(H9&gt;0,"ℹ️ "&amp;B9&amp;" - ₹"&amp;H9&amp;" pending","✅ Paid")))</f>
        <v>✅ Paid</v>
      </c>
    </row>
    <row r="10" spans="1:9" ht="16" x14ac:dyDescent="0.2">
      <c r="A10" s="24">
        <v>45908</v>
      </c>
      <c r="B10" s="22" t="s">
        <v>272</v>
      </c>
      <c r="C10" s="22" t="s">
        <v>4</v>
      </c>
      <c r="D10" s="2">
        <v>1</v>
      </c>
      <c r="E10" s="25">
        <v>4000</v>
      </c>
      <c r="F10" s="25">
        <f>Table2456[[#This Row],[Rate /Trips]]*Table2456[[#This Row],[Trips]]</f>
        <v>4000</v>
      </c>
      <c r="G10" s="25">
        <v>4000</v>
      </c>
      <c r="H10" s="25">
        <f>Table2456[[#This Row],[Total Value]]-Table2456[[#This Row],[Received]]</f>
        <v>0</v>
      </c>
      <c r="I10" s="9" t="str">
        <f>IF(H10&gt;10000,"🚨 URGENT: "&amp;B10&amp;" owes ₹"&amp;H10,IF(H10&gt;5000,"⚠️ WARNING: "&amp;B10&amp;" - ₹"&amp;H10&amp;" due",IF(H10&gt;0,"ℹ️ "&amp;B10&amp;" - ₹"&amp;H10&amp;" pending","✅ Paid")))</f>
        <v>✅ Paid</v>
      </c>
    </row>
    <row r="11" spans="1:9" ht="16" x14ac:dyDescent="0.2">
      <c r="A11" s="24">
        <v>45909</v>
      </c>
      <c r="B11" s="23" t="s">
        <v>130</v>
      </c>
      <c r="C11" s="23" t="s">
        <v>166</v>
      </c>
      <c r="D11" s="17">
        <v>2</v>
      </c>
      <c r="E11" s="25">
        <v>1250</v>
      </c>
      <c r="F11" s="25">
        <f>Table2456[[#This Row],[Rate /Trips]]*Table2456[[#This Row],[Trips]]</f>
        <v>2500</v>
      </c>
      <c r="G11" s="25">
        <v>2500</v>
      </c>
      <c r="H11" s="25">
        <f>Table2456[[#This Row],[Total Value]]-Table2456[[#This Row],[Received]]</f>
        <v>0</v>
      </c>
      <c r="I11" s="9" t="str">
        <f>IF(H11&gt;10000,"🚨 URGENT: "&amp;B11&amp;" owes ₹"&amp;H11,IF(H11&gt;5000,"⚠️ WARNING: "&amp;B11&amp;" - ₹"&amp;H11&amp;" due",IF(H11&gt;0,"ℹ️ "&amp;B11&amp;" - ₹"&amp;H11&amp;" pending","✅ Paid")))</f>
        <v>✅ Paid</v>
      </c>
    </row>
    <row r="12" spans="1:9" ht="16" x14ac:dyDescent="0.2">
      <c r="A12" s="24">
        <v>45911</v>
      </c>
      <c r="B12" s="23" t="s">
        <v>130</v>
      </c>
      <c r="C12" s="23" t="s">
        <v>81</v>
      </c>
      <c r="D12" s="17">
        <v>1</v>
      </c>
      <c r="E12" s="25">
        <v>5000</v>
      </c>
      <c r="F12" s="25">
        <f>Table2456[[#This Row],[Rate /Trips]]*Table2456[[#This Row],[Trips]]</f>
        <v>5000</v>
      </c>
      <c r="G12" s="25">
        <v>5000</v>
      </c>
      <c r="H12" s="25">
        <f>Table2456[[#This Row],[Total Value]]-Table2456[[#This Row],[Received]]</f>
        <v>0</v>
      </c>
      <c r="I12" s="9" t="str">
        <f>IF(H12&gt;10000,"🚨 URGENT: "&amp;B12&amp;" owes ₹"&amp;H12,IF(H12&gt;5000,"⚠️ WARNING: "&amp;B12&amp;" - ₹"&amp;H12&amp;" due",IF(H12&gt;0,"ℹ️ "&amp;B12&amp;" - ₹"&amp;H12&amp;" pending","✅ Paid")))</f>
        <v>✅ Paid</v>
      </c>
    </row>
    <row r="13" spans="1:9" ht="16" x14ac:dyDescent="0.2">
      <c r="A13" s="24">
        <v>45915</v>
      </c>
      <c r="B13" s="23" t="s">
        <v>165</v>
      </c>
      <c r="C13" s="23" t="s">
        <v>4</v>
      </c>
      <c r="D13" s="17">
        <v>1</v>
      </c>
      <c r="E13" s="25">
        <v>5000</v>
      </c>
      <c r="F13" s="25">
        <f>Table2456[[#This Row],[Rate /Trips]]*Table2456[[#This Row],[Trips]]</f>
        <v>5000</v>
      </c>
      <c r="G13" s="25">
        <v>5000</v>
      </c>
      <c r="H13" s="25">
        <f>Table2456[[#This Row],[Total Value]]-Table2456[[#This Row],[Received]]</f>
        <v>0</v>
      </c>
      <c r="I13" s="9" t="str">
        <f>IF(H13&gt;10000,"🚨 URGENT: "&amp;B13&amp;" owes ₹"&amp;H13,IF(H13&gt;5000,"⚠️ WARNING: "&amp;B13&amp;" - ₹"&amp;H13&amp;" due",IF(H13&gt;0,"ℹ️ "&amp;B13&amp;" - ₹"&amp;H13&amp;" pending","✅ Paid")))</f>
        <v>✅ Paid</v>
      </c>
    </row>
    <row r="14" spans="1:9" ht="16" x14ac:dyDescent="0.2">
      <c r="A14" s="24">
        <v>45915</v>
      </c>
      <c r="B14" s="23" t="s">
        <v>168</v>
      </c>
      <c r="C14" s="23" t="s">
        <v>4</v>
      </c>
      <c r="D14" s="17">
        <v>1</v>
      </c>
      <c r="E14" s="25">
        <v>4000</v>
      </c>
      <c r="F14" s="25">
        <f>Table2456[[#This Row],[Rate /Trips]]*Table2456[[#This Row],[Trips]]</f>
        <v>4000</v>
      </c>
      <c r="G14" s="25">
        <v>4000</v>
      </c>
      <c r="H14" s="25">
        <f>Table2456[[#This Row],[Total Value]]-Table2456[[#This Row],[Received]]</f>
        <v>0</v>
      </c>
      <c r="I14" s="9" t="str">
        <f>IF(H14&gt;10000,"🚨 URGENT: "&amp;B14&amp;" owes ₹"&amp;H14,IF(H14&gt;5000,"⚠️ WARNING: "&amp;B14&amp;" - ₹"&amp;H14&amp;" due",IF(H14&gt;0,"ℹ️ "&amp;B14&amp;" - ₹"&amp;H14&amp;" pending","✅ Paid")))</f>
        <v>✅ Paid</v>
      </c>
    </row>
    <row r="15" spans="1:9" ht="16" x14ac:dyDescent="0.2">
      <c r="A15" s="24">
        <v>45915</v>
      </c>
      <c r="B15" s="23" t="s">
        <v>130</v>
      </c>
      <c r="C15" s="23" t="s">
        <v>81</v>
      </c>
      <c r="D15" s="17">
        <v>1</v>
      </c>
      <c r="E15" s="25">
        <v>5000</v>
      </c>
      <c r="F15" s="25">
        <f>Table2456[[#This Row],[Rate /Trips]]*Table2456[[#This Row],[Trips]]</f>
        <v>5000</v>
      </c>
      <c r="G15" s="25">
        <v>5000</v>
      </c>
      <c r="H15" s="25">
        <f>Table2456[[#This Row],[Total Value]]-Table2456[[#This Row],[Received]]</f>
        <v>0</v>
      </c>
      <c r="I15" s="9" t="str">
        <f>IF(H15&gt;10000,"🚨 URGENT: "&amp;B15&amp;" owes ₹"&amp;H15,IF(H15&gt;5000,"⚠️ WARNING: "&amp;B15&amp;" - ₹"&amp;H15&amp;" due",IF(H15&gt;0,"ℹ️ "&amp;B15&amp;" - ₹"&amp;H15&amp;" pending","✅ Paid")))</f>
        <v>✅ Paid</v>
      </c>
    </row>
    <row r="16" spans="1:9" ht="16" x14ac:dyDescent="0.2">
      <c r="A16" s="24">
        <v>45915</v>
      </c>
      <c r="B16" s="23" t="s">
        <v>273</v>
      </c>
      <c r="C16" s="23" t="s">
        <v>6</v>
      </c>
      <c r="D16" s="17">
        <v>1</v>
      </c>
      <c r="E16" s="25">
        <v>5000</v>
      </c>
      <c r="F16" s="25">
        <f>Table2456[[#This Row],[Rate /Trips]]*Table2456[[#This Row],[Trips]]</f>
        <v>5000</v>
      </c>
      <c r="G16" s="25"/>
      <c r="H16" s="25">
        <f>Table2456[[#This Row],[Total Value]]-Table2456[[#This Row],[Received]]</f>
        <v>5000</v>
      </c>
      <c r="I16" s="9" t="str">
        <f>IF(H16&gt;10000,"🚨 URGENT: "&amp;B16&amp;" owes ₹"&amp;H16,IF(H16&gt;5000,"⚠️ WARNING: "&amp;B16&amp;" - ₹"&amp;H16&amp;" due",IF(H16&gt;0,"ℹ️ "&amp;B16&amp;" - ₹"&amp;H16&amp;" pending","✅ Paid")))</f>
        <v>ℹ️ Thackery ( Raj ) - ₹5000 pending</v>
      </c>
    </row>
    <row r="17" spans="1:9" ht="16" x14ac:dyDescent="0.2">
      <c r="A17" s="24">
        <v>45918</v>
      </c>
      <c r="B17" s="23" t="s">
        <v>169</v>
      </c>
      <c r="C17" s="23" t="s">
        <v>8</v>
      </c>
      <c r="D17" s="17">
        <v>1</v>
      </c>
      <c r="E17" s="25">
        <v>5000</v>
      </c>
      <c r="F17" s="25">
        <f>Table2456[[#This Row],[Rate /Trips]]*Table2456[[#This Row],[Trips]]</f>
        <v>5000</v>
      </c>
      <c r="G17" s="25">
        <v>5000</v>
      </c>
      <c r="H17" s="25">
        <f>Table2456[[#This Row],[Total Value]]-Table2456[[#This Row],[Received]]</f>
        <v>0</v>
      </c>
      <c r="I17" s="9" t="str">
        <f>IF(H17&gt;10000,"🚨 URGENT: "&amp;B17&amp;" owes ₹"&amp;H17,IF(H17&gt;5000,"⚠️ WARNING: "&amp;B17&amp;" - ₹"&amp;H17&amp;" due",IF(H17&gt;0,"ℹ️ "&amp;B17&amp;" - ₹"&amp;H17&amp;" pending","✅ Paid")))</f>
        <v>✅ Paid</v>
      </c>
    </row>
    <row r="18" spans="1:9" ht="16" x14ac:dyDescent="0.2">
      <c r="A18" s="24">
        <v>45918</v>
      </c>
      <c r="B18" s="23" t="s">
        <v>170</v>
      </c>
      <c r="C18" s="23" t="s">
        <v>6</v>
      </c>
      <c r="D18" s="17">
        <v>5</v>
      </c>
      <c r="E18" s="25">
        <v>5500</v>
      </c>
      <c r="F18" s="25">
        <f>Table2456[[#This Row],[Rate /Trips]]*Table2456[[#This Row],[Trips]]</f>
        <v>27500</v>
      </c>
      <c r="G18" s="25">
        <v>27500</v>
      </c>
      <c r="H18" s="25">
        <f>Table2456[[#This Row],[Total Value]]-Table2456[[#This Row],[Received]]</f>
        <v>0</v>
      </c>
      <c r="I18" s="9" t="str">
        <f>IF(H18&gt;10000,"🚨 URGENT: "&amp;B18&amp;" owes ₹"&amp;H18,IF(H18&gt;5000,"⚠️ WARNING: "&amp;B18&amp;" - ₹"&amp;H18&amp;" due",IF(H18&gt;0,"ℹ️ "&amp;B18&amp;" - ₹"&amp;H18&amp;" pending","✅ Paid")))</f>
        <v>✅ Paid</v>
      </c>
    </row>
    <row r="19" spans="1:9" ht="16" x14ac:dyDescent="0.2">
      <c r="A19" s="24">
        <v>45919</v>
      </c>
      <c r="B19" s="23" t="s">
        <v>165</v>
      </c>
      <c r="C19" s="23" t="s">
        <v>4</v>
      </c>
      <c r="D19" s="17">
        <v>1</v>
      </c>
      <c r="E19" s="25">
        <v>5000</v>
      </c>
      <c r="F19" s="25">
        <f>Table2456[[#This Row],[Rate /Trips]]*Table2456[[#This Row],[Trips]]</f>
        <v>5000</v>
      </c>
      <c r="G19" s="25">
        <v>5000</v>
      </c>
      <c r="H19" s="25">
        <f>Table2456[[#This Row],[Total Value]]-Table2456[[#This Row],[Received]]</f>
        <v>0</v>
      </c>
      <c r="I19" s="9" t="str">
        <f>IF(H19&gt;10000,"🚨 URGENT: "&amp;B19&amp;" owes ₹"&amp;H19,IF(H19&gt;5000,"⚠️ WARNING: "&amp;B19&amp;" - ₹"&amp;H19&amp;" due",IF(H19&gt;0,"ℹ️ "&amp;B19&amp;" - ₹"&amp;H19&amp;" pending","✅ Paid")))</f>
        <v>✅ Paid</v>
      </c>
    </row>
    <row r="20" spans="1:9" ht="16" x14ac:dyDescent="0.2">
      <c r="A20" s="24">
        <v>45919</v>
      </c>
      <c r="B20" s="23" t="s">
        <v>175</v>
      </c>
      <c r="C20" s="23" t="s">
        <v>173</v>
      </c>
      <c r="D20" s="17">
        <v>1</v>
      </c>
      <c r="E20" s="25">
        <v>5500</v>
      </c>
      <c r="F20" s="25">
        <f>Table2456[[#This Row],[Rate /Trips]]*Table2456[[#This Row],[Trips]]</f>
        <v>5500</v>
      </c>
      <c r="G20" s="25">
        <v>5500</v>
      </c>
      <c r="H20" s="25">
        <f>Table2456[[#This Row],[Total Value]]-Table2456[[#This Row],[Received]]</f>
        <v>0</v>
      </c>
      <c r="I20" s="9" t="str">
        <f>IF(H20&gt;10000,"🚨 URGENT: "&amp;B20&amp;" owes ₹"&amp;H20,IF(H20&gt;5000,"⚠️ WARNING: "&amp;B20&amp;" - ₹"&amp;H20&amp;" due",IF(H20&gt;0,"ℹ️ "&amp;B20&amp;" - ₹"&amp;H20&amp;" pending","✅ Paid")))</f>
        <v>✅ Paid</v>
      </c>
    </row>
    <row r="21" spans="1:9" ht="16" x14ac:dyDescent="0.2">
      <c r="A21" s="24">
        <v>45919</v>
      </c>
      <c r="B21" s="23" t="s">
        <v>172</v>
      </c>
      <c r="C21" s="23" t="s">
        <v>3</v>
      </c>
      <c r="D21" s="17">
        <v>1</v>
      </c>
      <c r="E21" s="25">
        <v>4500</v>
      </c>
      <c r="F21" s="25">
        <f>Table2456[[#This Row],[Rate /Trips]]*Table2456[[#This Row],[Trips]]</f>
        <v>4500</v>
      </c>
      <c r="G21" s="25">
        <v>4500</v>
      </c>
      <c r="H21" s="25">
        <f>Table2456[[#This Row],[Total Value]]-Table2456[[#This Row],[Received]]</f>
        <v>0</v>
      </c>
      <c r="I21" s="9" t="str">
        <f>IF(H21&gt;10000,"🚨 URGENT: "&amp;B21&amp;" owes ₹"&amp;H21,IF(H21&gt;5000,"⚠️ WARNING: "&amp;B21&amp;" - ₹"&amp;H21&amp;" due",IF(H21&gt;0,"ℹ️ "&amp;B21&amp;" - ₹"&amp;H21&amp;" pending","✅ Paid")))</f>
        <v>✅ Paid</v>
      </c>
    </row>
    <row r="22" spans="1:9" ht="16" x14ac:dyDescent="0.2">
      <c r="A22" s="24">
        <v>45919</v>
      </c>
      <c r="B22" s="23" t="s">
        <v>171</v>
      </c>
      <c r="C22" s="23" t="s">
        <v>3</v>
      </c>
      <c r="D22" s="17">
        <v>1</v>
      </c>
      <c r="E22" s="25">
        <v>4000</v>
      </c>
      <c r="F22" s="25">
        <f>Table2456[[#This Row],[Rate /Trips]]*Table2456[[#This Row],[Trips]]</f>
        <v>4000</v>
      </c>
      <c r="G22" s="25">
        <v>4000</v>
      </c>
      <c r="H22" s="25">
        <f>Table2456[[#This Row],[Total Value]]-Table2456[[#This Row],[Received]]</f>
        <v>0</v>
      </c>
      <c r="I22" s="9" t="str">
        <f>IF(H22&gt;10000,"🚨 URGENT: "&amp;B22&amp;" owes ₹"&amp;H22,IF(H22&gt;5000,"⚠️ WARNING: "&amp;B22&amp;" - ₹"&amp;H22&amp;" due",IF(H22&gt;0,"ℹ️ "&amp;B22&amp;" - ₹"&amp;H22&amp;" pending","✅ Paid")))</f>
        <v>✅ Paid</v>
      </c>
    </row>
    <row r="23" spans="1:9" ht="16" x14ac:dyDescent="0.2">
      <c r="A23" s="24">
        <v>45919</v>
      </c>
      <c r="B23" s="23" t="s">
        <v>174</v>
      </c>
      <c r="C23" s="23" t="s">
        <v>103</v>
      </c>
      <c r="D23" s="17">
        <v>2</v>
      </c>
      <c r="E23" s="25">
        <v>5500</v>
      </c>
      <c r="F23" s="25">
        <f>Table2456[[#This Row],[Rate /Trips]]*Table2456[[#This Row],[Trips]]</f>
        <v>11000</v>
      </c>
      <c r="G23" s="25">
        <v>11000</v>
      </c>
      <c r="H23" s="25">
        <f>Table2456[[#This Row],[Total Value]]-Table2456[[#This Row],[Received]]</f>
        <v>0</v>
      </c>
      <c r="I23" s="9" t="str">
        <f>IF(H23&gt;10000,"🚨 URGENT: "&amp;B23&amp;" owes ₹"&amp;H23,IF(H23&gt;5000,"⚠️ WARNING: "&amp;B23&amp;" - ₹"&amp;H23&amp;" due",IF(H23&gt;0,"ℹ️ "&amp;B23&amp;" - ₹"&amp;H23&amp;" pending","✅ Paid")))</f>
        <v>✅ Paid</v>
      </c>
    </row>
    <row r="24" spans="1:9" ht="16" x14ac:dyDescent="0.2">
      <c r="A24" s="24">
        <v>45920</v>
      </c>
      <c r="B24" s="23" t="s">
        <v>176</v>
      </c>
      <c r="C24" s="23" t="s">
        <v>4</v>
      </c>
      <c r="D24" s="17">
        <v>1</v>
      </c>
      <c r="E24" s="25">
        <v>5000</v>
      </c>
      <c r="F24" s="25">
        <f>Table2456[[#This Row],[Rate /Trips]]*Table2456[[#This Row],[Trips]]</f>
        <v>5000</v>
      </c>
      <c r="G24" s="25"/>
      <c r="H24" s="25">
        <f>Table2456[[#This Row],[Total Value]]-Table2456[[#This Row],[Received]]</f>
        <v>5000</v>
      </c>
      <c r="I24" s="9" t="str">
        <f>IF(H24&gt;10000,"🚨 URGENT: "&amp;B24&amp;" owes ₹"&amp;H24,IF(H24&gt;5000,"⚠️ WARNING: "&amp;B24&amp;" - ₹"&amp;H24&amp;" due",IF(H24&gt;0,"ℹ️ "&amp;B24&amp;" - ₹"&amp;H24&amp;" pending","✅ Paid")))</f>
        <v>ℹ️ Pramod Mistri ( Raj Dad ) - ₹5000 pending</v>
      </c>
    </row>
    <row r="25" spans="1:9" ht="16" x14ac:dyDescent="0.2">
      <c r="A25" s="24">
        <v>45921</v>
      </c>
      <c r="B25" s="33" t="s">
        <v>181</v>
      </c>
      <c r="C25" s="33" t="s">
        <v>4</v>
      </c>
      <c r="D25" s="17">
        <v>1</v>
      </c>
      <c r="E25" s="25">
        <v>5000</v>
      </c>
      <c r="F25" s="25">
        <f>Table2456[[#This Row],[Rate /Trips]]*Table2456[[#This Row],[Trips]]</f>
        <v>5000</v>
      </c>
      <c r="G25" s="25"/>
      <c r="H25" s="25">
        <f>Table2456[[#This Row],[Total Value]]-Table2456[[#This Row],[Received]]</f>
        <v>5000</v>
      </c>
      <c r="I25" s="9" t="str">
        <f>IF(H25&gt;10000,"🚨 URGENT: "&amp;B25&amp;" owes ₹"&amp;H25,IF(H25&gt;5000,"⚠️ WARNING: "&amp;B25&amp;" - ₹"&amp;H25&amp;" due",IF(H25&gt;0,"ℹ️ "&amp;B25&amp;" - ₹"&amp;H25&amp;" pending","✅ Paid")))</f>
        <v>ℹ️ Anil Khokle ( Raj Dad. ) - ₹5000 pending</v>
      </c>
    </row>
    <row r="26" spans="1:9" ht="16" x14ac:dyDescent="0.2">
      <c r="A26" s="24">
        <v>45921</v>
      </c>
      <c r="B26" s="33" t="s">
        <v>168</v>
      </c>
      <c r="C26" s="33" t="s">
        <v>4</v>
      </c>
      <c r="D26" s="17">
        <v>1</v>
      </c>
      <c r="E26" s="25">
        <v>5000</v>
      </c>
      <c r="F26" s="25">
        <f>Table2456[[#This Row],[Rate /Trips]]*Table2456[[#This Row],[Trips]]</f>
        <v>5000</v>
      </c>
      <c r="G26" s="25">
        <v>5000</v>
      </c>
      <c r="H26" s="25">
        <f>Table2456[[#This Row],[Total Value]]-Table2456[[#This Row],[Received]]</f>
        <v>0</v>
      </c>
      <c r="I26" s="9" t="str">
        <f>IF(H26&gt;10000,"🚨 URGENT: "&amp;B26&amp;" owes ₹"&amp;H26,IF(H26&gt;5000,"⚠️ WARNING: "&amp;B26&amp;" - ₹"&amp;H26&amp;" due",IF(H26&gt;0,"ℹ️ "&amp;B26&amp;" - ₹"&amp;H26&amp;" pending","✅ Paid")))</f>
        <v>✅ Paid</v>
      </c>
    </row>
    <row r="27" spans="1:9" ht="16" x14ac:dyDescent="0.2">
      <c r="A27" s="24">
        <v>45921</v>
      </c>
      <c r="B27" s="33" t="s">
        <v>98</v>
      </c>
      <c r="C27" s="33" t="s">
        <v>8</v>
      </c>
      <c r="D27" s="17">
        <v>1</v>
      </c>
      <c r="E27" s="25">
        <v>5000</v>
      </c>
      <c r="F27" s="25">
        <f>Table2456[[#This Row],[Rate /Trips]]*Table2456[[#This Row],[Trips]]</f>
        <v>5000</v>
      </c>
      <c r="G27" s="25">
        <v>5000</v>
      </c>
      <c r="H27" s="25">
        <f>Table2456[[#This Row],[Total Value]]-Table2456[[#This Row],[Received]]</f>
        <v>0</v>
      </c>
      <c r="I27" s="9" t="str">
        <f>IF(H27&gt;10000,"🚨 URGENT: "&amp;B27&amp;" owes ₹"&amp;H27,IF(H27&gt;5000,"⚠️ WARNING: "&amp;B27&amp;" - ₹"&amp;H27&amp;" due",IF(H27&gt;0,"ℹ️ "&amp;B27&amp;" - ₹"&amp;H27&amp;" pending","✅ Paid")))</f>
        <v>✅ Paid</v>
      </c>
    </row>
    <row r="28" spans="1:9" ht="16" x14ac:dyDescent="0.2">
      <c r="A28" s="24">
        <v>45921</v>
      </c>
      <c r="B28" s="33" t="s">
        <v>180</v>
      </c>
      <c r="C28" s="33" t="s">
        <v>4</v>
      </c>
      <c r="D28" s="17">
        <v>1</v>
      </c>
      <c r="E28" s="25">
        <v>5000</v>
      </c>
      <c r="F28" s="25">
        <f>Table2456[[#This Row],[Rate /Trips]]*Table2456[[#This Row],[Trips]]</f>
        <v>5000</v>
      </c>
      <c r="G28" s="25"/>
      <c r="H28" s="25">
        <f>Table2456[[#This Row],[Total Value]]-Table2456[[#This Row],[Received]]</f>
        <v>5000</v>
      </c>
      <c r="I28" s="9" t="str">
        <f>IF(H28&gt;10000,"🚨 URGENT: "&amp;B28&amp;" owes ₹"&amp;H28,IF(H28&gt;5000,"⚠️ WARNING: "&amp;B28&amp;" - ₹"&amp;H28&amp;" due",IF(H28&gt;0,"ℹ️ "&amp;B28&amp;" - ₹"&amp;H28&amp;" pending","✅ Paid")))</f>
        <v>ℹ️ Manog Khokle ( Raj Dad ) - ₹5000 pending</v>
      </c>
    </row>
    <row r="29" spans="1:9" ht="16" x14ac:dyDescent="0.2">
      <c r="A29" s="24">
        <v>45922</v>
      </c>
      <c r="B29" s="33" t="s">
        <v>165</v>
      </c>
      <c r="C29" s="33" t="s">
        <v>4</v>
      </c>
      <c r="D29" s="17">
        <v>1</v>
      </c>
      <c r="E29" s="25">
        <v>5000</v>
      </c>
      <c r="F29" s="25">
        <f>Table2456[[#This Row],[Rate /Trips]]*Table2456[[#This Row],[Trips]]</f>
        <v>5000</v>
      </c>
      <c r="G29" s="25">
        <v>5000</v>
      </c>
      <c r="H29" s="25">
        <f>Table2456[[#This Row],[Total Value]]-Table2456[[#This Row],[Received]]</f>
        <v>0</v>
      </c>
      <c r="I29" s="9" t="str">
        <f>IF(H29&gt;10000,"🚨 URGENT: "&amp;B29&amp;" owes ₹"&amp;H29,IF(H29&gt;5000,"⚠️ WARNING: "&amp;B29&amp;" - ₹"&amp;H29&amp;" due",IF(H29&gt;0,"ℹ️ "&amp;B29&amp;" - ₹"&amp;H29&amp;" pending","✅ Paid")))</f>
        <v>✅ Paid</v>
      </c>
    </row>
    <row r="30" spans="1:9" ht="16" x14ac:dyDescent="0.2">
      <c r="A30" s="24">
        <v>45923</v>
      </c>
      <c r="B30" s="33" t="s">
        <v>186</v>
      </c>
      <c r="C30" s="33" t="s">
        <v>3</v>
      </c>
      <c r="D30" s="17">
        <v>1</v>
      </c>
      <c r="E30" s="25">
        <v>4500</v>
      </c>
      <c r="F30" s="25">
        <f>Table2456[[#This Row],[Rate /Trips]]*Table2456[[#This Row],[Trips]]</f>
        <v>4500</v>
      </c>
      <c r="G30" s="25">
        <v>4500</v>
      </c>
      <c r="H30" s="25">
        <f>Table2456[[#This Row],[Total Value]]-Table2456[[#This Row],[Received]]</f>
        <v>0</v>
      </c>
      <c r="I30" s="9" t="str">
        <f>IF(H30&gt;10000,"🚨 URGENT: "&amp;B30&amp;" owes ₹"&amp;H30,IF(H30&gt;5000,"⚠️ WARNING: "&amp;B30&amp;" - ₹"&amp;H30&amp;" due",IF(H30&gt;0,"ℹ️ "&amp;B30&amp;" - ₹"&amp;H30&amp;" pending","✅ Paid")))</f>
        <v>✅ Paid</v>
      </c>
    </row>
    <row r="31" spans="1:9" ht="16" x14ac:dyDescent="0.2">
      <c r="A31" s="24">
        <v>45924</v>
      </c>
      <c r="B31" s="33" t="s">
        <v>165</v>
      </c>
      <c r="C31" s="33" t="s">
        <v>4</v>
      </c>
      <c r="D31" s="17">
        <v>1</v>
      </c>
      <c r="E31" s="25">
        <v>4000</v>
      </c>
      <c r="F31" s="25">
        <f>Table2456[[#This Row],[Rate /Trips]]*Table2456[[#This Row],[Trips]]</f>
        <v>4000</v>
      </c>
      <c r="G31" s="25">
        <v>5000</v>
      </c>
      <c r="H31" s="25">
        <f>Table2456[[#This Row],[Total Value]]-Table2456[[#This Row],[Received]]</f>
        <v>-1000</v>
      </c>
      <c r="I31" s="9" t="str">
        <f>IF(H31&gt;10000,"🚨 URGENT: "&amp;B31&amp;" owes ₹"&amp;H31,IF(H31&gt;5000,"⚠️ WARNING: "&amp;B31&amp;" - ₹"&amp;H31&amp;" due",IF(H31&gt;0,"ℹ️ "&amp;B31&amp;" - ₹"&amp;H31&amp;" pending","✅ Paid")))</f>
        <v>✅ Paid</v>
      </c>
    </row>
    <row r="32" spans="1:9" ht="16" x14ac:dyDescent="0.2">
      <c r="A32" s="24">
        <v>45929</v>
      </c>
      <c r="B32" s="33" t="s">
        <v>240</v>
      </c>
      <c r="C32" s="33" t="s">
        <v>241</v>
      </c>
      <c r="D32" s="17">
        <v>1</v>
      </c>
      <c r="E32" s="25">
        <v>5000</v>
      </c>
      <c r="F32" s="25">
        <f>Table2456[[#This Row],[Rate /Trips]]*Table2456[[#This Row],[Trips]]</f>
        <v>5000</v>
      </c>
      <c r="G32" s="25">
        <v>5000</v>
      </c>
      <c r="H32" s="25">
        <f>Table2456[[#This Row],[Total Value]]-Table2456[[#This Row],[Received]]</f>
        <v>0</v>
      </c>
      <c r="I32" s="9" t="str">
        <f>IF(H32&gt;10000,"🚨 URGENT: "&amp;B32&amp;" owes ₹"&amp;H32,IF(H32&gt;5000,"⚠️ WARNING: "&amp;B32&amp;" - ₹"&amp;H32&amp;" due",IF(H32&gt;0,"ℹ️ "&amp;B32&amp;" - ₹"&amp;H32&amp;" pending","✅ Paid")))</f>
        <v>✅ Paid</v>
      </c>
    </row>
    <row r="33" spans="1:9" ht="16" x14ac:dyDescent="0.2">
      <c r="A33" s="24">
        <v>45929</v>
      </c>
      <c r="B33" s="33" t="s">
        <v>98</v>
      </c>
      <c r="C33" s="33" t="s">
        <v>8</v>
      </c>
      <c r="D33" s="17">
        <v>1</v>
      </c>
      <c r="E33" s="25">
        <v>5000</v>
      </c>
      <c r="F33" s="25">
        <f>Table2456[[#This Row],[Rate /Trips]]*Table2456[[#This Row],[Trips]]</f>
        <v>5000</v>
      </c>
      <c r="G33" s="25">
        <v>5000</v>
      </c>
      <c r="H33" s="25">
        <f>Table2456[[#This Row],[Total Value]]-Table2456[[#This Row],[Received]]</f>
        <v>0</v>
      </c>
      <c r="I33" s="9" t="str">
        <f>IF(H33&gt;10000,"🚨 URGENT: "&amp;B33&amp;" owes ₹"&amp;H33,IF(H33&gt;5000,"⚠️ WARNING: "&amp;B33&amp;" - ₹"&amp;H33&amp;" due",IF(H33&gt;0,"ℹ️ "&amp;B33&amp;" - ₹"&amp;H33&amp;" pending","✅ Paid")))</f>
        <v>✅ Paid</v>
      </c>
    </row>
    <row r="34" spans="1:9" ht="16" x14ac:dyDescent="0.2">
      <c r="A34" s="24">
        <v>45929</v>
      </c>
      <c r="B34" s="33" t="s">
        <v>278</v>
      </c>
      <c r="C34" s="33" t="s">
        <v>277</v>
      </c>
      <c r="D34" s="17">
        <v>2</v>
      </c>
      <c r="E34" s="25">
        <v>1000</v>
      </c>
      <c r="F34" s="25">
        <f>Table2456[[#This Row],[Rate /Trips]]*Table2456[[#This Row],[Trips]]</f>
        <v>2000</v>
      </c>
      <c r="G34" s="25">
        <v>2000</v>
      </c>
      <c r="H34" s="25">
        <f>Table2456[[#This Row],[Total Value]]-Table2456[[#This Row],[Received]]</f>
        <v>0</v>
      </c>
      <c r="I34" s="9" t="str">
        <f>IF(H34&gt;10000,"🚨 URGENT: "&amp;B34&amp;" owes ₹"&amp;H34,IF(H34&gt;5000,"⚠️ WARNING: "&amp;B34&amp;" - ₹"&amp;H34&amp;" due",IF(H34&gt;0,"ℹ️ "&amp;B34&amp;" - ₹"&amp;H34&amp;" pending","✅ Paid")))</f>
        <v>✅ Paid</v>
      </c>
    </row>
    <row r="35" spans="1:9" ht="16" x14ac:dyDescent="0.2">
      <c r="A35" s="24">
        <v>45929</v>
      </c>
      <c r="B35" s="33" t="s">
        <v>242</v>
      </c>
      <c r="C35" s="33" t="s">
        <v>90</v>
      </c>
      <c r="D35" s="17">
        <v>1</v>
      </c>
      <c r="E35" s="25">
        <v>5500</v>
      </c>
      <c r="F35" s="25">
        <f>Table2456[[#This Row],[Rate /Trips]]*Table2456[[#This Row],[Trips]]</f>
        <v>5500</v>
      </c>
      <c r="G35" s="25">
        <v>5500</v>
      </c>
      <c r="H35" s="25">
        <f>Table2456[[#This Row],[Total Value]]-Table2456[[#This Row],[Received]]</f>
        <v>0</v>
      </c>
      <c r="I35" s="9" t="str">
        <f>IF(H35&gt;10000,"🚨 URGENT: "&amp;B35&amp;" owes ₹"&amp;H35,IF(H35&gt;5000,"⚠️ WARNING: "&amp;B35&amp;" - ₹"&amp;H35&amp;" due",IF(H35&gt;0,"ℹ️ "&amp;B35&amp;" - ₹"&amp;H35&amp;" pending","✅ Paid")))</f>
        <v>✅ Paid</v>
      </c>
    </row>
    <row r="36" spans="1:9" ht="16" x14ac:dyDescent="0.2">
      <c r="A36" s="3"/>
      <c r="B36" s="2"/>
      <c r="C36" s="2"/>
      <c r="D36" s="2"/>
      <c r="E36" s="16"/>
      <c r="F36" s="16"/>
      <c r="G36" s="16"/>
      <c r="H36" s="16"/>
      <c r="I36" s="9"/>
    </row>
    <row r="37" spans="1:9" ht="16" x14ac:dyDescent="0.2">
      <c r="A37" s="24"/>
      <c r="B37" s="22"/>
      <c r="C37" s="22"/>
      <c r="D37" s="2"/>
      <c r="E37" s="25"/>
      <c r="F37" s="25"/>
      <c r="G37" s="25"/>
      <c r="H37" s="25"/>
      <c r="I37" s="9"/>
    </row>
    <row r="38" spans="1:9" ht="16" x14ac:dyDescent="0.2">
      <c r="A38" s="24"/>
      <c r="B38" s="22"/>
      <c r="C38" s="22"/>
      <c r="D38" s="2"/>
      <c r="E38" s="25"/>
      <c r="F38" s="25"/>
      <c r="G38" s="25"/>
      <c r="H38" s="25"/>
      <c r="I38" s="9"/>
    </row>
    <row r="39" spans="1:9" ht="16" x14ac:dyDescent="0.2">
      <c r="A39" s="24"/>
      <c r="B39" s="23"/>
      <c r="C39" s="23"/>
      <c r="D39" s="17"/>
      <c r="E39" s="25"/>
      <c r="F39" s="25"/>
      <c r="G39" s="25"/>
      <c r="H39" s="25"/>
      <c r="I39" s="9"/>
    </row>
    <row r="40" spans="1:9" ht="16" x14ac:dyDescent="0.2">
      <c r="A40" s="24"/>
      <c r="B40" s="23"/>
      <c r="C40" s="23"/>
      <c r="D40" s="17"/>
      <c r="E40" s="25"/>
      <c r="F40" s="25"/>
      <c r="G40" s="25"/>
      <c r="H40" s="25"/>
      <c r="I40" s="9"/>
    </row>
    <row r="41" spans="1:9" ht="16" x14ac:dyDescent="0.2">
      <c r="A41" s="24"/>
      <c r="B41" s="23"/>
      <c r="C41" s="23"/>
      <c r="D41" s="17"/>
      <c r="E41" s="25"/>
      <c r="F41" s="25"/>
      <c r="G41" s="25"/>
      <c r="H41" s="25"/>
      <c r="I41" s="9"/>
    </row>
    <row r="42" spans="1:9" ht="16" x14ac:dyDescent="0.2">
      <c r="A42" s="24"/>
      <c r="B42" s="17"/>
      <c r="C42" s="17"/>
      <c r="D42" s="17"/>
      <c r="E42" s="25"/>
      <c r="F42" s="25"/>
      <c r="G42" s="25"/>
      <c r="H42" s="25"/>
      <c r="I42" s="9"/>
    </row>
    <row r="43" spans="1:9" ht="16" x14ac:dyDescent="0.2">
      <c r="A43" s="24"/>
      <c r="B43" s="23"/>
      <c r="C43" s="23"/>
      <c r="D43" s="17"/>
      <c r="E43" s="25"/>
      <c r="F43" s="25"/>
      <c r="G43" s="25"/>
      <c r="H43" s="25"/>
      <c r="I43" s="9"/>
    </row>
    <row r="44" spans="1:9" ht="16" x14ac:dyDescent="0.2">
      <c r="A44" s="24"/>
      <c r="B44" s="33"/>
      <c r="C44" s="33"/>
      <c r="D44" s="17"/>
      <c r="E44" s="25"/>
      <c r="F44" s="25"/>
      <c r="G44" s="25"/>
      <c r="H44" s="25"/>
      <c r="I44" s="9"/>
    </row>
    <row r="45" spans="1:9" ht="16" x14ac:dyDescent="0.2">
      <c r="A45" s="24"/>
      <c r="B45" s="33"/>
      <c r="C45" s="33"/>
      <c r="D45" s="17"/>
      <c r="E45" s="25"/>
      <c r="F45" s="25"/>
      <c r="G45" s="25"/>
      <c r="H45" s="25"/>
      <c r="I45" s="9"/>
    </row>
    <row r="46" spans="1:9" ht="16" x14ac:dyDescent="0.2">
      <c r="A46" s="24"/>
      <c r="B46" s="33"/>
      <c r="C46" s="33"/>
      <c r="D46" s="17"/>
      <c r="E46" s="25"/>
      <c r="F46" s="25"/>
      <c r="G46" s="25"/>
      <c r="H46" s="25"/>
      <c r="I46" s="9"/>
    </row>
    <row r="47" spans="1:9" ht="16" x14ac:dyDescent="0.2">
      <c r="A47" s="24"/>
      <c r="B47" s="33"/>
      <c r="C47" s="33"/>
      <c r="D47" s="17"/>
      <c r="E47" s="25"/>
      <c r="F47" s="25"/>
      <c r="G47" s="25"/>
      <c r="H47" s="25"/>
      <c r="I47" s="9"/>
    </row>
    <row r="48" spans="1:9" ht="16" x14ac:dyDescent="0.2">
      <c r="A48" s="24"/>
      <c r="B48" s="33"/>
      <c r="C48" s="33"/>
      <c r="D48" s="17"/>
      <c r="E48" s="25"/>
      <c r="F48" s="25"/>
      <c r="G48" s="25"/>
      <c r="H48" s="25"/>
      <c r="I48" s="9"/>
    </row>
    <row r="49" spans="1:9" ht="16" x14ac:dyDescent="0.2">
      <c r="A49" s="24"/>
      <c r="B49" s="23"/>
      <c r="C49" s="23"/>
      <c r="D49" s="17"/>
      <c r="E49" s="25"/>
      <c r="F49" s="25"/>
      <c r="G49" s="25"/>
      <c r="H49" s="25"/>
      <c r="I49" s="9"/>
    </row>
    <row r="50" spans="1:9" ht="24" x14ac:dyDescent="0.2">
      <c r="D50" s="21" t="s">
        <v>7</v>
      </c>
      <c r="E50" s="18"/>
      <c r="F50" s="21" t="s">
        <v>50</v>
      </c>
      <c r="G50" s="21" t="s">
        <v>49</v>
      </c>
      <c r="H50" s="21" t="s">
        <v>48</v>
      </c>
    </row>
    <row r="51" spans="1:9" ht="24" x14ac:dyDescent="0.2">
      <c r="D51" s="19">
        <f>SUM(D4:D49)</f>
        <v>39</v>
      </c>
      <c r="E51" s="18"/>
      <c r="F51" s="20">
        <f>SUM(F4:F49)</f>
        <v>174500</v>
      </c>
      <c r="G51" s="20">
        <f>SUM(G4:G49)</f>
        <v>155500</v>
      </c>
      <c r="H51" s="20">
        <f>SUM(H4:H49)</f>
        <v>19000</v>
      </c>
    </row>
    <row r="57" spans="1:9" ht="29" x14ac:dyDescent="0.2">
      <c r="A57" s="42" t="s">
        <v>70</v>
      </c>
      <c r="B57" s="42"/>
      <c r="C57" s="42"/>
      <c r="D57" s="42"/>
      <c r="E57" s="4"/>
      <c r="F57" s="4"/>
      <c r="G57" s="4"/>
      <c r="H57" s="4"/>
      <c r="I57" s="4"/>
    </row>
    <row r="58" spans="1:9" ht="16" x14ac:dyDescent="0.2">
      <c r="A58" s="43" t="s">
        <v>163</v>
      </c>
      <c r="B58" s="43"/>
      <c r="C58" s="43"/>
      <c r="D58" s="43"/>
      <c r="E58" s="4"/>
      <c r="F58" s="4"/>
      <c r="I58" s="4"/>
    </row>
    <row r="59" spans="1:9" ht="16" x14ac:dyDescent="0.2">
      <c r="A59" s="15" t="s">
        <v>0</v>
      </c>
      <c r="B59" s="14" t="s">
        <v>69</v>
      </c>
      <c r="C59" s="14" t="s">
        <v>68</v>
      </c>
      <c r="D59" s="14" t="s">
        <v>1</v>
      </c>
    </row>
    <row r="60" spans="1:9" x14ac:dyDescent="0.2">
      <c r="A60" s="24">
        <v>45915</v>
      </c>
      <c r="B60" s="23" t="s">
        <v>182</v>
      </c>
      <c r="C60" s="23" t="s">
        <v>178</v>
      </c>
      <c r="D60" s="17">
        <v>1</v>
      </c>
    </row>
    <row r="61" spans="1:9" x14ac:dyDescent="0.2">
      <c r="A61" s="24">
        <v>45915</v>
      </c>
      <c r="B61" s="23" t="s">
        <v>182</v>
      </c>
      <c r="C61" s="23" t="s">
        <v>167</v>
      </c>
      <c r="D61" s="17">
        <v>2</v>
      </c>
    </row>
    <row r="62" spans="1:9" x14ac:dyDescent="0.2">
      <c r="A62" s="24">
        <v>45915</v>
      </c>
      <c r="B62" s="23" t="s">
        <v>182</v>
      </c>
      <c r="C62" s="23" t="s">
        <v>177</v>
      </c>
      <c r="D62" s="17">
        <v>1</v>
      </c>
    </row>
    <row r="63" spans="1:9" x14ac:dyDescent="0.2">
      <c r="A63" s="24">
        <v>45916</v>
      </c>
      <c r="B63" s="23" t="s">
        <v>182</v>
      </c>
      <c r="C63" s="23" t="s">
        <v>167</v>
      </c>
      <c r="D63" s="17">
        <v>1</v>
      </c>
    </row>
    <row r="64" spans="1:9" x14ac:dyDescent="0.2">
      <c r="A64" s="24">
        <v>45916</v>
      </c>
      <c r="B64" s="23" t="s">
        <v>182</v>
      </c>
      <c r="C64" s="23" t="s">
        <v>177</v>
      </c>
      <c r="D64" s="17">
        <v>4</v>
      </c>
    </row>
    <row r="65" spans="1:4" x14ac:dyDescent="0.2">
      <c r="A65" s="24">
        <v>45919</v>
      </c>
      <c r="B65" s="23" t="s">
        <v>182</v>
      </c>
      <c r="C65" s="23" t="s">
        <v>177</v>
      </c>
      <c r="D65" s="17">
        <v>1</v>
      </c>
    </row>
    <row r="66" spans="1:4" x14ac:dyDescent="0.2">
      <c r="A66" s="24">
        <v>45920</v>
      </c>
      <c r="B66" s="23" t="s">
        <v>182</v>
      </c>
      <c r="C66" s="23" t="s">
        <v>177</v>
      </c>
      <c r="D66" s="17">
        <v>6</v>
      </c>
    </row>
    <row r="67" spans="1:4" x14ac:dyDescent="0.2">
      <c r="A67" s="24">
        <v>45921</v>
      </c>
      <c r="B67" s="23" t="s">
        <v>182</v>
      </c>
      <c r="C67" s="23" t="s">
        <v>177</v>
      </c>
      <c r="D67" s="17">
        <v>2</v>
      </c>
    </row>
    <row r="68" spans="1:4" x14ac:dyDescent="0.2">
      <c r="A68" s="24">
        <v>45921</v>
      </c>
      <c r="B68" s="23" t="s">
        <v>183</v>
      </c>
      <c r="C68" s="23" t="s">
        <v>184</v>
      </c>
      <c r="D68" s="17">
        <v>8</v>
      </c>
    </row>
    <row r="69" spans="1:4" x14ac:dyDescent="0.2">
      <c r="A69" s="24">
        <v>45921</v>
      </c>
      <c r="B69" s="23" t="s">
        <v>183</v>
      </c>
      <c r="C69" s="23" t="s">
        <v>177</v>
      </c>
      <c r="D69" s="17">
        <v>1</v>
      </c>
    </row>
    <row r="70" spans="1:4" x14ac:dyDescent="0.2">
      <c r="A70" s="24">
        <v>45922</v>
      </c>
      <c r="B70" s="23" t="s">
        <v>182</v>
      </c>
      <c r="C70" s="23" t="s">
        <v>185</v>
      </c>
      <c r="D70" s="17">
        <v>6</v>
      </c>
    </row>
    <row r="71" spans="1:4" x14ac:dyDescent="0.2">
      <c r="A71" s="24">
        <v>45922</v>
      </c>
      <c r="B71" s="23" t="s">
        <v>182</v>
      </c>
      <c r="C71" s="23" t="s">
        <v>177</v>
      </c>
      <c r="D71" s="17">
        <v>1</v>
      </c>
    </row>
    <row r="72" spans="1:4" x14ac:dyDescent="0.2">
      <c r="A72" s="24">
        <v>45922</v>
      </c>
      <c r="B72" s="23" t="s">
        <v>183</v>
      </c>
      <c r="C72" s="23" t="s">
        <v>184</v>
      </c>
      <c r="D72" s="17">
        <v>12</v>
      </c>
    </row>
    <row r="73" spans="1:4" x14ac:dyDescent="0.2">
      <c r="A73" s="24">
        <v>45923</v>
      </c>
      <c r="B73" s="23" t="s">
        <v>182</v>
      </c>
      <c r="C73" s="23" t="s">
        <v>185</v>
      </c>
      <c r="D73" s="17">
        <v>5</v>
      </c>
    </row>
    <row r="74" spans="1:4" x14ac:dyDescent="0.2">
      <c r="A74" s="24">
        <v>45923</v>
      </c>
      <c r="B74" s="23" t="s">
        <v>183</v>
      </c>
      <c r="C74" s="23" t="s">
        <v>184</v>
      </c>
      <c r="D74" s="17">
        <v>11</v>
      </c>
    </row>
    <row r="75" spans="1:4" x14ac:dyDescent="0.2">
      <c r="A75" s="24">
        <v>45924</v>
      </c>
      <c r="B75" s="23" t="s">
        <v>183</v>
      </c>
      <c r="C75" s="23" t="s">
        <v>184</v>
      </c>
      <c r="D75" s="17">
        <v>1</v>
      </c>
    </row>
    <row r="76" spans="1:4" x14ac:dyDescent="0.2">
      <c r="A76" s="24">
        <v>45929</v>
      </c>
      <c r="B76" s="23" t="s">
        <v>243</v>
      </c>
      <c r="C76" s="23" t="s">
        <v>177</v>
      </c>
      <c r="D76" s="17">
        <v>3</v>
      </c>
    </row>
    <row r="77" spans="1:4" x14ac:dyDescent="0.2">
      <c r="A77" s="24">
        <v>45929</v>
      </c>
      <c r="B77" s="23" t="s">
        <v>243</v>
      </c>
      <c r="C77" s="23" t="s">
        <v>167</v>
      </c>
      <c r="D77" s="17">
        <v>1</v>
      </c>
    </row>
    <row r="78" spans="1:4" x14ac:dyDescent="0.2">
      <c r="A78" s="3"/>
      <c r="B78" s="22"/>
      <c r="C78" s="22"/>
      <c r="D78" s="2"/>
    </row>
    <row r="79" spans="1:4" x14ac:dyDescent="0.2">
      <c r="A79" s="24"/>
      <c r="B79" s="23"/>
      <c r="C79" s="23"/>
      <c r="D79" s="17"/>
    </row>
    <row r="80" spans="1:4" x14ac:dyDescent="0.2">
      <c r="A80" s="24"/>
      <c r="B80" s="23"/>
      <c r="C80" s="23"/>
      <c r="D80" s="17"/>
    </row>
    <row r="81" spans="1:9" x14ac:dyDescent="0.2">
      <c r="A81" s="24"/>
      <c r="B81" s="23"/>
      <c r="C81" s="23"/>
      <c r="D81" s="17"/>
    </row>
    <row r="82" spans="1:9" x14ac:dyDescent="0.2">
      <c r="A82" s="24"/>
      <c r="B82" s="23"/>
      <c r="C82" s="23"/>
      <c r="D82" s="17"/>
    </row>
    <row r="83" spans="1:9" x14ac:dyDescent="0.2">
      <c r="A83" s="24"/>
      <c r="B83" s="23"/>
      <c r="C83" s="23"/>
      <c r="D83" s="17"/>
    </row>
    <row r="84" spans="1:9" x14ac:dyDescent="0.2">
      <c r="A84" s="24"/>
      <c r="B84" s="23"/>
      <c r="C84" s="23"/>
      <c r="D84" s="17"/>
    </row>
    <row r="85" spans="1:9" x14ac:dyDescent="0.2">
      <c r="A85" s="24"/>
      <c r="B85" s="23"/>
      <c r="C85" s="23"/>
      <c r="D85" s="17"/>
    </row>
    <row r="86" spans="1:9" x14ac:dyDescent="0.2">
      <c r="A86" s="24"/>
      <c r="B86" s="23"/>
      <c r="C86" s="23"/>
      <c r="D86" s="17"/>
    </row>
    <row r="87" spans="1:9" x14ac:dyDescent="0.2">
      <c r="A87" s="24"/>
      <c r="B87" s="23"/>
      <c r="C87" s="23"/>
      <c r="D87" s="17"/>
    </row>
    <row r="88" spans="1:9" ht="24" x14ac:dyDescent="0.2">
      <c r="D88" s="21" t="s">
        <v>7</v>
      </c>
    </row>
    <row r="89" spans="1:9" ht="24" x14ac:dyDescent="0.2">
      <c r="D89" s="19">
        <f>SUM(D60:D87)</f>
        <v>67</v>
      </c>
    </row>
    <row r="90" spans="1:9" ht="16" x14ac:dyDescent="0.2">
      <c r="E90" s="4"/>
      <c r="F90" s="4"/>
      <c r="G90" s="4"/>
      <c r="H90" s="4"/>
      <c r="I90" s="4"/>
    </row>
  </sheetData>
  <mergeCells count="4">
    <mergeCell ref="A1:I1"/>
    <mergeCell ref="A2:I2"/>
    <mergeCell ref="A57:D57"/>
    <mergeCell ref="A58:D58"/>
  </mergeCells>
  <conditionalFormatting sqref="I4:I49">
    <cfRule type="containsText" dxfId="19" priority="9" operator="containsText" text="✅">
      <formula>NOT(ISERROR(SEARCH("✅",I4)))</formula>
    </cfRule>
    <cfRule type="containsText" dxfId="18" priority="10" operator="containsText" text="ℹ️">
      <formula>NOT(ISERROR(SEARCH("ℹ️",I4)))</formula>
    </cfRule>
    <cfRule type="containsText" dxfId="17" priority="11" operator="containsText" text="⚠️">
      <formula>NOT(ISERROR(SEARCH("⚠️",I4)))</formula>
    </cfRule>
    <cfRule type="containsText" dxfId="16" priority="12" operator="containsText" text="🚨">
      <formula>NOT(ISERROR(SEARCH("🚨",I4)))</formula>
    </cfRule>
  </conditionalFormatting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14FF9-B03C-6049-AED0-3259C2900181}">
  <sheetPr codeName="Sheet10"/>
  <dimension ref="A1:I101"/>
  <sheetViews>
    <sheetView topLeftCell="A57" zoomScale="150" workbookViewId="0">
      <selection activeCell="C55" sqref="C55:D81"/>
    </sheetView>
  </sheetViews>
  <sheetFormatPr baseColWidth="10" defaultColWidth="11.5" defaultRowHeight="15" x14ac:dyDescent="0.2"/>
  <cols>
    <col min="1" max="1" width="26.83203125" bestFit="1" customWidth="1"/>
    <col min="2" max="2" width="25" bestFit="1" customWidth="1"/>
    <col min="3" max="3" width="28.33203125" customWidth="1"/>
    <col min="4" max="4" width="14.5" bestFit="1" customWidth="1"/>
    <col min="5" max="5" width="15.33203125" bestFit="1" customWidth="1"/>
    <col min="6" max="6" width="18.33203125" bestFit="1" customWidth="1"/>
    <col min="7" max="7" width="20" bestFit="1" customWidth="1"/>
    <col min="8" max="8" width="18.5" bestFit="1" customWidth="1"/>
    <col min="9" max="9" width="58.1640625" customWidth="1"/>
  </cols>
  <sheetData>
    <row r="1" spans="1:9" ht="29" x14ac:dyDescent="0.2">
      <c r="A1" s="42" t="s">
        <v>70</v>
      </c>
      <c r="B1" s="42"/>
      <c r="C1" s="42"/>
      <c r="D1" s="42"/>
      <c r="E1" s="42"/>
      <c r="F1" s="42"/>
      <c r="G1" s="42"/>
      <c r="H1" s="42"/>
      <c r="I1" s="42"/>
    </row>
    <row r="2" spans="1:9" x14ac:dyDescent="0.2">
      <c r="A2" s="43" t="s">
        <v>254</v>
      </c>
      <c r="B2" s="43"/>
      <c r="C2" s="43"/>
      <c r="D2" s="43"/>
      <c r="E2" s="43"/>
      <c r="F2" s="43"/>
      <c r="G2" s="43"/>
      <c r="H2" s="43"/>
      <c r="I2" s="43"/>
    </row>
    <row r="3" spans="1:9" ht="16" x14ac:dyDescent="0.2">
      <c r="A3" s="15" t="s">
        <v>0</v>
      </c>
      <c r="B3" s="14" t="s">
        <v>69</v>
      </c>
      <c r="C3" s="14" t="s">
        <v>68</v>
      </c>
      <c r="D3" s="14" t="s">
        <v>1</v>
      </c>
      <c r="E3" s="13" t="s">
        <v>67</v>
      </c>
      <c r="F3" s="13" t="s">
        <v>50</v>
      </c>
      <c r="G3" s="13" t="s">
        <v>66</v>
      </c>
      <c r="H3" s="13" t="s">
        <v>2</v>
      </c>
      <c r="I3" s="13" t="s">
        <v>65</v>
      </c>
    </row>
    <row r="4" spans="1:9" ht="16" x14ac:dyDescent="0.2">
      <c r="A4" s="24">
        <v>45934</v>
      </c>
      <c r="B4" s="22" t="s">
        <v>260</v>
      </c>
      <c r="C4" s="22" t="s">
        <v>263</v>
      </c>
      <c r="D4" s="2">
        <v>1</v>
      </c>
      <c r="E4" s="25">
        <v>4000</v>
      </c>
      <c r="F4" s="25">
        <f>Table245620[[#This Row],[Rate /Trips]]*Table245620[[#This Row],[Trips]]</f>
        <v>4000</v>
      </c>
      <c r="G4" s="25">
        <v>4000</v>
      </c>
      <c r="H4" s="25">
        <f>Table245620[[#This Row],[Total Value]]-Table245620[[#This Row],[Received]]</f>
        <v>0</v>
      </c>
      <c r="I4" s="9" t="str">
        <f>IF(H4&gt;10000,"🚨 URGENT: "&amp;B4&amp;" owes ₹"&amp;H4,IF(H4&gt;5000,"⚠️ WARNING: "&amp;B4&amp;" - ₹"&amp;H4&amp;" due",IF(H4&gt;0,"ℹ️ "&amp;B4&amp;" - ₹"&amp;H4&amp;" pending","✅ Paid")))</f>
        <v>✅ Paid</v>
      </c>
    </row>
    <row r="5" spans="1:9" ht="16" x14ac:dyDescent="0.2">
      <c r="A5" s="24">
        <v>45936</v>
      </c>
      <c r="B5" s="22" t="s">
        <v>132</v>
      </c>
      <c r="C5" s="22" t="s">
        <v>261</v>
      </c>
      <c r="D5" s="2">
        <v>3</v>
      </c>
      <c r="E5" s="25">
        <v>1000</v>
      </c>
      <c r="F5" s="25">
        <f>Table245620[[#This Row],[Rate /Trips]]*Table245620[[#This Row],[Trips]]</f>
        <v>3000</v>
      </c>
      <c r="G5" s="25">
        <v>3000</v>
      </c>
      <c r="H5" s="25">
        <f>Table245620[[#This Row],[Total Value]]-Table245620[[#This Row],[Received]]</f>
        <v>0</v>
      </c>
      <c r="I5" s="9" t="str">
        <f>IF(H5&gt;10000,"🚨 URGENT: "&amp;B5&amp;" owes ₹"&amp;H5,IF(H5&gt;5000,"⚠️ WARNING: "&amp;B5&amp;" - ₹"&amp;H5&amp;" due",IF(H5&gt;0,"ℹ️ "&amp;B5&amp;" - ₹"&amp;H5&amp;" pending","✅ Paid")))</f>
        <v>✅ Paid</v>
      </c>
    </row>
    <row r="6" spans="1:9" ht="16" x14ac:dyDescent="0.2">
      <c r="A6" s="24">
        <v>45938</v>
      </c>
      <c r="B6" s="22" t="s">
        <v>132</v>
      </c>
      <c r="C6" s="22" t="s">
        <v>261</v>
      </c>
      <c r="D6" s="2">
        <v>1</v>
      </c>
      <c r="E6" s="25">
        <v>1000</v>
      </c>
      <c r="F6" s="25">
        <f>Table245620[[#This Row],[Rate /Trips]]*Table245620[[#This Row],[Trips]]</f>
        <v>1000</v>
      </c>
      <c r="G6" s="25">
        <v>1000</v>
      </c>
      <c r="H6" s="25">
        <f>Table245620[[#This Row],[Total Value]]-Table245620[[#This Row],[Received]]</f>
        <v>0</v>
      </c>
      <c r="I6" s="9" t="str">
        <f>IF(H6&gt;10000,"🚨 URGENT: "&amp;B6&amp;" owes ₹"&amp;H6,IF(H6&gt;5000,"⚠️ WARNING: "&amp;B6&amp;" - ₹"&amp;H6&amp;" due",IF(H6&gt;0,"ℹ️ "&amp;B6&amp;" - ₹"&amp;H6&amp;" pending","✅ Paid")))</f>
        <v>✅ Paid</v>
      </c>
    </row>
    <row r="7" spans="1:9" ht="16" x14ac:dyDescent="0.2">
      <c r="A7" s="24">
        <v>45938</v>
      </c>
      <c r="B7" s="22" t="s">
        <v>262</v>
      </c>
      <c r="C7" s="22" t="s">
        <v>90</v>
      </c>
      <c r="D7" s="2">
        <v>1</v>
      </c>
      <c r="E7" s="25">
        <v>5000</v>
      </c>
      <c r="F7" s="25">
        <f>Table245620[[#This Row],[Rate /Trips]]*Table245620[[#This Row],[Trips]]</f>
        <v>5000</v>
      </c>
      <c r="G7" s="25">
        <v>5000</v>
      </c>
      <c r="H7" s="25">
        <f>Table245620[[#This Row],[Total Value]]-Table245620[[#This Row],[Received]]</f>
        <v>0</v>
      </c>
      <c r="I7" s="9" t="str">
        <f>IF(H7&gt;10000,"🚨 URGENT: "&amp;B7&amp;" owes ₹"&amp;H7,IF(H7&gt;5000,"⚠️ WARNING: "&amp;B7&amp;" - ₹"&amp;H7&amp;" due",IF(H7&gt;0,"ℹ️ "&amp;B7&amp;" - ₹"&amp;H7&amp;" pending","✅ Paid")))</f>
        <v>✅ Paid</v>
      </c>
    </row>
    <row r="8" spans="1:9" ht="16" x14ac:dyDescent="0.2">
      <c r="A8" s="24">
        <v>45939</v>
      </c>
      <c r="B8" s="22" t="s">
        <v>266</v>
      </c>
      <c r="C8" s="22" t="s">
        <v>268</v>
      </c>
      <c r="D8" s="2">
        <v>1</v>
      </c>
      <c r="E8" s="25">
        <v>5500</v>
      </c>
      <c r="F8" s="25">
        <f>Table245620[[#This Row],[Rate /Trips]]*Table245620[[#This Row],[Trips]]</f>
        <v>5500</v>
      </c>
      <c r="G8" s="25">
        <v>5500</v>
      </c>
      <c r="H8" s="25">
        <f>Table245620[[#This Row],[Total Value]]-Table245620[[#This Row],[Received]]</f>
        <v>0</v>
      </c>
      <c r="I8" s="9" t="str">
        <f>IF(H8&gt;10000,"🚨 URGENT: "&amp;B8&amp;" owes ₹"&amp;H8,IF(H8&gt;5000,"⚠️ WARNING: "&amp;B8&amp;" - ₹"&amp;H8&amp;" due",IF(H8&gt;0,"ℹ️ "&amp;B8&amp;" - ₹"&amp;H8&amp;" pending","✅ Paid")))</f>
        <v>✅ Paid</v>
      </c>
    </row>
    <row r="9" spans="1:9" ht="16" x14ac:dyDescent="0.2">
      <c r="A9" s="24">
        <v>45939</v>
      </c>
      <c r="B9" s="22" t="s">
        <v>260</v>
      </c>
      <c r="C9" s="22" t="s">
        <v>263</v>
      </c>
      <c r="D9" s="2">
        <v>1</v>
      </c>
      <c r="E9" s="25">
        <v>4000</v>
      </c>
      <c r="F9" s="25">
        <f>Table245620[[#This Row],[Rate /Trips]]*Table245620[[#This Row],[Trips]]</f>
        <v>4000</v>
      </c>
      <c r="G9" s="25">
        <v>4000</v>
      </c>
      <c r="H9" s="25">
        <f>Table245620[[#This Row],[Total Value]]-Table245620[[#This Row],[Received]]</f>
        <v>0</v>
      </c>
      <c r="I9" s="9" t="str">
        <f>IF(H9&gt;10000,"🚨 URGENT: "&amp;B9&amp;" owes ₹"&amp;H9,IF(H9&gt;5000,"⚠️ WARNING: "&amp;B9&amp;" - ₹"&amp;H9&amp;" due",IF(H9&gt;0,"ℹ️ "&amp;B9&amp;" - ₹"&amp;H9&amp;" pending","✅ Paid")))</f>
        <v>✅ Paid</v>
      </c>
    </row>
    <row r="10" spans="1:9" ht="16" x14ac:dyDescent="0.2">
      <c r="A10" s="24">
        <v>45939</v>
      </c>
      <c r="B10" s="22" t="s">
        <v>267</v>
      </c>
      <c r="C10" s="22" t="s">
        <v>265</v>
      </c>
      <c r="D10" s="2">
        <v>1</v>
      </c>
      <c r="E10" s="25">
        <v>5000</v>
      </c>
      <c r="F10" s="25">
        <f>Table245620[[#This Row],[Rate /Trips]]*Table245620[[#This Row],[Trips]]</f>
        <v>5000</v>
      </c>
      <c r="G10" s="25">
        <v>5000</v>
      </c>
      <c r="H10" s="25">
        <f>Table245620[[#This Row],[Total Value]]-Table245620[[#This Row],[Received]]</f>
        <v>0</v>
      </c>
      <c r="I10" s="9" t="str">
        <f>IF(H10&gt;10000,"🚨 URGENT: "&amp;B10&amp;" owes ₹"&amp;H10,IF(H10&gt;5000,"⚠️ WARNING: "&amp;B10&amp;" - ₹"&amp;H10&amp;" due",IF(H10&gt;0,"ℹ️ "&amp;B10&amp;" - ₹"&amp;H10&amp;" pending","✅ Paid")))</f>
        <v>✅ Paid</v>
      </c>
    </row>
    <row r="11" spans="1:9" ht="16" x14ac:dyDescent="0.2">
      <c r="A11" s="24">
        <v>45939</v>
      </c>
      <c r="B11" s="22" t="s">
        <v>264</v>
      </c>
      <c r="C11" s="22" t="s">
        <v>103</v>
      </c>
      <c r="D11" s="2">
        <v>1</v>
      </c>
      <c r="E11" s="25">
        <v>5500</v>
      </c>
      <c r="F11" s="25">
        <f>Table245620[[#This Row],[Rate /Trips]]*Table245620[[#This Row],[Trips]]</f>
        <v>5500</v>
      </c>
      <c r="G11" s="25">
        <v>5500</v>
      </c>
      <c r="H11" s="25">
        <f>Table245620[[#This Row],[Total Value]]-Table245620[[#This Row],[Received]]</f>
        <v>0</v>
      </c>
      <c r="I11" s="9" t="str">
        <f>IF(H11&gt;10000,"🚨 URGENT: "&amp;B11&amp;" owes ₹"&amp;H11,IF(H11&gt;5000,"⚠️ WARNING: "&amp;B11&amp;" - ₹"&amp;H11&amp;" due",IF(H11&gt;0,"ℹ️ "&amp;B11&amp;" - ₹"&amp;H11&amp;" pending","✅ Paid")))</f>
        <v>✅ Paid</v>
      </c>
    </row>
    <row r="12" spans="1:9" ht="16" x14ac:dyDescent="0.2">
      <c r="A12" s="24">
        <v>45940</v>
      </c>
      <c r="B12" s="23" t="s">
        <v>98</v>
      </c>
      <c r="C12" s="23" t="s">
        <v>8</v>
      </c>
      <c r="D12" s="17">
        <v>1</v>
      </c>
      <c r="E12" s="25">
        <v>5000</v>
      </c>
      <c r="F12" s="25">
        <f>Table245620[[#This Row],[Rate /Trips]]*Table245620[[#This Row],[Trips]]</f>
        <v>5000</v>
      </c>
      <c r="G12" s="25">
        <v>5000</v>
      </c>
      <c r="H12" s="25">
        <f>Table245620[[#This Row],[Total Value]]-Table245620[[#This Row],[Received]]</f>
        <v>0</v>
      </c>
      <c r="I12" s="9" t="str">
        <f>IF(H12&gt;10000,"🚨 URGENT: "&amp;B12&amp;" owes ₹"&amp;H12,IF(H12&gt;5000,"⚠️ WARNING: "&amp;B12&amp;" - ₹"&amp;H12&amp;" due",IF(H12&gt;0,"ℹ️ "&amp;B12&amp;" - ₹"&amp;H12&amp;" pending","✅ Paid")))</f>
        <v>✅ Paid</v>
      </c>
    </row>
    <row r="13" spans="1:9" ht="16" x14ac:dyDescent="0.2">
      <c r="A13" s="24">
        <v>45940</v>
      </c>
      <c r="B13" s="22" t="s">
        <v>260</v>
      </c>
      <c r="C13" s="22" t="s">
        <v>263</v>
      </c>
      <c r="D13" s="2">
        <v>2</v>
      </c>
      <c r="E13" s="25">
        <v>4000</v>
      </c>
      <c r="F13" s="25">
        <f>Table245620[[#This Row],[Rate /Trips]]*Table245620[[#This Row],[Trips]]</f>
        <v>8000</v>
      </c>
      <c r="G13" s="25">
        <v>8000</v>
      </c>
      <c r="H13" s="25">
        <f>Table245620[[#This Row],[Total Value]]-Table245620[[#This Row],[Received]]</f>
        <v>0</v>
      </c>
      <c r="I13" s="9" t="str">
        <f>IF(H13&gt;10000,"🚨 URGENT: "&amp;B13&amp;" owes ₹"&amp;H13,IF(H13&gt;5000,"⚠️ WARNING: "&amp;B13&amp;" - ₹"&amp;H13&amp;" due",IF(H13&gt;0,"ℹ️ "&amp;B13&amp;" - ₹"&amp;H13&amp;" pending","✅ Paid")))</f>
        <v>✅ Paid</v>
      </c>
    </row>
    <row r="14" spans="1:9" ht="16" x14ac:dyDescent="0.2">
      <c r="A14" s="24">
        <v>45940</v>
      </c>
      <c r="B14" s="23" t="s">
        <v>262</v>
      </c>
      <c r="C14" s="23" t="s">
        <v>90</v>
      </c>
      <c r="D14" s="17">
        <v>1</v>
      </c>
      <c r="E14" s="25">
        <v>5000</v>
      </c>
      <c r="F14" s="25">
        <f>Table245620[[#This Row],[Rate /Trips]]*Table245620[[#This Row],[Trips]]</f>
        <v>5000</v>
      </c>
      <c r="G14" s="25">
        <v>5000</v>
      </c>
      <c r="H14" s="25">
        <f>Table245620[[#This Row],[Total Value]]-Table245620[[#This Row],[Received]]</f>
        <v>0</v>
      </c>
      <c r="I14" s="9" t="str">
        <f>IF(H14&gt;10000,"🚨 URGENT: "&amp;B14&amp;" owes ₹"&amp;H14,IF(H14&gt;5000,"⚠️ WARNING: "&amp;B14&amp;" - ₹"&amp;H14&amp;" due",IF(H14&gt;0,"ℹ️ "&amp;B14&amp;" - ₹"&amp;H14&amp;" pending","✅ Paid")))</f>
        <v>✅ Paid</v>
      </c>
    </row>
    <row r="15" spans="1:9" ht="16" x14ac:dyDescent="0.2">
      <c r="A15" s="24">
        <v>45943</v>
      </c>
      <c r="B15" s="23" t="s">
        <v>271</v>
      </c>
      <c r="C15" s="23" t="s">
        <v>151</v>
      </c>
      <c r="D15" s="17">
        <v>1</v>
      </c>
      <c r="E15" s="25">
        <v>4000</v>
      </c>
      <c r="F15" s="25">
        <f>Table245620[[#This Row],[Rate /Trips]]*Table245620[[#This Row],[Trips]]</f>
        <v>4000</v>
      </c>
      <c r="G15" s="25"/>
      <c r="H15" s="25">
        <f>Table245620[[#This Row],[Total Value]]-Table245620[[#This Row],[Received]]</f>
        <v>4000</v>
      </c>
      <c r="I15" s="9" t="str">
        <f>IF(H15&gt;10000,"🚨 URGENT: "&amp;B15&amp;" owes ₹"&amp;H15,IF(H15&gt;5000,"⚠️ WARNING: "&amp;B15&amp;" - ₹"&amp;H15&amp;" due",IF(H15&gt;0,"ℹ️ "&amp;B15&amp;" - ₹"&amp;H15&amp;" pending","✅ Paid")))</f>
        <v>ℹ️ Chaudhary ( Raj Dad ) - ₹4000 pending</v>
      </c>
    </row>
    <row r="16" spans="1:9" ht="16" x14ac:dyDescent="0.2">
      <c r="A16" s="24">
        <v>45945</v>
      </c>
      <c r="B16" s="23" t="s">
        <v>289</v>
      </c>
      <c r="C16" s="23" t="s">
        <v>6</v>
      </c>
      <c r="D16" s="17">
        <v>1</v>
      </c>
      <c r="E16" s="25">
        <v>5000</v>
      </c>
      <c r="F16" s="25">
        <f>Table245620[[#This Row],[Rate /Trips]]*Table245620[[#This Row],[Trips]]</f>
        <v>5000</v>
      </c>
      <c r="G16" s="25">
        <v>5000</v>
      </c>
      <c r="H16" s="25">
        <f>Table245620[[#This Row],[Total Value]]-Table245620[[#This Row],[Received]]</f>
        <v>0</v>
      </c>
      <c r="I16" s="9" t="str">
        <f>IF(H16&gt;10000,"🚨 URGENT: "&amp;B16&amp;" owes ₹"&amp;H16,IF(H16&gt;5000,"⚠️ WARNING: "&amp;B16&amp;" - ₹"&amp;H16&amp;" due",IF(H16&gt;0,"ℹ️ "&amp;B16&amp;" - ₹"&amp;H16&amp;" pending","✅ Paid")))</f>
        <v>✅ Paid</v>
      </c>
    </row>
    <row r="17" spans="1:9" ht="16" x14ac:dyDescent="0.2">
      <c r="A17" s="24">
        <v>45946</v>
      </c>
      <c r="B17" s="23" t="s">
        <v>262</v>
      </c>
      <c r="C17" s="23" t="s">
        <v>90</v>
      </c>
      <c r="D17" s="17">
        <v>1</v>
      </c>
      <c r="E17" s="25">
        <v>5000</v>
      </c>
      <c r="F17" s="25">
        <f>Table245620[[#This Row],[Rate /Trips]]*Table245620[[#This Row],[Trips]]</f>
        <v>5000</v>
      </c>
      <c r="G17" s="25">
        <v>5000</v>
      </c>
      <c r="H17" s="25">
        <f>Table245620[[#This Row],[Total Value]]-Table245620[[#This Row],[Received]]</f>
        <v>0</v>
      </c>
      <c r="I17" s="9" t="str">
        <f>IF(H17&gt;10000,"🚨 URGENT: "&amp;B17&amp;" owes ₹"&amp;H17,IF(H17&gt;5000,"⚠️ WARNING: "&amp;B17&amp;" - ₹"&amp;H17&amp;" due",IF(H17&gt;0,"ℹ️ "&amp;B17&amp;" - ₹"&amp;H17&amp;" pending","✅ Paid")))</f>
        <v>✅ Paid</v>
      </c>
    </row>
    <row r="18" spans="1:9" ht="16" x14ac:dyDescent="0.2">
      <c r="A18" s="24">
        <v>45946</v>
      </c>
      <c r="B18" s="23" t="s">
        <v>276</v>
      </c>
      <c r="C18" s="23" t="s">
        <v>275</v>
      </c>
      <c r="D18" s="17">
        <v>1</v>
      </c>
      <c r="E18" s="25">
        <v>5000</v>
      </c>
      <c r="F18" s="25">
        <f>Table245620[[#This Row],[Rate /Trips]]*Table245620[[#This Row],[Trips]]</f>
        <v>5000</v>
      </c>
      <c r="G18" s="25"/>
      <c r="H18" s="25">
        <f>Table245620[[#This Row],[Total Value]]-Table245620[[#This Row],[Received]]</f>
        <v>5000</v>
      </c>
      <c r="I18" s="9" t="str">
        <f>IF(H18&gt;10000,"🚨 URGENT: "&amp;B18&amp;" owes ₹"&amp;H18,IF(H18&gt;5000,"⚠️ WARNING: "&amp;B18&amp;" - ₹"&amp;H18&amp;" due",IF(H18&gt;0,"ℹ️ "&amp;B18&amp;" - ₹"&amp;H18&amp;" pending","✅ Paid")))</f>
        <v>ℹ️ Vasanta ( Raj Dad ) - ₹5000 pending</v>
      </c>
    </row>
    <row r="19" spans="1:9" ht="16" x14ac:dyDescent="0.2">
      <c r="A19" s="24">
        <v>45948</v>
      </c>
      <c r="B19" s="23" t="s">
        <v>281</v>
      </c>
      <c r="C19" s="23" t="s">
        <v>279</v>
      </c>
      <c r="D19" s="17">
        <v>1</v>
      </c>
      <c r="E19" s="25">
        <v>5000</v>
      </c>
      <c r="F19" s="25">
        <f>Table245620[[#This Row],[Rate /Trips]]*Table245620[[#This Row],[Trips]]</f>
        <v>5000</v>
      </c>
      <c r="G19" s="25">
        <v>5000</v>
      </c>
      <c r="H19" s="25">
        <f>Table245620[[#This Row],[Total Value]]-Table245620[[#This Row],[Received]]</f>
        <v>0</v>
      </c>
      <c r="I19" s="9" t="str">
        <f>IF(H19&gt;10000,"🚨 URGENT: "&amp;B19&amp;" owes ₹"&amp;H19,IF(H19&gt;5000,"⚠️ WARNING: "&amp;B19&amp;" - ₹"&amp;H19&amp;" due",IF(H19&gt;0,"ℹ️ "&amp;B19&amp;" - ₹"&amp;H19&amp;" pending","✅ Paid")))</f>
        <v>✅ Paid</v>
      </c>
    </row>
    <row r="20" spans="1:9" ht="16" x14ac:dyDescent="0.2">
      <c r="A20" s="24">
        <v>45949</v>
      </c>
      <c r="B20" s="23" t="s">
        <v>289</v>
      </c>
      <c r="C20" s="23" t="s">
        <v>6</v>
      </c>
      <c r="D20" s="17">
        <v>1</v>
      </c>
      <c r="E20" s="25">
        <v>5000</v>
      </c>
      <c r="F20" s="25">
        <f>Table245620[[#This Row],[Rate /Trips]]*Table245620[[#This Row],[Trips]]</f>
        <v>5000</v>
      </c>
      <c r="G20" s="25">
        <v>5000</v>
      </c>
      <c r="H20" s="25">
        <f>Table245620[[#This Row],[Total Value]]-Table245620[[#This Row],[Received]]</f>
        <v>0</v>
      </c>
      <c r="I20" s="9" t="str">
        <f>IF(H20&gt;10000,"🚨 URGENT: "&amp;B20&amp;" owes ₹"&amp;H20,IF(H20&gt;5000,"⚠️ WARNING: "&amp;B20&amp;" - ₹"&amp;H20&amp;" due",IF(H20&gt;0,"ℹ️ "&amp;B20&amp;" - ₹"&amp;H20&amp;" pending","✅ Paid")))</f>
        <v>✅ Paid</v>
      </c>
    </row>
    <row r="21" spans="1:9" ht="16" x14ac:dyDescent="0.2">
      <c r="A21" s="24">
        <v>45954</v>
      </c>
      <c r="B21" s="23" t="s">
        <v>280</v>
      </c>
      <c r="C21" s="23" t="s">
        <v>3</v>
      </c>
      <c r="D21" s="17">
        <v>2</v>
      </c>
      <c r="E21" s="25">
        <v>4500</v>
      </c>
      <c r="F21" s="25">
        <f>Table245620[[#This Row],[Rate /Trips]]*Table245620[[#This Row],[Trips]]</f>
        <v>9000</v>
      </c>
      <c r="G21" s="25">
        <v>9000</v>
      </c>
      <c r="H21" s="25">
        <f>Table245620[[#This Row],[Total Value]]-Table245620[[#This Row],[Received]]</f>
        <v>0</v>
      </c>
      <c r="I21" s="9" t="str">
        <f>IF(H21&gt;10000,"🚨 URGENT: "&amp;B21&amp;" owes ₹"&amp;H21,IF(H21&gt;5000,"⚠️ WARNING: "&amp;B21&amp;" - ₹"&amp;H21&amp;" due",IF(H21&gt;0,"ℹ️ "&amp;B21&amp;" - ₹"&amp;H21&amp;" pending","✅ Paid")))</f>
        <v>✅ Paid</v>
      </c>
    </row>
    <row r="22" spans="1:9" ht="16" x14ac:dyDescent="0.2">
      <c r="A22" s="24">
        <v>45957</v>
      </c>
      <c r="B22" s="23" t="s">
        <v>284</v>
      </c>
      <c r="C22" s="23" t="s">
        <v>3</v>
      </c>
      <c r="D22" s="17">
        <v>2</v>
      </c>
      <c r="E22" s="25">
        <v>4000</v>
      </c>
      <c r="F22" s="25">
        <f>Table245620[[#This Row],[Rate /Trips]]*Table245620[[#This Row],[Trips]]</f>
        <v>8000</v>
      </c>
      <c r="G22" s="25">
        <v>8000</v>
      </c>
      <c r="H22" s="25">
        <f>Table245620[[#This Row],[Total Value]]-Table245620[[#This Row],[Received]]</f>
        <v>0</v>
      </c>
      <c r="I22" s="9" t="str">
        <f>IF(H22&gt;10000,"🚨 URGENT: "&amp;B22&amp;" owes ₹"&amp;H22,IF(H22&gt;5000,"⚠️ WARNING: "&amp;B22&amp;" - ₹"&amp;H22&amp;" due",IF(H22&gt;0,"ℹ️ "&amp;B22&amp;" - ₹"&amp;H22&amp;" pending","✅ Paid")))</f>
        <v>✅ Paid</v>
      </c>
    </row>
    <row r="23" spans="1:9" ht="16" x14ac:dyDescent="0.2">
      <c r="A23" s="24">
        <v>45958</v>
      </c>
      <c r="B23" s="23" t="s">
        <v>285</v>
      </c>
      <c r="C23" s="23" t="s">
        <v>151</v>
      </c>
      <c r="D23" s="17">
        <v>3</v>
      </c>
      <c r="E23" s="25">
        <v>4500</v>
      </c>
      <c r="F23" s="25">
        <f>Table245620[[#This Row],[Rate /Trips]]*Table245620[[#This Row],[Trips]]</f>
        <v>13500</v>
      </c>
      <c r="G23" s="25">
        <v>13500</v>
      </c>
      <c r="H23" s="25">
        <f>Table245620[[#This Row],[Total Value]]-Table245620[[#This Row],[Received]]</f>
        <v>0</v>
      </c>
      <c r="I23" s="9" t="str">
        <f>IF(H23&gt;10000,"🚨 URGENT: "&amp;B23&amp;" owes ₹"&amp;H23,IF(H23&gt;5000,"⚠️ WARNING: "&amp;B23&amp;" - ₹"&amp;H23&amp;" due",IF(H23&gt;0,"ℹ️ "&amp;B23&amp;" - ₹"&amp;H23&amp;" pending","✅ Paid")))</f>
        <v>✅ Paid</v>
      </c>
    </row>
    <row r="24" spans="1:9" ht="16" x14ac:dyDescent="0.2">
      <c r="A24" s="24">
        <v>45958</v>
      </c>
      <c r="B24" s="23" t="s">
        <v>289</v>
      </c>
      <c r="C24" s="23" t="s">
        <v>6</v>
      </c>
      <c r="D24" s="17">
        <v>1</v>
      </c>
      <c r="E24" s="25">
        <v>5000</v>
      </c>
      <c r="F24" s="25">
        <f>Table245620[[#This Row],[Rate /Trips]]*Table245620[[#This Row],[Trips]]</f>
        <v>5000</v>
      </c>
      <c r="G24" s="25">
        <v>5000</v>
      </c>
      <c r="H24" s="25">
        <f>Table245620[[#This Row],[Total Value]]-Table245620[[#This Row],[Received]]</f>
        <v>0</v>
      </c>
      <c r="I24" s="9" t="str">
        <f>IF(H24&gt;10000,"🚨 URGENT: "&amp;B24&amp;" owes ₹"&amp;H24,IF(H24&gt;5000,"⚠️ WARNING: "&amp;B24&amp;" - ₹"&amp;H24&amp;" due",IF(H24&gt;0,"ℹ️ "&amp;B24&amp;" - ₹"&amp;H24&amp;" pending","✅ Paid")))</f>
        <v>✅ Paid</v>
      </c>
    </row>
    <row r="25" spans="1:9" ht="16" x14ac:dyDescent="0.2">
      <c r="A25" s="24">
        <v>45959</v>
      </c>
      <c r="B25" s="33" t="s">
        <v>288</v>
      </c>
      <c r="C25" s="33" t="s">
        <v>290</v>
      </c>
      <c r="D25" s="17">
        <v>2</v>
      </c>
      <c r="E25" s="25">
        <v>0</v>
      </c>
      <c r="F25" s="25">
        <f>Table245620[[#This Row],[Rate /Trips]]*Table245620[[#This Row],[Trips]]</f>
        <v>0</v>
      </c>
      <c r="G25" s="25"/>
      <c r="H25" s="25">
        <f>Table245620[[#This Row],[Total Value]]-Table245620[[#This Row],[Received]]</f>
        <v>0</v>
      </c>
      <c r="I25" s="9" t="str">
        <f>IF(H25&gt;10000,"🚨 URGENT: "&amp;B25&amp;" owes ₹"&amp;H25,IF(H25&gt;5000,"⚠️ WARNING: "&amp;B25&amp;" - ₹"&amp;H25&amp;" due",IF(H25&gt;0,"ℹ️ "&amp;B25&amp;" - ₹"&amp;H25&amp;" pending","✅ Paid")))</f>
        <v>✅ Paid</v>
      </c>
    </row>
    <row r="26" spans="1:9" ht="16" x14ac:dyDescent="0.2">
      <c r="A26" s="24">
        <v>45959</v>
      </c>
      <c r="B26" s="33" t="s">
        <v>286</v>
      </c>
      <c r="C26" s="33" t="s">
        <v>287</v>
      </c>
      <c r="D26" s="17">
        <v>2</v>
      </c>
      <c r="E26" s="25">
        <v>4500</v>
      </c>
      <c r="F26" s="25">
        <f>Table245620[[#This Row],[Rate /Trips]]*Table245620[[#This Row],[Trips]]</f>
        <v>9000</v>
      </c>
      <c r="G26" s="25">
        <v>9000</v>
      </c>
      <c r="H26" s="25">
        <f>Table245620[[#This Row],[Total Value]]-Table245620[[#This Row],[Received]]</f>
        <v>0</v>
      </c>
      <c r="I26" s="9" t="str">
        <f>IF(H26&gt;10000,"🚨 URGENT: "&amp;B26&amp;" owes ₹"&amp;H26,IF(H26&gt;5000,"⚠️ WARNING: "&amp;B26&amp;" - ₹"&amp;H26&amp;" due",IF(H26&gt;0,"ℹ️ "&amp;B26&amp;" - ₹"&amp;H26&amp;" pending","✅ Paid")))</f>
        <v>✅ Paid</v>
      </c>
    </row>
    <row r="27" spans="1:9" ht="16" x14ac:dyDescent="0.2">
      <c r="A27" s="24">
        <v>45960</v>
      </c>
      <c r="B27" s="33"/>
      <c r="C27" s="33"/>
      <c r="D27" s="17"/>
      <c r="E27" s="25"/>
      <c r="F27" s="25">
        <f>Table245620[[#This Row],[Rate /Trips]]*Table245620[[#This Row],[Trips]]</f>
        <v>0</v>
      </c>
      <c r="G27" s="25"/>
      <c r="H27" s="25">
        <f>Table245620[[#This Row],[Total Value]]-Table245620[[#This Row],[Received]]</f>
        <v>0</v>
      </c>
      <c r="I27" s="9" t="str">
        <f>IF(H27&gt;10000,"🚨 URGENT: "&amp;B27&amp;" owes ₹"&amp;H27,IF(H27&gt;5000,"⚠️ WARNING: "&amp;B27&amp;" - ₹"&amp;H27&amp;" due",IF(H27&gt;0,"ℹ️ "&amp;B27&amp;" - ₹"&amp;H27&amp;" pending","✅ Paid")))</f>
        <v>✅ Paid</v>
      </c>
    </row>
    <row r="28" spans="1:9" ht="16" x14ac:dyDescent="0.2">
      <c r="A28" s="24">
        <v>45961</v>
      </c>
      <c r="B28" s="33"/>
      <c r="C28" s="33"/>
      <c r="D28" s="17"/>
      <c r="E28" s="25"/>
      <c r="F28" s="25">
        <f>Table245620[[#This Row],[Rate /Trips]]*Table245620[[#This Row],[Trips]]</f>
        <v>0</v>
      </c>
      <c r="G28" s="25"/>
      <c r="H28" s="25">
        <f>Table245620[[#This Row],[Total Value]]-Table245620[[#This Row],[Received]]</f>
        <v>0</v>
      </c>
      <c r="I28" s="9" t="str">
        <f>IF(H28&gt;10000,"🚨 URGENT: "&amp;B28&amp;" owes ₹"&amp;H28,IF(H28&gt;5000,"⚠️ WARNING: "&amp;B28&amp;" - ₹"&amp;H28&amp;" due",IF(H28&gt;0,"ℹ️ "&amp;B28&amp;" - ₹"&amp;H28&amp;" pending","✅ Paid")))</f>
        <v>✅ Paid</v>
      </c>
    </row>
    <row r="29" spans="1:9" ht="16" x14ac:dyDescent="0.2">
      <c r="A29" s="3"/>
      <c r="B29" s="2"/>
      <c r="C29" s="2"/>
      <c r="D29" s="2"/>
      <c r="E29" s="16"/>
      <c r="F29" s="16"/>
      <c r="G29" s="16"/>
      <c r="H29" s="16"/>
      <c r="I29" s="9"/>
    </row>
    <row r="30" spans="1:9" ht="16" x14ac:dyDescent="0.2">
      <c r="A30" s="24"/>
      <c r="B30" s="22"/>
      <c r="C30" s="22"/>
      <c r="D30" s="2"/>
      <c r="E30" s="25"/>
      <c r="F30" s="25"/>
      <c r="G30" s="25"/>
      <c r="H30" s="25"/>
      <c r="I30" s="9"/>
    </row>
    <row r="31" spans="1:9" ht="16" x14ac:dyDescent="0.2">
      <c r="A31" s="24"/>
      <c r="B31" s="22"/>
      <c r="C31" s="22"/>
      <c r="D31" s="2"/>
      <c r="E31" s="25"/>
      <c r="F31" s="25"/>
      <c r="G31" s="25"/>
      <c r="H31" s="25"/>
      <c r="I31" s="9"/>
    </row>
    <row r="32" spans="1:9" ht="16" x14ac:dyDescent="0.2">
      <c r="A32" s="24"/>
      <c r="B32" s="22"/>
      <c r="C32" s="22"/>
      <c r="D32" s="2"/>
      <c r="E32" s="25"/>
      <c r="F32" s="25"/>
      <c r="G32" s="25"/>
      <c r="H32" s="25"/>
      <c r="I32" s="9"/>
    </row>
    <row r="33" spans="1:9" ht="16" x14ac:dyDescent="0.2">
      <c r="A33" s="24"/>
      <c r="B33" s="22"/>
      <c r="C33" s="22"/>
      <c r="D33" s="2"/>
      <c r="E33" s="25"/>
      <c r="F33" s="25"/>
      <c r="G33" s="25"/>
      <c r="H33" s="25"/>
      <c r="I33" s="9"/>
    </row>
    <row r="34" spans="1:9" ht="16" x14ac:dyDescent="0.2">
      <c r="A34" s="24"/>
      <c r="B34" s="23"/>
      <c r="C34" s="23"/>
      <c r="D34" s="17"/>
      <c r="E34" s="25"/>
      <c r="F34" s="25"/>
      <c r="G34" s="25"/>
      <c r="H34" s="25"/>
      <c r="I34" s="9"/>
    </row>
    <row r="35" spans="1:9" ht="16" x14ac:dyDescent="0.2">
      <c r="A35" s="24"/>
      <c r="B35" s="23"/>
      <c r="C35" s="23"/>
      <c r="D35" s="17"/>
      <c r="E35" s="25"/>
      <c r="F35" s="25"/>
      <c r="G35" s="25"/>
      <c r="H35" s="25"/>
      <c r="I35" s="9"/>
    </row>
    <row r="36" spans="1:9" ht="16" x14ac:dyDescent="0.2">
      <c r="A36" s="24"/>
      <c r="B36" s="23"/>
      <c r="C36" s="23"/>
      <c r="D36" s="17"/>
      <c r="E36" s="25"/>
      <c r="F36" s="25"/>
      <c r="G36" s="25"/>
      <c r="H36" s="25"/>
      <c r="I36" s="9"/>
    </row>
    <row r="37" spans="1:9" ht="16" x14ac:dyDescent="0.2">
      <c r="A37" s="24"/>
      <c r="B37" s="23"/>
      <c r="C37" s="23"/>
      <c r="D37" s="17"/>
      <c r="E37" s="25"/>
      <c r="F37" s="25"/>
      <c r="G37" s="25"/>
      <c r="H37" s="25"/>
      <c r="I37" s="9"/>
    </row>
    <row r="38" spans="1:9" ht="16" x14ac:dyDescent="0.2">
      <c r="A38" s="24"/>
      <c r="B38" s="23"/>
      <c r="C38" s="23"/>
      <c r="D38" s="17"/>
      <c r="E38" s="25"/>
      <c r="F38" s="25"/>
      <c r="G38" s="25"/>
      <c r="H38" s="25"/>
      <c r="I38" s="9"/>
    </row>
    <row r="39" spans="1:9" ht="16" x14ac:dyDescent="0.2">
      <c r="A39" s="24"/>
      <c r="B39" s="23"/>
      <c r="C39" s="23"/>
      <c r="D39" s="17"/>
      <c r="E39" s="25"/>
      <c r="F39" s="25"/>
      <c r="G39" s="25"/>
      <c r="H39" s="25"/>
      <c r="I39" s="9"/>
    </row>
    <row r="40" spans="1:9" ht="16" x14ac:dyDescent="0.2">
      <c r="A40" s="24"/>
      <c r="B40" s="23"/>
      <c r="C40" s="23"/>
      <c r="D40" s="17"/>
      <c r="E40" s="25"/>
      <c r="F40" s="25"/>
      <c r="G40" s="25"/>
      <c r="H40" s="25"/>
      <c r="I40" s="9"/>
    </row>
    <row r="41" spans="1:9" ht="16" x14ac:dyDescent="0.2">
      <c r="A41" s="24"/>
      <c r="B41" s="23"/>
      <c r="C41" s="23"/>
      <c r="D41" s="17"/>
      <c r="E41" s="25"/>
      <c r="F41" s="25"/>
      <c r="G41" s="25"/>
      <c r="H41" s="25"/>
      <c r="I41" s="9"/>
    </row>
    <row r="42" spans="1:9" ht="16" x14ac:dyDescent="0.2">
      <c r="A42" s="24"/>
      <c r="B42" s="23"/>
      <c r="C42" s="23"/>
      <c r="D42" s="17"/>
      <c r="E42" s="25"/>
      <c r="F42" s="25"/>
      <c r="G42" s="25"/>
      <c r="H42" s="25"/>
      <c r="I42" s="9"/>
    </row>
    <row r="43" spans="1:9" ht="16" x14ac:dyDescent="0.2">
      <c r="A43" s="24"/>
      <c r="B43" s="33"/>
      <c r="C43" s="33"/>
      <c r="D43" s="17"/>
      <c r="E43" s="25"/>
      <c r="F43" s="25"/>
      <c r="G43" s="25"/>
      <c r="H43" s="25"/>
      <c r="I43" s="9"/>
    </row>
    <row r="44" spans="1:9" ht="16" x14ac:dyDescent="0.2">
      <c r="A44" s="35"/>
      <c r="B44" s="36"/>
      <c r="C44" s="36"/>
      <c r="D44" s="38"/>
      <c r="E44" s="37"/>
      <c r="F44" s="37"/>
      <c r="G44" s="37"/>
      <c r="H44" s="37"/>
      <c r="I44" s="4"/>
    </row>
    <row r="45" spans="1:9" ht="24" x14ac:dyDescent="0.2">
      <c r="D45" s="19" t="s">
        <v>7</v>
      </c>
      <c r="E45" s="18"/>
      <c r="F45" s="19" t="s">
        <v>50</v>
      </c>
      <c r="G45" s="19" t="s">
        <v>49</v>
      </c>
      <c r="H45" s="19" t="s">
        <v>48</v>
      </c>
    </row>
    <row r="46" spans="1:9" ht="24" x14ac:dyDescent="0.2">
      <c r="D46" s="19">
        <f>SUM(D4:D43)</f>
        <v>32</v>
      </c>
      <c r="E46" s="18"/>
      <c r="F46" s="20">
        <f>SUM(F4:F43)</f>
        <v>124500</v>
      </c>
      <c r="G46" s="20">
        <f>SUM(G4:G43)</f>
        <v>115500</v>
      </c>
      <c r="H46" s="20">
        <f>SUM(H4:H43)</f>
        <v>9000</v>
      </c>
    </row>
    <row r="52" spans="1:9" ht="29" x14ac:dyDescent="0.2">
      <c r="A52" s="42" t="s">
        <v>70</v>
      </c>
      <c r="B52" s="42"/>
      <c r="C52" s="42"/>
      <c r="D52" s="42"/>
      <c r="E52" s="4"/>
      <c r="F52" s="4"/>
      <c r="G52" s="4"/>
      <c r="H52" s="4"/>
      <c r="I52" s="4"/>
    </row>
    <row r="53" spans="1:9" ht="16" x14ac:dyDescent="0.2">
      <c r="A53" s="43" t="s">
        <v>255</v>
      </c>
      <c r="B53" s="43"/>
      <c r="C53" s="43"/>
      <c r="D53" s="43"/>
      <c r="E53" s="4"/>
      <c r="F53" s="4"/>
      <c r="I53" s="4"/>
    </row>
    <row r="54" spans="1:9" ht="16" x14ac:dyDescent="0.2">
      <c r="A54" s="15" t="s">
        <v>0</v>
      </c>
      <c r="B54" s="14" t="s">
        <v>69</v>
      </c>
      <c r="C54" s="14" t="s">
        <v>68</v>
      </c>
      <c r="D54" s="14" t="s">
        <v>1</v>
      </c>
    </row>
    <row r="55" spans="1:9" x14ac:dyDescent="0.2">
      <c r="A55" s="24">
        <v>45934</v>
      </c>
      <c r="B55" s="23" t="s">
        <v>243</v>
      </c>
      <c r="C55" s="23" t="s">
        <v>177</v>
      </c>
      <c r="D55" s="17">
        <v>3</v>
      </c>
    </row>
    <row r="56" spans="1:9" x14ac:dyDescent="0.2">
      <c r="A56" s="24">
        <v>45938</v>
      </c>
      <c r="B56" s="23" t="s">
        <v>243</v>
      </c>
      <c r="C56" s="23" t="s">
        <v>177</v>
      </c>
      <c r="D56" s="17">
        <v>3</v>
      </c>
    </row>
    <row r="57" spans="1:9" x14ac:dyDescent="0.2">
      <c r="A57" s="24">
        <v>45938</v>
      </c>
      <c r="B57" s="23" t="s">
        <v>183</v>
      </c>
      <c r="C57" s="23" t="s">
        <v>184</v>
      </c>
      <c r="D57" s="17">
        <v>7</v>
      </c>
    </row>
    <row r="58" spans="1:9" x14ac:dyDescent="0.2">
      <c r="A58" s="24">
        <v>45939</v>
      </c>
      <c r="B58" s="23" t="s">
        <v>183</v>
      </c>
      <c r="C58" s="23" t="s">
        <v>184</v>
      </c>
      <c r="D58" s="17">
        <v>8</v>
      </c>
    </row>
    <row r="59" spans="1:9" x14ac:dyDescent="0.2">
      <c r="A59" s="24">
        <v>45939</v>
      </c>
      <c r="B59" s="23" t="s">
        <v>269</v>
      </c>
      <c r="C59" s="23" t="s">
        <v>167</v>
      </c>
      <c r="D59" s="17">
        <v>1</v>
      </c>
    </row>
    <row r="60" spans="1:9" x14ac:dyDescent="0.2">
      <c r="A60" s="24">
        <v>45940</v>
      </c>
      <c r="B60" s="23" t="s">
        <v>269</v>
      </c>
      <c r="C60" s="23" t="s">
        <v>270</v>
      </c>
      <c r="D60" s="17">
        <v>2</v>
      </c>
    </row>
    <row r="61" spans="1:9" x14ac:dyDescent="0.2">
      <c r="A61" s="24">
        <v>45940</v>
      </c>
      <c r="B61" s="23" t="s">
        <v>269</v>
      </c>
      <c r="C61" s="23" t="s">
        <v>177</v>
      </c>
      <c r="D61" s="17">
        <v>2</v>
      </c>
    </row>
    <row r="62" spans="1:9" x14ac:dyDescent="0.2">
      <c r="A62" s="24">
        <v>45940</v>
      </c>
      <c r="B62" s="23" t="s">
        <v>183</v>
      </c>
      <c r="C62" s="23" t="s">
        <v>184</v>
      </c>
      <c r="D62" s="17">
        <v>13</v>
      </c>
    </row>
    <row r="63" spans="1:9" x14ac:dyDescent="0.2">
      <c r="A63" s="24">
        <v>45941</v>
      </c>
      <c r="B63" s="23" t="s">
        <v>269</v>
      </c>
      <c r="C63" s="23" t="s">
        <v>270</v>
      </c>
      <c r="D63" s="17">
        <v>8</v>
      </c>
    </row>
    <row r="64" spans="1:9" x14ac:dyDescent="0.2">
      <c r="A64" s="24">
        <v>45941</v>
      </c>
      <c r="B64" s="23" t="s">
        <v>183</v>
      </c>
      <c r="C64" s="23" t="s">
        <v>184</v>
      </c>
      <c r="D64" s="17">
        <v>26</v>
      </c>
    </row>
    <row r="65" spans="1:4" x14ac:dyDescent="0.2">
      <c r="A65" s="24">
        <v>45941</v>
      </c>
      <c r="B65" s="23" t="s">
        <v>183</v>
      </c>
      <c r="C65" s="23" t="s">
        <v>167</v>
      </c>
      <c r="D65" s="17">
        <v>1</v>
      </c>
    </row>
    <row r="66" spans="1:4" x14ac:dyDescent="0.2">
      <c r="A66" s="24">
        <v>45942</v>
      </c>
      <c r="B66" s="23" t="s">
        <v>183</v>
      </c>
      <c r="C66" s="23" t="s">
        <v>184</v>
      </c>
      <c r="D66" s="17">
        <v>22</v>
      </c>
    </row>
    <row r="67" spans="1:4" x14ac:dyDescent="0.2">
      <c r="A67" s="24">
        <v>45943</v>
      </c>
      <c r="B67" s="23" t="s">
        <v>183</v>
      </c>
      <c r="C67" s="23" t="s">
        <v>184</v>
      </c>
      <c r="D67" s="17">
        <v>22</v>
      </c>
    </row>
    <row r="68" spans="1:4" x14ac:dyDescent="0.2">
      <c r="A68" s="24">
        <v>45944</v>
      </c>
      <c r="B68" s="23" t="s">
        <v>183</v>
      </c>
      <c r="C68" s="23" t="s">
        <v>184</v>
      </c>
      <c r="D68" s="17">
        <v>15</v>
      </c>
    </row>
    <row r="69" spans="1:4" x14ac:dyDescent="0.2">
      <c r="A69" s="24">
        <v>45945</v>
      </c>
      <c r="B69" s="23" t="s">
        <v>269</v>
      </c>
      <c r="C69" s="23" t="s">
        <v>270</v>
      </c>
      <c r="D69" s="17">
        <v>5</v>
      </c>
    </row>
    <row r="70" spans="1:4" x14ac:dyDescent="0.2">
      <c r="A70" s="24">
        <v>45945</v>
      </c>
      <c r="B70" s="23" t="s">
        <v>183</v>
      </c>
      <c r="C70" s="23" t="s">
        <v>184</v>
      </c>
      <c r="D70" s="17">
        <v>18</v>
      </c>
    </row>
    <row r="71" spans="1:4" x14ac:dyDescent="0.2">
      <c r="A71" s="24">
        <v>45946</v>
      </c>
      <c r="B71" s="23" t="s">
        <v>183</v>
      </c>
      <c r="C71" s="23" t="s">
        <v>184</v>
      </c>
      <c r="D71" s="17">
        <v>15</v>
      </c>
    </row>
    <row r="72" spans="1:4" x14ac:dyDescent="0.2">
      <c r="A72" s="24">
        <v>45947</v>
      </c>
      <c r="B72" s="23" t="s">
        <v>183</v>
      </c>
      <c r="C72" s="23" t="s">
        <v>184</v>
      </c>
      <c r="D72" s="17">
        <v>19</v>
      </c>
    </row>
    <row r="73" spans="1:4" x14ac:dyDescent="0.2">
      <c r="A73" s="24">
        <v>45948</v>
      </c>
      <c r="B73" s="23" t="s">
        <v>183</v>
      </c>
      <c r="C73" s="23" t="s">
        <v>184</v>
      </c>
      <c r="D73" s="17">
        <v>11</v>
      </c>
    </row>
    <row r="74" spans="1:4" x14ac:dyDescent="0.2">
      <c r="A74" s="24">
        <v>45954</v>
      </c>
      <c r="B74" s="23" t="s">
        <v>269</v>
      </c>
      <c r="C74" s="23" t="s">
        <v>270</v>
      </c>
      <c r="D74" s="17">
        <v>1</v>
      </c>
    </row>
    <row r="75" spans="1:4" x14ac:dyDescent="0.2">
      <c r="A75" s="24">
        <v>45955</v>
      </c>
      <c r="B75" s="23" t="s">
        <v>269</v>
      </c>
      <c r="C75" s="23" t="s">
        <v>270</v>
      </c>
      <c r="D75" s="17">
        <v>4</v>
      </c>
    </row>
    <row r="76" spans="1:4" x14ac:dyDescent="0.2">
      <c r="A76" s="24">
        <v>45957</v>
      </c>
      <c r="B76" s="23" t="s">
        <v>269</v>
      </c>
      <c r="C76" s="23" t="s">
        <v>270</v>
      </c>
      <c r="D76" s="17">
        <v>5</v>
      </c>
    </row>
    <row r="77" spans="1:4" x14ac:dyDescent="0.2">
      <c r="A77" s="24">
        <v>45957</v>
      </c>
      <c r="B77" s="23" t="s">
        <v>183</v>
      </c>
      <c r="C77" s="23" t="s">
        <v>184</v>
      </c>
      <c r="D77" s="17">
        <v>7</v>
      </c>
    </row>
    <row r="78" spans="1:4" x14ac:dyDescent="0.2">
      <c r="A78" s="24">
        <v>45958</v>
      </c>
      <c r="B78" s="23" t="s">
        <v>282</v>
      </c>
      <c r="C78" s="23" t="s">
        <v>283</v>
      </c>
      <c r="D78" s="17">
        <v>5</v>
      </c>
    </row>
    <row r="79" spans="1:4" x14ac:dyDescent="0.2">
      <c r="A79" s="24">
        <v>45958</v>
      </c>
      <c r="B79" s="23" t="s">
        <v>183</v>
      </c>
      <c r="C79" s="23" t="s">
        <v>184</v>
      </c>
      <c r="D79" s="17">
        <v>2</v>
      </c>
    </row>
    <row r="80" spans="1:4" x14ac:dyDescent="0.2">
      <c r="A80" s="24">
        <v>45959</v>
      </c>
      <c r="B80" s="23" t="s">
        <v>282</v>
      </c>
      <c r="C80" s="23" t="s">
        <v>283</v>
      </c>
      <c r="D80" s="17">
        <v>5</v>
      </c>
    </row>
    <row r="81" spans="1:4" x14ac:dyDescent="0.2">
      <c r="A81" s="24">
        <v>45959</v>
      </c>
      <c r="B81" s="23" t="s">
        <v>183</v>
      </c>
      <c r="C81" s="23" t="s">
        <v>184</v>
      </c>
      <c r="D81" s="17">
        <v>2</v>
      </c>
    </row>
    <row r="82" spans="1:4" x14ac:dyDescent="0.2">
      <c r="A82" s="24">
        <v>45961</v>
      </c>
      <c r="B82" s="23"/>
      <c r="C82" s="23"/>
      <c r="D82" s="17"/>
    </row>
    <row r="83" spans="1:4" x14ac:dyDescent="0.2">
      <c r="A83" s="3"/>
      <c r="B83" s="22"/>
      <c r="C83" s="22"/>
      <c r="D83" s="2"/>
    </row>
    <row r="84" spans="1:4" x14ac:dyDescent="0.2">
      <c r="A84" s="24"/>
      <c r="B84" s="23"/>
      <c r="C84" s="23"/>
      <c r="D84" s="17"/>
    </row>
    <row r="85" spans="1:4" x14ac:dyDescent="0.2">
      <c r="A85" s="24"/>
      <c r="B85" s="23"/>
      <c r="C85" s="23"/>
      <c r="D85" s="17"/>
    </row>
    <row r="86" spans="1:4" x14ac:dyDescent="0.2">
      <c r="A86" s="24"/>
      <c r="B86" s="23"/>
      <c r="C86" s="23"/>
      <c r="D86" s="17"/>
    </row>
    <row r="87" spans="1:4" x14ac:dyDescent="0.2">
      <c r="A87" s="24"/>
      <c r="B87" s="23"/>
      <c r="C87" s="23"/>
      <c r="D87" s="17"/>
    </row>
    <row r="88" spans="1:4" x14ac:dyDescent="0.2">
      <c r="A88" s="24"/>
      <c r="B88" s="23"/>
      <c r="C88" s="23"/>
      <c r="D88" s="17"/>
    </row>
    <row r="89" spans="1:4" x14ac:dyDescent="0.2">
      <c r="A89" s="24"/>
      <c r="B89" s="23"/>
      <c r="C89" s="23"/>
      <c r="D89" s="17"/>
    </row>
    <row r="90" spans="1:4" x14ac:dyDescent="0.2">
      <c r="A90" s="24"/>
      <c r="B90" s="23"/>
      <c r="C90" s="23"/>
      <c r="D90" s="17"/>
    </row>
    <row r="91" spans="1:4" x14ac:dyDescent="0.2">
      <c r="A91" s="24"/>
      <c r="B91" s="23"/>
      <c r="C91" s="23"/>
      <c r="D91" s="17"/>
    </row>
    <row r="92" spans="1:4" x14ac:dyDescent="0.2">
      <c r="A92" s="24"/>
      <c r="B92" s="23"/>
      <c r="C92" s="23"/>
      <c r="D92" s="17"/>
    </row>
    <row r="93" spans="1:4" x14ac:dyDescent="0.2">
      <c r="A93" s="24"/>
      <c r="B93" s="23"/>
      <c r="C93" s="23"/>
      <c r="D93" s="17"/>
    </row>
    <row r="94" spans="1:4" x14ac:dyDescent="0.2">
      <c r="A94" s="24"/>
      <c r="B94" s="23"/>
      <c r="C94" s="23"/>
      <c r="D94" s="17"/>
    </row>
    <row r="95" spans="1:4" x14ac:dyDescent="0.2">
      <c r="A95" s="24"/>
      <c r="B95" s="23"/>
      <c r="C95" s="23"/>
      <c r="D95" s="17"/>
    </row>
    <row r="96" spans="1:4" x14ac:dyDescent="0.2">
      <c r="A96" s="24"/>
      <c r="B96" s="23"/>
      <c r="C96" s="23"/>
      <c r="D96" s="17"/>
    </row>
    <row r="97" spans="1:4" x14ac:dyDescent="0.2">
      <c r="A97" s="24"/>
      <c r="B97" s="23"/>
      <c r="C97" s="23"/>
      <c r="D97" s="17"/>
    </row>
    <row r="98" spans="1:4" x14ac:dyDescent="0.2">
      <c r="A98" s="24"/>
      <c r="B98" s="23"/>
      <c r="C98" s="23"/>
      <c r="D98" s="17"/>
    </row>
    <row r="99" spans="1:4" x14ac:dyDescent="0.2">
      <c r="A99" s="24"/>
      <c r="B99" s="23"/>
      <c r="C99" s="23"/>
      <c r="D99" s="17"/>
    </row>
    <row r="100" spans="1:4" ht="24" x14ac:dyDescent="0.2">
      <c r="D100" s="21" t="s">
        <v>7</v>
      </c>
    </row>
    <row r="101" spans="1:4" ht="24" x14ac:dyDescent="0.2">
      <c r="D101" s="19">
        <f>SUM(D55:D99)</f>
        <v>232</v>
      </c>
    </row>
  </sheetData>
  <mergeCells count="4">
    <mergeCell ref="A1:I1"/>
    <mergeCell ref="A2:I2"/>
    <mergeCell ref="A52:D52"/>
    <mergeCell ref="A53:D53"/>
  </mergeCells>
  <conditionalFormatting sqref="I4:I44">
    <cfRule type="containsText" dxfId="15" priority="1" operator="containsText" text="✅">
      <formula>NOT(ISERROR(SEARCH("✅",I4)))</formula>
    </cfRule>
    <cfRule type="containsText" dxfId="14" priority="2" operator="containsText" text="ℹ️">
      <formula>NOT(ISERROR(SEARCH("ℹ️",I4)))</formula>
    </cfRule>
    <cfRule type="containsText" dxfId="13" priority="3" operator="containsText" text="⚠️">
      <formula>NOT(ISERROR(SEARCH("⚠️",I4)))</formula>
    </cfRule>
    <cfRule type="containsText" dxfId="12" priority="4" operator="containsText" text="🚨">
      <formula>NOT(ISERROR(SEARCH("🚨",I4)))</formula>
    </cfRule>
  </conditionalFormatting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1FE97-BECF-974E-9F20-4F287AE2FE21}">
  <sheetPr codeName="Sheet11">
    <pageSetUpPr fitToPage="1"/>
  </sheetPr>
  <dimension ref="A1:W142"/>
  <sheetViews>
    <sheetView topLeftCell="A92" zoomScale="125" workbookViewId="0">
      <selection activeCell="C65" sqref="C65:D115"/>
    </sheetView>
  </sheetViews>
  <sheetFormatPr baseColWidth="10" defaultColWidth="11.5" defaultRowHeight="15" x14ac:dyDescent="0.2"/>
  <cols>
    <col min="1" max="1" width="26.83203125" bestFit="1" customWidth="1"/>
    <col min="2" max="2" width="25" bestFit="1" customWidth="1"/>
    <col min="3" max="3" width="23.5" bestFit="1" customWidth="1"/>
    <col min="4" max="4" width="14.6640625" bestFit="1" customWidth="1"/>
    <col min="5" max="5" width="15.5" bestFit="1" customWidth="1"/>
    <col min="6" max="6" width="18.5" bestFit="1" customWidth="1"/>
    <col min="7" max="7" width="20.1640625" bestFit="1" customWidth="1"/>
    <col min="8" max="8" width="18.6640625" bestFit="1" customWidth="1"/>
    <col min="9" max="9" width="50.33203125" customWidth="1"/>
    <col min="11" max="11" width="11.1640625" bestFit="1" customWidth="1"/>
    <col min="14" max="14" width="26.33203125" bestFit="1" customWidth="1"/>
    <col min="15" max="15" width="26.1640625" bestFit="1" customWidth="1"/>
    <col min="16" max="16" width="27.6640625" bestFit="1" customWidth="1"/>
    <col min="17" max="17" width="16.33203125" bestFit="1" customWidth="1"/>
    <col min="18" max="18" width="14.6640625" bestFit="1" customWidth="1"/>
    <col min="19" max="19" width="16.6640625" bestFit="1" customWidth="1"/>
    <col min="20" max="20" width="20.83203125" bestFit="1" customWidth="1"/>
    <col min="21" max="21" width="20.1640625" bestFit="1" customWidth="1"/>
    <col min="22" max="22" width="43.1640625" bestFit="1" customWidth="1"/>
    <col min="23" max="23" width="42.1640625" bestFit="1" customWidth="1"/>
  </cols>
  <sheetData>
    <row r="1" spans="1:23" ht="29" x14ac:dyDescent="0.2">
      <c r="A1" s="42" t="s">
        <v>70</v>
      </c>
      <c r="B1" s="42"/>
      <c r="C1" s="42"/>
      <c r="D1" s="42"/>
      <c r="E1" s="42"/>
      <c r="F1" s="42"/>
      <c r="G1" s="42"/>
      <c r="H1" s="42"/>
      <c r="I1" s="42"/>
    </row>
    <row r="2" spans="1:23" ht="16" x14ac:dyDescent="0.2">
      <c r="A2" s="43" t="s">
        <v>256</v>
      </c>
      <c r="B2" s="43"/>
      <c r="C2" s="43"/>
      <c r="D2" s="43"/>
      <c r="E2" s="43"/>
      <c r="F2" s="43"/>
      <c r="G2" s="43"/>
      <c r="H2" s="43"/>
      <c r="I2" s="43"/>
      <c r="O2" s="44"/>
      <c r="P2" s="44"/>
      <c r="Q2" s="44"/>
      <c r="R2" s="44"/>
      <c r="S2" s="44"/>
      <c r="T2" s="44"/>
      <c r="U2" s="44"/>
      <c r="V2" s="44"/>
      <c r="W2" s="44"/>
    </row>
    <row r="3" spans="1:23" ht="16" x14ac:dyDescent="0.2">
      <c r="A3" s="15" t="s">
        <v>0</v>
      </c>
      <c r="B3" s="14" t="s">
        <v>69</v>
      </c>
      <c r="C3" s="14" t="s">
        <v>68</v>
      </c>
      <c r="D3" s="14" t="s">
        <v>1</v>
      </c>
      <c r="E3" s="13" t="s">
        <v>67</v>
      </c>
      <c r="F3" s="13" t="s">
        <v>50</v>
      </c>
      <c r="G3" s="13" t="s">
        <v>66</v>
      </c>
      <c r="H3" s="13" t="s">
        <v>2</v>
      </c>
      <c r="I3" s="13" t="s">
        <v>65</v>
      </c>
      <c r="O3" s="44"/>
      <c r="P3" s="44"/>
      <c r="Q3" s="44"/>
      <c r="R3" s="44"/>
      <c r="S3" s="44"/>
      <c r="T3" s="44"/>
      <c r="U3" s="44"/>
      <c r="V3" s="44"/>
      <c r="W3" s="44"/>
    </row>
    <row r="4" spans="1:23" ht="16" x14ac:dyDescent="0.2">
      <c r="A4" s="24">
        <v>45972</v>
      </c>
      <c r="B4" s="23" t="s">
        <v>87</v>
      </c>
      <c r="C4" s="23" t="s">
        <v>297</v>
      </c>
      <c r="D4" s="17">
        <v>1</v>
      </c>
      <c r="E4" s="25">
        <v>4500</v>
      </c>
      <c r="F4" s="25">
        <f>Table24562022[[#This Row],[Rate /Trips]]*Table24562022[[#This Row],[Trips]]</f>
        <v>4500</v>
      </c>
      <c r="G4" s="25">
        <v>4500</v>
      </c>
      <c r="H4" s="25">
        <f>Table24562022[[#This Row],[Total Value]]-Table24562022[[#This Row],[Received]]</f>
        <v>0</v>
      </c>
      <c r="I4" s="9" t="str">
        <f t="shared" ref="I4:I34" si="0">IF(H4&gt;10000,"🚨 URGENT: "&amp;B4&amp;" owes ₹"&amp;H4,IF(H4&gt;5000,"⚠️ WARNING: "&amp;B4&amp;" - ₹"&amp;H4&amp;" due",IF(H4&gt;0,"ℹ️ "&amp;B4&amp;" - ₹"&amp;H4&amp;" pending","✅ Paid")))</f>
        <v>✅ Paid</v>
      </c>
      <c r="O4" s="4"/>
      <c r="P4" s="4"/>
      <c r="Q4" s="4"/>
      <c r="R4" s="4"/>
      <c r="S4" s="4"/>
      <c r="T4" s="4"/>
      <c r="U4" s="4"/>
      <c r="V4" s="4"/>
      <c r="W4" s="4"/>
    </row>
    <row r="5" spans="1:23" ht="16" x14ac:dyDescent="0.2">
      <c r="A5" s="24">
        <v>45975</v>
      </c>
      <c r="B5" s="23" t="s">
        <v>299</v>
      </c>
      <c r="C5" s="23" t="s">
        <v>6</v>
      </c>
      <c r="D5" s="17">
        <v>1</v>
      </c>
      <c r="E5" s="25">
        <v>4700</v>
      </c>
      <c r="F5" s="25">
        <f>Table24562022[[#This Row],[Rate /Trips]]*Table24562022[[#This Row],[Trips]]</f>
        <v>4700</v>
      </c>
      <c r="G5" s="25">
        <v>4700</v>
      </c>
      <c r="H5" s="25">
        <f>Table24562022[[#This Row],[Total Value]]-Table24562022[[#This Row],[Received]]</f>
        <v>0</v>
      </c>
      <c r="I5" s="9" t="str">
        <f t="shared" si="0"/>
        <v>✅ Paid</v>
      </c>
      <c r="O5" s="4"/>
      <c r="P5" s="4"/>
      <c r="Q5" s="4"/>
      <c r="R5" s="4"/>
      <c r="S5" s="4"/>
      <c r="T5" s="4"/>
      <c r="U5" s="4"/>
      <c r="V5" s="4"/>
      <c r="W5" s="4"/>
    </row>
    <row r="6" spans="1:23" ht="16" x14ac:dyDescent="0.2">
      <c r="A6" s="24">
        <v>45963</v>
      </c>
      <c r="B6" s="22" t="s">
        <v>292</v>
      </c>
      <c r="C6" s="22" t="s">
        <v>4</v>
      </c>
      <c r="D6" s="2">
        <v>1</v>
      </c>
      <c r="E6" s="25">
        <v>4000</v>
      </c>
      <c r="F6" s="25">
        <f>Table24562022[[#This Row],[Rate /Trips]]*Table24562022[[#This Row],[Trips]]</f>
        <v>4000</v>
      </c>
      <c r="G6" s="25"/>
      <c r="H6" s="25">
        <f>Table24562022[[#This Row],[Total Value]]-Table24562022[[#This Row],[Received]]</f>
        <v>4000</v>
      </c>
      <c r="I6" s="9" t="str">
        <f t="shared" si="0"/>
        <v>ℹ️ Arjun Chinhurwar ( Raj Dad ) - ₹4000 pending</v>
      </c>
      <c r="O6" s="4"/>
      <c r="P6" s="4"/>
      <c r="Q6" s="4"/>
      <c r="R6" s="4"/>
      <c r="S6" s="4"/>
      <c r="T6" s="4"/>
      <c r="U6" s="4"/>
      <c r="V6" s="4"/>
      <c r="W6" s="4"/>
    </row>
    <row r="7" spans="1:23" ht="16" x14ac:dyDescent="0.2">
      <c r="A7" s="24">
        <v>45980</v>
      </c>
      <c r="B7" s="23" t="s">
        <v>309</v>
      </c>
      <c r="C7" s="23" t="s">
        <v>103</v>
      </c>
      <c r="D7" s="17">
        <v>1</v>
      </c>
      <c r="E7" s="25">
        <v>5000</v>
      </c>
      <c r="F7" s="25">
        <f>Table24562022[[#This Row],[Rate /Trips]]*Table24562022[[#This Row],[Trips]]</f>
        <v>5000</v>
      </c>
      <c r="G7" s="25">
        <v>5000</v>
      </c>
      <c r="H7" s="25">
        <f>Table24562022[[#This Row],[Total Value]]-Table24562022[[#This Row],[Received]]</f>
        <v>0</v>
      </c>
      <c r="I7" s="9" t="str">
        <f t="shared" si="0"/>
        <v>✅ Paid</v>
      </c>
      <c r="O7" s="4"/>
      <c r="P7" s="4"/>
      <c r="Q7" s="4"/>
      <c r="R7" s="4"/>
      <c r="S7" s="4"/>
      <c r="T7" s="4"/>
      <c r="U7" s="4"/>
      <c r="V7" s="4"/>
      <c r="W7" s="4"/>
    </row>
    <row r="8" spans="1:23" ht="16" x14ac:dyDescent="0.2">
      <c r="A8" s="24">
        <v>45985</v>
      </c>
      <c r="B8" s="23" t="s">
        <v>315</v>
      </c>
      <c r="C8" s="23" t="s">
        <v>4</v>
      </c>
      <c r="D8" s="17">
        <v>2</v>
      </c>
      <c r="E8" s="25">
        <v>4000</v>
      </c>
      <c r="F8" s="25">
        <f>Table24562022[[#This Row],[Rate /Trips]]*Table24562022[[#This Row],[Trips]]</f>
        <v>8000</v>
      </c>
      <c r="G8" s="25">
        <v>8000</v>
      </c>
      <c r="H8" s="25">
        <f>Table24562022[[#This Row],[Total Value]]-Table24562022[[#This Row],[Received]]</f>
        <v>0</v>
      </c>
      <c r="I8" s="9" t="str">
        <f t="shared" si="0"/>
        <v>✅ Paid</v>
      </c>
      <c r="O8" s="4"/>
      <c r="P8" s="4"/>
      <c r="Q8" s="4"/>
      <c r="R8" s="4"/>
      <c r="S8" s="4"/>
      <c r="T8" s="4"/>
      <c r="U8" s="4"/>
      <c r="V8" s="4"/>
      <c r="W8" s="4"/>
    </row>
    <row r="9" spans="1:23" ht="16" x14ac:dyDescent="0.2">
      <c r="A9" s="24">
        <v>45986</v>
      </c>
      <c r="B9" s="23" t="s">
        <v>312</v>
      </c>
      <c r="C9" s="23" t="s">
        <v>3</v>
      </c>
      <c r="D9" s="17">
        <v>2</v>
      </c>
      <c r="E9" s="25">
        <v>4000</v>
      </c>
      <c r="F9" s="25">
        <f>Table24562022[[#This Row],[Rate /Trips]]*Table24562022[[#This Row],[Trips]]</f>
        <v>8000</v>
      </c>
      <c r="G9" s="25">
        <v>8000</v>
      </c>
      <c r="H9" s="25">
        <f>Table24562022[[#This Row],[Total Value]]-Table24562022[[#This Row],[Received]]</f>
        <v>0</v>
      </c>
      <c r="I9" s="9" t="str">
        <f t="shared" si="0"/>
        <v>✅ Paid</v>
      </c>
      <c r="O9" s="4"/>
      <c r="P9" s="4"/>
      <c r="Q9" s="4"/>
      <c r="R9" s="4"/>
      <c r="S9" s="4"/>
      <c r="T9" s="4"/>
      <c r="U9" s="4"/>
      <c r="V9" s="4"/>
      <c r="W9" s="4"/>
    </row>
    <row r="10" spans="1:23" ht="16" x14ac:dyDescent="0.2">
      <c r="A10" s="24">
        <v>45965</v>
      </c>
      <c r="B10" s="22" t="s">
        <v>313</v>
      </c>
      <c r="C10" s="22" t="s">
        <v>3</v>
      </c>
      <c r="D10" s="2">
        <v>1</v>
      </c>
      <c r="E10" s="25">
        <v>4500</v>
      </c>
      <c r="F10" s="25">
        <f>Table24562022[[#This Row],[Rate /Trips]]*Table24562022[[#This Row],[Trips]]</f>
        <v>4500</v>
      </c>
      <c r="G10" s="25">
        <v>4500</v>
      </c>
      <c r="H10" s="25">
        <f>Table24562022[[#This Row],[Total Value]]-Table24562022[[#This Row],[Received]]</f>
        <v>0</v>
      </c>
      <c r="I10" s="9" t="str">
        <f t="shared" si="0"/>
        <v>✅ Paid</v>
      </c>
      <c r="O10" s="4"/>
      <c r="P10" s="4"/>
      <c r="Q10" s="4"/>
      <c r="R10" s="4"/>
      <c r="S10" s="4"/>
      <c r="T10" s="4"/>
      <c r="U10" s="4"/>
      <c r="V10" s="4"/>
      <c r="W10" s="4"/>
    </row>
    <row r="11" spans="1:23" ht="16" x14ac:dyDescent="0.2">
      <c r="A11" s="24">
        <v>45977</v>
      </c>
      <c r="B11" s="22" t="s">
        <v>314</v>
      </c>
      <c r="C11" s="23" t="s">
        <v>3</v>
      </c>
      <c r="D11" s="17">
        <v>1</v>
      </c>
      <c r="E11" s="25">
        <v>4500</v>
      </c>
      <c r="F11" s="25">
        <f>Table24562022[[#This Row],[Rate /Trips]]*Table24562022[[#This Row],[Trips]]</f>
        <v>4500</v>
      </c>
      <c r="G11" s="25">
        <v>4500</v>
      </c>
      <c r="H11" s="25">
        <f>Table24562022[[#This Row],[Total Value]]-Table24562022[[#This Row],[Received]]</f>
        <v>0</v>
      </c>
      <c r="I11" s="9" t="str">
        <f t="shared" si="0"/>
        <v>✅ Paid</v>
      </c>
      <c r="O11" s="4"/>
      <c r="P11" s="4"/>
      <c r="Q11" s="4"/>
      <c r="R11" s="4"/>
      <c r="S11" s="4"/>
      <c r="T11" s="4"/>
      <c r="U11" s="4"/>
      <c r="V11" s="4"/>
      <c r="W11" s="4"/>
    </row>
    <row r="12" spans="1:23" ht="16" x14ac:dyDescent="0.2">
      <c r="A12" s="24">
        <v>45979</v>
      </c>
      <c r="B12" s="23" t="s">
        <v>308</v>
      </c>
      <c r="C12" s="23" t="s">
        <v>3</v>
      </c>
      <c r="D12" s="17">
        <v>1</v>
      </c>
      <c r="E12" s="25">
        <v>4500</v>
      </c>
      <c r="F12" s="25">
        <f>Table24562022[[#This Row],[Rate /Trips]]*Table24562022[[#This Row],[Trips]]</f>
        <v>4500</v>
      </c>
      <c r="G12" s="25">
        <v>4500</v>
      </c>
      <c r="H12" s="25">
        <f>Table24562022[[#This Row],[Total Value]]-Table24562022[[#This Row],[Received]]</f>
        <v>0</v>
      </c>
      <c r="I12" s="9" t="str">
        <f t="shared" si="0"/>
        <v>✅ Paid</v>
      </c>
      <c r="O12" s="4"/>
      <c r="P12" s="4"/>
      <c r="Q12" s="4"/>
      <c r="R12" s="4"/>
      <c r="S12" s="4"/>
      <c r="T12" s="4"/>
      <c r="U12" s="4"/>
      <c r="V12" s="4"/>
      <c r="W12" s="4"/>
    </row>
    <row r="13" spans="1:23" ht="16" x14ac:dyDescent="0.2">
      <c r="A13" s="24">
        <v>45984</v>
      </c>
      <c r="B13" s="23" t="s">
        <v>318</v>
      </c>
      <c r="C13" s="23" t="s">
        <v>317</v>
      </c>
      <c r="D13" s="17">
        <v>1</v>
      </c>
      <c r="E13" s="25">
        <v>5000</v>
      </c>
      <c r="F13" s="25">
        <f>Table24562022[[#This Row],[Rate /Trips]]*Table24562022[[#This Row],[Trips]]</f>
        <v>5000</v>
      </c>
      <c r="G13" s="25">
        <v>5000</v>
      </c>
      <c r="H13" s="25">
        <f>Table24562022[[#This Row],[Total Value]]-Table24562022[[#This Row],[Received]]</f>
        <v>0</v>
      </c>
      <c r="I13" s="9" t="str">
        <f t="shared" si="0"/>
        <v>✅ Paid</v>
      </c>
      <c r="O13" s="4"/>
      <c r="P13" s="4"/>
      <c r="Q13" s="4"/>
      <c r="R13" s="4"/>
      <c r="S13" s="4"/>
      <c r="T13" s="4"/>
      <c r="U13" s="4"/>
      <c r="V13" s="4"/>
      <c r="W13" s="4"/>
    </row>
    <row r="14" spans="1:23" ht="16" x14ac:dyDescent="0.2">
      <c r="A14" s="24">
        <v>45967</v>
      </c>
      <c r="B14" s="22" t="s">
        <v>293</v>
      </c>
      <c r="C14" s="22" t="s">
        <v>4</v>
      </c>
      <c r="D14" s="2">
        <v>1</v>
      </c>
      <c r="E14" s="25">
        <v>4000</v>
      </c>
      <c r="F14" s="25">
        <f>Table24562022[[#This Row],[Rate /Trips]]*Table24562022[[#This Row],[Trips]]</f>
        <v>4000</v>
      </c>
      <c r="G14" s="25">
        <v>4000</v>
      </c>
      <c r="H14" s="25">
        <f>Table24562022[[#This Row],[Total Value]]-Table24562022[[#This Row],[Received]]</f>
        <v>0</v>
      </c>
      <c r="I14" s="9" t="str">
        <f t="shared" si="0"/>
        <v>✅ Paid</v>
      </c>
      <c r="O14" s="4"/>
      <c r="P14" s="4"/>
      <c r="Q14" s="4"/>
      <c r="R14" s="4"/>
      <c r="S14" s="4"/>
      <c r="T14" s="4"/>
      <c r="U14" s="4"/>
      <c r="V14" s="4"/>
      <c r="W14" s="4"/>
    </row>
    <row r="15" spans="1:23" ht="16" x14ac:dyDescent="0.2">
      <c r="A15" s="24">
        <v>45977</v>
      </c>
      <c r="B15" s="22" t="s">
        <v>293</v>
      </c>
      <c r="C15" s="23" t="s">
        <v>4</v>
      </c>
      <c r="D15" s="17">
        <v>1</v>
      </c>
      <c r="E15" s="25">
        <v>4000</v>
      </c>
      <c r="F15" s="25">
        <f>Table24562022[[#This Row],[Rate /Trips]]*Table24562022[[#This Row],[Trips]]</f>
        <v>4000</v>
      </c>
      <c r="G15" s="25">
        <v>4000</v>
      </c>
      <c r="H15" s="25">
        <f>Table24562022[[#This Row],[Total Value]]-Table24562022[[#This Row],[Received]]</f>
        <v>0</v>
      </c>
      <c r="I15" s="9" t="str">
        <f t="shared" si="0"/>
        <v>✅ Paid</v>
      </c>
      <c r="O15" s="4"/>
      <c r="P15" s="4"/>
      <c r="Q15" s="4"/>
      <c r="R15" s="4"/>
      <c r="S15" s="4"/>
      <c r="T15" s="4"/>
      <c r="U15" s="4"/>
      <c r="V15" s="4"/>
      <c r="W15" s="4"/>
    </row>
    <row r="16" spans="1:23" ht="16" x14ac:dyDescent="0.2">
      <c r="A16" s="24">
        <v>45982</v>
      </c>
      <c r="B16" s="23" t="s">
        <v>316</v>
      </c>
      <c r="C16" s="23" t="s">
        <v>123</v>
      </c>
      <c r="D16" s="17">
        <v>1</v>
      </c>
      <c r="E16" s="25">
        <v>5000</v>
      </c>
      <c r="F16" s="25">
        <f>Table24562022[[#This Row],[Rate /Trips]]*Table24562022[[#This Row],[Trips]]</f>
        <v>5000</v>
      </c>
      <c r="G16" s="25">
        <v>5000</v>
      </c>
      <c r="H16" s="25">
        <f>Table24562022[[#This Row],[Total Value]]-Table24562022[[#This Row],[Received]]</f>
        <v>0</v>
      </c>
      <c r="I16" s="9" t="str">
        <f t="shared" si="0"/>
        <v>✅ Paid</v>
      </c>
    </row>
    <row r="17" spans="1:22" ht="16" x14ac:dyDescent="0.2">
      <c r="A17" s="24">
        <v>45985</v>
      </c>
      <c r="B17" s="23" t="s">
        <v>316</v>
      </c>
      <c r="C17" s="23" t="s">
        <v>123</v>
      </c>
      <c r="D17" s="17">
        <v>1</v>
      </c>
      <c r="E17" s="25">
        <v>5000</v>
      </c>
      <c r="F17" s="25">
        <f>Table24562022[[#This Row],[Rate /Trips]]*Table24562022[[#This Row],[Trips]]</f>
        <v>5000</v>
      </c>
      <c r="G17" s="25">
        <v>5000</v>
      </c>
      <c r="H17" s="25">
        <f>Table24562022[[#This Row],[Total Value]]-Table24562022[[#This Row],[Received]]</f>
        <v>0</v>
      </c>
      <c r="I17" s="9" t="str">
        <f t="shared" si="0"/>
        <v>✅ Paid</v>
      </c>
    </row>
    <row r="18" spans="1:22" ht="16" x14ac:dyDescent="0.2">
      <c r="A18" s="24">
        <v>45988</v>
      </c>
      <c r="B18" s="23" t="s">
        <v>310</v>
      </c>
      <c r="C18" s="23" t="s">
        <v>151</v>
      </c>
      <c r="D18" s="17">
        <v>1</v>
      </c>
      <c r="E18" s="25">
        <v>4000</v>
      </c>
      <c r="F18" s="25">
        <f>Table24562022[[#This Row],[Rate /Trips]]*Table24562022[[#This Row],[Trips]]</f>
        <v>4000</v>
      </c>
      <c r="G18" s="25">
        <v>4000</v>
      </c>
      <c r="H18" s="25">
        <f>Table24562022[[#This Row],[Total Value]]-Table24562022[[#This Row],[Received]]</f>
        <v>0</v>
      </c>
      <c r="I18" s="9" t="str">
        <f t="shared" si="0"/>
        <v>✅ Paid</v>
      </c>
    </row>
    <row r="19" spans="1:22" ht="16" x14ac:dyDescent="0.2">
      <c r="A19" s="24">
        <v>45974</v>
      </c>
      <c r="B19" s="23" t="s">
        <v>300</v>
      </c>
      <c r="C19" s="23" t="s">
        <v>45</v>
      </c>
      <c r="D19" s="17">
        <v>1</v>
      </c>
      <c r="E19" s="25">
        <v>4000</v>
      </c>
      <c r="F19" s="25">
        <f>Table24562022[[#This Row],[Rate /Trips]]*Table24562022[[#This Row],[Trips]]</f>
        <v>4000</v>
      </c>
      <c r="G19" s="25">
        <v>4000</v>
      </c>
      <c r="H19" s="25">
        <f>Table24562022[[#This Row],[Total Value]]-Table24562022[[#This Row],[Received]]</f>
        <v>0</v>
      </c>
      <c r="I19" s="9" t="str">
        <f t="shared" si="0"/>
        <v>✅ Paid</v>
      </c>
    </row>
    <row r="20" spans="1:22" ht="16" x14ac:dyDescent="0.2">
      <c r="A20" s="24">
        <v>45976</v>
      </c>
      <c r="B20" s="23" t="s">
        <v>301</v>
      </c>
      <c r="C20" s="23" t="s">
        <v>302</v>
      </c>
      <c r="D20" s="17">
        <v>1</v>
      </c>
      <c r="E20" s="25">
        <v>4500</v>
      </c>
      <c r="F20" s="25">
        <f>Table24562022[[#This Row],[Rate /Trips]]*Table24562022[[#This Row],[Trips]]</f>
        <v>4500</v>
      </c>
      <c r="G20" s="25">
        <v>4500</v>
      </c>
      <c r="H20" s="25">
        <f>Table24562022[[#This Row],[Total Value]]-Table24562022[[#This Row],[Received]]</f>
        <v>0</v>
      </c>
      <c r="I20" s="9" t="str">
        <f t="shared" si="0"/>
        <v>✅ Paid</v>
      </c>
    </row>
    <row r="21" spans="1:22" ht="16" x14ac:dyDescent="0.2">
      <c r="A21" s="24">
        <v>45986</v>
      </c>
      <c r="B21" s="23" t="s">
        <v>267</v>
      </c>
      <c r="C21" s="23" t="s">
        <v>297</v>
      </c>
      <c r="D21" s="17">
        <v>1</v>
      </c>
      <c r="E21" s="25">
        <v>4500</v>
      </c>
      <c r="F21" s="25">
        <f>Table24562022[[#This Row],[Rate /Trips]]*Table24562022[[#This Row],[Trips]]</f>
        <v>4500</v>
      </c>
      <c r="G21" s="25">
        <v>4500</v>
      </c>
      <c r="H21" s="25">
        <f>Table24562022[[#This Row],[Total Value]]-Table24562022[[#This Row],[Received]]</f>
        <v>0</v>
      </c>
      <c r="I21" s="9" t="str">
        <f t="shared" si="0"/>
        <v>✅ Paid</v>
      </c>
    </row>
    <row r="22" spans="1:22" ht="16" x14ac:dyDescent="0.2">
      <c r="A22" s="24">
        <v>45974</v>
      </c>
      <c r="B22" s="23" t="s">
        <v>296</v>
      </c>
      <c r="C22" s="23" t="s">
        <v>6</v>
      </c>
      <c r="D22" s="17">
        <v>1</v>
      </c>
      <c r="E22" s="25">
        <v>4000</v>
      </c>
      <c r="F22" s="25">
        <f>Table24562022[[#This Row],[Rate /Trips]]*Table24562022[[#This Row],[Trips]]</f>
        <v>4000</v>
      </c>
      <c r="G22" s="25">
        <v>4000</v>
      </c>
      <c r="H22" s="25">
        <f>Table24562022[[#This Row],[Total Value]]-Table24562022[[#This Row],[Received]]</f>
        <v>0</v>
      </c>
      <c r="I22" s="9" t="str">
        <f t="shared" si="0"/>
        <v>✅ Paid</v>
      </c>
    </row>
    <row r="23" spans="1:22" ht="16" x14ac:dyDescent="0.2">
      <c r="A23" s="24">
        <v>45964</v>
      </c>
      <c r="B23" s="22" t="s">
        <v>291</v>
      </c>
      <c r="C23" s="22" t="s">
        <v>3</v>
      </c>
      <c r="D23" s="2">
        <v>1</v>
      </c>
      <c r="E23" s="25">
        <v>4000</v>
      </c>
      <c r="F23" s="25">
        <f>Table24562022[[#This Row],[Rate /Trips]]*Table24562022[[#This Row],[Trips]]</f>
        <v>4000</v>
      </c>
      <c r="G23" s="25">
        <v>4000</v>
      </c>
      <c r="H23" s="25">
        <f>Table24562022[[#This Row],[Total Value]]-Table24562022[[#This Row],[Received]]</f>
        <v>0</v>
      </c>
      <c r="I23" s="9" t="str">
        <f t="shared" si="0"/>
        <v>✅ Paid</v>
      </c>
      <c r="N23" s="4"/>
      <c r="O23" s="4"/>
      <c r="P23" s="4"/>
      <c r="Q23" s="4"/>
      <c r="R23" s="4"/>
      <c r="S23" s="4"/>
      <c r="T23" s="4"/>
      <c r="U23" s="4"/>
      <c r="V23" s="4"/>
    </row>
    <row r="24" spans="1:22" ht="15" customHeight="1" x14ac:dyDescent="0.2">
      <c r="A24" s="24">
        <v>45967</v>
      </c>
      <c r="B24" s="22" t="s">
        <v>294</v>
      </c>
      <c r="C24" s="22" t="s">
        <v>3</v>
      </c>
      <c r="D24" s="2">
        <v>1</v>
      </c>
      <c r="E24" s="25">
        <v>4000</v>
      </c>
      <c r="F24" s="25">
        <f>Table24562022[[#This Row],[Rate /Trips]]*Table24562022[[#This Row],[Trips]]</f>
        <v>4000</v>
      </c>
      <c r="G24" s="25">
        <v>4000</v>
      </c>
      <c r="H24" s="25">
        <f>Table24562022[[#This Row],[Total Value]]-Table24562022[[#This Row],[Received]]</f>
        <v>0</v>
      </c>
      <c r="I24" s="9" t="str">
        <f t="shared" si="0"/>
        <v>✅ Paid</v>
      </c>
      <c r="N24" s="44"/>
      <c r="O24" s="44"/>
      <c r="P24" s="44"/>
      <c r="Q24" s="44"/>
      <c r="R24" s="44"/>
      <c r="S24" s="44"/>
      <c r="T24" s="44"/>
      <c r="U24" s="44"/>
      <c r="V24" s="44"/>
    </row>
    <row r="25" spans="1:22" ht="16" x14ac:dyDescent="0.2">
      <c r="A25" s="24">
        <v>45969</v>
      </c>
      <c r="B25" s="23" t="s">
        <v>289</v>
      </c>
      <c r="C25" s="22" t="s">
        <v>6</v>
      </c>
      <c r="D25" s="2">
        <v>1</v>
      </c>
      <c r="E25" s="25">
        <v>5000</v>
      </c>
      <c r="F25" s="25">
        <f>Table24562022[[#This Row],[Rate /Trips]]*Table24562022[[#This Row],[Trips]]</f>
        <v>5000</v>
      </c>
      <c r="G25" s="25">
        <v>5000</v>
      </c>
      <c r="H25" s="25">
        <f>Table24562022[[#This Row],[Total Value]]-Table24562022[[#This Row],[Received]]</f>
        <v>0</v>
      </c>
      <c r="I25" s="9" t="str">
        <f t="shared" si="0"/>
        <v>✅ Paid</v>
      </c>
      <c r="N25" s="44"/>
      <c r="O25" s="44"/>
      <c r="P25" s="44"/>
      <c r="Q25" s="44"/>
      <c r="R25" s="44"/>
      <c r="S25" s="44"/>
      <c r="T25" s="44"/>
      <c r="U25" s="44"/>
      <c r="V25" s="44"/>
    </row>
    <row r="26" spans="1:22" ht="16" x14ac:dyDescent="0.2">
      <c r="A26" s="24">
        <v>45979</v>
      </c>
      <c r="B26" s="23" t="s">
        <v>289</v>
      </c>
      <c r="C26" s="23" t="s">
        <v>6</v>
      </c>
      <c r="D26" s="17">
        <v>1</v>
      </c>
      <c r="E26" s="25">
        <v>5000</v>
      </c>
      <c r="F26" s="25">
        <f>Table24562022[[#This Row],[Rate /Trips]]*Table24562022[[#This Row],[Trips]]</f>
        <v>5000</v>
      </c>
      <c r="G26" s="25">
        <v>5000</v>
      </c>
      <c r="H26" s="25">
        <f>Table24562022[[#This Row],[Total Value]]-Table24562022[[#This Row],[Received]]</f>
        <v>0</v>
      </c>
      <c r="I26" s="9" t="str">
        <f t="shared" si="0"/>
        <v>✅ Paid</v>
      </c>
      <c r="N26" s="4"/>
      <c r="O26" s="4"/>
      <c r="P26" s="4"/>
      <c r="Q26" s="4"/>
      <c r="R26" s="4"/>
      <c r="S26" s="4"/>
      <c r="T26" s="4"/>
      <c r="U26" s="4"/>
      <c r="V26" s="4"/>
    </row>
    <row r="27" spans="1:22" ht="16" x14ac:dyDescent="0.2">
      <c r="A27" s="24">
        <v>45974</v>
      </c>
      <c r="B27" s="23" t="s">
        <v>298</v>
      </c>
      <c r="C27" s="23" t="s">
        <v>123</v>
      </c>
      <c r="D27" s="17">
        <v>2</v>
      </c>
      <c r="E27" s="25">
        <v>5250</v>
      </c>
      <c r="F27" s="25">
        <f>Table24562022[[#This Row],[Rate /Trips]]*Table24562022[[#This Row],[Trips]]</f>
        <v>10500</v>
      </c>
      <c r="G27" s="25">
        <v>10500</v>
      </c>
      <c r="H27" s="25">
        <f>Table24562022[[#This Row],[Total Value]]-Table24562022[[#This Row],[Received]]</f>
        <v>0</v>
      </c>
      <c r="I27" s="9" t="str">
        <f t="shared" si="0"/>
        <v>✅ Paid</v>
      </c>
      <c r="N27" s="4"/>
      <c r="O27" s="4"/>
      <c r="P27" s="4"/>
      <c r="Q27" s="4"/>
      <c r="R27" s="4"/>
      <c r="S27" s="4"/>
      <c r="T27" s="4"/>
      <c r="U27" s="4"/>
      <c r="V27" s="4"/>
    </row>
    <row r="28" spans="1:22" ht="16" x14ac:dyDescent="0.2">
      <c r="A28" s="24">
        <v>45967</v>
      </c>
      <c r="B28" s="22" t="s">
        <v>295</v>
      </c>
      <c r="C28" s="22" t="s">
        <v>123</v>
      </c>
      <c r="D28" s="2">
        <v>1</v>
      </c>
      <c r="E28" s="25">
        <v>5500</v>
      </c>
      <c r="F28" s="25">
        <f>Table24562022[[#This Row],[Rate /Trips]]*Table24562022[[#This Row],[Trips]]</f>
        <v>5500</v>
      </c>
      <c r="G28" s="25">
        <v>5500</v>
      </c>
      <c r="H28" s="25">
        <f>Table24562022[[#This Row],[Total Value]]-Table24562022[[#This Row],[Received]]</f>
        <v>0</v>
      </c>
      <c r="I28" s="9" t="str">
        <f t="shared" si="0"/>
        <v>✅ Paid</v>
      </c>
      <c r="N28" s="4"/>
      <c r="O28" s="4"/>
      <c r="P28" s="4"/>
      <c r="Q28" s="4"/>
      <c r="R28" s="4"/>
      <c r="S28" s="4"/>
      <c r="T28" s="4"/>
      <c r="U28" s="4"/>
      <c r="V28" s="4"/>
    </row>
    <row r="29" spans="1:22" ht="16" x14ac:dyDescent="0.2">
      <c r="A29" s="24">
        <v>45973</v>
      </c>
      <c r="B29" s="23" t="s">
        <v>295</v>
      </c>
      <c r="C29" s="23" t="s">
        <v>103</v>
      </c>
      <c r="D29" s="17">
        <v>1</v>
      </c>
      <c r="E29" s="25">
        <v>5500</v>
      </c>
      <c r="F29" s="25">
        <f>Table24562022[[#This Row],[Rate /Trips]]*Table24562022[[#This Row],[Trips]]</f>
        <v>5500</v>
      </c>
      <c r="G29" s="25">
        <v>5500</v>
      </c>
      <c r="H29" s="25">
        <f>Table24562022[[#This Row],[Total Value]]-Table24562022[[#This Row],[Received]]</f>
        <v>0</v>
      </c>
      <c r="I29" s="9" t="str">
        <f t="shared" si="0"/>
        <v>✅ Paid</v>
      </c>
      <c r="N29" s="4"/>
      <c r="O29" s="4"/>
      <c r="P29" s="4"/>
      <c r="Q29" s="4"/>
      <c r="R29" s="4"/>
      <c r="S29" s="4"/>
      <c r="T29" s="4"/>
      <c r="U29" s="4"/>
      <c r="V29" s="4"/>
    </row>
    <row r="30" spans="1:22" ht="16" x14ac:dyDescent="0.2">
      <c r="A30" s="24">
        <v>45978</v>
      </c>
      <c r="B30" s="23" t="s">
        <v>295</v>
      </c>
      <c r="C30" s="23" t="s">
        <v>123</v>
      </c>
      <c r="D30" s="17">
        <v>1</v>
      </c>
      <c r="E30" s="25">
        <v>5500</v>
      </c>
      <c r="F30" s="25">
        <f>Table24562022[[#This Row],[Rate /Trips]]*Table24562022[[#This Row],[Trips]]</f>
        <v>5500</v>
      </c>
      <c r="G30" s="25">
        <v>5500</v>
      </c>
      <c r="H30" s="25">
        <f>Table24562022[[#This Row],[Total Value]]-Table24562022[[#This Row],[Received]]</f>
        <v>0</v>
      </c>
      <c r="I30" s="9" t="str">
        <f t="shared" si="0"/>
        <v>✅ Paid</v>
      </c>
      <c r="N30" s="4"/>
      <c r="O30" s="4"/>
      <c r="P30" s="4"/>
      <c r="Q30" s="4"/>
      <c r="R30" s="4"/>
      <c r="S30" s="4"/>
      <c r="T30" s="4"/>
      <c r="U30" s="4"/>
      <c r="V30" s="4"/>
    </row>
    <row r="31" spans="1:22" ht="16" x14ac:dyDescent="0.2">
      <c r="A31" s="24">
        <v>45978</v>
      </c>
      <c r="B31" s="23" t="s">
        <v>307</v>
      </c>
      <c r="C31" s="23" t="s">
        <v>3</v>
      </c>
      <c r="D31" s="17">
        <v>1</v>
      </c>
      <c r="E31" s="25">
        <v>4000</v>
      </c>
      <c r="F31" s="25">
        <f>Table24562022[[#This Row],[Rate /Trips]]*Table24562022[[#This Row],[Trips]]</f>
        <v>4000</v>
      </c>
      <c r="G31" s="25">
        <v>4000</v>
      </c>
      <c r="H31" s="25">
        <f>Table24562022[[#This Row],[Total Value]]-Table24562022[[#This Row],[Received]]</f>
        <v>0</v>
      </c>
      <c r="I31" s="9" t="str">
        <f t="shared" si="0"/>
        <v>✅ Paid</v>
      </c>
      <c r="N31" s="4"/>
      <c r="O31" s="4"/>
      <c r="P31" s="4"/>
      <c r="Q31" s="4"/>
      <c r="R31" s="4"/>
      <c r="S31" s="4"/>
      <c r="T31" s="4"/>
      <c r="U31" s="4"/>
      <c r="V31" s="4"/>
    </row>
    <row r="32" spans="1:22" ht="16" x14ac:dyDescent="0.2">
      <c r="A32" s="24">
        <v>45986</v>
      </c>
      <c r="B32" s="23" t="s">
        <v>307</v>
      </c>
      <c r="C32" s="23" t="s">
        <v>3</v>
      </c>
      <c r="D32" s="17">
        <v>1</v>
      </c>
      <c r="E32" s="25">
        <v>4500</v>
      </c>
      <c r="F32" s="25">
        <f>Table24562022[[#This Row],[Rate /Trips]]*Table24562022[[#This Row],[Trips]]</f>
        <v>4500</v>
      </c>
      <c r="G32" s="25">
        <v>4500</v>
      </c>
      <c r="H32" s="25">
        <f>Table24562022[[#This Row],[Total Value]]-Table24562022[[#This Row],[Received]]</f>
        <v>0</v>
      </c>
      <c r="I32" s="9" t="str">
        <f t="shared" si="0"/>
        <v>✅ Paid</v>
      </c>
      <c r="N32" s="4"/>
      <c r="O32" s="4"/>
      <c r="P32" s="4"/>
      <c r="Q32" s="4"/>
      <c r="R32" s="4"/>
      <c r="S32" s="4"/>
      <c r="T32" s="4"/>
      <c r="U32" s="4"/>
      <c r="V32" s="4"/>
    </row>
    <row r="33" spans="1:22" ht="16" x14ac:dyDescent="0.2">
      <c r="A33" s="24">
        <v>45963</v>
      </c>
      <c r="B33" s="22" t="s">
        <v>116</v>
      </c>
      <c r="C33" s="22" t="s">
        <v>4</v>
      </c>
      <c r="D33" s="2">
        <v>1</v>
      </c>
      <c r="E33" s="25">
        <v>4000</v>
      </c>
      <c r="F33" s="25">
        <f>Table24562022[[#This Row],[Rate /Trips]]*Table24562022[[#This Row],[Trips]]</f>
        <v>4000</v>
      </c>
      <c r="G33" s="25">
        <v>4000</v>
      </c>
      <c r="H33" s="25">
        <f>Table24562022[[#This Row],[Total Value]]-Table24562022[[#This Row],[Received]]</f>
        <v>0</v>
      </c>
      <c r="I33" s="9" t="str">
        <f t="shared" si="0"/>
        <v>✅ Paid</v>
      </c>
      <c r="N33" s="4"/>
      <c r="O33" s="4"/>
      <c r="P33" s="4"/>
      <c r="Q33" s="4"/>
      <c r="R33" s="4"/>
      <c r="S33" s="4"/>
      <c r="T33" s="4"/>
      <c r="U33" s="4"/>
      <c r="V33" s="4"/>
    </row>
    <row r="34" spans="1:22" ht="16" x14ac:dyDescent="0.2">
      <c r="A34" s="24">
        <v>45978</v>
      </c>
      <c r="B34" s="23" t="s">
        <v>116</v>
      </c>
      <c r="C34" s="23" t="s">
        <v>4</v>
      </c>
      <c r="D34" s="17">
        <v>1</v>
      </c>
      <c r="E34" s="25">
        <v>4000</v>
      </c>
      <c r="F34" s="25">
        <f>Table24562022[[#This Row],[Rate /Trips]]*Table24562022[[#This Row],[Trips]]</f>
        <v>4000</v>
      </c>
      <c r="G34" s="25">
        <v>4000</v>
      </c>
      <c r="H34" s="25">
        <f>Table24562022[[#This Row],[Total Value]]-Table24562022[[#This Row],[Received]]</f>
        <v>0</v>
      </c>
      <c r="I34" s="9" t="str">
        <f t="shared" si="0"/>
        <v>✅ Paid</v>
      </c>
      <c r="N34" s="4"/>
      <c r="O34" s="4"/>
      <c r="P34" s="4"/>
      <c r="Q34" s="4"/>
      <c r="R34" s="4"/>
      <c r="S34" s="4"/>
      <c r="T34" s="4"/>
      <c r="U34" s="4"/>
      <c r="V34" s="4"/>
    </row>
    <row r="35" spans="1:22" ht="16" x14ac:dyDescent="0.2">
      <c r="A35" s="3"/>
      <c r="B35" s="2"/>
      <c r="C35" s="2"/>
      <c r="D35" s="2"/>
      <c r="E35" s="16"/>
      <c r="F35" s="16"/>
      <c r="G35" s="16"/>
      <c r="H35" s="16"/>
      <c r="I35" s="9"/>
      <c r="N35" s="4"/>
      <c r="O35" s="4"/>
      <c r="P35" s="4"/>
      <c r="Q35" s="4"/>
      <c r="R35" s="4"/>
      <c r="S35" s="4"/>
      <c r="T35" s="4"/>
      <c r="U35" s="4"/>
      <c r="V35" s="4"/>
    </row>
    <row r="36" spans="1:22" ht="16" x14ac:dyDescent="0.2">
      <c r="A36" s="24"/>
      <c r="B36" s="22"/>
      <c r="C36" s="22"/>
      <c r="D36" s="2"/>
      <c r="E36" s="25"/>
      <c r="F36" s="25"/>
      <c r="G36" s="25"/>
      <c r="H36" s="25"/>
      <c r="I36" s="9"/>
      <c r="N36" s="4"/>
      <c r="O36" s="4"/>
      <c r="P36" s="4"/>
      <c r="Q36" s="4"/>
      <c r="R36" s="4"/>
      <c r="S36" s="4"/>
      <c r="T36" s="4"/>
      <c r="U36" s="4"/>
      <c r="V36" s="4"/>
    </row>
    <row r="37" spans="1:22" ht="16" x14ac:dyDescent="0.2">
      <c r="A37" s="24"/>
      <c r="B37" s="22"/>
      <c r="C37" s="22"/>
      <c r="D37" s="2"/>
      <c r="E37" s="25"/>
      <c r="F37" s="25"/>
      <c r="G37" s="25"/>
      <c r="H37" s="25"/>
      <c r="I37" s="9"/>
      <c r="N37" s="4"/>
      <c r="O37" s="4"/>
      <c r="P37" s="4"/>
      <c r="Q37" s="4"/>
      <c r="R37" s="4"/>
      <c r="S37" s="4"/>
      <c r="T37" s="4"/>
      <c r="U37" s="4"/>
      <c r="V37" s="4"/>
    </row>
    <row r="38" spans="1:22" ht="16" x14ac:dyDescent="0.2">
      <c r="A38" s="24"/>
      <c r="B38" s="22"/>
      <c r="C38" s="22"/>
      <c r="D38" s="2"/>
      <c r="E38" s="25"/>
      <c r="F38" s="25"/>
      <c r="G38" s="25"/>
      <c r="H38" s="25"/>
      <c r="I38" s="9"/>
      <c r="N38" s="4"/>
      <c r="O38" s="4"/>
      <c r="P38" s="4"/>
      <c r="Q38" s="4"/>
      <c r="R38" s="4"/>
      <c r="S38" s="4"/>
      <c r="T38" s="4"/>
      <c r="U38" s="4"/>
      <c r="V38" s="4"/>
    </row>
    <row r="39" spans="1:22" ht="16" x14ac:dyDescent="0.2">
      <c r="A39" s="24"/>
      <c r="B39" s="22"/>
      <c r="C39" s="22"/>
      <c r="D39" s="2"/>
      <c r="E39" s="25"/>
      <c r="F39" s="25"/>
      <c r="G39" s="25"/>
      <c r="H39" s="25"/>
      <c r="I39" s="9"/>
      <c r="N39" s="4"/>
      <c r="O39" s="4"/>
      <c r="P39" s="4"/>
      <c r="Q39" s="4"/>
      <c r="R39" s="4"/>
      <c r="S39" s="4"/>
      <c r="T39" s="4"/>
      <c r="U39" s="4"/>
      <c r="V39" s="4"/>
    </row>
    <row r="40" spans="1:22" ht="16" x14ac:dyDescent="0.2">
      <c r="A40" s="24"/>
      <c r="B40" s="23"/>
      <c r="C40" s="22"/>
      <c r="D40" s="2"/>
      <c r="E40" s="25"/>
      <c r="F40" s="25"/>
      <c r="G40" s="25"/>
      <c r="H40" s="25"/>
      <c r="I40" s="9"/>
      <c r="N40" s="4"/>
      <c r="O40" s="4"/>
      <c r="P40" s="4"/>
      <c r="Q40" s="4"/>
      <c r="R40" s="4"/>
      <c r="S40" s="4"/>
      <c r="T40" s="4"/>
      <c r="U40" s="4"/>
      <c r="V40" s="4"/>
    </row>
    <row r="41" spans="1:22" ht="16" x14ac:dyDescent="0.2">
      <c r="A41" s="24"/>
      <c r="B41" s="23"/>
      <c r="C41" s="23"/>
      <c r="D41" s="17"/>
      <c r="E41" s="25"/>
      <c r="F41" s="25"/>
      <c r="G41" s="25"/>
      <c r="H41" s="25"/>
      <c r="I41" s="9"/>
      <c r="N41" s="4"/>
      <c r="O41" s="4"/>
      <c r="P41" s="4"/>
      <c r="Q41" s="4"/>
      <c r="R41" s="4"/>
      <c r="S41" s="4"/>
      <c r="T41" s="4"/>
      <c r="U41" s="4"/>
      <c r="V41" s="4"/>
    </row>
    <row r="42" spans="1:22" ht="16" x14ac:dyDescent="0.2">
      <c r="A42" s="24"/>
      <c r="B42" s="23"/>
      <c r="C42" s="23"/>
      <c r="D42" s="17"/>
      <c r="E42" s="25"/>
      <c r="F42" s="25"/>
      <c r="G42" s="25"/>
      <c r="H42" s="25"/>
      <c r="I42" s="9"/>
      <c r="N42" s="4"/>
      <c r="O42" s="4"/>
      <c r="P42" s="4"/>
      <c r="Q42" s="4"/>
      <c r="R42" s="4"/>
      <c r="S42" s="4"/>
      <c r="T42" s="4"/>
      <c r="U42" s="4"/>
      <c r="V42" s="4"/>
    </row>
    <row r="43" spans="1:22" ht="16" x14ac:dyDescent="0.2">
      <c r="A43" s="24"/>
      <c r="B43" s="23"/>
      <c r="C43" s="23"/>
      <c r="D43" s="17"/>
      <c r="E43" s="25"/>
      <c r="F43" s="25"/>
      <c r="G43" s="25"/>
      <c r="H43" s="25"/>
      <c r="I43" s="9"/>
      <c r="N43" s="4"/>
      <c r="O43" s="4"/>
      <c r="P43" s="4"/>
      <c r="Q43" s="4"/>
      <c r="R43" s="4"/>
      <c r="S43" s="4"/>
      <c r="T43" s="4"/>
      <c r="U43" s="4"/>
      <c r="V43" s="4"/>
    </row>
    <row r="44" spans="1:22" ht="16" x14ac:dyDescent="0.2">
      <c r="A44" s="24"/>
      <c r="B44" s="23"/>
      <c r="C44" s="23"/>
      <c r="D44" s="17"/>
      <c r="E44" s="25"/>
      <c r="F44" s="25"/>
      <c r="G44" s="25"/>
      <c r="H44" s="25"/>
      <c r="I44" s="9"/>
      <c r="N44" s="4"/>
      <c r="O44" s="4"/>
      <c r="P44" s="4"/>
      <c r="Q44" s="4"/>
      <c r="R44" s="4"/>
      <c r="S44" s="4"/>
      <c r="T44" s="4"/>
      <c r="U44" s="4"/>
      <c r="V44" s="4"/>
    </row>
    <row r="45" spans="1:22" ht="16" x14ac:dyDescent="0.2">
      <c r="A45" s="24"/>
      <c r="B45" s="23"/>
      <c r="C45" s="23"/>
      <c r="D45" s="17"/>
      <c r="E45" s="25"/>
      <c r="F45" s="25"/>
      <c r="G45" s="25"/>
      <c r="H45" s="25"/>
      <c r="I45" s="9"/>
      <c r="N45" s="4"/>
      <c r="O45" s="4"/>
      <c r="P45" s="4"/>
      <c r="Q45" s="4"/>
      <c r="R45" s="4"/>
      <c r="S45" s="4"/>
      <c r="T45" s="4"/>
      <c r="U45" s="4"/>
      <c r="V45" s="4"/>
    </row>
    <row r="46" spans="1:22" ht="16" x14ac:dyDescent="0.2">
      <c r="A46" s="24"/>
      <c r="B46" s="22"/>
      <c r="C46" s="23"/>
      <c r="D46" s="17"/>
      <c r="E46" s="25"/>
      <c r="F46" s="25"/>
      <c r="G46" s="25"/>
      <c r="H46" s="25"/>
      <c r="I46" s="9"/>
      <c r="N46" s="4"/>
      <c r="O46" s="4"/>
      <c r="P46" s="4"/>
      <c r="Q46" s="4"/>
      <c r="R46" s="4"/>
      <c r="S46" s="4"/>
      <c r="T46" s="4"/>
      <c r="U46" s="4"/>
      <c r="V46" s="4"/>
    </row>
    <row r="47" spans="1:22" ht="16" x14ac:dyDescent="0.2">
      <c r="A47" s="24"/>
      <c r="B47" s="23"/>
      <c r="C47" s="23"/>
      <c r="D47" s="17"/>
      <c r="E47" s="25"/>
      <c r="F47" s="25"/>
      <c r="G47" s="25"/>
      <c r="H47" s="25"/>
      <c r="I47" s="9"/>
      <c r="N47" s="4"/>
      <c r="O47" s="4"/>
      <c r="P47" s="4"/>
      <c r="Q47" s="4"/>
      <c r="R47" s="4"/>
      <c r="S47" s="4"/>
      <c r="T47" s="4"/>
      <c r="U47" s="4"/>
      <c r="V47" s="4"/>
    </row>
    <row r="48" spans="1:22" ht="16" x14ac:dyDescent="0.2">
      <c r="A48" s="24"/>
      <c r="B48" s="23"/>
      <c r="C48" s="23"/>
      <c r="D48" s="17"/>
      <c r="E48" s="25"/>
      <c r="F48" s="25"/>
      <c r="G48" s="25"/>
      <c r="H48" s="25"/>
      <c r="I48" s="9"/>
      <c r="N48" s="4"/>
      <c r="O48" s="4"/>
      <c r="P48" s="4"/>
      <c r="Q48" s="4"/>
      <c r="R48" s="4"/>
      <c r="S48" s="4"/>
      <c r="T48" s="4"/>
      <c r="U48" s="4"/>
      <c r="V48" s="4"/>
    </row>
    <row r="49" spans="1:22" ht="16" x14ac:dyDescent="0.2">
      <c r="A49" s="24"/>
      <c r="B49" s="23"/>
      <c r="C49" s="23"/>
      <c r="D49" s="17"/>
      <c r="E49" s="25"/>
      <c r="F49" s="25"/>
      <c r="G49" s="25"/>
      <c r="H49" s="25"/>
      <c r="I49" s="9"/>
      <c r="N49" s="4"/>
      <c r="O49" s="4"/>
      <c r="P49" s="4"/>
      <c r="Q49" s="4"/>
      <c r="R49" s="4"/>
      <c r="S49" s="4"/>
      <c r="T49" s="4"/>
      <c r="U49" s="4"/>
      <c r="V49" s="4"/>
    </row>
    <row r="50" spans="1:22" ht="16" x14ac:dyDescent="0.2">
      <c r="A50" s="24"/>
      <c r="B50" s="17"/>
      <c r="C50" s="17"/>
      <c r="D50" s="17"/>
      <c r="E50" s="25"/>
      <c r="F50" s="25"/>
      <c r="G50" s="25"/>
      <c r="H50" s="25"/>
      <c r="I50" s="9"/>
      <c r="N50" s="4"/>
      <c r="O50" s="4"/>
      <c r="P50" s="4"/>
      <c r="Q50" s="4"/>
      <c r="R50" s="4"/>
      <c r="S50" s="4"/>
      <c r="T50" s="4"/>
      <c r="U50" s="4"/>
      <c r="V50" s="4"/>
    </row>
    <row r="51" spans="1:22" ht="16" x14ac:dyDescent="0.2">
      <c r="A51" s="24"/>
      <c r="B51" s="23"/>
      <c r="C51" s="23"/>
      <c r="D51" s="17"/>
      <c r="E51" s="25"/>
      <c r="F51" s="25"/>
      <c r="G51" s="25"/>
      <c r="H51" s="25"/>
      <c r="I51" s="9"/>
      <c r="N51" s="4"/>
      <c r="O51" s="4"/>
      <c r="P51" s="4"/>
      <c r="Q51" s="4"/>
      <c r="R51" s="4"/>
      <c r="S51" s="4"/>
      <c r="T51" s="4"/>
      <c r="U51" s="4"/>
      <c r="V51" s="4"/>
    </row>
    <row r="52" spans="1:22" ht="16" x14ac:dyDescent="0.2">
      <c r="A52" s="24"/>
      <c r="B52" s="23"/>
      <c r="C52" s="23"/>
      <c r="D52" s="17"/>
      <c r="E52" s="25"/>
      <c r="F52" s="25"/>
      <c r="G52" s="25"/>
      <c r="H52" s="25"/>
      <c r="I52" s="9"/>
      <c r="N52" s="4"/>
      <c r="O52" s="4"/>
      <c r="P52" s="4"/>
      <c r="Q52" s="4"/>
      <c r="R52" s="4"/>
      <c r="S52" s="4"/>
      <c r="T52" s="4"/>
      <c r="U52" s="4"/>
      <c r="V52" s="4"/>
    </row>
    <row r="53" spans="1:22" ht="16" x14ac:dyDescent="0.2">
      <c r="A53" s="24"/>
      <c r="B53" s="23"/>
      <c r="C53" s="23"/>
      <c r="D53" s="17"/>
      <c r="E53" s="25"/>
      <c r="F53" s="25"/>
      <c r="G53" s="25"/>
      <c r="H53" s="25"/>
      <c r="I53" s="9"/>
      <c r="N53" s="4"/>
      <c r="O53" s="4"/>
      <c r="P53" s="4"/>
      <c r="Q53" s="4"/>
      <c r="R53" s="4"/>
      <c r="S53" s="4"/>
      <c r="T53" s="4"/>
      <c r="U53" s="4"/>
      <c r="V53" s="4"/>
    </row>
    <row r="54" spans="1:22" ht="16" x14ac:dyDescent="0.2">
      <c r="A54" s="35"/>
      <c r="B54" s="36"/>
      <c r="C54" s="36"/>
      <c r="D54" s="38"/>
      <c r="E54" s="37"/>
      <c r="F54" s="37"/>
      <c r="G54" s="37"/>
      <c r="H54" s="37"/>
      <c r="I54" s="4"/>
      <c r="N54" s="4"/>
      <c r="O54" s="4"/>
      <c r="P54" s="4"/>
      <c r="Q54" s="4"/>
      <c r="R54" s="4"/>
      <c r="S54" s="4"/>
      <c r="T54" s="4"/>
      <c r="U54" s="4"/>
      <c r="V54" s="4"/>
    </row>
    <row r="55" spans="1:22" ht="24" x14ac:dyDescent="0.2">
      <c r="D55" s="19" t="s">
        <v>7</v>
      </c>
      <c r="E55" s="18"/>
      <c r="F55" s="19" t="s">
        <v>50</v>
      </c>
      <c r="G55" s="19" t="s">
        <v>49</v>
      </c>
      <c r="H55" s="19" t="s">
        <v>48</v>
      </c>
      <c r="N55" s="4"/>
      <c r="O55" s="4"/>
      <c r="P55" s="4"/>
      <c r="Q55" s="4"/>
      <c r="R55" s="4"/>
      <c r="S55" s="4"/>
      <c r="T55" s="4"/>
      <c r="U55" s="4"/>
      <c r="V55" s="4"/>
    </row>
    <row r="56" spans="1:22" ht="24" x14ac:dyDescent="0.2">
      <c r="D56" s="19">
        <f>SUM(D4:D53)</f>
        <v>34</v>
      </c>
      <c r="E56" s="18"/>
      <c r="F56" s="20">
        <f>SUM(F4:F53)</f>
        <v>153200</v>
      </c>
      <c r="G56" s="20">
        <f>SUM(G4:G53)</f>
        <v>149200</v>
      </c>
      <c r="H56" s="20">
        <f>SUM(H4:H53)</f>
        <v>4000</v>
      </c>
    </row>
    <row r="57" spans="1:22" x14ac:dyDescent="0.2">
      <c r="T57" s="39"/>
    </row>
    <row r="62" spans="1:22" ht="29" x14ac:dyDescent="0.2">
      <c r="A62" s="42" t="s">
        <v>70</v>
      </c>
      <c r="B62" s="42"/>
      <c r="C62" s="42"/>
      <c r="D62" s="42"/>
      <c r="E62" s="4"/>
      <c r="F62" s="4"/>
      <c r="G62" s="4"/>
      <c r="H62" s="4"/>
      <c r="I62" s="4"/>
    </row>
    <row r="63" spans="1:22" ht="16" x14ac:dyDescent="0.2">
      <c r="A63" s="43" t="s">
        <v>257</v>
      </c>
      <c r="B63" s="43"/>
      <c r="C63" s="43"/>
      <c r="D63" s="43"/>
      <c r="E63" s="4"/>
      <c r="F63" s="4"/>
      <c r="I63" s="4"/>
    </row>
    <row r="64" spans="1:22" ht="16" x14ac:dyDescent="0.2">
      <c r="A64" s="15" t="s">
        <v>0</v>
      </c>
      <c r="B64" s="14" t="s">
        <v>69</v>
      </c>
      <c r="C64" s="14" t="s">
        <v>68</v>
      </c>
      <c r="D64" s="14" t="s">
        <v>1</v>
      </c>
    </row>
    <row r="65" spans="1:4" x14ac:dyDescent="0.2">
      <c r="A65" s="24">
        <v>45964</v>
      </c>
      <c r="B65" s="23" t="s">
        <v>269</v>
      </c>
      <c r="C65" s="23" t="s">
        <v>167</v>
      </c>
      <c r="D65" s="17">
        <v>1</v>
      </c>
    </row>
    <row r="66" spans="1:4" x14ac:dyDescent="0.2">
      <c r="A66" s="24">
        <v>45964</v>
      </c>
      <c r="B66" s="23" t="s">
        <v>184</v>
      </c>
      <c r="C66" s="23" t="s">
        <v>167</v>
      </c>
      <c r="D66" s="17">
        <v>3</v>
      </c>
    </row>
    <row r="67" spans="1:4" x14ac:dyDescent="0.2">
      <c r="A67" s="24">
        <v>45967</v>
      </c>
      <c r="B67" s="23" t="s">
        <v>184</v>
      </c>
      <c r="C67" s="23" t="s">
        <v>167</v>
      </c>
      <c r="D67" s="17">
        <v>1</v>
      </c>
    </row>
    <row r="68" spans="1:4" x14ac:dyDescent="0.2">
      <c r="A68" s="24">
        <v>45969</v>
      </c>
      <c r="B68" s="23" t="s">
        <v>282</v>
      </c>
      <c r="C68" s="23" t="s">
        <v>177</v>
      </c>
      <c r="D68" s="17">
        <v>6</v>
      </c>
    </row>
    <row r="69" spans="1:4" x14ac:dyDescent="0.2">
      <c r="A69" s="24">
        <v>45969</v>
      </c>
      <c r="B69" s="23" t="s">
        <v>183</v>
      </c>
      <c r="C69" s="23" t="s">
        <v>184</v>
      </c>
      <c r="D69" s="17">
        <v>7</v>
      </c>
    </row>
    <row r="70" spans="1:4" x14ac:dyDescent="0.2">
      <c r="A70" s="24">
        <v>45970</v>
      </c>
      <c r="B70" s="23" t="s">
        <v>282</v>
      </c>
      <c r="C70" s="23" t="s">
        <v>177</v>
      </c>
      <c r="D70" s="17">
        <v>8</v>
      </c>
    </row>
    <row r="71" spans="1:4" x14ac:dyDescent="0.2">
      <c r="A71" s="24">
        <v>45970</v>
      </c>
      <c r="B71" s="23" t="s">
        <v>183</v>
      </c>
      <c r="C71" s="23" t="s">
        <v>184</v>
      </c>
      <c r="D71" s="17">
        <v>8</v>
      </c>
    </row>
    <row r="72" spans="1:4" x14ac:dyDescent="0.2">
      <c r="A72" s="24">
        <v>45971</v>
      </c>
      <c r="B72" s="23" t="s">
        <v>282</v>
      </c>
      <c r="C72" s="23" t="s">
        <v>177</v>
      </c>
      <c r="D72" s="17">
        <v>12</v>
      </c>
    </row>
    <row r="73" spans="1:4" x14ac:dyDescent="0.2">
      <c r="A73" s="24">
        <v>45971</v>
      </c>
      <c r="B73" s="23" t="s">
        <v>183</v>
      </c>
      <c r="C73" s="23" t="s">
        <v>184</v>
      </c>
      <c r="D73" s="17">
        <v>8</v>
      </c>
    </row>
    <row r="74" spans="1:4" x14ac:dyDescent="0.2">
      <c r="A74" s="24">
        <v>45972</v>
      </c>
      <c r="B74" s="23" t="s">
        <v>282</v>
      </c>
      <c r="C74" s="23" t="s">
        <v>177</v>
      </c>
      <c r="D74" s="17">
        <v>8</v>
      </c>
    </row>
    <row r="75" spans="1:4" x14ac:dyDescent="0.2">
      <c r="A75" s="24">
        <v>45972</v>
      </c>
      <c r="B75" s="23" t="s">
        <v>183</v>
      </c>
      <c r="C75" s="23" t="s">
        <v>184</v>
      </c>
      <c r="D75" s="17">
        <v>8</v>
      </c>
    </row>
    <row r="76" spans="1:4" x14ac:dyDescent="0.2">
      <c r="A76" s="24">
        <v>45972</v>
      </c>
      <c r="B76" s="23" t="s">
        <v>183</v>
      </c>
      <c r="C76" s="23" t="s">
        <v>167</v>
      </c>
      <c r="D76" s="17">
        <v>1</v>
      </c>
    </row>
    <row r="77" spans="1:4" x14ac:dyDescent="0.2">
      <c r="A77" s="24">
        <v>45973</v>
      </c>
      <c r="B77" s="23" t="s">
        <v>282</v>
      </c>
      <c r="C77" s="23" t="s">
        <v>177</v>
      </c>
      <c r="D77" s="17">
        <v>6</v>
      </c>
    </row>
    <row r="78" spans="1:4" x14ac:dyDescent="0.2">
      <c r="A78" s="24">
        <v>45973</v>
      </c>
      <c r="B78" s="23" t="s">
        <v>183</v>
      </c>
      <c r="C78" s="23" t="s">
        <v>184</v>
      </c>
      <c r="D78" s="17">
        <v>7</v>
      </c>
    </row>
    <row r="79" spans="1:4" x14ac:dyDescent="0.2">
      <c r="A79" s="24">
        <v>45974</v>
      </c>
      <c r="B79" s="23" t="s">
        <v>282</v>
      </c>
      <c r="C79" s="23" t="s">
        <v>243</v>
      </c>
      <c r="D79" s="17">
        <v>5</v>
      </c>
    </row>
    <row r="80" spans="1:4" x14ac:dyDescent="0.2">
      <c r="A80" s="24">
        <v>45974</v>
      </c>
      <c r="B80" s="23" t="s">
        <v>183</v>
      </c>
      <c r="C80" s="23" t="s">
        <v>184</v>
      </c>
      <c r="D80" s="17">
        <v>6</v>
      </c>
    </row>
    <row r="81" spans="1:4" x14ac:dyDescent="0.2">
      <c r="A81" s="24">
        <v>45974</v>
      </c>
      <c r="B81" s="23" t="s">
        <v>183</v>
      </c>
      <c r="C81" s="23" t="s">
        <v>167</v>
      </c>
      <c r="D81" s="17">
        <v>1</v>
      </c>
    </row>
    <row r="82" spans="1:4" x14ac:dyDescent="0.2">
      <c r="A82" s="24">
        <v>45975</v>
      </c>
      <c r="B82" s="23" t="s">
        <v>282</v>
      </c>
      <c r="C82" s="23" t="s">
        <v>243</v>
      </c>
      <c r="D82" s="17">
        <v>6</v>
      </c>
    </row>
    <row r="83" spans="1:4" x14ac:dyDescent="0.2">
      <c r="A83" s="24">
        <v>45975</v>
      </c>
      <c r="B83" s="23" t="s">
        <v>183</v>
      </c>
      <c r="C83" s="23" t="s">
        <v>184</v>
      </c>
      <c r="D83" s="17">
        <v>7</v>
      </c>
    </row>
    <row r="84" spans="1:4" x14ac:dyDescent="0.2">
      <c r="A84" s="24">
        <v>45975</v>
      </c>
      <c r="B84" s="23" t="s">
        <v>183</v>
      </c>
      <c r="C84" s="23" t="s">
        <v>243</v>
      </c>
      <c r="D84" s="17">
        <v>2</v>
      </c>
    </row>
    <row r="85" spans="1:4" x14ac:dyDescent="0.2">
      <c r="A85" s="24">
        <v>45976</v>
      </c>
      <c r="B85" s="23" t="s">
        <v>282</v>
      </c>
      <c r="C85" s="23" t="s">
        <v>243</v>
      </c>
      <c r="D85" s="17">
        <v>5</v>
      </c>
    </row>
    <row r="86" spans="1:4" x14ac:dyDescent="0.2">
      <c r="A86" s="24">
        <v>45976</v>
      </c>
      <c r="B86" s="23" t="s">
        <v>183</v>
      </c>
      <c r="C86" s="23" t="s">
        <v>184</v>
      </c>
      <c r="D86" s="17">
        <v>8</v>
      </c>
    </row>
    <row r="87" spans="1:4" x14ac:dyDescent="0.2">
      <c r="A87" s="24">
        <v>45977</v>
      </c>
      <c r="B87" s="23" t="s">
        <v>282</v>
      </c>
      <c r="C87" s="23" t="s">
        <v>243</v>
      </c>
      <c r="D87" s="17">
        <v>5</v>
      </c>
    </row>
    <row r="88" spans="1:4" x14ac:dyDescent="0.2">
      <c r="A88" s="24">
        <v>45977</v>
      </c>
      <c r="B88" s="23" t="s">
        <v>183</v>
      </c>
      <c r="C88" s="23" t="s">
        <v>184</v>
      </c>
      <c r="D88" s="17">
        <v>13</v>
      </c>
    </row>
    <row r="89" spans="1:4" x14ac:dyDescent="0.2">
      <c r="A89" s="24">
        <v>45977</v>
      </c>
      <c r="B89" s="23" t="s">
        <v>183</v>
      </c>
      <c r="C89" s="23" t="s">
        <v>243</v>
      </c>
      <c r="D89" s="17">
        <v>2</v>
      </c>
    </row>
    <row r="90" spans="1:4" x14ac:dyDescent="0.2">
      <c r="A90" s="24">
        <v>45978</v>
      </c>
      <c r="B90" s="23" t="s">
        <v>282</v>
      </c>
      <c r="C90" s="23" t="s">
        <v>243</v>
      </c>
      <c r="D90" s="17">
        <v>4</v>
      </c>
    </row>
    <row r="91" spans="1:4" x14ac:dyDescent="0.2">
      <c r="A91" s="24">
        <v>45978</v>
      </c>
      <c r="B91" s="23" t="s">
        <v>183</v>
      </c>
      <c r="C91" s="23" t="s">
        <v>184</v>
      </c>
      <c r="D91" s="17">
        <v>10</v>
      </c>
    </row>
    <row r="92" spans="1:4" x14ac:dyDescent="0.2">
      <c r="A92" s="24">
        <v>45979</v>
      </c>
      <c r="B92" s="23" t="s">
        <v>282</v>
      </c>
      <c r="C92" s="23" t="s">
        <v>243</v>
      </c>
      <c r="D92" s="17">
        <v>6</v>
      </c>
    </row>
    <row r="93" spans="1:4" x14ac:dyDescent="0.2">
      <c r="A93" s="24">
        <v>45979</v>
      </c>
      <c r="B93" s="23" t="s">
        <v>183</v>
      </c>
      <c r="C93" s="23" t="s">
        <v>184</v>
      </c>
      <c r="D93" s="17">
        <v>16</v>
      </c>
    </row>
    <row r="94" spans="1:4" x14ac:dyDescent="0.2">
      <c r="A94" s="24">
        <v>45980</v>
      </c>
      <c r="B94" s="23" t="s">
        <v>282</v>
      </c>
      <c r="C94" s="23" t="s">
        <v>167</v>
      </c>
      <c r="D94" s="17">
        <v>1</v>
      </c>
    </row>
    <row r="95" spans="1:4" x14ac:dyDescent="0.2">
      <c r="A95" s="24">
        <v>45980</v>
      </c>
      <c r="B95" s="23" t="s">
        <v>269</v>
      </c>
      <c r="C95" s="23" t="s">
        <v>167</v>
      </c>
      <c r="D95" s="17">
        <v>1</v>
      </c>
    </row>
    <row r="96" spans="1:4" x14ac:dyDescent="0.2">
      <c r="A96" s="24">
        <v>45981</v>
      </c>
      <c r="B96" s="23" t="s">
        <v>282</v>
      </c>
      <c r="C96" s="23" t="s">
        <v>243</v>
      </c>
      <c r="D96" s="17">
        <v>8</v>
      </c>
    </row>
    <row r="97" spans="1:4" x14ac:dyDescent="0.2">
      <c r="A97" s="24">
        <v>45981</v>
      </c>
      <c r="B97" s="23" t="s">
        <v>183</v>
      </c>
      <c r="C97" s="23" t="s">
        <v>184</v>
      </c>
      <c r="D97" s="17">
        <v>7</v>
      </c>
    </row>
    <row r="98" spans="1:4" x14ac:dyDescent="0.2">
      <c r="A98" s="24">
        <v>45982</v>
      </c>
      <c r="B98" s="23" t="s">
        <v>282</v>
      </c>
      <c r="C98" s="23" t="s">
        <v>243</v>
      </c>
      <c r="D98" s="17">
        <v>9</v>
      </c>
    </row>
    <row r="99" spans="1:4" x14ac:dyDescent="0.2">
      <c r="A99" s="24">
        <v>45982</v>
      </c>
      <c r="B99" s="23" t="s">
        <v>311</v>
      </c>
      <c r="C99" s="23" t="s">
        <v>167</v>
      </c>
      <c r="D99" s="17">
        <v>1</v>
      </c>
    </row>
    <row r="100" spans="1:4" x14ac:dyDescent="0.2">
      <c r="A100" s="24">
        <v>45982</v>
      </c>
      <c r="B100" s="23" t="s">
        <v>183</v>
      </c>
      <c r="C100" s="23" t="s">
        <v>184</v>
      </c>
      <c r="D100" s="17">
        <v>8</v>
      </c>
    </row>
    <row r="101" spans="1:4" x14ac:dyDescent="0.2">
      <c r="A101" s="24">
        <v>45984</v>
      </c>
      <c r="B101" s="23" t="s">
        <v>269</v>
      </c>
      <c r="C101" s="23" t="s">
        <v>270</v>
      </c>
      <c r="D101" s="17">
        <v>12</v>
      </c>
    </row>
    <row r="102" spans="1:4" x14ac:dyDescent="0.2">
      <c r="A102" s="24">
        <v>45984</v>
      </c>
      <c r="B102" s="23" t="s">
        <v>269</v>
      </c>
      <c r="C102" s="23" t="s">
        <v>167</v>
      </c>
      <c r="D102" s="17">
        <v>1</v>
      </c>
    </row>
    <row r="103" spans="1:4" x14ac:dyDescent="0.2">
      <c r="A103" s="24">
        <v>45984</v>
      </c>
      <c r="B103" s="23" t="s">
        <v>183</v>
      </c>
      <c r="C103" s="23" t="s">
        <v>184</v>
      </c>
      <c r="D103" s="17">
        <v>8</v>
      </c>
    </row>
    <row r="104" spans="1:4" x14ac:dyDescent="0.2">
      <c r="A104" s="24">
        <v>45985</v>
      </c>
      <c r="B104" s="23" t="s">
        <v>269</v>
      </c>
      <c r="C104" s="23" t="s">
        <v>270</v>
      </c>
      <c r="D104" s="17">
        <v>4</v>
      </c>
    </row>
    <row r="105" spans="1:4" x14ac:dyDescent="0.2">
      <c r="A105" s="24">
        <v>45985</v>
      </c>
      <c r="B105" s="23" t="s">
        <v>311</v>
      </c>
      <c r="C105" s="23" t="s">
        <v>167</v>
      </c>
      <c r="D105" s="17">
        <v>1</v>
      </c>
    </row>
    <row r="106" spans="1:4" x14ac:dyDescent="0.2">
      <c r="A106" s="24">
        <v>45985</v>
      </c>
      <c r="B106" s="23" t="s">
        <v>183</v>
      </c>
      <c r="C106" s="23" t="s">
        <v>184</v>
      </c>
      <c r="D106" s="17">
        <v>7</v>
      </c>
    </row>
    <row r="107" spans="1:4" x14ac:dyDescent="0.2">
      <c r="A107" s="24">
        <v>45986</v>
      </c>
      <c r="B107" s="23" t="s">
        <v>282</v>
      </c>
      <c r="C107" s="23" t="s">
        <v>243</v>
      </c>
      <c r="D107" s="17">
        <v>4</v>
      </c>
    </row>
    <row r="108" spans="1:4" x14ac:dyDescent="0.2">
      <c r="A108" s="24">
        <v>45986</v>
      </c>
      <c r="B108" s="23" t="s">
        <v>183</v>
      </c>
      <c r="C108" s="23" t="s">
        <v>184</v>
      </c>
      <c r="D108" s="17">
        <v>5</v>
      </c>
    </row>
    <row r="109" spans="1:4" x14ac:dyDescent="0.2">
      <c r="A109" s="24">
        <v>45987</v>
      </c>
      <c r="B109" s="23" t="s">
        <v>269</v>
      </c>
      <c r="C109" s="23" t="s">
        <v>270</v>
      </c>
      <c r="D109" s="17">
        <v>17</v>
      </c>
    </row>
    <row r="110" spans="1:4" x14ac:dyDescent="0.2">
      <c r="A110" s="24">
        <v>45987</v>
      </c>
      <c r="B110" s="23" t="s">
        <v>311</v>
      </c>
      <c r="C110" s="23" t="s">
        <v>167</v>
      </c>
      <c r="D110" s="17">
        <v>1</v>
      </c>
    </row>
    <row r="111" spans="1:4" x14ac:dyDescent="0.2">
      <c r="A111" s="24">
        <v>45988</v>
      </c>
      <c r="B111" s="23" t="s">
        <v>269</v>
      </c>
      <c r="C111" s="23" t="s">
        <v>270</v>
      </c>
      <c r="D111" s="17">
        <v>11</v>
      </c>
    </row>
    <row r="112" spans="1:4" x14ac:dyDescent="0.2">
      <c r="A112" s="24">
        <v>45989</v>
      </c>
      <c r="B112" s="23" t="s">
        <v>269</v>
      </c>
      <c r="C112" s="23" t="s">
        <v>270</v>
      </c>
      <c r="D112" s="17">
        <v>11</v>
      </c>
    </row>
    <row r="113" spans="1:4" x14ac:dyDescent="0.2">
      <c r="A113" s="24">
        <v>45990</v>
      </c>
      <c r="B113" s="23" t="s">
        <v>269</v>
      </c>
      <c r="C113" s="23" t="s">
        <v>270</v>
      </c>
      <c r="D113" s="17">
        <v>11</v>
      </c>
    </row>
    <row r="114" spans="1:4" x14ac:dyDescent="0.2">
      <c r="A114" s="24">
        <v>45990</v>
      </c>
      <c r="B114" s="23" t="s">
        <v>311</v>
      </c>
      <c r="C114" s="23" t="s">
        <v>167</v>
      </c>
      <c r="D114" s="17">
        <v>1</v>
      </c>
    </row>
    <row r="115" spans="1:4" x14ac:dyDescent="0.2">
      <c r="A115" s="24">
        <v>45991</v>
      </c>
      <c r="B115" s="23" t="s">
        <v>269</v>
      </c>
      <c r="C115" s="23" t="s">
        <v>270</v>
      </c>
      <c r="D115" s="17">
        <v>19</v>
      </c>
    </row>
    <row r="116" spans="1:4" x14ac:dyDescent="0.2">
      <c r="A116" s="3"/>
      <c r="B116" s="22"/>
      <c r="C116" s="22"/>
      <c r="D116" s="2"/>
    </row>
    <row r="117" spans="1:4" x14ac:dyDescent="0.2">
      <c r="A117" s="24"/>
      <c r="B117" s="23"/>
      <c r="C117" s="23"/>
      <c r="D117" s="17"/>
    </row>
    <row r="118" spans="1:4" x14ac:dyDescent="0.2">
      <c r="A118" s="24"/>
      <c r="B118" s="23"/>
      <c r="C118" s="23"/>
      <c r="D118" s="17"/>
    </row>
    <row r="119" spans="1:4" x14ac:dyDescent="0.2">
      <c r="A119" s="24"/>
      <c r="B119" s="23"/>
      <c r="C119" s="23"/>
      <c r="D119" s="17"/>
    </row>
    <row r="120" spans="1:4" x14ac:dyDescent="0.2">
      <c r="A120" s="24"/>
      <c r="B120" s="23"/>
      <c r="C120" s="23"/>
      <c r="D120" s="17"/>
    </row>
    <row r="121" spans="1:4" x14ac:dyDescent="0.2">
      <c r="A121" s="24"/>
      <c r="B121" s="23"/>
      <c r="C121" s="23"/>
      <c r="D121" s="17"/>
    </row>
    <row r="122" spans="1:4" x14ac:dyDescent="0.2">
      <c r="A122" s="24"/>
      <c r="B122" s="23"/>
      <c r="C122" s="23"/>
      <c r="D122" s="17"/>
    </row>
    <row r="123" spans="1:4" x14ac:dyDescent="0.2">
      <c r="A123" s="24"/>
      <c r="B123" s="23"/>
      <c r="C123" s="23"/>
      <c r="D123" s="17"/>
    </row>
    <row r="124" spans="1:4" x14ac:dyDescent="0.2">
      <c r="A124" s="24"/>
      <c r="B124" s="23"/>
      <c r="C124" s="23"/>
      <c r="D124" s="17"/>
    </row>
    <row r="125" spans="1:4" x14ac:dyDescent="0.2">
      <c r="A125" s="24"/>
      <c r="B125" s="23"/>
      <c r="C125" s="23"/>
      <c r="D125" s="17"/>
    </row>
    <row r="126" spans="1:4" x14ac:dyDescent="0.2">
      <c r="A126" s="24"/>
      <c r="B126" s="23"/>
      <c r="C126" s="23"/>
      <c r="D126" s="17"/>
    </row>
    <row r="127" spans="1:4" x14ac:dyDescent="0.2">
      <c r="A127" s="24"/>
      <c r="B127" s="23"/>
      <c r="C127" s="23"/>
      <c r="D127" s="17"/>
    </row>
    <row r="128" spans="1:4" x14ac:dyDescent="0.2">
      <c r="A128" s="24"/>
      <c r="B128" s="23"/>
      <c r="C128" s="23"/>
      <c r="D128" s="17"/>
    </row>
    <row r="129" spans="1:4" x14ac:dyDescent="0.2">
      <c r="A129" s="24"/>
      <c r="B129" s="23"/>
      <c r="C129" s="23"/>
      <c r="D129" s="17"/>
    </row>
    <row r="130" spans="1:4" x14ac:dyDescent="0.2">
      <c r="A130" s="24"/>
      <c r="B130" s="23"/>
      <c r="C130" s="23"/>
      <c r="D130" s="17"/>
    </row>
    <row r="131" spans="1:4" x14ac:dyDescent="0.2">
      <c r="A131" s="24"/>
      <c r="B131" s="23"/>
      <c r="C131" s="23"/>
      <c r="D131" s="17"/>
    </row>
    <row r="132" spans="1:4" x14ac:dyDescent="0.2">
      <c r="A132" s="24"/>
      <c r="B132" s="23"/>
      <c r="C132" s="23"/>
      <c r="D132" s="17"/>
    </row>
    <row r="133" spans="1:4" x14ac:dyDescent="0.2">
      <c r="A133" s="24"/>
      <c r="B133" s="23"/>
      <c r="C133" s="23"/>
      <c r="D133" s="17"/>
    </row>
    <row r="134" spans="1:4" x14ac:dyDescent="0.2">
      <c r="A134" s="24"/>
      <c r="B134" s="23"/>
      <c r="C134" s="23"/>
      <c r="D134" s="17"/>
    </row>
    <row r="135" spans="1:4" x14ac:dyDescent="0.2">
      <c r="A135" s="24"/>
      <c r="B135" s="23"/>
      <c r="C135" s="23"/>
      <c r="D135" s="17"/>
    </row>
    <row r="136" spans="1:4" x14ac:dyDescent="0.2">
      <c r="A136" s="24"/>
      <c r="B136" s="23"/>
      <c r="C136" s="23"/>
      <c r="D136" s="17"/>
    </row>
    <row r="137" spans="1:4" x14ac:dyDescent="0.2">
      <c r="A137" s="24"/>
      <c r="B137" s="23"/>
      <c r="C137" s="23"/>
      <c r="D137" s="17"/>
    </row>
    <row r="138" spans="1:4" x14ac:dyDescent="0.2">
      <c r="A138" s="24"/>
      <c r="B138" s="23"/>
      <c r="C138" s="23"/>
      <c r="D138" s="17"/>
    </row>
    <row r="139" spans="1:4" x14ac:dyDescent="0.2">
      <c r="A139" s="24"/>
      <c r="B139" s="23"/>
      <c r="C139" s="23"/>
      <c r="D139" s="17"/>
    </row>
    <row r="140" spans="1:4" x14ac:dyDescent="0.2">
      <c r="A140" s="35"/>
      <c r="B140" s="40"/>
      <c r="C140" s="40"/>
      <c r="D140" s="41"/>
    </row>
    <row r="141" spans="1:4" ht="24" x14ac:dyDescent="0.2">
      <c r="D141" s="21" t="s">
        <v>7</v>
      </c>
    </row>
    <row r="142" spans="1:4" ht="24" x14ac:dyDescent="0.2">
      <c r="D142" s="19">
        <f>SUM(D65:D139)</f>
        <v>328</v>
      </c>
    </row>
  </sheetData>
  <mergeCells count="8">
    <mergeCell ref="A1:I1"/>
    <mergeCell ref="A2:I2"/>
    <mergeCell ref="A62:D62"/>
    <mergeCell ref="A63:D63"/>
    <mergeCell ref="O2:W2"/>
    <mergeCell ref="O3:W3"/>
    <mergeCell ref="N24:V24"/>
    <mergeCell ref="N25:V25"/>
  </mergeCells>
  <conditionalFormatting sqref="I4:I54 V28:V41">
    <cfRule type="containsText" dxfId="11" priority="21" operator="containsText" text="✅">
      <formula>NOT(ISERROR(SEARCH("✅",I4)))</formula>
    </cfRule>
    <cfRule type="containsText" dxfId="10" priority="22" operator="containsText" text="ℹ️">
      <formula>NOT(ISERROR(SEARCH("ℹ️",I4)))</formula>
    </cfRule>
    <cfRule type="containsText" dxfId="9" priority="23" operator="containsText" text="⚠️">
      <formula>NOT(ISERROR(SEARCH("⚠️",I4)))</formula>
    </cfRule>
    <cfRule type="containsText" dxfId="8" priority="24" operator="containsText" text="🚨">
      <formula>NOT(ISERROR(SEARCH("🚨",I4)))</formula>
    </cfRule>
  </conditionalFormatting>
  <conditionalFormatting sqref="W5:W12">
    <cfRule type="containsText" dxfId="7" priority="9" operator="containsText" text="✅">
      <formula>NOT(ISERROR(SEARCH("✅",W5)))</formula>
    </cfRule>
    <cfRule type="containsText" dxfId="6" priority="10" operator="containsText" text="ℹ️">
      <formula>NOT(ISERROR(SEARCH("ℹ️",W5)))</formula>
    </cfRule>
    <cfRule type="containsText" dxfId="5" priority="11" operator="containsText" text="⚠️">
      <formula>NOT(ISERROR(SEARCH("⚠️",W5)))</formula>
    </cfRule>
    <cfRule type="containsText" dxfId="4" priority="12" operator="containsText" text="🚨">
      <formula>NOT(ISERROR(SEARCH("🚨",W5)))</formula>
    </cfRule>
  </conditionalFormatting>
  <pageMargins left="0.7" right="0.7" top="0.75" bottom="0.75" header="0.3" footer="0.3"/>
  <pageSetup paperSize="9" scale="16" orientation="portrait" horizontalDpi="0" verticalDpi="0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2E210-69C3-E541-BD46-AFAE5C3FE25E}">
  <sheetPr codeName="Sheet12"/>
  <dimension ref="A1:I92"/>
  <sheetViews>
    <sheetView tabSelected="1" zoomScale="110" workbookViewId="0">
      <selection activeCell="C55" sqref="C55:D90"/>
    </sheetView>
  </sheetViews>
  <sheetFormatPr baseColWidth="10" defaultColWidth="11.5" defaultRowHeight="15" x14ac:dyDescent="0.2"/>
  <cols>
    <col min="1" max="1" width="32.33203125" customWidth="1"/>
    <col min="2" max="2" width="25" bestFit="1" customWidth="1"/>
    <col min="3" max="3" width="32.83203125" customWidth="1"/>
    <col min="4" max="4" width="14.5" bestFit="1" customWidth="1"/>
    <col min="5" max="5" width="15.33203125" bestFit="1" customWidth="1"/>
    <col min="6" max="6" width="18.33203125" bestFit="1" customWidth="1"/>
    <col min="7" max="7" width="20" bestFit="1" customWidth="1"/>
    <col min="8" max="8" width="18.5" bestFit="1" customWidth="1"/>
    <col min="9" max="9" width="55" customWidth="1"/>
  </cols>
  <sheetData>
    <row r="1" spans="1:9" ht="29" x14ac:dyDescent="0.2">
      <c r="A1" s="42" t="s">
        <v>70</v>
      </c>
      <c r="B1" s="42"/>
      <c r="C1" s="42"/>
      <c r="D1" s="42"/>
      <c r="E1" s="42"/>
      <c r="F1" s="42"/>
      <c r="G1" s="42"/>
      <c r="H1" s="42"/>
      <c r="I1" s="42"/>
    </row>
    <row r="2" spans="1:9" x14ac:dyDescent="0.2">
      <c r="A2" s="43" t="s">
        <v>258</v>
      </c>
      <c r="B2" s="43"/>
      <c r="C2" s="43"/>
      <c r="D2" s="43"/>
      <c r="E2" s="43"/>
      <c r="F2" s="43"/>
      <c r="G2" s="43"/>
      <c r="H2" s="43"/>
      <c r="I2" s="43"/>
    </row>
    <row r="3" spans="1:9" ht="16" x14ac:dyDescent="0.2">
      <c r="A3" s="15" t="s">
        <v>0</v>
      </c>
      <c r="B3" s="14" t="s">
        <v>69</v>
      </c>
      <c r="C3" s="14" t="s">
        <v>68</v>
      </c>
      <c r="D3" s="14" t="s">
        <v>1</v>
      </c>
      <c r="E3" s="13" t="s">
        <v>67</v>
      </c>
      <c r="F3" s="13" t="s">
        <v>50</v>
      </c>
      <c r="G3" s="13" t="s">
        <v>66</v>
      </c>
      <c r="H3" s="13" t="s">
        <v>2</v>
      </c>
      <c r="I3" s="13" t="s">
        <v>65</v>
      </c>
    </row>
    <row r="4" spans="1:9" ht="16" x14ac:dyDescent="0.2">
      <c r="A4" s="24">
        <v>46011</v>
      </c>
      <c r="B4" s="22" t="s">
        <v>292</v>
      </c>
      <c r="C4" s="23" t="s">
        <v>4</v>
      </c>
      <c r="D4" s="17">
        <v>1</v>
      </c>
      <c r="E4" s="25">
        <v>4000</v>
      </c>
      <c r="F4" s="25">
        <f>Table24562024[[#This Row],[Rate /Trips]]*Table24562024[[#This Row],[Trips]]</f>
        <v>4000</v>
      </c>
      <c r="G4" s="25"/>
      <c r="H4" s="25">
        <f>Table24562024[[#This Row],[Total Value]]-Table24562024[[#This Row],[Received]]</f>
        <v>4000</v>
      </c>
      <c r="I4" s="9" t="str">
        <f t="shared" ref="I4:I26" si="0">IF(H4&gt;10000,"🚨 URGENT: "&amp;B4&amp;" owes ₹"&amp;H4,IF(H4&gt;5000,"⚠️ WARNING: "&amp;B4&amp;" - ₹"&amp;H4&amp;" due",IF(H4&gt;0,"ℹ️ "&amp;B4&amp;" - ₹"&amp;H4&amp;" pending","✅ Paid")))</f>
        <v>ℹ️ Arjun Chinhurwar ( Raj Dad ) - ₹4000 pending</v>
      </c>
    </row>
    <row r="5" spans="1:9" ht="16" x14ac:dyDescent="0.2">
      <c r="A5" s="24">
        <v>46019</v>
      </c>
      <c r="B5" s="23" t="s">
        <v>335</v>
      </c>
      <c r="C5" s="23" t="s">
        <v>6</v>
      </c>
      <c r="D5" s="17">
        <v>2</v>
      </c>
      <c r="E5" s="25">
        <v>4500</v>
      </c>
      <c r="F5" s="25">
        <f>Table24562024[[#This Row],[Rate /Trips]]*Table24562024[[#This Row],[Trips]]</f>
        <v>9000</v>
      </c>
      <c r="G5" s="25"/>
      <c r="H5" s="25">
        <f>Table24562024[[#This Row],[Total Value]]-Table24562024[[#This Row],[Received]]</f>
        <v>9000</v>
      </c>
      <c r="I5" s="9" t="str">
        <f t="shared" si="0"/>
        <v>⚠️ WARNING: Arvind Gupta ( raj) - ₹9000 due</v>
      </c>
    </row>
    <row r="6" spans="1:9" ht="16" x14ac:dyDescent="0.2">
      <c r="A6" s="24">
        <v>46002</v>
      </c>
      <c r="B6" s="23" t="s">
        <v>324</v>
      </c>
      <c r="C6" s="23" t="s">
        <v>4</v>
      </c>
      <c r="D6" s="17">
        <v>1</v>
      </c>
      <c r="E6" s="25">
        <v>4000</v>
      </c>
      <c r="F6" s="25">
        <f>Table24562024[[#This Row],[Rate /Trips]]*Table24562024[[#This Row],[Trips]]</f>
        <v>4000</v>
      </c>
      <c r="G6" s="25"/>
      <c r="H6" s="25">
        <f>Table24562024[[#This Row],[Total Value]]-Table24562024[[#This Row],[Received]]</f>
        <v>4000</v>
      </c>
      <c r="I6" s="9" t="str">
        <f t="shared" si="0"/>
        <v>ℹ️ Chauhan ( Raj Dad ) - ₹4000 pending</v>
      </c>
    </row>
    <row r="7" spans="1:9" ht="16" x14ac:dyDescent="0.2">
      <c r="A7" s="24">
        <v>46005</v>
      </c>
      <c r="B7" s="23" t="s">
        <v>324</v>
      </c>
      <c r="C7" s="23" t="s">
        <v>4</v>
      </c>
      <c r="D7" s="17">
        <v>1</v>
      </c>
      <c r="E7" s="25">
        <v>4000</v>
      </c>
      <c r="F7" s="25">
        <f>Table24562024[[#This Row],[Rate /Trips]]*Table24562024[[#This Row],[Trips]]</f>
        <v>4000</v>
      </c>
      <c r="G7" s="25"/>
      <c r="H7" s="25">
        <f>Table24562024[[#This Row],[Total Value]]-Table24562024[[#This Row],[Received]]</f>
        <v>4000</v>
      </c>
      <c r="I7" s="9" t="str">
        <f t="shared" si="0"/>
        <v>ℹ️ Chauhan ( Raj Dad ) - ₹4000 pending</v>
      </c>
    </row>
    <row r="8" spans="1:9" ht="16" x14ac:dyDescent="0.2">
      <c r="A8" s="24">
        <v>46013</v>
      </c>
      <c r="B8" s="23" t="s">
        <v>324</v>
      </c>
      <c r="C8" s="23" t="s">
        <v>4</v>
      </c>
      <c r="D8" s="17">
        <v>1</v>
      </c>
      <c r="E8" s="25">
        <v>4000</v>
      </c>
      <c r="F8" s="25">
        <f>Table24562024[[#This Row],[Rate /Trips]]*Table24562024[[#This Row],[Trips]]</f>
        <v>4000</v>
      </c>
      <c r="G8" s="25"/>
      <c r="H8" s="25">
        <f>Table24562024[[#This Row],[Total Value]]-Table24562024[[#This Row],[Received]]</f>
        <v>4000</v>
      </c>
      <c r="I8" s="9" t="str">
        <f t="shared" si="0"/>
        <v>ℹ️ Chauhan ( Raj Dad ) - ₹4000 pending</v>
      </c>
    </row>
    <row r="9" spans="1:9" ht="16" x14ac:dyDescent="0.2">
      <c r="A9" s="24">
        <v>46021</v>
      </c>
      <c r="B9" s="33" t="s">
        <v>334</v>
      </c>
      <c r="C9" s="33" t="s">
        <v>4</v>
      </c>
      <c r="D9" s="17">
        <v>2</v>
      </c>
      <c r="E9" s="25">
        <v>3500</v>
      </c>
      <c r="F9" s="25">
        <f>Table24562024[[#This Row],[Rate /Trips]]*Table24562024[[#This Row],[Trips]]</f>
        <v>7000</v>
      </c>
      <c r="G9" s="25">
        <v>7000</v>
      </c>
      <c r="H9" s="25">
        <f>Table24562024[[#This Row],[Total Value]]-Table24562024[[#This Row],[Received]]</f>
        <v>0</v>
      </c>
      <c r="I9" s="9" t="str">
        <f t="shared" si="0"/>
        <v>✅ Paid</v>
      </c>
    </row>
    <row r="10" spans="1:9" ht="16" x14ac:dyDescent="0.2">
      <c r="A10" s="24">
        <v>46002</v>
      </c>
      <c r="B10" s="23" t="s">
        <v>323</v>
      </c>
      <c r="C10" s="23" t="s">
        <v>3</v>
      </c>
      <c r="D10" s="17">
        <v>1</v>
      </c>
      <c r="E10" s="25">
        <v>4000</v>
      </c>
      <c r="F10" s="25">
        <f>Table24562024[[#This Row],[Rate /Trips]]*Table24562024[[#This Row],[Trips]]</f>
        <v>4000</v>
      </c>
      <c r="G10" s="25">
        <v>4000</v>
      </c>
      <c r="H10" s="25">
        <f>Table24562024[[#This Row],[Total Value]]-Table24562024[[#This Row],[Received]]</f>
        <v>0</v>
      </c>
      <c r="I10" s="9" t="str">
        <f t="shared" si="0"/>
        <v>✅ Paid</v>
      </c>
    </row>
    <row r="11" spans="1:9" ht="16" x14ac:dyDescent="0.2">
      <c r="A11" s="24">
        <v>45996</v>
      </c>
      <c r="B11" s="22" t="s">
        <v>320</v>
      </c>
      <c r="C11" s="22" t="s">
        <v>151</v>
      </c>
      <c r="D11" s="2">
        <v>1</v>
      </c>
      <c r="E11" s="25">
        <v>3000</v>
      </c>
      <c r="F11" s="25">
        <f>Table24562024[[#This Row],[Rate /Trips]]*Table24562024[[#This Row],[Trips]]</f>
        <v>3000</v>
      </c>
      <c r="G11" s="25">
        <v>3000</v>
      </c>
      <c r="H11" s="25">
        <f>Table24562024[[#This Row],[Total Value]]-Table24562024[[#This Row],[Received]]</f>
        <v>0</v>
      </c>
      <c r="I11" s="9" t="str">
        <f t="shared" si="0"/>
        <v>✅ Paid</v>
      </c>
    </row>
    <row r="12" spans="1:9" ht="16" x14ac:dyDescent="0.2">
      <c r="A12" s="24">
        <v>46003</v>
      </c>
      <c r="B12" s="23" t="s">
        <v>325</v>
      </c>
      <c r="C12" s="23" t="s">
        <v>3</v>
      </c>
      <c r="D12" s="17">
        <v>1</v>
      </c>
      <c r="E12" s="25">
        <v>4000</v>
      </c>
      <c r="F12" s="25">
        <f>Table24562024[[#This Row],[Rate /Trips]]*Table24562024[[#This Row],[Trips]]</f>
        <v>4000</v>
      </c>
      <c r="G12" s="25">
        <v>4000</v>
      </c>
      <c r="H12" s="25">
        <f>Table24562024[[#This Row],[Total Value]]-Table24562024[[#This Row],[Received]]</f>
        <v>0</v>
      </c>
      <c r="I12" s="9" t="str">
        <f t="shared" si="0"/>
        <v>✅ Paid</v>
      </c>
    </row>
    <row r="13" spans="1:9" ht="16" x14ac:dyDescent="0.2">
      <c r="A13" s="24">
        <v>46013</v>
      </c>
      <c r="B13" s="23" t="s">
        <v>325</v>
      </c>
      <c r="C13" s="23" t="s">
        <v>3</v>
      </c>
      <c r="D13" s="17">
        <v>1</v>
      </c>
      <c r="E13" s="25">
        <v>4000</v>
      </c>
      <c r="F13" s="25">
        <f>Table24562024[[#This Row],[Rate /Trips]]*Table24562024[[#This Row],[Trips]]</f>
        <v>4000</v>
      </c>
      <c r="G13" s="25">
        <v>4000</v>
      </c>
      <c r="H13" s="25">
        <f>Table24562024[[#This Row],[Total Value]]-Table24562024[[#This Row],[Received]]</f>
        <v>0</v>
      </c>
      <c r="I13" s="9" t="str">
        <f t="shared" si="0"/>
        <v>✅ Paid</v>
      </c>
    </row>
    <row r="14" spans="1:9" ht="16" x14ac:dyDescent="0.2">
      <c r="A14" s="24">
        <v>45996</v>
      </c>
      <c r="B14" s="22" t="s">
        <v>293</v>
      </c>
      <c r="C14" s="22" t="s">
        <v>4</v>
      </c>
      <c r="D14" s="2">
        <v>1</v>
      </c>
      <c r="E14" s="25">
        <v>4000</v>
      </c>
      <c r="F14" s="25">
        <f>Table24562024[[#This Row],[Rate /Trips]]*Table24562024[[#This Row],[Trips]]</f>
        <v>4000</v>
      </c>
      <c r="G14" s="25">
        <v>4000</v>
      </c>
      <c r="H14" s="25">
        <f>Table24562024[[#This Row],[Total Value]]-Table24562024[[#This Row],[Received]]</f>
        <v>0</v>
      </c>
      <c r="I14" s="9" t="str">
        <f t="shared" si="0"/>
        <v>✅ Paid</v>
      </c>
    </row>
    <row r="15" spans="1:9" ht="16" x14ac:dyDescent="0.2">
      <c r="A15" s="24">
        <v>46006</v>
      </c>
      <c r="B15" s="22" t="s">
        <v>293</v>
      </c>
      <c r="C15" s="22" t="s">
        <v>4</v>
      </c>
      <c r="D15" s="2">
        <v>1</v>
      </c>
      <c r="E15" s="25">
        <v>4000</v>
      </c>
      <c r="F15" s="25">
        <f>Table24562024[[#This Row],[Rate /Trips]]*Table24562024[[#This Row],[Trips]]</f>
        <v>4000</v>
      </c>
      <c r="G15" s="25">
        <v>4000</v>
      </c>
      <c r="H15" s="25">
        <f>Table24562024[[#This Row],[Total Value]]-Table24562024[[#This Row],[Received]]</f>
        <v>0</v>
      </c>
      <c r="I15" s="9" t="str">
        <f t="shared" si="0"/>
        <v>✅ Paid</v>
      </c>
    </row>
    <row r="16" spans="1:9" ht="16" x14ac:dyDescent="0.2">
      <c r="A16" s="24">
        <v>45997</v>
      </c>
      <c r="B16" s="22" t="s">
        <v>76</v>
      </c>
      <c r="C16" s="22" t="s">
        <v>321</v>
      </c>
      <c r="D16" s="2">
        <v>1</v>
      </c>
      <c r="E16" s="25">
        <v>4000</v>
      </c>
      <c r="F16" s="25">
        <f>Table24562024[[#This Row],[Rate /Trips]]*Table24562024[[#This Row],[Trips]]</f>
        <v>4000</v>
      </c>
      <c r="G16" s="25">
        <v>4000</v>
      </c>
      <c r="H16" s="25">
        <f>Table24562024[[#This Row],[Total Value]]-Table24562024[[#This Row],[Received]]</f>
        <v>0</v>
      </c>
      <c r="I16" s="9" t="str">
        <f t="shared" si="0"/>
        <v>✅ Paid</v>
      </c>
    </row>
    <row r="17" spans="1:9" ht="16" x14ac:dyDescent="0.2">
      <c r="A17" s="24">
        <v>46006</v>
      </c>
      <c r="B17" s="23" t="s">
        <v>76</v>
      </c>
      <c r="C17" s="23" t="s">
        <v>6</v>
      </c>
      <c r="D17" s="17">
        <v>1</v>
      </c>
      <c r="E17" s="25">
        <v>4700</v>
      </c>
      <c r="F17" s="25">
        <f>Table24562024[[#This Row],[Rate /Trips]]*Table24562024[[#This Row],[Trips]]</f>
        <v>4700</v>
      </c>
      <c r="G17" s="25">
        <v>4700</v>
      </c>
      <c r="H17" s="25">
        <f>Table24562024[[#This Row],[Total Value]]-Table24562024[[#This Row],[Received]]</f>
        <v>0</v>
      </c>
      <c r="I17" s="9" t="str">
        <f t="shared" si="0"/>
        <v>✅ Paid</v>
      </c>
    </row>
    <row r="18" spans="1:9" ht="16" x14ac:dyDescent="0.2">
      <c r="A18" s="24">
        <v>46011</v>
      </c>
      <c r="B18" s="22" t="s">
        <v>76</v>
      </c>
      <c r="C18" s="22" t="s">
        <v>321</v>
      </c>
      <c r="D18" s="17">
        <v>1</v>
      </c>
      <c r="E18" s="25">
        <v>4000</v>
      </c>
      <c r="F18" s="25">
        <f>Table24562024[[#This Row],[Rate /Trips]]*Table24562024[[#This Row],[Trips]]</f>
        <v>4000</v>
      </c>
      <c r="G18" s="25">
        <v>4000</v>
      </c>
      <c r="H18" s="25">
        <f>Table24562024[[#This Row],[Total Value]]-Table24562024[[#This Row],[Received]]</f>
        <v>0</v>
      </c>
      <c r="I18" s="9" t="str">
        <f t="shared" si="0"/>
        <v>✅ Paid</v>
      </c>
    </row>
    <row r="19" spans="1:9" ht="16" x14ac:dyDescent="0.2">
      <c r="A19" s="24">
        <v>46015</v>
      </c>
      <c r="B19" s="23" t="s">
        <v>76</v>
      </c>
      <c r="C19" s="23" t="s">
        <v>333</v>
      </c>
      <c r="D19" s="17">
        <v>1</v>
      </c>
      <c r="E19" s="25">
        <v>4000</v>
      </c>
      <c r="F19" s="25">
        <f>Table24562024[[#This Row],[Rate /Trips]]*Table24562024[[#This Row],[Trips]]</f>
        <v>4000</v>
      </c>
      <c r="G19" s="25"/>
      <c r="H19" s="25">
        <f>Table24562024[[#This Row],[Total Value]]-Table24562024[[#This Row],[Received]]</f>
        <v>4000</v>
      </c>
      <c r="I19" s="9" t="str">
        <f t="shared" si="0"/>
        <v>ℹ️ Raj Order - ₹4000 pending</v>
      </c>
    </row>
    <row r="20" spans="1:9" ht="16" x14ac:dyDescent="0.2">
      <c r="A20" s="24">
        <v>45993</v>
      </c>
      <c r="B20" s="22" t="s">
        <v>319</v>
      </c>
      <c r="C20" s="22" t="s">
        <v>3</v>
      </c>
      <c r="D20" s="2">
        <v>1</v>
      </c>
      <c r="E20" s="25">
        <v>4000</v>
      </c>
      <c r="F20" s="25">
        <f>Table24562024[[#This Row],[Rate /Trips]]*Table24562024[[#This Row],[Trips]]</f>
        <v>4000</v>
      </c>
      <c r="G20" s="25">
        <v>4000</v>
      </c>
      <c r="H20" s="25">
        <f>Table24562024[[#This Row],[Total Value]]-Table24562024[[#This Row],[Received]]</f>
        <v>0</v>
      </c>
      <c r="I20" s="9" t="str">
        <f t="shared" si="0"/>
        <v>✅ Paid</v>
      </c>
    </row>
    <row r="21" spans="1:9" ht="16" x14ac:dyDescent="0.2">
      <c r="A21" s="24">
        <v>45994</v>
      </c>
      <c r="B21" s="22" t="s">
        <v>319</v>
      </c>
      <c r="C21" s="22" t="s">
        <v>3</v>
      </c>
      <c r="D21" s="2">
        <v>1</v>
      </c>
      <c r="E21" s="25">
        <v>4000</v>
      </c>
      <c r="F21" s="25">
        <f>Table24562024[[#This Row],[Rate /Trips]]*Table24562024[[#This Row],[Trips]]</f>
        <v>4000</v>
      </c>
      <c r="G21" s="25">
        <v>4000</v>
      </c>
      <c r="H21" s="25">
        <f>Table24562024[[#This Row],[Total Value]]-Table24562024[[#This Row],[Received]]</f>
        <v>0</v>
      </c>
      <c r="I21" s="9" t="str">
        <f t="shared" si="0"/>
        <v>✅ Paid</v>
      </c>
    </row>
    <row r="22" spans="1:9" ht="16" x14ac:dyDescent="0.2">
      <c r="A22" s="24">
        <v>46007</v>
      </c>
      <c r="B22" s="22" t="s">
        <v>319</v>
      </c>
      <c r="C22" s="22" t="s">
        <v>3</v>
      </c>
      <c r="D22" s="2">
        <v>1</v>
      </c>
      <c r="E22" s="25">
        <v>4000</v>
      </c>
      <c r="F22" s="25">
        <f>Table24562024[[#This Row],[Rate /Trips]]*Table24562024[[#This Row],[Trips]]</f>
        <v>4000</v>
      </c>
      <c r="G22" s="25">
        <v>4000</v>
      </c>
      <c r="H22" s="25">
        <f>Table24562024[[#This Row],[Total Value]]-Table24562024[[#This Row],[Received]]</f>
        <v>0</v>
      </c>
      <c r="I22" s="9" t="str">
        <f t="shared" si="0"/>
        <v>✅ Paid</v>
      </c>
    </row>
    <row r="23" spans="1:9" ht="16" x14ac:dyDescent="0.2">
      <c r="A23" s="24">
        <v>46014</v>
      </c>
      <c r="B23" s="23" t="s">
        <v>330</v>
      </c>
      <c r="C23" s="23" t="s">
        <v>3</v>
      </c>
      <c r="D23" s="17">
        <v>1</v>
      </c>
      <c r="E23" s="25">
        <v>4000</v>
      </c>
      <c r="F23" s="25">
        <f>Table24562024[[#This Row],[Rate /Trips]]*Table24562024[[#This Row],[Trips]]</f>
        <v>4000</v>
      </c>
      <c r="G23" s="25">
        <v>4000</v>
      </c>
      <c r="H23" s="25">
        <f>Table24562024[[#This Row],[Total Value]]-Table24562024[[#This Row],[Received]]</f>
        <v>0</v>
      </c>
      <c r="I23" s="9" t="str">
        <f t="shared" si="0"/>
        <v>✅ Paid</v>
      </c>
    </row>
    <row r="24" spans="1:9" ht="16" x14ac:dyDescent="0.2">
      <c r="A24" s="24">
        <v>45999</v>
      </c>
      <c r="B24" s="22" t="s">
        <v>322</v>
      </c>
      <c r="C24" s="22" t="s">
        <v>3</v>
      </c>
      <c r="D24" s="2">
        <v>1</v>
      </c>
      <c r="E24" s="25">
        <v>4000</v>
      </c>
      <c r="F24" s="25">
        <f>Table24562024[[#This Row],[Rate /Trips]]*Table24562024[[#This Row],[Trips]]</f>
        <v>4000</v>
      </c>
      <c r="G24" s="25">
        <v>4000</v>
      </c>
      <c r="H24" s="25">
        <f>Table24562024[[#This Row],[Total Value]]-Table24562024[[#This Row],[Received]]</f>
        <v>0</v>
      </c>
      <c r="I24" s="9" t="str">
        <f t="shared" si="0"/>
        <v>✅ Paid</v>
      </c>
    </row>
    <row r="25" spans="1:9" ht="16" x14ac:dyDescent="0.2">
      <c r="A25" s="24">
        <v>46003</v>
      </c>
      <c r="B25" s="23" t="s">
        <v>326</v>
      </c>
      <c r="C25" s="23" t="s">
        <v>3</v>
      </c>
      <c r="D25" s="17">
        <v>1</v>
      </c>
      <c r="E25" s="25">
        <v>4000</v>
      </c>
      <c r="F25" s="25">
        <f>Table24562024[[#This Row],[Rate /Trips]]*Table24562024[[#This Row],[Trips]]</f>
        <v>4000</v>
      </c>
      <c r="G25" s="25">
        <v>4000</v>
      </c>
      <c r="H25" s="25">
        <f>Table24562024[[#This Row],[Total Value]]-Table24562024[[#This Row],[Received]]</f>
        <v>0</v>
      </c>
      <c r="I25" s="9" t="str">
        <f t="shared" si="0"/>
        <v>✅ Paid</v>
      </c>
    </row>
    <row r="26" spans="1:9" ht="16" x14ac:dyDescent="0.2">
      <c r="A26" s="24">
        <v>46015</v>
      </c>
      <c r="B26" s="23" t="s">
        <v>331</v>
      </c>
      <c r="C26" s="23" t="s">
        <v>332</v>
      </c>
      <c r="D26" s="17">
        <v>1</v>
      </c>
      <c r="E26" s="25">
        <v>4000</v>
      </c>
      <c r="F26" s="25">
        <f>Table24562024[[#This Row],[Rate /Trips]]*Table24562024[[#This Row],[Trips]]</f>
        <v>4000</v>
      </c>
      <c r="G26" s="25">
        <v>4000</v>
      </c>
      <c r="H26" s="25">
        <f>Table24562024[[#This Row],[Total Value]]-Table24562024[[#This Row],[Received]]</f>
        <v>0</v>
      </c>
      <c r="I26" s="9" t="str">
        <f t="shared" si="0"/>
        <v>✅ Paid</v>
      </c>
    </row>
    <row r="27" spans="1:9" ht="16" x14ac:dyDescent="0.2">
      <c r="A27" s="3"/>
      <c r="B27" s="2"/>
      <c r="C27" s="2"/>
      <c r="D27" s="2"/>
      <c r="E27" s="16"/>
      <c r="F27" s="16"/>
      <c r="G27" s="16"/>
      <c r="H27" s="16"/>
      <c r="I27" s="9"/>
    </row>
    <row r="28" spans="1:9" ht="16" x14ac:dyDescent="0.2">
      <c r="A28" s="24"/>
      <c r="B28" s="22"/>
      <c r="C28" s="22"/>
      <c r="D28" s="2"/>
      <c r="E28" s="25"/>
      <c r="F28" s="25"/>
      <c r="G28" s="25"/>
      <c r="H28" s="25"/>
      <c r="I28" s="9"/>
    </row>
    <row r="29" spans="1:9" ht="16" x14ac:dyDescent="0.2">
      <c r="A29" s="24"/>
      <c r="B29" s="22"/>
      <c r="C29" s="22"/>
      <c r="D29" s="2"/>
      <c r="E29" s="25"/>
      <c r="F29" s="25"/>
      <c r="G29" s="25"/>
      <c r="H29" s="25"/>
      <c r="I29" s="9"/>
    </row>
    <row r="30" spans="1:9" ht="16" x14ac:dyDescent="0.2">
      <c r="A30" s="24"/>
      <c r="B30" s="22"/>
      <c r="C30" s="22"/>
      <c r="D30" s="2"/>
      <c r="E30" s="25"/>
      <c r="F30" s="25"/>
      <c r="G30" s="25"/>
      <c r="H30" s="25"/>
      <c r="I30" s="9"/>
    </row>
    <row r="31" spans="1:9" ht="16" x14ac:dyDescent="0.2">
      <c r="A31" s="24"/>
      <c r="B31" s="22"/>
      <c r="C31" s="22"/>
      <c r="D31" s="2"/>
      <c r="E31" s="25"/>
      <c r="F31" s="25"/>
      <c r="G31" s="25"/>
      <c r="H31" s="25"/>
      <c r="I31" s="9"/>
    </row>
    <row r="32" spans="1:9" ht="16" x14ac:dyDescent="0.2">
      <c r="A32" s="24"/>
      <c r="B32" s="22"/>
      <c r="C32" s="22"/>
      <c r="D32" s="2"/>
      <c r="E32" s="25"/>
      <c r="F32" s="25"/>
      <c r="G32" s="25"/>
      <c r="H32" s="25"/>
      <c r="I32" s="9"/>
    </row>
    <row r="33" spans="1:9" ht="16" x14ac:dyDescent="0.2">
      <c r="A33" s="24"/>
      <c r="B33" s="23"/>
      <c r="C33" s="23"/>
      <c r="D33" s="17"/>
      <c r="E33" s="25"/>
      <c r="F33" s="25"/>
      <c r="G33" s="25"/>
      <c r="H33" s="25"/>
      <c r="I33" s="9"/>
    </row>
    <row r="34" spans="1:9" ht="16" x14ac:dyDescent="0.2">
      <c r="A34" s="24"/>
      <c r="B34" s="23"/>
      <c r="C34" s="23"/>
      <c r="D34" s="17"/>
      <c r="E34" s="25"/>
      <c r="F34" s="25"/>
      <c r="G34" s="25"/>
      <c r="H34" s="25"/>
      <c r="I34" s="9"/>
    </row>
    <row r="35" spans="1:9" ht="16" x14ac:dyDescent="0.2">
      <c r="A35" s="24"/>
      <c r="B35" s="23"/>
      <c r="C35" s="23"/>
      <c r="D35" s="17"/>
      <c r="E35" s="25"/>
      <c r="F35" s="25"/>
      <c r="G35" s="25"/>
      <c r="H35" s="25"/>
      <c r="I35" s="9"/>
    </row>
    <row r="36" spans="1:9" ht="16" x14ac:dyDescent="0.2">
      <c r="A36" s="24"/>
      <c r="B36" s="23"/>
      <c r="C36" s="23"/>
      <c r="D36" s="17"/>
      <c r="E36" s="25"/>
      <c r="F36" s="25"/>
      <c r="G36" s="25"/>
      <c r="H36" s="25"/>
      <c r="I36" s="9"/>
    </row>
    <row r="37" spans="1:9" ht="16" x14ac:dyDescent="0.2">
      <c r="A37" s="24"/>
      <c r="B37" s="23"/>
      <c r="C37" s="23"/>
      <c r="D37" s="17"/>
      <c r="E37" s="25"/>
      <c r="F37" s="25"/>
      <c r="G37" s="25"/>
      <c r="H37" s="25"/>
      <c r="I37" s="9"/>
    </row>
    <row r="38" spans="1:9" ht="16" x14ac:dyDescent="0.2">
      <c r="A38" s="24"/>
      <c r="B38" s="23"/>
      <c r="C38" s="23"/>
      <c r="D38" s="17"/>
      <c r="E38" s="25"/>
      <c r="F38" s="25"/>
      <c r="G38" s="25"/>
      <c r="H38" s="25"/>
      <c r="I38" s="9"/>
    </row>
    <row r="39" spans="1:9" ht="16" x14ac:dyDescent="0.2">
      <c r="A39" s="24"/>
      <c r="B39" s="23"/>
      <c r="C39" s="23"/>
      <c r="D39" s="17"/>
      <c r="E39" s="25"/>
      <c r="F39" s="25"/>
      <c r="G39" s="25"/>
      <c r="H39" s="25"/>
      <c r="I39" s="9"/>
    </row>
    <row r="40" spans="1:9" ht="16" x14ac:dyDescent="0.2">
      <c r="A40" s="24"/>
      <c r="B40" s="23"/>
      <c r="C40" s="23"/>
      <c r="D40" s="17"/>
      <c r="E40" s="25"/>
      <c r="F40" s="25"/>
      <c r="G40" s="25"/>
      <c r="H40" s="25">
        <f>Table24562024[[#This Row],[Total Value]]-Table24562024[[#This Row],[Received]]</f>
        <v>0</v>
      </c>
      <c r="I40" s="9"/>
    </row>
    <row r="41" spans="1:9" ht="16" x14ac:dyDescent="0.2">
      <c r="A41" s="24"/>
      <c r="B41" s="23"/>
      <c r="C41" s="23"/>
      <c r="D41" s="17"/>
      <c r="E41" s="25"/>
      <c r="F41" s="25"/>
      <c r="G41" s="25"/>
      <c r="H41" s="25"/>
      <c r="I41" s="9"/>
    </row>
    <row r="42" spans="1:9" ht="16" x14ac:dyDescent="0.2">
      <c r="A42" s="24"/>
      <c r="B42" s="33"/>
      <c r="C42" s="33"/>
      <c r="D42" s="17"/>
      <c r="E42" s="25"/>
      <c r="F42" s="25"/>
      <c r="G42" s="25"/>
      <c r="H42" s="25"/>
      <c r="I42" s="9"/>
    </row>
    <row r="43" spans="1:9" ht="16" x14ac:dyDescent="0.2">
      <c r="A43" s="35"/>
      <c r="B43" s="36"/>
      <c r="C43" s="36"/>
      <c r="D43" s="38"/>
      <c r="E43" s="37"/>
      <c r="F43" s="37"/>
      <c r="G43" s="37"/>
      <c r="H43" s="37"/>
      <c r="I43" s="4"/>
    </row>
    <row r="44" spans="1:9" ht="24" x14ac:dyDescent="0.2">
      <c r="D44" s="19" t="s">
        <v>7</v>
      </c>
      <c r="E44" s="18"/>
      <c r="F44" s="19" t="s">
        <v>50</v>
      </c>
      <c r="G44" s="19" t="s">
        <v>49</v>
      </c>
      <c r="H44" s="19" t="s">
        <v>48</v>
      </c>
    </row>
    <row r="45" spans="1:9" ht="24" x14ac:dyDescent="0.2">
      <c r="D45" s="19">
        <f>SUM(D4:D42)</f>
        <v>25</v>
      </c>
      <c r="E45" s="18"/>
      <c r="F45" s="20">
        <f>SUM(F4:F42)</f>
        <v>99700</v>
      </c>
      <c r="G45" s="20">
        <f>SUM(G4:G42)</f>
        <v>70700</v>
      </c>
      <c r="H45" s="20">
        <f>SUM(H4:H42)</f>
        <v>29000</v>
      </c>
    </row>
    <row r="51" spans="1:9" ht="29" x14ac:dyDescent="0.2">
      <c r="A51" s="42" t="s">
        <v>70</v>
      </c>
      <c r="B51" s="42"/>
      <c r="C51" s="42"/>
      <c r="D51" s="42"/>
      <c r="E51" s="4"/>
      <c r="F51" s="4"/>
      <c r="G51" s="4"/>
      <c r="H51" s="4"/>
      <c r="I51" s="4"/>
    </row>
    <row r="52" spans="1:9" ht="16" x14ac:dyDescent="0.2">
      <c r="A52" s="43" t="s">
        <v>259</v>
      </c>
      <c r="B52" s="43"/>
      <c r="C52" s="43"/>
      <c r="D52" s="43"/>
      <c r="E52" s="4"/>
      <c r="F52" s="4"/>
      <c r="I52" s="4"/>
    </row>
    <row r="53" spans="1:9" ht="16" x14ac:dyDescent="0.2">
      <c r="A53" s="15" t="s">
        <v>0</v>
      </c>
      <c r="B53" s="14" t="s">
        <v>69</v>
      </c>
      <c r="C53" s="14" t="s">
        <v>68</v>
      </c>
      <c r="D53" s="14" t="s">
        <v>1</v>
      </c>
    </row>
    <row r="54" spans="1:9" x14ac:dyDescent="0.2">
      <c r="A54" s="3"/>
      <c r="B54" s="22"/>
      <c r="C54" s="22"/>
      <c r="D54" s="2"/>
    </row>
    <row r="55" spans="1:9" x14ac:dyDescent="0.2">
      <c r="A55" s="24">
        <v>45992</v>
      </c>
      <c r="B55" s="23" t="s">
        <v>269</v>
      </c>
      <c r="C55" s="23" t="s">
        <v>270</v>
      </c>
      <c r="D55" s="17">
        <v>11</v>
      </c>
    </row>
    <row r="56" spans="1:9" x14ac:dyDescent="0.2">
      <c r="A56" s="24">
        <v>45992</v>
      </c>
      <c r="B56" s="23" t="s">
        <v>183</v>
      </c>
      <c r="C56" s="23" t="s">
        <v>184</v>
      </c>
      <c r="D56" s="17">
        <v>5</v>
      </c>
    </row>
    <row r="57" spans="1:9" x14ac:dyDescent="0.2">
      <c r="A57" s="24">
        <v>45993</v>
      </c>
      <c r="B57" s="23" t="s">
        <v>269</v>
      </c>
      <c r="C57" s="23" t="s">
        <v>270</v>
      </c>
      <c r="D57" s="17">
        <v>17</v>
      </c>
    </row>
    <row r="58" spans="1:9" x14ac:dyDescent="0.2">
      <c r="A58" s="24">
        <v>45994</v>
      </c>
      <c r="B58" s="23" t="s">
        <v>269</v>
      </c>
      <c r="C58" s="23" t="s">
        <v>270</v>
      </c>
      <c r="D58" s="17">
        <v>21</v>
      </c>
    </row>
    <row r="59" spans="1:9" x14ac:dyDescent="0.2">
      <c r="A59" s="24">
        <v>45995</v>
      </c>
      <c r="B59" s="23" t="s">
        <v>269</v>
      </c>
      <c r="C59" s="23" t="s">
        <v>270</v>
      </c>
      <c r="D59" s="17">
        <v>20</v>
      </c>
    </row>
    <row r="60" spans="1:9" x14ac:dyDescent="0.2">
      <c r="A60" s="24">
        <v>45996</v>
      </c>
      <c r="B60" s="23" t="s">
        <v>269</v>
      </c>
      <c r="C60" s="23" t="s">
        <v>270</v>
      </c>
      <c r="D60" s="17">
        <v>17</v>
      </c>
    </row>
    <row r="61" spans="1:9" x14ac:dyDescent="0.2">
      <c r="A61" s="24">
        <v>45997</v>
      </c>
      <c r="B61" s="23" t="s">
        <v>269</v>
      </c>
      <c r="C61" s="23" t="s">
        <v>270</v>
      </c>
      <c r="D61" s="17">
        <v>18</v>
      </c>
    </row>
    <row r="62" spans="1:9" x14ac:dyDescent="0.2">
      <c r="A62" s="24">
        <v>45998</v>
      </c>
      <c r="B62" s="23" t="s">
        <v>269</v>
      </c>
      <c r="C62" s="23" t="s">
        <v>270</v>
      </c>
      <c r="D62" s="17">
        <v>15</v>
      </c>
    </row>
    <row r="63" spans="1:9" x14ac:dyDescent="0.2">
      <c r="A63" s="24">
        <v>45999</v>
      </c>
      <c r="B63" s="23" t="s">
        <v>269</v>
      </c>
      <c r="C63" s="23" t="s">
        <v>270</v>
      </c>
      <c r="D63" s="17">
        <v>13</v>
      </c>
    </row>
    <row r="64" spans="1:9" x14ac:dyDescent="0.2">
      <c r="A64" s="24">
        <v>46000</v>
      </c>
      <c r="B64" s="23" t="s">
        <v>269</v>
      </c>
      <c r="C64" s="23" t="s">
        <v>270</v>
      </c>
      <c r="D64" s="17">
        <v>17</v>
      </c>
    </row>
    <row r="65" spans="1:4" x14ac:dyDescent="0.2">
      <c r="A65" s="24">
        <v>46001</v>
      </c>
      <c r="B65" s="23" t="s">
        <v>269</v>
      </c>
      <c r="C65" s="23" t="s">
        <v>270</v>
      </c>
      <c r="D65" s="17">
        <v>28</v>
      </c>
    </row>
    <row r="66" spans="1:4" x14ac:dyDescent="0.2">
      <c r="A66" s="24">
        <v>46002</v>
      </c>
      <c r="B66" s="23" t="s">
        <v>269</v>
      </c>
      <c r="C66" s="23" t="s">
        <v>270</v>
      </c>
      <c r="D66" s="17">
        <v>23</v>
      </c>
    </row>
    <row r="67" spans="1:4" x14ac:dyDescent="0.2">
      <c r="A67" s="24">
        <v>46003</v>
      </c>
      <c r="B67" s="23" t="s">
        <v>269</v>
      </c>
      <c r="C67" s="23" t="s">
        <v>270</v>
      </c>
      <c r="D67" s="17">
        <v>28</v>
      </c>
    </row>
    <row r="68" spans="1:4" x14ac:dyDescent="0.2">
      <c r="A68" s="24">
        <v>46003</v>
      </c>
      <c r="B68" s="23" t="s">
        <v>269</v>
      </c>
      <c r="C68" s="23" t="s">
        <v>327</v>
      </c>
      <c r="D68" s="17">
        <v>2</v>
      </c>
    </row>
    <row r="69" spans="1:4" x14ac:dyDescent="0.2">
      <c r="A69" s="24">
        <v>46004</v>
      </c>
      <c r="B69" s="23" t="s">
        <v>269</v>
      </c>
      <c r="C69" s="23" t="s">
        <v>270</v>
      </c>
      <c r="D69" s="17">
        <v>30</v>
      </c>
    </row>
    <row r="70" spans="1:4" x14ac:dyDescent="0.2">
      <c r="A70" s="24">
        <v>46005</v>
      </c>
      <c r="B70" s="23" t="s">
        <v>269</v>
      </c>
      <c r="C70" s="23" t="s">
        <v>270</v>
      </c>
      <c r="D70" s="17">
        <v>25</v>
      </c>
    </row>
    <row r="71" spans="1:4" x14ac:dyDescent="0.2">
      <c r="A71" s="24">
        <v>46005</v>
      </c>
      <c r="B71" s="23" t="s">
        <v>328</v>
      </c>
      <c r="C71" s="23" t="s">
        <v>329</v>
      </c>
      <c r="D71" s="17">
        <v>1</v>
      </c>
    </row>
    <row r="72" spans="1:4" x14ac:dyDescent="0.2">
      <c r="A72" s="24">
        <v>46006</v>
      </c>
      <c r="B72" s="23" t="s">
        <v>269</v>
      </c>
      <c r="C72" s="23" t="s">
        <v>270</v>
      </c>
      <c r="D72" s="17">
        <v>28</v>
      </c>
    </row>
    <row r="73" spans="1:4" x14ac:dyDescent="0.2">
      <c r="A73" s="24">
        <v>46007</v>
      </c>
      <c r="B73" s="23" t="s">
        <v>269</v>
      </c>
      <c r="C73" s="23" t="s">
        <v>270</v>
      </c>
      <c r="D73" s="17">
        <v>16</v>
      </c>
    </row>
    <row r="74" spans="1:4" x14ac:dyDescent="0.2">
      <c r="A74" s="24">
        <v>46008</v>
      </c>
      <c r="B74" s="23" t="s">
        <v>282</v>
      </c>
      <c r="C74" s="23" t="s">
        <v>243</v>
      </c>
      <c r="D74" s="17">
        <v>7</v>
      </c>
    </row>
    <row r="75" spans="1:4" x14ac:dyDescent="0.2">
      <c r="A75" s="24">
        <v>46009</v>
      </c>
      <c r="B75" s="23" t="s">
        <v>269</v>
      </c>
      <c r="C75" s="23" t="s">
        <v>270</v>
      </c>
      <c r="D75" s="17">
        <v>22</v>
      </c>
    </row>
    <row r="76" spans="1:4" x14ac:dyDescent="0.2">
      <c r="A76" s="24">
        <v>46010</v>
      </c>
      <c r="B76" s="23" t="s">
        <v>269</v>
      </c>
      <c r="C76" s="23" t="s">
        <v>270</v>
      </c>
      <c r="D76" s="17">
        <v>24</v>
      </c>
    </row>
    <row r="77" spans="1:4" x14ac:dyDescent="0.2">
      <c r="A77" s="24">
        <v>46010</v>
      </c>
      <c r="B77" s="23" t="s">
        <v>328</v>
      </c>
      <c r="C77" s="23" t="s">
        <v>329</v>
      </c>
      <c r="D77" s="17">
        <v>1</v>
      </c>
    </row>
    <row r="78" spans="1:4" x14ac:dyDescent="0.2">
      <c r="A78" s="24">
        <v>46011</v>
      </c>
      <c r="B78" s="23" t="s">
        <v>269</v>
      </c>
      <c r="C78" s="23" t="s">
        <v>270</v>
      </c>
      <c r="D78" s="17">
        <v>21</v>
      </c>
    </row>
    <row r="79" spans="1:4" x14ac:dyDescent="0.2">
      <c r="A79" s="24">
        <v>46012</v>
      </c>
      <c r="B79" s="23" t="s">
        <v>269</v>
      </c>
      <c r="C79" s="23" t="s">
        <v>270</v>
      </c>
      <c r="D79" s="17">
        <v>23</v>
      </c>
    </row>
    <row r="80" spans="1:4" x14ac:dyDescent="0.2">
      <c r="A80" s="24">
        <v>46013</v>
      </c>
      <c r="B80" s="23" t="s">
        <v>269</v>
      </c>
      <c r="C80" s="23" t="s">
        <v>270</v>
      </c>
      <c r="D80" s="17">
        <v>26</v>
      </c>
    </row>
    <row r="81" spans="1:4" x14ac:dyDescent="0.2">
      <c r="A81" s="24">
        <v>46014</v>
      </c>
      <c r="B81" s="23" t="s">
        <v>269</v>
      </c>
      <c r="C81" s="23" t="s">
        <v>270</v>
      </c>
      <c r="D81" s="17">
        <v>25</v>
      </c>
    </row>
    <row r="82" spans="1:4" x14ac:dyDescent="0.2">
      <c r="A82" s="24">
        <v>46015</v>
      </c>
      <c r="B82" s="23" t="s">
        <v>269</v>
      </c>
      <c r="C82" s="23" t="s">
        <v>270</v>
      </c>
      <c r="D82" s="17">
        <v>26</v>
      </c>
    </row>
    <row r="83" spans="1:4" x14ac:dyDescent="0.2">
      <c r="A83" s="24">
        <v>46016</v>
      </c>
      <c r="B83" s="23" t="s">
        <v>269</v>
      </c>
      <c r="C83" s="23" t="s">
        <v>270</v>
      </c>
      <c r="D83" s="17">
        <v>25</v>
      </c>
    </row>
    <row r="84" spans="1:4" x14ac:dyDescent="0.2">
      <c r="A84" s="24">
        <v>46017</v>
      </c>
      <c r="B84" s="23" t="s">
        <v>269</v>
      </c>
      <c r="C84" s="23" t="s">
        <v>270</v>
      </c>
      <c r="D84" s="17">
        <v>14</v>
      </c>
    </row>
    <row r="85" spans="1:4" x14ac:dyDescent="0.2">
      <c r="A85" s="24">
        <v>46018</v>
      </c>
      <c r="B85" s="23" t="s">
        <v>269</v>
      </c>
      <c r="C85" s="23" t="s">
        <v>270</v>
      </c>
      <c r="D85" s="17">
        <v>23</v>
      </c>
    </row>
    <row r="86" spans="1:4" x14ac:dyDescent="0.2">
      <c r="A86" s="24">
        <v>46018</v>
      </c>
      <c r="B86" s="23" t="s">
        <v>328</v>
      </c>
      <c r="C86" s="23" t="s">
        <v>329</v>
      </c>
      <c r="D86" s="17">
        <v>1</v>
      </c>
    </row>
    <row r="87" spans="1:4" x14ac:dyDescent="0.2">
      <c r="A87" s="24">
        <v>46019</v>
      </c>
      <c r="B87" s="23" t="s">
        <v>269</v>
      </c>
      <c r="C87" s="23" t="s">
        <v>270</v>
      </c>
      <c r="D87" s="17">
        <v>22</v>
      </c>
    </row>
    <row r="88" spans="1:4" x14ac:dyDescent="0.2">
      <c r="A88" s="24">
        <v>46020</v>
      </c>
      <c r="B88" s="23" t="s">
        <v>269</v>
      </c>
      <c r="C88" s="23" t="s">
        <v>270</v>
      </c>
      <c r="D88" s="17">
        <v>18</v>
      </c>
    </row>
    <row r="89" spans="1:4" x14ac:dyDescent="0.2">
      <c r="A89" s="24">
        <v>46021</v>
      </c>
      <c r="B89" s="23" t="s">
        <v>269</v>
      </c>
      <c r="C89" s="23" t="s">
        <v>270</v>
      </c>
      <c r="D89" s="17">
        <v>24</v>
      </c>
    </row>
    <row r="90" spans="1:4" x14ac:dyDescent="0.2">
      <c r="A90" s="24">
        <v>46022</v>
      </c>
      <c r="B90" s="23" t="s">
        <v>269</v>
      </c>
      <c r="C90" s="23" t="s">
        <v>270</v>
      </c>
      <c r="D90" s="17">
        <v>16</v>
      </c>
    </row>
    <row r="91" spans="1:4" ht="24" x14ac:dyDescent="0.2">
      <c r="D91" s="21" t="s">
        <v>7</v>
      </c>
    </row>
    <row r="92" spans="1:4" ht="24" x14ac:dyDescent="0.2">
      <c r="D92" s="19">
        <f>SUM(D54:D90)</f>
        <v>653</v>
      </c>
    </row>
  </sheetData>
  <mergeCells count="4">
    <mergeCell ref="A1:I1"/>
    <mergeCell ref="A2:I2"/>
    <mergeCell ref="A51:D51"/>
    <mergeCell ref="A52:D52"/>
  </mergeCells>
  <conditionalFormatting sqref="I4:I43">
    <cfRule type="containsText" dxfId="3" priority="1" operator="containsText" text="✅">
      <formula>NOT(ISERROR(SEARCH("✅",I4)))</formula>
    </cfRule>
    <cfRule type="containsText" dxfId="2" priority="2" operator="containsText" text="ℹ️">
      <formula>NOT(ISERROR(SEARCH("ℹ️",I4)))</formula>
    </cfRule>
    <cfRule type="containsText" dxfId="1" priority="3" operator="containsText" text="⚠️">
      <formula>NOT(ISERROR(SEARCH("⚠️",I4)))</formula>
    </cfRule>
    <cfRule type="containsText" dxfId="0" priority="4" operator="containsText" text="🚨">
      <formula>NOT(ISERROR(SEARCH("🚨",I4)))</formula>
    </cfRule>
  </conditionalFormatting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 Pc</dc:creator>
  <cp:lastModifiedBy>Sahil Waghmare</cp:lastModifiedBy>
  <cp:lastPrinted>2025-12-22T14:52:48Z</cp:lastPrinted>
  <dcterms:created xsi:type="dcterms:W3CDTF">2015-06-05T18:17:20Z</dcterms:created>
  <dcterms:modified xsi:type="dcterms:W3CDTF">2026-08-15T10:34:30Z</dcterms:modified>
</cp:coreProperties>
</file>