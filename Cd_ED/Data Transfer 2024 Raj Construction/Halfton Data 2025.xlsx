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hilwaghmare/Desktop/Data Transfer 2024 Raj Construction/"/>
    </mc:Choice>
  </mc:AlternateContent>
  <xr:revisionPtr revIDLastSave="0" documentId="13_ncr:1_{C67592CC-BA8A-2E4F-B13D-EAA7F186262A}" xr6:coauthVersionLast="47" xr6:coauthVersionMax="47" xr10:uidLastSave="{00000000-0000-0000-0000-000000000000}"/>
  <bookViews>
    <workbookView xWindow="0" yWindow="780" windowWidth="38400" windowHeight="2100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5" r:id="rId4"/>
    <sheet name="May" sheetId="6" r:id="rId5"/>
    <sheet name="June" sheetId="7" r:id="rId6"/>
    <sheet name="July" sheetId="8" r:id="rId7"/>
    <sheet name="August" sheetId="9" r:id="rId8"/>
    <sheet name="September" sheetId="10" r:id="rId9"/>
    <sheet name="October" sheetId="11" r:id="rId10"/>
    <sheet name="November" sheetId="12" r:id="rId11"/>
    <sheet name="December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5" l="1"/>
  <c r="J28" i="5" s="1"/>
  <c r="G28" i="5"/>
  <c r="G30" i="6"/>
  <c r="I30" i="6" s="1"/>
  <c r="J30" i="6" s="1"/>
  <c r="G29" i="6"/>
  <c r="I29" i="6" s="1"/>
  <c r="J29" i="6" s="1"/>
  <c r="G27" i="6"/>
  <c r="I27" i="6" s="1"/>
  <c r="J27" i="6" s="1"/>
  <c r="G26" i="6"/>
  <c r="I26" i="6" s="1"/>
  <c r="J26" i="6" s="1"/>
  <c r="G17" i="7"/>
  <c r="I17" i="7" s="1"/>
  <c r="J17" i="7" s="1"/>
  <c r="G31" i="9"/>
  <c r="I31" i="9" s="1"/>
  <c r="J31" i="9" s="1"/>
  <c r="G30" i="9"/>
  <c r="I30" i="9" s="1"/>
  <c r="J30" i="9" s="1"/>
  <c r="G9" i="13"/>
  <c r="I9" i="13" s="1"/>
  <c r="J9" i="13" s="1"/>
  <c r="G6" i="13"/>
  <c r="I6" i="13" s="1"/>
  <c r="J6" i="13" s="1"/>
  <c r="G7" i="13"/>
  <c r="I7" i="13" s="1"/>
  <c r="J7" i="13" s="1"/>
  <c r="G8" i="13"/>
  <c r="I8" i="13" s="1"/>
  <c r="J8" i="13" s="1"/>
  <c r="G5" i="13" l="1"/>
  <c r="I5" i="13" s="1"/>
  <c r="J5" i="13" s="1"/>
  <c r="G4" i="13"/>
  <c r="I4" i="13" s="1"/>
  <c r="J4" i="13" s="1"/>
  <c r="G11" i="13"/>
  <c r="I11" i="13" s="1"/>
  <c r="G5" i="12"/>
  <c r="I5" i="12" s="1"/>
  <c r="G4" i="12"/>
  <c r="I4" i="12" s="1"/>
  <c r="J4" i="12" s="1"/>
  <c r="G6" i="12"/>
  <c r="I6" i="12" s="1"/>
  <c r="J6" i="12" s="1"/>
  <c r="G7" i="12"/>
  <c r="I7" i="12" s="1"/>
  <c r="J7" i="12" s="1"/>
  <c r="G8" i="12"/>
  <c r="I8" i="12" s="1"/>
  <c r="J8" i="12" s="1"/>
  <c r="G9" i="12"/>
  <c r="I9" i="12" s="1"/>
  <c r="J9" i="12" s="1"/>
  <c r="G10" i="12"/>
  <c r="I10" i="12" s="1"/>
  <c r="J10" i="12" s="1"/>
  <c r="G11" i="12"/>
  <c r="I11" i="12" s="1"/>
  <c r="J11" i="12" s="1"/>
  <c r="G12" i="12"/>
  <c r="I12" i="12" s="1"/>
  <c r="J12" i="12" s="1"/>
  <c r="G13" i="12"/>
  <c r="I13" i="12" s="1"/>
  <c r="J13" i="12" s="1"/>
  <c r="G8" i="11"/>
  <c r="I8" i="11" s="1"/>
  <c r="J8" i="11" s="1"/>
  <c r="G7" i="11" l="1"/>
  <c r="I7" i="11" s="1"/>
  <c r="J7" i="11" s="1"/>
  <c r="G4" i="11"/>
  <c r="I4" i="11" s="1"/>
  <c r="J4" i="11" s="1"/>
  <c r="G5" i="11"/>
  <c r="I5" i="11" s="1"/>
  <c r="J5" i="11" s="1"/>
  <c r="G6" i="11"/>
  <c r="I6" i="11" s="1"/>
  <c r="J6" i="11" s="1"/>
  <c r="G9" i="11"/>
  <c r="I9" i="11" s="1"/>
  <c r="J9" i="11" s="1"/>
  <c r="G10" i="11"/>
  <c r="I10" i="11" s="1"/>
  <c r="J10" i="11" s="1"/>
  <c r="G11" i="11"/>
  <c r="I11" i="11" s="1"/>
  <c r="J11" i="11" s="1"/>
  <c r="G18" i="10"/>
  <c r="I18" i="10" s="1"/>
  <c r="J18" i="10" s="1"/>
  <c r="J9" i="3"/>
  <c r="I6" i="7"/>
  <c r="I7" i="7"/>
  <c r="I8" i="7"/>
  <c r="I9" i="7"/>
  <c r="I5" i="7"/>
  <c r="G6" i="7"/>
  <c r="G7" i="7"/>
  <c r="G8" i="7"/>
  <c r="G9" i="7"/>
  <c r="G5" i="7"/>
  <c r="I5" i="6" l="1"/>
  <c r="J5" i="6" s="1"/>
  <c r="I6" i="6"/>
  <c r="J6" i="6" s="1"/>
  <c r="I7" i="6"/>
  <c r="J7" i="6" s="1"/>
  <c r="I8" i="6"/>
  <c r="I9" i="6"/>
  <c r="J9" i="6" s="1"/>
  <c r="I10" i="6"/>
  <c r="J10" i="6" s="1"/>
  <c r="G5" i="6"/>
  <c r="G6" i="6"/>
  <c r="G7" i="6"/>
  <c r="G8" i="6"/>
  <c r="G9" i="6"/>
  <c r="G10" i="6"/>
  <c r="G4" i="6"/>
  <c r="I4" i="6" s="1"/>
  <c r="H19" i="6"/>
  <c r="E19" i="6"/>
  <c r="J8" i="6"/>
  <c r="J12" i="5"/>
  <c r="I7" i="5"/>
  <c r="J7" i="5" s="1"/>
  <c r="I9" i="5"/>
  <c r="J9" i="5" s="1"/>
  <c r="I10" i="5"/>
  <c r="J10" i="5" s="1"/>
  <c r="I11" i="5"/>
  <c r="J11" i="5" s="1"/>
  <c r="I13" i="5"/>
  <c r="J13" i="5" s="1"/>
  <c r="G8" i="5"/>
  <c r="I8" i="5" s="1"/>
  <c r="J8" i="5" s="1"/>
  <c r="G9" i="5"/>
  <c r="G10" i="5"/>
  <c r="G11" i="5"/>
  <c r="G13" i="5"/>
  <c r="G7" i="5"/>
  <c r="G6" i="5"/>
  <c r="I6" i="5" s="1"/>
  <c r="J6" i="5" s="1"/>
  <c r="G5" i="5"/>
  <c r="I5" i="5" s="1"/>
  <c r="J5" i="5" s="1"/>
  <c r="G4" i="5"/>
  <c r="I4" i="5" s="1"/>
  <c r="H22" i="5"/>
  <c r="E22" i="5"/>
  <c r="G19" i="6" l="1"/>
  <c r="I22" i="5"/>
  <c r="J4" i="5"/>
  <c r="G22" i="5"/>
  <c r="J24" i="3"/>
  <c r="G12" i="3"/>
  <c r="I12" i="3" s="1"/>
  <c r="J12" i="3" s="1"/>
  <c r="G13" i="3"/>
  <c r="I13" i="3" s="1"/>
  <c r="J13" i="3" s="1"/>
  <c r="G14" i="3"/>
  <c r="I14" i="3" s="1"/>
  <c r="J14" i="3" s="1"/>
  <c r="G15" i="3"/>
  <c r="I15" i="3" s="1"/>
  <c r="G11" i="3"/>
  <c r="I11" i="3" s="1"/>
  <c r="J11" i="3" s="1"/>
  <c r="G4" i="3"/>
  <c r="I4" i="3" s="1"/>
  <c r="G10" i="3"/>
  <c r="I10" i="3" s="1"/>
  <c r="J10" i="3" s="1"/>
  <c r="G8" i="3"/>
  <c r="I8" i="3" s="1"/>
  <c r="J8" i="3" s="1"/>
  <c r="G7" i="3"/>
  <c r="I7" i="3" s="1"/>
  <c r="J7" i="3" s="1"/>
  <c r="G6" i="3"/>
  <c r="I6" i="3" s="1"/>
  <c r="J6" i="3" s="1"/>
  <c r="G5" i="3"/>
  <c r="I5" i="3" s="1"/>
  <c r="H26" i="3"/>
  <c r="E26" i="3"/>
  <c r="G6" i="2"/>
  <c r="I6" i="2" s="1"/>
  <c r="J6" i="2" s="1"/>
  <c r="I5" i="2"/>
  <c r="G4" i="2"/>
  <c r="I4" i="2" s="1"/>
  <c r="H11" i="2"/>
  <c r="E11" i="2"/>
  <c r="G11" i="2"/>
  <c r="G4" i="1"/>
  <c r="I19" i="6" l="1"/>
  <c r="J4" i="6"/>
  <c r="G26" i="3"/>
  <c r="J4" i="2"/>
  <c r="G5" i="1"/>
  <c r="I5" i="1" s="1"/>
  <c r="J5" i="1" s="1"/>
  <c r="J5" i="7"/>
  <c r="G14" i="1"/>
  <c r="I14" i="1" s="1"/>
  <c r="J14" i="1" s="1"/>
  <c r="G16" i="1"/>
  <c r="I16" i="1" s="1"/>
  <c r="J16" i="1" s="1"/>
  <c r="G15" i="1"/>
  <c r="I15" i="1" s="1"/>
  <c r="J15" i="1" s="1"/>
  <c r="G13" i="1"/>
  <c r="I13" i="1" s="1"/>
  <c r="J13" i="1" s="1"/>
  <c r="G12" i="1"/>
  <c r="I12" i="1" s="1"/>
  <c r="J12" i="1" s="1"/>
  <c r="G11" i="1"/>
  <c r="I11" i="1" s="1"/>
  <c r="J11" i="1" s="1"/>
  <c r="G10" i="1"/>
  <c r="I10" i="1" s="1"/>
  <c r="J10" i="1" s="1"/>
  <c r="G9" i="1"/>
  <c r="I9" i="1" s="1"/>
  <c r="J9" i="1" s="1"/>
  <c r="G8" i="1"/>
  <c r="I8" i="1" s="1"/>
  <c r="J8" i="1" s="1"/>
  <c r="G7" i="1"/>
  <c r="I7" i="1" s="1"/>
  <c r="J7" i="1" s="1"/>
  <c r="G6" i="1"/>
  <c r="I6" i="1" s="1"/>
  <c r="J6" i="1" s="1"/>
  <c r="I4" i="1"/>
  <c r="H27" i="1"/>
  <c r="E27" i="1"/>
  <c r="G15" i="10"/>
  <c r="I15" i="10" s="1"/>
  <c r="J15" i="10" s="1"/>
  <c r="G8" i="10"/>
  <c r="I8" i="10" s="1"/>
  <c r="J8" i="10" s="1"/>
  <c r="G9" i="10"/>
  <c r="I9" i="10" s="1"/>
  <c r="J9" i="10" s="1"/>
  <c r="G10" i="10"/>
  <c r="I10" i="10" s="1"/>
  <c r="J10" i="10" s="1"/>
  <c r="G12" i="10"/>
  <c r="I12" i="10" s="1"/>
  <c r="J12" i="10" s="1"/>
  <c r="G7" i="10"/>
  <c r="I7" i="10" s="1"/>
  <c r="J7" i="10" s="1"/>
  <c r="G6" i="10"/>
  <c r="I6" i="10" s="1"/>
  <c r="J6" i="10" s="1"/>
  <c r="G4" i="10"/>
  <c r="I4" i="10" s="1"/>
  <c r="J4" i="10" s="1"/>
  <c r="G5" i="10"/>
  <c r="I5" i="10" s="1"/>
  <c r="J5" i="10" s="1"/>
  <c r="G11" i="10"/>
  <c r="I11" i="10" s="1"/>
  <c r="J11" i="10" s="1"/>
  <c r="G13" i="10"/>
  <c r="I13" i="10" s="1"/>
  <c r="J13" i="10" s="1"/>
  <c r="G14" i="10"/>
  <c r="I14" i="10" s="1"/>
  <c r="J14" i="10" s="1"/>
  <c r="G16" i="10"/>
  <c r="I16" i="10" s="1"/>
  <c r="J16" i="10" s="1"/>
  <c r="G17" i="10"/>
  <c r="I17" i="10" s="1"/>
  <c r="J17" i="10" s="1"/>
  <c r="G7" i="8"/>
  <c r="I7" i="8" s="1"/>
  <c r="J7" i="8" s="1"/>
  <c r="G5" i="8"/>
  <c r="I5" i="8" s="1"/>
  <c r="J5" i="8" s="1"/>
  <c r="G7" i="9"/>
  <c r="I7" i="9" s="1"/>
  <c r="J7" i="9" s="1"/>
  <c r="G8" i="9"/>
  <c r="I8" i="9" s="1"/>
  <c r="J8" i="9" s="1"/>
  <c r="G14" i="9"/>
  <c r="I14" i="9" s="1"/>
  <c r="J14" i="9" s="1"/>
  <c r="I13" i="13"/>
  <c r="H13" i="13"/>
  <c r="G13" i="13"/>
  <c r="E13" i="13"/>
  <c r="I24" i="12"/>
  <c r="H24" i="12"/>
  <c r="G24" i="12"/>
  <c r="E24" i="12"/>
  <c r="I20" i="11"/>
  <c r="H20" i="11"/>
  <c r="G20" i="11"/>
  <c r="E20" i="11"/>
  <c r="H29" i="10"/>
  <c r="E29" i="10"/>
  <c r="I26" i="3" l="1"/>
  <c r="J4" i="3"/>
  <c r="I11" i="2"/>
  <c r="G27" i="1"/>
  <c r="I27" i="1"/>
  <c r="J4" i="1"/>
  <c r="I29" i="10"/>
  <c r="G29" i="10"/>
  <c r="I12" i="9" l="1"/>
  <c r="G13" i="9"/>
  <c r="I13" i="9" s="1"/>
  <c r="J13" i="9" s="1"/>
  <c r="J12" i="9"/>
  <c r="G9" i="9"/>
  <c r="I9" i="9" s="1"/>
  <c r="J9" i="9" s="1"/>
  <c r="G10" i="9"/>
  <c r="I10" i="9" s="1"/>
  <c r="J10" i="9" s="1"/>
  <c r="G11" i="9"/>
  <c r="I11" i="9" s="1"/>
  <c r="J11" i="9" s="1"/>
  <c r="G6" i="9"/>
  <c r="I6" i="9" s="1"/>
  <c r="J6" i="9" s="1"/>
  <c r="G4" i="9"/>
  <c r="I4" i="9" s="1"/>
  <c r="J4" i="9" s="1"/>
  <c r="G5" i="9"/>
  <c r="I5" i="9" s="1"/>
  <c r="J5" i="9" s="1"/>
  <c r="H25" i="9"/>
  <c r="E25" i="9"/>
  <c r="G25" i="9" l="1"/>
  <c r="I25" i="9"/>
  <c r="I11" i="8" l="1"/>
  <c r="H11" i="8"/>
  <c r="G11" i="8"/>
  <c r="E11" i="8"/>
  <c r="J6" i="7"/>
  <c r="J7" i="7"/>
  <c r="J8" i="7"/>
  <c r="J9" i="7"/>
  <c r="J10" i="7"/>
  <c r="H12" i="7" l="1"/>
  <c r="E12" i="7"/>
  <c r="I12" i="7"/>
  <c r="G12" i="7" l="1"/>
</calcChain>
</file>

<file path=xl/sharedStrings.xml><?xml version="1.0" encoding="utf-8"?>
<sst xmlns="http://schemas.openxmlformats.org/spreadsheetml/2006/main" count="522" uniqueCount="136">
  <si>
    <t>Date</t>
  </si>
  <si>
    <t>Balance</t>
  </si>
  <si>
    <t>Gaju Bhau</t>
  </si>
  <si>
    <t>Gurjit</t>
  </si>
  <si>
    <t>Tadali</t>
  </si>
  <si>
    <t>Shubham</t>
  </si>
  <si>
    <t>Khanda Nagri</t>
  </si>
  <si>
    <t>Bobby Bhaiya</t>
  </si>
  <si>
    <t>Haveli Garden</t>
  </si>
  <si>
    <t>Anshu</t>
  </si>
  <si>
    <t>Satsang</t>
  </si>
  <si>
    <t>Aupadhya</t>
  </si>
  <si>
    <t>Bharan / Kosara</t>
  </si>
  <si>
    <t>T-Point</t>
  </si>
  <si>
    <t>Robby</t>
  </si>
  <si>
    <t xml:space="preserve">Tadali ( Rahul Dhaba ) </t>
  </si>
  <si>
    <t>Gormade</t>
  </si>
  <si>
    <t>Padoli</t>
  </si>
  <si>
    <t>Shareef</t>
  </si>
  <si>
    <t>SakarWahi</t>
  </si>
  <si>
    <t>Santkurpa Hotel</t>
  </si>
  <si>
    <t>Upadhya</t>
  </si>
  <si>
    <t>Kosara</t>
  </si>
  <si>
    <t>Total Amount</t>
  </si>
  <si>
    <t>Toyota</t>
  </si>
  <si>
    <t>Morwa</t>
  </si>
  <si>
    <t>Vichoda</t>
  </si>
  <si>
    <t>Total Trips</t>
  </si>
  <si>
    <t xml:space="preserve"> Paid</t>
  </si>
  <si>
    <t>TOTAL BALANCE</t>
  </si>
  <si>
    <t xml:space="preserve">Shubham </t>
  </si>
  <si>
    <t>Ravi</t>
  </si>
  <si>
    <t>Datada</t>
  </si>
  <si>
    <t>Nacika kaka( Papa Order )</t>
  </si>
  <si>
    <t>MIDC</t>
  </si>
  <si>
    <t>Gurjit Saini</t>
  </si>
  <si>
    <t>Lalit</t>
  </si>
  <si>
    <t>Sharma Chowk</t>
  </si>
  <si>
    <t>Papa Order</t>
  </si>
  <si>
    <t>Sheshrao Zhilte</t>
  </si>
  <si>
    <t>Juni Padoli</t>
  </si>
  <si>
    <t>Ghodpet</t>
  </si>
  <si>
    <t>Saurabh</t>
  </si>
  <si>
    <t>Rundawan</t>
  </si>
  <si>
    <t>Ravi / Anshu</t>
  </si>
  <si>
    <t xml:space="preserve">Saurabh </t>
  </si>
  <si>
    <t>Jilte</t>
  </si>
  <si>
    <t xml:space="preserve">Kiran ( Papa Order ) </t>
  </si>
  <si>
    <t>Hanuman Mandir Lakhmapur</t>
  </si>
  <si>
    <t>Datta Nagar</t>
  </si>
  <si>
    <t>Sakarwahi</t>
  </si>
  <si>
    <t>Akshu Dada</t>
  </si>
  <si>
    <t>Shegaon</t>
  </si>
  <si>
    <t>Ghodpet ( Thekedar )</t>
  </si>
  <si>
    <t>Tadali( Thekedar )</t>
  </si>
  <si>
    <t>Tadali ( Aadbale )</t>
  </si>
  <si>
    <t>SHRI RAJ CONSTRUCTION &amp; BUILDING MATERIAL SUPPLIERS</t>
  </si>
  <si>
    <t>Driver</t>
  </si>
  <si>
    <t>Client</t>
  </si>
  <si>
    <t xml:space="preserve">Destination </t>
  </si>
  <si>
    <t>Trips</t>
  </si>
  <si>
    <t>Rate /Trips</t>
  </si>
  <si>
    <t>Total Value</t>
  </si>
  <si>
    <t>Received</t>
  </si>
  <si>
    <t>Paid / Urgent / Pending</t>
  </si>
  <si>
    <t>TRANSPORT HALFTON  RETI | JUNE 2025</t>
  </si>
  <si>
    <t>Guru</t>
  </si>
  <si>
    <t>Jagdish Yadav ( Raj Dad )</t>
  </si>
  <si>
    <t>Salam Kalam ( Raj Dad )</t>
  </si>
  <si>
    <t>Kosara ( Bharran )</t>
  </si>
  <si>
    <t>Sachin ( Raj )</t>
  </si>
  <si>
    <t>Rundawan  ( Rakad )</t>
  </si>
  <si>
    <t>Guru ( Mahendra )</t>
  </si>
  <si>
    <t>gaju Bhau</t>
  </si>
  <si>
    <t>Bappya Mama</t>
  </si>
  <si>
    <t>Lalita Sangarti</t>
  </si>
  <si>
    <t>Mada Colony</t>
  </si>
  <si>
    <t>Gaju  Bhau</t>
  </si>
  <si>
    <t>Gaju</t>
  </si>
  <si>
    <t xml:space="preserve">Mahendra </t>
  </si>
  <si>
    <t>Mental School</t>
  </si>
  <si>
    <t>TRANSPORT HALFTON  RETI | August 2025</t>
  </si>
  <si>
    <t>TRANSPORT HALFTON  RETI | JULY 2025</t>
  </si>
  <si>
    <t>TRANSPORT HALFTON  RETI | September 2025</t>
  </si>
  <si>
    <t>TRANSPORT HALFTON  RETI | October 2025</t>
  </si>
  <si>
    <t>TRANSPORT HALFTON  RETI | November 2025</t>
  </si>
  <si>
    <t>TRANSPORT HALFTON  RETI | December 2025</t>
  </si>
  <si>
    <t>Saivan</t>
  </si>
  <si>
    <t>Faizan Bhaiya</t>
  </si>
  <si>
    <t>Shri Talkies City</t>
  </si>
  <si>
    <t>Sarif ( Raj Dad )</t>
  </si>
  <si>
    <t>Atul Aatram</t>
  </si>
  <si>
    <t xml:space="preserve">Guru </t>
  </si>
  <si>
    <t>GajuBhau</t>
  </si>
  <si>
    <t>Naresh Kaka ( Raj )</t>
  </si>
  <si>
    <t xml:space="preserve">Suraj Sasra </t>
  </si>
  <si>
    <t>Yerur</t>
  </si>
  <si>
    <t>Vivek Tankar ( Raj )</t>
  </si>
  <si>
    <t>TRANSPORT HALFTON  RETI | JANUARY 2025</t>
  </si>
  <si>
    <t>TRANSPORT HALFTON  RETI | FEBRUARY 2025</t>
  </si>
  <si>
    <t>TRANSPORT HALFTON  RETI | MARCH 2025</t>
  </si>
  <si>
    <t>TRANSPORT HALFTON  RETI | APRIL 2025</t>
  </si>
  <si>
    <t>Ghodpet ( Samarth )</t>
  </si>
  <si>
    <t>Ghodpet ( Jani )</t>
  </si>
  <si>
    <t>Tadali ( Thekedar )</t>
  </si>
  <si>
    <t>haveli Garden ( Arbaz )</t>
  </si>
  <si>
    <t>Tadali ( Topii Thekedar )</t>
  </si>
  <si>
    <t>Ghodpet ( Thekedar Takla )</t>
  </si>
  <si>
    <t>Tadali ( Deva )</t>
  </si>
  <si>
    <t xml:space="preserve">Pachare Stock </t>
  </si>
  <si>
    <t>Raj ( Khadan )</t>
  </si>
  <si>
    <t>Jadish Morey ( Raj )</t>
  </si>
  <si>
    <t>Chalbardi ( Ghodpet )</t>
  </si>
  <si>
    <t>Bawane ( Raj Order )</t>
  </si>
  <si>
    <t>Chalbardi</t>
  </si>
  <si>
    <t>Bawane</t>
  </si>
  <si>
    <t>Naresh Kaka</t>
  </si>
  <si>
    <t>Bimba Gate</t>
  </si>
  <si>
    <t>Wagade</t>
  </si>
  <si>
    <t>Sandeep</t>
  </si>
  <si>
    <t>Pani Puri Wala</t>
  </si>
  <si>
    <t>Yashwant Nagar ( Rakad )</t>
  </si>
  <si>
    <t>Akash</t>
  </si>
  <si>
    <t>Aalam Bhaiya</t>
  </si>
  <si>
    <t>Babupeth</t>
  </si>
  <si>
    <t>Ashish Nagpure ( Mahendra )</t>
  </si>
  <si>
    <t>Santosh</t>
  </si>
  <si>
    <t>Mahendra ( Lanchu )</t>
  </si>
  <si>
    <t>Mitra Nagar</t>
  </si>
  <si>
    <t>Dhanraj</t>
  </si>
  <si>
    <t>Bablu Bhaiya</t>
  </si>
  <si>
    <t>Manish Raykunde</t>
  </si>
  <si>
    <t xml:space="preserve">Naryana School </t>
  </si>
  <si>
    <t>Sanjay Waghade</t>
  </si>
  <si>
    <t>Chal Bardi</t>
  </si>
  <si>
    <t xml:space="preserve">Customer Unknown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</si>
</sst>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&quot;₹&quot;\ #,##0.00"/>
    <numFmt numFmtId="166" formatCode="[$₹-4009]\ #,##0.00"/>
    <numFmt numFmtId="167" formatCode="&quot;₹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2"/>
      <color rgb="FFD4AF37"/>
      <name val="Calibri"/>
      <family val="2"/>
      <scheme val="minor"/>
    </font>
    <font>
      <b/>
      <i/>
      <sz val="10"/>
      <color rgb="FF7D1D3F"/>
      <name val="Georgia"/>
      <family val="1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D1D3F"/>
        <bgColor indexed="64"/>
      </patternFill>
    </fill>
    <fill>
      <patternFill patternType="solid">
        <fgColor rgb="FFF5F0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D4AF37"/>
      </left>
      <right style="double">
        <color rgb="FFD4AF37"/>
      </right>
      <top/>
      <bottom/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6" fillId="2" borderId="4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7" fontId="6" fillId="2" borderId="4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0" fillId="0" borderId="2" xfId="0" applyBorder="1"/>
    <xf numFmtId="164" fontId="1" fillId="0" borderId="1" xfId="0" applyNumberFormat="1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6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0" fontId="7" fillId="0" borderId="1" xfId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</cellXfs>
  <cellStyles count="2">
    <cellStyle name="Normal" xfId="0" builtinId="0"/>
    <cellStyle name="Normal 2" xfId="1" xr:uid="{0E951F0B-150E-40ED-B57D-E776A27236E5}"/>
  </cellStyles>
  <dxfs count="194"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ill>
        <patternFill patternType="solid">
          <bgColor rgb="FFFF88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009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800]dddd\,\ mmmm\ dd\,\ 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167" formatCode="&quot;₹&quot;#,##0.00"/>
      <fill>
        <patternFill patternType="solid">
          <fgColor indexed="64"/>
          <bgColor rgb="FF7D1D3F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rgb="FFD4AF37"/>
        </left>
        <right style="double">
          <color rgb="FFD4AF37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6C57CDA-640C-4EA9-857B-900CB2B9D90C}" name="Table5" displayName="Table5" ref="A3:J25" totalsRowShown="0" headerRowDxfId="193" dataDxfId="192" tableBorderDxfId="191">
  <autoFilter ref="A3:J25" xr:uid="{D6C57CDA-640C-4EA9-857B-900CB2B9D90C}"/>
  <sortState xmlns:xlrd2="http://schemas.microsoft.com/office/spreadsheetml/2017/richdata2" ref="A4:J25">
    <sortCondition ref="A3:A25"/>
  </sortState>
  <tableColumns count="10">
    <tableColumn id="1" xr3:uid="{3ADBDA45-92CC-4257-A53D-F4FF3DADEF95}" name="Date" dataDxfId="190"/>
    <tableColumn id="2" xr3:uid="{E5E84077-3927-4FAF-9E8E-35AFB3365EA5}" name="Driver" dataDxfId="189"/>
    <tableColumn id="3" xr3:uid="{03A76C1F-E7EB-45CE-80B0-F2FB3D0137A9}" name="Client" dataDxfId="188"/>
    <tableColumn id="4" xr3:uid="{FA3B994C-9890-4660-8163-3DB290BCB29B}" name="Destination " dataDxfId="187"/>
    <tableColumn id="5" xr3:uid="{44D80995-541F-43ED-8797-B178A02EFDFB}" name="Trips" dataDxfId="186"/>
    <tableColumn id="6" xr3:uid="{DC0E5E7C-DB85-42CF-A0FC-D3B1BB64D57A}" name="Rate /Trips" dataDxfId="185"/>
    <tableColumn id="7" xr3:uid="{5C25FD87-9811-4CD3-8B2F-C9D0F38BA07B}" name="Total Value" dataDxfId="184"/>
    <tableColumn id="8" xr3:uid="{DBD24626-45A3-42E6-B32D-D4F2518E0227}" name="Received" dataDxfId="183"/>
    <tableColumn id="9" xr3:uid="{38B8EF04-8F94-4E66-A2F1-664E2C08F2C7}" name="Balance" dataDxfId="182"/>
    <tableColumn id="10" xr3:uid="{2F1332E4-4852-4F3D-9328-BFC13F675B0F}" name="Paid / Urgent / Pending" dataDxfId="1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A99ACF-F9EA-41E2-8FEB-8622359F8196}" name="Table57" displayName="Table57" ref="A3:J9" totalsRowShown="0" headerRowDxfId="180" dataDxfId="179" tableBorderDxfId="178">
  <autoFilter ref="A3:J9" xr:uid="{B8A99ACF-F9EA-41E2-8FEB-8622359F8196}"/>
  <sortState xmlns:xlrd2="http://schemas.microsoft.com/office/spreadsheetml/2017/richdata2" ref="A4:J9">
    <sortCondition ref="A3:A9"/>
  </sortState>
  <tableColumns count="10">
    <tableColumn id="1" xr3:uid="{5307E15F-59FA-4597-A78C-A4AED093B0DC}" name="Date" dataDxfId="177"/>
    <tableColumn id="2" xr3:uid="{711B05E1-E4E5-4AC2-AA0B-626B4830F12A}" name="Driver" dataDxfId="176"/>
    <tableColumn id="3" xr3:uid="{68F9EDE9-B140-4446-A782-12FB171BAE89}" name="Client" dataDxfId="175"/>
    <tableColumn id="4" xr3:uid="{3A3DB43F-0303-498A-BEE4-2844E55C4D2A}" name="Destination " dataDxfId="174"/>
    <tableColumn id="5" xr3:uid="{4CBF764B-F094-4E0E-97BA-3D91836E2C09}" name="Trips" dataDxfId="173"/>
    <tableColumn id="6" xr3:uid="{DCC41802-E059-4CDF-AEDE-D365BA1B1E2D}" name="Rate /Trips" dataDxfId="172"/>
    <tableColumn id="7" xr3:uid="{B14E879A-8CBD-4A7F-AFB5-9A91BAC64F57}" name="Total Value" dataDxfId="171"/>
    <tableColumn id="8" xr3:uid="{18529E21-63D2-4108-BE48-851D51098A73}" name="Received" dataDxfId="170"/>
    <tableColumn id="9" xr3:uid="{54FEC1FD-88BE-468E-B4BD-6DE3C8D01DCE}" name="Balance" dataDxfId="169"/>
    <tableColumn id="10" xr3:uid="{D952E0BB-E8C9-4EEF-B1EE-0B623C5EC038}" name="Paid / Urgent / Pending" dataDxfId="1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0FFED2-BA55-4D78-9040-8E29CBCF451D}" name="Table58" displayName="Table58" ref="A3:J24" totalsRowShown="0" headerRowDxfId="167" dataDxfId="166" tableBorderDxfId="165">
  <autoFilter ref="A3:J24" xr:uid="{DC0FFED2-BA55-4D78-9040-8E29CBCF451D}"/>
  <sortState xmlns:xlrd2="http://schemas.microsoft.com/office/spreadsheetml/2017/richdata2" ref="A4:J24">
    <sortCondition ref="A3:A24"/>
  </sortState>
  <tableColumns count="10">
    <tableColumn id="1" xr3:uid="{0211D067-BAF7-419D-B24A-60A7F8357440}" name="Date" dataDxfId="164"/>
    <tableColumn id="2" xr3:uid="{5661E057-DC6D-4577-A4E0-C3B705BAA500}" name="Driver" dataDxfId="163"/>
    <tableColumn id="3" xr3:uid="{D23C4853-30D1-470B-AA13-C2B6FF09D4D8}" name="Client" dataDxfId="162"/>
    <tableColumn id="4" xr3:uid="{74506FDF-6A95-40DE-9634-37165F2418FF}" name="Destination " dataDxfId="161"/>
    <tableColumn id="5" xr3:uid="{895092EC-E60E-4A87-ADB6-14BAAF58FD96}" name="Trips" dataDxfId="160"/>
    <tableColumn id="6" xr3:uid="{1C3E2FB6-079F-4C89-B6C6-A84957CDA2EB}" name="Rate /Trips" dataDxfId="159"/>
    <tableColumn id="7" xr3:uid="{0912D828-9946-41E9-AC4C-663B66540FC1}" name="Total Value" dataDxfId="158"/>
    <tableColumn id="8" xr3:uid="{B4C05BA5-28A9-494A-82D7-0A8EA935854A}" name="Received" dataDxfId="157"/>
    <tableColumn id="9" xr3:uid="{A3C7ADA9-878E-4100-A9BF-6BEFFB577D04}" name="Balance" dataDxfId="156"/>
    <tableColumn id="10" xr3:uid="{59FDD9CF-4DD4-45A9-BEF0-310EA81199CD}" name="Paid / Urgent / Pending" dataDxfId="15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B5E3D2-624D-4E91-935C-6A9BD05604CB}" name="Table59" displayName="Table59" ref="A3:J20" totalsRowShown="0" headerRowDxfId="154" dataDxfId="153" tableBorderDxfId="152">
  <autoFilter ref="A3:J20" xr:uid="{7AB5E3D2-624D-4E91-935C-6A9BD05604CB}"/>
  <sortState xmlns:xlrd2="http://schemas.microsoft.com/office/spreadsheetml/2017/richdata2" ref="A4:J20">
    <sortCondition ref="A3:A20"/>
  </sortState>
  <tableColumns count="10">
    <tableColumn id="1" xr3:uid="{F0E5A4C0-A528-40DE-924E-2813B47D7F4C}" name="Date" dataDxfId="151"/>
    <tableColumn id="2" xr3:uid="{41ABD6F9-5899-42B0-B808-E4EBA3F9BAB9}" name="Driver" dataDxfId="150"/>
    <tableColumn id="3" xr3:uid="{78D468B8-B8B3-43AF-BF15-23A06E2FCC47}" name="Client" dataDxfId="149"/>
    <tableColumn id="4" xr3:uid="{865F9F84-31C8-4EE7-9994-252A7D47CA3E}" name="Destination " dataDxfId="148"/>
    <tableColumn id="5" xr3:uid="{758D32C9-E09B-462C-83B5-B13E373582FB}" name="Trips" dataDxfId="147"/>
    <tableColumn id="6" xr3:uid="{B661F21D-B000-4FB0-B655-3687B75F8FA9}" name="Rate /Trips" dataDxfId="146"/>
    <tableColumn id="7" xr3:uid="{F4877E5A-3B51-46B9-915E-4484B34C101B}" name="Total Value" dataDxfId="145"/>
    <tableColumn id="8" xr3:uid="{DFACD75A-AC12-45E9-8A56-3D0EA7646964}" name="Received" dataDxfId="144"/>
    <tableColumn id="9" xr3:uid="{733C70F0-8889-4CDC-914C-8DC0CDF2A645}" name="Balance" dataDxfId="143">
      <calculatedColumnFormula>Table59[[#This Row],[Total Value]]-Table59[[#This Row],[Received]]</calculatedColumnFormula>
    </tableColumn>
    <tableColumn id="10" xr3:uid="{DA6C8568-1327-456F-881A-B9522E7B1D8E}" name="Paid / Urgent / Pending" dataDxfId="1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607A5B-D467-4641-A116-939EB8CF4903}" name="Table510" displayName="Table510" ref="A3:J17" totalsRowShown="0" headerRowDxfId="141" dataDxfId="140" tableBorderDxfId="139">
  <autoFilter ref="A3:J17" xr:uid="{71607A5B-D467-4641-A116-939EB8CF4903}"/>
  <sortState xmlns:xlrd2="http://schemas.microsoft.com/office/spreadsheetml/2017/richdata2" ref="A4:J17">
    <sortCondition ref="A3:A17"/>
  </sortState>
  <tableColumns count="10">
    <tableColumn id="1" xr3:uid="{CE841B8E-23B4-4317-8B53-B571BEDC5DC2}" name="Date" dataDxfId="138"/>
    <tableColumn id="2" xr3:uid="{A4493D89-CA36-4520-85CC-93A608491548}" name="Driver" dataDxfId="137"/>
    <tableColumn id="3" xr3:uid="{83BB8347-7D92-43BC-A65A-675FC0EA224D}" name="Client" dataDxfId="136"/>
    <tableColumn id="4" xr3:uid="{F86C94C9-EE89-4BAE-AF27-663DFE6E4BBE}" name="Destination " dataDxfId="135"/>
    <tableColumn id="5" xr3:uid="{5E77C03D-B68D-4218-A257-A39B35BB8089}" name="Trips" dataDxfId="134"/>
    <tableColumn id="6" xr3:uid="{BF8EECD1-F79D-41DB-A0BE-F159C9BD9268}" name="Rate /Trips" dataDxfId="133"/>
    <tableColumn id="7" xr3:uid="{4A1EDC32-42DC-4412-8708-E1D730B3A8DF}" name="Total Value" dataDxfId="132"/>
    <tableColumn id="8" xr3:uid="{2D172C31-3354-4BE8-B439-D8B87073C5A7}" name="Received" dataDxfId="131"/>
    <tableColumn id="9" xr3:uid="{D52347C5-D149-47EC-85A9-19C4BC148FA8}" name="Balance" dataDxfId="130">
      <calculatedColumnFormula>G4-H4</calculatedColumnFormula>
    </tableColumn>
    <tableColumn id="10" xr3:uid="{7312A107-6462-4BCB-BCD2-09F640DA7239}" name="Paid / Urgent / Pending" dataDxfId="12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3128BF-DD7F-EF43-A092-0ED9B9C10D7C}" name="Table10" displayName="Table10" ref="A3:J23" totalsRowShown="0" headerRowDxfId="64" dataDxfId="65" tableBorderDxfId="76">
  <autoFilter ref="A3:J23" xr:uid="{A33128BF-DD7F-EF43-A092-0ED9B9C10D7C}"/>
  <sortState xmlns:xlrd2="http://schemas.microsoft.com/office/spreadsheetml/2017/richdata2" ref="A4:J23">
    <sortCondition ref="A3:A23"/>
  </sortState>
  <tableColumns count="10">
    <tableColumn id="1" xr3:uid="{932EC76F-C77D-D646-AF87-DE937BC13AAD}" name="Date" dataDxfId="75"/>
    <tableColumn id="2" xr3:uid="{83857E71-1CA0-5D4A-B628-43DB4BB79A8C}" name="Driver" dataDxfId="74"/>
    <tableColumn id="3" xr3:uid="{EC7B42E3-22C4-E844-A791-12E947C096F9}" name="Client" dataDxfId="73"/>
    <tableColumn id="4" xr3:uid="{CE4E168A-7917-C34E-8839-ADD8DF8C9D63}" name="Destination " dataDxfId="72"/>
    <tableColumn id="5" xr3:uid="{60B9534A-C4ED-B54F-A61F-F2F67F51B93F}" name="Trips" dataDxfId="71"/>
    <tableColumn id="6" xr3:uid="{34176B88-78BD-0E4C-91F5-9399BBCE2731}" name="Rate /Trips" dataDxfId="70"/>
    <tableColumn id="7" xr3:uid="{AB0BC0B2-17B8-244D-883A-F7F24D74467C}" name="Total Value" dataDxfId="69"/>
    <tableColumn id="8" xr3:uid="{B5FD666F-CD4E-7D49-AFB2-0F6528820AEB}" name="Received" dataDxfId="68"/>
    <tableColumn id="9" xr3:uid="{E78C2B0F-8174-404C-9A10-B148F5C8B5C1}" name="Balance" dataDxfId="67"/>
    <tableColumn id="10" xr3:uid="{E8E2CC7B-3BD6-2F40-B82D-99E4CEDE417D}" name="Paid / Urgent / Pending" dataDxfId="6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23B4F9-2CE4-9143-80DD-053F1B196C58}" name="Table1" displayName="Table1" ref="A3:J27" totalsRowShown="0" headerRowDxfId="128" dataDxfId="127" tableBorderDxfId="126">
  <autoFilter ref="A3:J27" xr:uid="{5A23B4F9-2CE4-9143-80DD-053F1B196C58}"/>
  <sortState xmlns:xlrd2="http://schemas.microsoft.com/office/spreadsheetml/2017/richdata2" ref="A4:J27">
    <sortCondition ref="A3:A27"/>
  </sortState>
  <tableColumns count="10">
    <tableColumn id="1" xr3:uid="{129B7A99-16F0-ED4A-AF9F-99791F9B82EC}" name="Date" dataDxfId="125"/>
    <tableColumn id="2" xr3:uid="{ED43EF26-BCFF-CC4E-8E11-498B87541F0B}" name="Driver" dataDxfId="124"/>
    <tableColumn id="3" xr3:uid="{2410B981-80F1-8E43-BD2B-19F05C2D1BA9}" name="Client" dataDxfId="123"/>
    <tableColumn id="4" xr3:uid="{CE3E5D66-0B9D-2B44-80AB-BB48F3D36DDA}" name="Destination " dataDxfId="122"/>
    <tableColumn id="5" xr3:uid="{45600B5B-9C29-5B48-9523-729B62C8BEDB}" name="Trips" dataDxfId="121"/>
    <tableColumn id="6" xr3:uid="{0A4031FA-B714-7542-B629-B8667C4E4214}" name="Rate /Trips" dataDxfId="120"/>
    <tableColumn id="7" xr3:uid="{AF8B23EA-689C-4D4D-B9CF-FE5603D9B392}" name="Total Value" dataDxfId="119">
      <calculatedColumnFormula>Table1[[#This Row],[Rate /Trips]]*Table1[[#This Row],[Trips]]</calculatedColumnFormula>
    </tableColumn>
    <tableColumn id="8" xr3:uid="{7D2D4F15-29A5-AC4A-8B53-B4EEE4A63192}" name="Received" dataDxfId="118"/>
    <tableColumn id="9" xr3:uid="{53C2EFF6-923F-8D4B-BDCC-B9EE03CCD9E5}" name="Balance" dataDxfId="117">
      <calculatedColumnFormula>Table1[[#This Row],[Total Value]]-Table1[[#This Row],[Received]]</calculatedColumnFormula>
    </tableColumn>
    <tableColumn id="10" xr3:uid="{6328E407-03DC-924D-A54B-0F172768054F}" name="Paid / Urgent / Pending" dataDxfId="11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13D4F-2B98-D249-8BFA-07F554AD4F3E}" name="Table13" displayName="Table13" ref="A3:J18" totalsRowShown="0" headerRowDxfId="115" dataDxfId="114" tableBorderDxfId="113">
  <autoFilter ref="A3:J18" xr:uid="{53913D4F-2B98-D249-8BFA-07F554AD4F3E}"/>
  <sortState xmlns:xlrd2="http://schemas.microsoft.com/office/spreadsheetml/2017/richdata2" ref="A4:J18">
    <sortCondition ref="A3:A18"/>
  </sortState>
  <tableColumns count="10">
    <tableColumn id="1" xr3:uid="{BFAEE944-FE48-234E-B3E0-20B82A537980}" name="Date" dataDxfId="112"/>
    <tableColumn id="2" xr3:uid="{3F65E979-DE66-874F-9A91-F69D58260B43}" name="Driver" dataDxfId="111"/>
    <tableColumn id="3" xr3:uid="{C75F04C3-D426-C14C-AC9F-C833CFE933D0}" name="Client" dataDxfId="110"/>
    <tableColumn id="4" xr3:uid="{D8287CD0-3ED1-2345-AF2A-E2C838F10E28}" name="Destination " dataDxfId="109"/>
    <tableColumn id="5" xr3:uid="{E51A1DC0-BC43-C04A-8925-1FF6E8997249}" name="Trips" dataDxfId="108"/>
    <tableColumn id="6" xr3:uid="{FCDF9E8D-F1E3-6F49-956C-6B61B8542D34}" name="Rate /Trips" dataDxfId="107"/>
    <tableColumn id="7" xr3:uid="{4D66BABB-AFB0-BC4E-A8D4-DB1EAFCDFCAA}" name="Total Value" dataDxfId="106">
      <calculatedColumnFormula>Table13[[#This Row],[Rate /Trips]]*Table13[[#This Row],[Trips]]</calculatedColumnFormula>
    </tableColumn>
    <tableColumn id="8" xr3:uid="{88904125-0FF4-A54C-9A6D-C0816239530D}" name="Received" dataDxfId="105"/>
    <tableColumn id="9" xr3:uid="{D87FA8FB-E1F7-0E4A-AF9D-E3FC7767354E}" name="Balance" dataDxfId="104">
      <calculatedColumnFormula>Table13[[#This Row],[Total Value]]-Table13[[#This Row],[Received]]</calculatedColumnFormula>
    </tableColumn>
    <tableColumn id="10" xr3:uid="{E6CA55A5-F550-074B-8F72-9FD8B13C513D}" name="Paid / Urgent / Pending" dataDxfId="10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A8DF36-7A1D-2141-8606-F22CB8C14266}" name="Table134" displayName="Table134" ref="A3:J22" totalsRowShown="0" headerRowDxfId="102" dataDxfId="101" tableBorderDxfId="100">
  <autoFilter ref="A3:J22" xr:uid="{E1A8DF36-7A1D-2141-8606-F22CB8C14266}"/>
  <sortState xmlns:xlrd2="http://schemas.microsoft.com/office/spreadsheetml/2017/richdata2" ref="A4:J22">
    <sortCondition ref="A3:A22"/>
  </sortState>
  <tableColumns count="10">
    <tableColumn id="1" xr3:uid="{8DD38C0B-079C-AD4D-AF76-91FC84F272E3}" name="Date" dataDxfId="99"/>
    <tableColumn id="2" xr3:uid="{65E819F6-5FB6-8D40-9FE8-B436690CA0FA}" name="Driver" dataDxfId="98"/>
    <tableColumn id="3" xr3:uid="{4B7F925F-A77F-3D4D-B7F3-89F779EAF143}" name="Client" dataDxfId="97"/>
    <tableColumn id="4" xr3:uid="{880FF964-0525-9D45-9545-E57CD3ACCE1A}" name="Destination " dataDxfId="96"/>
    <tableColumn id="5" xr3:uid="{0D7F1FDC-02AE-2043-9855-54811745B198}" name="Trips" dataDxfId="95"/>
    <tableColumn id="6" xr3:uid="{72FE3F7A-393D-C348-A01B-95949C2814B2}" name="Rate /Trips" dataDxfId="94"/>
    <tableColumn id="7" xr3:uid="{9854CBF4-25E1-3F4D-B470-7FF1B9276535}" name="Total Value" dataDxfId="93">
      <calculatedColumnFormula>Table134[[#This Row],[Rate /Trips]]*Table134[[#This Row],[Trips]]</calculatedColumnFormula>
    </tableColumn>
    <tableColumn id="8" xr3:uid="{FDA34951-6CF2-F84D-A660-CCFDC9D3F82A}" name="Received" dataDxfId="92"/>
    <tableColumn id="9" xr3:uid="{261AFDDC-17DF-6D42-8217-6C2409211B54}" name="Balance" dataDxfId="91">
      <calculatedColumnFormula>Table134[[#This Row],[Total Value]]-Table134[[#This Row],[Received]]</calculatedColumnFormula>
    </tableColumn>
    <tableColumn id="10" xr3:uid="{DD38C5A4-5C86-7F43-A0E3-EF42A8CF448B}" name="Paid / Urgent / Pending" dataDxfId="9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35845-55B9-C649-A5AC-2A38EF3252FB}" name="Table1345" displayName="Table1345" ref="A3:J11" totalsRowShown="0" headerRowDxfId="89" dataDxfId="88" tableBorderDxfId="87">
  <autoFilter ref="A3:J11" xr:uid="{23635845-55B9-C649-A5AC-2A38EF3252FB}"/>
  <sortState xmlns:xlrd2="http://schemas.microsoft.com/office/spreadsheetml/2017/richdata2" ref="A4:J11">
    <sortCondition ref="A3:A11"/>
  </sortState>
  <tableColumns count="10">
    <tableColumn id="1" xr3:uid="{486E3B9D-9CF4-A843-BA39-A4ADCA269F62}" name="Date" dataDxfId="86"/>
    <tableColumn id="2" xr3:uid="{12E2FA92-D55E-9048-8D7F-E0D738206F9C}" name="Driver" dataDxfId="85"/>
    <tableColumn id="3" xr3:uid="{8B8828E9-9C67-C94C-A005-448FBA715F3A}" name="Client" dataDxfId="84"/>
    <tableColumn id="4" xr3:uid="{2E6A0785-59DC-4E43-8EFA-57A5F42E44DF}" name="Destination " dataDxfId="83"/>
    <tableColumn id="5" xr3:uid="{BF771B7A-5B18-054A-914E-4050E1FE749B}" name="Trips" dataDxfId="82"/>
    <tableColumn id="6" xr3:uid="{9EEB1AA6-34F1-7042-80DB-F2F213271441}" name="Rate /Trips" dataDxfId="81"/>
    <tableColumn id="7" xr3:uid="{E95BF8ED-5C7F-D54F-AA0D-A3B34D73D17C}" name="Total Value" dataDxfId="80">
      <calculatedColumnFormula>Table1345[[#This Row],[Rate /Trips]]*Table1345[[#This Row],[Trips]]</calculatedColumnFormula>
    </tableColumn>
    <tableColumn id="8" xr3:uid="{C5939A6E-9A7D-EE40-89FE-47DEEDFC38E5}" name="Received" dataDxfId="79"/>
    <tableColumn id="9" xr3:uid="{7B306100-4C73-7A49-BCE6-DAE8A3E919B4}" name="Balance" dataDxfId="78">
      <calculatedColumnFormula>Table1345[[#This Row],[Total Value]]-Table1345[[#This Row],[Received]]</calculatedColumnFormula>
    </tableColumn>
    <tableColumn id="10" xr3:uid="{61D3905A-31CC-F645-BAC3-88253FD1685A}" name="Paid / Urgent / Pending" dataDxfId="7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7"/>
  <sheetViews>
    <sheetView zoomScale="150" zoomScaleNormal="85" workbookViewId="0">
      <selection activeCell="A3" sqref="A3:I3"/>
    </sheetView>
  </sheetViews>
  <sheetFormatPr baseColWidth="10" defaultColWidth="8.83203125" defaultRowHeight="15" x14ac:dyDescent="0.2"/>
  <cols>
    <col min="1" max="1" width="23.5" bestFit="1" customWidth="1"/>
    <col min="2" max="2" width="12.1640625" bestFit="1" customWidth="1"/>
    <col min="3" max="3" width="18.83203125" bestFit="1" customWidth="1"/>
    <col min="4" max="4" width="20.6640625" bestFit="1" customWidth="1"/>
    <col min="5" max="5" width="16.5" bestFit="1" customWidth="1"/>
    <col min="6" max="6" width="13.83203125" customWidth="1"/>
    <col min="7" max="7" width="21.33203125" bestFit="1" customWidth="1"/>
    <col min="8" max="8" width="22.1640625" customWidth="1"/>
    <col min="9" max="9" width="22.1640625" bestFit="1" customWidth="1"/>
    <col min="10" max="10" width="38.832031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45669</v>
      </c>
      <c r="B4" s="27" t="s">
        <v>2</v>
      </c>
      <c r="C4" s="27" t="s">
        <v>3</v>
      </c>
      <c r="D4" s="27" t="s">
        <v>4</v>
      </c>
      <c r="E4" s="2">
        <v>1</v>
      </c>
      <c r="F4" s="25">
        <v>12000</v>
      </c>
      <c r="G4" s="25">
        <f t="shared" ref="G4:G16" si="0">F4*E4</f>
        <v>12000</v>
      </c>
      <c r="H4" s="25">
        <v>12000</v>
      </c>
      <c r="I4" s="25">
        <f t="shared" ref="I4:I16" si="1">G4-H4</f>
        <v>0</v>
      </c>
      <c r="J4" s="1" t="str">
        <f t="shared" ref="J4:J16" si="2"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45670</v>
      </c>
      <c r="B5" s="27" t="s">
        <v>2</v>
      </c>
      <c r="C5" s="27" t="s">
        <v>5</v>
      </c>
      <c r="D5" s="27" t="s">
        <v>6</v>
      </c>
      <c r="E5" s="2">
        <v>1</v>
      </c>
      <c r="F5" s="25">
        <v>10000</v>
      </c>
      <c r="G5" s="25">
        <f t="shared" si="0"/>
        <v>10000</v>
      </c>
      <c r="H5" s="25"/>
      <c r="I5" s="25">
        <f t="shared" si="1"/>
        <v>10000</v>
      </c>
      <c r="J5" s="1" t="str">
        <f t="shared" si="2"/>
        <v>⚠️ WARNING: Shubham - ₹10000 due</v>
      </c>
    </row>
    <row r="6" spans="1:10" x14ac:dyDescent="0.2">
      <c r="A6" s="29">
        <v>45670</v>
      </c>
      <c r="B6" s="27" t="s">
        <v>2</v>
      </c>
      <c r="C6" s="27" t="s">
        <v>7</v>
      </c>
      <c r="D6" s="27" t="s">
        <v>8</v>
      </c>
      <c r="E6" s="2">
        <v>1</v>
      </c>
      <c r="F6" s="25">
        <v>10000</v>
      </c>
      <c r="G6" s="25">
        <f t="shared" si="0"/>
        <v>10000</v>
      </c>
      <c r="H6" s="25">
        <v>10000</v>
      </c>
      <c r="I6" s="25">
        <f t="shared" si="1"/>
        <v>0</v>
      </c>
      <c r="J6" s="1" t="str">
        <f t="shared" si="2"/>
        <v>✅ Paid</v>
      </c>
    </row>
    <row r="7" spans="1:10" x14ac:dyDescent="0.2">
      <c r="A7" s="29">
        <v>45670</v>
      </c>
      <c r="B7" s="27" t="s">
        <v>9</v>
      </c>
      <c r="C7" s="27" t="s">
        <v>5</v>
      </c>
      <c r="D7" s="27" t="s">
        <v>10</v>
      </c>
      <c r="E7" s="2">
        <v>1</v>
      </c>
      <c r="F7" s="25">
        <v>9500</v>
      </c>
      <c r="G7" s="25">
        <f t="shared" si="0"/>
        <v>9500</v>
      </c>
      <c r="H7" s="25">
        <v>9500</v>
      </c>
      <c r="I7" s="25">
        <f t="shared" si="1"/>
        <v>0</v>
      </c>
      <c r="J7" s="1" t="str">
        <f t="shared" si="2"/>
        <v>✅ Paid</v>
      </c>
    </row>
    <row r="8" spans="1:10" x14ac:dyDescent="0.2">
      <c r="A8" s="29">
        <v>45670</v>
      </c>
      <c r="B8" s="27" t="s">
        <v>9</v>
      </c>
      <c r="C8" s="27" t="s">
        <v>11</v>
      </c>
      <c r="D8" s="27" t="s">
        <v>12</v>
      </c>
      <c r="E8" s="2">
        <v>1</v>
      </c>
      <c r="F8" s="25">
        <v>2000</v>
      </c>
      <c r="G8" s="25">
        <f t="shared" si="0"/>
        <v>2000</v>
      </c>
      <c r="H8" s="25">
        <v>2000</v>
      </c>
      <c r="I8" s="25">
        <f t="shared" si="1"/>
        <v>0</v>
      </c>
      <c r="J8" s="1" t="str">
        <f t="shared" si="2"/>
        <v>✅ Paid</v>
      </c>
    </row>
    <row r="9" spans="1:10" x14ac:dyDescent="0.2">
      <c r="A9" s="29">
        <v>45672</v>
      </c>
      <c r="B9" s="27" t="s">
        <v>9</v>
      </c>
      <c r="C9" s="27" t="s">
        <v>135</v>
      </c>
      <c r="D9" s="27" t="s">
        <v>13</v>
      </c>
      <c r="E9" s="2">
        <v>1</v>
      </c>
      <c r="F9" s="25">
        <v>10000</v>
      </c>
      <c r="G9" s="25">
        <f t="shared" si="0"/>
        <v>10000</v>
      </c>
      <c r="H9" s="25">
        <v>10000</v>
      </c>
      <c r="I9" s="25">
        <f t="shared" si="1"/>
        <v>0</v>
      </c>
      <c r="J9" s="1" t="str">
        <f t="shared" si="2"/>
        <v>✅ Paid</v>
      </c>
    </row>
    <row r="10" spans="1:10" x14ac:dyDescent="0.2">
      <c r="A10" s="29">
        <v>45675</v>
      </c>
      <c r="B10" s="27" t="s">
        <v>9</v>
      </c>
      <c r="C10" s="27" t="s">
        <v>14</v>
      </c>
      <c r="D10" s="27" t="s">
        <v>15</v>
      </c>
      <c r="E10" s="2">
        <v>1</v>
      </c>
      <c r="F10" s="25">
        <v>10000</v>
      </c>
      <c r="G10" s="25">
        <f t="shared" si="0"/>
        <v>10000</v>
      </c>
      <c r="H10" s="25"/>
      <c r="I10" s="25">
        <f t="shared" si="1"/>
        <v>10000</v>
      </c>
      <c r="J10" s="1" t="str">
        <f t="shared" si="2"/>
        <v>⚠️ WARNING: Robby - ₹10000 due</v>
      </c>
    </row>
    <row r="11" spans="1:10" x14ac:dyDescent="0.2">
      <c r="A11" s="29">
        <v>45679</v>
      </c>
      <c r="B11" s="27" t="s">
        <v>9</v>
      </c>
      <c r="C11" s="27" t="s">
        <v>16</v>
      </c>
      <c r="D11" s="27" t="s">
        <v>17</v>
      </c>
      <c r="E11" s="2">
        <v>1</v>
      </c>
      <c r="F11" s="25">
        <v>10000</v>
      </c>
      <c r="G11" s="25">
        <f t="shared" si="0"/>
        <v>10000</v>
      </c>
      <c r="H11" s="25">
        <v>10000</v>
      </c>
      <c r="I11" s="25">
        <f t="shared" si="1"/>
        <v>0</v>
      </c>
      <c r="J11" s="1" t="str">
        <f t="shared" si="2"/>
        <v>✅ Paid</v>
      </c>
    </row>
    <row r="12" spans="1:10" x14ac:dyDescent="0.2">
      <c r="A12" s="29">
        <v>45679</v>
      </c>
      <c r="B12" s="27" t="s">
        <v>9</v>
      </c>
      <c r="C12" s="27" t="s">
        <v>18</v>
      </c>
      <c r="D12" s="27" t="s">
        <v>19</v>
      </c>
      <c r="E12" s="2">
        <v>1</v>
      </c>
      <c r="F12" s="25">
        <v>10000</v>
      </c>
      <c r="G12" s="25">
        <f t="shared" si="0"/>
        <v>10000</v>
      </c>
      <c r="H12" s="25">
        <v>10000</v>
      </c>
      <c r="I12" s="25">
        <f t="shared" si="1"/>
        <v>0</v>
      </c>
      <c r="J12" s="1" t="str">
        <f t="shared" si="2"/>
        <v>✅ Paid</v>
      </c>
    </row>
    <row r="13" spans="1:10" x14ac:dyDescent="0.2">
      <c r="A13" s="29">
        <v>45680</v>
      </c>
      <c r="B13" s="27" t="s">
        <v>9</v>
      </c>
      <c r="C13" s="27" t="s">
        <v>7</v>
      </c>
      <c r="D13" s="27" t="s">
        <v>8</v>
      </c>
      <c r="E13" s="2">
        <v>1</v>
      </c>
      <c r="F13" s="25">
        <v>10000</v>
      </c>
      <c r="G13" s="25">
        <f t="shared" si="0"/>
        <v>10000</v>
      </c>
      <c r="H13" s="25">
        <v>10000</v>
      </c>
      <c r="I13" s="25">
        <f t="shared" si="1"/>
        <v>0</v>
      </c>
      <c r="J13" s="1" t="str">
        <f t="shared" si="2"/>
        <v>✅ Paid</v>
      </c>
    </row>
    <row r="14" spans="1:10" x14ac:dyDescent="0.2">
      <c r="A14" s="29">
        <v>45681</v>
      </c>
      <c r="B14" s="27" t="s">
        <v>9</v>
      </c>
      <c r="C14" s="27" t="s">
        <v>21</v>
      </c>
      <c r="D14" s="27" t="s">
        <v>22</v>
      </c>
      <c r="E14" s="2">
        <v>1</v>
      </c>
      <c r="F14" s="25">
        <v>10000</v>
      </c>
      <c r="G14" s="25">
        <f t="shared" si="0"/>
        <v>10000</v>
      </c>
      <c r="H14" s="25">
        <v>10000</v>
      </c>
      <c r="I14" s="25">
        <f t="shared" si="1"/>
        <v>0</v>
      </c>
      <c r="J14" s="1" t="str">
        <f t="shared" si="2"/>
        <v>✅ Paid</v>
      </c>
    </row>
    <row r="15" spans="1:10" x14ac:dyDescent="0.2">
      <c r="A15" s="29">
        <v>45682</v>
      </c>
      <c r="B15" s="27" t="s">
        <v>9</v>
      </c>
      <c r="C15" s="27" t="s">
        <v>47</v>
      </c>
      <c r="D15" s="27" t="s">
        <v>20</v>
      </c>
      <c r="E15" s="2">
        <v>1</v>
      </c>
      <c r="F15" s="25">
        <v>10000</v>
      </c>
      <c r="G15" s="25">
        <f t="shared" si="0"/>
        <v>10000</v>
      </c>
      <c r="H15" s="25">
        <v>10000</v>
      </c>
      <c r="I15" s="25">
        <f t="shared" si="1"/>
        <v>0</v>
      </c>
      <c r="J15" s="1" t="str">
        <f t="shared" si="2"/>
        <v>✅ Paid</v>
      </c>
    </row>
    <row r="16" spans="1:10" x14ac:dyDescent="0.2">
      <c r="A16" s="29">
        <v>45688</v>
      </c>
      <c r="B16" s="27" t="s">
        <v>9</v>
      </c>
      <c r="C16" s="27" t="s">
        <v>7</v>
      </c>
      <c r="D16" s="27" t="s">
        <v>8</v>
      </c>
      <c r="E16" s="2">
        <v>1</v>
      </c>
      <c r="F16" s="25">
        <v>10000</v>
      </c>
      <c r="G16" s="25">
        <f t="shared" si="0"/>
        <v>10000</v>
      </c>
      <c r="H16" s="25">
        <v>10000</v>
      </c>
      <c r="I16" s="25">
        <f t="shared" si="1"/>
        <v>0</v>
      </c>
      <c r="J16" s="1" t="str">
        <f t="shared" si="2"/>
        <v>✅ Paid</v>
      </c>
    </row>
    <row r="17" spans="1:10" x14ac:dyDescent="0.2">
      <c r="A17" s="5"/>
      <c r="B17" s="5"/>
      <c r="C17" s="5"/>
      <c r="D17" s="5"/>
      <c r="E17" s="5"/>
      <c r="F17" s="5"/>
      <c r="G17" s="5"/>
      <c r="H17" s="5"/>
      <c r="I17" s="5"/>
      <c r="J17" s="1"/>
    </row>
    <row r="18" spans="1:10" x14ac:dyDescent="0.2">
      <c r="A18" s="29"/>
      <c r="B18" s="27"/>
      <c r="C18" s="27"/>
      <c r="D18" s="27"/>
      <c r="E18" s="2"/>
      <c r="F18" s="25"/>
      <c r="G18" s="25"/>
      <c r="H18" s="25"/>
      <c r="I18" s="25"/>
      <c r="J18" s="1"/>
    </row>
    <row r="19" spans="1:10" x14ac:dyDescent="0.2">
      <c r="A19" s="29"/>
      <c r="B19" s="27"/>
      <c r="C19" s="27"/>
      <c r="D19" s="27"/>
      <c r="E19" s="2"/>
      <c r="F19" s="25"/>
      <c r="G19" s="25"/>
      <c r="H19" s="25"/>
      <c r="I19" s="25"/>
      <c r="J19" s="1"/>
    </row>
    <row r="20" spans="1:10" x14ac:dyDescent="0.2">
      <c r="A20" s="29"/>
      <c r="B20" s="27"/>
      <c r="C20" s="27"/>
      <c r="D20" s="27"/>
      <c r="E20" s="2"/>
      <c r="F20" s="25"/>
      <c r="G20" s="25"/>
      <c r="H20" s="25"/>
      <c r="I20" s="25"/>
      <c r="J20" s="1"/>
    </row>
    <row r="21" spans="1:10" x14ac:dyDescent="0.2">
      <c r="A21" s="29"/>
      <c r="B21" s="27"/>
      <c r="C21" s="27"/>
      <c r="D21" s="27"/>
      <c r="E21" s="2"/>
      <c r="F21" s="25"/>
      <c r="G21" s="25"/>
      <c r="H21" s="25"/>
      <c r="I21" s="25"/>
      <c r="J21" s="1"/>
    </row>
    <row r="22" spans="1:10" x14ac:dyDescent="0.2">
      <c r="A22" s="29"/>
      <c r="B22" s="27"/>
      <c r="C22" s="27"/>
      <c r="D22" s="27"/>
      <c r="E22" s="2"/>
      <c r="F22" s="25"/>
      <c r="G22" s="25"/>
      <c r="H22" s="25"/>
      <c r="I22" s="25"/>
      <c r="J22" s="1"/>
    </row>
    <row r="23" spans="1:10" x14ac:dyDescent="0.2">
      <c r="A23" s="29"/>
      <c r="B23" s="27"/>
      <c r="C23" s="27"/>
      <c r="D23" s="27"/>
      <c r="E23" s="2"/>
      <c r="F23" s="25"/>
      <c r="G23" s="25"/>
      <c r="H23" s="25"/>
      <c r="I23" s="25"/>
      <c r="J23" s="1"/>
    </row>
    <row r="24" spans="1:10" x14ac:dyDescent="0.2">
      <c r="A24" s="29"/>
      <c r="B24" s="27"/>
      <c r="C24" s="27"/>
      <c r="D24" s="27"/>
      <c r="E24" s="2"/>
      <c r="F24" s="25"/>
      <c r="G24" s="25"/>
      <c r="H24" s="25"/>
      <c r="I24" s="25"/>
      <c r="J24" s="1"/>
    </row>
    <row r="25" spans="1:10" x14ac:dyDescent="0.2">
      <c r="A25" s="19"/>
      <c r="B25" s="20"/>
      <c r="C25" s="28"/>
      <c r="D25" s="20"/>
      <c r="E25" s="20"/>
      <c r="F25" s="21"/>
      <c r="G25" s="22"/>
      <c r="H25" s="21"/>
      <c r="I25" s="4"/>
      <c r="J25" s="23"/>
    </row>
    <row r="26" spans="1:10" ht="24" x14ac:dyDescent="0.3">
      <c r="E26" s="15" t="s">
        <v>27</v>
      </c>
      <c r="F26" s="10"/>
      <c r="G26" s="11" t="s">
        <v>23</v>
      </c>
      <c r="H26" s="11" t="s">
        <v>28</v>
      </c>
      <c r="I26" s="12" t="s">
        <v>29</v>
      </c>
    </row>
    <row r="27" spans="1:10" ht="24" x14ac:dyDescent="0.3">
      <c r="E27" s="9">
        <f>SUM(E5:E25)</f>
        <v>12</v>
      </c>
      <c r="F27" s="13"/>
      <c r="G27" s="14">
        <f>SUM(G5:G25)</f>
        <v>111500</v>
      </c>
      <c r="H27" s="14">
        <f>SUM(H5:H25)</f>
        <v>91500</v>
      </c>
      <c r="I27" s="14">
        <f>SUM(I5:I25)</f>
        <v>20000</v>
      </c>
    </row>
  </sheetData>
  <mergeCells count="2">
    <mergeCell ref="A1:J1"/>
    <mergeCell ref="A2:J2"/>
  </mergeCells>
  <conditionalFormatting sqref="J5:J25">
    <cfRule type="containsText" dxfId="63" priority="1" operator="containsText" text="✅">
      <formula>NOT(ISERROR(SEARCH("✅",J5)))</formula>
    </cfRule>
    <cfRule type="containsText" dxfId="62" priority="2" operator="containsText" text="ℹ️">
      <formula>NOT(ISERROR(SEARCH("ℹ️",J5)))</formula>
    </cfRule>
    <cfRule type="containsText" dxfId="61" priority="3" operator="containsText" text="⚠️">
      <formula>NOT(ISERROR(SEARCH("⚠️",J5)))</formula>
    </cfRule>
    <cfRule type="containsText" dxfId="60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2A19-E669-4593-83A0-51F2569BE389}">
  <sheetPr codeName="Sheet2"/>
  <dimension ref="A1:J11"/>
  <sheetViews>
    <sheetView zoomScale="137" zoomScaleNormal="115" workbookViewId="0">
      <selection activeCell="A4" sqref="A4:I6"/>
    </sheetView>
  </sheetViews>
  <sheetFormatPr baseColWidth="10" defaultColWidth="8.83203125" defaultRowHeight="15" x14ac:dyDescent="0.2"/>
  <cols>
    <col min="1" max="1" width="24" bestFit="1" customWidth="1"/>
    <col min="2" max="2" width="12.1640625" bestFit="1" customWidth="1"/>
    <col min="3" max="3" width="15.5" bestFit="1" customWidth="1"/>
    <col min="4" max="4" width="17.5" bestFit="1" customWidth="1"/>
    <col min="5" max="5" width="16.5" bestFit="1" customWidth="1"/>
    <col min="6" max="6" width="16.33203125" bestFit="1" customWidth="1"/>
    <col min="7" max="7" width="21.33203125" bestFit="1" customWidth="1"/>
    <col min="8" max="8" width="17.83203125" bestFit="1" customWidth="1"/>
    <col min="9" max="9" width="22.1640625" bestFit="1" customWidth="1"/>
    <col min="10" max="10" width="38.832031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99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45693</v>
      </c>
      <c r="B4" s="27" t="s">
        <v>9</v>
      </c>
      <c r="C4" s="27" t="s">
        <v>24</v>
      </c>
      <c r="D4" s="27" t="s">
        <v>25</v>
      </c>
      <c r="E4" s="2">
        <v>1</v>
      </c>
      <c r="F4" s="25">
        <v>10000</v>
      </c>
      <c r="G4" s="25">
        <f>F4*E4</f>
        <v>10000</v>
      </c>
      <c r="H4" s="25">
        <v>10000</v>
      </c>
      <c r="I4" s="25">
        <f>G4-H4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45693</v>
      </c>
      <c r="B5" s="27" t="s">
        <v>9</v>
      </c>
      <c r="C5" s="27" t="s">
        <v>5</v>
      </c>
      <c r="D5" s="27" t="s">
        <v>26</v>
      </c>
      <c r="E5" s="2">
        <v>1</v>
      </c>
      <c r="F5" s="26">
        <v>9500</v>
      </c>
      <c r="G5" s="26">
        <v>9500</v>
      </c>
      <c r="H5" s="26">
        <v>9500</v>
      </c>
      <c r="I5" s="25">
        <f>G5-H5</f>
        <v>0</v>
      </c>
      <c r="J5" s="1"/>
    </row>
    <row r="6" spans="1:10" x14ac:dyDescent="0.2">
      <c r="A6" s="29">
        <v>45697</v>
      </c>
      <c r="B6" s="27" t="s">
        <v>9</v>
      </c>
      <c r="C6" s="27" t="s">
        <v>24</v>
      </c>
      <c r="D6" s="27" t="s">
        <v>25</v>
      </c>
      <c r="E6" s="2">
        <v>1</v>
      </c>
      <c r="F6" s="26">
        <v>10000</v>
      </c>
      <c r="G6" s="26">
        <f>F6*E6</f>
        <v>10000</v>
      </c>
      <c r="H6" s="26">
        <v>10000</v>
      </c>
      <c r="I6" s="25">
        <f>G6-H6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  <c r="J7" s="1"/>
    </row>
    <row r="8" spans="1:10" x14ac:dyDescent="0.2">
      <c r="A8" s="29"/>
      <c r="B8" s="27"/>
      <c r="C8" s="27"/>
      <c r="D8" s="27"/>
      <c r="E8" s="2"/>
      <c r="F8" s="26"/>
      <c r="G8" s="26"/>
      <c r="H8" s="26"/>
      <c r="I8" s="25"/>
      <c r="J8" s="1"/>
    </row>
    <row r="9" spans="1:10" x14ac:dyDescent="0.2">
      <c r="A9" s="19"/>
      <c r="B9" s="20"/>
      <c r="C9" s="28"/>
      <c r="D9" s="20"/>
      <c r="E9" s="20"/>
      <c r="F9" s="21"/>
      <c r="G9" s="22"/>
      <c r="H9" s="21"/>
      <c r="I9" s="4"/>
      <c r="J9" s="23"/>
    </row>
    <row r="10" spans="1:10" ht="24" x14ac:dyDescent="0.3">
      <c r="E10" s="15" t="s">
        <v>27</v>
      </c>
      <c r="F10" s="10"/>
      <c r="G10" s="11" t="s">
        <v>23</v>
      </c>
      <c r="H10" s="11" t="s">
        <v>28</v>
      </c>
      <c r="I10" s="12" t="s">
        <v>29</v>
      </c>
    </row>
    <row r="11" spans="1:10" ht="24" x14ac:dyDescent="0.3">
      <c r="E11" s="9">
        <f>SUM(E5:E9)</f>
        <v>2</v>
      </c>
      <c r="F11" s="13"/>
      <c r="G11" s="14">
        <f>SUM(G5:G9)</f>
        <v>19500</v>
      </c>
      <c r="H11" s="14">
        <f>SUM(H5:H9)</f>
        <v>19500</v>
      </c>
      <c r="I11" s="14">
        <f>SUM(I5:I9)</f>
        <v>0</v>
      </c>
    </row>
  </sheetData>
  <mergeCells count="2">
    <mergeCell ref="A1:J1"/>
    <mergeCell ref="A2:J2"/>
  </mergeCells>
  <conditionalFormatting sqref="J5:J9">
    <cfRule type="containsText" dxfId="59" priority="1" operator="containsText" text="✅">
      <formula>NOT(ISERROR(SEARCH("✅",J5)))</formula>
    </cfRule>
    <cfRule type="containsText" dxfId="58" priority="2" operator="containsText" text="ℹ️">
      <formula>NOT(ISERROR(SEARCH("ℹ️",J5)))</formula>
    </cfRule>
    <cfRule type="containsText" dxfId="57" priority="3" operator="containsText" text="⚠️">
      <formula>NOT(ISERROR(SEARCH("⚠️",J5)))</formula>
    </cfRule>
    <cfRule type="containsText" dxfId="56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F128-8F46-43FC-BA87-BD0CE1EE5292}">
  <sheetPr codeName="Sheet3"/>
  <dimension ref="A1:J26"/>
  <sheetViews>
    <sheetView zoomScale="125" zoomScaleNormal="100" workbookViewId="0">
      <selection activeCell="A4" sqref="A4:I15"/>
    </sheetView>
  </sheetViews>
  <sheetFormatPr baseColWidth="10" defaultColWidth="8.83203125" defaultRowHeight="15" x14ac:dyDescent="0.2"/>
  <cols>
    <col min="1" max="1" width="23" bestFit="1" customWidth="1"/>
    <col min="2" max="2" width="12.1640625" bestFit="1" customWidth="1"/>
    <col min="3" max="3" width="23.83203125" bestFit="1" customWidth="1"/>
    <col min="4" max="4" width="17.5" bestFit="1" customWidth="1"/>
    <col min="5" max="5" width="16.5" bestFit="1" customWidth="1"/>
    <col min="6" max="6" width="12.33203125" bestFit="1" customWidth="1"/>
    <col min="7" max="7" width="21.33203125" bestFit="1" customWidth="1"/>
    <col min="8" max="8" width="20.33203125" bestFit="1" customWidth="1"/>
    <col min="9" max="9" width="22.1640625" bestFit="1" customWidth="1"/>
    <col min="10" max="10" width="38.832031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100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6">
        <v>45721</v>
      </c>
      <c r="B4" s="5" t="s">
        <v>2</v>
      </c>
      <c r="C4" s="5" t="s">
        <v>33</v>
      </c>
      <c r="D4" s="5" t="s">
        <v>25</v>
      </c>
      <c r="E4" s="5">
        <v>1</v>
      </c>
      <c r="F4" s="7">
        <v>11500</v>
      </c>
      <c r="G4" s="7">
        <f>F4*E4</f>
        <v>11500</v>
      </c>
      <c r="H4" s="7">
        <v>11500</v>
      </c>
      <c r="I4" s="3">
        <f>G4-H4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6">
        <v>45721</v>
      </c>
      <c r="B5" s="2" t="s">
        <v>9</v>
      </c>
      <c r="C5" s="2" t="s">
        <v>30</v>
      </c>
      <c r="D5" s="2" t="s">
        <v>26</v>
      </c>
      <c r="E5" s="2">
        <v>1</v>
      </c>
      <c r="F5" s="8">
        <v>9500</v>
      </c>
      <c r="G5" s="7">
        <f>F5*E5</f>
        <v>9500</v>
      </c>
      <c r="H5" s="8">
        <v>9500</v>
      </c>
      <c r="I5" s="3">
        <f>G5-H5</f>
        <v>0</v>
      </c>
      <c r="J5" s="1"/>
    </row>
    <row r="6" spans="1:10" x14ac:dyDescent="0.2">
      <c r="A6" s="6">
        <v>45722</v>
      </c>
      <c r="B6" s="2" t="s">
        <v>31</v>
      </c>
      <c r="C6" s="2" t="s">
        <v>35</v>
      </c>
      <c r="D6" s="2" t="s">
        <v>32</v>
      </c>
      <c r="E6" s="2">
        <v>1</v>
      </c>
      <c r="F6" s="8">
        <v>12000</v>
      </c>
      <c r="G6" s="7">
        <f>F6*E6</f>
        <v>12000</v>
      </c>
      <c r="H6" s="8">
        <v>12000</v>
      </c>
      <c r="I6" s="3">
        <f>G6-H6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6">
        <v>45723</v>
      </c>
      <c r="B7" s="2" t="s">
        <v>9</v>
      </c>
      <c r="C7" s="2" t="s">
        <v>36</v>
      </c>
      <c r="D7" s="2" t="s">
        <v>34</v>
      </c>
      <c r="E7" s="2">
        <v>1</v>
      </c>
      <c r="F7" s="8">
        <v>10000</v>
      </c>
      <c r="G7" s="7">
        <f>F7*E7</f>
        <v>10000</v>
      </c>
      <c r="H7" s="8">
        <v>10000</v>
      </c>
      <c r="I7" s="3">
        <f>G7-H7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6">
        <v>45727</v>
      </c>
      <c r="B8" s="2" t="s">
        <v>9</v>
      </c>
      <c r="C8" s="2" t="s">
        <v>38</v>
      </c>
      <c r="D8" s="2" t="s">
        <v>37</v>
      </c>
      <c r="E8" s="2">
        <v>1</v>
      </c>
      <c r="F8" s="8">
        <v>10000</v>
      </c>
      <c r="G8" s="7">
        <f>F8*E8</f>
        <v>10000</v>
      </c>
      <c r="H8" s="8">
        <v>10000</v>
      </c>
      <c r="I8" s="3">
        <f>G8-H8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ht="16" x14ac:dyDescent="0.2">
      <c r="A9" s="6">
        <v>45727</v>
      </c>
      <c r="B9" s="2" t="s">
        <v>9</v>
      </c>
      <c r="C9" s="2" t="s">
        <v>110</v>
      </c>
      <c r="D9" s="34" t="s">
        <v>109</v>
      </c>
      <c r="E9" s="2">
        <v>5</v>
      </c>
      <c r="F9" s="8">
        <v>0</v>
      </c>
      <c r="G9" s="7">
        <v>0</v>
      </c>
      <c r="H9" s="8">
        <v>0</v>
      </c>
      <c r="I9" s="3"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6">
        <v>45729</v>
      </c>
      <c r="B10" s="2" t="s">
        <v>9</v>
      </c>
      <c r="C10" s="2" t="s">
        <v>7</v>
      </c>
      <c r="D10" s="2" t="s">
        <v>8</v>
      </c>
      <c r="E10" s="2">
        <v>1</v>
      </c>
      <c r="F10" s="8">
        <v>10000</v>
      </c>
      <c r="G10" s="7">
        <f>F10*E10</f>
        <v>10000</v>
      </c>
      <c r="H10" s="8">
        <v>10000</v>
      </c>
      <c r="I10" s="3">
        <f>G10-H10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x14ac:dyDescent="0.2">
      <c r="A11" s="6">
        <v>45741</v>
      </c>
      <c r="B11" s="2" t="s">
        <v>9</v>
      </c>
      <c r="C11" s="2" t="s">
        <v>39</v>
      </c>
      <c r="D11" s="2" t="s">
        <v>40</v>
      </c>
      <c r="E11" s="2">
        <v>1</v>
      </c>
      <c r="F11" s="8">
        <v>10000</v>
      </c>
      <c r="G11" s="7">
        <f>F11*E11</f>
        <v>10000</v>
      </c>
      <c r="H11" s="8">
        <v>10000</v>
      </c>
      <c r="I11" s="3">
        <f>G11-H11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6">
        <v>45742</v>
      </c>
      <c r="B12" s="2" t="s">
        <v>44</v>
      </c>
      <c r="C12" s="2" t="s">
        <v>42</v>
      </c>
      <c r="D12" s="2" t="s">
        <v>41</v>
      </c>
      <c r="E12" s="2">
        <v>2</v>
      </c>
      <c r="F12" s="8">
        <v>12000</v>
      </c>
      <c r="G12" s="7">
        <f>F12*E12</f>
        <v>24000</v>
      </c>
      <c r="H12" s="8">
        <v>24000</v>
      </c>
      <c r="I12" s="3">
        <f>G12-H12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x14ac:dyDescent="0.2">
      <c r="A13" s="6">
        <v>45742</v>
      </c>
      <c r="B13" s="2" t="s">
        <v>9</v>
      </c>
      <c r="C13" s="2" t="s">
        <v>42</v>
      </c>
      <c r="D13" s="2" t="s">
        <v>43</v>
      </c>
      <c r="E13" s="2">
        <v>1</v>
      </c>
      <c r="F13" s="8">
        <v>12000</v>
      </c>
      <c r="G13" s="7">
        <f>F13*E13</f>
        <v>12000</v>
      </c>
      <c r="H13" s="8">
        <v>12000</v>
      </c>
      <c r="I13" s="3">
        <f>G13-H13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x14ac:dyDescent="0.2">
      <c r="A14" s="6">
        <v>45742</v>
      </c>
      <c r="B14" s="2" t="s">
        <v>9</v>
      </c>
      <c r="C14" s="2" t="s">
        <v>42</v>
      </c>
      <c r="D14" s="2" t="s">
        <v>4</v>
      </c>
      <c r="E14" s="2">
        <v>1</v>
      </c>
      <c r="F14" s="8">
        <v>12000</v>
      </c>
      <c r="G14" s="7">
        <f>F14*E14</f>
        <v>12000</v>
      </c>
      <c r="H14" s="8">
        <v>12000</v>
      </c>
      <c r="I14" s="3">
        <f>G14-H14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x14ac:dyDescent="0.2">
      <c r="A15" s="6">
        <v>45744</v>
      </c>
      <c r="B15" s="2" t="s">
        <v>31</v>
      </c>
      <c r="C15" s="2" t="s">
        <v>45</v>
      </c>
      <c r="D15" s="2" t="s">
        <v>17</v>
      </c>
      <c r="E15" s="2">
        <v>1</v>
      </c>
      <c r="F15" s="8">
        <v>12000</v>
      </c>
      <c r="G15" s="7">
        <f>F15*E15</f>
        <v>12000</v>
      </c>
      <c r="H15" s="8">
        <v>12000</v>
      </c>
      <c r="I15" s="3">
        <f>G15-H15</f>
        <v>0</v>
      </c>
      <c r="J15" s="1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  <c r="J16" s="1"/>
    </row>
    <row r="17" spans="1:10" x14ac:dyDescent="0.2">
      <c r="A17" s="6"/>
      <c r="B17" s="2"/>
      <c r="C17" s="2"/>
      <c r="D17" s="2"/>
      <c r="E17" s="2"/>
      <c r="F17" s="8"/>
      <c r="G17" s="7"/>
      <c r="H17" s="8"/>
      <c r="I17" s="3"/>
      <c r="J17" s="1"/>
    </row>
    <row r="18" spans="1:10" x14ac:dyDescent="0.2">
      <c r="A18" s="6"/>
      <c r="B18" s="2"/>
      <c r="C18" s="2"/>
      <c r="D18" s="2"/>
      <c r="E18" s="2"/>
      <c r="F18" s="8"/>
      <c r="G18" s="7"/>
      <c r="H18" s="8"/>
      <c r="I18" s="3"/>
      <c r="J18" s="1"/>
    </row>
    <row r="19" spans="1:10" x14ac:dyDescent="0.2">
      <c r="A19" s="6"/>
      <c r="B19" s="2"/>
      <c r="C19" s="2"/>
      <c r="D19" s="2"/>
      <c r="E19" s="2"/>
      <c r="F19" s="8"/>
      <c r="G19" s="7"/>
      <c r="H19" s="8"/>
      <c r="I19" s="3"/>
      <c r="J19" s="1"/>
    </row>
    <row r="20" spans="1:10" x14ac:dyDescent="0.2">
      <c r="A20" s="6"/>
      <c r="B20" s="2"/>
      <c r="C20" s="2"/>
      <c r="D20" s="2"/>
      <c r="E20" s="2"/>
      <c r="F20" s="8"/>
      <c r="G20" s="7"/>
      <c r="H20" s="8"/>
      <c r="I20" s="3"/>
      <c r="J20" s="1"/>
    </row>
    <row r="21" spans="1:10" x14ac:dyDescent="0.2">
      <c r="A21" s="6"/>
      <c r="B21" s="2"/>
      <c r="C21" s="2"/>
      <c r="D21" s="2"/>
      <c r="E21" s="2"/>
      <c r="F21" s="8"/>
      <c r="G21" s="7"/>
      <c r="H21" s="8"/>
      <c r="I21" s="3"/>
      <c r="J21" s="1"/>
    </row>
    <row r="22" spans="1:10" x14ac:dyDescent="0.2">
      <c r="A22" s="6"/>
      <c r="B22" s="2"/>
      <c r="C22" s="2"/>
      <c r="D22" s="2"/>
      <c r="E22" s="2"/>
      <c r="F22" s="8"/>
      <c r="G22" s="7"/>
      <c r="H22" s="8"/>
      <c r="I22" s="3"/>
      <c r="J22" s="1"/>
    </row>
    <row r="23" spans="1:10" x14ac:dyDescent="0.2">
      <c r="A23" s="6"/>
      <c r="B23" s="2"/>
      <c r="C23" s="2"/>
      <c r="D23" s="2"/>
      <c r="E23" s="2"/>
      <c r="F23" s="8"/>
      <c r="G23" s="7"/>
      <c r="H23" s="8"/>
      <c r="I23" s="3"/>
      <c r="J23" s="1"/>
    </row>
    <row r="24" spans="1:10" x14ac:dyDescent="0.2">
      <c r="A24" s="19"/>
      <c r="B24" s="20"/>
      <c r="C24" s="28"/>
      <c r="D24" s="20"/>
      <c r="E24" s="20"/>
      <c r="F24" s="21"/>
      <c r="G24" s="22"/>
      <c r="H24" s="21"/>
      <c r="I24" s="4"/>
      <c r="J24" s="1" t="str">
        <f>IF(I24&gt;10000,"🚨 URGENT: "&amp;C24&amp;" owes ₹"&amp;I24,IF(I24&gt;5000,"⚠️ WARNING: "&amp;C24&amp;" - ₹"&amp;I24&amp;" due",IF(I24&gt;0,"ℹ️ "&amp;C24&amp;" - ₹"&amp;I24&amp;" pending","✅ Paid")))</f>
        <v>✅ Paid</v>
      </c>
    </row>
    <row r="25" spans="1:10" ht="24" x14ac:dyDescent="0.3">
      <c r="E25" s="15" t="s">
        <v>27</v>
      </c>
      <c r="F25" s="10"/>
      <c r="G25" s="11" t="s">
        <v>23</v>
      </c>
      <c r="H25" s="11" t="s">
        <v>28</v>
      </c>
      <c r="I25" s="12" t="s">
        <v>29</v>
      </c>
    </row>
    <row r="26" spans="1:10" ht="24" x14ac:dyDescent="0.3">
      <c r="E26" s="9">
        <f>SUM(E5:E24)</f>
        <v>16</v>
      </c>
      <c r="F26" s="13"/>
      <c r="G26" s="14">
        <f>SUM(G5:G24)</f>
        <v>121500</v>
      </c>
      <c r="H26" s="14">
        <f>SUM(H5:H24)</f>
        <v>121500</v>
      </c>
      <c r="I26" s="14">
        <f>SUM(I5:I24)</f>
        <v>0</v>
      </c>
    </row>
  </sheetData>
  <mergeCells count="2">
    <mergeCell ref="A1:J1"/>
    <mergeCell ref="A2:J2"/>
  </mergeCells>
  <conditionalFormatting sqref="J5:J24">
    <cfRule type="containsText" dxfId="55" priority="1" operator="containsText" text="✅">
      <formula>NOT(ISERROR(SEARCH("✅",J5)))</formula>
    </cfRule>
    <cfRule type="containsText" dxfId="54" priority="2" operator="containsText" text="ℹ️">
      <formula>NOT(ISERROR(SEARCH("ℹ️",J5)))</formula>
    </cfRule>
    <cfRule type="containsText" dxfId="53" priority="3" operator="containsText" text="⚠️">
      <formula>NOT(ISERROR(SEARCH("⚠️",J5)))</formula>
    </cfRule>
    <cfRule type="containsText" dxfId="52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9667-B9E8-4BD1-BC81-44202714871E}">
  <sheetPr codeName="Sheet4"/>
  <dimension ref="A1:J28"/>
  <sheetViews>
    <sheetView zoomScale="115" zoomScaleNormal="115" workbookViewId="0">
      <selection activeCell="A4" sqref="A4:I13"/>
    </sheetView>
  </sheetViews>
  <sheetFormatPr baseColWidth="10" defaultColWidth="8.83203125" defaultRowHeight="15" x14ac:dyDescent="0.2"/>
  <cols>
    <col min="1" max="1" width="21.83203125" bestFit="1" customWidth="1"/>
    <col min="2" max="2" width="12.1640625" bestFit="1" customWidth="1"/>
    <col min="3" max="3" width="23.83203125" bestFit="1" customWidth="1"/>
    <col min="4" max="4" width="26.83203125" bestFit="1" customWidth="1"/>
    <col min="5" max="5" width="16.5" bestFit="1" customWidth="1"/>
    <col min="6" max="6" width="12.33203125" bestFit="1" customWidth="1"/>
    <col min="7" max="7" width="21.33203125" bestFit="1" customWidth="1"/>
    <col min="8" max="8" width="24.83203125" customWidth="1"/>
    <col min="9" max="9" width="22.1640625" bestFit="1" customWidth="1"/>
    <col min="10" max="10" width="38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101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45748</v>
      </c>
      <c r="B4" s="27" t="s">
        <v>2</v>
      </c>
      <c r="C4" s="27" t="s">
        <v>42</v>
      </c>
      <c r="D4" s="27" t="s">
        <v>41</v>
      </c>
      <c r="E4" s="2">
        <v>1</v>
      </c>
      <c r="F4" s="25">
        <v>12000</v>
      </c>
      <c r="G4" s="25">
        <f>F4*E4</f>
        <v>12000</v>
      </c>
      <c r="H4" s="25">
        <v>12000</v>
      </c>
      <c r="I4" s="25">
        <f>Table59[[#This Row],[Total Value]]-Table59[[#This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45751</v>
      </c>
      <c r="B5" s="27" t="s">
        <v>31</v>
      </c>
      <c r="C5" s="27" t="s">
        <v>42</v>
      </c>
      <c r="D5" s="27" t="s">
        <v>41</v>
      </c>
      <c r="E5" s="2">
        <v>1</v>
      </c>
      <c r="F5" s="26">
        <v>13000</v>
      </c>
      <c r="G5" s="25">
        <f>F5*E5</f>
        <v>13000</v>
      </c>
      <c r="H5" s="26">
        <v>13000</v>
      </c>
      <c r="I5" s="25">
        <f>Table59[[#This Row],[Total Value]]-Table59[[#This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9">
        <v>45751</v>
      </c>
      <c r="B6" s="27" t="s">
        <v>31</v>
      </c>
      <c r="C6" s="27" t="s">
        <v>3</v>
      </c>
      <c r="D6" s="27" t="s">
        <v>41</v>
      </c>
      <c r="E6" s="2">
        <v>1</v>
      </c>
      <c r="F6" s="26">
        <v>12000</v>
      </c>
      <c r="G6" s="25">
        <f>F6*E6</f>
        <v>12000</v>
      </c>
      <c r="H6" s="26">
        <v>12000</v>
      </c>
      <c r="I6" s="25">
        <f>Table59[[#This Row],[Total Value]]-Table59[[#This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29">
        <v>45751</v>
      </c>
      <c r="B7" s="27" t="s">
        <v>31</v>
      </c>
      <c r="C7" s="27" t="s">
        <v>46</v>
      </c>
      <c r="D7" s="27" t="s">
        <v>17</v>
      </c>
      <c r="E7" s="2">
        <v>1</v>
      </c>
      <c r="F7" s="26">
        <v>10000</v>
      </c>
      <c r="G7" s="25">
        <f>F7*E7</f>
        <v>10000</v>
      </c>
      <c r="H7" s="26">
        <v>10000</v>
      </c>
      <c r="I7" s="25">
        <f>Table59[[#This Row],[Total Value]]-Table59[[#This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29">
        <v>45766</v>
      </c>
      <c r="B8" s="27" t="s">
        <v>31</v>
      </c>
      <c r="C8" s="27" t="s">
        <v>42</v>
      </c>
      <c r="D8" s="27" t="s">
        <v>4</v>
      </c>
      <c r="E8" s="2">
        <v>3</v>
      </c>
      <c r="F8" s="26">
        <v>10000</v>
      </c>
      <c r="G8" s="25">
        <f>F8*E8</f>
        <v>30000</v>
      </c>
      <c r="H8" s="26">
        <v>20000</v>
      </c>
      <c r="I8" s="25">
        <f>Table59[[#This Row],[Total Value]]-Table59[[#This Row],[Received]]</f>
        <v>10000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⚠️ WARNING: Saurabh - ₹10000 due</v>
      </c>
    </row>
    <row r="9" spans="1:10" x14ac:dyDescent="0.2">
      <c r="A9" s="29">
        <v>45767</v>
      </c>
      <c r="B9" s="27" t="s">
        <v>31</v>
      </c>
      <c r="C9" s="27" t="s">
        <v>42</v>
      </c>
      <c r="D9" s="27" t="s">
        <v>50</v>
      </c>
      <c r="E9" s="2">
        <v>1</v>
      </c>
      <c r="F9" s="26">
        <v>11000</v>
      </c>
      <c r="G9" s="25">
        <f>F9*E9</f>
        <v>11000</v>
      </c>
      <c r="H9" s="26">
        <v>11000</v>
      </c>
      <c r="I9" s="25">
        <f>Table59[[#This Row],[Total Value]]-Table59[[#This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29">
        <v>45767</v>
      </c>
      <c r="B10" s="27" t="s">
        <v>31</v>
      </c>
      <c r="C10" s="27" t="s">
        <v>42</v>
      </c>
      <c r="D10" s="27" t="s">
        <v>4</v>
      </c>
      <c r="E10" s="2">
        <v>1</v>
      </c>
      <c r="F10" s="26">
        <v>10000</v>
      </c>
      <c r="G10" s="25">
        <f>F10*E10</f>
        <v>10000</v>
      </c>
      <c r="H10" s="26">
        <v>10000</v>
      </c>
      <c r="I10" s="25">
        <f>Table59[[#This Row],[Total Value]]-Table59[[#This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x14ac:dyDescent="0.2">
      <c r="A11" s="29">
        <v>45770</v>
      </c>
      <c r="B11" s="27" t="s">
        <v>31</v>
      </c>
      <c r="C11" s="27" t="s">
        <v>111</v>
      </c>
      <c r="D11" s="27" t="s">
        <v>48</v>
      </c>
      <c r="E11" s="2">
        <v>1</v>
      </c>
      <c r="F11" s="26">
        <v>10000</v>
      </c>
      <c r="G11" s="25">
        <f>F11*E11</f>
        <v>10000</v>
      </c>
      <c r="H11" s="26">
        <v>10000</v>
      </c>
      <c r="I11" s="25">
        <f>Table59[[#This Row],[Total Value]]-Table59[[#This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29">
        <v>45770</v>
      </c>
      <c r="B12" s="27" t="s">
        <v>31</v>
      </c>
      <c r="C12" s="27" t="s">
        <v>51</v>
      </c>
      <c r="D12" s="27" t="s">
        <v>49</v>
      </c>
      <c r="E12" s="2">
        <v>1</v>
      </c>
      <c r="F12" s="26">
        <v>0</v>
      </c>
      <c r="G12" s="25">
        <v>0</v>
      </c>
      <c r="H12" s="26"/>
      <c r="I12" s="25"/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x14ac:dyDescent="0.2">
      <c r="A13" s="29">
        <v>45775</v>
      </c>
      <c r="B13" s="27" t="s">
        <v>31</v>
      </c>
      <c r="C13" s="27" t="s">
        <v>42</v>
      </c>
      <c r="D13" s="27" t="s">
        <v>4</v>
      </c>
      <c r="E13" s="2">
        <v>1</v>
      </c>
      <c r="F13" s="26">
        <v>10000</v>
      </c>
      <c r="G13" s="25">
        <f>F13*E13</f>
        <v>10000</v>
      </c>
      <c r="H13" s="26">
        <v>10000</v>
      </c>
      <c r="I13" s="25">
        <f>Table59[[#This Row],[Total Value]]-Table59[[#This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7"/>
      <c r="J14" s="1"/>
    </row>
    <row r="15" spans="1:10" x14ac:dyDescent="0.2">
      <c r="A15" s="29"/>
      <c r="B15" s="27"/>
      <c r="C15" s="27"/>
      <c r="D15" s="27"/>
      <c r="E15" s="2"/>
      <c r="F15" s="26"/>
      <c r="G15" s="25"/>
      <c r="H15" s="26"/>
      <c r="I15" s="25"/>
      <c r="J15" s="1"/>
    </row>
    <row r="16" spans="1:10" x14ac:dyDescent="0.2">
      <c r="A16" s="29"/>
      <c r="B16" s="27"/>
      <c r="C16" s="27"/>
      <c r="D16" s="27"/>
      <c r="E16" s="2"/>
      <c r="F16" s="26"/>
      <c r="G16" s="25"/>
      <c r="H16" s="26"/>
      <c r="I16" s="25"/>
      <c r="J16" s="1"/>
    </row>
    <row r="17" spans="1:10" x14ac:dyDescent="0.2">
      <c r="A17" s="29"/>
      <c r="B17" s="27"/>
      <c r="C17" s="27"/>
      <c r="D17" s="27"/>
      <c r="E17" s="2"/>
      <c r="F17" s="26"/>
      <c r="G17" s="25"/>
      <c r="H17" s="26"/>
      <c r="I17" s="25"/>
      <c r="J17" s="1"/>
    </row>
    <row r="18" spans="1:10" x14ac:dyDescent="0.2">
      <c r="A18" s="29"/>
      <c r="B18" s="27"/>
      <c r="C18" s="27"/>
      <c r="D18" s="27"/>
      <c r="E18" s="2"/>
      <c r="F18" s="26"/>
      <c r="G18" s="25"/>
      <c r="H18" s="26"/>
      <c r="I18" s="25"/>
      <c r="J18" s="1"/>
    </row>
    <row r="19" spans="1:10" x14ac:dyDescent="0.2">
      <c r="A19" s="29"/>
      <c r="B19" s="27"/>
      <c r="C19" s="27"/>
      <c r="D19" s="27"/>
      <c r="E19" s="2"/>
      <c r="F19" s="26"/>
      <c r="G19" s="25"/>
      <c r="H19" s="26"/>
      <c r="I19" s="25"/>
      <c r="J19" s="1"/>
    </row>
    <row r="20" spans="1:10" x14ac:dyDescent="0.2">
      <c r="A20" s="6"/>
      <c r="B20" s="2"/>
      <c r="C20" s="2"/>
      <c r="D20" s="2"/>
      <c r="E20" s="2"/>
      <c r="F20" s="8"/>
      <c r="G20" s="7"/>
      <c r="H20" s="8"/>
      <c r="I20" s="3"/>
      <c r="J20" s="1"/>
    </row>
    <row r="21" spans="1:10" ht="24" x14ac:dyDescent="0.3">
      <c r="E21" s="15" t="s">
        <v>27</v>
      </c>
      <c r="F21" s="10"/>
      <c r="G21" s="11" t="s">
        <v>23</v>
      </c>
      <c r="H21" s="11" t="s">
        <v>28</v>
      </c>
      <c r="I21" s="12" t="s">
        <v>29</v>
      </c>
    </row>
    <row r="22" spans="1:10" ht="24" x14ac:dyDescent="0.3">
      <c r="E22" s="9">
        <f>SUM(E5:E20)</f>
        <v>11</v>
      </c>
      <c r="F22" s="13"/>
      <c r="G22" s="14">
        <f>SUM(G5:G20)</f>
        <v>106000</v>
      </c>
      <c r="H22" s="14">
        <f>SUM(H5:H20)</f>
        <v>96000</v>
      </c>
      <c r="I22" s="14">
        <f>SUM(I5:I20)</f>
        <v>10000</v>
      </c>
    </row>
    <row r="28" spans="1:10" x14ac:dyDescent="0.2">
      <c r="A28" s="29">
        <v>45766</v>
      </c>
      <c r="B28" s="27" t="s">
        <v>31</v>
      </c>
      <c r="C28" s="27" t="s">
        <v>42</v>
      </c>
      <c r="D28" s="27" t="s">
        <v>4</v>
      </c>
      <c r="E28" s="2">
        <v>3</v>
      </c>
      <c r="F28" s="26">
        <v>10000</v>
      </c>
      <c r="G28" s="25">
        <f t="shared" ref="G28" si="0">F28*E28</f>
        <v>30000</v>
      </c>
      <c r="H28" s="26">
        <v>20000</v>
      </c>
      <c r="I28" s="25" t="e">
        <f>Table59[[#This Row],[Total Value]]-Table59[[#This Row],[Received]]</f>
        <v>#VALUE!</v>
      </c>
      <c r="J28" s="1" t="e">
        <f t="shared" ref="J28" si="1">IF(I28&gt;10000,"🚨 URGENT: "&amp;C28&amp;" owes ₹"&amp;I28,IF(I28&gt;5000,"⚠️ WARNING: "&amp;C28&amp;" - ₹"&amp;I28&amp;" due",IF(I28&gt;0,"ℹ️ "&amp;C28&amp;" - ₹"&amp;I28&amp;" pending","✅ Paid")))</f>
        <v>#VALUE!</v>
      </c>
    </row>
  </sheetData>
  <mergeCells count="2">
    <mergeCell ref="A1:J1"/>
    <mergeCell ref="A2:J2"/>
  </mergeCells>
  <conditionalFormatting sqref="J5:J20">
    <cfRule type="containsText" dxfId="51" priority="5" operator="containsText" text="✅">
      <formula>NOT(ISERROR(SEARCH("✅",J5)))</formula>
    </cfRule>
    <cfRule type="containsText" dxfId="50" priority="6" operator="containsText" text="ℹ️">
      <formula>NOT(ISERROR(SEARCH("ℹ️",J5)))</formula>
    </cfRule>
    <cfRule type="containsText" dxfId="49" priority="7" operator="containsText" text="⚠️">
      <formula>NOT(ISERROR(SEARCH("⚠️",J5)))</formula>
    </cfRule>
    <cfRule type="containsText" dxfId="48" priority="8" operator="containsText" text="🚨">
      <formula>NOT(ISERROR(SEARCH("🚨",J5)))</formula>
    </cfRule>
  </conditionalFormatting>
  <conditionalFormatting sqref="J28">
    <cfRule type="containsText" dxfId="47" priority="1" operator="containsText" text="✅">
      <formula>NOT(ISERROR(SEARCH("✅",J28)))</formula>
    </cfRule>
    <cfRule type="containsText" dxfId="46" priority="2" operator="containsText" text="ℹ️">
      <formula>NOT(ISERROR(SEARCH("ℹ️",J28)))</formula>
    </cfRule>
    <cfRule type="containsText" dxfId="45" priority="3" operator="containsText" text="⚠️">
      <formula>NOT(ISERROR(SEARCH("⚠️",J28)))</formula>
    </cfRule>
    <cfRule type="containsText" dxfId="44" priority="4" operator="containsText" text="🚨">
      <formula>NOT(ISERROR(SEARCH("🚨",J28)))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B276-1F8E-4F16-A5E3-421672D60C1D}">
  <sheetPr codeName="Sheet5"/>
  <dimension ref="A1:J30"/>
  <sheetViews>
    <sheetView zoomScale="114" zoomScaleNormal="100" workbookViewId="0">
      <selection activeCell="A4" sqref="A4:I10"/>
    </sheetView>
  </sheetViews>
  <sheetFormatPr baseColWidth="10" defaultColWidth="8.83203125" defaultRowHeight="15" x14ac:dyDescent="0.2"/>
  <cols>
    <col min="1" max="1" width="22.83203125" customWidth="1"/>
    <col min="2" max="2" width="12.1640625" bestFit="1" customWidth="1"/>
    <col min="3" max="3" width="18.33203125" bestFit="1" customWidth="1"/>
    <col min="4" max="4" width="19" bestFit="1" customWidth="1"/>
    <col min="5" max="5" width="16.6640625" bestFit="1" customWidth="1"/>
    <col min="6" max="6" width="16.5" bestFit="1" customWidth="1"/>
    <col min="7" max="7" width="21.6640625" bestFit="1" customWidth="1"/>
    <col min="8" max="8" width="18" bestFit="1" customWidth="1"/>
    <col min="9" max="9" width="22.6640625" bestFit="1" customWidth="1"/>
    <col min="10" max="10" width="38.832031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98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45780</v>
      </c>
      <c r="B4" s="27" t="s">
        <v>2</v>
      </c>
      <c r="C4" s="27" t="s">
        <v>42</v>
      </c>
      <c r="D4" s="27" t="s">
        <v>4</v>
      </c>
      <c r="E4" s="2">
        <v>1</v>
      </c>
      <c r="F4" s="25">
        <v>10000</v>
      </c>
      <c r="G4" s="25">
        <f>F4*E4</f>
        <v>10000</v>
      </c>
      <c r="H4" s="25">
        <v>10000</v>
      </c>
      <c r="I4" s="25">
        <f>G4-H4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45786</v>
      </c>
      <c r="B5" s="27" t="s">
        <v>31</v>
      </c>
      <c r="C5" s="27" t="s">
        <v>7</v>
      </c>
      <c r="D5" s="27" t="s">
        <v>8</v>
      </c>
      <c r="E5" s="2">
        <v>1</v>
      </c>
      <c r="F5" s="26">
        <v>10000</v>
      </c>
      <c r="G5" s="25">
        <f>F5*E5</f>
        <v>10000</v>
      </c>
      <c r="H5" s="26">
        <v>10000</v>
      </c>
      <c r="I5" s="25">
        <f>G5-H5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9">
        <v>45787</v>
      </c>
      <c r="B6" s="27" t="s">
        <v>9</v>
      </c>
      <c r="C6" s="27" t="s">
        <v>42</v>
      </c>
      <c r="D6" s="27" t="s">
        <v>4</v>
      </c>
      <c r="E6" s="2">
        <v>1</v>
      </c>
      <c r="F6" s="26">
        <v>11000</v>
      </c>
      <c r="G6" s="25">
        <f>F6*E6</f>
        <v>11000</v>
      </c>
      <c r="H6" s="26">
        <v>11000</v>
      </c>
      <c r="I6" s="25">
        <f>G6-H6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29">
        <v>45807</v>
      </c>
      <c r="B7" s="27" t="s">
        <v>31</v>
      </c>
      <c r="C7" s="27" t="s">
        <v>42</v>
      </c>
      <c r="D7" s="27" t="s">
        <v>102</v>
      </c>
      <c r="E7" s="2">
        <v>1</v>
      </c>
      <c r="F7" s="26">
        <v>10000</v>
      </c>
      <c r="G7" s="25">
        <f>F7*E7</f>
        <v>10000</v>
      </c>
      <c r="H7" s="26"/>
      <c r="I7" s="25">
        <f>G7-H7</f>
        <v>10000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⚠️ WARNING: Saurabh - ₹10000 due</v>
      </c>
    </row>
    <row r="8" spans="1:10" x14ac:dyDescent="0.2">
      <c r="A8" s="29">
        <v>45807</v>
      </c>
      <c r="B8" s="27" t="s">
        <v>31</v>
      </c>
      <c r="C8" s="27" t="s">
        <v>42</v>
      </c>
      <c r="D8" s="27" t="s">
        <v>103</v>
      </c>
      <c r="E8" s="2">
        <v>1</v>
      </c>
      <c r="F8" s="26">
        <v>10000</v>
      </c>
      <c r="G8" s="25">
        <f>F8*E8</f>
        <v>10000</v>
      </c>
      <c r="H8" s="26"/>
      <c r="I8" s="25">
        <f>G8-H8</f>
        <v>10000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⚠️ WARNING: Saurabh - ₹10000 due</v>
      </c>
    </row>
    <row r="9" spans="1:10" x14ac:dyDescent="0.2">
      <c r="A9" s="29">
        <v>45808</v>
      </c>
      <c r="B9" s="27" t="s">
        <v>9</v>
      </c>
      <c r="C9" s="27" t="s">
        <v>42</v>
      </c>
      <c r="D9" s="27" t="s">
        <v>104</v>
      </c>
      <c r="E9" s="2">
        <v>1</v>
      </c>
      <c r="F9" s="26">
        <v>10000</v>
      </c>
      <c r="G9" s="25">
        <f>F9*E9</f>
        <v>10000</v>
      </c>
      <c r="H9" s="26"/>
      <c r="I9" s="25">
        <f>G9-H9</f>
        <v>10000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⚠️ WARNING: Saurabh - ₹10000 due</v>
      </c>
    </row>
    <row r="10" spans="1:10" x14ac:dyDescent="0.2">
      <c r="A10" s="29">
        <v>45808</v>
      </c>
      <c r="B10" s="27" t="s">
        <v>9</v>
      </c>
      <c r="C10" s="27" t="s">
        <v>42</v>
      </c>
      <c r="D10" s="27" t="s">
        <v>52</v>
      </c>
      <c r="E10" s="2">
        <v>1</v>
      </c>
      <c r="F10" s="26">
        <v>10000</v>
      </c>
      <c r="G10" s="25">
        <f>F10*E10</f>
        <v>10000</v>
      </c>
      <c r="H10" s="26"/>
      <c r="I10" s="25">
        <f>G10-H10</f>
        <v>10000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⚠️ WARNING: Saurabh - ₹10000 due</v>
      </c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7"/>
      <c r="J11" s="1"/>
    </row>
    <row r="12" spans="1:10" x14ac:dyDescent="0.2">
      <c r="A12" s="29"/>
      <c r="B12" s="27"/>
      <c r="C12" s="27"/>
      <c r="D12" s="27"/>
      <c r="E12" s="2"/>
      <c r="F12" s="26"/>
      <c r="G12" s="25"/>
      <c r="H12" s="26"/>
      <c r="I12" s="25"/>
      <c r="J12" s="1"/>
    </row>
    <row r="13" spans="1:10" x14ac:dyDescent="0.2">
      <c r="A13" s="29"/>
      <c r="B13" s="27"/>
      <c r="C13" s="27"/>
      <c r="D13" s="27"/>
      <c r="E13" s="2"/>
      <c r="F13" s="26"/>
      <c r="G13" s="25"/>
      <c r="H13" s="26"/>
      <c r="I13" s="25"/>
      <c r="J13" s="1"/>
    </row>
    <row r="14" spans="1:10" x14ac:dyDescent="0.2">
      <c r="A14" s="29"/>
      <c r="B14" s="27"/>
      <c r="C14" s="27"/>
      <c r="D14" s="27"/>
      <c r="E14" s="2"/>
      <c r="F14" s="26"/>
      <c r="G14" s="25"/>
      <c r="H14" s="26"/>
      <c r="I14" s="25"/>
      <c r="J14" s="1"/>
    </row>
    <row r="15" spans="1:10" x14ac:dyDescent="0.2">
      <c r="A15" s="29"/>
      <c r="B15" s="27"/>
      <c r="C15" s="27"/>
      <c r="D15" s="27"/>
      <c r="E15" s="2"/>
      <c r="F15" s="26"/>
      <c r="G15" s="25"/>
      <c r="H15" s="26"/>
      <c r="I15" s="25"/>
      <c r="J15" s="1"/>
    </row>
    <row r="16" spans="1:10" x14ac:dyDescent="0.2">
      <c r="A16" s="29"/>
      <c r="B16" s="27"/>
      <c r="C16" s="27"/>
      <c r="D16" s="27"/>
      <c r="E16" s="27"/>
      <c r="F16" s="26"/>
      <c r="G16" s="25"/>
      <c r="H16" s="26"/>
      <c r="I16" s="25"/>
      <c r="J16" s="1"/>
    </row>
    <row r="17" spans="1:10" x14ac:dyDescent="0.2">
      <c r="A17" s="30"/>
      <c r="B17" s="31"/>
      <c r="C17" s="31"/>
      <c r="D17" s="31"/>
      <c r="E17" s="31"/>
      <c r="F17" s="32"/>
      <c r="G17" s="33"/>
      <c r="H17" s="32"/>
      <c r="I17" s="33"/>
      <c r="J17" s="23"/>
    </row>
    <row r="18" spans="1:10" ht="24" x14ac:dyDescent="0.3">
      <c r="E18" s="15" t="s">
        <v>27</v>
      </c>
      <c r="F18" s="10"/>
      <c r="G18" s="11" t="s">
        <v>23</v>
      </c>
      <c r="H18" s="11" t="s">
        <v>28</v>
      </c>
      <c r="I18" s="12" t="s">
        <v>29</v>
      </c>
    </row>
    <row r="19" spans="1:10" ht="24" x14ac:dyDescent="0.3">
      <c r="E19" s="9">
        <f>SUM(E5:E17)</f>
        <v>6</v>
      </c>
      <c r="F19" s="13"/>
      <c r="G19" s="14">
        <f>SUM(G5:G17)</f>
        <v>61000</v>
      </c>
      <c r="H19" s="14">
        <f>SUM(H5:H17)</f>
        <v>21000</v>
      </c>
      <c r="I19" s="14">
        <f>SUM(I5:I17)</f>
        <v>40000</v>
      </c>
    </row>
    <row r="26" spans="1:10" x14ac:dyDescent="0.2">
      <c r="A26" s="29">
        <v>45807</v>
      </c>
      <c r="B26" s="27" t="s">
        <v>31</v>
      </c>
      <c r="C26" s="27" t="s">
        <v>42</v>
      </c>
      <c r="D26" s="27" t="s">
        <v>102</v>
      </c>
      <c r="E26" s="2">
        <v>1</v>
      </c>
      <c r="F26" s="26">
        <v>10000</v>
      </c>
      <c r="G26" s="25">
        <f t="shared" ref="G26:G27" si="0">F26*E26</f>
        <v>10000</v>
      </c>
      <c r="H26" s="26"/>
      <c r="I26" s="25">
        <f t="shared" ref="I26:I27" si="1">G26-H26</f>
        <v>10000</v>
      </c>
      <c r="J26" s="1" t="str">
        <f t="shared" ref="J26:J27" si="2">IF(I26&gt;10000,"🚨 URGENT: "&amp;C26&amp;" owes ₹"&amp;I26,IF(I26&gt;5000,"⚠️ WARNING: "&amp;C26&amp;" - ₹"&amp;I26&amp;" due",IF(I26&gt;0,"ℹ️ "&amp;C26&amp;" - ₹"&amp;I26&amp;" pending","✅ Paid")))</f>
        <v>⚠️ WARNING: Saurabh - ₹10000 due</v>
      </c>
    </row>
    <row r="27" spans="1:10" x14ac:dyDescent="0.2">
      <c r="A27" s="29">
        <v>45807</v>
      </c>
      <c r="B27" s="27" t="s">
        <v>31</v>
      </c>
      <c r="C27" s="27" t="s">
        <v>42</v>
      </c>
      <c r="D27" s="27" t="s">
        <v>103</v>
      </c>
      <c r="E27" s="2">
        <v>1</v>
      </c>
      <c r="F27" s="26">
        <v>10000</v>
      </c>
      <c r="G27" s="25">
        <f t="shared" si="0"/>
        <v>10000</v>
      </c>
      <c r="H27" s="26"/>
      <c r="I27" s="25">
        <f t="shared" si="1"/>
        <v>10000</v>
      </c>
      <c r="J27" s="1" t="str">
        <f t="shared" si="2"/>
        <v>⚠️ WARNING: Saurabh - ₹10000 due</v>
      </c>
    </row>
    <row r="28" spans="1:10" x14ac:dyDescent="0.2">
      <c r="A28" s="29"/>
      <c r="B28" s="27"/>
      <c r="C28" s="27"/>
      <c r="D28" s="27"/>
      <c r="E28" s="2"/>
      <c r="F28" s="26"/>
      <c r="G28" s="25"/>
      <c r="H28" s="26"/>
      <c r="I28" s="25"/>
      <c r="J28" s="1"/>
    </row>
    <row r="29" spans="1:10" x14ac:dyDescent="0.2">
      <c r="A29" s="29">
        <v>45808</v>
      </c>
      <c r="B29" s="27" t="s">
        <v>9</v>
      </c>
      <c r="C29" s="27" t="s">
        <v>42</v>
      </c>
      <c r="D29" s="27" t="s">
        <v>104</v>
      </c>
      <c r="E29" s="2">
        <v>1</v>
      </c>
      <c r="F29" s="26">
        <v>10000</v>
      </c>
      <c r="G29" s="25">
        <f t="shared" ref="G29:G30" si="3">F29*E29</f>
        <v>10000</v>
      </c>
      <c r="H29" s="26"/>
      <c r="I29" s="25">
        <f t="shared" ref="I29:I30" si="4">G29-H29</f>
        <v>10000</v>
      </c>
      <c r="J29" s="1" t="str">
        <f t="shared" ref="J29:J30" si="5">IF(I29&gt;10000,"🚨 URGENT: "&amp;C29&amp;" owes ₹"&amp;I29,IF(I29&gt;5000,"⚠️ WARNING: "&amp;C29&amp;" - ₹"&amp;I29&amp;" due",IF(I29&gt;0,"ℹ️ "&amp;C29&amp;" - ₹"&amp;I29&amp;" pending","✅ Paid")))</f>
        <v>⚠️ WARNING: Saurabh - ₹10000 due</v>
      </c>
    </row>
    <row r="30" spans="1:10" x14ac:dyDescent="0.2">
      <c r="A30" s="29">
        <v>45808</v>
      </c>
      <c r="B30" s="27" t="s">
        <v>9</v>
      </c>
      <c r="C30" s="27" t="s">
        <v>42</v>
      </c>
      <c r="D30" s="27" t="s">
        <v>52</v>
      </c>
      <c r="E30" s="2">
        <v>1</v>
      </c>
      <c r="F30" s="26">
        <v>10000</v>
      </c>
      <c r="G30" s="25">
        <f t="shared" si="3"/>
        <v>10000</v>
      </c>
      <c r="H30" s="26"/>
      <c r="I30" s="25">
        <f t="shared" si="4"/>
        <v>10000</v>
      </c>
      <c r="J30" s="1" t="str">
        <f t="shared" si="5"/>
        <v>⚠️ WARNING: Saurabh - ₹10000 due</v>
      </c>
    </row>
  </sheetData>
  <mergeCells count="2">
    <mergeCell ref="A1:J1"/>
    <mergeCell ref="A2:J2"/>
  </mergeCells>
  <conditionalFormatting sqref="J5:J17">
    <cfRule type="containsText" dxfId="43" priority="5" operator="containsText" text="✅">
      <formula>NOT(ISERROR(SEARCH("✅",J5)))</formula>
    </cfRule>
    <cfRule type="containsText" dxfId="42" priority="6" operator="containsText" text="ℹ️">
      <formula>NOT(ISERROR(SEARCH("ℹ️",J5)))</formula>
    </cfRule>
    <cfRule type="containsText" dxfId="41" priority="7" operator="containsText" text="⚠️">
      <formula>NOT(ISERROR(SEARCH("⚠️",J5)))</formula>
    </cfRule>
    <cfRule type="containsText" dxfId="40" priority="8" operator="containsText" text="🚨">
      <formula>NOT(ISERROR(SEARCH("🚨",J5)))</formula>
    </cfRule>
  </conditionalFormatting>
  <conditionalFormatting sqref="J26:J30">
    <cfRule type="containsText" dxfId="39" priority="1" operator="containsText" text="✅">
      <formula>NOT(ISERROR(SEARCH("✅",J26)))</formula>
    </cfRule>
    <cfRule type="containsText" dxfId="38" priority="2" operator="containsText" text="ℹ️">
      <formula>NOT(ISERROR(SEARCH("ℹ️",J26)))</formula>
    </cfRule>
    <cfRule type="containsText" dxfId="37" priority="3" operator="containsText" text="⚠️">
      <formula>NOT(ISERROR(SEARCH("⚠️",J26)))</formula>
    </cfRule>
    <cfRule type="containsText" dxfId="36" priority="4" operator="containsText" text="🚨">
      <formula>NOT(ISERROR(SEARCH("🚨",J26)))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F0B3-635A-4555-AC16-6C062B6246A6}">
  <sheetPr codeName="Sheet6"/>
  <dimension ref="A1:J17"/>
  <sheetViews>
    <sheetView zoomScale="178" zoomScaleNormal="115" workbookViewId="0">
      <selection activeCell="A5" sqref="A5:I9"/>
    </sheetView>
  </sheetViews>
  <sheetFormatPr baseColWidth="10" defaultColWidth="8.83203125" defaultRowHeight="15" x14ac:dyDescent="0.2"/>
  <cols>
    <col min="1" max="1" width="20.1640625" bestFit="1" customWidth="1"/>
    <col min="2" max="2" width="12.1640625" bestFit="1" customWidth="1"/>
    <col min="3" max="3" width="18.5" bestFit="1" customWidth="1"/>
    <col min="4" max="4" width="20.1640625" bestFit="1" customWidth="1"/>
    <col min="5" max="5" width="16.5" bestFit="1" customWidth="1"/>
    <col min="6" max="6" width="12.33203125" bestFit="1" customWidth="1"/>
    <col min="7" max="7" width="21.33203125" bestFit="1" customWidth="1"/>
    <col min="8" max="8" width="17.6640625" bestFit="1" customWidth="1"/>
    <col min="9" max="9" width="22.1640625" bestFit="1" customWidth="1"/>
    <col min="10" max="10" width="33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65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1"/>
    </row>
    <row r="5" spans="1:10" x14ac:dyDescent="0.2">
      <c r="A5" s="6">
        <v>45814</v>
      </c>
      <c r="B5" s="5" t="s">
        <v>31</v>
      </c>
      <c r="C5" s="5" t="s">
        <v>45</v>
      </c>
      <c r="D5" s="5" t="s">
        <v>53</v>
      </c>
      <c r="E5" s="5">
        <v>1</v>
      </c>
      <c r="F5" s="7">
        <v>9000</v>
      </c>
      <c r="G5" s="7">
        <f>F5*E5</f>
        <v>9000</v>
      </c>
      <c r="H5" s="7"/>
      <c r="I5" s="3">
        <f>G5-H5</f>
        <v>9000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⚠️ WARNING: Saurabh  - ₹9000 due</v>
      </c>
    </row>
    <row r="6" spans="1:10" x14ac:dyDescent="0.2">
      <c r="A6" s="6">
        <v>45815</v>
      </c>
      <c r="B6" s="2" t="s">
        <v>31</v>
      </c>
      <c r="C6" s="5" t="s">
        <v>45</v>
      </c>
      <c r="D6" s="2" t="s">
        <v>54</v>
      </c>
      <c r="E6" s="2">
        <v>1</v>
      </c>
      <c r="F6" s="8">
        <v>9000</v>
      </c>
      <c r="G6" s="7">
        <f t="shared" ref="G6:G9" si="0">F6*E6</f>
        <v>9000</v>
      </c>
      <c r="H6" s="8">
        <v>9000</v>
      </c>
      <c r="I6" s="3">
        <f t="shared" ref="I6:I9" si="1">G6-H6</f>
        <v>0</v>
      </c>
      <c r="J6" s="1" t="str">
        <f t="shared" ref="J6:J10" si="2"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6">
        <v>45820</v>
      </c>
      <c r="B7" s="2" t="s">
        <v>42</v>
      </c>
      <c r="C7" s="5" t="s">
        <v>45</v>
      </c>
      <c r="D7" s="2" t="s">
        <v>4</v>
      </c>
      <c r="E7" s="2">
        <v>1</v>
      </c>
      <c r="F7" s="8">
        <v>9000</v>
      </c>
      <c r="G7" s="7">
        <f t="shared" si="0"/>
        <v>9000</v>
      </c>
      <c r="H7" s="8">
        <v>9000</v>
      </c>
      <c r="I7" s="3">
        <f t="shared" si="1"/>
        <v>0</v>
      </c>
      <c r="J7" s="1" t="str">
        <f t="shared" si="2"/>
        <v>✅ Paid</v>
      </c>
    </row>
    <row r="8" spans="1:10" x14ac:dyDescent="0.2">
      <c r="A8" s="6">
        <v>45823</v>
      </c>
      <c r="B8" s="2" t="s">
        <v>31</v>
      </c>
      <c r="C8" s="5" t="s">
        <v>45</v>
      </c>
      <c r="D8" s="2" t="s">
        <v>55</v>
      </c>
      <c r="E8" s="2">
        <v>2</v>
      </c>
      <c r="F8" s="8">
        <v>9000</v>
      </c>
      <c r="G8" s="7">
        <f t="shared" si="0"/>
        <v>18000</v>
      </c>
      <c r="H8" s="8">
        <v>18000</v>
      </c>
      <c r="I8" s="3">
        <f t="shared" si="1"/>
        <v>0</v>
      </c>
      <c r="J8" s="1" t="str">
        <f t="shared" si="2"/>
        <v>✅ Paid</v>
      </c>
    </row>
    <row r="9" spans="1:10" x14ac:dyDescent="0.2">
      <c r="A9" s="6">
        <v>45829</v>
      </c>
      <c r="B9" s="2" t="s">
        <v>42</v>
      </c>
      <c r="C9" s="5" t="s">
        <v>45</v>
      </c>
      <c r="D9" s="2" t="s">
        <v>4</v>
      </c>
      <c r="E9" s="2">
        <v>1</v>
      </c>
      <c r="F9" s="8">
        <v>9000</v>
      </c>
      <c r="G9" s="7">
        <f t="shared" si="0"/>
        <v>9000</v>
      </c>
      <c r="H9" s="8">
        <v>9000</v>
      </c>
      <c r="I9" s="3">
        <f t="shared" si="1"/>
        <v>0</v>
      </c>
      <c r="J9" s="1" t="str">
        <f t="shared" si="2"/>
        <v>✅ Paid</v>
      </c>
    </row>
    <row r="10" spans="1:10" x14ac:dyDescent="0.2">
      <c r="A10" s="6"/>
      <c r="B10" s="2"/>
      <c r="C10" s="2"/>
      <c r="D10" s="2"/>
      <c r="E10" s="2"/>
      <c r="F10" s="8"/>
      <c r="G10" s="7"/>
      <c r="H10" s="8"/>
      <c r="I10" s="3"/>
      <c r="J10" s="1" t="str">
        <f t="shared" si="2"/>
        <v>✅ Paid</v>
      </c>
    </row>
    <row r="11" spans="1:10" ht="24" x14ac:dyDescent="0.3">
      <c r="E11" s="15" t="s">
        <v>27</v>
      </c>
      <c r="F11" s="10"/>
      <c r="G11" s="11" t="s">
        <v>23</v>
      </c>
      <c r="H11" s="11" t="s">
        <v>28</v>
      </c>
      <c r="I11" s="12" t="s">
        <v>29</v>
      </c>
    </row>
    <row r="12" spans="1:10" ht="24" x14ac:dyDescent="0.3">
      <c r="E12" s="9">
        <f>SUM(E5:E10)</f>
        <v>6</v>
      </c>
      <c r="F12" s="13"/>
      <c r="G12" s="14">
        <f>SUM(G5:G10)</f>
        <v>54000</v>
      </c>
      <c r="H12" s="14">
        <f>SUM(H5:H10)</f>
        <v>45000</v>
      </c>
      <c r="I12" s="14">
        <f>SUM(I5:I10)</f>
        <v>9000</v>
      </c>
    </row>
    <row r="17" spans="1:10" x14ac:dyDescent="0.2">
      <c r="A17" s="6">
        <v>45814</v>
      </c>
      <c r="B17" s="5" t="s">
        <v>31</v>
      </c>
      <c r="C17" s="5" t="s">
        <v>45</v>
      </c>
      <c r="D17" s="5" t="s">
        <v>53</v>
      </c>
      <c r="E17" s="5">
        <v>1</v>
      </c>
      <c r="F17" s="7">
        <v>9000</v>
      </c>
      <c r="G17" s="7">
        <f>F17*E17</f>
        <v>9000</v>
      </c>
      <c r="H17" s="7"/>
      <c r="I17" s="3">
        <f>G17-H17</f>
        <v>9000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⚠️ WARNING: Saurabh  - ₹9000 due</v>
      </c>
    </row>
  </sheetData>
  <mergeCells count="2">
    <mergeCell ref="A1:J1"/>
    <mergeCell ref="A2:J2"/>
  </mergeCells>
  <conditionalFormatting sqref="J5:J10">
    <cfRule type="containsText" dxfId="35" priority="5" operator="containsText" text="✅">
      <formula>NOT(ISERROR(SEARCH("✅",J5)))</formula>
    </cfRule>
    <cfRule type="containsText" dxfId="34" priority="6" operator="containsText" text="ℹ️">
      <formula>NOT(ISERROR(SEARCH("ℹ️",J5)))</formula>
    </cfRule>
    <cfRule type="containsText" dxfId="33" priority="7" operator="containsText" text="⚠️">
      <formula>NOT(ISERROR(SEARCH("⚠️",J5)))</formula>
    </cfRule>
    <cfRule type="containsText" dxfId="32" priority="8" operator="containsText" text="🚨">
      <formula>NOT(ISERROR(SEARCH("🚨",J5)))</formula>
    </cfRule>
  </conditionalFormatting>
  <conditionalFormatting sqref="J17">
    <cfRule type="containsText" dxfId="31" priority="1" operator="containsText" text="✅">
      <formula>NOT(ISERROR(SEARCH("✅",J17)))</formula>
    </cfRule>
    <cfRule type="containsText" dxfId="30" priority="2" operator="containsText" text="ℹ️">
      <formula>NOT(ISERROR(SEARCH("ℹ️",J17)))</formula>
    </cfRule>
    <cfRule type="containsText" dxfId="29" priority="3" operator="containsText" text="⚠️">
      <formula>NOT(ISERROR(SEARCH("⚠️",J17)))</formula>
    </cfRule>
    <cfRule type="containsText" dxfId="28" priority="4" operator="containsText" text="🚨">
      <formula>NOT(ISERROR(SEARCH("🚨",J17)))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2E02-F69C-B349-9595-447CDD44A86B}">
  <sheetPr codeName="Sheet7"/>
  <dimension ref="A1:J11"/>
  <sheetViews>
    <sheetView zoomScale="137" workbookViewId="0">
      <selection activeCell="A7" sqref="A7:I7"/>
    </sheetView>
  </sheetViews>
  <sheetFormatPr baseColWidth="10" defaultColWidth="8.83203125" defaultRowHeight="15" x14ac:dyDescent="0.2"/>
  <cols>
    <col min="1" max="1" width="20.1640625" bestFit="1" customWidth="1"/>
    <col min="2" max="2" width="12.1640625" bestFit="1" customWidth="1"/>
    <col min="3" max="3" width="18.5" bestFit="1" customWidth="1"/>
    <col min="4" max="4" width="20.1640625" bestFit="1" customWidth="1"/>
    <col min="5" max="5" width="16.5" bestFit="1" customWidth="1"/>
    <col min="6" max="6" width="12.33203125" bestFit="1" customWidth="1"/>
    <col min="7" max="7" width="21.33203125" bestFit="1" customWidth="1"/>
    <col min="8" max="8" width="17.6640625" bestFit="1" customWidth="1"/>
    <col min="9" max="9" width="22.1640625" bestFit="1" customWidth="1"/>
    <col min="10" max="10" width="27.16406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82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  <c r="J4" s="1"/>
    </row>
    <row r="5" spans="1:10" x14ac:dyDescent="0.2">
      <c r="A5" s="29">
        <v>45857</v>
      </c>
      <c r="B5" s="27" t="s">
        <v>42</v>
      </c>
      <c r="C5" s="27" t="s">
        <v>66</v>
      </c>
      <c r="D5" s="27" t="s">
        <v>41</v>
      </c>
      <c r="E5" s="27">
        <v>1</v>
      </c>
      <c r="F5" s="25">
        <v>10000</v>
      </c>
      <c r="G5" s="25">
        <f>F5*E5</f>
        <v>10000</v>
      </c>
      <c r="H5" s="25"/>
      <c r="I5" s="25">
        <f>G5-H5</f>
        <v>10000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⚠️ WARNING: Guru - ₹10000 due</v>
      </c>
    </row>
    <row r="6" spans="1:10" x14ac:dyDescent="0.2">
      <c r="A6" s="29"/>
      <c r="B6" s="27"/>
      <c r="C6" s="27"/>
      <c r="D6" s="27"/>
      <c r="E6" s="27"/>
      <c r="F6" s="25"/>
      <c r="G6" s="25"/>
      <c r="H6" s="25"/>
      <c r="I6" s="25"/>
      <c r="J6" s="1"/>
    </row>
    <row r="7" spans="1:10" x14ac:dyDescent="0.2">
      <c r="A7" s="29">
        <v>45858</v>
      </c>
      <c r="B7" s="27" t="s">
        <v>5</v>
      </c>
      <c r="C7" s="27" t="s">
        <v>42</v>
      </c>
      <c r="D7" s="27" t="s">
        <v>4</v>
      </c>
      <c r="E7" s="27">
        <v>1</v>
      </c>
      <c r="F7" s="26">
        <v>9000</v>
      </c>
      <c r="G7" s="25">
        <f t="shared" ref="G7" si="0">F7*E7</f>
        <v>9000</v>
      </c>
      <c r="H7" s="26">
        <v>9000</v>
      </c>
      <c r="I7" s="25">
        <f t="shared" ref="I7" si="1">G7-H7</f>
        <v>0</v>
      </c>
      <c r="J7" s="1" t="str">
        <f t="shared" ref="J7" si="2"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6"/>
      <c r="B8" s="2"/>
      <c r="C8" s="5"/>
      <c r="D8" s="2"/>
      <c r="E8" s="2"/>
      <c r="F8" s="8"/>
      <c r="G8" s="7"/>
      <c r="H8" s="8"/>
      <c r="I8" s="3"/>
      <c r="J8" s="1"/>
    </row>
    <row r="9" spans="1:10" x14ac:dyDescent="0.2">
      <c r="A9" s="6"/>
      <c r="B9" s="2"/>
      <c r="C9" s="2"/>
      <c r="D9" s="2"/>
      <c r="E9" s="2"/>
      <c r="F9" s="8"/>
      <c r="G9" s="7"/>
      <c r="H9" s="8"/>
      <c r="I9" s="3"/>
      <c r="J9" s="1"/>
    </row>
    <row r="10" spans="1:10" ht="24" x14ac:dyDescent="0.3">
      <c r="E10" s="15" t="s">
        <v>27</v>
      </c>
      <c r="F10" s="10"/>
      <c r="G10" s="11" t="s">
        <v>23</v>
      </c>
      <c r="H10" s="11" t="s">
        <v>28</v>
      </c>
      <c r="I10" s="12" t="s">
        <v>29</v>
      </c>
    </row>
    <row r="11" spans="1:10" ht="24" x14ac:dyDescent="0.3">
      <c r="E11" s="9">
        <f>SUM(E5:E9)</f>
        <v>2</v>
      </c>
      <c r="F11" s="13"/>
      <c r="G11" s="14">
        <f>SUM(G5:G9)</f>
        <v>19000</v>
      </c>
      <c r="H11" s="14">
        <f>SUM(H5:H9)</f>
        <v>9000</v>
      </c>
      <c r="I11" s="14">
        <f>SUM(I5:I9)</f>
        <v>10000</v>
      </c>
    </row>
  </sheetData>
  <mergeCells count="2">
    <mergeCell ref="A1:J1"/>
    <mergeCell ref="A2:J2"/>
  </mergeCells>
  <conditionalFormatting sqref="J5:J9">
    <cfRule type="containsText" dxfId="27" priority="1" operator="containsText" text="✅">
      <formula>NOT(ISERROR(SEARCH("✅",J5)))</formula>
    </cfRule>
    <cfRule type="containsText" dxfId="26" priority="2" operator="containsText" text="ℹ️">
      <formula>NOT(ISERROR(SEARCH("ℹ️",J5)))</formula>
    </cfRule>
    <cfRule type="containsText" dxfId="25" priority="3" operator="containsText" text="⚠️">
      <formula>NOT(ISERROR(SEARCH("⚠️",J5)))</formula>
    </cfRule>
    <cfRule type="containsText" dxfId="24" priority="4" operator="containsText" text="🚨">
      <formula>NOT(ISERROR(SEARCH("🚨",J5)))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5537-B447-1747-B96E-2D16156F17F2}">
  <sheetPr codeName="Sheet8"/>
  <dimension ref="A1:J31"/>
  <sheetViews>
    <sheetView zoomScale="159" zoomScaleNormal="100" workbookViewId="0">
      <selection activeCell="A4" sqref="A4:I14"/>
    </sheetView>
  </sheetViews>
  <sheetFormatPr baseColWidth="10" defaultColWidth="11.5" defaultRowHeight="15" x14ac:dyDescent="0.2"/>
  <cols>
    <col min="1" max="1" width="23.33203125" bestFit="1" customWidth="1"/>
    <col min="2" max="2" width="13.33203125" customWidth="1"/>
    <col min="3" max="3" width="22.83203125" bestFit="1" customWidth="1"/>
    <col min="4" max="4" width="22.5" bestFit="1" customWidth="1"/>
    <col min="5" max="5" width="16.5" bestFit="1" customWidth="1"/>
    <col min="7" max="7" width="21.33203125" bestFit="1" customWidth="1"/>
    <col min="8" max="8" width="17.6640625" bestFit="1" customWidth="1"/>
    <col min="9" max="9" width="19.83203125" bestFit="1" customWidth="1"/>
    <col min="10" max="10" width="48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81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45877</v>
      </c>
      <c r="B4" s="27" t="s">
        <v>2</v>
      </c>
      <c r="C4" s="27" t="s">
        <v>70</v>
      </c>
      <c r="D4" s="27" t="s">
        <v>71</v>
      </c>
      <c r="E4" s="2">
        <v>2</v>
      </c>
      <c r="F4" s="25">
        <v>2000</v>
      </c>
      <c r="G4" s="25">
        <f>F4*E4</f>
        <v>4000</v>
      </c>
      <c r="H4" s="25">
        <v>4000</v>
      </c>
      <c r="I4" s="25">
        <f>G4-H4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45878</v>
      </c>
      <c r="B5" s="27" t="s">
        <v>2</v>
      </c>
      <c r="C5" s="27" t="s">
        <v>67</v>
      </c>
      <c r="D5" s="27" t="s">
        <v>41</v>
      </c>
      <c r="E5" s="2">
        <v>1</v>
      </c>
      <c r="F5" s="25">
        <v>10000</v>
      </c>
      <c r="G5" s="25">
        <f>F5*E5</f>
        <v>10000</v>
      </c>
      <c r="H5" s="25">
        <v>10000</v>
      </c>
      <c r="I5" s="25">
        <f>G5-H5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9">
        <v>45878</v>
      </c>
      <c r="B6" s="27" t="s">
        <v>2</v>
      </c>
      <c r="C6" s="27" t="s">
        <v>68</v>
      </c>
      <c r="D6" s="27" t="s">
        <v>69</v>
      </c>
      <c r="E6" s="2">
        <v>1</v>
      </c>
      <c r="F6" s="26">
        <v>2000</v>
      </c>
      <c r="G6" s="25">
        <f>F6*E6</f>
        <v>2000</v>
      </c>
      <c r="H6" s="26">
        <v>2000</v>
      </c>
      <c r="I6" s="25">
        <f>G6-H6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29">
        <v>45883</v>
      </c>
      <c r="B7" s="27" t="s">
        <v>2</v>
      </c>
      <c r="C7" s="27" t="s">
        <v>42</v>
      </c>
      <c r="D7" s="27" t="s">
        <v>105</v>
      </c>
      <c r="E7" s="2">
        <v>1</v>
      </c>
      <c r="F7" s="26">
        <v>10000</v>
      </c>
      <c r="G7" s="25">
        <f>F7*E7</f>
        <v>10000</v>
      </c>
      <c r="H7" s="26">
        <v>5000</v>
      </c>
      <c r="I7" s="25">
        <f>G7-H7</f>
        <v>5000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ℹ️ Saurabh - ₹5000 pending</v>
      </c>
    </row>
    <row r="8" spans="1:10" x14ac:dyDescent="0.2">
      <c r="A8" s="29">
        <v>45883</v>
      </c>
      <c r="B8" s="27" t="s">
        <v>73</v>
      </c>
      <c r="C8" s="27" t="s">
        <v>42</v>
      </c>
      <c r="D8" s="27" t="s">
        <v>106</v>
      </c>
      <c r="E8" s="2">
        <v>1</v>
      </c>
      <c r="F8" s="26">
        <v>10000</v>
      </c>
      <c r="G8" s="25">
        <f>F8*E8</f>
        <v>10000</v>
      </c>
      <c r="H8" s="26"/>
      <c r="I8" s="25">
        <f>G8-H8</f>
        <v>10000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⚠️ WARNING: Saurabh - ₹10000 due</v>
      </c>
    </row>
    <row r="9" spans="1:10" x14ac:dyDescent="0.2">
      <c r="A9" s="29">
        <v>45886</v>
      </c>
      <c r="B9" s="27" t="s">
        <v>73</v>
      </c>
      <c r="C9" s="27" t="s">
        <v>74</v>
      </c>
      <c r="D9" s="27" t="s">
        <v>4</v>
      </c>
      <c r="E9" s="2">
        <v>1</v>
      </c>
      <c r="F9" s="26">
        <v>10000</v>
      </c>
      <c r="G9" s="25">
        <f>F9*E9</f>
        <v>10000</v>
      </c>
      <c r="H9" s="26">
        <v>10000</v>
      </c>
      <c r="I9" s="25">
        <f>G9-H9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29">
        <v>45886</v>
      </c>
      <c r="B10" s="27" t="s">
        <v>2</v>
      </c>
      <c r="C10" s="27" t="s">
        <v>75</v>
      </c>
      <c r="D10" s="27" t="s">
        <v>76</v>
      </c>
      <c r="E10" s="2">
        <v>2</v>
      </c>
      <c r="F10" s="26">
        <v>9000</v>
      </c>
      <c r="G10" s="25">
        <f>F10*E10</f>
        <v>18000</v>
      </c>
      <c r="H10" s="26">
        <v>18000</v>
      </c>
      <c r="I10" s="25">
        <f>G10-H10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x14ac:dyDescent="0.2">
      <c r="A11" s="29">
        <v>45887</v>
      </c>
      <c r="B11" s="27" t="s">
        <v>2</v>
      </c>
      <c r="C11" s="27" t="s">
        <v>72</v>
      </c>
      <c r="D11" s="27" t="s">
        <v>41</v>
      </c>
      <c r="E11" s="2">
        <v>1</v>
      </c>
      <c r="F11" s="26">
        <v>10500</v>
      </c>
      <c r="G11" s="25">
        <f>F11*E11</f>
        <v>10500</v>
      </c>
      <c r="H11" s="26">
        <v>10500</v>
      </c>
      <c r="I11" s="25">
        <f>G11-H11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29">
        <v>45889</v>
      </c>
      <c r="B12" s="27" t="s">
        <v>2</v>
      </c>
      <c r="C12" s="27" t="s">
        <v>42</v>
      </c>
      <c r="D12" s="27" t="s">
        <v>4</v>
      </c>
      <c r="E12" s="2">
        <v>1</v>
      </c>
      <c r="F12" s="26">
        <v>10000</v>
      </c>
      <c r="G12" s="25">
        <v>10000</v>
      </c>
      <c r="H12" s="26">
        <v>10000</v>
      </c>
      <c r="I12" s="25">
        <f>H12-G12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x14ac:dyDescent="0.2">
      <c r="A13" s="29">
        <v>45890</v>
      </c>
      <c r="B13" s="27" t="s">
        <v>77</v>
      </c>
      <c r="C13" s="27" t="s">
        <v>72</v>
      </c>
      <c r="D13" s="27" t="s">
        <v>41</v>
      </c>
      <c r="E13" s="2">
        <v>1</v>
      </c>
      <c r="F13" s="26">
        <v>11000</v>
      </c>
      <c r="G13" s="25">
        <f>F13*E13</f>
        <v>11000</v>
      </c>
      <c r="H13" s="26">
        <v>11000</v>
      </c>
      <c r="I13" s="25">
        <f>H13-G13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x14ac:dyDescent="0.2">
      <c r="A14" s="29">
        <v>45899</v>
      </c>
      <c r="B14" s="27" t="s">
        <v>78</v>
      </c>
      <c r="C14" s="27" t="s">
        <v>79</v>
      </c>
      <c r="D14" s="27" t="s">
        <v>80</v>
      </c>
      <c r="E14" s="2">
        <v>1</v>
      </c>
      <c r="F14" s="26">
        <v>9500</v>
      </c>
      <c r="G14" s="25">
        <f>F14*E14</f>
        <v>9500</v>
      </c>
      <c r="H14" s="26">
        <v>9500</v>
      </c>
      <c r="I14" s="25">
        <f>H14-G14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  <c r="J15" s="1"/>
    </row>
    <row r="16" spans="1:10" x14ac:dyDescent="0.2">
      <c r="A16" s="29"/>
      <c r="B16" s="27"/>
      <c r="C16" s="27"/>
      <c r="D16" s="27"/>
      <c r="E16" s="2"/>
      <c r="F16" s="26"/>
      <c r="G16" s="25"/>
      <c r="H16" s="26"/>
      <c r="I16" s="25"/>
      <c r="J16" s="1"/>
    </row>
    <row r="17" spans="1:10" x14ac:dyDescent="0.2">
      <c r="A17" s="29"/>
      <c r="B17" s="27"/>
      <c r="C17" s="27"/>
      <c r="D17" s="27"/>
      <c r="E17" s="2"/>
      <c r="F17" s="26"/>
      <c r="G17" s="25"/>
      <c r="H17" s="26"/>
      <c r="I17" s="25"/>
      <c r="J17" s="1"/>
    </row>
    <row r="18" spans="1:10" x14ac:dyDescent="0.2">
      <c r="A18" s="29"/>
      <c r="B18" s="27"/>
      <c r="C18" s="27"/>
      <c r="D18" s="27"/>
      <c r="E18" s="2"/>
      <c r="F18" s="26"/>
      <c r="G18" s="25"/>
      <c r="H18" s="26"/>
      <c r="I18" s="25"/>
      <c r="J18" s="1"/>
    </row>
    <row r="19" spans="1:10" x14ac:dyDescent="0.2">
      <c r="A19" s="29"/>
      <c r="B19" s="27"/>
      <c r="C19" s="27"/>
      <c r="D19" s="27"/>
      <c r="E19" s="2"/>
      <c r="F19" s="26"/>
      <c r="G19" s="25"/>
      <c r="H19" s="26"/>
      <c r="I19" s="25"/>
      <c r="J19" s="1"/>
    </row>
    <row r="20" spans="1:10" x14ac:dyDescent="0.2">
      <c r="A20" s="29"/>
      <c r="B20" s="27"/>
      <c r="C20" s="27"/>
      <c r="D20" s="27"/>
      <c r="E20" s="2"/>
      <c r="F20" s="26"/>
      <c r="G20" s="25"/>
      <c r="H20" s="26"/>
      <c r="I20" s="25"/>
      <c r="J20" s="1"/>
    </row>
    <row r="21" spans="1:10" x14ac:dyDescent="0.2">
      <c r="A21" s="29"/>
      <c r="B21" s="27"/>
      <c r="C21" s="27"/>
      <c r="D21" s="27"/>
      <c r="E21" s="2"/>
      <c r="F21" s="26"/>
      <c r="G21" s="25"/>
      <c r="H21" s="26"/>
      <c r="I21" s="25"/>
      <c r="J21" s="1"/>
    </row>
    <row r="22" spans="1:10" x14ac:dyDescent="0.2">
      <c r="A22" s="29"/>
      <c r="B22" s="27"/>
      <c r="C22" s="27"/>
      <c r="D22" s="27"/>
      <c r="E22" s="2"/>
      <c r="F22" s="26"/>
      <c r="G22" s="25"/>
      <c r="H22" s="26"/>
      <c r="I22" s="25"/>
      <c r="J22" s="1"/>
    </row>
    <row r="23" spans="1:10" x14ac:dyDescent="0.2">
      <c r="A23" s="30"/>
      <c r="B23" s="31"/>
      <c r="C23" s="31"/>
      <c r="D23" s="31"/>
      <c r="E23" s="20"/>
      <c r="F23" s="32"/>
      <c r="G23" s="33"/>
      <c r="H23" s="32"/>
      <c r="I23" s="33"/>
      <c r="J23" s="23"/>
    </row>
    <row r="24" spans="1:10" ht="24" x14ac:dyDescent="0.3">
      <c r="E24" s="15" t="s">
        <v>27</v>
      </c>
      <c r="F24" s="10"/>
      <c r="G24" s="11" t="s">
        <v>23</v>
      </c>
      <c r="H24" s="11" t="s">
        <v>28</v>
      </c>
      <c r="I24" s="12" t="s">
        <v>29</v>
      </c>
    </row>
    <row r="25" spans="1:10" ht="24" x14ac:dyDescent="0.3">
      <c r="E25" s="9">
        <f>SUM(E5:E23)</f>
        <v>11</v>
      </c>
      <c r="F25" s="13"/>
      <c r="G25" s="14">
        <f>SUM(G5:G23)</f>
        <v>101000</v>
      </c>
      <c r="H25" s="14">
        <f>SUM(H5:H23)</f>
        <v>86000</v>
      </c>
      <c r="I25" s="14">
        <f>SUM(I5:I23)</f>
        <v>15000</v>
      </c>
    </row>
    <row r="30" spans="1:10" x14ac:dyDescent="0.2">
      <c r="A30" s="29">
        <v>45883</v>
      </c>
      <c r="B30" s="27" t="s">
        <v>2</v>
      </c>
      <c r="C30" s="27" t="s">
        <v>42</v>
      </c>
      <c r="D30" s="27" t="s">
        <v>105</v>
      </c>
      <c r="E30" s="2">
        <v>1</v>
      </c>
      <c r="F30" s="26">
        <v>10000</v>
      </c>
      <c r="G30" s="25">
        <f t="shared" ref="G30:G31" si="0">F30*E30</f>
        <v>10000</v>
      </c>
      <c r="H30" s="26">
        <v>5000</v>
      </c>
      <c r="I30" s="25">
        <f t="shared" ref="I30:I31" si="1">G30-H30</f>
        <v>5000</v>
      </c>
      <c r="J30" s="1" t="str">
        <f t="shared" ref="J30:J31" si="2">IF(I30&gt;10000,"🚨 URGENT: "&amp;C30&amp;" owes ₹"&amp;I30,IF(I30&gt;5000,"⚠️ WARNING: "&amp;C30&amp;" - ₹"&amp;I30&amp;" due",IF(I30&gt;0,"ℹ️ "&amp;C30&amp;" - ₹"&amp;I30&amp;" pending","✅ Paid")))</f>
        <v>ℹ️ Saurabh - ₹5000 pending</v>
      </c>
    </row>
    <row r="31" spans="1:10" x14ac:dyDescent="0.2">
      <c r="A31" s="29">
        <v>45883</v>
      </c>
      <c r="B31" s="27" t="s">
        <v>73</v>
      </c>
      <c r="C31" s="27" t="s">
        <v>42</v>
      </c>
      <c r="D31" s="27" t="s">
        <v>106</v>
      </c>
      <c r="E31" s="2">
        <v>1</v>
      </c>
      <c r="F31" s="26">
        <v>10000</v>
      </c>
      <c r="G31" s="25">
        <f t="shared" si="0"/>
        <v>10000</v>
      </c>
      <c r="H31" s="26"/>
      <c r="I31" s="25">
        <f t="shared" si="1"/>
        <v>10000</v>
      </c>
      <c r="J31" s="1" t="str">
        <f t="shared" si="2"/>
        <v>⚠️ WARNING: Saurabh - ₹10000 due</v>
      </c>
    </row>
  </sheetData>
  <mergeCells count="2">
    <mergeCell ref="A1:J1"/>
    <mergeCell ref="A2:J2"/>
  </mergeCells>
  <conditionalFormatting sqref="J5:J23">
    <cfRule type="containsText" dxfId="23" priority="5" operator="containsText" text="✅">
      <formula>NOT(ISERROR(SEARCH("✅",J5)))</formula>
    </cfRule>
    <cfRule type="containsText" dxfId="22" priority="6" operator="containsText" text="ℹ️">
      <formula>NOT(ISERROR(SEARCH("ℹ️",J5)))</formula>
    </cfRule>
    <cfRule type="containsText" dxfId="21" priority="7" operator="containsText" text="⚠️">
      <formula>NOT(ISERROR(SEARCH("⚠️",J5)))</formula>
    </cfRule>
    <cfRule type="containsText" dxfId="20" priority="8" operator="containsText" text="🚨">
      <formula>NOT(ISERROR(SEARCH("🚨",J5)))</formula>
    </cfRule>
  </conditionalFormatting>
  <conditionalFormatting sqref="J30:J31">
    <cfRule type="containsText" dxfId="19" priority="1" operator="containsText" text="✅">
      <formula>NOT(ISERROR(SEARCH("✅",J30)))</formula>
    </cfRule>
    <cfRule type="containsText" dxfId="18" priority="2" operator="containsText" text="ℹ️">
      <formula>NOT(ISERROR(SEARCH("ℹ️",J30)))</formula>
    </cfRule>
    <cfRule type="containsText" dxfId="17" priority="3" operator="containsText" text="⚠️">
      <formula>NOT(ISERROR(SEARCH("⚠️",J30)))</formula>
    </cfRule>
    <cfRule type="containsText" dxfId="16" priority="4" operator="containsText" text="🚨">
      <formula>NOT(ISERROR(SEARCH("🚨",J30)))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745B-423A-094D-8AAE-28F2F685B7CB}">
  <sheetPr codeName="Sheet9"/>
  <dimension ref="A1:J29"/>
  <sheetViews>
    <sheetView zoomScale="115" zoomScaleNormal="100" workbookViewId="0">
      <pane ySplit="3" topLeftCell="A4" activePane="bottomLeft" state="frozen"/>
      <selection pane="bottomLeft" activeCell="A4" sqref="A4:I19"/>
    </sheetView>
  </sheetViews>
  <sheetFormatPr baseColWidth="10" defaultColWidth="11.5" defaultRowHeight="15" x14ac:dyDescent="0.2"/>
  <cols>
    <col min="1" max="1" width="26.83203125" bestFit="1" customWidth="1"/>
    <col min="2" max="2" width="12.83203125" customWidth="1"/>
    <col min="3" max="3" width="25.33203125" bestFit="1" customWidth="1"/>
    <col min="4" max="4" width="21.83203125" bestFit="1" customWidth="1"/>
    <col min="5" max="5" width="14.5" bestFit="1" customWidth="1"/>
    <col min="6" max="6" width="16.33203125" bestFit="1" customWidth="1"/>
    <col min="7" max="7" width="20.33203125" customWidth="1"/>
    <col min="8" max="8" width="18.5" bestFit="1" customWidth="1"/>
    <col min="9" max="9" width="22.1640625" bestFit="1" customWidth="1"/>
    <col min="10" max="10" width="36.8320312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83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45901</v>
      </c>
      <c r="B4" s="27" t="s">
        <v>2</v>
      </c>
      <c r="C4" s="27" t="s">
        <v>35</v>
      </c>
      <c r="D4" s="27" t="s">
        <v>4</v>
      </c>
      <c r="E4" s="2">
        <v>3</v>
      </c>
      <c r="F4" s="25">
        <v>9800</v>
      </c>
      <c r="G4" s="25">
        <f>Table1[[#This Row],[Rate /Trips]]*Table1[[#This Row],[Trips]]</f>
        <v>29400</v>
      </c>
      <c r="H4" s="25">
        <v>29400</v>
      </c>
      <c r="I4" s="25">
        <f>Table1[[#This Row],[Total Value]]-Table1[[#This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45901</v>
      </c>
      <c r="B5" s="27" t="s">
        <v>2</v>
      </c>
      <c r="C5" s="27" t="s">
        <v>35</v>
      </c>
      <c r="D5" s="27" t="s">
        <v>87</v>
      </c>
      <c r="E5" s="2">
        <v>1</v>
      </c>
      <c r="F5" s="25">
        <v>10000</v>
      </c>
      <c r="G5" s="25">
        <f>Table1[[#This Row],[Rate /Trips]]*Table1[[#This Row],[Trips]]</f>
        <v>10000</v>
      </c>
      <c r="H5" s="25">
        <v>10000</v>
      </c>
      <c r="I5" s="25">
        <f>Table1[[#This Row],[Total Value]]-Table1[[#This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9">
        <v>45915</v>
      </c>
      <c r="B6" s="27" t="s">
        <v>2</v>
      </c>
      <c r="C6" s="27" t="s">
        <v>92</v>
      </c>
      <c r="D6" s="27" t="s">
        <v>41</v>
      </c>
      <c r="E6" s="2">
        <v>1</v>
      </c>
      <c r="F6" s="26">
        <v>11000</v>
      </c>
      <c r="G6" s="25">
        <f>Table1[[#This Row],[Rate /Trips]]*Table1[[#This Row],[Trips]]</f>
        <v>11000</v>
      </c>
      <c r="H6" s="26">
        <v>11000</v>
      </c>
      <c r="I6" s="25">
        <f>Table1[[#This Row],[Total Value]]-Table1[[#This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29">
        <v>45915</v>
      </c>
      <c r="B7" s="27" t="s">
        <v>2</v>
      </c>
      <c r="C7" s="27" t="s">
        <v>91</v>
      </c>
      <c r="D7" s="27" t="s">
        <v>34</v>
      </c>
      <c r="E7" s="2">
        <v>1</v>
      </c>
      <c r="F7" s="26">
        <v>9500</v>
      </c>
      <c r="G7" s="25">
        <f>Table1[[#This Row],[Rate /Trips]]*Table1[[#This Row],[Trips]]</f>
        <v>9500</v>
      </c>
      <c r="H7" s="26">
        <v>9500</v>
      </c>
      <c r="I7" s="25">
        <f>Table1[[#This Row],[Total Value]]-Table1[[#This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29">
        <v>45915</v>
      </c>
      <c r="B8" s="27" t="s">
        <v>2</v>
      </c>
      <c r="C8" s="27" t="s">
        <v>88</v>
      </c>
      <c r="D8" s="27" t="s">
        <v>89</v>
      </c>
      <c r="E8" s="2">
        <v>1</v>
      </c>
      <c r="F8" s="26">
        <v>0</v>
      </c>
      <c r="G8" s="25">
        <f>Table1[[#This Row],[Rate /Trips]]*Table1[[#This Row],[Trips]]</f>
        <v>0</v>
      </c>
      <c r="H8" s="26"/>
      <c r="I8" s="25">
        <f>Table1[[#This Row],[Total Value]]-Table1[[#This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x14ac:dyDescent="0.2">
      <c r="A9" s="29">
        <v>45916</v>
      </c>
      <c r="B9" s="27" t="s">
        <v>2</v>
      </c>
      <c r="C9" s="27" t="s">
        <v>42</v>
      </c>
      <c r="D9" s="27" t="s">
        <v>107</v>
      </c>
      <c r="E9" s="2">
        <v>1</v>
      </c>
      <c r="F9" s="26">
        <v>11000</v>
      </c>
      <c r="G9" s="25">
        <f>Table1[[#This Row],[Rate /Trips]]*Table1[[#This Row],[Trips]]</f>
        <v>11000</v>
      </c>
      <c r="H9" s="26">
        <v>11000</v>
      </c>
      <c r="I9" s="25">
        <f>Table1[[#This Row],[Total Value]]-Table1[[#This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29">
        <v>45916</v>
      </c>
      <c r="B10" s="27" t="s">
        <v>93</v>
      </c>
      <c r="C10" s="27" t="s">
        <v>42</v>
      </c>
      <c r="D10" s="27" t="s">
        <v>108</v>
      </c>
      <c r="E10" s="2">
        <v>1</v>
      </c>
      <c r="F10" s="26">
        <v>10000</v>
      </c>
      <c r="G10" s="25">
        <f>Table1[[#This Row],[Rate /Trips]]*Table1[[#This Row],[Trips]]</f>
        <v>10000</v>
      </c>
      <c r="H10" s="26">
        <v>8000</v>
      </c>
      <c r="I10" s="25">
        <f>Table1[[#This Row],[Total Value]]-Table1[[#This Row],[Received]]</f>
        <v>2000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ℹ️ Saurabh - ₹2000 pending</v>
      </c>
    </row>
    <row r="11" spans="1:10" x14ac:dyDescent="0.2">
      <c r="A11" s="29">
        <v>45917</v>
      </c>
      <c r="B11" s="27" t="s">
        <v>2</v>
      </c>
      <c r="C11" s="27" t="s">
        <v>35</v>
      </c>
      <c r="D11" s="27" t="s">
        <v>87</v>
      </c>
      <c r="E11" s="2">
        <v>1</v>
      </c>
      <c r="F11" s="26">
        <v>10800</v>
      </c>
      <c r="G11" s="25">
        <f>Table1[[#This Row],[Rate /Trips]]*Table1[[#This Row],[Trips]]</f>
        <v>10800</v>
      </c>
      <c r="H11" s="26">
        <v>10800</v>
      </c>
      <c r="I11" s="25">
        <f>Table1[[#This Row],[Total Value]]-Table1[[#This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29">
        <v>45917</v>
      </c>
      <c r="B12" s="27" t="s">
        <v>2</v>
      </c>
      <c r="C12" s="27" t="s">
        <v>90</v>
      </c>
      <c r="D12" s="27" t="s">
        <v>4</v>
      </c>
      <c r="E12" s="2">
        <v>1</v>
      </c>
      <c r="F12" s="26">
        <v>10000</v>
      </c>
      <c r="G12" s="25">
        <f>Table1[[#This Row],[Rate /Trips]]*Table1[[#This Row],[Trips]]</f>
        <v>10000</v>
      </c>
      <c r="H12" s="26">
        <v>10000</v>
      </c>
      <c r="I12" s="25">
        <f>Table1[[#This Row],[Total Value]]-Table1[[#This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x14ac:dyDescent="0.2">
      <c r="A13" s="29">
        <v>45919</v>
      </c>
      <c r="B13" s="27" t="s">
        <v>2</v>
      </c>
      <c r="C13" s="27" t="s">
        <v>94</v>
      </c>
      <c r="D13" s="27" t="s">
        <v>41</v>
      </c>
      <c r="E13" s="2">
        <v>1</v>
      </c>
      <c r="F13" s="26">
        <v>11000</v>
      </c>
      <c r="G13" s="25">
        <f>Table1[[#This Row],[Rate /Trips]]*Table1[[#This Row],[Trips]]</f>
        <v>11000</v>
      </c>
      <c r="H13" s="26">
        <v>11000</v>
      </c>
      <c r="I13" s="25">
        <f>Table1[[#This Row],[Total Value]]-Table1[[#This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x14ac:dyDescent="0.2">
      <c r="A14" s="29">
        <v>45921</v>
      </c>
      <c r="B14" s="27" t="s">
        <v>2</v>
      </c>
      <c r="C14" s="27" t="s">
        <v>95</v>
      </c>
      <c r="D14" s="27" t="s">
        <v>112</v>
      </c>
      <c r="E14" s="2">
        <v>2</v>
      </c>
      <c r="F14" s="26">
        <v>12000</v>
      </c>
      <c r="G14" s="25">
        <f>Table1[[#This Row],[Rate /Trips]]*Table1[[#This Row],[Trips]]</f>
        <v>24000</v>
      </c>
      <c r="H14" s="26">
        <v>24000</v>
      </c>
      <c r="I14" s="25">
        <f>Table1[[#This Row],[Total Value]]-Table1[[#This Row],[Received]]</f>
        <v>0</v>
      </c>
      <c r="J14" s="1" t="str">
        <f>IF(I14&gt;10000,"🚨 URGENT: "&amp;C14&amp;" owes ₹"&amp;I14,IF(I14&gt;5000,"⚠️ WARNING: "&amp;C14&amp;" - ₹"&amp;I14&amp;" due",IF(I14&gt;0,"ℹ️ "&amp;C14&amp;" - ₹"&amp;I14&amp;" pending","✅ Paid")))</f>
        <v>✅ Paid</v>
      </c>
    </row>
    <row r="15" spans="1:10" x14ac:dyDescent="0.2">
      <c r="A15" s="29">
        <v>45921</v>
      </c>
      <c r="B15" s="27" t="s">
        <v>2</v>
      </c>
      <c r="C15" s="27" t="s">
        <v>94</v>
      </c>
      <c r="D15" s="27" t="s">
        <v>96</v>
      </c>
      <c r="E15" s="2">
        <v>1</v>
      </c>
      <c r="F15" s="26">
        <v>11000</v>
      </c>
      <c r="G15" s="25">
        <f>Table1[[#This Row],[Rate /Trips]]*Table1[[#This Row],[Trips]]</f>
        <v>11000</v>
      </c>
      <c r="H15" s="26">
        <v>11000</v>
      </c>
      <c r="I15" s="25">
        <f>Table1[[#This Row],[Total Value]]-Table1[[#This Row],[Received]]</f>
        <v>0</v>
      </c>
      <c r="J15" s="1" t="str">
        <f>IF(I15&gt;10000,"🚨 URGENT: "&amp;C15&amp;" owes ₹"&amp;I15,IF(I15&gt;5000,"⚠️ WARNING: "&amp;C15&amp;" - ₹"&amp;I15&amp;" due",IF(I15&gt;0,"ℹ️ "&amp;C15&amp;" - ₹"&amp;I15&amp;" pending","✅ Paid")))</f>
        <v>✅ Paid</v>
      </c>
    </row>
    <row r="16" spans="1:10" x14ac:dyDescent="0.2">
      <c r="A16" s="29">
        <v>45922</v>
      </c>
      <c r="B16" s="27" t="s">
        <v>2</v>
      </c>
      <c r="C16" s="27" t="s">
        <v>97</v>
      </c>
      <c r="D16" s="27" t="s">
        <v>50</v>
      </c>
      <c r="E16" s="2">
        <v>1</v>
      </c>
      <c r="F16" s="26">
        <v>11000</v>
      </c>
      <c r="G16" s="25">
        <f>Table1[[#This Row],[Rate /Trips]]*Table1[[#This Row],[Trips]]</f>
        <v>11000</v>
      </c>
      <c r="H16" s="26">
        <v>11000</v>
      </c>
      <c r="I16" s="25">
        <f>Table1[[#This Row],[Total Value]]-Table1[[#This Row],[Received]]</f>
        <v>0</v>
      </c>
      <c r="J16" s="1" t="str">
        <f>IF(I16&gt;10000,"🚨 URGENT: "&amp;C16&amp;" owes ₹"&amp;I16,IF(I16&gt;5000,"⚠️ WARNING: "&amp;C16&amp;" - ₹"&amp;I16&amp;" due",IF(I16&gt;0,"ℹ️ "&amp;C16&amp;" - ₹"&amp;I16&amp;" pending","✅ Paid")))</f>
        <v>✅ Paid</v>
      </c>
    </row>
    <row r="17" spans="1:10" x14ac:dyDescent="0.2">
      <c r="A17" s="29">
        <v>45929</v>
      </c>
      <c r="B17" s="27" t="s">
        <v>2</v>
      </c>
      <c r="C17" s="27" t="s">
        <v>35</v>
      </c>
      <c r="D17" s="27" t="s">
        <v>87</v>
      </c>
      <c r="E17" s="2">
        <v>1</v>
      </c>
      <c r="F17" s="26">
        <v>10000</v>
      </c>
      <c r="G17" s="25">
        <f>Table1[[#This Row],[Rate /Trips]]*Table1[[#This Row],[Trips]]</f>
        <v>10000</v>
      </c>
      <c r="H17" s="26">
        <v>10000</v>
      </c>
      <c r="I17" s="25">
        <f>Table1[[#This Row],[Total Value]]-Table1[[#This Row],[Received]]</f>
        <v>0</v>
      </c>
      <c r="J17" s="1" t="str">
        <f>IF(I17&gt;10000,"🚨 URGENT: "&amp;C17&amp;" owes ₹"&amp;I17,IF(I17&gt;5000,"⚠️ WARNING: "&amp;C17&amp;" - ₹"&amp;I17&amp;" due",IF(I17&gt;0,"ℹ️ "&amp;C17&amp;" - ₹"&amp;I17&amp;" pending","✅ Paid")))</f>
        <v>✅ Paid</v>
      </c>
    </row>
    <row r="18" spans="1:10" x14ac:dyDescent="0.2">
      <c r="A18" s="29">
        <v>45929</v>
      </c>
      <c r="B18" s="27" t="s">
        <v>2</v>
      </c>
      <c r="C18" s="27" t="s">
        <v>115</v>
      </c>
      <c r="D18" s="27" t="s">
        <v>112</v>
      </c>
      <c r="E18" s="2">
        <v>1</v>
      </c>
      <c r="F18" s="26">
        <v>12000</v>
      </c>
      <c r="G18" s="25">
        <f>Table1[[#This Row],[Rate /Trips]]*Table1[[#This Row],[Trips]]</f>
        <v>12000</v>
      </c>
      <c r="H18" s="26">
        <v>12000</v>
      </c>
      <c r="I18" s="25">
        <f>Table1[[#This Row],[Total Value]]-Table1[[#This Row],[Received]]</f>
        <v>0</v>
      </c>
      <c r="J18" s="1" t="str">
        <f>IF(I18&gt;10000,"🚨 URGENT: "&amp;C18&amp;" owes ₹"&amp;I18,IF(I18&gt;5000,"⚠️ WARNING: "&amp;C18&amp;" - ₹"&amp;I18&amp;" due",IF(I18&gt;0,"ℹ️ "&amp;C18&amp;" - ₹"&amp;I18&amp;" pending","✅ Paid")))</f>
        <v>✅ Paid</v>
      </c>
    </row>
    <row r="19" spans="1:10" x14ac:dyDescent="0.2">
      <c r="A19" s="5"/>
      <c r="B19" s="5"/>
      <c r="C19" s="5"/>
      <c r="D19" s="5"/>
      <c r="E19" s="5"/>
      <c r="F19" s="5"/>
      <c r="G19" s="7"/>
      <c r="H19" s="5"/>
      <c r="I19" s="7"/>
      <c r="J19" s="1"/>
    </row>
    <row r="20" spans="1:10" x14ac:dyDescent="0.2">
      <c r="A20" s="29"/>
      <c r="B20" s="27"/>
      <c r="C20" s="27"/>
      <c r="D20" s="27"/>
      <c r="E20" s="2"/>
      <c r="F20" s="25"/>
      <c r="G20" s="25"/>
      <c r="H20" s="25"/>
      <c r="I20" s="25"/>
      <c r="J20" s="1"/>
    </row>
    <row r="21" spans="1:10" x14ac:dyDescent="0.2">
      <c r="A21" s="29"/>
      <c r="B21" s="27"/>
      <c r="C21" s="27"/>
      <c r="D21" s="27"/>
      <c r="E21" s="2"/>
      <c r="F21" s="26"/>
      <c r="G21" s="25"/>
      <c r="H21" s="26"/>
      <c r="I21" s="25"/>
      <c r="J21" s="1"/>
    </row>
    <row r="22" spans="1:10" x14ac:dyDescent="0.2">
      <c r="A22" s="29"/>
      <c r="B22" s="27"/>
      <c r="C22" s="27"/>
      <c r="D22" s="27"/>
      <c r="E22" s="2"/>
      <c r="F22" s="26"/>
      <c r="G22" s="25"/>
      <c r="H22" s="26"/>
      <c r="I22" s="25"/>
      <c r="J22" s="1"/>
    </row>
    <row r="23" spans="1:10" x14ac:dyDescent="0.2">
      <c r="A23" s="29"/>
      <c r="B23" s="27"/>
      <c r="C23" s="27"/>
      <c r="D23" s="27"/>
      <c r="E23" s="2"/>
      <c r="F23" s="26"/>
      <c r="G23" s="25"/>
      <c r="H23" s="26"/>
      <c r="I23" s="25"/>
      <c r="J23" s="1"/>
    </row>
    <row r="24" spans="1:10" x14ac:dyDescent="0.2">
      <c r="A24" s="29"/>
      <c r="B24" s="27"/>
      <c r="C24" s="27"/>
      <c r="D24" s="27"/>
      <c r="E24" s="2"/>
      <c r="F24" s="26"/>
      <c r="G24" s="25"/>
      <c r="H24" s="26"/>
      <c r="I24" s="25"/>
      <c r="J24" s="1"/>
    </row>
    <row r="25" spans="1:10" x14ac:dyDescent="0.2">
      <c r="A25" s="29"/>
      <c r="B25" s="27"/>
      <c r="C25" s="27"/>
      <c r="D25" s="27"/>
      <c r="E25" s="2"/>
      <c r="F25" s="26"/>
      <c r="G25" s="25"/>
      <c r="H25" s="26"/>
      <c r="I25" s="25"/>
      <c r="J25" s="1"/>
    </row>
    <row r="26" spans="1:10" x14ac:dyDescent="0.2">
      <c r="A26" s="29"/>
      <c r="B26" s="27"/>
      <c r="C26" s="27"/>
      <c r="D26" s="27"/>
      <c r="E26" s="2"/>
      <c r="F26" s="26"/>
      <c r="G26" s="25"/>
      <c r="H26" s="26"/>
      <c r="I26" s="25"/>
      <c r="J26" s="1"/>
    </row>
    <row r="27" spans="1:10" x14ac:dyDescent="0.2">
      <c r="A27" s="29"/>
      <c r="B27" s="27"/>
      <c r="C27" s="27"/>
      <c r="D27" s="27"/>
      <c r="E27" s="2"/>
      <c r="F27" s="26"/>
      <c r="G27" s="25"/>
      <c r="H27" s="26"/>
      <c r="I27" s="25"/>
      <c r="J27" s="1"/>
    </row>
    <row r="28" spans="1:10" ht="24" x14ac:dyDescent="0.3">
      <c r="E28" s="15" t="s">
        <v>27</v>
      </c>
      <c r="F28" s="10"/>
      <c r="G28" s="11" t="s">
        <v>23</v>
      </c>
      <c r="H28" s="11" t="s">
        <v>28</v>
      </c>
      <c r="I28" s="12" t="s">
        <v>29</v>
      </c>
    </row>
    <row r="29" spans="1:10" ht="24" x14ac:dyDescent="0.3">
      <c r="E29" s="9">
        <f>SUM(E5:E27)</f>
        <v>15</v>
      </c>
      <c r="F29" s="13"/>
      <c r="G29" s="14">
        <f>SUM(G5:G27)</f>
        <v>151300</v>
      </c>
      <c r="H29" s="14">
        <f>SUM(H5:H27)</f>
        <v>149300</v>
      </c>
      <c r="I29" s="14">
        <f>SUM(I5:I27)</f>
        <v>2000</v>
      </c>
    </row>
  </sheetData>
  <mergeCells count="2">
    <mergeCell ref="A1:J1"/>
    <mergeCell ref="A2:J2"/>
  </mergeCells>
  <conditionalFormatting sqref="J5:J27">
    <cfRule type="containsText" dxfId="15" priority="1" operator="containsText" text="✅">
      <formula>NOT(ISERROR(SEARCH("✅",J5)))</formula>
    </cfRule>
    <cfRule type="containsText" dxfId="14" priority="2" operator="containsText" text="ℹ️">
      <formula>NOT(ISERROR(SEARCH("ℹ️",J5)))</formula>
    </cfRule>
    <cfRule type="containsText" dxfId="13" priority="3" operator="containsText" text="⚠️">
      <formula>NOT(ISERROR(SEARCH("⚠️",J5)))</formula>
    </cfRule>
    <cfRule type="containsText" dxfId="12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1880-57D0-9A44-97B9-02C082C7A524}">
  <sheetPr codeName="Sheet10"/>
  <dimension ref="A1:J20"/>
  <sheetViews>
    <sheetView zoomScale="115" workbookViewId="0">
      <selection activeCell="A4" sqref="A4:I11"/>
    </sheetView>
  </sheetViews>
  <sheetFormatPr baseColWidth="10" defaultColWidth="11.5" defaultRowHeight="15" x14ac:dyDescent="0.2"/>
  <cols>
    <col min="1" max="1" width="31.6640625" customWidth="1"/>
    <col min="2" max="2" width="10" bestFit="1" customWidth="1"/>
    <col min="3" max="3" width="22.83203125" bestFit="1" customWidth="1"/>
    <col min="4" max="4" width="23.1640625" customWidth="1"/>
    <col min="5" max="5" width="16.5" bestFit="1" customWidth="1"/>
    <col min="6" max="6" width="18" customWidth="1"/>
    <col min="7" max="7" width="19" bestFit="1" customWidth="1"/>
    <col min="8" max="8" width="17.6640625" bestFit="1" customWidth="1"/>
    <col min="9" max="9" width="19.83203125" bestFit="1" customWidth="1"/>
    <col min="10" max="10" width="48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84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9">
        <v>45939</v>
      </c>
      <c r="B4" s="27" t="s">
        <v>31</v>
      </c>
      <c r="C4" s="35" t="s">
        <v>113</v>
      </c>
      <c r="D4" s="27" t="s">
        <v>114</v>
      </c>
      <c r="E4" s="2">
        <v>1</v>
      </c>
      <c r="F4" s="26">
        <v>12000</v>
      </c>
      <c r="G4" s="37">
        <f>Table13[[#This Row],[Rate /Trips]]*Table13[[#This Row],[Trips]]</f>
        <v>12000</v>
      </c>
      <c r="H4" s="26">
        <v>12000</v>
      </c>
      <c r="I4" s="25">
        <f>Table13[[#This Row],[Total Value]]-Table13[[#This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9">
        <v>45940</v>
      </c>
      <c r="B5" s="27" t="s">
        <v>31</v>
      </c>
      <c r="C5" s="35" t="s">
        <v>35</v>
      </c>
      <c r="D5" s="27" t="s">
        <v>50</v>
      </c>
      <c r="E5" s="2">
        <v>1</v>
      </c>
      <c r="F5" s="26">
        <v>11000</v>
      </c>
      <c r="G5" s="37">
        <f>Table13[[#This Row],[Rate /Trips]]*Table13[[#This Row],[Trips]]</f>
        <v>11000</v>
      </c>
      <c r="H5" s="26">
        <v>11000</v>
      </c>
      <c r="I5" s="25">
        <f>Table13[[#This Row],[Total Value]]-Table13[[#This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9">
        <v>45941</v>
      </c>
      <c r="B6" s="27" t="s">
        <v>31</v>
      </c>
      <c r="C6" s="35" t="s">
        <v>116</v>
      </c>
      <c r="D6" s="27" t="s">
        <v>41</v>
      </c>
      <c r="E6" s="2">
        <v>1</v>
      </c>
      <c r="F6" s="26">
        <v>11000</v>
      </c>
      <c r="G6" s="37">
        <f>Table13[[#This Row],[Rate /Trips]]*Table13[[#This Row],[Trips]]</f>
        <v>11000</v>
      </c>
      <c r="H6" s="26">
        <v>11000</v>
      </c>
      <c r="I6" s="25">
        <f>Table13[[#This Row],[Total Value]]-Table13[[#This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29">
        <v>45941</v>
      </c>
      <c r="B7" s="27" t="s">
        <v>31</v>
      </c>
      <c r="C7" s="35" t="s">
        <v>88</v>
      </c>
      <c r="D7" s="27" t="s">
        <v>89</v>
      </c>
      <c r="E7" s="2">
        <v>1</v>
      </c>
      <c r="F7" s="26">
        <v>0</v>
      </c>
      <c r="G7" s="37">
        <f>Table13[[#This Row],[Rate /Trips]]*Table13[[#This Row],[Trips]]</f>
        <v>0</v>
      </c>
      <c r="H7" s="26"/>
      <c r="I7" s="25">
        <f>Table13[[#This Row],[Total Value]]-Table13[[#This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29">
        <v>45941</v>
      </c>
      <c r="B8" s="27" t="s">
        <v>31</v>
      </c>
      <c r="C8" s="35" t="s">
        <v>45</v>
      </c>
      <c r="D8" s="27" t="s">
        <v>102</v>
      </c>
      <c r="E8" s="2">
        <v>1</v>
      </c>
      <c r="F8" s="26"/>
      <c r="G8" s="37">
        <f>Table13[[#This Row],[Rate /Trips]]*Table13[[#This Row],[Trips]]</f>
        <v>0</v>
      </c>
      <c r="H8" s="26"/>
      <c r="I8" s="25">
        <f>Table13[[#This Row],[Total Value]]-Table13[[#This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x14ac:dyDescent="0.2">
      <c r="A9" s="29">
        <v>45942</v>
      </c>
      <c r="B9" s="27" t="s">
        <v>31</v>
      </c>
      <c r="C9" s="35" t="s">
        <v>35</v>
      </c>
      <c r="D9" s="27" t="s">
        <v>117</v>
      </c>
      <c r="E9" s="2">
        <v>1</v>
      </c>
      <c r="F9" s="26">
        <v>10000</v>
      </c>
      <c r="G9" s="37">
        <f>Table13[[#This Row],[Rate /Trips]]*Table13[[#This Row],[Trips]]</f>
        <v>10000</v>
      </c>
      <c r="H9" s="26">
        <v>10000</v>
      </c>
      <c r="I9" s="25">
        <f>Table13[[#This Row],[Total Value]]-Table13[[#This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29">
        <v>45947</v>
      </c>
      <c r="B10" s="27" t="s">
        <v>31</v>
      </c>
      <c r="C10" s="35" t="s">
        <v>118</v>
      </c>
      <c r="D10" s="27" t="s">
        <v>114</v>
      </c>
      <c r="E10" s="2">
        <v>1</v>
      </c>
      <c r="F10" s="26">
        <v>12000</v>
      </c>
      <c r="G10" s="37">
        <f>Table13[[#This Row],[Rate /Trips]]*Table13[[#This Row],[Trips]]</f>
        <v>12000</v>
      </c>
      <c r="H10" s="26">
        <v>12000</v>
      </c>
      <c r="I10" s="25">
        <f>Table13[[#This Row],[Total Value]]-Table13[[#This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x14ac:dyDescent="0.2">
      <c r="A11" s="29">
        <v>45959</v>
      </c>
      <c r="B11" s="27" t="s">
        <v>31</v>
      </c>
      <c r="C11" s="35" t="s">
        <v>35</v>
      </c>
      <c r="D11" s="27" t="s">
        <v>87</v>
      </c>
      <c r="E11" s="2">
        <v>1</v>
      </c>
      <c r="F11" s="26">
        <v>11000</v>
      </c>
      <c r="G11" s="37">
        <f>Table13[[#This Row],[Rate /Trips]]*Table13[[#This Row],[Trips]]</f>
        <v>11000</v>
      </c>
      <c r="H11" s="26">
        <v>11000</v>
      </c>
      <c r="I11" s="25">
        <f>Table13[[#This Row],[Total Value]]-Table13[[#This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5"/>
      <c r="B12" s="5"/>
      <c r="C12" s="5"/>
      <c r="D12" s="5"/>
      <c r="E12" s="5"/>
      <c r="F12" s="5"/>
      <c r="G12" s="7"/>
      <c r="H12" s="5"/>
      <c r="I12" s="7"/>
      <c r="J12" s="1"/>
    </row>
    <row r="13" spans="1:10" x14ac:dyDescent="0.2">
      <c r="A13" s="29"/>
      <c r="B13" s="27"/>
      <c r="C13" s="35"/>
      <c r="D13" s="27"/>
      <c r="E13" s="2"/>
      <c r="F13" s="26"/>
      <c r="G13" s="37"/>
      <c r="H13" s="26"/>
      <c r="I13" s="25"/>
      <c r="J13" s="1"/>
    </row>
    <row r="14" spans="1:10" x14ac:dyDescent="0.2">
      <c r="A14" s="29"/>
      <c r="B14" s="27"/>
      <c r="C14" s="35"/>
      <c r="D14" s="27"/>
      <c r="E14" s="2"/>
      <c r="F14" s="26"/>
      <c r="G14" s="37"/>
      <c r="H14" s="26"/>
      <c r="I14" s="25"/>
      <c r="J14" s="1"/>
    </row>
    <row r="15" spans="1:10" x14ac:dyDescent="0.2">
      <c r="A15" s="29"/>
      <c r="B15" s="27"/>
      <c r="C15" s="35"/>
      <c r="D15" s="27"/>
      <c r="E15" s="2"/>
      <c r="F15" s="26"/>
      <c r="G15" s="37"/>
      <c r="H15" s="26"/>
      <c r="I15" s="25"/>
      <c r="J15" s="1"/>
    </row>
    <row r="16" spans="1:10" x14ac:dyDescent="0.2">
      <c r="A16" s="29"/>
      <c r="B16" s="27"/>
      <c r="C16" s="35"/>
      <c r="D16" s="27"/>
      <c r="E16" s="2"/>
      <c r="F16" s="26"/>
      <c r="G16" s="37"/>
      <c r="H16" s="26"/>
      <c r="I16" s="25"/>
      <c r="J16" s="1"/>
    </row>
    <row r="17" spans="1:10" x14ac:dyDescent="0.2">
      <c r="A17" s="29"/>
      <c r="B17" s="27"/>
      <c r="C17" s="35"/>
      <c r="D17" s="27"/>
      <c r="E17" s="2"/>
      <c r="F17" s="26"/>
      <c r="G17" s="37"/>
      <c r="H17" s="26"/>
      <c r="I17" s="25"/>
      <c r="J17" s="1"/>
    </row>
    <row r="18" spans="1:10" x14ac:dyDescent="0.2">
      <c r="A18" s="36"/>
      <c r="B18" s="31"/>
      <c r="C18" s="31"/>
      <c r="D18" s="31"/>
      <c r="E18" s="20"/>
      <c r="F18" s="32"/>
      <c r="G18" s="38"/>
      <c r="H18" s="32"/>
      <c r="I18" s="33"/>
      <c r="J18" s="23"/>
    </row>
    <row r="19" spans="1:10" ht="24" x14ac:dyDescent="0.3">
      <c r="E19" s="15" t="s">
        <v>27</v>
      </c>
      <c r="F19" s="10"/>
      <c r="G19" s="11" t="s">
        <v>23</v>
      </c>
      <c r="H19" s="11" t="s">
        <v>28</v>
      </c>
      <c r="I19" s="12" t="s">
        <v>29</v>
      </c>
    </row>
    <row r="20" spans="1:10" ht="24" x14ac:dyDescent="0.3">
      <c r="E20" s="9">
        <f>SUM(E5:E18)</f>
        <v>7</v>
      </c>
      <c r="F20" s="13"/>
      <c r="G20" s="14">
        <f>SUM(G5:G18)</f>
        <v>55000</v>
      </c>
      <c r="H20" s="14">
        <f>SUM(H5:H18)</f>
        <v>55000</v>
      </c>
      <c r="I20" s="14">
        <f>SUM(I5:I18)</f>
        <v>0</v>
      </c>
    </row>
  </sheetData>
  <mergeCells count="2">
    <mergeCell ref="A1:J1"/>
    <mergeCell ref="A2:J2"/>
  </mergeCells>
  <conditionalFormatting sqref="J5:J18">
    <cfRule type="containsText" dxfId="11" priority="1" operator="containsText" text="✅">
      <formula>NOT(ISERROR(SEARCH("✅",J5)))</formula>
    </cfRule>
    <cfRule type="containsText" dxfId="10" priority="2" operator="containsText" text="ℹ️">
      <formula>NOT(ISERROR(SEARCH("ℹ️",J5)))</formula>
    </cfRule>
    <cfRule type="containsText" dxfId="9" priority="3" operator="containsText" text="⚠️">
      <formula>NOT(ISERROR(SEARCH("⚠️",J5)))</formula>
    </cfRule>
    <cfRule type="containsText" dxfId="8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6BDA-FB3D-2944-B488-C5F49A2E559A}">
  <sheetPr codeName="Sheet11"/>
  <dimension ref="A1:J24"/>
  <sheetViews>
    <sheetView zoomScale="190" workbookViewId="0">
      <selection activeCell="A4" sqref="A4:I13"/>
    </sheetView>
  </sheetViews>
  <sheetFormatPr baseColWidth="10" defaultColWidth="11.5" defaultRowHeight="15" x14ac:dyDescent="0.2"/>
  <cols>
    <col min="1" max="1" width="26.83203125" bestFit="1" customWidth="1"/>
    <col min="2" max="2" width="10" bestFit="1" customWidth="1"/>
    <col min="3" max="3" width="22.83203125" bestFit="1" customWidth="1"/>
    <col min="4" max="4" width="20.5" bestFit="1" customWidth="1"/>
    <col min="5" max="5" width="16.5" bestFit="1" customWidth="1"/>
    <col min="6" max="6" width="12.6640625" customWidth="1"/>
    <col min="7" max="7" width="19" bestFit="1" customWidth="1"/>
    <col min="8" max="8" width="17.6640625" bestFit="1" customWidth="1"/>
    <col min="9" max="9" width="19.83203125" bestFit="1" customWidth="1"/>
    <col min="10" max="10" width="48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85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6">
        <v>45972</v>
      </c>
      <c r="B4" s="27" t="s">
        <v>31</v>
      </c>
      <c r="C4" s="35" t="s">
        <v>118</v>
      </c>
      <c r="D4" s="27" t="s">
        <v>114</v>
      </c>
      <c r="E4" s="2">
        <v>1</v>
      </c>
      <c r="F4" s="26">
        <v>12000</v>
      </c>
      <c r="G4" s="37">
        <f>Table134[[#This Row],[Rate /Trips]]*Table134[[#This Row],[Trips]]</f>
        <v>12000</v>
      </c>
      <c r="H4" s="26">
        <v>12000</v>
      </c>
      <c r="I4" s="25">
        <f>Table134[[#This Row],[Total Value]]-Table134[[#This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6">
        <v>45973</v>
      </c>
      <c r="B5" s="27" t="s">
        <v>31</v>
      </c>
      <c r="C5" s="35" t="s">
        <v>120</v>
      </c>
      <c r="D5" s="27" t="s">
        <v>43</v>
      </c>
      <c r="E5" s="2">
        <v>1</v>
      </c>
      <c r="F5" s="26">
        <v>10000</v>
      </c>
      <c r="G5" s="37">
        <f>Table134[[#This Row],[Rate /Trips]]*Table134[[#This Row],[Trips]]</f>
        <v>10000</v>
      </c>
      <c r="H5" s="26">
        <v>10000</v>
      </c>
      <c r="I5" s="25">
        <f>Table134[[#This Row],[Total Value]]-Table134[[#This Row],[Received]]</f>
        <v>0</v>
      </c>
      <c r="J5" s="1"/>
    </row>
    <row r="6" spans="1:10" x14ac:dyDescent="0.2">
      <c r="A6" s="6">
        <v>45973</v>
      </c>
      <c r="B6" s="27" t="s">
        <v>31</v>
      </c>
      <c r="C6" s="35" t="s">
        <v>119</v>
      </c>
      <c r="D6" s="27" t="s">
        <v>50</v>
      </c>
      <c r="E6" s="2">
        <v>1</v>
      </c>
      <c r="F6" s="26">
        <v>9500</v>
      </c>
      <c r="G6" s="37">
        <f>Table134[[#This Row],[Rate /Trips]]*Table134[[#This Row],[Trips]]</f>
        <v>9500</v>
      </c>
      <c r="H6" s="26">
        <v>9500</v>
      </c>
      <c r="I6" s="25">
        <f>Table134[[#This Row],[Total Value]]-Table134[[#This Row],[Received]]</f>
        <v>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✅ Paid</v>
      </c>
    </row>
    <row r="7" spans="1:10" x14ac:dyDescent="0.2">
      <c r="A7" s="6">
        <v>45974</v>
      </c>
      <c r="B7" s="27" t="s">
        <v>31</v>
      </c>
      <c r="C7" s="35" t="s">
        <v>119</v>
      </c>
      <c r="D7" s="27" t="s">
        <v>50</v>
      </c>
      <c r="E7" s="2">
        <v>2</v>
      </c>
      <c r="F7" s="26">
        <v>9000</v>
      </c>
      <c r="G7" s="37">
        <f>Table134[[#This Row],[Rate /Trips]]*Table134[[#This Row],[Trips]]</f>
        <v>18000</v>
      </c>
      <c r="H7" s="26"/>
      <c r="I7" s="25">
        <f>Table134[[#This Row],[Total Value]]-Table134[[#This Row],[Received]]</f>
        <v>18000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🚨 URGENT: Sandeep owes ₹18000</v>
      </c>
    </row>
    <row r="8" spans="1:10" x14ac:dyDescent="0.2">
      <c r="A8" s="6">
        <v>45975</v>
      </c>
      <c r="B8" s="27" t="s">
        <v>9</v>
      </c>
      <c r="C8" s="35" t="s">
        <v>119</v>
      </c>
      <c r="D8" s="27" t="s">
        <v>50</v>
      </c>
      <c r="E8" s="2">
        <v>1</v>
      </c>
      <c r="F8" s="26">
        <v>9000</v>
      </c>
      <c r="G8" s="37">
        <f>Table134[[#This Row],[Rate /Trips]]*Table134[[#This Row],[Trips]]</f>
        <v>9000</v>
      </c>
      <c r="H8" s="26">
        <v>9000</v>
      </c>
      <c r="I8" s="25">
        <f>Table134[[#This Row],[Total Value]]-Table134[[#This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x14ac:dyDescent="0.2">
      <c r="A9" s="6">
        <v>45976</v>
      </c>
      <c r="B9" s="27" t="s">
        <v>31</v>
      </c>
      <c r="C9" s="35" t="s">
        <v>122</v>
      </c>
      <c r="D9" s="27" t="s">
        <v>121</v>
      </c>
      <c r="E9" s="2">
        <v>2</v>
      </c>
      <c r="F9" s="26">
        <v>1800</v>
      </c>
      <c r="G9" s="37">
        <f>Table134[[#This Row],[Rate /Trips]]*Table134[[#This Row],[Trips]]</f>
        <v>3600</v>
      </c>
      <c r="H9" s="26">
        <v>3600</v>
      </c>
      <c r="I9" s="25">
        <f>Table134[[#This Row],[Total Value]]-Table134[[#This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6">
        <v>45979</v>
      </c>
      <c r="B10" s="27" t="s">
        <v>126</v>
      </c>
      <c r="C10" s="35" t="s">
        <v>122</v>
      </c>
      <c r="D10" s="27" t="s">
        <v>121</v>
      </c>
      <c r="E10" s="2">
        <v>2</v>
      </c>
      <c r="F10" s="26">
        <v>1800</v>
      </c>
      <c r="G10" s="37">
        <f>Table134[[#This Row],[Rate /Trips]]*Table134[[#This Row],[Trips]]</f>
        <v>3600</v>
      </c>
      <c r="H10" s="26">
        <v>3600</v>
      </c>
      <c r="I10" s="25">
        <f>Table134[[#This Row],[Total Value]]-Table134[[#This Row],[Received]]</f>
        <v>0</v>
      </c>
      <c r="J10" s="1" t="str">
        <f>IF(I10&gt;10000,"🚨 URGENT: "&amp;C10&amp;" owes ₹"&amp;I10,IF(I10&gt;5000,"⚠️ WARNING: "&amp;C10&amp;" - ₹"&amp;I10&amp;" due",IF(I10&gt;0,"ℹ️ "&amp;C10&amp;" - ₹"&amp;I10&amp;" pending","✅ Paid")))</f>
        <v>✅ Paid</v>
      </c>
    </row>
    <row r="11" spans="1:10" x14ac:dyDescent="0.2">
      <c r="A11" s="6">
        <v>45981</v>
      </c>
      <c r="B11" s="27" t="s">
        <v>31</v>
      </c>
      <c r="C11" s="35" t="s">
        <v>125</v>
      </c>
      <c r="D11" s="27" t="s">
        <v>114</v>
      </c>
      <c r="E11" s="2">
        <v>1</v>
      </c>
      <c r="F11" s="26">
        <v>12000</v>
      </c>
      <c r="G11" s="37">
        <f>Table134[[#This Row],[Rate /Trips]]*Table134[[#This Row],[Trips]]</f>
        <v>12000</v>
      </c>
      <c r="H11" s="26">
        <v>12000</v>
      </c>
      <c r="I11" s="25">
        <f>Table134[[#This Row],[Total Value]]-Table134[[#This Row],[Received]]</f>
        <v>0</v>
      </c>
      <c r="J11" s="1" t="str">
        <f>IF(I11&gt;10000,"🚨 URGENT: "&amp;C11&amp;" owes ₹"&amp;I11,IF(I11&gt;5000,"⚠️ WARNING: "&amp;C11&amp;" - ₹"&amp;I11&amp;" due",IF(I11&gt;0,"ℹ️ "&amp;C11&amp;" - ₹"&amp;I11&amp;" pending","✅ Paid")))</f>
        <v>✅ Paid</v>
      </c>
    </row>
    <row r="12" spans="1:10" x14ac:dyDescent="0.2">
      <c r="A12" s="6">
        <v>45989</v>
      </c>
      <c r="B12" s="27" t="s">
        <v>31</v>
      </c>
      <c r="C12" s="35" t="s">
        <v>123</v>
      </c>
      <c r="D12" s="27" t="s">
        <v>124</v>
      </c>
      <c r="E12" s="2">
        <v>2</v>
      </c>
      <c r="F12" s="26">
        <v>10000</v>
      </c>
      <c r="G12" s="37">
        <f>Table134[[#This Row],[Rate /Trips]]*Table134[[#This Row],[Trips]]</f>
        <v>20000</v>
      </c>
      <c r="H12" s="26">
        <v>20000</v>
      </c>
      <c r="I12" s="25">
        <f>Table134[[#This Row],[Total Value]]-Table134[[#This Row],[Received]]</f>
        <v>0</v>
      </c>
      <c r="J12" s="1" t="str">
        <f>IF(I12&gt;10000,"🚨 URGENT: "&amp;C12&amp;" owes ₹"&amp;I12,IF(I12&gt;5000,"⚠️ WARNING: "&amp;C12&amp;" - ₹"&amp;I12&amp;" due",IF(I12&gt;0,"ℹ️ "&amp;C12&amp;" - ₹"&amp;I12&amp;" pending","✅ Paid")))</f>
        <v>✅ Paid</v>
      </c>
    </row>
    <row r="13" spans="1:10" x14ac:dyDescent="0.2">
      <c r="A13" s="6">
        <v>45991</v>
      </c>
      <c r="B13" s="27" t="s">
        <v>31</v>
      </c>
      <c r="C13" s="35" t="s">
        <v>88</v>
      </c>
      <c r="D13" s="27" t="s">
        <v>89</v>
      </c>
      <c r="E13" s="2">
        <v>1</v>
      </c>
      <c r="F13" s="26">
        <v>0</v>
      </c>
      <c r="G13" s="37">
        <f>Table134[[#This Row],[Rate /Trips]]*Table134[[#This Row],[Trips]]</f>
        <v>0</v>
      </c>
      <c r="H13" s="26"/>
      <c r="I13" s="25">
        <f>Table134[[#This Row],[Total Value]]-Table134[[#This Row],[Received]]</f>
        <v>0</v>
      </c>
      <c r="J13" s="1" t="str">
        <f>IF(I13&gt;10000,"🚨 URGENT: "&amp;C13&amp;" owes ₹"&amp;I13,IF(I13&gt;5000,"⚠️ WARNING: "&amp;C13&amp;" - ₹"&amp;I13&amp;" due",IF(I13&gt;0,"ℹ️ "&amp;C13&amp;" - ₹"&amp;I13&amp;" pending","✅ Paid")))</f>
        <v>✅ Paid</v>
      </c>
    </row>
    <row r="14" spans="1:10" x14ac:dyDescent="0.2">
      <c r="A14" s="5"/>
      <c r="B14" s="5"/>
      <c r="C14" s="5"/>
      <c r="D14" s="5"/>
      <c r="E14" s="5"/>
      <c r="F14" s="5"/>
      <c r="G14" s="7"/>
      <c r="H14" s="5"/>
      <c r="I14" s="7"/>
      <c r="J14" s="1"/>
    </row>
    <row r="15" spans="1:10" x14ac:dyDescent="0.2">
      <c r="A15" s="6"/>
      <c r="B15" s="27"/>
      <c r="C15" s="35"/>
      <c r="D15" s="27"/>
      <c r="E15" s="2"/>
      <c r="F15" s="26"/>
      <c r="G15" s="37"/>
      <c r="H15" s="26"/>
      <c r="I15" s="25"/>
      <c r="J15" s="1"/>
    </row>
    <row r="16" spans="1:10" x14ac:dyDescent="0.2">
      <c r="A16" s="6"/>
      <c r="B16" s="27"/>
      <c r="C16" s="35"/>
      <c r="D16" s="27"/>
      <c r="E16" s="2"/>
      <c r="F16" s="26"/>
      <c r="G16" s="37"/>
      <c r="H16" s="26"/>
      <c r="I16" s="25"/>
      <c r="J16" s="1"/>
    </row>
    <row r="17" spans="1:10" x14ac:dyDescent="0.2">
      <c r="A17" s="6"/>
      <c r="B17" s="27"/>
      <c r="C17" s="35"/>
      <c r="D17" s="27"/>
      <c r="E17" s="2"/>
      <c r="F17" s="26"/>
      <c r="G17" s="37"/>
      <c r="H17" s="26"/>
      <c r="I17" s="25"/>
      <c r="J17" s="1"/>
    </row>
    <row r="18" spans="1:10" x14ac:dyDescent="0.2">
      <c r="A18" s="6"/>
      <c r="B18" s="27"/>
      <c r="C18" s="35"/>
      <c r="D18" s="27"/>
      <c r="E18" s="2"/>
      <c r="F18" s="26"/>
      <c r="G18" s="37"/>
      <c r="H18" s="26"/>
      <c r="I18" s="25"/>
      <c r="J18" s="1"/>
    </row>
    <row r="19" spans="1:10" x14ac:dyDescent="0.2">
      <c r="A19" s="6"/>
      <c r="B19" s="27"/>
      <c r="C19" s="35"/>
      <c r="D19" s="27"/>
      <c r="E19" s="2"/>
      <c r="F19" s="26"/>
      <c r="G19" s="37"/>
      <c r="H19" s="26"/>
      <c r="I19" s="25"/>
      <c r="J19" s="1"/>
    </row>
    <row r="20" spans="1:10" x14ac:dyDescent="0.2">
      <c r="A20" s="6"/>
      <c r="B20" s="27"/>
      <c r="C20" s="35"/>
      <c r="D20" s="27"/>
      <c r="E20" s="2"/>
      <c r="F20" s="26"/>
      <c r="G20" s="37"/>
      <c r="H20" s="26"/>
      <c r="I20" s="25"/>
      <c r="J20" s="1"/>
    </row>
    <row r="21" spans="1:10" x14ac:dyDescent="0.2">
      <c r="A21" s="6"/>
      <c r="B21" s="2"/>
      <c r="C21" s="5"/>
      <c r="D21" s="2"/>
      <c r="E21" s="2"/>
      <c r="F21" s="26"/>
      <c r="G21" s="37"/>
      <c r="H21" s="26"/>
      <c r="I21" s="25"/>
      <c r="J21" s="1"/>
    </row>
    <row r="22" spans="1:10" x14ac:dyDescent="0.2">
      <c r="A22" s="19"/>
      <c r="B22" s="20"/>
      <c r="C22" s="20"/>
      <c r="D22" s="20"/>
      <c r="E22" s="20"/>
      <c r="F22" s="21"/>
      <c r="G22" s="22"/>
      <c r="H22" s="21"/>
      <c r="I22" s="4"/>
      <c r="J22" s="23"/>
    </row>
    <row r="23" spans="1:10" ht="24" x14ac:dyDescent="0.3">
      <c r="E23" s="15" t="s">
        <v>27</v>
      </c>
      <c r="F23" s="10"/>
      <c r="G23" s="11" t="s">
        <v>23</v>
      </c>
      <c r="H23" s="11" t="s">
        <v>28</v>
      </c>
      <c r="I23" s="12" t="s">
        <v>29</v>
      </c>
    </row>
    <row r="24" spans="1:10" ht="24" x14ac:dyDescent="0.3">
      <c r="E24" s="9">
        <f>SUM(E5:E22)</f>
        <v>13</v>
      </c>
      <c r="F24" s="13"/>
      <c r="G24" s="14">
        <f>SUM(G5:G22)</f>
        <v>85700</v>
      </c>
      <c r="H24" s="14">
        <f>SUM(H5:H22)</f>
        <v>67700</v>
      </c>
      <c r="I24" s="14">
        <f>SUM(I5:I22)</f>
        <v>18000</v>
      </c>
    </row>
  </sheetData>
  <mergeCells count="2">
    <mergeCell ref="A1:J1"/>
    <mergeCell ref="A2:J2"/>
  </mergeCells>
  <conditionalFormatting sqref="J5:J22">
    <cfRule type="containsText" dxfId="7" priority="1" operator="containsText" text="✅">
      <formula>NOT(ISERROR(SEARCH("✅",J5)))</formula>
    </cfRule>
    <cfRule type="containsText" dxfId="6" priority="2" operator="containsText" text="ℹ️">
      <formula>NOT(ISERROR(SEARCH("ℹ️",J5)))</formula>
    </cfRule>
    <cfRule type="containsText" dxfId="5" priority="3" operator="containsText" text="⚠️">
      <formula>NOT(ISERROR(SEARCH("⚠️",J5)))</formula>
    </cfRule>
    <cfRule type="containsText" dxfId="4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0C8-81CD-B64D-8890-7B9E1520FFB7}">
  <sheetPr codeName="Sheet12"/>
  <dimension ref="A1:J13"/>
  <sheetViews>
    <sheetView tabSelected="1" zoomScale="185" workbookViewId="0">
      <selection activeCell="A4" sqref="A4:I9"/>
    </sheetView>
  </sheetViews>
  <sheetFormatPr baseColWidth="10" defaultColWidth="11.5" defaultRowHeight="15" x14ac:dyDescent="0.2"/>
  <cols>
    <col min="1" max="1" width="26.83203125" bestFit="1" customWidth="1"/>
    <col min="2" max="2" width="10" bestFit="1" customWidth="1"/>
    <col min="3" max="3" width="22.83203125" bestFit="1" customWidth="1"/>
    <col min="4" max="4" width="17.1640625" bestFit="1" customWidth="1"/>
    <col min="5" max="5" width="16.5" bestFit="1" customWidth="1"/>
    <col min="6" max="6" width="12.6640625" customWidth="1"/>
    <col min="7" max="7" width="19" bestFit="1" customWidth="1"/>
    <col min="8" max="8" width="17.6640625" bestFit="1" customWidth="1"/>
    <col min="9" max="9" width="19.83203125" bestFit="1" customWidth="1"/>
    <col min="10" max="10" width="48.5" bestFit="1" customWidth="1"/>
  </cols>
  <sheetData>
    <row r="1" spans="1:10" ht="29" x14ac:dyDescent="0.2">
      <c r="A1" s="39" t="s">
        <v>56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2">
      <c r="A2" s="40" t="s">
        <v>86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6" x14ac:dyDescent="0.2">
      <c r="A3" s="16" t="s">
        <v>0</v>
      </c>
      <c r="B3" s="17" t="s">
        <v>57</v>
      </c>
      <c r="C3" s="17" t="s">
        <v>58</v>
      </c>
      <c r="D3" s="17" t="s">
        <v>59</v>
      </c>
      <c r="E3" s="17" t="s">
        <v>60</v>
      </c>
      <c r="F3" s="18" t="s">
        <v>61</v>
      </c>
      <c r="G3" s="18" t="s">
        <v>62</v>
      </c>
      <c r="H3" s="18" t="s">
        <v>63</v>
      </c>
      <c r="I3" s="18" t="s">
        <v>1</v>
      </c>
      <c r="J3" s="18" t="s">
        <v>64</v>
      </c>
    </row>
    <row r="4" spans="1:10" x14ac:dyDescent="0.2">
      <c r="A4" s="24">
        <v>46000</v>
      </c>
      <c r="B4" s="27" t="s">
        <v>31</v>
      </c>
      <c r="C4" s="35" t="s">
        <v>127</v>
      </c>
      <c r="D4" s="27" t="s">
        <v>128</v>
      </c>
      <c r="E4" s="2">
        <v>1</v>
      </c>
      <c r="F4" s="26">
        <v>6500</v>
      </c>
      <c r="G4" s="37">
        <f>Table1345[[#This Row],[Rate /Trips]]*Table1345[[#This Row],[Trips]]</f>
        <v>6500</v>
      </c>
      <c r="H4" s="26">
        <v>6500</v>
      </c>
      <c r="I4" s="25">
        <f>Table1345[[#This Row],[Total Value]]-Table1345[[#This Row],[Received]]</f>
        <v>0</v>
      </c>
      <c r="J4" s="1" t="str">
        <f>IF(I4&gt;10000,"🚨 URGENT: "&amp;C4&amp;" owes ₹"&amp;I4,IF(I4&gt;5000,"⚠️ WARNING: "&amp;C4&amp;" - ₹"&amp;I4&amp;" due",IF(I4&gt;0,"ℹ️ "&amp;C4&amp;" - ₹"&amp;I4&amp;" pending","✅ Paid")))</f>
        <v>✅ Paid</v>
      </c>
    </row>
    <row r="5" spans="1:10" x14ac:dyDescent="0.2">
      <c r="A5" s="24">
        <v>46008</v>
      </c>
      <c r="B5" s="27" t="s">
        <v>31</v>
      </c>
      <c r="C5" s="35" t="s">
        <v>127</v>
      </c>
      <c r="D5" s="27" t="s">
        <v>128</v>
      </c>
      <c r="E5" s="2">
        <v>1</v>
      </c>
      <c r="F5" s="26">
        <v>6500</v>
      </c>
      <c r="G5" s="37">
        <f>Table1345[[#This Row],[Rate /Trips]]*Table1345[[#This Row],[Trips]]</f>
        <v>6500</v>
      </c>
      <c r="H5" s="26">
        <v>6500</v>
      </c>
      <c r="I5" s="25">
        <f>Table1345[[#This Row],[Total Value]]-Table1345[[#This Row],[Received]]</f>
        <v>0</v>
      </c>
      <c r="J5" s="1" t="str">
        <f>IF(I5&gt;10000,"🚨 URGENT: "&amp;C5&amp;" owes ₹"&amp;I5,IF(I5&gt;5000,"⚠️ WARNING: "&amp;C5&amp;" - ₹"&amp;I5&amp;" due",IF(I5&gt;0,"ℹ️ "&amp;C5&amp;" - ₹"&amp;I5&amp;" pending","✅ Paid")))</f>
        <v>✅ Paid</v>
      </c>
    </row>
    <row r="6" spans="1:10" x14ac:dyDescent="0.2">
      <c r="A6" s="24">
        <v>46010</v>
      </c>
      <c r="B6" s="27" t="s">
        <v>129</v>
      </c>
      <c r="C6" s="35" t="s">
        <v>130</v>
      </c>
      <c r="D6" s="27" t="s">
        <v>17</v>
      </c>
      <c r="E6" s="2">
        <v>1</v>
      </c>
      <c r="F6" s="26">
        <v>8000</v>
      </c>
      <c r="G6" s="37">
        <f>Table1345[[#This Row],[Rate /Trips]]*Table1345[[#This Row],[Trips]]</f>
        <v>8000</v>
      </c>
      <c r="H6" s="26"/>
      <c r="I6" s="25">
        <f>Table1345[[#This Row],[Total Value]]-Table1345[[#This Row],[Received]]</f>
        <v>8000</v>
      </c>
      <c r="J6" s="1" t="str">
        <f>IF(I6&gt;10000,"🚨 URGENT: "&amp;C6&amp;" owes ₹"&amp;I6,IF(I6&gt;5000,"⚠️ WARNING: "&amp;C6&amp;" - ₹"&amp;I6&amp;" due",IF(I6&gt;0,"ℹ️ "&amp;C6&amp;" - ₹"&amp;I6&amp;" pending","✅ Paid")))</f>
        <v>⚠️ WARNING: Bablu Bhaiya - ₹8000 due</v>
      </c>
    </row>
    <row r="7" spans="1:10" x14ac:dyDescent="0.2">
      <c r="A7" s="24">
        <v>46011</v>
      </c>
      <c r="B7" s="27" t="s">
        <v>129</v>
      </c>
      <c r="C7" s="35" t="s">
        <v>131</v>
      </c>
      <c r="D7" s="27" t="s">
        <v>132</v>
      </c>
      <c r="E7" s="2">
        <v>1</v>
      </c>
      <c r="F7" s="26">
        <v>7000</v>
      </c>
      <c r="G7" s="37">
        <f>Table1345[[#This Row],[Rate /Trips]]*Table1345[[#This Row],[Trips]]</f>
        <v>7000</v>
      </c>
      <c r="H7" s="26">
        <v>7000</v>
      </c>
      <c r="I7" s="25">
        <f>Table1345[[#This Row],[Total Value]]-Table1345[[#This Row],[Received]]</f>
        <v>0</v>
      </c>
      <c r="J7" s="1" t="str">
        <f>IF(I7&gt;10000,"🚨 URGENT: "&amp;C7&amp;" owes ₹"&amp;I7,IF(I7&gt;5000,"⚠️ WARNING: "&amp;C7&amp;" - ₹"&amp;I7&amp;" due",IF(I7&gt;0,"ℹ️ "&amp;C7&amp;" - ₹"&amp;I7&amp;" pending","✅ Paid")))</f>
        <v>✅ Paid</v>
      </c>
    </row>
    <row r="8" spans="1:10" x14ac:dyDescent="0.2">
      <c r="A8" s="24">
        <v>46018</v>
      </c>
      <c r="B8" s="27" t="s">
        <v>31</v>
      </c>
      <c r="C8" s="35" t="s">
        <v>133</v>
      </c>
      <c r="D8" s="27" t="s">
        <v>134</v>
      </c>
      <c r="E8" s="2">
        <v>1</v>
      </c>
      <c r="F8" s="26">
        <v>12000</v>
      </c>
      <c r="G8" s="37">
        <f>Table1345[[#This Row],[Rate /Trips]]*Table1345[[#This Row],[Trips]]</f>
        <v>12000</v>
      </c>
      <c r="H8" s="26">
        <v>12000</v>
      </c>
      <c r="I8" s="25">
        <f>Table1345[[#This Row],[Total Value]]-Table1345[[#This Row],[Received]]</f>
        <v>0</v>
      </c>
      <c r="J8" s="1" t="str">
        <f>IF(I8&gt;10000,"🚨 URGENT: "&amp;C8&amp;" owes ₹"&amp;I8,IF(I8&gt;5000,"⚠️ WARNING: "&amp;C8&amp;" - ₹"&amp;I8&amp;" due",IF(I8&gt;0,"ℹ️ "&amp;C8&amp;" - ₹"&amp;I8&amp;" pending","✅ Paid")))</f>
        <v>✅ Paid</v>
      </c>
    </row>
    <row r="9" spans="1:10" x14ac:dyDescent="0.2">
      <c r="A9" s="24">
        <v>46022</v>
      </c>
      <c r="B9" s="27" t="s">
        <v>31</v>
      </c>
      <c r="C9" s="35" t="s">
        <v>127</v>
      </c>
      <c r="D9" s="27" t="s">
        <v>128</v>
      </c>
      <c r="E9" s="2">
        <v>1</v>
      </c>
      <c r="F9" s="26">
        <v>6500</v>
      </c>
      <c r="G9" s="37">
        <f>Table1345[[#This Row],[Rate /Trips]]*Table1345[[#This Row],[Trips]]</f>
        <v>6500</v>
      </c>
      <c r="H9" s="26">
        <v>6500</v>
      </c>
      <c r="I9" s="25">
        <f>Table1345[[#This Row],[Total Value]]-Table1345[[#This Row],[Received]]</f>
        <v>0</v>
      </c>
      <c r="J9" s="1" t="str">
        <f>IF(I9&gt;10000,"🚨 URGENT: "&amp;C9&amp;" owes ₹"&amp;I9,IF(I9&gt;5000,"⚠️ WARNING: "&amp;C9&amp;" - ₹"&amp;I9&amp;" due",IF(I9&gt;0,"ℹ️ "&amp;C9&amp;" - ₹"&amp;I9&amp;" pending","✅ Paid")))</f>
        <v>✅ Paid</v>
      </c>
    </row>
    <row r="10" spans="1:10" x14ac:dyDescent="0.2">
      <c r="A10" s="5"/>
      <c r="B10" s="5"/>
      <c r="C10" s="5"/>
      <c r="D10" s="5"/>
      <c r="E10" s="5"/>
      <c r="F10" s="5"/>
      <c r="G10" s="7"/>
      <c r="H10" s="5"/>
      <c r="I10" s="7"/>
      <c r="J10" s="1"/>
    </row>
    <row r="11" spans="1:10" x14ac:dyDescent="0.2">
      <c r="A11" s="19"/>
      <c r="B11" s="31"/>
      <c r="C11" s="31"/>
      <c r="D11" s="31"/>
      <c r="E11" s="20"/>
      <c r="F11" s="32"/>
      <c r="G11" s="38">
        <f>Table1345[[#This Row],[Rate /Trips]]*Table1345[[#This Row],[Trips]]</f>
        <v>0</v>
      </c>
      <c r="H11" s="32"/>
      <c r="I11" s="33">
        <f>Table1345[[#This Row],[Total Value]]-Table1345[[#This Row],[Received]]</f>
        <v>0</v>
      </c>
      <c r="J11" s="23"/>
    </row>
    <row r="12" spans="1:10" ht="24" x14ac:dyDescent="0.3">
      <c r="E12" s="15" t="s">
        <v>27</v>
      </c>
      <c r="F12" s="10"/>
      <c r="G12" s="11" t="s">
        <v>23</v>
      </c>
      <c r="H12" s="11" t="s">
        <v>28</v>
      </c>
      <c r="I12" s="12" t="s">
        <v>29</v>
      </c>
    </row>
    <row r="13" spans="1:10" ht="24" x14ac:dyDescent="0.3">
      <c r="E13" s="9">
        <f>SUM(E5:E11)</f>
        <v>5</v>
      </c>
      <c r="F13" s="13"/>
      <c r="G13" s="14">
        <f>SUM(G5:G11)</f>
        <v>40000</v>
      </c>
      <c r="H13" s="14">
        <f>SUM(H5:H11)</f>
        <v>32000</v>
      </c>
      <c r="I13" s="14">
        <f>SUM(I5:I11)</f>
        <v>8000</v>
      </c>
    </row>
  </sheetData>
  <mergeCells count="2">
    <mergeCell ref="A1:J1"/>
    <mergeCell ref="A2:J2"/>
  </mergeCells>
  <conditionalFormatting sqref="J5:J11">
    <cfRule type="containsText" dxfId="3" priority="1" operator="containsText" text="✅">
      <formula>NOT(ISERROR(SEARCH("✅",J5)))</formula>
    </cfRule>
    <cfRule type="containsText" dxfId="2" priority="2" operator="containsText" text="ℹ️">
      <formula>NOT(ISERROR(SEARCH("ℹ️",J5)))</formula>
    </cfRule>
    <cfRule type="containsText" dxfId="1" priority="3" operator="containsText" text="⚠️">
      <formula>NOT(ISERROR(SEARCH("⚠️",J5)))</formula>
    </cfRule>
    <cfRule type="containsText" dxfId="0" priority="4" operator="containsText" text="🚨">
      <formula>NOT(ISERROR(SEARCH("🚨",J5)))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Sahil Waghmare</cp:lastModifiedBy>
  <dcterms:created xsi:type="dcterms:W3CDTF">2015-06-05T18:17:20Z</dcterms:created>
  <dcterms:modified xsi:type="dcterms:W3CDTF">2026-08-15T09:09:32Z</dcterms:modified>
</cp:coreProperties>
</file>