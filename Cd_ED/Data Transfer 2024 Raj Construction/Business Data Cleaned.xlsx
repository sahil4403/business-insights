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Business Insights Production Open Code/Cd_ED/Data Transfer 2024 Raj Construction/"/>
    </mc:Choice>
  </mc:AlternateContent>
  <xr:revisionPtr revIDLastSave="0" documentId="13_ncr:1_{0E70C8F1-22E2-9D41-A666-6F002D6B05D4}" xr6:coauthVersionLast="47" xr6:coauthVersionMax="47" xr10:uidLastSave="{00000000-0000-0000-0000-000000000000}"/>
  <bookViews>
    <workbookView xWindow="0" yWindow="780" windowWidth="36000" windowHeight="22600" xr2:uid="{BA718B39-8880-4445-8422-981293165512}"/>
  </bookViews>
  <sheets>
    <sheet name="Jan Customer Duplicate Hyva" sheetId="1" r:id="rId1"/>
    <sheet name="Sheet1" sheetId="34" r:id="rId2"/>
    <sheet name="Vechle master" sheetId="13" r:id="rId3"/>
    <sheet name="Payment Method Master" sheetId="16" r:id="rId4"/>
    <sheet name="Jan Labour Nd Drivers Hyva" sheetId="3" r:id="rId5"/>
    <sheet name="Sheet13" sheetId="33" r:id="rId6"/>
  </sheets>
  <definedNames>
    <definedName name="_xlnm._FilterDatabase" localSheetId="0" hidden="1">'Jan Customer Duplicate Hyva'!$B$1:$B$433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3" l="1"/>
  <c r="A21" i="3"/>
  <c r="H21" i="3"/>
  <c r="H20" i="3"/>
  <c r="H19" i="3" l="1"/>
  <c r="A19" i="3"/>
  <c r="A18" i="3"/>
  <c r="A17" i="3"/>
  <c r="A433" i="1"/>
  <c r="P433" i="1"/>
  <c r="A16" i="3"/>
  <c r="A432" i="1" l="1"/>
  <c r="P432" i="1"/>
  <c r="P431" i="1" l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254" i="1"/>
  <c r="P395" i="1"/>
  <c r="A395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A14" i="3" l="1"/>
  <c r="A15" i="3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A13" i="3" l="1"/>
  <c r="A164" i="1"/>
  <c r="A165" i="1"/>
  <c r="A166" i="1"/>
  <c r="A167" i="1"/>
  <c r="A168" i="1"/>
  <c r="A169" i="1"/>
  <c r="A170" i="1"/>
  <c r="A171" i="1"/>
  <c r="A172" i="1"/>
  <c r="A173" i="1"/>
  <c r="A174" i="1"/>
  <c r="P164" i="1"/>
  <c r="P165" i="1"/>
  <c r="P166" i="1"/>
  <c r="P167" i="1"/>
  <c r="P168" i="1"/>
  <c r="P169" i="1"/>
  <c r="P170" i="1"/>
  <c r="P171" i="1"/>
  <c r="P172" i="1"/>
  <c r="P173" i="1"/>
  <c r="P174" i="1"/>
  <c r="A7" i="3" l="1"/>
  <c r="A8" i="3"/>
  <c r="A9" i="3"/>
  <c r="A10" i="3"/>
  <c r="A11" i="3"/>
  <c r="A12" i="3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A5" i="3" l="1"/>
  <c r="A6" i="3"/>
  <c r="A43" i="1"/>
  <c r="A44" i="1"/>
  <c r="A45" i="1"/>
  <c r="A46" i="1"/>
  <c r="A47" i="1"/>
  <c r="A48" i="1"/>
  <c r="A49" i="1"/>
  <c r="A50" i="1"/>
  <c r="A51" i="1"/>
  <c r="P50" i="1"/>
  <c r="P51" i="1"/>
  <c r="A39" i="1" l="1"/>
  <c r="A40" i="1"/>
  <c r="A41" i="1"/>
  <c r="A42" i="1"/>
  <c r="A31" i="1" l="1"/>
  <c r="A32" i="1"/>
  <c r="A33" i="1"/>
  <c r="A34" i="1"/>
  <c r="A35" i="1"/>
  <c r="A36" i="1"/>
  <c r="A37" i="1"/>
  <c r="A38" i="1"/>
  <c r="P31" i="1"/>
  <c r="P32" i="1"/>
  <c r="P33" i="1"/>
  <c r="P34" i="1"/>
  <c r="P35" i="1"/>
  <c r="P36" i="1"/>
  <c r="P37" i="1"/>
  <c r="P38" i="1"/>
  <c r="A3" i="3" l="1"/>
  <c r="A4" i="3"/>
  <c r="A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2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9" i="1"/>
  <c r="P40" i="1"/>
  <c r="P41" i="1"/>
  <c r="P42" i="1"/>
  <c r="P43" i="1"/>
  <c r="P44" i="1"/>
  <c r="P45" i="1"/>
  <c r="P46" i="1"/>
  <c r="P47" i="1"/>
  <c r="P48" i="1"/>
  <c r="P49" i="1"/>
  <c r="P2" i="1"/>
</calcChain>
</file>

<file path=xl/sharedStrings.xml><?xml version="1.0" encoding="utf-8"?>
<sst xmlns="http://schemas.openxmlformats.org/spreadsheetml/2006/main" count="756" uniqueCount="524">
  <si>
    <t xml:space="preserve">Customer Code </t>
  </si>
  <si>
    <t>Customer Name</t>
  </si>
  <si>
    <t xml:space="preserve">Customer Type </t>
  </si>
  <si>
    <t xml:space="preserve">Mobile No. </t>
  </si>
  <si>
    <t>Alternate Mobile No.</t>
  </si>
  <si>
    <t>Email</t>
  </si>
  <si>
    <t>Billing Address</t>
  </si>
  <si>
    <t xml:space="preserve">City </t>
  </si>
  <si>
    <t>State</t>
  </si>
  <si>
    <t>Pincode</t>
  </si>
  <si>
    <t>GSTIN</t>
  </si>
  <si>
    <t>PAN</t>
  </si>
  <si>
    <t>Credit Limit</t>
  </si>
  <si>
    <t>Payment Terms  Days</t>
  </si>
  <si>
    <t>Active</t>
  </si>
  <si>
    <t>Abhay Adgurwar</t>
  </si>
  <si>
    <t>Abhay Adgurwar ( Parmar )</t>
  </si>
  <si>
    <t>Arbaz</t>
  </si>
  <si>
    <t>Bhandare</t>
  </si>
  <si>
    <t>Chetan</t>
  </si>
  <si>
    <t>Gurjit</t>
  </si>
  <si>
    <t>Hitesh</t>
  </si>
  <si>
    <t>Izhar</t>
  </si>
  <si>
    <t>Jaiswal</t>
  </si>
  <si>
    <t>Lalit</t>
  </si>
  <si>
    <t>Meshram</t>
  </si>
  <si>
    <t>Nishan Bhattar</t>
  </si>
  <si>
    <t>Nitin Prasad</t>
  </si>
  <si>
    <t>Patel</t>
  </si>
  <si>
    <t>Preet Bhaiya</t>
  </si>
  <si>
    <t>Rupesh Regundewar</t>
  </si>
  <si>
    <t>Sachin K</t>
  </si>
  <si>
    <t>Salim</t>
  </si>
  <si>
    <t>Sanjeet</t>
  </si>
  <si>
    <t>Saurabh</t>
  </si>
  <si>
    <t>Shubham Dada</t>
  </si>
  <si>
    <t>Toyota</t>
  </si>
  <si>
    <t>Upadya</t>
  </si>
  <si>
    <t>Vishal Prasad</t>
  </si>
  <si>
    <t>Vishal Singh</t>
  </si>
  <si>
    <t>Yadav</t>
  </si>
  <si>
    <t>Yuvraj Thakur</t>
  </si>
  <si>
    <t>Normalized Name</t>
  </si>
  <si>
    <t>Raj Sir</t>
  </si>
  <si>
    <t>Labour Code</t>
  </si>
  <si>
    <t>Labour Name</t>
  </si>
  <si>
    <t>Mobile</t>
  </si>
  <si>
    <t>Joining Date</t>
  </si>
  <si>
    <t>Status</t>
  </si>
  <si>
    <t>Description</t>
  </si>
  <si>
    <t>Shubham Sakarkar</t>
  </si>
  <si>
    <t>Anshu</t>
  </si>
  <si>
    <t>Ravi</t>
  </si>
  <si>
    <t>Gaju Bhau</t>
  </si>
  <si>
    <t>Shubham</t>
  </si>
  <si>
    <t>Customer Unknown</t>
  </si>
  <si>
    <t>Saurabh Vidhate</t>
  </si>
  <si>
    <t>Hyva</t>
  </si>
  <si>
    <t>Halfton</t>
  </si>
  <si>
    <t>Devrao ( Raj Dad )</t>
  </si>
  <si>
    <t>Raju Bala ( Raj Dad )</t>
  </si>
  <si>
    <t>Malli Bhaiya</t>
  </si>
  <si>
    <t>Aashay</t>
  </si>
  <si>
    <t>Golu</t>
  </si>
  <si>
    <t>Rishab Dupare</t>
  </si>
  <si>
    <t>Sharik</t>
  </si>
  <si>
    <t>Anna</t>
  </si>
  <si>
    <t>Vithal Bhau</t>
  </si>
  <si>
    <t>Vehicle Code</t>
  </si>
  <si>
    <t>Vehicle No.</t>
  </si>
  <si>
    <t>Capacity</t>
  </si>
  <si>
    <t>Ownership Type</t>
  </si>
  <si>
    <t>Owner Name</t>
  </si>
  <si>
    <t>MH-34-AB-3070</t>
  </si>
  <si>
    <t>MH-29-T-0523</t>
  </si>
  <si>
    <t>MH-34-AB-3480</t>
  </si>
  <si>
    <t>MH-34-M-8123</t>
  </si>
  <si>
    <t>Owned</t>
  </si>
  <si>
    <t>Raj Kamdi</t>
  </si>
  <si>
    <t>ACTIVE</t>
  </si>
  <si>
    <t>VEH-001</t>
  </si>
  <si>
    <t>MH-34-CJ-6990</t>
  </si>
  <si>
    <t>Vehicle Type</t>
  </si>
  <si>
    <t>JCB</t>
  </si>
  <si>
    <t>VEH-002</t>
  </si>
  <si>
    <t>VEH-003</t>
  </si>
  <si>
    <t>VEH-004</t>
  </si>
  <si>
    <t>VEH-005</t>
  </si>
  <si>
    <t>600CFT</t>
  </si>
  <si>
    <t>200CFT</t>
  </si>
  <si>
    <t>Payment Method Code</t>
  </si>
  <si>
    <t>Payment Method Name</t>
  </si>
  <si>
    <t>PM-001</t>
  </si>
  <si>
    <t>Cash</t>
  </si>
  <si>
    <t>PM-002</t>
  </si>
  <si>
    <t>UPI</t>
  </si>
  <si>
    <t>PM-003</t>
  </si>
  <si>
    <t>Bank Transfer</t>
  </si>
  <si>
    <t>PM-004</t>
  </si>
  <si>
    <t>Cheque</t>
  </si>
  <si>
    <t xml:space="preserve">Akash </t>
  </si>
  <si>
    <t>Nagapure</t>
  </si>
  <si>
    <t>Irfan</t>
  </si>
  <si>
    <t>Sunil Balki</t>
  </si>
  <si>
    <t>Jhenthe</t>
  </si>
  <si>
    <t>Ramtake</t>
  </si>
  <si>
    <t>Pawan (Friend)</t>
  </si>
  <si>
    <t>Mahendra Order</t>
  </si>
  <si>
    <t>Gurjit Saini</t>
  </si>
  <si>
    <t>Sharukh Bhaiya</t>
  </si>
  <si>
    <t>Madhu Zanke ( Papa Order )</t>
  </si>
  <si>
    <t>Ashwin</t>
  </si>
  <si>
    <t>Bappya Mama</t>
  </si>
  <si>
    <t>Sanjeet Police</t>
  </si>
  <si>
    <t xml:space="preserve">Bandu ( Papa Order) </t>
  </si>
  <si>
    <t>Pravin</t>
  </si>
  <si>
    <t>Sau Thekedar</t>
  </si>
  <si>
    <t>Ankush P</t>
  </si>
  <si>
    <t>Tiushal Chawda</t>
  </si>
  <si>
    <t>Shiva Korewar</t>
  </si>
  <si>
    <t>Hari Bhau</t>
  </si>
  <si>
    <t>Surr</t>
  </si>
  <si>
    <t>Aau</t>
  </si>
  <si>
    <t>Githe Saheb</t>
  </si>
  <si>
    <t>Balki</t>
  </si>
  <si>
    <t>Lakhan</t>
  </si>
  <si>
    <t>Yash Bhaiya</t>
  </si>
  <si>
    <t>Azad Transport</t>
  </si>
  <si>
    <t>Ajay Mobile Shop</t>
  </si>
  <si>
    <t>Raj Order</t>
  </si>
  <si>
    <t>Akash</t>
  </si>
  <si>
    <t>Dyaneshwar Sau</t>
  </si>
  <si>
    <t>Harshal Murgane</t>
  </si>
  <si>
    <t>Tejas Pawar</t>
  </si>
  <si>
    <t>Ali Bhaiya</t>
  </si>
  <si>
    <t>Mahesh P</t>
  </si>
  <si>
    <t>Chandraban</t>
  </si>
  <si>
    <t>Lokhande</t>
  </si>
  <si>
    <t xml:space="preserve">Ashwin </t>
  </si>
  <si>
    <t>Raj Dad Order</t>
  </si>
  <si>
    <t>Chetan B</t>
  </si>
  <si>
    <t>Balaji Kaka</t>
  </si>
  <si>
    <t>Nitin Bhoyar</t>
  </si>
  <si>
    <t>Raju Sangarthi</t>
  </si>
  <si>
    <t>Suresh Pachare ( Papa  Order )</t>
  </si>
  <si>
    <t>Guru</t>
  </si>
  <si>
    <t>Aggrawal</t>
  </si>
  <si>
    <t>Rawal Bhaiya</t>
  </si>
  <si>
    <t>Hari Bhau Order</t>
  </si>
  <si>
    <t>Ravi Morey</t>
  </si>
  <si>
    <t>Jadish Yadav</t>
  </si>
  <si>
    <t>Santosh Bonwar</t>
  </si>
  <si>
    <t>Vicky ( Padoli Sarpanch )</t>
  </si>
  <si>
    <t>Cement Pipe ( Raj Order )</t>
  </si>
  <si>
    <t>Pawan Order</t>
  </si>
  <si>
    <t>Krishna</t>
  </si>
  <si>
    <t>Santosh Bhaiya</t>
  </si>
  <si>
    <t>Sammer</t>
  </si>
  <si>
    <t>Rahul</t>
  </si>
  <si>
    <t>Dhote</t>
  </si>
  <si>
    <t>Pravin Sapate</t>
  </si>
  <si>
    <t>Police Wala Saheb</t>
  </si>
  <si>
    <t>Lalit Nimkar</t>
  </si>
  <si>
    <t xml:space="preserve">Nitin Prasad </t>
  </si>
  <si>
    <t>Nitin Prasad ( Gandhare )</t>
  </si>
  <si>
    <t>Kotkar</t>
  </si>
  <si>
    <t>Rahul Kode</t>
  </si>
  <si>
    <t>Aalam Bhaiya</t>
  </si>
  <si>
    <t xml:space="preserve">Surana </t>
  </si>
  <si>
    <t>Kakaji</t>
  </si>
  <si>
    <t>Naryana Uncle Friend</t>
  </si>
  <si>
    <t>Shailja Enterprise</t>
  </si>
  <si>
    <t>Sandeep</t>
  </si>
  <si>
    <t>Vishwakarma</t>
  </si>
  <si>
    <t xml:space="preserve">Guru </t>
  </si>
  <si>
    <t>Rajura Thekedar</t>
  </si>
  <si>
    <t>Dhanraj</t>
  </si>
  <si>
    <t>Santosh</t>
  </si>
  <si>
    <t>Aawari</t>
  </si>
  <si>
    <t>Aanya</t>
  </si>
  <si>
    <t>Ravi Mama</t>
  </si>
  <si>
    <t>Mangesh</t>
  </si>
  <si>
    <t>Raj Traders</t>
  </si>
  <si>
    <t>Aashish</t>
  </si>
  <si>
    <t>Yash Thipe</t>
  </si>
  <si>
    <t>Rahim Bhaiya</t>
  </si>
  <si>
    <t>Arnav</t>
  </si>
  <si>
    <t>Seat Wala</t>
  </si>
  <si>
    <t>Jannya Bhau</t>
  </si>
  <si>
    <t>Sashikant ( Raj )</t>
  </si>
  <si>
    <t>Chaudhary Side</t>
  </si>
  <si>
    <t xml:space="preserve">Khobragade </t>
  </si>
  <si>
    <t>Shubhash</t>
  </si>
  <si>
    <t>Kailash Bhaiya</t>
  </si>
  <si>
    <t>Rajesh Thakur</t>
  </si>
  <si>
    <t>Mehul Bhaiya</t>
  </si>
  <si>
    <t>Atul Bhaiya</t>
  </si>
  <si>
    <t>Amit Gawande</t>
  </si>
  <si>
    <t>Ankit Milmile</t>
  </si>
  <si>
    <t>Gajendra</t>
  </si>
  <si>
    <t>Gajanan</t>
  </si>
  <si>
    <t>Hitesh Bhau</t>
  </si>
  <si>
    <t>Krishna United</t>
  </si>
  <si>
    <t>Gup Chup</t>
  </si>
  <si>
    <t>Mahesh Thekedar</t>
  </si>
  <si>
    <t>Manish Raikunde</t>
  </si>
  <si>
    <t>Nishan Bhatter Order</t>
  </si>
  <si>
    <t>Pramod Mistri</t>
  </si>
  <si>
    <t>Rahul Dada</t>
  </si>
  <si>
    <t>Rajesh Kade</t>
  </si>
  <si>
    <t>Sachin Gawande</t>
  </si>
  <si>
    <t>Sharif Mistri</t>
  </si>
  <si>
    <t>Shiva Driver</t>
  </si>
  <si>
    <t>Vansh Nikose</t>
  </si>
  <si>
    <t>Atul Ukade</t>
  </si>
  <si>
    <t>Bharat Rone</t>
  </si>
  <si>
    <t>Chips Wala</t>
  </si>
  <si>
    <t>Karan</t>
  </si>
  <si>
    <t>National</t>
  </si>
  <si>
    <t>Narayana Kakaji</t>
  </si>
  <si>
    <t>Vineet Ramteke</t>
  </si>
  <si>
    <t>Chauhan</t>
  </si>
  <si>
    <t>Rishab Driver</t>
  </si>
  <si>
    <t>Manish Raykunde</t>
  </si>
  <si>
    <t>Salam Kalam</t>
  </si>
  <si>
    <t>Kirmire ( Raj Dad )</t>
  </si>
  <si>
    <t>Rohankar ( Raj Dad )</t>
  </si>
  <si>
    <t>Road ( Raj Dad )</t>
  </si>
  <si>
    <t xml:space="preserve">Ataullah </t>
  </si>
  <si>
    <t>Roshan Order</t>
  </si>
  <si>
    <t>Desi Ramteke ( Roshan Order )</t>
  </si>
  <si>
    <t>Sudha Hotel</t>
  </si>
  <si>
    <t>Ataullah</t>
  </si>
  <si>
    <t>Narayan Tiles</t>
  </si>
  <si>
    <t>Ghorpade ( Roshan )</t>
  </si>
  <si>
    <t>Bondhare</t>
  </si>
  <si>
    <t>Gaurav</t>
  </si>
  <si>
    <t>Gautre</t>
  </si>
  <si>
    <t>Chiwande</t>
  </si>
  <si>
    <t>Chambhare</t>
  </si>
  <si>
    <t xml:space="preserve">Gaju Panthela </t>
  </si>
  <si>
    <t>Sakdev</t>
  </si>
  <si>
    <t>Borkute</t>
  </si>
  <si>
    <t>Rachna Ramteke</t>
  </si>
  <si>
    <t>Yete</t>
  </si>
  <si>
    <t>Bandu</t>
  </si>
  <si>
    <t>Shrisagar</t>
  </si>
  <si>
    <t>Zamare</t>
  </si>
  <si>
    <t>Ravi Electrician</t>
  </si>
  <si>
    <t>Nagendra Gadge</t>
  </si>
  <si>
    <t>Balu Khokle</t>
  </si>
  <si>
    <t>Raju Manusmare</t>
  </si>
  <si>
    <t>Daru Ramtake</t>
  </si>
  <si>
    <t>Nitesh</t>
  </si>
  <si>
    <t>Prem Meshram</t>
  </si>
  <si>
    <t>Ramchandra Dongre</t>
  </si>
  <si>
    <t>Sonalika Ramtake ( Raj Order )</t>
  </si>
  <si>
    <t>Prajwal Kasaute (Ashay Jal )</t>
  </si>
  <si>
    <t>Santosh Parde ( Raj Dad )</t>
  </si>
  <si>
    <t>Kalam ( Raj Dad )</t>
  </si>
  <si>
    <t>Washing Center</t>
  </si>
  <si>
    <t>Narendra Chiwande ( Roshan )</t>
  </si>
  <si>
    <t>Rahul Borkute</t>
  </si>
  <si>
    <t xml:space="preserve">Joyti Dhote ( Raj Dad) </t>
  </si>
  <si>
    <t>Rashtrawadi ( Raj )</t>
  </si>
  <si>
    <t>Akshu</t>
  </si>
  <si>
    <t>Kiran</t>
  </si>
  <si>
    <t>Jagannath Chukre ( Mahendra )</t>
  </si>
  <si>
    <t>Shri Sai ( Raj Dad )</t>
  </si>
  <si>
    <t xml:space="preserve">Rajesh ( Ravi Mama </t>
  </si>
  <si>
    <t>Sagar Morey ( Mahendra )</t>
  </si>
  <si>
    <t>Thackery ( Raj )</t>
  </si>
  <si>
    <t>Sanju Sonwane ( Mahendra )</t>
  </si>
  <si>
    <t>Pratap Yard ( Raj Dad )</t>
  </si>
  <si>
    <t>Nana ( Raj Dad )</t>
  </si>
  <si>
    <t>Ganesh LCB. ( Raj Order</t>
  </si>
  <si>
    <t>Nitesh Khandarkar ( Mahendra )</t>
  </si>
  <si>
    <t>Raju Mistri ( Mahendra )</t>
  </si>
  <si>
    <t>Ghopal ( Mahendra )</t>
  </si>
  <si>
    <t>Nattu Meshram</t>
  </si>
  <si>
    <t>Rahul Dhaba</t>
  </si>
  <si>
    <t>Anil Khokle</t>
  </si>
  <si>
    <t>Arjun Chinchurwar</t>
  </si>
  <si>
    <t>Chaudhary</t>
  </si>
  <si>
    <t>Dev Kumar</t>
  </si>
  <si>
    <t>Fish Wala</t>
  </si>
  <si>
    <t>Jay Amte</t>
  </si>
  <si>
    <t>Lonbole</t>
  </si>
  <si>
    <t>Manoj Khokle</t>
  </si>
  <si>
    <t>Masirkar</t>
  </si>
  <si>
    <t>Rakesh Ramteke</t>
  </si>
  <si>
    <t>Ramteke</t>
  </si>
  <si>
    <t>Sau</t>
  </si>
  <si>
    <t>Santosh Sinha</t>
  </si>
  <si>
    <t>Sonaware</t>
  </si>
  <si>
    <t>Sumit Meshram</t>
  </si>
  <si>
    <t>Aatram</t>
  </si>
  <si>
    <t>Aakash</t>
  </si>
  <si>
    <t>Aaro Water Filter</t>
  </si>
  <si>
    <t>Aawde</t>
  </si>
  <si>
    <t>Ajgar Bhaiya</t>
  </si>
  <si>
    <t>Ajju Balki</t>
  </si>
  <si>
    <t>Akram Shiek</t>
  </si>
  <si>
    <t>Akshay</t>
  </si>
  <si>
    <t>Amar Avde</t>
  </si>
  <si>
    <t>Amit G</t>
  </si>
  <si>
    <t>Amit Matthe</t>
  </si>
  <si>
    <t>Amit Sherke</t>
  </si>
  <si>
    <t>Amol Thekedar</t>
  </si>
  <si>
    <t>Amtha</t>
  </si>
  <si>
    <t>Aniket Chaudhary</t>
  </si>
  <si>
    <t>Anil Bhoyar</t>
  </si>
  <si>
    <t>Anil Narule</t>
  </si>
  <si>
    <t>Anil Shukdev</t>
  </si>
  <si>
    <t>Ankit Ghutke</t>
  </si>
  <si>
    <t>Ankush Bhau</t>
  </si>
  <si>
    <t>Anurag ( Golu)</t>
  </si>
  <si>
    <t>Arvind Gupta</t>
  </si>
  <si>
    <t>Arvind Rohankar</t>
  </si>
  <si>
    <t>Ashok</t>
  </si>
  <si>
    <t xml:space="preserve">Aszar </t>
  </si>
  <si>
    <t>Baburao Weilding</t>
  </si>
  <si>
    <t xml:space="preserve">Balki </t>
  </si>
  <si>
    <t>Bhadke</t>
  </si>
  <si>
    <t>Bhai Miya</t>
  </si>
  <si>
    <t>Bhimrao Padwekar</t>
  </si>
  <si>
    <t>Chaada Transport</t>
  </si>
  <si>
    <t xml:space="preserve">Chaure Welder </t>
  </si>
  <si>
    <t>Chetan Bhobde</t>
  </si>
  <si>
    <t>Chetan U</t>
  </si>
  <si>
    <t>Chhabu Sahare ( Raj Dad )</t>
  </si>
  <si>
    <t>Dayaram Thekedar</t>
  </si>
  <si>
    <t>Deepanshu Thackrey</t>
  </si>
  <si>
    <t>Deshkar ( Raj Dad )</t>
  </si>
  <si>
    <t>Devanand Sao</t>
  </si>
  <si>
    <t>Dewagan</t>
  </si>
  <si>
    <t>Dodlani</t>
  </si>
  <si>
    <t>Dump</t>
  </si>
  <si>
    <t>Durge</t>
  </si>
  <si>
    <t>Fasate</t>
  </si>
  <si>
    <t>Gaju Mandavkar</t>
  </si>
  <si>
    <t>Gandfade</t>
  </si>
  <si>
    <t>Ganesh Surje</t>
  </si>
  <si>
    <t>Gautre ( Raj Dad )</t>
  </si>
  <si>
    <t>Gedam Raj</t>
  </si>
  <si>
    <t>Giratkar</t>
  </si>
  <si>
    <t xml:space="preserve">Golu </t>
  </si>
  <si>
    <t>Golu Operator</t>
  </si>
  <si>
    <t>Hemendra</t>
  </si>
  <si>
    <t>Hitesh Zamare</t>
  </si>
  <si>
    <t>hiwakar</t>
  </si>
  <si>
    <t xml:space="preserve">Hiwakar </t>
  </si>
  <si>
    <t>HP Gas ( Mahendra )</t>
  </si>
  <si>
    <t>Jay Mishra</t>
  </si>
  <si>
    <t>jhangid</t>
  </si>
  <si>
    <t>JI Sav ( Roshan )</t>
  </si>
  <si>
    <t>Joyti Bai</t>
  </si>
  <si>
    <t>Kade</t>
  </si>
  <si>
    <t>Kakaji ( Papa Order )</t>
  </si>
  <si>
    <t>Kale</t>
  </si>
  <si>
    <t>Kamalar Ramteke</t>
  </si>
  <si>
    <t>Kamlesh Chidate ( Raj Dad )</t>
  </si>
  <si>
    <t>Khare Uncle ( Raj Dad )</t>
  </si>
  <si>
    <t>Kishor Buratkar</t>
  </si>
  <si>
    <t>Komal Bhaiya</t>
  </si>
  <si>
    <t xml:space="preserve">Kunal ( Roshan Order </t>
  </si>
  <si>
    <t>Kunal Dhole</t>
  </si>
  <si>
    <t>Langda ( Mahendra )</t>
  </si>
  <si>
    <t>Lemon Sao</t>
  </si>
  <si>
    <t>Maane</t>
  </si>
  <si>
    <t>Mahendra  CCTV</t>
  </si>
  <si>
    <t>Mandir</t>
  </si>
  <si>
    <t>Manish Ramteke</t>
  </si>
  <si>
    <t>Matthe</t>
  </si>
  <si>
    <t xml:space="preserve">MD </t>
  </si>
  <si>
    <t>Mohan Lonbole</t>
  </si>
  <si>
    <t>Morey Cycle</t>
  </si>
  <si>
    <t>Mukesh</t>
  </si>
  <si>
    <t>Naeem Bhaiya</t>
  </si>
  <si>
    <t>Naitam</t>
  </si>
  <si>
    <t>Naresh Gaware</t>
  </si>
  <si>
    <t>Naresh Kaka</t>
  </si>
  <si>
    <t>Navel Bhaiya</t>
  </si>
  <si>
    <t xml:space="preserve">Near Yenurkar House </t>
  </si>
  <si>
    <t>Nidhi Dhodhare</t>
  </si>
  <si>
    <t>Nikhil Aaglave</t>
  </si>
  <si>
    <t>Nishu Bhaiya</t>
  </si>
  <si>
    <t>Noor ( Lak Wala )</t>
  </si>
  <si>
    <t>Noor Garage ( Mahendra )</t>
  </si>
  <si>
    <t>Omdas</t>
  </si>
  <si>
    <t>Papa Order</t>
  </si>
  <si>
    <t xml:space="preserve">Papa Order </t>
  </si>
  <si>
    <t>Paranav Bobade</t>
  </si>
  <si>
    <t>Parchake</t>
  </si>
  <si>
    <t>Pari Doctor</t>
  </si>
  <si>
    <t>Pawar</t>
  </si>
  <si>
    <t>Pinge</t>
  </si>
  <si>
    <t>Piyush</t>
  </si>
  <si>
    <t>Poilice Gaju</t>
  </si>
  <si>
    <t>Police Station</t>
  </si>
  <si>
    <t>Prakash kale</t>
  </si>
  <si>
    <t>Prakash Nagarkar</t>
  </si>
  <si>
    <t>Pranav Bhobde</t>
  </si>
  <si>
    <t>Prasahant</t>
  </si>
  <si>
    <t>Pravin Singh</t>
  </si>
  <si>
    <t>Preet Friend</t>
  </si>
  <si>
    <t>Punay Pawar</t>
  </si>
  <si>
    <t>Puncture Wala</t>
  </si>
  <si>
    <t>Rafik Thekedar</t>
  </si>
  <si>
    <t>Rahish ( Mahendra )</t>
  </si>
  <si>
    <t>Railway</t>
  </si>
  <si>
    <t>Railway Bridge</t>
  </si>
  <si>
    <t>Rajesh Singh</t>
  </si>
  <si>
    <t>Rakesh</t>
  </si>
  <si>
    <t>Rakesh Aagat ( Raj )</t>
  </si>
  <si>
    <t>Rasees</t>
  </si>
  <si>
    <t>Rasses Order</t>
  </si>
  <si>
    <t>Raut</t>
  </si>
  <si>
    <t>Ravi Wandare</t>
  </si>
  <si>
    <t>Rohan</t>
  </si>
  <si>
    <t>Rohan Nagarkar</t>
  </si>
  <si>
    <t>Rohit Jograna</t>
  </si>
  <si>
    <t>Rohit Prasad</t>
  </si>
  <si>
    <t>Roshan</t>
  </si>
  <si>
    <t>Roshan Raj Dad</t>
  </si>
  <si>
    <t>RTO</t>
  </si>
  <si>
    <t>RVF Railway</t>
  </si>
  <si>
    <t>Sachin</t>
  </si>
  <si>
    <t>Sadwe Hardware</t>
  </si>
  <si>
    <t>Sahil Derkar</t>
  </si>
  <si>
    <t>Sainaith Jungure</t>
  </si>
  <si>
    <t>Sammer Ingole</t>
  </si>
  <si>
    <t>Sandeep Borkhute</t>
  </si>
  <si>
    <t>Sanju</t>
  </si>
  <si>
    <t>Sanju Ghate</t>
  </si>
  <si>
    <t>Santosh Bhaiya Order</t>
  </si>
  <si>
    <t>Santosh Order</t>
  </si>
  <si>
    <t>Sarda Angency ( Raj Dad )</t>
  </si>
  <si>
    <t>Saurabh Meshram</t>
  </si>
  <si>
    <t xml:space="preserve">Sham Builder </t>
  </si>
  <si>
    <t>Shardur</t>
  </si>
  <si>
    <t xml:space="preserve">Sharik </t>
  </si>
  <si>
    <t>Sharik thekedar</t>
  </si>
  <si>
    <t>Shende</t>
  </si>
  <si>
    <t>Shera Bhaiya</t>
  </si>
  <si>
    <t>Shiv Mandir</t>
  </si>
  <si>
    <t>Shubham Bondare</t>
  </si>
  <si>
    <t>Shubhash Mistri</t>
  </si>
  <si>
    <t>Shyam Kulmete</t>
  </si>
  <si>
    <t>Sina Thekedar</t>
  </si>
  <si>
    <t>Sontake</t>
  </si>
  <si>
    <t>Sonware</t>
  </si>
  <si>
    <t>Stock -  Ramp</t>
  </si>
  <si>
    <t>Sukhdev</t>
  </si>
  <si>
    <t xml:space="preserve">Sunil Balki </t>
  </si>
  <si>
    <t>Sunny Dad</t>
  </si>
  <si>
    <t>Suraj</t>
  </si>
  <si>
    <t>Suresh Pachare</t>
  </si>
  <si>
    <t>Tukum</t>
  </si>
  <si>
    <t>Turankar ( Raj )</t>
  </si>
  <si>
    <t>Tyre Wala</t>
  </si>
  <si>
    <t>Ujjawala Marketing</t>
  </si>
  <si>
    <t>Unknown ( Raj )</t>
  </si>
  <si>
    <t>vaman Shende</t>
  </si>
  <si>
    <t>Vasanda</t>
  </si>
  <si>
    <t>Vedant Wargane</t>
  </si>
  <si>
    <t>Vijayendra Selokar</t>
  </si>
  <si>
    <t>Vilas Tonge</t>
  </si>
  <si>
    <t>Vishal Chaware</t>
  </si>
  <si>
    <t>Vishal Patil</t>
  </si>
  <si>
    <t>Vishal Prasad ( Vinod Side )</t>
  </si>
  <si>
    <t>Wandhare</t>
  </si>
  <si>
    <t>Yergude</t>
  </si>
  <si>
    <t>NOT FOUND</t>
  </si>
  <si>
    <t>N/A</t>
  </si>
  <si>
    <t>Raj Owned</t>
  </si>
  <si>
    <t>Pradip Chitade</t>
  </si>
  <si>
    <t>Yogesh Bhandare</t>
  </si>
  <si>
    <t>Sagar Ghorade</t>
  </si>
  <si>
    <t>Ankush Topase</t>
  </si>
  <si>
    <t>Anuraj  ( Golu )</t>
  </si>
  <si>
    <t>Ashish Nagpure</t>
  </si>
  <si>
    <t>Atul Aatram</t>
  </si>
  <si>
    <t>Aupadhya</t>
  </si>
  <si>
    <t>Bablu Bhaiya</t>
  </si>
  <si>
    <t>Bawane</t>
  </si>
  <si>
    <t>Bobby Bhaiya</t>
  </si>
  <si>
    <t>Faizan Bhaiya</t>
  </si>
  <si>
    <t>Fateing ( Mamaji )</t>
  </si>
  <si>
    <t>Gorkar</t>
  </si>
  <si>
    <t>Gormade</t>
  </si>
  <si>
    <t>Jadish Morey</t>
  </si>
  <si>
    <t>Jagdish Yadav</t>
  </si>
  <si>
    <t>Jilte</t>
  </si>
  <si>
    <t>Lalita</t>
  </si>
  <si>
    <t>Lalita Sangarti</t>
  </si>
  <si>
    <t>Lanchu</t>
  </si>
  <si>
    <t>Manthan</t>
  </si>
  <si>
    <t>Maroti Gotkar</t>
  </si>
  <si>
    <t>Nacika Kaka</t>
  </si>
  <si>
    <t>Naresh Kaka. Order</t>
  </si>
  <si>
    <t>Pani Puri Wala</t>
  </si>
  <si>
    <t xml:space="preserve">Railway </t>
  </si>
  <si>
    <t>Raj Patil</t>
  </si>
  <si>
    <t>Robby</t>
  </si>
  <si>
    <t>Sangham Palliwar</t>
  </si>
  <si>
    <t>Sanjay Wagade</t>
  </si>
  <si>
    <t>Sardarji</t>
  </si>
  <si>
    <t>Sheshrao Zhilte</t>
  </si>
  <si>
    <t>Shukla</t>
  </si>
  <si>
    <t xml:space="preserve">Suraj Sasra </t>
  </si>
  <si>
    <t>Surendra magar</t>
  </si>
  <si>
    <t>Vishal</t>
  </si>
  <si>
    <t>Vivek Tankar</t>
  </si>
  <si>
    <t>Raj Kamdi Stock</t>
  </si>
  <si>
    <t>Jivan Sao</t>
  </si>
  <si>
    <t>Saija Bai</t>
  </si>
  <si>
    <t>Dayakar</t>
  </si>
  <si>
    <t>Chabu Sahare</t>
  </si>
  <si>
    <t>Dinesh</t>
  </si>
  <si>
    <t>Manoj</t>
  </si>
  <si>
    <t>Sangamitra</t>
  </si>
  <si>
    <t>Rasees Driver</t>
  </si>
  <si>
    <t>Kishan Bhau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</si>
</sst>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0" xfId="0" applyFont="1"/>
    <xf numFmtId="0" fontId="3" fillId="0" borderId="0" xfId="1" applyFont="1"/>
    <xf numFmtId="0" fontId="7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2" xfId="0" applyBorder="1" applyAlignment="1">
      <alignment horizontal="left"/>
    </xf>
  </cellXfs>
  <cellStyles count="2">
    <cellStyle name="Normal" xfId="0" builtinId="0"/>
    <cellStyle name="Normal 2" xfId="1" xr:uid="{807BD992-9CF0-9D46-8E4E-DEC4D2573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3894-3107-2E4C-908E-7533AAF7BB2F}">
  <dimension ref="A1:P433"/>
  <sheetViews>
    <sheetView tabSelected="1" topLeftCell="A300" zoomScale="124" workbookViewId="0">
      <selection activeCell="D318" sqref="D318"/>
    </sheetView>
  </sheetViews>
  <sheetFormatPr baseColWidth="10" defaultRowHeight="16" x14ac:dyDescent="0.2"/>
  <cols>
    <col min="1" max="1" width="14.1640625" bestFit="1" customWidth="1"/>
    <col min="2" max="2" width="22.33203125" bestFit="1" customWidth="1"/>
    <col min="3" max="3" width="13.5" bestFit="1" customWidth="1"/>
    <col min="4" max="4" width="10.1640625" bestFit="1" customWidth="1"/>
    <col min="5" max="5" width="17.83203125" bestFit="1" customWidth="1"/>
    <col min="6" max="6" width="5.6640625" bestFit="1" customWidth="1"/>
    <col min="7" max="7" width="12.83203125" bestFit="1" customWidth="1"/>
    <col min="8" max="8" width="4.83203125" bestFit="1" customWidth="1"/>
    <col min="9" max="9" width="5.5" bestFit="1" customWidth="1"/>
    <col min="10" max="10" width="7.6640625" bestFit="1" customWidth="1"/>
    <col min="11" max="11" width="6.1640625" bestFit="1" customWidth="1"/>
    <col min="12" max="12" width="4.5" bestFit="1" customWidth="1"/>
    <col min="13" max="13" width="10.6640625" bestFit="1" customWidth="1"/>
    <col min="14" max="14" width="18.1640625" bestFit="1" customWidth="1"/>
    <col min="15" max="15" width="6.1640625" bestFit="1" customWidth="1"/>
    <col min="16" max="16" width="30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42</v>
      </c>
    </row>
    <row r="2" spans="1:16" x14ac:dyDescent="0.2">
      <c r="A2" t="str">
        <f>"CUST-"&amp;TEXT(ROW()-1,"000")</f>
        <v>CUST-001</v>
      </c>
      <c r="B2" s="9" t="s">
        <v>297</v>
      </c>
      <c r="P2" t="str">
        <f>UPPER(TRIM(B2))</f>
        <v>AAKASH</v>
      </c>
    </row>
    <row r="3" spans="1:16" x14ac:dyDescent="0.2">
      <c r="A3" t="str">
        <f t="shared" ref="A3:A65" si="0">"CUST-"&amp;TEXT(ROW()-1,"000")</f>
        <v>CUST-002</v>
      </c>
      <c r="B3" s="6" t="s">
        <v>167</v>
      </c>
      <c r="P3" t="str">
        <f t="shared" ref="P3:P65" si="1">UPPER(TRIM(B3))</f>
        <v>AALAM BHAIYA</v>
      </c>
    </row>
    <row r="4" spans="1:16" x14ac:dyDescent="0.2">
      <c r="A4" t="str">
        <f t="shared" si="0"/>
        <v>CUST-003</v>
      </c>
      <c r="B4" s="6" t="s">
        <v>179</v>
      </c>
      <c r="P4" t="str">
        <f t="shared" si="1"/>
        <v>AANYA</v>
      </c>
    </row>
    <row r="5" spans="1:16" x14ac:dyDescent="0.2">
      <c r="A5" t="str">
        <f t="shared" si="0"/>
        <v>CUST-004</v>
      </c>
      <c r="B5" s="9" t="s">
        <v>298</v>
      </c>
      <c r="P5" t="str">
        <f t="shared" si="1"/>
        <v>AARO WATER FILTER</v>
      </c>
    </row>
    <row r="6" spans="1:16" x14ac:dyDescent="0.2">
      <c r="A6" t="str">
        <f t="shared" si="0"/>
        <v>CUST-005</v>
      </c>
      <c r="B6" s="6" t="s">
        <v>62</v>
      </c>
      <c r="P6" t="str">
        <f t="shared" si="1"/>
        <v>AASHAY</v>
      </c>
    </row>
    <row r="7" spans="1:16" x14ac:dyDescent="0.2">
      <c r="A7" t="str">
        <f t="shared" si="0"/>
        <v>CUST-006</v>
      </c>
      <c r="B7" s="6" t="s">
        <v>183</v>
      </c>
      <c r="P7" t="str">
        <f t="shared" si="1"/>
        <v>AASHISH</v>
      </c>
    </row>
    <row r="8" spans="1:16" x14ac:dyDescent="0.2">
      <c r="A8" t="str">
        <f t="shared" si="0"/>
        <v>CUST-007</v>
      </c>
      <c r="B8" s="9" t="s">
        <v>296</v>
      </c>
      <c r="P8" t="str">
        <f t="shared" si="1"/>
        <v>AATRAM</v>
      </c>
    </row>
    <row r="9" spans="1:16" x14ac:dyDescent="0.2">
      <c r="A9" t="str">
        <f t="shared" si="0"/>
        <v>CUST-008</v>
      </c>
      <c r="B9" s="6" t="s">
        <v>122</v>
      </c>
      <c r="P9" t="str">
        <f t="shared" si="1"/>
        <v>AAU</v>
      </c>
    </row>
    <row r="10" spans="1:16" x14ac:dyDescent="0.2">
      <c r="A10" t="str">
        <f t="shared" si="0"/>
        <v>CUST-009</v>
      </c>
      <c r="B10" s="6" t="s">
        <v>178</v>
      </c>
      <c r="P10" t="str">
        <f t="shared" si="1"/>
        <v>AAWARI</v>
      </c>
    </row>
    <row r="11" spans="1:16" x14ac:dyDescent="0.2">
      <c r="A11" t="str">
        <f t="shared" si="0"/>
        <v>CUST-010</v>
      </c>
      <c r="B11" s="9" t="s">
        <v>299</v>
      </c>
      <c r="P11" t="str">
        <f t="shared" si="1"/>
        <v>AAWDE</v>
      </c>
    </row>
    <row r="12" spans="1:16" x14ac:dyDescent="0.2">
      <c r="A12" t="str">
        <f t="shared" si="0"/>
        <v>CUST-011</v>
      </c>
      <c r="B12" s="6" t="s">
        <v>15</v>
      </c>
      <c r="P12" t="str">
        <f t="shared" si="1"/>
        <v>ABHAY ADGURWAR</v>
      </c>
    </row>
    <row r="13" spans="1:16" x14ac:dyDescent="0.2">
      <c r="A13" t="str">
        <f t="shared" si="0"/>
        <v>CUST-012</v>
      </c>
      <c r="B13" s="6" t="s">
        <v>16</v>
      </c>
      <c r="P13" t="str">
        <f t="shared" si="1"/>
        <v>ABHAY ADGURWAR ( PARMAR )</v>
      </c>
    </row>
    <row r="14" spans="1:16" x14ac:dyDescent="0.2">
      <c r="A14" t="str">
        <f t="shared" si="0"/>
        <v>CUST-013</v>
      </c>
      <c r="B14" s="6" t="s">
        <v>146</v>
      </c>
      <c r="P14" t="str">
        <f t="shared" si="1"/>
        <v>AGGRAWAL</v>
      </c>
    </row>
    <row r="15" spans="1:16" x14ac:dyDescent="0.2">
      <c r="A15" t="str">
        <f t="shared" si="0"/>
        <v>CUST-014</v>
      </c>
      <c r="B15" s="6" t="s">
        <v>128</v>
      </c>
      <c r="P15" t="str">
        <f t="shared" si="1"/>
        <v>AJAY MOBILE SHOP</v>
      </c>
    </row>
    <row r="16" spans="1:16" x14ac:dyDescent="0.2">
      <c r="A16" t="str">
        <f t="shared" si="0"/>
        <v>CUST-015</v>
      </c>
      <c r="B16" s="6" t="s">
        <v>300</v>
      </c>
      <c r="P16" t="str">
        <f t="shared" si="1"/>
        <v>AJGAR BHAIYA</v>
      </c>
    </row>
    <row r="17" spans="1:16" x14ac:dyDescent="0.2">
      <c r="A17" t="str">
        <f t="shared" si="0"/>
        <v>CUST-016</v>
      </c>
      <c r="B17" s="6" t="s">
        <v>301</v>
      </c>
      <c r="P17" t="str">
        <f t="shared" si="1"/>
        <v>AJJU BALKI</v>
      </c>
    </row>
    <row r="18" spans="1:16" x14ac:dyDescent="0.2">
      <c r="A18" t="str">
        <f t="shared" si="0"/>
        <v>CUST-017</v>
      </c>
      <c r="B18" s="6" t="s">
        <v>130</v>
      </c>
      <c r="P18" t="str">
        <f t="shared" si="1"/>
        <v>AKASH</v>
      </c>
    </row>
    <row r="19" spans="1:16" x14ac:dyDescent="0.2">
      <c r="A19" t="str">
        <f t="shared" si="0"/>
        <v>CUST-018</v>
      </c>
      <c r="B19" s="6" t="s">
        <v>100</v>
      </c>
      <c r="P19" t="str">
        <f t="shared" si="1"/>
        <v>AKASH</v>
      </c>
    </row>
    <row r="20" spans="1:16" x14ac:dyDescent="0.2">
      <c r="A20" t="str">
        <f t="shared" si="0"/>
        <v>CUST-019</v>
      </c>
      <c r="B20" s="6" t="s">
        <v>302</v>
      </c>
      <c r="P20" t="str">
        <f t="shared" si="1"/>
        <v>AKRAM SHIEK</v>
      </c>
    </row>
    <row r="21" spans="1:16" x14ac:dyDescent="0.2">
      <c r="A21" t="str">
        <f t="shared" si="0"/>
        <v>CUST-020</v>
      </c>
      <c r="B21" s="6" t="s">
        <v>303</v>
      </c>
      <c r="P21" t="str">
        <f t="shared" si="1"/>
        <v>AKSHAY</v>
      </c>
    </row>
    <row r="22" spans="1:16" x14ac:dyDescent="0.2">
      <c r="A22" t="str">
        <f t="shared" si="0"/>
        <v>CUST-021</v>
      </c>
      <c r="B22" s="9" t="s">
        <v>265</v>
      </c>
      <c r="P22" t="str">
        <f t="shared" si="1"/>
        <v>AKSHU</v>
      </c>
    </row>
    <row r="23" spans="1:16" x14ac:dyDescent="0.2">
      <c r="A23" t="str">
        <f t="shared" si="0"/>
        <v>CUST-022</v>
      </c>
      <c r="B23" s="6" t="s">
        <v>134</v>
      </c>
      <c r="P23" t="str">
        <f t="shared" si="1"/>
        <v>ALI BHAIYA</v>
      </c>
    </row>
    <row r="24" spans="1:16" x14ac:dyDescent="0.2">
      <c r="A24" t="str">
        <f t="shared" si="0"/>
        <v>CUST-023</v>
      </c>
      <c r="B24" s="6" t="s">
        <v>304</v>
      </c>
      <c r="P24" t="str">
        <f t="shared" si="1"/>
        <v>AMAR AVDE</v>
      </c>
    </row>
    <row r="25" spans="1:16" x14ac:dyDescent="0.2">
      <c r="A25" t="str">
        <f t="shared" si="0"/>
        <v>CUST-024</v>
      </c>
      <c r="B25" s="6" t="s">
        <v>305</v>
      </c>
      <c r="P25" t="str">
        <f t="shared" si="1"/>
        <v>AMIT G</v>
      </c>
    </row>
    <row r="26" spans="1:16" x14ac:dyDescent="0.2">
      <c r="A26" t="str">
        <f t="shared" si="0"/>
        <v>CUST-025</v>
      </c>
      <c r="B26" s="6" t="s">
        <v>306</v>
      </c>
      <c r="P26" t="str">
        <f t="shared" si="1"/>
        <v>AMIT MATTHE</v>
      </c>
    </row>
    <row r="27" spans="1:16" x14ac:dyDescent="0.2">
      <c r="A27" t="str">
        <f t="shared" si="0"/>
        <v>CUST-026</v>
      </c>
      <c r="B27" s="6" t="s">
        <v>307</v>
      </c>
      <c r="P27" t="str">
        <f t="shared" si="1"/>
        <v>AMIT SHERKE</v>
      </c>
    </row>
    <row r="28" spans="1:16" x14ac:dyDescent="0.2">
      <c r="A28" t="str">
        <f t="shared" si="0"/>
        <v>CUST-027</v>
      </c>
      <c r="B28" s="6" t="s">
        <v>308</v>
      </c>
      <c r="P28" t="str">
        <f t="shared" si="1"/>
        <v>AMOL THEKEDAR</v>
      </c>
    </row>
    <row r="29" spans="1:16" x14ac:dyDescent="0.2">
      <c r="A29" t="str">
        <f t="shared" si="0"/>
        <v>CUST-028</v>
      </c>
      <c r="B29" s="9" t="s">
        <v>309</v>
      </c>
      <c r="P29" t="str">
        <f t="shared" si="1"/>
        <v>AMTHA</v>
      </c>
    </row>
    <row r="30" spans="1:16" x14ac:dyDescent="0.2">
      <c r="A30" t="str">
        <f t="shared" si="0"/>
        <v>CUST-029</v>
      </c>
      <c r="B30" s="9" t="s">
        <v>310</v>
      </c>
      <c r="P30" t="str">
        <f t="shared" si="1"/>
        <v>ANIKET CHAUDHARY</v>
      </c>
    </row>
    <row r="31" spans="1:16" x14ac:dyDescent="0.2">
      <c r="A31" t="str">
        <f t="shared" si="0"/>
        <v>CUST-030</v>
      </c>
      <c r="B31" s="6" t="s">
        <v>311</v>
      </c>
      <c r="P31" t="str">
        <f t="shared" si="1"/>
        <v>ANIL BHOYAR</v>
      </c>
    </row>
    <row r="32" spans="1:16" x14ac:dyDescent="0.2">
      <c r="A32" t="str">
        <f t="shared" si="0"/>
        <v>CUST-031</v>
      </c>
      <c r="B32" s="10" t="s">
        <v>281</v>
      </c>
      <c r="P32" t="str">
        <f t="shared" si="1"/>
        <v>ANIL KHOKLE</v>
      </c>
    </row>
    <row r="33" spans="1:16" x14ac:dyDescent="0.2">
      <c r="A33" t="str">
        <f t="shared" si="0"/>
        <v>CUST-032</v>
      </c>
      <c r="B33" s="6" t="s">
        <v>312</v>
      </c>
      <c r="P33" t="str">
        <f t="shared" si="1"/>
        <v>ANIL NARULE</v>
      </c>
    </row>
    <row r="34" spans="1:16" x14ac:dyDescent="0.2">
      <c r="A34" t="str">
        <f t="shared" si="0"/>
        <v>CUST-033</v>
      </c>
      <c r="B34" s="9" t="s">
        <v>313</v>
      </c>
      <c r="P34" t="str">
        <f t="shared" si="1"/>
        <v>ANIL SHUKDEV</v>
      </c>
    </row>
    <row r="35" spans="1:16" x14ac:dyDescent="0.2">
      <c r="A35" t="str">
        <f t="shared" si="0"/>
        <v>CUST-034</v>
      </c>
      <c r="B35" s="6" t="s">
        <v>314</v>
      </c>
      <c r="P35" t="str">
        <f t="shared" si="1"/>
        <v>ANKIT GHUTKE</v>
      </c>
    </row>
    <row r="36" spans="1:16" x14ac:dyDescent="0.2">
      <c r="A36" t="str">
        <f t="shared" si="0"/>
        <v>CUST-035</v>
      </c>
      <c r="B36" s="6" t="s">
        <v>198</v>
      </c>
      <c r="P36" t="str">
        <f t="shared" si="1"/>
        <v>ANKIT MILMILE</v>
      </c>
    </row>
    <row r="37" spans="1:16" x14ac:dyDescent="0.2">
      <c r="A37" t="str">
        <f t="shared" si="0"/>
        <v>CUST-036</v>
      </c>
      <c r="B37" s="6" t="s">
        <v>315</v>
      </c>
      <c r="P37" t="str">
        <f t="shared" si="1"/>
        <v>ANKUSH BHAU</v>
      </c>
    </row>
    <row r="38" spans="1:16" x14ac:dyDescent="0.2">
      <c r="A38" t="str">
        <f t="shared" si="0"/>
        <v>CUST-037</v>
      </c>
      <c r="B38" s="6" t="s">
        <v>117</v>
      </c>
      <c r="P38" t="str">
        <f t="shared" si="1"/>
        <v>ANKUSH P</v>
      </c>
    </row>
    <row r="39" spans="1:16" x14ac:dyDescent="0.2">
      <c r="A39" t="str">
        <f t="shared" si="0"/>
        <v>CUST-038</v>
      </c>
      <c r="B39" s="6" t="s">
        <v>316</v>
      </c>
      <c r="P39" t="str">
        <f t="shared" si="1"/>
        <v>ANURAG ( GOLU)</v>
      </c>
    </row>
    <row r="40" spans="1:16" x14ac:dyDescent="0.2">
      <c r="A40" t="str">
        <f t="shared" si="0"/>
        <v>CUST-039</v>
      </c>
      <c r="B40" s="6" t="s">
        <v>17</v>
      </c>
      <c r="P40" t="str">
        <f t="shared" si="1"/>
        <v>ARBAZ</v>
      </c>
    </row>
    <row r="41" spans="1:16" x14ac:dyDescent="0.2">
      <c r="A41" t="str">
        <f t="shared" si="0"/>
        <v>CUST-040</v>
      </c>
      <c r="B41" s="9" t="s">
        <v>282</v>
      </c>
      <c r="P41" t="str">
        <f t="shared" si="1"/>
        <v>ARJUN CHINCHURWAR</v>
      </c>
    </row>
    <row r="42" spans="1:16" x14ac:dyDescent="0.2">
      <c r="A42" t="str">
        <f t="shared" si="0"/>
        <v>CUST-041</v>
      </c>
      <c r="B42" s="6" t="s">
        <v>186</v>
      </c>
      <c r="P42" t="str">
        <f t="shared" si="1"/>
        <v>ARNAV</v>
      </c>
    </row>
    <row r="43" spans="1:16" x14ac:dyDescent="0.2">
      <c r="A43" t="str">
        <f t="shared" si="0"/>
        <v>CUST-042</v>
      </c>
      <c r="B43" s="9" t="s">
        <v>317</v>
      </c>
      <c r="P43" t="str">
        <f t="shared" si="1"/>
        <v>ARVIND GUPTA</v>
      </c>
    </row>
    <row r="44" spans="1:16" x14ac:dyDescent="0.2">
      <c r="A44" t="str">
        <f t="shared" si="0"/>
        <v>CUST-043</v>
      </c>
      <c r="B44" s="6" t="s">
        <v>318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4" t="str">
        <f t="shared" si="1"/>
        <v>ARVIND ROHANKAR</v>
      </c>
    </row>
    <row r="45" spans="1:16" x14ac:dyDescent="0.2">
      <c r="A45" t="str">
        <f t="shared" si="0"/>
        <v>CUST-044</v>
      </c>
      <c r="B45" s="6" t="s">
        <v>319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4" t="str">
        <f t="shared" si="1"/>
        <v>ASHOK</v>
      </c>
    </row>
    <row r="46" spans="1:16" x14ac:dyDescent="0.2">
      <c r="A46" t="str">
        <f t="shared" si="0"/>
        <v>CUST-045</v>
      </c>
      <c r="B46" s="6" t="s">
        <v>111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4" t="str">
        <f t="shared" si="1"/>
        <v>ASHWIN</v>
      </c>
    </row>
    <row r="47" spans="1:16" x14ac:dyDescent="0.2">
      <c r="A47" t="str">
        <f t="shared" si="0"/>
        <v>CUST-046</v>
      </c>
      <c r="B47" s="6" t="s">
        <v>138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4" t="str">
        <f t="shared" si="1"/>
        <v>ASHWIN</v>
      </c>
    </row>
    <row r="48" spans="1:16" x14ac:dyDescent="0.2">
      <c r="A48" t="str">
        <f t="shared" si="0"/>
        <v>CUST-047</v>
      </c>
      <c r="B48" s="6" t="s">
        <v>320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4" t="str">
        <f t="shared" si="1"/>
        <v>ASZAR</v>
      </c>
    </row>
    <row r="49" spans="1:16" x14ac:dyDescent="0.2">
      <c r="A49" t="str">
        <f t="shared" si="0"/>
        <v>CUST-048</v>
      </c>
      <c r="B49" s="6" t="s">
        <v>232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4" t="str">
        <f t="shared" si="1"/>
        <v>ATAULLAH</v>
      </c>
    </row>
    <row r="50" spans="1:16" x14ac:dyDescent="0.2">
      <c r="A50" t="str">
        <f t="shared" si="0"/>
        <v>CUST-049</v>
      </c>
      <c r="B50" s="6" t="s">
        <v>228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4" t="str">
        <f t="shared" si="1"/>
        <v>ATAULLAH</v>
      </c>
    </row>
    <row r="51" spans="1:16" x14ac:dyDescent="0.2">
      <c r="A51" t="str">
        <f t="shared" si="0"/>
        <v>CUST-050</v>
      </c>
      <c r="B51" s="6" t="s">
        <v>196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4" t="str">
        <f t="shared" si="1"/>
        <v>ATUL BHAIYA</v>
      </c>
    </row>
    <row r="52" spans="1:16" x14ac:dyDescent="0.2">
      <c r="A52" t="str">
        <f t="shared" si="0"/>
        <v>CUST-051</v>
      </c>
      <c r="B52" s="6" t="s">
        <v>214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P52" s="4" t="str">
        <f t="shared" si="1"/>
        <v>ATUL UKADE</v>
      </c>
    </row>
    <row r="53" spans="1:16" x14ac:dyDescent="0.2">
      <c r="A53" t="str">
        <f t="shared" si="0"/>
        <v>CUST-052</v>
      </c>
      <c r="B53" s="6" t="s">
        <v>127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P53" s="4" t="str">
        <f t="shared" si="1"/>
        <v>AZAD TRANSPORT</v>
      </c>
    </row>
    <row r="54" spans="1:16" x14ac:dyDescent="0.2">
      <c r="A54" t="str">
        <f t="shared" si="0"/>
        <v>CUST-053</v>
      </c>
      <c r="B54" s="9" t="s">
        <v>321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P54" s="4" t="str">
        <f t="shared" si="1"/>
        <v>BABURAO WEILDING</v>
      </c>
    </row>
    <row r="55" spans="1:16" x14ac:dyDescent="0.2">
      <c r="A55" t="str">
        <f t="shared" si="0"/>
        <v>CUST-054</v>
      </c>
      <c r="B55" s="6" t="s">
        <v>141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P55" s="4" t="str">
        <f t="shared" si="1"/>
        <v>BALAJI KAKA</v>
      </c>
    </row>
    <row r="56" spans="1:16" x14ac:dyDescent="0.2">
      <c r="A56" t="str">
        <f t="shared" si="0"/>
        <v>CUST-055</v>
      </c>
      <c r="B56" s="6" t="s">
        <v>124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P56" s="4" t="str">
        <f t="shared" si="1"/>
        <v>BALKI</v>
      </c>
    </row>
    <row r="57" spans="1:16" x14ac:dyDescent="0.2">
      <c r="A57" t="str">
        <f t="shared" si="0"/>
        <v>CUST-056</v>
      </c>
      <c r="B57" s="6" t="s">
        <v>322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P57" s="4" t="str">
        <f t="shared" si="1"/>
        <v>BALKI</v>
      </c>
    </row>
    <row r="58" spans="1:16" x14ac:dyDescent="0.2">
      <c r="A58" t="str">
        <f t="shared" si="0"/>
        <v>CUST-057</v>
      </c>
      <c r="B58" s="10" t="s">
        <v>250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P58" s="4" t="str">
        <f t="shared" si="1"/>
        <v>BALU KHOKLE</v>
      </c>
    </row>
    <row r="59" spans="1:16" x14ac:dyDescent="0.2">
      <c r="A59" t="str">
        <f t="shared" si="0"/>
        <v>CUST-058</v>
      </c>
      <c r="B59" s="10" t="s">
        <v>245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P59" s="4" t="str">
        <f t="shared" si="1"/>
        <v>BANDU</v>
      </c>
    </row>
    <row r="60" spans="1:16" x14ac:dyDescent="0.2">
      <c r="A60" t="str">
        <f t="shared" si="0"/>
        <v>CUST-059</v>
      </c>
      <c r="B60" s="9" t="s">
        <v>112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P60" s="4" t="str">
        <f t="shared" si="1"/>
        <v>BAPPYA MAMA</v>
      </c>
    </row>
    <row r="61" spans="1:16" x14ac:dyDescent="0.2">
      <c r="A61" t="str">
        <f t="shared" si="0"/>
        <v>CUST-060</v>
      </c>
      <c r="B61" s="6" t="s">
        <v>323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P61" s="4" t="str">
        <f t="shared" si="1"/>
        <v>BHADKE</v>
      </c>
    </row>
    <row r="62" spans="1:16" x14ac:dyDescent="0.2">
      <c r="A62" t="str">
        <f t="shared" si="0"/>
        <v>CUST-061</v>
      </c>
      <c r="B62" s="9" t="s">
        <v>324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P62" s="4" t="str">
        <f t="shared" si="1"/>
        <v>BHAI MIYA</v>
      </c>
    </row>
    <row r="63" spans="1:16" x14ac:dyDescent="0.2">
      <c r="A63" t="str">
        <f t="shared" si="0"/>
        <v>CUST-062</v>
      </c>
      <c r="B63" s="6" t="s">
        <v>18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P63" s="4" t="str">
        <f t="shared" si="1"/>
        <v>BHANDARE</v>
      </c>
    </row>
    <row r="64" spans="1:16" x14ac:dyDescent="0.2">
      <c r="A64" t="str">
        <f t="shared" si="0"/>
        <v>CUST-063</v>
      </c>
      <c r="B64" s="6" t="s">
        <v>215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P64" s="4" t="str">
        <f t="shared" si="1"/>
        <v>BHARAT RONE</v>
      </c>
    </row>
    <row r="65" spans="1:16" x14ac:dyDescent="0.2">
      <c r="A65" t="str">
        <f t="shared" si="0"/>
        <v>CUST-064</v>
      </c>
      <c r="B65" s="6" t="s">
        <v>325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P65" s="4" t="str">
        <f t="shared" si="1"/>
        <v>BHIMRAO PADWEKAR</v>
      </c>
    </row>
    <row r="66" spans="1:16" x14ac:dyDescent="0.2">
      <c r="A66" t="str">
        <f t="shared" ref="A66:A129" si="2">"CUST-"&amp;TEXT(ROW()-1,"000")</f>
        <v>CUST-065</v>
      </c>
      <c r="B66" s="10" t="s">
        <v>235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P66" s="4" t="str">
        <f t="shared" ref="P66:P129" si="3">UPPER(TRIM(B66))</f>
        <v>BONDHARE</v>
      </c>
    </row>
    <row r="67" spans="1:16" x14ac:dyDescent="0.2">
      <c r="A67" t="str">
        <f t="shared" si="2"/>
        <v>CUST-066</v>
      </c>
      <c r="B67" s="10" t="s">
        <v>242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P67" s="4" t="str">
        <f t="shared" si="3"/>
        <v>BORKUTE</v>
      </c>
    </row>
    <row r="68" spans="1:16" x14ac:dyDescent="0.2">
      <c r="A68" t="str">
        <f t="shared" si="2"/>
        <v>CUST-067</v>
      </c>
      <c r="B68" s="6" t="s">
        <v>153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P68" s="4" t="str">
        <f t="shared" si="3"/>
        <v>CEMENT PIPE ( RAJ ORDER )</v>
      </c>
    </row>
    <row r="69" spans="1:16" x14ac:dyDescent="0.2">
      <c r="A69" t="str">
        <f t="shared" si="2"/>
        <v>CUST-068</v>
      </c>
      <c r="B69" s="6" t="s">
        <v>326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P69" s="4" t="str">
        <f t="shared" si="3"/>
        <v>CHAADA TRANSPORT</v>
      </c>
    </row>
    <row r="70" spans="1:16" x14ac:dyDescent="0.2">
      <c r="A70" t="str">
        <f t="shared" si="2"/>
        <v>CUST-069</v>
      </c>
      <c r="B70" s="9" t="s">
        <v>518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P70" s="4" t="str">
        <f t="shared" si="3"/>
        <v>CHABU SAHARE</v>
      </c>
    </row>
    <row r="71" spans="1:16" x14ac:dyDescent="0.2">
      <c r="A71" t="str">
        <f t="shared" si="2"/>
        <v>CUST-070</v>
      </c>
      <c r="B71" s="10" t="s">
        <v>239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P71" s="4" t="str">
        <f t="shared" si="3"/>
        <v>CHAMBHARE</v>
      </c>
    </row>
    <row r="72" spans="1:16" x14ac:dyDescent="0.2">
      <c r="A72" t="str">
        <f t="shared" si="2"/>
        <v>CUST-071</v>
      </c>
      <c r="B72" s="6" t="s">
        <v>136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P72" s="4" t="str">
        <f t="shared" si="3"/>
        <v>CHANDRABAN</v>
      </c>
    </row>
    <row r="73" spans="1:16" x14ac:dyDescent="0.2">
      <c r="A73" t="str">
        <f t="shared" si="2"/>
        <v>CUST-072</v>
      </c>
      <c r="B73" s="6" t="s">
        <v>283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P73" s="4" t="str">
        <f t="shared" si="3"/>
        <v>CHAUDHARY</v>
      </c>
    </row>
    <row r="74" spans="1:16" x14ac:dyDescent="0.2">
      <c r="A74" t="str">
        <f t="shared" si="2"/>
        <v>CUST-073</v>
      </c>
      <c r="B74" s="6" t="s">
        <v>221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P74" s="4" t="str">
        <f t="shared" si="3"/>
        <v>CHAUHAN</v>
      </c>
    </row>
    <row r="75" spans="1:16" x14ac:dyDescent="0.2">
      <c r="A75" t="str">
        <f t="shared" si="2"/>
        <v>CUST-074</v>
      </c>
      <c r="B75" s="9" t="s">
        <v>327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P75" s="4" t="str">
        <f t="shared" si="3"/>
        <v>CHAURE WELDER</v>
      </c>
    </row>
    <row r="76" spans="1:16" x14ac:dyDescent="0.2">
      <c r="A76" t="str">
        <f t="shared" si="2"/>
        <v>CUST-075</v>
      </c>
      <c r="B76" s="6" t="s">
        <v>19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P76" s="4" t="str">
        <f t="shared" si="3"/>
        <v>CHETAN</v>
      </c>
    </row>
    <row r="77" spans="1:16" x14ac:dyDescent="0.2">
      <c r="A77" t="str">
        <f t="shared" si="2"/>
        <v>CUST-076</v>
      </c>
      <c r="B77" s="9" t="s">
        <v>328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P77" s="4" t="str">
        <f t="shared" si="3"/>
        <v>CHETAN BHOBDE</v>
      </c>
    </row>
    <row r="78" spans="1:16" x14ac:dyDescent="0.2">
      <c r="A78" t="str">
        <f t="shared" si="2"/>
        <v>CUST-077</v>
      </c>
      <c r="B78" s="9" t="s">
        <v>329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P78" s="4" t="str">
        <f t="shared" si="3"/>
        <v>CHETAN U</v>
      </c>
    </row>
    <row r="79" spans="1:16" x14ac:dyDescent="0.2">
      <c r="A79" t="str">
        <f t="shared" si="2"/>
        <v>CUST-078</v>
      </c>
      <c r="B79" s="9" t="s">
        <v>330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P79" s="4" t="str">
        <f t="shared" si="3"/>
        <v>CHHABU SAHARE ( RAJ DAD )</v>
      </c>
    </row>
    <row r="80" spans="1:16" x14ac:dyDescent="0.2">
      <c r="A80" t="str">
        <f t="shared" si="2"/>
        <v>CUST-079</v>
      </c>
      <c r="B80" s="6" t="s">
        <v>216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P80" s="4" t="str">
        <f t="shared" si="3"/>
        <v>CHIPS WALA</v>
      </c>
    </row>
    <row r="81" spans="1:16" x14ac:dyDescent="0.2">
      <c r="A81" t="str">
        <f t="shared" si="2"/>
        <v>CUST-080</v>
      </c>
      <c r="B81" s="10" t="s">
        <v>238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P81" s="4" t="str">
        <f t="shared" si="3"/>
        <v>CHIWANDE</v>
      </c>
    </row>
    <row r="82" spans="1:16" x14ac:dyDescent="0.2">
      <c r="A82" t="str">
        <f t="shared" si="2"/>
        <v>CUST-081</v>
      </c>
      <c r="B82" s="6" t="s">
        <v>252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P82" s="4" t="str">
        <f t="shared" si="3"/>
        <v>DARU RAMTAKE</v>
      </c>
    </row>
    <row r="83" spans="1:16" x14ac:dyDescent="0.2">
      <c r="A83" t="str">
        <f t="shared" si="2"/>
        <v>CUST-082</v>
      </c>
      <c r="B83" s="9" t="s">
        <v>517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P83" s="4" t="str">
        <f t="shared" si="3"/>
        <v>DAYAKAR</v>
      </c>
    </row>
    <row r="84" spans="1:16" x14ac:dyDescent="0.2">
      <c r="A84" t="str">
        <f t="shared" si="2"/>
        <v>CUST-083</v>
      </c>
      <c r="B84" s="6" t="s">
        <v>331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P84" s="4" t="str">
        <f t="shared" si="3"/>
        <v>DAYARAM THEKEDAR</v>
      </c>
    </row>
    <row r="85" spans="1:16" x14ac:dyDescent="0.2">
      <c r="A85" t="str">
        <f t="shared" si="2"/>
        <v>CUST-084</v>
      </c>
      <c r="B85" s="9" t="s">
        <v>517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P85" s="4" t="str">
        <f t="shared" si="3"/>
        <v>DAYAKAR</v>
      </c>
    </row>
    <row r="86" spans="1:16" x14ac:dyDescent="0.2">
      <c r="A86" t="str">
        <f t="shared" si="2"/>
        <v>CUST-085</v>
      </c>
      <c r="B86" s="6" t="s">
        <v>332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P86" s="4" t="str">
        <f t="shared" si="3"/>
        <v>DEEPANSHU THACKREY</v>
      </c>
    </row>
    <row r="87" spans="1:16" x14ac:dyDescent="0.2">
      <c r="A87" t="str">
        <f t="shared" si="2"/>
        <v>CUST-086</v>
      </c>
      <c r="B87" s="9" t="s">
        <v>333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P87" s="4" t="str">
        <f t="shared" si="3"/>
        <v>DESHKAR ( RAJ DAD )</v>
      </c>
    </row>
    <row r="88" spans="1:16" x14ac:dyDescent="0.2">
      <c r="A88" t="str">
        <f t="shared" si="2"/>
        <v>CUST-087</v>
      </c>
      <c r="B88" s="6" t="s">
        <v>230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P88" s="4" t="str">
        <f t="shared" si="3"/>
        <v>DESI RAMTEKE ( ROSHAN ORDER )</v>
      </c>
    </row>
    <row r="89" spans="1:16" x14ac:dyDescent="0.2">
      <c r="A89" t="str">
        <f t="shared" si="2"/>
        <v>CUST-088</v>
      </c>
      <c r="B89" s="6" t="s">
        <v>284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P89" s="4" t="str">
        <f t="shared" si="3"/>
        <v>DEV KUMAR</v>
      </c>
    </row>
    <row r="90" spans="1:16" x14ac:dyDescent="0.2">
      <c r="A90" t="str">
        <f t="shared" si="2"/>
        <v>CUST-089</v>
      </c>
      <c r="B90" s="9" t="s">
        <v>334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P90" s="4" t="str">
        <f t="shared" si="3"/>
        <v>DEVANAND SAO</v>
      </c>
    </row>
    <row r="91" spans="1:16" x14ac:dyDescent="0.2">
      <c r="A91" t="str">
        <f t="shared" si="2"/>
        <v>CUST-090</v>
      </c>
      <c r="B91" s="9" t="s">
        <v>59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P91" s="4" t="str">
        <f t="shared" si="3"/>
        <v>DEVRAO ( RAJ DAD )</v>
      </c>
    </row>
    <row r="92" spans="1:16" x14ac:dyDescent="0.2">
      <c r="A92" t="str">
        <f t="shared" si="2"/>
        <v>CUST-091</v>
      </c>
      <c r="B92" s="6" t="s">
        <v>335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P92" s="4" t="str">
        <f t="shared" si="3"/>
        <v>DEWAGAN</v>
      </c>
    </row>
    <row r="93" spans="1:16" x14ac:dyDescent="0.2">
      <c r="A93" t="str">
        <f t="shared" si="2"/>
        <v>CUST-092</v>
      </c>
      <c r="B93" s="6" t="s">
        <v>159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P93" s="4" t="str">
        <f t="shared" si="3"/>
        <v>DHOTE</v>
      </c>
    </row>
    <row r="94" spans="1:16" x14ac:dyDescent="0.2">
      <c r="A94" t="str">
        <f t="shared" si="2"/>
        <v>CUST-093</v>
      </c>
      <c r="B94" s="6" t="s">
        <v>336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P94" s="4" t="str">
        <f t="shared" si="3"/>
        <v>DODLANI</v>
      </c>
    </row>
    <row r="95" spans="1:16" x14ac:dyDescent="0.2">
      <c r="A95" t="str">
        <f t="shared" si="2"/>
        <v>CUST-094</v>
      </c>
      <c r="B95" s="6" t="s">
        <v>337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P95" s="4" t="str">
        <f t="shared" si="3"/>
        <v>DUMP</v>
      </c>
    </row>
    <row r="96" spans="1:16" x14ac:dyDescent="0.2">
      <c r="A96" t="str">
        <f t="shared" si="2"/>
        <v>CUST-095</v>
      </c>
      <c r="B96" s="6" t="s">
        <v>338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P96" s="4" t="str">
        <f t="shared" si="3"/>
        <v>DURGE</v>
      </c>
    </row>
    <row r="97" spans="1:16" x14ac:dyDescent="0.2">
      <c r="A97" t="str">
        <f t="shared" si="2"/>
        <v>CUST-096</v>
      </c>
      <c r="B97" s="6" t="s">
        <v>131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P97" s="4" t="str">
        <f t="shared" si="3"/>
        <v>DYANESHWAR SAU</v>
      </c>
    </row>
    <row r="98" spans="1:16" x14ac:dyDescent="0.2">
      <c r="A98" t="str">
        <f t="shared" si="2"/>
        <v>CUST-097</v>
      </c>
      <c r="B98" s="6" t="s">
        <v>339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P98" s="4" t="str">
        <f t="shared" si="3"/>
        <v>FASATE</v>
      </c>
    </row>
    <row r="99" spans="1:16" x14ac:dyDescent="0.2">
      <c r="A99" t="str">
        <f t="shared" si="2"/>
        <v>CUST-098</v>
      </c>
      <c r="B99" s="9" t="s">
        <v>285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P99" s="4" t="str">
        <f t="shared" si="3"/>
        <v>FISH WALA</v>
      </c>
    </row>
    <row r="100" spans="1:16" x14ac:dyDescent="0.2">
      <c r="A100" t="str">
        <f t="shared" si="2"/>
        <v>CUST-099</v>
      </c>
      <c r="B100" s="6" t="s">
        <v>200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P100" s="4" t="str">
        <f t="shared" si="3"/>
        <v>GAJANAN</v>
      </c>
    </row>
    <row r="101" spans="1:16" x14ac:dyDescent="0.2">
      <c r="A101" t="str">
        <f t="shared" si="2"/>
        <v>CUST-100</v>
      </c>
      <c r="B101" s="6" t="s">
        <v>199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P101" s="4" t="str">
        <f t="shared" si="3"/>
        <v>GAJENDRA</v>
      </c>
    </row>
    <row r="102" spans="1:16" x14ac:dyDescent="0.2">
      <c r="A102" t="str">
        <f t="shared" si="2"/>
        <v>CUST-101</v>
      </c>
      <c r="B102" s="6" t="s">
        <v>340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P102" s="4" t="str">
        <f t="shared" si="3"/>
        <v>GAJU MANDAVKAR</v>
      </c>
    </row>
    <row r="103" spans="1:16" x14ac:dyDescent="0.2">
      <c r="A103" t="str">
        <f t="shared" si="2"/>
        <v>CUST-102</v>
      </c>
      <c r="B103" s="10" t="s">
        <v>240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P103" s="4" t="str">
        <f t="shared" si="3"/>
        <v>GAJU PANTHELA</v>
      </c>
    </row>
    <row r="104" spans="1:16" x14ac:dyDescent="0.2">
      <c r="A104" t="str">
        <f t="shared" si="2"/>
        <v>CUST-103</v>
      </c>
      <c r="B104" s="6" t="s">
        <v>341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P104" s="4" t="str">
        <f t="shared" si="3"/>
        <v>GANDFADE</v>
      </c>
    </row>
    <row r="105" spans="1:16" x14ac:dyDescent="0.2">
      <c r="A105" t="str">
        <f t="shared" si="2"/>
        <v>CUST-104</v>
      </c>
      <c r="B105" s="9" t="s">
        <v>275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P105" s="4" t="str">
        <f t="shared" si="3"/>
        <v>GANESH LCB. ( RAJ ORDER</v>
      </c>
    </row>
    <row r="106" spans="1:16" x14ac:dyDescent="0.2">
      <c r="A106" t="str">
        <f t="shared" si="2"/>
        <v>CUST-105</v>
      </c>
      <c r="B106" s="6" t="s">
        <v>342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P106" s="4" t="str">
        <f t="shared" si="3"/>
        <v>GANESH SURJE</v>
      </c>
    </row>
    <row r="107" spans="1:16" x14ac:dyDescent="0.2">
      <c r="A107" t="str">
        <f t="shared" si="2"/>
        <v>CUST-106</v>
      </c>
      <c r="B107" s="10" t="s">
        <v>236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P107" s="4" t="str">
        <f t="shared" si="3"/>
        <v>GAURAV</v>
      </c>
    </row>
    <row r="108" spans="1:16" x14ac:dyDescent="0.2">
      <c r="A108" t="str">
        <f t="shared" si="2"/>
        <v>CUST-107</v>
      </c>
      <c r="B108" s="10" t="s">
        <v>237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P108" s="4" t="str">
        <f t="shared" si="3"/>
        <v>GAUTRE</v>
      </c>
    </row>
    <row r="109" spans="1:16" x14ac:dyDescent="0.2">
      <c r="A109" t="str">
        <f t="shared" si="2"/>
        <v>CUST-108</v>
      </c>
      <c r="B109" s="9" t="s">
        <v>343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P109" s="4" t="str">
        <f t="shared" si="3"/>
        <v>GAUTRE ( RAJ DAD )</v>
      </c>
    </row>
    <row r="110" spans="1:16" x14ac:dyDescent="0.2">
      <c r="A110" t="str">
        <f t="shared" si="2"/>
        <v>CUST-109</v>
      </c>
      <c r="B110" s="9" t="s">
        <v>344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P110" s="4" t="str">
        <f t="shared" si="3"/>
        <v>GEDAM RAJ</v>
      </c>
    </row>
    <row r="111" spans="1:16" x14ac:dyDescent="0.2">
      <c r="A111" t="str">
        <f t="shared" si="2"/>
        <v>CUST-110</v>
      </c>
      <c r="B111" s="9" t="s">
        <v>278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P111" s="4" t="str">
        <f t="shared" si="3"/>
        <v>GHOPAL ( MAHENDRA )</v>
      </c>
    </row>
    <row r="112" spans="1:16" x14ac:dyDescent="0.2">
      <c r="A112" t="str">
        <f t="shared" si="2"/>
        <v>CUST-111</v>
      </c>
      <c r="B112" s="6" t="s">
        <v>234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P112" s="4" t="str">
        <f t="shared" si="3"/>
        <v>GHORPADE ( ROSHAN )</v>
      </c>
    </row>
    <row r="113" spans="1:16" x14ac:dyDescent="0.2">
      <c r="A113" t="str">
        <f t="shared" si="2"/>
        <v>CUST-112</v>
      </c>
      <c r="B113" s="9" t="s">
        <v>345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P113" s="4" t="str">
        <f t="shared" si="3"/>
        <v>GIRATKAR</v>
      </c>
    </row>
    <row r="114" spans="1:16" x14ac:dyDescent="0.2">
      <c r="A114" t="str">
        <f t="shared" si="2"/>
        <v>CUST-113</v>
      </c>
      <c r="B114" s="6" t="s">
        <v>123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P114" s="4" t="str">
        <f t="shared" si="3"/>
        <v>GITHE SAHEB</v>
      </c>
    </row>
    <row r="115" spans="1:16" x14ac:dyDescent="0.2">
      <c r="A115" t="str">
        <f t="shared" si="2"/>
        <v>CUST-114</v>
      </c>
      <c r="B115" s="6" t="s">
        <v>63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P115" s="4" t="str">
        <f t="shared" si="3"/>
        <v>GOLU</v>
      </c>
    </row>
    <row r="116" spans="1:16" x14ac:dyDescent="0.2">
      <c r="A116" t="str">
        <f t="shared" si="2"/>
        <v>CUST-115</v>
      </c>
      <c r="B116" s="6" t="s">
        <v>346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P116" s="4" t="str">
        <f t="shared" si="3"/>
        <v>GOLU</v>
      </c>
    </row>
    <row r="117" spans="1:16" x14ac:dyDescent="0.2">
      <c r="A117" t="str">
        <f t="shared" si="2"/>
        <v>CUST-116</v>
      </c>
      <c r="B117" s="9" t="s">
        <v>347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P117" s="4" t="str">
        <f t="shared" si="3"/>
        <v>GOLU OPERATOR</v>
      </c>
    </row>
    <row r="118" spans="1:16" x14ac:dyDescent="0.2">
      <c r="A118" t="str">
        <f t="shared" si="2"/>
        <v>CUST-117</v>
      </c>
      <c r="B118" s="6" t="s">
        <v>108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P118" s="4" t="str">
        <f t="shared" si="3"/>
        <v>GURJIT SAINI</v>
      </c>
    </row>
    <row r="119" spans="1:16" x14ac:dyDescent="0.2">
      <c r="A119" t="str">
        <f t="shared" si="2"/>
        <v>CUST-118</v>
      </c>
      <c r="B119" s="6" t="s">
        <v>145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P119" s="4" t="str">
        <f t="shared" si="3"/>
        <v>GURU</v>
      </c>
    </row>
    <row r="120" spans="1:16" x14ac:dyDescent="0.2">
      <c r="A120" t="str">
        <f t="shared" si="2"/>
        <v>CUST-119</v>
      </c>
      <c r="B120" s="6" t="s">
        <v>174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P120" s="4" t="str">
        <f t="shared" si="3"/>
        <v>GURU</v>
      </c>
    </row>
    <row r="121" spans="1:16" x14ac:dyDescent="0.2">
      <c r="A121" t="str">
        <f t="shared" si="2"/>
        <v>CUST-120</v>
      </c>
      <c r="B121" s="6" t="s">
        <v>120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P121" s="4" t="str">
        <f t="shared" si="3"/>
        <v>HARI BHAU</v>
      </c>
    </row>
    <row r="122" spans="1:16" x14ac:dyDescent="0.2">
      <c r="A122" t="str">
        <f t="shared" si="2"/>
        <v>CUST-121</v>
      </c>
      <c r="B122" s="6" t="s">
        <v>132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P122" s="4" t="str">
        <f t="shared" si="3"/>
        <v>HARSHAL MURGANE</v>
      </c>
    </row>
    <row r="123" spans="1:16" x14ac:dyDescent="0.2">
      <c r="A123" t="str">
        <f t="shared" si="2"/>
        <v>CUST-122</v>
      </c>
      <c r="B123" s="6" t="s">
        <v>348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P123" s="4" t="str">
        <f t="shared" si="3"/>
        <v>HEMENDRA</v>
      </c>
    </row>
    <row r="124" spans="1:16" x14ac:dyDescent="0.2">
      <c r="A124" t="str">
        <f t="shared" si="2"/>
        <v>CUST-123</v>
      </c>
      <c r="B124" s="6" t="s">
        <v>349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P124" s="4" t="str">
        <f t="shared" si="3"/>
        <v>HITESH ZAMARE</v>
      </c>
    </row>
    <row r="125" spans="1:16" x14ac:dyDescent="0.2">
      <c r="A125" t="str">
        <f t="shared" si="2"/>
        <v>CUST-124</v>
      </c>
      <c r="B125" s="9" t="s">
        <v>350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P125" s="4" t="str">
        <f t="shared" si="3"/>
        <v>HIWAKAR</v>
      </c>
    </row>
    <row r="126" spans="1:16" x14ac:dyDescent="0.2">
      <c r="A126" t="str">
        <f t="shared" si="2"/>
        <v>CUST-125</v>
      </c>
      <c r="B126" s="9" t="s">
        <v>351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P126" s="4" t="str">
        <f t="shared" si="3"/>
        <v>HIWAKAR</v>
      </c>
    </row>
    <row r="127" spans="1:16" x14ac:dyDescent="0.2">
      <c r="A127" t="str">
        <f t="shared" si="2"/>
        <v>CUST-126</v>
      </c>
      <c r="B127" s="9" t="s">
        <v>352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P127" s="4" t="str">
        <f t="shared" si="3"/>
        <v>HP GAS ( MAHENDRA )</v>
      </c>
    </row>
    <row r="128" spans="1:16" x14ac:dyDescent="0.2">
      <c r="A128" t="str">
        <f t="shared" si="2"/>
        <v>CUST-127</v>
      </c>
      <c r="B128" s="6" t="s">
        <v>102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P128" s="4" t="str">
        <f t="shared" si="3"/>
        <v>IRFAN</v>
      </c>
    </row>
    <row r="129" spans="1:16" x14ac:dyDescent="0.2">
      <c r="A129" t="str">
        <f t="shared" si="2"/>
        <v>CUST-128</v>
      </c>
      <c r="B129" s="6" t="s">
        <v>22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P129" s="4" t="str">
        <f t="shared" si="3"/>
        <v>IZHAR</v>
      </c>
    </row>
    <row r="130" spans="1:16" x14ac:dyDescent="0.2">
      <c r="A130" t="str">
        <f t="shared" ref="A130:A181" si="4">"CUST-"&amp;TEXT(ROW()-1,"000")</f>
        <v>CUST-129</v>
      </c>
      <c r="B130" s="6" t="s">
        <v>150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P130" s="4" t="str">
        <f t="shared" ref="P130:P181" si="5">UPPER(TRIM(B130))</f>
        <v>JADISH YADAV</v>
      </c>
    </row>
    <row r="131" spans="1:16" x14ac:dyDescent="0.2">
      <c r="A131" t="str">
        <f t="shared" si="4"/>
        <v>CUST-130</v>
      </c>
      <c r="B131" s="9" t="s">
        <v>267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P131" s="4" t="str">
        <f t="shared" si="5"/>
        <v>JAGANNATH CHUKRE ( MAHENDRA )</v>
      </c>
    </row>
    <row r="132" spans="1:16" x14ac:dyDescent="0.2">
      <c r="A132" t="str">
        <f t="shared" si="4"/>
        <v>CUST-131</v>
      </c>
      <c r="B132" s="6" t="s">
        <v>23</v>
      </c>
      <c r="P132" s="4" t="str">
        <f t="shared" si="5"/>
        <v>JAISWAL</v>
      </c>
    </row>
    <row r="133" spans="1:16" x14ac:dyDescent="0.2">
      <c r="A133" t="str">
        <f t="shared" si="4"/>
        <v>CUST-132</v>
      </c>
      <c r="B133" s="6" t="s">
        <v>188</v>
      </c>
      <c r="P133" s="4" t="str">
        <f t="shared" si="5"/>
        <v>JANNYA BHAU</v>
      </c>
    </row>
    <row r="134" spans="1:16" x14ac:dyDescent="0.2">
      <c r="A134" t="str">
        <f t="shared" si="4"/>
        <v>CUST-133</v>
      </c>
      <c r="B134" s="9" t="s">
        <v>286</v>
      </c>
      <c r="P134" s="4" t="str">
        <f t="shared" si="5"/>
        <v>JAY AMTE</v>
      </c>
    </row>
    <row r="135" spans="1:16" x14ac:dyDescent="0.2">
      <c r="A135" t="str">
        <f t="shared" si="4"/>
        <v>CUST-134</v>
      </c>
      <c r="B135" s="6" t="s">
        <v>353</v>
      </c>
      <c r="P135" s="4" t="str">
        <f t="shared" si="5"/>
        <v>JAY MISHRA</v>
      </c>
    </row>
    <row r="136" spans="1:16" x14ac:dyDescent="0.2">
      <c r="A136" t="str">
        <f t="shared" si="4"/>
        <v>CUST-135</v>
      </c>
      <c r="B136" s="6" t="s">
        <v>354</v>
      </c>
      <c r="P136" s="4" t="str">
        <f t="shared" si="5"/>
        <v>JHANGID</v>
      </c>
    </row>
    <row r="137" spans="1:16" x14ac:dyDescent="0.2">
      <c r="A137" t="str">
        <f t="shared" si="4"/>
        <v>CUST-136</v>
      </c>
      <c r="B137" s="6" t="s">
        <v>104</v>
      </c>
      <c r="P137" s="4" t="str">
        <f t="shared" si="5"/>
        <v>JHENTHE</v>
      </c>
    </row>
    <row r="138" spans="1:16" x14ac:dyDescent="0.2">
      <c r="A138" t="str">
        <f t="shared" si="4"/>
        <v>CUST-137</v>
      </c>
      <c r="B138" s="6" t="s">
        <v>355</v>
      </c>
      <c r="P138" s="4" t="str">
        <f t="shared" si="5"/>
        <v>JI SAV ( ROSHAN )</v>
      </c>
    </row>
    <row r="139" spans="1:16" x14ac:dyDescent="0.2">
      <c r="A139" t="str">
        <f t="shared" si="4"/>
        <v>CUST-138</v>
      </c>
      <c r="B139" s="6" t="s">
        <v>515</v>
      </c>
      <c r="P139" s="4" t="str">
        <f t="shared" si="5"/>
        <v>JIVAN SAO</v>
      </c>
    </row>
    <row r="140" spans="1:16" x14ac:dyDescent="0.2">
      <c r="A140" t="str">
        <f t="shared" si="4"/>
        <v>CUST-139</v>
      </c>
      <c r="B140" s="6" t="s">
        <v>356</v>
      </c>
      <c r="P140" s="4" t="str">
        <f t="shared" si="5"/>
        <v>JOYTI BAI</v>
      </c>
    </row>
    <row r="141" spans="1:16" x14ac:dyDescent="0.2">
      <c r="A141" t="str">
        <f t="shared" si="4"/>
        <v>CUST-140</v>
      </c>
      <c r="B141" s="9" t="s">
        <v>263</v>
      </c>
      <c r="P141" s="4" t="str">
        <f t="shared" si="5"/>
        <v>JOYTI DHOTE ( RAJ DAD)</v>
      </c>
    </row>
    <row r="142" spans="1:16" x14ac:dyDescent="0.2">
      <c r="A142" t="str">
        <f t="shared" si="4"/>
        <v>CUST-141</v>
      </c>
      <c r="B142" s="6" t="s">
        <v>357</v>
      </c>
      <c r="P142" s="4" t="str">
        <f t="shared" si="5"/>
        <v>KADE</v>
      </c>
    </row>
    <row r="143" spans="1:16" x14ac:dyDescent="0.2">
      <c r="A143" t="str">
        <f t="shared" si="4"/>
        <v>CUST-142</v>
      </c>
      <c r="B143" s="6" t="s">
        <v>193</v>
      </c>
      <c r="P143" s="4" t="str">
        <f t="shared" si="5"/>
        <v>KAILASH BHAIYA</v>
      </c>
    </row>
    <row r="144" spans="1:16" x14ac:dyDescent="0.2">
      <c r="A144" t="str">
        <f t="shared" si="4"/>
        <v>CUST-143</v>
      </c>
      <c r="B144" s="6" t="s">
        <v>169</v>
      </c>
      <c r="P144" s="4" t="str">
        <f t="shared" si="5"/>
        <v>KAKAJI</v>
      </c>
    </row>
    <row r="145" spans="1:16" x14ac:dyDescent="0.2">
      <c r="A145" t="str">
        <f t="shared" si="4"/>
        <v>CUST-144</v>
      </c>
      <c r="B145" s="6" t="s">
        <v>358</v>
      </c>
      <c r="P145" s="4" t="str">
        <f t="shared" si="5"/>
        <v>KAKAJI ( PAPA ORDER )</v>
      </c>
    </row>
    <row r="146" spans="1:16" x14ac:dyDescent="0.2">
      <c r="A146" t="str">
        <f t="shared" si="4"/>
        <v>CUST-145</v>
      </c>
      <c r="B146" s="9" t="s">
        <v>259</v>
      </c>
      <c r="P146" s="4" t="str">
        <f t="shared" si="5"/>
        <v>KALAM ( RAJ DAD )</v>
      </c>
    </row>
    <row r="147" spans="1:16" x14ac:dyDescent="0.2">
      <c r="A147" t="str">
        <f t="shared" si="4"/>
        <v>CUST-146</v>
      </c>
      <c r="B147" s="6" t="s">
        <v>359</v>
      </c>
      <c r="P147" s="4" t="str">
        <f t="shared" si="5"/>
        <v>KALE</v>
      </c>
    </row>
    <row r="148" spans="1:16" x14ac:dyDescent="0.2">
      <c r="A148" t="str">
        <f t="shared" si="4"/>
        <v>CUST-147</v>
      </c>
      <c r="B148" s="9" t="s">
        <v>360</v>
      </c>
      <c r="P148" s="4" t="str">
        <f t="shared" si="5"/>
        <v>KAMALAR RAMTEKE</v>
      </c>
    </row>
    <row r="149" spans="1:16" x14ac:dyDescent="0.2">
      <c r="A149" t="str">
        <f t="shared" si="4"/>
        <v>CUST-148</v>
      </c>
      <c r="B149" s="9" t="s">
        <v>361</v>
      </c>
      <c r="P149" s="4" t="str">
        <f t="shared" si="5"/>
        <v>KAMLESH CHIDATE ( RAJ DAD )</v>
      </c>
    </row>
    <row r="150" spans="1:16" x14ac:dyDescent="0.2">
      <c r="A150" t="str">
        <f t="shared" si="4"/>
        <v>CUST-149</v>
      </c>
      <c r="B150" s="6" t="s">
        <v>217</v>
      </c>
      <c r="P150" s="4" t="str">
        <f t="shared" si="5"/>
        <v>KARAN</v>
      </c>
    </row>
    <row r="151" spans="1:16" x14ac:dyDescent="0.2">
      <c r="A151" t="str">
        <f t="shared" si="4"/>
        <v>CUST-150</v>
      </c>
      <c r="B151" s="6" t="s">
        <v>362</v>
      </c>
      <c r="P151" s="4" t="str">
        <f t="shared" si="5"/>
        <v>KHARE UNCLE ( RAJ DAD )</v>
      </c>
    </row>
    <row r="152" spans="1:16" x14ac:dyDescent="0.2">
      <c r="A152" t="str">
        <f t="shared" si="4"/>
        <v>CUST-151</v>
      </c>
      <c r="B152" s="6" t="s">
        <v>191</v>
      </c>
      <c r="P152" s="4" t="str">
        <f t="shared" si="5"/>
        <v>KHOBRAGADE</v>
      </c>
    </row>
    <row r="153" spans="1:16" x14ac:dyDescent="0.2">
      <c r="A153" t="str">
        <f t="shared" si="4"/>
        <v>CUST-152</v>
      </c>
      <c r="B153" s="9" t="s">
        <v>266</v>
      </c>
      <c r="P153" s="4" t="str">
        <f t="shared" si="5"/>
        <v>KIRAN</v>
      </c>
    </row>
    <row r="154" spans="1:16" x14ac:dyDescent="0.2">
      <c r="A154" t="str">
        <f t="shared" si="4"/>
        <v>CUST-153</v>
      </c>
      <c r="B154" s="6" t="s">
        <v>225</v>
      </c>
      <c r="P154" s="4" t="str">
        <f t="shared" si="5"/>
        <v>KIRMIRE ( RAJ DAD )</v>
      </c>
    </row>
    <row r="155" spans="1:16" x14ac:dyDescent="0.2">
      <c r="A155" t="str">
        <f t="shared" si="4"/>
        <v>CUST-154</v>
      </c>
      <c r="B155" s="6" t="s">
        <v>363</v>
      </c>
      <c r="P155" s="4" t="str">
        <f t="shared" si="5"/>
        <v>KISHOR BURATKAR</v>
      </c>
    </row>
    <row r="156" spans="1:16" x14ac:dyDescent="0.2">
      <c r="A156" t="str">
        <f t="shared" si="4"/>
        <v>CUST-155</v>
      </c>
      <c r="B156" s="6" t="s">
        <v>364</v>
      </c>
      <c r="P156" s="4" t="str">
        <f t="shared" si="5"/>
        <v>KOMAL BHAIYA</v>
      </c>
    </row>
    <row r="157" spans="1:16" x14ac:dyDescent="0.2">
      <c r="A157" t="str">
        <f t="shared" si="4"/>
        <v>CUST-156</v>
      </c>
      <c r="B157" s="6" t="s">
        <v>165</v>
      </c>
      <c r="P157" s="4" t="str">
        <f t="shared" si="5"/>
        <v>KOTKAR</v>
      </c>
    </row>
    <row r="158" spans="1:16" x14ac:dyDescent="0.2">
      <c r="A158" t="str">
        <f t="shared" si="4"/>
        <v>CUST-157</v>
      </c>
      <c r="B158" s="6" t="s">
        <v>202</v>
      </c>
      <c r="P158" s="4" t="str">
        <f t="shared" si="5"/>
        <v>KRISHNA UNITED</v>
      </c>
    </row>
    <row r="159" spans="1:16" x14ac:dyDescent="0.2">
      <c r="A159" t="str">
        <f t="shared" si="4"/>
        <v>CUST-158</v>
      </c>
      <c r="B159" s="9" t="s">
        <v>365</v>
      </c>
      <c r="P159" s="4" t="str">
        <f t="shared" si="5"/>
        <v>KUNAL ( ROSHAN ORDER</v>
      </c>
    </row>
    <row r="160" spans="1:16" x14ac:dyDescent="0.2">
      <c r="A160" t="str">
        <f t="shared" si="4"/>
        <v>CUST-159</v>
      </c>
      <c r="B160" s="6" t="s">
        <v>366</v>
      </c>
      <c r="P160" s="4" t="str">
        <f t="shared" si="5"/>
        <v>KUNAL DHOLE</v>
      </c>
    </row>
    <row r="161" spans="1:16" x14ac:dyDescent="0.2">
      <c r="A161" t="str">
        <f t="shared" si="4"/>
        <v>CUST-160</v>
      </c>
      <c r="B161" s="6" t="s">
        <v>125</v>
      </c>
      <c r="P161" s="4" t="str">
        <f t="shared" si="5"/>
        <v>LAKHAN</v>
      </c>
    </row>
    <row r="162" spans="1:16" x14ac:dyDescent="0.2">
      <c r="A162" t="str">
        <f t="shared" si="4"/>
        <v>CUST-161</v>
      </c>
      <c r="B162" s="6" t="s">
        <v>162</v>
      </c>
      <c r="P162" s="4" t="str">
        <f t="shared" si="5"/>
        <v>LALIT NIMKAR</v>
      </c>
    </row>
    <row r="163" spans="1:16" x14ac:dyDescent="0.2">
      <c r="A163" t="str">
        <f t="shared" si="4"/>
        <v>CUST-162</v>
      </c>
      <c r="B163" s="9" t="s">
        <v>367</v>
      </c>
      <c r="P163" s="4" t="str">
        <f t="shared" si="5"/>
        <v>LANGDA ( MAHENDRA )</v>
      </c>
    </row>
    <row r="164" spans="1:16" x14ac:dyDescent="0.2">
      <c r="A164" t="str">
        <f t="shared" si="4"/>
        <v>CUST-163</v>
      </c>
      <c r="B164" s="6" t="s">
        <v>368</v>
      </c>
      <c r="P164" s="4" t="str">
        <f t="shared" si="5"/>
        <v>LEMON SAO</v>
      </c>
    </row>
    <row r="165" spans="1:16" x14ac:dyDescent="0.2">
      <c r="A165" t="str">
        <f t="shared" si="4"/>
        <v>CUST-164</v>
      </c>
      <c r="B165" s="6" t="s">
        <v>137</v>
      </c>
      <c r="P165" s="4" t="str">
        <f t="shared" si="5"/>
        <v>LOKHANDE</v>
      </c>
    </row>
    <row r="166" spans="1:16" x14ac:dyDescent="0.2">
      <c r="A166" t="str">
        <f t="shared" si="4"/>
        <v>CUST-165</v>
      </c>
      <c r="B166" s="9" t="s">
        <v>287</v>
      </c>
      <c r="P166" s="4" t="str">
        <f t="shared" si="5"/>
        <v>LONBOLE</v>
      </c>
    </row>
    <row r="167" spans="1:16" x14ac:dyDescent="0.2">
      <c r="A167" t="str">
        <f t="shared" si="4"/>
        <v>CUST-166</v>
      </c>
      <c r="B167" s="6" t="s">
        <v>369</v>
      </c>
      <c r="P167" s="4" t="str">
        <f t="shared" si="5"/>
        <v>MAANE</v>
      </c>
    </row>
    <row r="168" spans="1:16" x14ac:dyDescent="0.2">
      <c r="A168" t="str">
        <f t="shared" si="4"/>
        <v>CUST-167</v>
      </c>
      <c r="B168" s="6" t="s">
        <v>110</v>
      </c>
      <c r="P168" s="4" t="str">
        <f t="shared" si="5"/>
        <v>MADHU ZANKE ( PAPA ORDER )</v>
      </c>
    </row>
    <row r="169" spans="1:16" x14ac:dyDescent="0.2">
      <c r="A169" t="str">
        <f t="shared" si="4"/>
        <v>CUST-168</v>
      </c>
      <c r="B169" s="6" t="s">
        <v>370</v>
      </c>
      <c r="P169" s="4" t="str">
        <f t="shared" si="5"/>
        <v>MAHENDRA CCTV</v>
      </c>
    </row>
    <row r="170" spans="1:16" x14ac:dyDescent="0.2">
      <c r="A170" t="str">
        <f t="shared" si="4"/>
        <v>CUST-169</v>
      </c>
      <c r="B170" s="6" t="s">
        <v>107</v>
      </c>
      <c r="P170" s="4" t="str">
        <f t="shared" si="5"/>
        <v>MAHENDRA ORDER</v>
      </c>
    </row>
    <row r="171" spans="1:16" x14ac:dyDescent="0.2">
      <c r="A171" t="str">
        <f t="shared" si="4"/>
        <v>CUST-170</v>
      </c>
      <c r="B171" s="9" t="s">
        <v>135</v>
      </c>
      <c r="P171" s="4" t="str">
        <f t="shared" si="5"/>
        <v>MAHESH P</v>
      </c>
    </row>
    <row r="172" spans="1:16" x14ac:dyDescent="0.2">
      <c r="A172" t="str">
        <f t="shared" si="4"/>
        <v>CUST-171</v>
      </c>
      <c r="B172" s="6" t="s">
        <v>204</v>
      </c>
      <c r="P172" s="4" t="str">
        <f t="shared" si="5"/>
        <v>MAHESH THEKEDAR</v>
      </c>
    </row>
    <row r="173" spans="1:16" x14ac:dyDescent="0.2">
      <c r="A173" t="str">
        <f t="shared" si="4"/>
        <v>CUST-172</v>
      </c>
      <c r="B173" s="6" t="s">
        <v>61</v>
      </c>
      <c r="P173" s="4" t="str">
        <f t="shared" si="5"/>
        <v>MALLI BHAIYA</v>
      </c>
    </row>
    <row r="174" spans="1:16" x14ac:dyDescent="0.2">
      <c r="A174" t="str">
        <f t="shared" si="4"/>
        <v>CUST-173</v>
      </c>
      <c r="B174" s="9" t="s">
        <v>371</v>
      </c>
      <c r="P174" s="4" t="str">
        <f t="shared" si="5"/>
        <v>MANDIR</v>
      </c>
    </row>
    <row r="175" spans="1:16" x14ac:dyDescent="0.2">
      <c r="A175" t="str">
        <f t="shared" si="4"/>
        <v>CUST-174</v>
      </c>
      <c r="B175" s="6" t="s">
        <v>372</v>
      </c>
      <c r="P175" s="4" t="str">
        <f t="shared" si="5"/>
        <v>MANISH RAMTEKE</v>
      </c>
    </row>
    <row r="176" spans="1:16" x14ac:dyDescent="0.2">
      <c r="A176" t="str">
        <f t="shared" si="4"/>
        <v>CUST-175</v>
      </c>
      <c r="B176" s="9" t="s">
        <v>223</v>
      </c>
      <c r="P176" s="4" t="str">
        <f t="shared" si="5"/>
        <v>MANISH RAYKUNDE</v>
      </c>
    </row>
    <row r="177" spans="1:16" x14ac:dyDescent="0.2">
      <c r="A177" t="str">
        <f t="shared" si="4"/>
        <v>CUST-176</v>
      </c>
      <c r="B177" s="9" t="s">
        <v>288</v>
      </c>
      <c r="P177" s="4" t="str">
        <f t="shared" si="5"/>
        <v>MANOJ KHOKLE</v>
      </c>
    </row>
    <row r="178" spans="1:16" x14ac:dyDescent="0.2">
      <c r="A178" t="str">
        <f t="shared" si="4"/>
        <v>CUST-177</v>
      </c>
      <c r="B178" s="9" t="s">
        <v>289</v>
      </c>
      <c r="P178" s="4" t="str">
        <f t="shared" si="5"/>
        <v>MASIRKAR</v>
      </c>
    </row>
    <row r="179" spans="1:16" x14ac:dyDescent="0.2">
      <c r="A179" t="str">
        <f t="shared" si="4"/>
        <v>CUST-178</v>
      </c>
      <c r="B179" s="6" t="s">
        <v>373</v>
      </c>
      <c r="P179" s="4" t="str">
        <f t="shared" si="5"/>
        <v>MATTHE</v>
      </c>
    </row>
    <row r="180" spans="1:16" x14ac:dyDescent="0.2">
      <c r="A180" t="str">
        <f t="shared" si="4"/>
        <v>CUST-179</v>
      </c>
      <c r="B180" s="6" t="s">
        <v>374</v>
      </c>
      <c r="P180" s="4" t="str">
        <f t="shared" si="5"/>
        <v>MD</v>
      </c>
    </row>
    <row r="181" spans="1:16" x14ac:dyDescent="0.2">
      <c r="A181" t="str">
        <f t="shared" si="4"/>
        <v>CUST-180</v>
      </c>
      <c r="B181" s="6" t="s">
        <v>195</v>
      </c>
      <c r="P181" s="4" t="str">
        <f t="shared" si="5"/>
        <v>MEHUL BHAIYA</v>
      </c>
    </row>
    <row r="182" spans="1:16" x14ac:dyDescent="0.2">
      <c r="A182" t="str">
        <f t="shared" ref="A182:A244" si="6">"CUST-"&amp;TEXT(ROW()-1,"000")</f>
        <v>CUST-181</v>
      </c>
      <c r="B182" s="6" t="s">
        <v>25</v>
      </c>
      <c r="P182" s="4" t="str">
        <f t="shared" ref="P182:P244" si="7">UPPER(TRIM(B182))</f>
        <v>MESHRAM</v>
      </c>
    </row>
    <row r="183" spans="1:16" x14ac:dyDescent="0.2">
      <c r="A183" t="str">
        <f t="shared" si="6"/>
        <v>CUST-182</v>
      </c>
      <c r="B183" s="9" t="s">
        <v>375</v>
      </c>
      <c r="P183" s="4" t="str">
        <f t="shared" si="7"/>
        <v>MOHAN LONBOLE</v>
      </c>
    </row>
    <row r="184" spans="1:16" x14ac:dyDescent="0.2">
      <c r="A184" t="str">
        <f t="shared" si="6"/>
        <v>CUST-183</v>
      </c>
      <c r="B184" s="6" t="s">
        <v>376</v>
      </c>
      <c r="P184" s="4" t="str">
        <f t="shared" si="7"/>
        <v>MOREY CYCLE</v>
      </c>
    </row>
    <row r="185" spans="1:16" x14ac:dyDescent="0.2">
      <c r="A185" t="str">
        <f t="shared" si="6"/>
        <v>CUST-184</v>
      </c>
      <c r="B185" s="6" t="s">
        <v>377</v>
      </c>
      <c r="P185" s="4" t="str">
        <f t="shared" si="7"/>
        <v>MUKESH</v>
      </c>
    </row>
    <row r="186" spans="1:16" x14ac:dyDescent="0.2">
      <c r="A186" t="str">
        <f t="shared" si="6"/>
        <v>CUST-185</v>
      </c>
      <c r="B186" s="6" t="s">
        <v>378</v>
      </c>
      <c r="P186" s="4" t="str">
        <f t="shared" si="7"/>
        <v>NAEEM BHAIYA</v>
      </c>
    </row>
    <row r="187" spans="1:16" x14ac:dyDescent="0.2">
      <c r="A187" t="str">
        <f t="shared" si="6"/>
        <v>CUST-186</v>
      </c>
      <c r="B187" s="6" t="s">
        <v>101</v>
      </c>
      <c r="P187" s="4" t="str">
        <f t="shared" si="7"/>
        <v>NAGAPURE</v>
      </c>
    </row>
    <row r="188" spans="1:16" x14ac:dyDescent="0.2">
      <c r="A188" t="str">
        <f t="shared" si="6"/>
        <v>CUST-187</v>
      </c>
      <c r="B188" s="10" t="s">
        <v>249</v>
      </c>
      <c r="P188" s="4" t="str">
        <f t="shared" si="7"/>
        <v>NAGENDRA GADGE</v>
      </c>
    </row>
    <row r="189" spans="1:16" x14ac:dyDescent="0.2">
      <c r="A189" t="str">
        <f t="shared" si="6"/>
        <v>CUST-188</v>
      </c>
      <c r="B189" s="6" t="s">
        <v>379</v>
      </c>
      <c r="P189" s="4" t="str">
        <f t="shared" si="7"/>
        <v>NAITAM</v>
      </c>
    </row>
    <row r="190" spans="1:16" x14ac:dyDescent="0.2">
      <c r="A190" t="str">
        <f t="shared" si="6"/>
        <v>CUST-189</v>
      </c>
      <c r="B190" s="6" t="s">
        <v>274</v>
      </c>
      <c r="P190" s="4" t="str">
        <f t="shared" si="7"/>
        <v>NANA ( RAJ DAD )</v>
      </c>
    </row>
    <row r="191" spans="1:16" x14ac:dyDescent="0.2">
      <c r="A191" t="str">
        <f t="shared" si="6"/>
        <v>CUST-190</v>
      </c>
      <c r="B191" s="10" t="s">
        <v>233</v>
      </c>
      <c r="P191" s="4" t="str">
        <f t="shared" si="7"/>
        <v>NARAYAN TILES</v>
      </c>
    </row>
    <row r="192" spans="1:16" x14ac:dyDescent="0.2">
      <c r="A192" t="str">
        <f t="shared" si="6"/>
        <v>CUST-191</v>
      </c>
      <c r="B192" s="6" t="s">
        <v>219</v>
      </c>
      <c r="P192" s="4" t="str">
        <f t="shared" si="7"/>
        <v>NARAYANA KAKAJI</v>
      </c>
    </row>
    <row r="193" spans="1:16" x14ac:dyDescent="0.2">
      <c r="A193" t="str">
        <f t="shared" si="6"/>
        <v>CUST-192</v>
      </c>
      <c r="B193" s="9" t="s">
        <v>261</v>
      </c>
      <c r="P193" s="4" t="str">
        <f t="shared" si="7"/>
        <v>NARENDRA CHIWANDE ( ROSHAN )</v>
      </c>
    </row>
    <row r="194" spans="1:16" x14ac:dyDescent="0.2">
      <c r="A194" t="str">
        <f t="shared" si="6"/>
        <v>CUST-193</v>
      </c>
      <c r="B194" s="9" t="s">
        <v>380</v>
      </c>
      <c r="P194" s="4" t="str">
        <f t="shared" si="7"/>
        <v>NARESH GAWARE</v>
      </c>
    </row>
    <row r="195" spans="1:16" x14ac:dyDescent="0.2">
      <c r="A195" t="str">
        <f t="shared" si="6"/>
        <v>CUST-194</v>
      </c>
      <c r="B195" s="6" t="s">
        <v>381</v>
      </c>
      <c r="P195" s="4" t="str">
        <f t="shared" si="7"/>
        <v>NARESH KAKA</v>
      </c>
    </row>
    <row r="196" spans="1:16" x14ac:dyDescent="0.2">
      <c r="A196" t="str">
        <f t="shared" si="6"/>
        <v>CUST-195</v>
      </c>
      <c r="B196" s="6" t="s">
        <v>170</v>
      </c>
      <c r="P196" s="4" t="str">
        <f t="shared" si="7"/>
        <v>NARYANA UNCLE FRIEND</v>
      </c>
    </row>
    <row r="197" spans="1:16" x14ac:dyDescent="0.2">
      <c r="A197" t="str">
        <f t="shared" si="6"/>
        <v>CUST-196</v>
      </c>
      <c r="B197" s="6" t="s">
        <v>218</v>
      </c>
      <c r="P197" s="4" t="str">
        <f t="shared" si="7"/>
        <v>NATIONAL</v>
      </c>
    </row>
    <row r="198" spans="1:16" x14ac:dyDescent="0.2">
      <c r="A198" t="str">
        <f t="shared" si="6"/>
        <v>CUST-197</v>
      </c>
      <c r="B198" s="9" t="s">
        <v>279</v>
      </c>
      <c r="P198" s="4" t="str">
        <f t="shared" si="7"/>
        <v>NATTU MESHRAM</v>
      </c>
    </row>
    <row r="199" spans="1:16" x14ac:dyDescent="0.2">
      <c r="A199" t="str">
        <f t="shared" si="6"/>
        <v>CUST-198</v>
      </c>
      <c r="B199" s="6" t="s">
        <v>382</v>
      </c>
      <c r="P199" s="4" t="str">
        <f t="shared" si="7"/>
        <v>NAVEL BHAIYA</v>
      </c>
    </row>
    <row r="200" spans="1:16" x14ac:dyDescent="0.2">
      <c r="A200" t="str">
        <f t="shared" si="6"/>
        <v>CUST-199</v>
      </c>
      <c r="B200" s="9" t="s">
        <v>383</v>
      </c>
      <c r="P200" s="4" t="str">
        <f t="shared" si="7"/>
        <v>NEAR YENURKAR HOUSE</v>
      </c>
    </row>
    <row r="201" spans="1:16" x14ac:dyDescent="0.2">
      <c r="A201" t="str">
        <f t="shared" si="6"/>
        <v>CUST-200</v>
      </c>
      <c r="B201" s="6" t="s">
        <v>384</v>
      </c>
      <c r="P201" s="4" t="str">
        <f t="shared" si="7"/>
        <v>NIDHI DHODHARE</v>
      </c>
    </row>
    <row r="202" spans="1:16" x14ac:dyDescent="0.2">
      <c r="A202" t="str">
        <f t="shared" si="6"/>
        <v>CUST-201</v>
      </c>
      <c r="B202" s="6" t="s">
        <v>385</v>
      </c>
      <c r="P202" s="4" t="str">
        <f t="shared" si="7"/>
        <v>NIKHIL AAGLAVE</v>
      </c>
    </row>
    <row r="203" spans="1:16" x14ac:dyDescent="0.2">
      <c r="A203" t="str">
        <f t="shared" si="6"/>
        <v>CUST-202</v>
      </c>
      <c r="B203" s="6" t="s">
        <v>26</v>
      </c>
      <c r="P203" s="4" t="str">
        <f t="shared" si="7"/>
        <v>NISHAN BHATTAR</v>
      </c>
    </row>
    <row r="204" spans="1:16" x14ac:dyDescent="0.2">
      <c r="A204" t="str">
        <f t="shared" si="6"/>
        <v>CUST-203</v>
      </c>
      <c r="B204" s="6" t="s">
        <v>386</v>
      </c>
      <c r="P204" s="4" t="str">
        <f t="shared" si="7"/>
        <v>NISHU BHAIYA</v>
      </c>
    </row>
    <row r="205" spans="1:16" x14ac:dyDescent="0.2">
      <c r="A205" t="str">
        <f t="shared" si="6"/>
        <v>CUST-204</v>
      </c>
      <c r="B205" s="6" t="s">
        <v>253</v>
      </c>
      <c r="P205" s="4" t="str">
        <f t="shared" si="7"/>
        <v>NITESH</v>
      </c>
    </row>
    <row r="206" spans="1:16" x14ac:dyDescent="0.2">
      <c r="A206" t="str">
        <f t="shared" si="6"/>
        <v>CUST-205</v>
      </c>
      <c r="B206" s="9" t="s">
        <v>276</v>
      </c>
      <c r="P206" s="4" t="str">
        <f t="shared" si="7"/>
        <v>NITESH KHANDARKAR ( MAHENDRA )</v>
      </c>
    </row>
    <row r="207" spans="1:16" x14ac:dyDescent="0.2">
      <c r="A207" t="str">
        <f t="shared" si="6"/>
        <v>CUST-206</v>
      </c>
      <c r="B207" s="6" t="s">
        <v>142</v>
      </c>
      <c r="P207" s="4" t="str">
        <f t="shared" si="7"/>
        <v>NITIN BHOYAR</v>
      </c>
    </row>
    <row r="208" spans="1:16" x14ac:dyDescent="0.2">
      <c r="A208" t="str">
        <f t="shared" si="6"/>
        <v>CUST-207</v>
      </c>
      <c r="B208" s="6" t="s">
        <v>27</v>
      </c>
      <c r="P208" s="4" t="str">
        <f t="shared" si="7"/>
        <v>NITIN PRASAD</v>
      </c>
    </row>
    <row r="209" spans="1:16" x14ac:dyDescent="0.2">
      <c r="A209" t="str">
        <f t="shared" si="6"/>
        <v>CUST-208</v>
      </c>
      <c r="B209" s="6" t="s">
        <v>163</v>
      </c>
      <c r="P209" s="4" t="str">
        <f t="shared" si="7"/>
        <v>NITIN PRASAD</v>
      </c>
    </row>
    <row r="210" spans="1:16" x14ac:dyDescent="0.2">
      <c r="A210" t="str">
        <f t="shared" si="6"/>
        <v>CUST-209</v>
      </c>
      <c r="B210" s="6" t="s">
        <v>164</v>
      </c>
      <c r="P210" s="4" t="str">
        <f t="shared" si="7"/>
        <v>NITIN PRASAD ( GANDHARE )</v>
      </c>
    </row>
    <row r="211" spans="1:16" x14ac:dyDescent="0.2">
      <c r="A211" t="str">
        <f t="shared" si="6"/>
        <v>CUST-210</v>
      </c>
      <c r="B211" s="6" t="s">
        <v>387</v>
      </c>
      <c r="P211" s="4" t="str">
        <f t="shared" si="7"/>
        <v>NOOR ( LAK WALA )</v>
      </c>
    </row>
    <row r="212" spans="1:16" x14ac:dyDescent="0.2">
      <c r="A212" t="str">
        <f t="shared" si="6"/>
        <v>CUST-211</v>
      </c>
      <c r="B212" s="9" t="s">
        <v>388</v>
      </c>
      <c r="P212" s="4" t="str">
        <f t="shared" si="7"/>
        <v>NOOR GARAGE ( MAHENDRA )</v>
      </c>
    </row>
    <row r="213" spans="1:16" x14ac:dyDescent="0.2">
      <c r="A213" t="str">
        <f t="shared" si="6"/>
        <v>CUST-212</v>
      </c>
      <c r="B213" s="9" t="s">
        <v>389</v>
      </c>
      <c r="P213" s="4" t="str">
        <f t="shared" si="7"/>
        <v>OMDAS</v>
      </c>
    </row>
    <row r="214" spans="1:16" x14ac:dyDescent="0.2">
      <c r="A214" t="str">
        <f t="shared" si="6"/>
        <v>CUST-213</v>
      </c>
      <c r="B214" s="6" t="s">
        <v>390</v>
      </c>
      <c r="P214" s="4" t="str">
        <f t="shared" si="7"/>
        <v>PAPA ORDER</v>
      </c>
    </row>
    <row r="215" spans="1:16" x14ac:dyDescent="0.2">
      <c r="A215" t="str">
        <f t="shared" si="6"/>
        <v>CUST-214</v>
      </c>
      <c r="B215" s="6" t="s">
        <v>391</v>
      </c>
      <c r="P215" s="4" t="str">
        <f t="shared" si="7"/>
        <v>PAPA ORDER</v>
      </c>
    </row>
    <row r="216" spans="1:16" x14ac:dyDescent="0.2">
      <c r="A216" t="str">
        <f t="shared" si="6"/>
        <v>CUST-215</v>
      </c>
      <c r="B216" s="6" t="s">
        <v>392</v>
      </c>
      <c r="P216" s="4" t="str">
        <f t="shared" si="7"/>
        <v>PARANAV BOBADE</v>
      </c>
    </row>
    <row r="217" spans="1:16" x14ac:dyDescent="0.2">
      <c r="A217" t="str">
        <f t="shared" si="6"/>
        <v>CUST-216</v>
      </c>
      <c r="B217" s="9" t="s">
        <v>393</v>
      </c>
      <c r="P217" s="4" t="str">
        <f t="shared" si="7"/>
        <v>PARCHAKE</v>
      </c>
    </row>
    <row r="218" spans="1:16" x14ac:dyDescent="0.2">
      <c r="A218" t="str">
        <f t="shared" si="6"/>
        <v>CUST-217</v>
      </c>
      <c r="B218" s="9" t="s">
        <v>394</v>
      </c>
      <c r="P218" s="4" t="str">
        <f t="shared" si="7"/>
        <v>PARI DOCTOR</v>
      </c>
    </row>
    <row r="219" spans="1:16" x14ac:dyDescent="0.2">
      <c r="A219" t="str">
        <f t="shared" si="6"/>
        <v>CUST-218</v>
      </c>
      <c r="B219" s="6" t="s">
        <v>28</v>
      </c>
      <c r="P219" s="4" t="str">
        <f t="shared" si="7"/>
        <v>PATEL</v>
      </c>
    </row>
    <row r="220" spans="1:16" x14ac:dyDescent="0.2">
      <c r="A220" t="str">
        <f t="shared" si="6"/>
        <v>CUST-219</v>
      </c>
      <c r="B220" s="6" t="s">
        <v>106</v>
      </c>
      <c r="P220" s="4" t="str">
        <f t="shared" si="7"/>
        <v>PAWAN (FRIEND)</v>
      </c>
    </row>
    <row r="221" spans="1:16" x14ac:dyDescent="0.2">
      <c r="A221" t="str">
        <f t="shared" si="6"/>
        <v>CUST-220</v>
      </c>
      <c r="B221" s="6" t="s">
        <v>154</v>
      </c>
      <c r="P221" s="4" t="str">
        <f t="shared" si="7"/>
        <v>PAWAN ORDER</v>
      </c>
    </row>
    <row r="222" spans="1:16" x14ac:dyDescent="0.2">
      <c r="A222" t="str">
        <f t="shared" si="6"/>
        <v>CUST-221</v>
      </c>
      <c r="B222" s="6" t="s">
        <v>395</v>
      </c>
      <c r="P222" s="4" t="str">
        <f t="shared" si="7"/>
        <v>PAWAR</v>
      </c>
    </row>
    <row r="223" spans="1:16" x14ac:dyDescent="0.2">
      <c r="A223" t="str">
        <f t="shared" si="6"/>
        <v>CUST-222</v>
      </c>
      <c r="B223" s="6" t="s">
        <v>396</v>
      </c>
      <c r="P223" s="4" t="str">
        <f t="shared" si="7"/>
        <v>PINGE</v>
      </c>
    </row>
    <row r="224" spans="1:16" x14ac:dyDescent="0.2">
      <c r="A224" t="str">
        <f t="shared" si="6"/>
        <v>CUST-223</v>
      </c>
      <c r="B224" s="6" t="s">
        <v>397</v>
      </c>
      <c r="P224" s="4" t="str">
        <f t="shared" si="7"/>
        <v>PIYUSH</v>
      </c>
    </row>
    <row r="225" spans="1:16" x14ac:dyDescent="0.2">
      <c r="A225" t="str">
        <f t="shared" si="6"/>
        <v>CUST-224</v>
      </c>
      <c r="B225" s="6" t="s">
        <v>398</v>
      </c>
      <c r="P225" s="4" t="str">
        <f t="shared" si="7"/>
        <v>POILICE GAJU</v>
      </c>
    </row>
    <row r="226" spans="1:16" x14ac:dyDescent="0.2">
      <c r="A226" t="str">
        <f t="shared" si="6"/>
        <v>CUST-225</v>
      </c>
      <c r="B226" s="9" t="s">
        <v>399</v>
      </c>
      <c r="P226" s="4" t="str">
        <f t="shared" si="7"/>
        <v>POLICE STATION</v>
      </c>
    </row>
    <row r="227" spans="1:16" x14ac:dyDescent="0.2">
      <c r="A227" t="str">
        <f t="shared" si="6"/>
        <v>CUST-226</v>
      </c>
      <c r="B227" s="6" t="s">
        <v>161</v>
      </c>
      <c r="P227" s="4" t="str">
        <f t="shared" si="7"/>
        <v>POLICE WALA SAHEB</v>
      </c>
    </row>
    <row r="228" spans="1:16" x14ac:dyDescent="0.2">
      <c r="A228" t="str">
        <f t="shared" si="6"/>
        <v>CUST-227</v>
      </c>
      <c r="B228" s="6" t="s">
        <v>476</v>
      </c>
      <c r="P228" s="4" t="str">
        <f t="shared" si="7"/>
        <v>PRADIP CHITADE</v>
      </c>
    </row>
    <row r="229" spans="1:16" x14ac:dyDescent="0.2">
      <c r="A229" t="str">
        <f t="shared" si="6"/>
        <v>CUST-228</v>
      </c>
      <c r="B229" s="9" t="s">
        <v>257</v>
      </c>
      <c r="P229" s="4" t="str">
        <f t="shared" si="7"/>
        <v>PRAJWAL KASAUTE (ASHAY JAL )</v>
      </c>
    </row>
    <row r="230" spans="1:16" x14ac:dyDescent="0.2">
      <c r="A230" t="str">
        <f t="shared" si="6"/>
        <v>CUST-229</v>
      </c>
      <c r="B230" s="6" t="s">
        <v>400</v>
      </c>
      <c r="P230" s="4" t="str">
        <f t="shared" si="7"/>
        <v>PRAKASH KALE</v>
      </c>
    </row>
    <row r="231" spans="1:16" x14ac:dyDescent="0.2">
      <c r="A231" t="str">
        <f t="shared" si="6"/>
        <v>CUST-230</v>
      </c>
      <c r="B231" s="6" t="s">
        <v>401</v>
      </c>
      <c r="P231" s="4" t="str">
        <f t="shared" si="7"/>
        <v>PRAKASH NAGARKAR</v>
      </c>
    </row>
    <row r="232" spans="1:16" x14ac:dyDescent="0.2">
      <c r="A232" t="str">
        <f t="shared" si="6"/>
        <v>CUST-231</v>
      </c>
      <c r="B232" s="6" t="s">
        <v>207</v>
      </c>
      <c r="P232" s="4" t="str">
        <f t="shared" si="7"/>
        <v>PRAMOD MISTRI</v>
      </c>
    </row>
    <row r="233" spans="1:16" x14ac:dyDescent="0.2">
      <c r="A233" t="str">
        <f t="shared" si="6"/>
        <v>CUST-232</v>
      </c>
      <c r="B233" s="6" t="s">
        <v>402</v>
      </c>
      <c r="P233" s="4" t="str">
        <f t="shared" si="7"/>
        <v>PRANAV BHOBDE</v>
      </c>
    </row>
    <row r="234" spans="1:16" x14ac:dyDescent="0.2">
      <c r="A234" t="str">
        <f t="shared" si="6"/>
        <v>CUST-233</v>
      </c>
      <c r="B234" s="9" t="s">
        <v>403</v>
      </c>
      <c r="P234" s="4" t="str">
        <f t="shared" si="7"/>
        <v>PRASAHANT</v>
      </c>
    </row>
    <row r="235" spans="1:16" x14ac:dyDescent="0.2">
      <c r="A235" t="str">
        <f t="shared" si="6"/>
        <v>CUST-234</v>
      </c>
      <c r="B235" s="6" t="s">
        <v>273</v>
      </c>
      <c r="P235" s="4" t="str">
        <f t="shared" si="7"/>
        <v>PRATAP YARD ( RAJ DAD )</v>
      </c>
    </row>
    <row r="236" spans="1:16" x14ac:dyDescent="0.2">
      <c r="A236" t="str">
        <f t="shared" si="6"/>
        <v>CUST-235</v>
      </c>
      <c r="B236" s="6" t="s">
        <v>404</v>
      </c>
      <c r="P236" s="4" t="str">
        <f t="shared" si="7"/>
        <v>PRAVIN SINGH</v>
      </c>
    </row>
    <row r="237" spans="1:16" x14ac:dyDescent="0.2">
      <c r="A237" t="str">
        <f t="shared" si="6"/>
        <v>CUST-236</v>
      </c>
      <c r="B237" s="6" t="s">
        <v>29</v>
      </c>
      <c r="P237" s="4" t="str">
        <f t="shared" si="7"/>
        <v>PREET BHAIYA</v>
      </c>
    </row>
    <row r="238" spans="1:16" x14ac:dyDescent="0.2">
      <c r="A238" t="str">
        <f t="shared" si="6"/>
        <v>CUST-237</v>
      </c>
      <c r="B238" s="6" t="s">
        <v>405</v>
      </c>
      <c r="P238" s="4" t="str">
        <f t="shared" si="7"/>
        <v>PREET FRIEND</v>
      </c>
    </row>
    <row r="239" spans="1:16" x14ac:dyDescent="0.2">
      <c r="A239" t="str">
        <f t="shared" si="6"/>
        <v>CUST-238</v>
      </c>
      <c r="B239" s="9" t="s">
        <v>254</v>
      </c>
      <c r="P239" s="4" t="str">
        <f t="shared" si="7"/>
        <v>PREM MESHRAM</v>
      </c>
    </row>
    <row r="240" spans="1:16" x14ac:dyDescent="0.2">
      <c r="A240" t="str">
        <f t="shared" si="6"/>
        <v>CUST-239</v>
      </c>
      <c r="B240" s="6" t="s">
        <v>406</v>
      </c>
      <c r="P240" s="4" t="str">
        <f t="shared" si="7"/>
        <v>PUNAY PAWAR</v>
      </c>
    </row>
    <row r="241" spans="1:16" x14ac:dyDescent="0.2">
      <c r="A241" t="str">
        <f t="shared" si="6"/>
        <v>CUST-240</v>
      </c>
      <c r="B241" s="9" t="s">
        <v>407</v>
      </c>
      <c r="P241" s="4" t="str">
        <f t="shared" si="7"/>
        <v>PUNCTURE WALA</v>
      </c>
    </row>
    <row r="242" spans="1:16" x14ac:dyDescent="0.2">
      <c r="A242" t="str">
        <f t="shared" si="6"/>
        <v>CUST-241</v>
      </c>
      <c r="B242" s="10" t="s">
        <v>243</v>
      </c>
      <c r="P242" s="4" t="str">
        <f t="shared" si="7"/>
        <v>RACHNA RAMTEKE</v>
      </c>
    </row>
    <row r="243" spans="1:16" x14ac:dyDescent="0.2">
      <c r="A243" t="str">
        <f t="shared" si="6"/>
        <v>CUST-242</v>
      </c>
      <c r="B243" s="6" t="s">
        <v>408</v>
      </c>
      <c r="P243" s="4" t="str">
        <f t="shared" si="7"/>
        <v>RAFIK THEKEDAR</v>
      </c>
    </row>
    <row r="244" spans="1:16" x14ac:dyDescent="0.2">
      <c r="A244" t="str">
        <f t="shared" si="6"/>
        <v>CUST-243</v>
      </c>
      <c r="B244" s="6" t="s">
        <v>185</v>
      </c>
      <c r="P244" s="4" t="str">
        <f t="shared" si="7"/>
        <v>RAHIM BHAIYA</v>
      </c>
    </row>
    <row r="245" spans="1:16" x14ac:dyDescent="0.2">
      <c r="A245" t="str">
        <f t="shared" ref="A245:A299" si="8">"CUST-"&amp;TEXT(ROW()-1,"000")</f>
        <v>CUST-244</v>
      </c>
      <c r="B245" s="9" t="s">
        <v>409</v>
      </c>
      <c r="P245" s="4" t="str">
        <f t="shared" ref="P245:P299" si="9">UPPER(TRIM(B245))</f>
        <v>RAHISH ( MAHENDRA )</v>
      </c>
    </row>
    <row r="246" spans="1:16" x14ac:dyDescent="0.2">
      <c r="A246" t="str">
        <f t="shared" si="8"/>
        <v>CUST-245</v>
      </c>
      <c r="B246" s="6" t="s">
        <v>158</v>
      </c>
      <c r="P246" s="4" t="str">
        <f t="shared" si="9"/>
        <v>RAHUL</v>
      </c>
    </row>
    <row r="247" spans="1:16" x14ac:dyDescent="0.2">
      <c r="A247" t="str">
        <f t="shared" si="8"/>
        <v>CUST-246</v>
      </c>
      <c r="B247" s="9" t="s">
        <v>262</v>
      </c>
      <c r="P247" s="4" t="str">
        <f t="shared" si="9"/>
        <v>RAHUL BORKUTE</v>
      </c>
    </row>
    <row r="248" spans="1:16" x14ac:dyDescent="0.2">
      <c r="A248" t="str">
        <f t="shared" si="8"/>
        <v>CUST-247</v>
      </c>
      <c r="B248" s="6" t="s">
        <v>208</v>
      </c>
      <c r="P248" s="4" t="str">
        <f t="shared" si="9"/>
        <v>RAHUL DADA</v>
      </c>
    </row>
    <row r="249" spans="1:16" x14ac:dyDescent="0.2">
      <c r="A249" t="str">
        <f t="shared" si="8"/>
        <v>CUST-248</v>
      </c>
      <c r="B249" s="9" t="s">
        <v>280</v>
      </c>
      <c r="P249" s="4" t="str">
        <f t="shared" si="9"/>
        <v>RAHUL DHABA</v>
      </c>
    </row>
    <row r="250" spans="1:16" x14ac:dyDescent="0.2">
      <c r="A250" t="str">
        <f t="shared" si="8"/>
        <v>CUST-249</v>
      </c>
      <c r="B250" s="6" t="s">
        <v>166</v>
      </c>
      <c r="P250" s="4" t="str">
        <f t="shared" si="9"/>
        <v>RAHUL KODE</v>
      </c>
    </row>
    <row r="251" spans="1:16" x14ac:dyDescent="0.2">
      <c r="A251" t="str">
        <f t="shared" si="8"/>
        <v>CUST-250</v>
      </c>
      <c r="B251" s="9" t="s">
        <v>410</v>
      </c>
      <c r="P251" s="4" t="str">
        <f t="shared" si="9"/>
        <v>RAILWAY</v>
      </c>
    </row>
    <row r="252" spans="1:16" x14ac:dyDescent="0.2">
      <c r="A252" t="str">
        <f t="shared" si="8"/>
        <v>CUST-251</v>
      </c>
      <c r="B252" s="9" t="s">
        <v>411</v>
      </c>
      <c r="P252" s="4" t="str">
        <f t="shared" si="9"/>
        <v>RAILWAY BRIDGE</v>
      </c>
    </row>
    <row r="253" spans="1:16" x14ac:dyDescent="0.2">
      <c r="A253" t="str">
        <f t="shared" si="8"/>
        <v>CUST-252</v>
      </c>
      <c r="B253" s="6" t="s">
        <v>139</v>
      </c>
      <c r="P253" s="4" t="str">
        <f t="shared" si="9"/>
        <v>RAJ DAD ORDER</v>
      </c>
    </row>
    <row r="254" spans="1:16" x14ac:dyDescent="0.2">
      <c r="A254" t="str">
        <f t="shared" si="8"/>
        <v>CUST-253</v>
      </c>
      <c r="B254" s="6" t="s">
        <v>129</v>
      </c>
      <c r="P254" s="4"/>
    </row>
    <row r="255" spans="1:16" x14ac:dyDescent="0.2">
      <c r="A255" t="str">
        <f t="shared" si="8"/>
        <v>CUST-254</v>
      </c>
      <c r="B255" s="6" t="s">
        <v>475</v>
      </c>
      <c r="P255" s="4" t="str">
        <f t="shared" si="9"/>
        <v>RAJ OWNED</v>
      </c>
    </row>
    <row r="256" spans="1:16" x14ac:dyDescent="0.2">
      <c r="A256" t="str">
        <f t="shared" si="8"/>
        <v>CUST-255</v>
      </c>
      <c r="B256" s="6" t="s">
        <v>43</v>
      </c>
      <c r="P256" s="4" t="str">
        <f t="shared" si="9"/>
        <v>RAJ SIR</v>
      </c>
    </row>
    <row r="257" spans="1:16" x14ac:dyDescent="0.2">
      <c r="A257" t="str">
        <f t="shared" si="8"/>
        <v>CUST-256</v>
      </c>
      <c r="B257" s="6" t="s">
        <v>182</v>
      </c>
      <c r="P257" s="4" t="str">
        <f t="shared" si="9"/>
        <v>RAJ TRADERS</v>
      </c>
    </row>
    <row r="258" spans="1:16" x14ac:dyDescent="0.2">
      <c r="A258" t="str">
        <f t="shared" si="8"/>
        <v>CUST-257</v>
      </c>
      <c r="B258" s="9" t="s">
        <v>269</v>
      </c>
      <c r="P258" s="4" t="str">
        <f t="shared" si="9"/>
        <v>RAJESH ( RAVI MAMA</v>
      </c>
    </row>
    <row r="259" spans="1:16" x14ac:dyDescent="0.2">
      <c r="A259" t="str">
        <f t="shared" si="8"/>
        <v>CUST-258</v>
      </c>
      <c r="B259" s="6" t="s">
        <v>209</v>
      </c>
      <c r="P259" s="4" t="str">
        <f t="shared" si="9"/>
        <v>RAJESH KADE</v>
      </c>
    </row>
    <row r="260" spans="1:16" x14ac:dyDescent="0.2">
      <c r="A260" t="str">
        <f t="shared" si="8"/>
        <v>CUST-259</v>
      </c>
      <c r="B260" s="6" t="s">
        <v>412</v>
      </c>
      <c r="P260" s="4" t="str">
        <f t="shared" si="9"/>
        <v>RAJESH SINGH</v>
      </c>
    </row>
    <row r="261" spans="1:16" x14ac:dyDescent="0.2">
      <c r="A261" t="str">
        <f t="shared" si="8"/>
        <v>CUST-260</v>
      </c>
      <c r="B261" s="6" t="s">
        <v>194</v>
      </c>
      <c r="P261" s="4" t="str">
        <f t="shared" si="9"/>
        <v>RAJESH THAKUR</v>
      </c>
    </row>
    <row r="262" spans="1:16" x14ac:dyDescent="0.2">
      <c r="A262" t="str">
        <f t="shared" si="8"/>
        <v>CUST-261</v>
      </c>
      <c r="B262" s="9" t="s">
        <v>60</v>
      </c>
      <c r="P262" s="4" t="str">
        <f t="shared" si="9"/>
        <v>RAJU BALA ( RAJ DAD )</v>
      </c>
    </row>
    <row r="263" spans="1:16" x14ac:dyDescent="0.2">
      <c r="A263" t="str">
        <f t="shared" si="8"/>
        <v>CUST-262</v>
      </c>
      <c r="B263" s="6" t="s">
        <v>251</v>
      </c>
      <c r="P263" s="4" t="str">
        <f t="shared" si="9"/>
        <v>RAJU MANUSMARE</v>
      </c>
    </row>
    <row r="264" spans="1:16" x14ac:dyDescent="0.2">
      <c r="A264" t="str">
        <f t="shared" si="8"/>
        <v>CUST-263</v>
      </c>
      <c r="B264" s="9" t="s">
        <v>277</v>
      </c>
      <c r="P264" s="4" t="str">
        <f t="shared" si="9"/>
        <v>RAJU MISTRI ( MAHENDRA )</v>
      </c>
    </row>
    <row r="265" spans="1:16" x14ac:dyDescent="0.2">
      <c r="A265" t="str">
        <f t="shared" si="8"/>
        <v>CUST-264</v>
      </c>
      <c r="B265" s="6" t="s">
        <v>143</v>
      </c>
      <c r="P265" s="4" t="str">
        <f t="shared" si="9"/>
        <v>RAJU SANGARTHI</v>
      </c>
    </row>
    <row r="266" spans="1:16" x14ac:dyDescent="0.2">
      <c r="A266" t="str">
        <f t="shared" si="8"/>
        <v>CUST-265</v>
      </c>
      <c r="B266" s="6" t="s">
        <v>175</v>
      </c>
      <c r="P266" s="4" t="str">
        <f t="shared" si="9"/>
        <v>RAJURA THEKEDAR</v>
      </c>
    </row>
    <row r="267" spans="1:16" x14ac:dyDescent="0.2">
      <c r="A267" t="str">
        <f t="shared" si="8"/>
        <v>CUST-266</v>
      </c>
      <c r="B267" s="6" t="s">
        <v>413</v>
      </c>
      <c r="P267" s="4" t="str">
        <f t="shared" si="9"/>
        <v>RAKESH</v>
      </c>
    </row>
    <row r="268" spans="1:16" x14ac:dyDescent="0.2">
      <c r="A268" t="str">
        <f t="shared" si="8"/>
        <v>CUST-267</v>
      </c>
      <c r="B268" s="9" t="s">
        <v>414</v>
      </c>
      <c r="P268" s="4" t="str">
        <f t="shared" si="9"/>
        <v>RAKESH AAGAT ( RAJ )</v>
      </c>
    </row>
    <row r="269" spans="1:16" x14ac:dyDescent="0.2">
      <c r="A269" t="str">
        <f t="shared" si="8"/>
        <v>CUST-268</v>
      </c>
      <c r="B269" s="6" t="s">
        <v>290</v>
      </c>
      <c r="P269" s="4" t="str">
        <f t="shared" si="9"/>
        <v>RAKESH RAMTEKE</v>
      </c>
    </row>
    <row r="270" spans="1:16" x14ac:dyDescent="0.2">
      <c r="A270" t="str">
        <f t="shared" si="8"/>
        <v>CUST-269</v>
      </c>
      <c r="B270" s="9" t="s">
        <v>255</v>
      </c>
      <c r="P270" s="4" t="str">
        <f t="shared" si="9"/>
        <v>RAMCHANDRA DONGRE</v>
      </c>
    </row>
    <row r="271" spans="1:16" x14ac:dyDescent="0.2">
      <c r="A271" t="str">
        <f t="shared" si="8"/>
        <v>CUST-270</v>
      </c>
      <c r="B271" s="6" t="s">
        <v>291</v>
      </c>
      <c r="P271" s="4" t="str">
        <f t="shared" si="9"/>
        <v>RAMTEKE</v>
      </c>
    </row>
    <row r="272" spans="1:16" x14ac:dyDescent="0.2">
      <c r="A272" t="str">
        <f t="shared" si="8"/>
        <v>CUST-271</v>
      </c>
      <c r="B272" s="6" t="s">
        <v>415</v>
      </c>
      <c r="P272" s="4" t="str">
        <f t="shared" si="9"/>
        <v>RASEES</v>
      </c>
    </row>
    <row r="273" spans="1:16" x14ac:dyDescent="0.2">
      <c r="A273" t="str">
        <f t="shared" si="8"/>
        <v>CUST-272</v>
      </c>
      <c r="B273" s="9" t="s">
        <v>264</v>
      </c>
      <c r="P273" s="4" t="str">
        <f t="shared" si="9"/>
        <v>RASHTRAWADI ( RAJ )</v>
      </c>
    </row>
    <row r="274" spans="1:16" x14ac:dyDescent="0.2">
      <c r="A274" t="str">
        <f t="shared" si="8"/>
        <v>CUST-273</v>
      </c>
      <c r="B274" s="6" t="s">
        <v>416</v>
      </c>
      <c r="P274" s="4" t="str">
        <f t="shared" si="9"/>
        <v>RASSES ORDER</v>
      </c>
    </row>
    <row r="275" spans="1:16" x14ac:dyDescent="0.2">
      <c r="A275" t="str">
        <f t="shared" si="8"/>
        <v>CUST-274</v>
      </c>
      <c r="B275" s="6" t="s">
        <v>417</v>
      </c>
      <c r="P275" s="4" t="str">
        <f t="shared" si="9"/>
        <v>RAUT</v>
      </c>
    </row>
    <row r="276" spans="1:16" x14ac:dyDescent="0.2">
      <c r="A276" t="str">
        <f t="shared" si="8"/>
        <v>CUST-275</v>
      </c>
      <c r="B276" s="10" t="s">
        <v>248</v>
      </c>
      <c r="P276" s="4" t="str">
        <f t="shared" si="9"/>
        <v>RAVI ELECTRICIAN</v>
      </c>
    </row>
    <row r="277" spans="1:16" x14ac:dyDescent="0.2">
      <c r="A277" t="str">
        <f t="shared" si="8"/>
        <v>CUST-276</v>
      </c>
      <c r="B277" s="6" t="s">
        <v>180</v>
      </c>
      <c r="P277" s="4" t="str">
        <f t="shared" si="9"/>
        <v>RAVI MAMA</v>
      </c>
    </row>
    <row r="278" spans="1:16" x14ac:dyDescent="0.2">
      <c r="A278" t="str">
        <f t="shared" si="8"/>
        <v>CUST-277</v>
      </c>
      <c r="B278" s="6" t="s">
        <v>149</v>
      </c>
      <c r="P278" s="4" t="str">
        <f t="shared" si="9"/>
        <v>RAVI MOREY</v>
      </c>
    </row>
    <row r="279" spans="1:16" x14ac:dyDescent="0.2">
      <c r="A279" t="str">
        <f t="shared" si="8"/>
        <v>CUST-278</v>
      </c>
      <c r="B279" s="6" t="s">
        <v>418</v>
      </c>
      <c r="P279" s="4" t="str">
        <f t="shared" si="9"/>
        <v>RAVI WANDARE</v>
      </c>
    </row>
    <row r="280" spans="1:16" x14ac:dyDescent="0.2">
      <c r="A280" t="str">
        <f t="shared" si="8"/>
        <v>CUST-279</v>
      </c>
      <c r="B280" s="6" t="s">
        <v>147</v>
      </c>
      <c r="P280" s="4" t="str">
        <f t="shared" si="9"/>
        <v>RAWAL BHAIYA</v>
      </c>
    </row>
    <row r="281" spans="1:16" x14ac:dyDescent="0.2">
      <c r="A281" t="str">
        <f t="shared" si="8"/>
        <v>CUST-280</v>
      </c>
      <c r="B281" s="6" t="s">
        <v>64</v>
      </c>
      <c r="P281" s="4" t="str">
        <f t="shared" si="9"/>
        <v>RISHAB DUPARE</v>
      </c>
    </row>
    <row r="282" spans="1:16" x14ac:dyDescent="0.2">
      <c r="A282" t="str">
        <f t="shared" si="8"/>
        <v>CUST-281</v>
      </c>
      <c r="B282" s="6" t="s">
        <v>227</v>
      </c>
      <c r="P282" s="4" t="str">
        <f t="shared" si="9"/>
        <v>ROAD ( RAJ DAD )</v>
      </c>
    </row>
    <row r="283" spans="1:16" x14ac:dyDescent="0.2">
      <c r="A283" t="str">
        <f t="shared" si="8"/>
        <v>CUST-282</v>
      </c>
      <c r="B283" s="6" t="s">
        <v>419</v>
      </c>
      <c r="P283" s="4" t="str">
        <f t="shared" si="9"/>
        <v>ROHAN</v>
      </c>
    </row>
    <row r="284" spans="1:16" x14ac:dyDescent="0.2">
      <c r="A284" t="str">
        <f t="shared" si="8"/>
        <v>CUST-283</v>
      </c>
      <c r="B284" s="6" t="s">
        <v>420</v>
      </c>
      <c r="P284" s="4" t="str">
        <f t="shared" si="9"/>
        <v>ROHAN NAGARKAR</v>
      </c>
    </row>
    <row r="285" spans="1:16" x14ac:dyDescent="0.2">
      <c r="A285" t="str">
        <f t="shared" si="8"/>
        <v>CUST-284</v>
      </c>
      <c r="B285" s="6" t="s">
        <v>226</v>
      </c>
      <c r="P285" s="4" t="str">
        <f t="shared" si="9"/>
        <v>ROHANKAR ( RAJ DAD )</v>
      </c>
    </row>
    <row r="286" spans="1:16" x14ac:dyDescent="0.2">
      <c r="A286" t="str">
        <f t="shared" si="8"/>
        <v>CUST-285</v>
      </c>
      <c r="B286" s="6" t="s">
        <v>421</v>
      </c>
      <c r="P286" s="4" t="str">
        <f t="shared" si="9"/>
        <v>ROHIT JOGRANA</v>
      </c>
    </row>
    <row r="287" spans="1:16" x14ac:dyDescent="0.2">
      <c r="A287" t="str">
        <f t="shared" si="8"/>
        <v>CUST-286</v>
      </c>
      <c r="B287" s="6" t="s">
        <v>422</v>
      </c>
      <c r="P287" s="4" t="str">
        <f t="shared" si="9"/>
        <v>ROHIT PRASAD</v>
      </c>
    </row>
    <row r="288" spans="1:16" x14ac:dyDescent="0.2">
      <c r="A288" t="str">
        <f t="shared" si="8"/>
        <v>CUST-287</v>
      </c>
      <c r="B288" s="6" t="s">
        <v>423</v>
      </c>
      <c r="P288" s="4" t="str">
        <f t="shared" si="9"/>
        <v>ROSHAN</v>
      </c>
    </row>
    <row r="289" spans="1:16" x14ac:dyDescent="0.2">
      <c r="A289" t="str">
        <f t="shared" si="8"/>
        <v>CUST-288</v>
      </c>
      <c r="B289" s="6" t="s">
        <v>229</v>
      </c>
      <c r="P289" s="4" t="str">
        <f t="shared" si="9"/>
        <v>ROSHAN ORDER</v>
      </c>
    </row>
    <row r="290" spans="1:16" x14ac:dyDescent="0.2">
      <c r="A290" t="str">
        <f t="shared" si="8"/>
        <v>CUST-289</v>
      </c>
      <c r="B290" s="9" t="s">
        <v>424</v>
      </c>
      <c r="P290" s="4" t="str">
        <f t="shared" si="9"/>
        <v>ROSHAN RAJ DAD</v>
      </c>
    </row>
    <row r="291" spans="1:16" x14ac:dyDescent="0.2">
      <c r="A291" t="str">
        <f t="shared" si="8"/>
        <v>CUST-290</v>
      </c>
      <c r="B291" s="9" t="s">
        <v>425</v>
      </c>
      <c r="P291" s="4" t="str">
        <f t="shared" si="9"/>
        <v>RTO</v>
      </c>
    </row>
    <row r="292" spans="1:16" x14ac:dyDescent="0.2">
      <c r="A292" t="str">
        <f t="shared" si="8"/>
        <v>CUST-291</v>
      </c>
      <c r="B292" s="6" t="s">
        <v>30</v>
      </c>
      <c r="P292" s="4" t="str">
        <f t="shared" si="9"/>
        <v>RUPESH REGUNDEWAR</v>
      </c>
    </row>
    <row r="293" spans="1:16" x14ac:dyDescent="0.2">
      <c r="A293" t="str">
        <f t="shared" si="8"/>
        <v>CUST-292</v>
      </c>
      <c r="B293" s="6" t="s">
        <v>426</v>
      </c>
      <c r="P293" s="4" t="str">
        <f t="shared" si="9"/>
        <v>RVF RAILWAY</v>
      </c>
    </row>
    <row r="294" spans="1:16" x14ac:dyDescent="0.2">
      <c r="A294" t="str">
        <f t="shared" si="8"/>
        <v>CUST-293</v>
      </c>
      <c r="B294" s="6" t="s">
        <v>427</v>
      </c>
      <c r="P294" s="4" t="str">
        <f t="shared" si="9"/>
        <v>SACHIN</v>
      </c>
    </row>
    <row r="295" spans="1:16" x14ac:dyDescent="0.2">
      <c r="A295" t="str">
        <f t="shared" si="8"/>
        <v>CUST-294</v>
      </c>
      <c r="B295" s="5" t="s">
        <v>210</v>
      </c>
      <c r="P295" s="4" t="str">
        <f t="shared" si="9"/>
        <v>SACHIN GAWANDE</v>
      </c>
    </row>
    <row r="296" spans="1:16" x14ac:dyDescent="0.2">
      <c r="A296" t="str">
        <f t="shared" si="8"/>
        <v>CUST-295</v>
      </c>
      <c r="B296" s="6" t="s">
        <v>31</v>
      </c>
      <c r="P296" s="4" t="str">
        <f t="shared" si="9"/>
        <v>SACHIN K</v>
      </c>
    </row>
    <row r="297" spans="1:16" x14ac:dyDescent="0.2">
      <c r="A297" t="str">
        <f t="shared" si="8"/>
        <v>CUST-296</v>
      </c>
      <c r="B297" s="6" t="s">
        <v>428</v>
      </c>
      <c r="P297" s="4" t="str">
        <f t="shared" si="9"/>
        <v>SADWE HARDWARE</v>
      </c>
    </row>
    <row r="298" spans="1:16" x14ac:dyDescent="0.2">
      <c r="A298" t="str">
        <f t="shared" si="8"/>
        <v>CUST-297</v>
      </c>
      <c r="B298" s="6" t="s">
        <v>478</v>
      </c>
      <c r="P298" s="4" t="str">
        <f t="shared" si="9"/>
        <v>SAGAR GHORADE</v>
      </c>
    </row>
    <row r="299" spans="1:16" x14ac:dyDescent="0.2">
      <c r="A299" t="str">
        <f t="shared" si="8"/>
        <v>CUST-298</v>
      </c>
      <c r="B299" s="9" t="s">
        <v>270</v>
      </c>
      <c r="P299" s="4" t="str">
        <f t="shared" si="9"/>
        <v>SAGAR MOREY ( MAHENDRA )</v>
      </c>
    </row>
    <row r="300" spans="1:16" x14ac:dyDescent="0.2">
      <c r="A300" t="str">
        <f t="shared" ref="A300:A363" si="10">"CUST-"&amp;TEXT(ROW()-1,"000")</f>
        <v>CUST-299</v>
      </c>
      <c r="B300" s="6" t="s">
        <v>429</v>
      </c>
      <c r="P300" s="4" t="str">
        <f t="shared" ref="P300:P363" si="11">UPPER(TRIM(B300))</f>
        <v>SAHIL DERKAR</v>
      </c>
    </row>
    <row r="301" spans="1:16" x14ac:dyDescent="0.2">
      <c r="A301" t="str">
        <f t="shared" si="10"/>
        <v>CUST-300</v>
      </c>
      <c r="B301" s="9" t="s">
        <v>516</v>
      </c>
      <c r="P301" s="4" t="str">
        <f t="shared" si="11"/>
        <v>SAIJA BAI</v>
      </c>
    </row>
    <row r="302" spans="1:16" x14ac:dyDescent="0.2">
      <c r="A302" t="str">
        <f t="shared" si="10"/>
        <v>CUST-301</v>
      </c>
      <c r="B302" s="9" t="s">
        <v>430</v>
      </c>
      <c r="P302" s="4" t="str">
        <f t="shared" si="11"/>
        <v>SAINAITH JUNGURE</v>
      </c>
    </row>
    <row r="303" spans="1:16" x14ac:dyDescent="0.2">
      <c r="A303" t="str">
        <f t="shared" si="10"/>
        <v>CUST-302</v>
      </c>
      <c r="B303" s="10" t="s">
        <v>241</v>
      </c>
      <c r="P303" s="4" t="str">
        <f t="shared" si="11"/>
        <v>SAKDEV</v>
      </c>
    </row>
    <row r="304" spans="1:16" x14ac:dyDescent="0.2">
      <c r="A304" t="str">
        <f t="shared" si="10"/>
        <v>CUST-303</v>
      </c>
      <c r="B304" s="6" t="s">
        <v>224</v>
      </c>
      <c r="P304" s="4" t="str">
        <f t="shared" si="11"/>
        <v>SALAM KALAM</v>
      </c>
    </row>
    <row r="305" spans="1:16" x14ac:dyDescent="0.2">
      <c r="A305" t="str">
        <f t="shared" si="10"/>
        <v>CUST-304</v>
      </c>
      <c r="B305" s="6" t="s">
        <v>32</v>
      </c>
      <c r="P305" s="4" t="str">
        <f t="shared" si="11"/>
        <v>SALIM</v>
      </c>
    </row>
    <row r="306" spans="1:16" x14ac:dyDescent="0.2">
      <c r="A306" t="str">
        <f t="shared" si="10"/>
        <v>CUST-305</v>
      </c>
      <c r="B306" s="6" t="s">
        <v>431</v>
      </c>
      <c r="P306" s="4" t="str">
        <f t="shared" si="11"/>
        <v>SAMMER INGOLE</v>
      </c>
    </row>
    <row r="307" spans="1:16" x14ac:dyDescent="0.2">
      <c r="A307" t="str">
        <f t="shared" si="10"/>
        <v>CUST-306</v>
      </c>
      <c r="B307" s="6" t="s">
        <v>432</v>
      </c>
      <c r="P307" s="4" t="str">
        <f t="shared" si="11"/>
        <v>SANDEEP BORKHUTE</v>
      </c>
    </row>
    <row r="308" spans="1:16" x14ac:dyDescent="0.2">
      <c r="A308" t="str">
        <f t="shared" si="10"/>
        <v>CUST-307</v>
      </c>
      <c r="B308" s="6" t="s">
        <v>113</v>
      </c>
      <c r="P308" s="4" t="str">
        <f t="shared" si="11"/>
        <v>SANJEET POLICE</v>
      </c>
    </row>
    <row r="309" spans="1:16" x14ac:dyDescent="0.2">
      <c r="A309" t="str">
        <f t="shared" si="10"/>
        <v>CUST-308</v>
      </c>
      <c r="B309" s="6" t="s">
        <v>433</v>
      </c>
      <c r="P309" s="4" t="str">
        <f t="shared" si="11"/>
        <v>SANJU</v>
      </c>
    </row>
    <row r="310" spans="1:16" x14ac:dyDescent="0.2">
      <c r="A310" t="str">
        <f t="shared" si="10"/>
        <v>CUST-309</v>
      </c>
      <c r="B310" s="9" t="s">
        <v>434</v>
      </c>
      <c r="P310" s="4" t="str">
        <f t="shared" si="11"/>
        <v>SANJU GHATE</v>
      </c>
    </row>
    <row r="311" spans="1:16" x14ac:dyDescent="0.2">
      <c r="A311" t="str">
        <f t="shared" si="10"/>
        <v>CUST-310</v>
      </c>
      <c r="B311" s="9" t="s">
        <v>272</v>
      </c>
      <c r="P311" s="4" t="str">
        <f t="shared" si="11"/>
        <v>SANJU SONWANE ( MAHENDRA )</v>
      </c>
    </row>
    <row r="312" spans="1:16" x14ac:dyDescent="0.2">
      <c r="A312" t="str">
        <f t="shared" si="10"/>
        <v>CUST-311</v>
      </c>
      <c r="B312" s="6" t="s">
        <v>177</v>
      </c>
      <c r="P312" s="4" t="str">
        <f t="shared" si="11"/>
        <v>SANTOSH</v>
      </c>
    </row>
    <row r="313" spans="1:16" x14ac:dyDescent="0.2">
      <c r="A313" t="str">
        <f t="shared" si="10"/>
        <v>CUST-312</v>
      </c>
      <c r="B313" s="6" t="s">
        <v>156</v>
      </c>
      <c r="P313" s="4" t="str">
        <f t="shared" si="11"/>
        <v>SANTOSH BHAIYA</v>
      </c>
    </row>
    <row r="314" spans="1:16" x14ac:dyDescent="0.2">
      <c r="A314" t="str">
        <f t="shared" si="10"/>
        <v>CUST-313</v>
      </c>
      <c r="B314" s="6" t="s">
        <v>435</v>
      </c>
      <c r="P314" s="4" t="str">
        <f t="shared" si="11"/>
        <v>SANTOSH BHAIYA ORDER</v>
      </c>
    </row>
    <row r="315" spans="1:16" x14ac:dyDescent="0.2">
      <c r="A315" t="str">
        <f t="shared" si="10"/>
        <v>CUST-314</v>
      </c>
      <c r="B315" s="6" t="s">
        <v>151</v>
      </c>
      <c r="P315" s="4" t="str">
        <f t="shared" si="11"/>
        <v>SANTOSH BONWAR</v>
      </c>
    </row>
    <row r="316" spans="1:16" x14ac:dyDescent="0.2">
      <c r="A316" t="str">
        <f t="shared" si="10"/>
        <v>CUST-315</v>
      </c>
      <c r="B316" s="6" t="s">
        <v>436</v>
      </c>
      <c r="P316" s="4" t="str">
        <f t="shared" si="11"/>
        <v>SANTOSH ORDER</v>
      </c>
    </row>
    <row r="317" spans="1:16" x14ac:dyDescent="0.2">
      <c r="A317" t="str">
        <f t="shared" si="10"/>
        <v>CUST-316</v>
      </c>
      <c r="B317" s="6" t="s">
        <v>258</v>
      </c>
      <c r="P317" s="4" t="str">
        <f t="shared" si="11"/>
        <v>SANTOSH PARDE ( RAJ DAD )</v>
      </c>
    </row>
    <row r="318" spans="1:16" x14ac:dyDescent="0.2">
      <c r="A318" t="str">
        <f t="shared" si="10"/>
        <v>CUST-317</v>
      </c>
      <c r="B318" s="9" t="s">
        <v>293</v>
      </c>
      <c r="P318" s="4" t="str">
        <f t="shared" si="11"/>
        <v>SANTOSH SINHA</v>
      </c>
    </row>
    <row r="319" spans="1:16" x14ac:dyDescent="0.2">
      <c r="A319" t="str">
        <f t="shared" si="10"/>
        <v>CUST-318</v>
      </c>
      <c r="B319" s="9" t="s">
        <v>437</v>
      </c>
      <c r="P319" s="4" t="str">
        <f t="shared" si="11"/>
        <v>SARDA ANGENCY ( RAJ DAD )</v>
      </c>
    </row>
    <row r="320" spans="1:16" x14ac:dyDescent="0.2">
      <c r="A320" t="str">
        <f t="shared" si="10"/>
        <v>CUST-319</v>
      </c>
      <c r="B320" s="6" t="s">
        <v>189</v>
      </c>
      <c r="P320" s="4" t="str">
        <f t="shared" si="11"/>
        <v>SASHIKANT ( RAJ )</v>
      </c>
    </row>
    <row r="321" spans="1:16" x14ac:dyDescent="0.2">
      <c r="A321" t="str">
        <f t="shared" si="10"/>
        <v>CUST-320</v>
      </c>
      <c r="B321" s="9" t="s">
        <v>292</v>
      </c>
      <c r="P321" s="4" t="str">
        <f t="shared" si="11"/>
        <v>SAU</v>
      </c>
    </row>
    <row r="322" spans="1:16" x14ac:dyDescent="0.2">
      <c r="A322" t="str">
        <f t="shared" si="10"/>
        <v>CUST-321</v>
      </c>
      <c r="B322" s="6" t="s">
        <v>116</v>
      </c>
      <c r="P322" s="4" t="str">
        <f t="shared" si="11"/>
        <v>SAU THEKEDAR</v>
      </c>
    </row>
    <row r="323" spans="1:16" x14ac:dyDescent="0.2">
      <c r="A323" t="str">
        <f t="shared" si="10"/>
        <v>CUST-322</v>
      </c>
      <c r="B323" s="6" t="s">
        <v>438</v>
      </c>
      <c r="P323" s="4" t="str">
        <f t="shared" si="11"/>
        <v>SAURABH MESHRAM</v>
      </c>
    </row>
    <row r="324" spans="1:16" x14ac:dyDescent="0.2">
      <c r="A324" t="str">
        <f t="shared" si="10"/>
        <v>CUST-323</v>
      </c>
      <c r="B324" s="6" t="s">
        <v>56</v>
      </c>
      <c r="P324" s="4" t="str">
        <f t="shared" si="11"/>
        <v>SAURABH VIDHATE</v>
      </c>
    </row>
    <row r="325" spans="1:16" x14ac:dyDescent="0.2">
      <c r="A325" t="str">
        <f t="shared" si="10"/>
        <v>CUST-324</v>
      </c>
      <c r="B325" s="6" t="s">
        <v>187</v>
      </c>
      <c r="P325" s="4" t="str">
        <f t="shared" si="11"/>
        <v>SEAT WALA</v>
      </c>
    </row>
    <row r="326" spans="1:16" x14ac:dyDescent="0.2">
      <c r="A326" t="str">
        <f t="shared" si="10"/>
        <v>CUST-325</v>
      </c>
      <c r="B326" s="6" t="s">
        <v>171</v>
      </c>
      <c r="P326" s="4" t="str">
        <f t="shared" si="11"/>
        <v>SHAILJA ENTERPRISE</v>
      </c>
    </row>
    <row r="327" spans="1:16" x14ac:dyDescent="0.2">
      <c r="A327" t="str">
        <f t="shared" si="10"/>
        <v>CUST-326</v>
      </c>
      <c r="B327" s="6" t="s">
        <v>439</v>
      </c>
      <c r="P327" s="4" t="str">
        <f t="shared" si="11"/>
        <v>SHAM BUILDER</v>
      </c>
    </row>
    <row r="328" spans="1:16" x14ac:dyDescent="0.2">
      <c r="A328" t="str">
        <f t="shared" si="10"/>
        <v>CUST-327</v>
      </c>
      <c r="B328" s="6" t="s">
        <v>440</v>
      </c>
      <c r="P328" s="4" t="str">
        <f t="shared" si="11"/>
        <v>SHARDUR</v>
      </c>
    </row>
    <row r="329" spans="1:16" x14ac:dyDescent="0.2">
      <c r="A329" t="str">
        <f t="shared" si="10"/>
        <v>CUST-328</v>
      </c>
      <c r="B329" s="6" t="s">
        <v>211</v>
      </c>
      <c r="P329" s="4" t="str">
        <f t="shared" si="11"/>
        <v>SHARIF MISTRI</v>
      </c>
    </row>
    <row r="330" spans="1:16" x14ac:dyDescent="0.2">
      <c r="A330" t="str">
        <f t="shared" si="10"/>
        <v>CUST-329</v>
      </c>
      <c r="B330" s="6" t="s">
        <v>65</v>
      </c>
      <c r="P330" s="4" t="str">
        <f t="shared" si="11"/>
        <v>SHARIK</v>
      </c>
    </row>
    <row r="331" spans="1:16" x14ac:dyDescent="0.2">
      <c r="A331" t="str">
        <f t="shared" si="10"/>
        <v>CUST-330</v>
      </c>
      <c r="B331" s="6" t="s">
        <v>441</v>
      </c>
      <c r="P331" s="4" t="str">
        <f t="shared" si="11"/>
        <v>SHARIK</v>
      </c>
    </row>
    <row r="332" spans="1:16" x14ac:dyDescent="0.2">
      <c r="A332" t="str">
        <f t="shared" si="10"/>
        <v>CUST-331</v>
      </c>
      <c r="B332" s="6" t="s">
        <v>442</v>
      </c>
      <c r="P332" s="4" t="str">
        <f t="shared" si="11"/>
        <v>SHARIK THEKEDAR</v>
      </c>
    </row>
    <row r="333" spans="1:16" x14ac:dyDescent="0.2">
      <c r="A333" t="str">
        <f t="shared" si="10"/>
        <v>CUST-332</v>
      </c>
      <c r="B333" s="6" t="s">
        <v>109</v>
      </c>
      <c r="P333" s="4" t="str">
        <f t="shared" si="11"/>
        <v>SHARUKH BHAIYA</v>
      </c>
    </row>
    <row r="334" spans="1:16" x14ac:dyDescent="0.2">
      <c r="A334" t="str">
        <f t="shared" si="10"/>
        <v>CUST-333</v>
      </c>
      <c r="B334" s="9" t="s">
        <v>443</v>
      </c>
      <c r="P334" s="4" t="str">
        <f t="shared" si="11"/>
        <v>SHENDE</v>
      </c>
    </row>
    <row r="335" spans="1:16" x14ac:dyDescent="0.2">
      <c r="A335" t="str">
        <f t="shared" si="10"/>
        <v>CUST-334</v>
      </c>
      <c r="B335" s="6" t="s">
        <v>444</v>
      </c>
      <c r="P335" s="4" t="str">
        <f t="shared" si="11"/>
        <v>SHERA BHAIYA</v>
      </c>
    </row>
    <row r="336" spans="1:16" x14ac:dyDescent="0.2">
      <c r="A336" t="str">
        <f t="shared" si="10"/>
        <v>CUST-335</v>
      </c>
      <c r="B336" s="6" t="s">
        <v>445</v>
      </c>
      <c r="P336" s="4" t="str">
        <f t="shared" si="11"/>
        <v>SHIV MANDIR</v>
      </c>
    </row>
    <row r="337" spans="1:16" x14ac:dyDescent="0.2">
      <c r="A337" t="str">
        <f t="shared" si="10"/>
        <v>CUST-336</v>
      </c>
      <c r="B337" s="6" t="s">
        <v>119</v>
      </c>
      <c r="P337" s="4" t="str">
        <f t="shared" si="11"/>
        <v>SHIVA KOREWAR</v>
      </c>
    </row>
    <row r="338" spans="1:16" x14ac:dyDescent="0.2">
      <c r="A338" t="str">
        <f t="shared" si="10"/>
        <v>CUST-337</v>
      </c>
      <c r="B338" s="9" t="s">
        <v>268</v>
      </c>
      <c r="P338" s="4" t="str">
        <f t="shared" si="11"/>
        <v>SHRI SAI ( RAJ DAD )</v>
      </c>
    </row>
    <row r="339" spans="1:16" x14ac:dyDescent="0.2">
      <c r="A339" t="str">
        <f t="shared" si="10"/>
        <v>CUST-338</v>
      </c>
      <c r="B339" s="10" t="s">
        <v>246</v>
      </c>
      <c r="P339" s="4" t="str">
        <f t="shared" si="11"/>
        <v>SHRISAGAR</v>
      </c>
    </row>
    <row r="340" spans="1:16" x14ac:dyDescent="0.2">
      <c r="A340" t="str">
        <f t="shared" si="10"/>
        <v>CUST-339</v>
      </c>
      <c r="B340" s="6" t="s">
        <v>446</v>
      </c>
      <c r="P340" s="4" t="str">
        <f t="shared" si="11"/>
        <v>SHUBHAM BONDARE</v>
      </c>
    </row>
    <row r="341" spans="1:16" x14ac:dyDescent="0.2">
      <c r="A341" t="str">
        <f t="shared" si="10"/>
        <v>CUST-340</v>
      </c>
      <c r="B341" s="6" t="s">
        <v>35</v>
      </c>
      <c r="P341" s="4" t="str">
        <f t="shared" si="11"/>
        <v>SHUBHAM DADA</v>
      </c>
    </row>
    <row r="342" spans="1:16" x14ac:dyDescent="0.2">
      <c r="A342" t="str">
        <f t="shared" si="10"/>
        <v>CUST-341</v>
      </c>
      <c r="B342" s="6" t="s">
        <v>50</v>
      </c>
      <c r="P342" s="4" t="str">
        <f t="shared" si="11"/>
        <v>SHUBHAM SAKARKAR</v>
      </c>
    </row>
    <row r="343" spans="1:16" x14ac:dyDescent="0.2">
      <c r="A343" t="str">
        <f t="shared" si="10"/>
        <v>CUST-342</v>
      </c>
      <c r="B343" s="6" t="s">
        <v>447</v>
      </c>
      <c r="P343" s="4" t="str">
        <f t="shared" si="11"/>
        <v>SHUBHASH MISTRI</v>
      </c>
    </row>
    <row r="344" spans="1:16" x14ac:dyDescent="0.2">
      <c r="A344" t="str">
        <f t="shared" si="10"/>
        <v>CUST-343</v>
      </c>
      <c r="B344" s="9" t="s">
        <v>448</v>
      </c>
      <c r="P344" s="4" t="str">
        <f t="shared" si="11"/>
        <v>SHYAM KULMETE</v>
      </c>
    </row>
    <row r="345" spans="1:16" x14ac:dyDescent="0.2">
      <c r="A345" t="str">
        <f t="shared" si="10"/>
        <v>CUST-344</v>
      </c>
      <c r="B345" s="6" t="s">
        <v>449</v>
      </c>
      <c r="P345" s="4" t="str">
        <f t="shared" si="11"/>
        <v>SINA THEKEDAR</v>
      </c>
    </row>
    <row r="346" spans="1:16" x14ac:dyDescent="0.2">
      <c r="A346" t="str">
        <f t="shared" si="10"/>
        <v>CUST-345</v>
      </c>
      <c r="B346" s="9" t="s">
        <v>256</v>
      </c>
      <c r="P346" s="4" t="str">
        <f t="shared" si="11"/>
        <v>SONALIKA RAMTAKE ( RAJ ORDER )</v>
      </c>
    </row>
    <row r="347" spans="1:16" x14ac:dyDescent="0.2">
      <c r="A347" t="str">
        <f t="shared" si="10"/>
        <v>CUST-346</v>
      </c>
      <c r="B347" s="6" t="s">
        <v>294</v>
      </c>
      <c r="P347" s="4" t="str">
        <f t="shared" si="11"/>
        <v>SONAWARE</v>
      </c>
    </row>
    <row r="348" spans="1:16" x14ac:dyDescent="0.2">
      <c r="A348" t="str">
        <f t="shared" si="10"/>
        <v>CUST-347</v>
      </c>
      <c r="B348" s="9" t="s">
        <v>450</v>
      </c>
      <c r="P348" s="4" t="str">
        <f t="shared" si="11"/>
        <v>SONTAKE</v>
      </c>
    </row>
    <row r="349" spans="1:16" x14ac:dyDescent="0.2">
      <c r="A349" t="str">
        <f t="shared" si="10"/>
        <v>CUST-348</v>
      </c>
      <c r="B349" s="9" t="s">
        <v>451</v>
      </c>
      <c r="P349" s="4" t="str">
        <f t="shared" si="11"/>
        <v>SONWARE</v>
      </c>
    </row>
    <row r="350" spans="1:16" x14ac:dyDescent="0.2">
      <c r="A350" t="str">
        <f t="shared" si="10"/>
        <v>CUST-349</v>
      </c>
      <c r="B350" s="6" t="s">
        <v>452</v>
      </c>
      <c r="P350" s="4" t="str">
        <f t="shared" si="11"/>
        <v>STOCK - RAMP</v>
      </c>
    </row>
    <row r="351" spans="1:16" x14ac:dyDescent="0.2">
      <c r="A351" t="str">
        <f t="shared" si="10"/>
        <v>CUST-350</v>
      </c>
      <c r="B351" s="6" t="s">
        <v>231</v>
      </c>
      <c r="P351" s="4" t="str">
        <f t="shared" si="11"/>
        <v>SUDHA HOTEL</v>
      </c>
    </row>
    <row r="352" spans="1:16" x14ac:dyDescent="0.2">
      <c r="A352" t="str">
        <f t="shared" si="10"/>
        <v>CUST-351</v>
      </c>
      <c r="B352" s="9" t="s">
        <v>453</v>
      </c>
      <c r="P352" s="4" t="str">
        <f t="shared" si="11"/>
        <v>SUKHDEV</v>
      </c>
    </row>
    <row r="353" spans="1:16" x14ac:dyDescent="0.2">
      <c r="A353" t="str">
        <f t="shared" si="10"/>
        <v>CUST-352</v>
      </c>
      <c r="B353" s="9" t="s">
        <v>295</v>
      </c>
      <c r="P353" s="4" t="str">
        <f t="shared" si="11"/>
        <v>SUMIT MESHRAM</v>
      </c>
    </row>
    <row r="354" spans="1:16" x14ac:dyDescent="0.2">
      <c r="A354" t="str">
        <f t="shared" si="10"/>
        <v>CUST-353</v>
      </c>
      <c r="B354" s="6" t="s">
        <v>103</v>
      </c>
      <c r="P354" s="4" t="str">
        <f t="shared" si="11"/>
        <v>SUNIL BALKI</v>
      </c>
    </row>
    <row r="355" spans="1:16" x14ac:dyDescent="0.2">
      <c r="A355" t="str">
        <f t="shared" si="10"/>
        <v>CUST-354</v>
      </c>
      <c r="B355" s="6" t="s">
        <v>454</v>
      </c>
      <c r="P355" s="4" t="str">
        <f t="shared" si="11"/>
        <v>SUNIL BALKI</v>
      </c>
    </row>
    <row r="356" spans="1:16" x14ac:dyDescent="0.2">
      <c r="A356" t="str">
        <f t="shared" si="10"/>
        <v>CUST-355</v>
      </c>
      <c r="B356" s="9" t="s">
        <v>455</v>
      </c>
      <c r="P356" s="4" t="str">
        <f t="shared" si="11"/>
        <v>SUNNY DAD</v>
      </c>
    </row>
    <row r="357" spans="1:16" x14ac:dyDescent="0.2">
      <c r="A357" t="str">
        <f t="shared" si="10"/>
        <v>CUST-356</v>
      </c>
      <c r="B357" s="6" t="s">
        <v>456</v>
      </c>
      <c r="P357" s="4" t="str">
        <f t="shared" si="11"/>
        <v>SURAJ</v>
      </c>
    </row>
    <row r="358" spans="1:16" x14ac:dyDescent="0.2">
      <c r="A358" t="str">
        <f t="shared" si="10"/>
        <v>CUST-357</v>
      </c>
      <c r="B358" s="6" t="s">
        <v>168</v>
      </c>
      <c r="P358" s="4" t="str">
        <f t="shared" si="11"/>
        <v>SURANA</v>
      </c>
    </row>
    <row r="359" spans="1:16" x14ac:dyDescent="0.2">
      <c r="A359" t="str">
        <f t="shared" si="10"/>
        <v>CUST-358</v>
      </c>
      <c r="B359" s="9" t="s">
        <v>457</v>
      </c>
      <c r="P359" s="4" t="str">
        <f t="shared" si="11"/>
        <v>SURESH PACHARE</v>
      </c>
    </row>
    <row r="360" spans="1:16" x14ac:dyDescent="0.2">
      <c r="A360" t="str">
        <f t="shared" si="10"/>
        <v>CUST-359</v>
      </c>
      <c r="B360" s="6" t="s">
        <v>121</v>
      </c>
      <c r="P360" s="4" t="str">
        <f t="shared" si="11"/>
        <v>SURR</v>
      </c>
    </row>
    <row r="361" spans="1:16" x14ac:dyDescent="0.2">
      <c r="A361" t="str">
        <f t="shared" si="10"/>
        <v>CUST-360</v>
      </c>
      <c r="B361" s="6" t="s">
        <v>133</v>
      </c>
      <c r="P361" s="4" t="str">
        <f t="shared" si="11"/>
        <v>TEJAS PAWAR</v>
      </c>
    </row>
    <row r="362" spans="1:16" x14ac:dyDescent="0.2">
      <c r="A362" t="str">
        <f t="shared" si="10"/>
        <v>CUST-361</v>
      </c>
      <c r="B362" s="9" t="s">
        <v>271</v>
      </c>
      <c r="P362" s="4" t="str">
        <f t="shared" si="11"/>
        <v>THACKERY ( RAJ )</v>
      </c>
    </row>
    <row r="363" spans="1:16" x14ac:dyDescent="0.2">
      <c r="A363" t="str">
        <f t="shared" si="10"/>
        <v>CUST-362</v>
      </c>
      <c r="B363" s="6" t="s">
        <v>118</v>
      </c>
      <c r="P363" s="4" t="str">
        <f t="shared" si="11"/>
        <v>TIUSHAL CHAWDA</v>
      </c>
    </row>
    <row r="364" spans="1:16" x14ac:dyDescent="0.2">
      <c r="A364" t="str">
        <f t="shared" ref="A364:A427" si="12">"CUST-"&amp;TEXT(ROW()-1,"000")</f>
        <v>CUST-363</v>
      </c>
      <c r="B364" s="6" t="s">
        <v>36</v>
      </c>
      <c r="P364" s="4" t="str">
        <f t="shared" ref="P364:P427" si="13">UPPER(TRIM(B364))</f>
        <v>TOYOTA</v>
      </c>
    </row>
    <row r="365" spans="1:16" x14ac:dyDescent="0.2">
      <c r="A365" t="str">
        <f t="shared" si="12"/>
        <v>CUST-364</v>
      </c>
      <c r="B365" s="6" t="s">
        <v>458</v>
      </c>
      <c r="P365" s="4" t="str">
        <f t="shared" si="13"/>
        <v>TUKUM</v>
      </c>
    </row>
    <row r="366" spans="1:16" x14ac:dyDescent="0.2">
      <c r="A366" t="str">
        <f t="shared" si="12"/>
        <v>CUST-365</v>
      </c>
      <c r="B366" s="9" t="s">
        <v>459</v>
      </c>
      <c r="P366" s="4" t="str">
        <f t="shared" si="13"/>
        <v>TURANKAR ( RAJ )</v>
      </c>
    </row>
    <row r="367" spans="1:16" x14ac:dyDescent="0.2">
      <c r="A367" t="str">
        <f t="shared" si="12"/>
        <v>CUST-366</v>
      </c>
      <c r="B367" s="9" t="s">
        <v>460</v>
      </c>
      <c r="P367" s="4" t="str">
        <f t="shared" si="13"/>
        <v>TYRE WALA</v>
      </c>
    </row>
    <row r="368" spans="1:16" x14ac:dyDescent="0.2">
      <c r="A368" t="str">
        <f t="shared" si="12"/>
        <v>CUST-367</v>
      </c>
      <c r="B368" s="6" t="s">
        <v>461</v>
      </c>
      <c r="P368" s="4" t="str">
        <f t="shared" si="13"/>
        <v>UJJAWALA MARKETING</v>
      </c>
    </row>
    <row r="369" spans="1:16" x14ac:dyDescent="0.2">
      <c r="A369" t="str">
        <f t="shared" si="12"/>
        <v>CUST-368</v>
      </c>
      <c r="B369" s="6" t="s">
        <v>462</v>
      </c>
      <c r="P369" s="4" t="str">
        <f t="shared" si="13"/>
        <v>UNKNOWN ( RAJ )</v>
      </c>
    </row>
    <row r="370" spans="1:16" x14ac:dyDescent="0.2">
      <c r="A370" t="str">
        <f t="shared" si="12"/>
        <v>CUST-369</v>
      </c>
      <c r="B370" s="6" t="s">
        <v>37</v>
      </c>
      <c r="P370" s="4" t="str">
        <f t="shared" si="13"/>
        <v>UPADYA</v>
      </c>
    </row>
    <row r="371" spans="1:16" x14ac:dyDescent="0.2">
      <c r="A371" t="str">
        <f t="shared" si="12"/>
        <v>CUST-370</v>
      </c>
      <c r="B371" s="6" t="s">
        <v>463</v>
      </c>
      <c r="P371" s="4" t="str">
        <f t="shared" si="13"/>
        <v>VAMAN SHENDE</v>
      </c>
    </row>
    <row r="372" spans="1:16" x14ac:dyDescent="0.2">
      <c r="A372" t="str">
        <f t="shared" si="12"/>
        <v>CUST-371</v>
      </c>
      <c r="B372" s="6" t="s">
        <v>213</v>
      </c>
      <c r="P372" s="4" t="str">
        <f t="shared" si="13"/>
        <v>VANSH NIKOSE</v>
      </c>
    </row>
    <row r="373" spans="1:16" x14ac:dyDescent="0.2">
      <c r="A373" t="str">
        <f t="shared" si="12"/>
        <v>CUST-372</v>
      </c>
      <c r="B373" s="9" t="s">
        <v>464</v>
      </c>
      <c r="P373" s="4" t="str">
        <f t="shared" si="13"/>
        <v>VASANDA</v>
      </c>
    </row>
    <row r="374" spans="1:16" x14ac:dyDescent="0.2">
      <c r="A374" t="str">
        <f t="shared" si="12"/>
        <v>CUST-373</v>
      </c>
      <c r="B374" s="9" t="s">
        <v>465</v>
      </c>
      <c r="P374" s="4" t="str">
        <f t="shared" si="13"/>
        <v>VEDANT WARGANE</v>
      </c>
    </row>
    <row r="375" spans="1:16" x14ac:dyDescent="0.2">
      <c r="A375" t="str">
        <f t="shared" si="12"/>
        <v>CUST-374</v>
      </c>
      <c r="B375" s="6" t="s">
        <v>152</v>
      </c>
      <c r="P375" s="4" t="str">
        <f t="shared" si="13"/>
        <v>VICKY ( PADOLI SARPANCH )</v>
      </c>
    </row>
    <row r="376" spans="1:16" x14ac:dyDescent="0.2">
      <c r="A376" t="str">
        <f t="shared" si="12"/>
        <v>CUST-375</v>
      </c>
      <c r="B376" s="6" t="s">
        <v>466</v>
      </c>
      <c r="P376" s="4" t="str">
        <f t="shared" si="13"/>
        <v>VIJAYENDRA SELOKAR</v>
      </c>
    </row>
    <row r="377" spans="1:16" x14ac:dyDescent="0.2">
      <c r="A377" t="str">
        <f t="shared" si="12"/>
        <v>CUST-376</v>
      </c>
      <c r="B377" s="6" t="s">
        <v>467</v>
      </c>
      <c r="P377" s="4" t="str">
        <f t="shared" si="13"/>
        <v>VILAS TONGE</v>
      </c>
    </row>
    <row r="378" spans="1:16" x14ac:dyDescent="0.2">
      <c r="A378" t="str">
        <f t="shared" si="12"/>
        <v>CUST-377</v>
      </c>
      <c r="B378" s="9" t="s">
        <v>220</v>
      </c>
      <c r="P378" s="4" t="str">
        <f t="shared" si="13"/>
        <v>VINEET RAMTEKE</v>
      </c>
    </row>
    <row r="379" spans="1:16" x14ac:dyDescent="0.2">
      <c r="A379" t="str">
        <f t="shared" si="12"/>
        <v>CUST-378</v>
      </c>
      <c r="B379" s="9" t="s">
        <v>468</v>
      </c>
      <c r="P379" s="4" t="str">
        <f t="shared" si="13"/>
        <v>VISHAL CHAWARE</v>
      </c>
    </row>
    <row r="380" spans="1:16" x14ac:dyDescent="0.2">
      <c r="A380" t="str">
        <f t="shared" si="12"/>
        <v>CUST-379</v>
      </c>
      <c r="B380" s="6" t="s">
        <v>469</v>
      </c>
      <c r="P380" s="4" t="str">
        <f t="shared" si="13"/>
        <v>VISHAL PATIL</v>
      </c>
    </row>
    <row r="381" spans="1:16" x14ac:dyDescent="0.2">
      <c r="A381" t="str">
        <f t="shared" si="12"/>
        <v>CUST-380</v>
      </c>
      <c r="B381" s="6" t="s">
        <v>38</v>
      </c>
      <c r="P381" s="4" t="str">
        <f t="shared" si="13"/>
        <v>VISHAL PRASAD</v>
      </c>
    </row>
    <row r="382" spans="1:16" x14ac:dyDescent="0.2">
      <c r="A382" t="str">
        <f t="shared" si="12"/>
        <v>CUST-381</v>
      </c>
      <c r="B382" s="6" t="s">
        <v>470</v>
      </c>
      <c r="P382" s="4" t="str">
        <f t="shared" si="13"/>
        <v>VISHAL PRASAD ( VINOD SIDE )</v>
      </c>
    </row>
    <row r="383" spans="1:16" x14ac:dyDescent="0.2">
      <c r="A383" t="str">
        <f t="shared" si="12"/>
        <v>CUST-382</v>
      </c>
      <c r="B383" s="6" t="s">
        <v>39</v>
      </c>
      <c r="P383" s="4" t="str">
        <f t="shared" si="13"/>
        <v>VISHAL SINGH</v>
      </c>
    </row>
    <row r="384" spans="1:16" x14ac:dyDescent="0.2">
      <c r="A384" t="str">
        <f t="shared" si="12"/>
        <v>CUST-383</v>
      </c>
      <c r="B384" s="6" t="s">
        <v>173</v>
      </c>
      <c r="P384" s="4" t="str">
        <f t="shared" si="13"/>
        <v>VISHWAKARMA</v>
      </c>
    </row>
    <row r="385" spans="1:16" x14ac:dyDescent="0.2">
      <c r="A385" t="str">
        <f t="shared" si="12"/>
        <v>CUST-384</v>
      </c>
      <c r="B385" s="6" t="s">
        <v>471</v>
      </c>
      <c r="P385" s="4" t="str">
        <f t="shared" si="13"/>
        <v>WANDHARE</v>
      </c>
    </row>
    <row r="386" spans="1:16" x14ac:dyDescent="0.2">
      <c r="A386" t="str">
        <f t="shared" si="12"/>
        <v>CUST-385</v>
      </c>
      <c r="B386" s="11" t="s">
        <v>260</v>
      </c>
      <c r="P386" s="4" t="str">
        <f t="shared" si="13"/>
        <v>WASHING CENTER</v>
      </c>
    </row>
    <row r="387" spans="1:16" x14ac:dyDescent="0.2">
      <c r="A387" t="str">
        <f t="shared" si="12"/>
        <v>CUST-386</v>
      </c>
      <c r="B387" s="7" t="s">
        <v>40</v>
      </c>
      <c r="P387" s="4" t="str">
        <f t="shared" si="13"/>
        <v>YADAV</v>
      </c>
    </row>
    <row r="388" spans="1:16" x14ac:dyDescent="0.2">
      <c r="A388" t="str">
        <f t="shared" si="12"/>
        <v>CUST-387</v>
      </c>
      <c r="B388" s="7" t="s">
        <v>126</v>
      </c>
      <c r="P388" s="4" t="str">
        <f t="shared" si="13"/>
        <v>YASH BHAIYA</v>
      </c>
    </row>
    <row r="389" spans="1:16" x14ac:dyDescent="0.2">
      <c r="A389" t="str">
        <f t="shared" si="12"/>
        <v>CUST-388</v>
      </c>
      <c r="B389" s="7" t="s">
        <v>184</v>
      </c>
      <c r="P389" s="4" t="str">
        <f t="shared" si="13"/>
        <v>YASH THIPE</v>
      </c>
    </row>
    <row r="390" spans="1:16" x14ac:dyDescent="0.2">
      <c r="A390" t="str">
        <f t="shared" si="12"/>
        <v>CUST-389</v>
      </c>
      <c r="B390" s="9" t="s">
        <v>472</v>
      </c>
      <c r="P390" s="4" t="str">
        <f t="shared" si="13"/>
        <v>YERGUDE</v>
      </c>
    </row>
    <row r="391" spans="1:16" x14ac:dyDescent="0.2">
      <c r="A391" t="str">
        <f t="shared" si="12"/>
        <v>CUST-390</v>
      </c>
      <c r="B391" s="12" t="s">
        <v>244</v>
      </c>
      <c r="P391" s="4" t="str">
        <f t="shared" si="13"/>
        <v>YETE</v>
      </c>
    </row>
    <row r="392" spans="1:16" x14ac:dyDescent="0.2">
      <c r="A392" t="str">
        <f t="shared" si="12"/>
        <v>CUST-391</v>
      </c>
      <c r="B392" s="7" t="s">
        <v>477</v>
      </c>
      <c r="P392" s="4" t="str">
        <f t="shared" si="13"/>
        <v>YOGESH BHANDARE</v>
      </c>
    </row>
    <row r="393" spans="1:16" x14ac:dyDescent="0.2">
      <c r="A393" t="str">
        <f t="shared" si="12"/>
        <v>CUST-392</v>
      </c>
      <c r="B393" s="7" t="s">
        <v>41</v>
      </c>
      <c r="P393" s="4" t="str">
        <f t="shared" si="13"/>
        <v>YUVRAJ THAKUR</v>
      </c>
    </row>
    <row r="394" spans="1:16" x14ac:dyDescent="0.2">
      <c r="A394" t="str">
        <f t="shared" si="12"/>
        <v>CUST-393</v>
      </c>
      <c r="B394" s="12" t="s">
        <v>247</v>
      </c>
      <c r="P394" s="4" t="str">
        <f t="shared" si="13"/>
        <v>ZAMARE</v>
      </c>
    </row>
    <row r="395" spans="1:16" x14ac:dyDescent="0.2">
      <c r="A395" t="str">
        <f t="shared" si="12"/>
        <v>CUST-394</v>
      </c>
      <c r="B395" s="5" t="s">
        <v>474</v>
      </c>
      <c r="P395" s="4" t="str">
        <f t="shared" si="13"/>
        <v>N/A</v>
      </c>
    </row>
    <row r="396" spans="1:16" x14ac:dyDescent="0.2">
      <c r="A396" t="str">
        <f t="shared" si="12"/>
        <v>CUST-395</v>
      </c>
      <c r="B396" s="13" t="s">
        <v>479</v>
      </c>
      <c r="P396" s="4" t="str">
        <f t="shared" si="13"/>
        <v>ANKUSH TOPASE</v>
      </c>
    </row>
    <row r="397" spans="1:16" x14ac:dyDescent="0.2">
      <c r="A397" t="str">
        <f t="shared" si="12"/>
        <v>CUST-396</v>
      </c>
      <c r="B397" s="13" t="s">
        <v>480</v>
      </c>
      <c r="P397" s="4" t="str">
        <f t="shared" si="13"/>
        <v>ANURAJ ( GOLU )</v>
      </c>
    </row>
    <row r="398" spans="1:16" x14ac:dyDescent="0.2">
      <c r="A398" t="str">
        <f t="shared" si="12"/>
        <v>CUST-397</v>
      </c>
      <c r="B398" s="11" t="s">
        <v>481</v>
      </c>
      <c r="P398" s="4" t="str">
        <f t="shared" si="13"/>
        <v>ASHISH NAGPURE</v>
      </c>
    </row>
    <row r="399" spans="1:16" x14ac:dyDescent="0.2">
      <c r="A399" t="str">
        <f t="shared" si="12"/>
        <v>CUST-398</v>
      </c>
      <c r="B399" s="13" t="s">
        <v>482</v>
      </c>
      <c r="P399" s="4" t="str">
        <f t="shared" si="13"/>
        <v>ATUL AATRAM</v>
      </c>
    </row>
    <row r="400" spans="1:16" x14ac:dyDescent="0.2">
      <c r="A400" t="str">
        <f t="shared" si="12"/>
        <v>CUST-399</v>
      </c>
      <c r="B400" s="13" t="s">
        <v>483</v>
      </c>
      <c r="P400" s="4" t="str">
        <f t="shared" si="13"/>
        <v>AUPADHYA</v>
      </c>
    </row>
    <row r="401" spans="1:16" x14ac:dyDescent="0.2">
      <c r="A401" t="str">
        <f t="shared" si="12"/>
        <v>CUST-400</v>
      </c>
      <c r="B401" s="11" t="s">
        <v>484</v>
      </c>
      <c r="P401" s="4" t="str">
        <f t="shared" si="13"/>
        <v>BABLU BHAIYA</v>
      </c>
    </row>
    <row r="402" spans="1:16" x14ac:dyDescent="0.2">
      <c r="A402" t="str">
        <f t="shared" si="12"/>
        <v>CUST-401</v>
      </c>
      <c r="B402" s="13" t="s">
        <v>485</v>
      </c>
      <c r="P402" s="4" t="str">
        <f t="shared" si="13"/>
        <v>BAWANE</v>
      </c>
    </row>
    <row r="403" spans="1:16" x14ac:dyDescent="0.2">
      <c r="A403" t="str">
        <f t="shared" si="12"/>
        <v>CUST-402</v>
      </c>
      <c r="B403" s="13" t="s">
        <v>486</v>
      </c>
      <c r="P403" s="4" t="str">
        <f t="shared" si="13"/>
        <v>BOBBY BHAIYA</v>
      </c>
    </row>
    <row r="404" spans="1:16" x14ac:dyDescent="0.2">
      <c r="A404" t="str">
        <f t="shared" si="12"/>
        <v>CUST-403</v>
      </c>
      <c r="B404" s="13" t="s">
        <v>487</v>
      </c>
      <c r="P404" s="4" t="str">
        <f t="shared" si="13"/>
        <v>FAIZAN BHAIYA</v>
      </c>
    </row>
    <row r="405" spans="1:16" x14ac:dyDescent="0.2">
      <c r="A405" t="str">
        <f t="shared" si="12"/>
        <v>CUST-404</v>
      </c>
      <c r="B405" s="13" t="s">
        <v>488</v>
      </c>
      <c r="P405" s="4" t="str">
        <f t="shared" si="13"/>
        <v>FATEING ( MAMAJI )</v>
      </c>
    </row>
    <row r="406" spans="1:16" x14ac:dyDescent="0.2">
      <c r="A406" t="str">
        <f t="shared" si="12"/>
        <v>CUST-405</v>
      </c>
      <c r="B406" s="11" t="s">
        <v>489</v>
      </c>
      <c r="P406" s="4" t="str">
        <f t="shared" si="13"/>
        <v>GORKAR</v>
      </c>
    </row>
    <row r="407" spans="1:16" x14ac:dyDescent="0.2">
      <c r="A407" t="str">
        <f t="shared" si="12"/>
        <v>CUST-406</v>
      </c>
      <c r="B407" s="13" t="s">
        <v>490</v>
      </c>
      <c r="P407" s="4" t="str">
        <f t="shared" si="13"/>
        <v>GORMADE</v>
      </c>
    </row>
    <row r="408" spans="1:16" x14ac:dyDescent="0.2">
      <c r="A408" t="str">
        <f t="shared" si="12"/>
        <v>CUST-407</v>
      </c>
      <c r="B408" s="13" t="s">
        <v>491</v>
      </c>
      <c r="P408" s="4" t="str">
        <f t="shared" si="13"/>
        <v>JADISH MOREY</v>
      </c>
    </row>
    <row r="409" spans="1:16" x14ac:dyDescent="0.2">
      <c r="A409" t="str">
        <f t="shared" si="12"/>
        <v>CUST-408</v>
      </c>
      <c r="B409" s="13" t="s">
        <v>492</v>
      </c>
      <c r="P409" s="4" t="str">
        <f t="shared" si="13"/>
        <v>JAGDISH YADAV</v>
      </c>
    </row>
    <row r="410" spans="1:16" x14ac:dyDescent="0.2">
      <c r="A410" t="str">
        <f t="shared" si="12"/>
        <v>CUST-409</v>
      </c>
      <c r="B410" s="13" t="s">
        <v>493</v>
      </c>
      <c r="P410" s="4" t="str">
        <f t="shared" si="13"/>
        <v>JILTE</v>
      </c>
    </row>
    <row r="411" spans="1:16" x14ac:dyDescent="0.2">
      <c r="A411" t="str">
        <f t="shared" si="12"/>
        <v>CUST-410</v>
      </c>
      <c r="B411" s="13" t="s">
        <v>494</v>
      </c>
      <c r="P411" s="4" t="str">
        <f t="shared" si="13"/>
        <v>LALITA</v>
      </c>
    </row>
    <row r="412" spans="1:16" x14ac:dyDescent="0.2">
      <c r="A412" t="str">
        <f t="shared" si="12"/>
        <v>CUST-411</v>
      </c>
      <c r="B412" s="13" t="s">
        <v>495</v>
      </c>
      <c r="P412" s="4" t="str">
        <f t="shared" si="13"/>
        <v>LALITA SANGARTI</v>
      </c>
    </row>
    <row r="413" spans="1:16" x14ac:dyDescent="0.2">
      <c r="A413" t="str">
        <f t="shared" si="12"/>
        <v>CUST-412</v>
      </c>
      <c r="B413" s="11" t="s">
        <v>496</v>
      </c>
      <c r="P413" s="4" t="str">
        <f t="shared" si="13"/>
        <v>LANCHU</v>
      </c>
    </row>
    <row r="414" spans="1:16" x14ac:dyDescent="0.2">
      <c r="A414" t="str">
        <f t="shared" si="12"/>
        <v>CUST-413</v>
      </c>
      <c r="B414" s="13" t="s">
        <v>497</v>
      </c>
      <c r="P414" s="4" t="str">
        <f t="shared" si="13"/>
        <v>MANTHAN</v>
      </c>
    </row>
    <row r="415" spans="1:16" x14ac:dyDescent="0.2">
      <c r="A415" t="str">
        <f t="shared" si="12"/>
        <v>CUST-414</v>
      </c>
      <c r="B415" s="13" t="s">
        <v>498</v>
      </c>
      <c r="P415" s="4" t="str">
        <f t="shared" si="13"/>
        <v>MAROTI GOTKAR</v>
      </c>
    </row>
    <row r="416" spans="1:16" x14ac:dyDescent="0.2">
      <c r="A416" t="str">
        <f t="shared" si="12"/>
        <v>CUST-415</v>
      </c>
      <c r="B416" s="11" t="s">
        <v>499</v>
      </c>
      <c r="P416" s="4" t="str">
        <f t="shared" si="13"/>
        <v>NACIKA KAKA</v>
      </c>
    </row>
    <row r="417" spans="1:16" x14ac:dyDescent="0.2">
      <c r="A417" t="str">
        <f t="shared" si="12"/>
        <v>CUST-416</v>
      </c>
      <c r="B417" s="13" t="s">
        <v>500</v>
      </c>
      <c r="P417" s="4" t="str">
        <f t="shared" si="13"/>
        <v>NARESH KAKA. ORDER</v>
      </c>
    </row>
    <row r="418" spans="1:16" x14ac:dyDescent="0.2">
      <c r="A418" t="str">
        <f t="shared" si="12"/>
        <v>CUST-417</v>
      </c>
      <c r="B418" s="11" t="s">
        <v>501</v>
      </c>
      <c r="P418" s="4" t="str">
        <f t="shared" si="13"/>
        <v>PANI PURI WALA</v>
      </c>
    </row>
    <row r="419" spans="1:16" x14ac:dyDescent="0.2">
      <c r="A419" t="str">
        <f t="shared" si="12"/>
        <v>CUST-418</v>
      </c>
      <c r="B419" s="13" t="s">
        <v>502</v>
      </c>
      <c r="P419" s="4" t="str">
        <f t="shared" si="13"/>
        <v>RAILWAY</v>
      </c>
    </row>
    <row r="420" spans="1:16" x14ac:dyDescent="0.2">
      <c r="A420" t="str">
        <f t="shared" si="12"/>
        <v>CUST-419</v>
      </c>
      <c r="B420" s="11" t="s">
        <v>503</v>
      </c>
      <c r="P420" s="4" t="str">
        <f t="shared" si="13"/>
        <v>RAJ PATIL</v>
      </c>
    </row>
    <row r="421" spans="1:16" x14ac:dyDescent="0.2">
      <c r="A421" t="str">
        <f t="shared" si="12"/>
        <v>CUST-420</v>
      </c>
      <c r="B421" s="13" t="s">
        <v>504</v>
      </c>
      <c r="P421" s="4" t="str">
        <f t="shared" si="13"/>
        <v>ROBBY</v>
      </c>
    </row>
    <row r="422" spans="1:16" x14ac:dyDescent="0.2">
      <c r="A422" t="str">
        <f t="shared" si="12"/>
        <v>CUST-421</v>
      </c>
      <c r="B422" s="11" t="s">
        <v>172</v>
      </c>
      <c r="P422" s="4" t="str">
        <f t="shared" si="13"/>
        <v>SANDEEP</v>
      </c>
    </row>
    <row r="423" spans="1:16" x14ac:dyDescent="0.2">
      <c r="A423" t="str">
        <f t="shared" si="12"/>
        <v>CUST-422</v>
      </c>
      <c r="B423" s="11" t="s">
        <v>505</v>
      </c>
      <c r="P423" s="4" t="str">
        <f t="shared" si="13"/>
        <v>SANGHAM PALLIWAR</v>
      </c>
    </row>
    <row r="424" spans="1:16" x14ac:dyDescent="0.2">
      <c r="A424" t="str">
        <f t="shared" si="12"/>
        <v>CUST-423</v>
      </c>
      <c r="B424" s="13" t="s">
        <v>506</v>
      </c>
      <c r="P424" s="4" t="str">
        <f t="shared" si="13"/>
        <v>SANJAY WAGADE</v>
      </c>
    </row>
    <row r="425" spans="1:16" x14ac:dyDescent="0.2">
      <c r="A425" t="str">
        <f t="shared" si="12"/>
        <v>CUST-424</v>
      </c>
      <c r="B425" s="13" t="s">
        <v>507</v>
      </c>
      <c r="P425" s="4" t="str">
        <f t="shared" si="13"/>
        <v>SARDARJI</v>
      </c>
    </row>
    <row r="426" spans="1:16" x14ac:dyDescent="0.2">
      <c r="A426" t="str">
        <f t="shared" si="12"/>
        <v>CUST-425</v>
      </c>
      <c r="B426" s="13" t="s">
        <v>508</v>
      </c>
      <c r="P426" s="4" t="str">
        <f t="shared" si="13"/>
        <v>SHESHRAO ZHILTE</v>
      </c>
    </row>
    <row r="427" spans="1:16" x14ac:dyDescent="0.2">
      <c r="A427" t="str">
        <f t="shared" si="12"/>
        <v>CUST-426</v>
      </c>
      <c r="B427" s="13" t="s">
        <v>509</v>
      </c>
      <c r="P427" s="4" t="str">
        <f t="shared" si="13"/>
        <v>SHUKLA</v>
      </c>
    </row>
    <row r="428" spans="1:16" x14ac:dyDescent="0.2">
      <c r="A428" t="str">
        <f t="shared" ref="A428:A433" si="14">"CUST-"&amp;TEXT(ROW()-1,"000")</f>
        <v>CUST-427</v>
      </c>
      <c r="B428" s="13" t="s">
        <v>510</v>
      </c>
      <c r="P428" s="4" t="str">
        <f t="shared" ref="P428:P433" si="15">UPPER(TRIM(B428))</f>
        <v>SURAJ SASRA</v>
      </c>
    </row>
    <row r="429" spans="1:16" x14ac:dyDescent="0.2">
      <c r="A429" t="str">
        <f t="shared" si="14"/>
        <v>CUST-428</v>
      </c>
      <c r="B429" s="11" t="s">
        <v>511</v>
      </c>
      <c r="P429" s="4" t="str">
        <f t="shared" si="15"/>
        <v>SURENDRA MAGAR</v>
      </c>
    </row>
    <row r="430" spans="1:16" x14ac:dyDescent="0.2">
      <c r="A430" t="str">
        <f t="shared" si="14"/>
        <v>CUST-429</v>
      </c>
      <c r="B430" s="13" t="s">
        <v>512</v>
      </c>
      <c r="P430" s="4" t="str">
        <f t="shared" si="15"/>
        <v>VISHAL</v>
      </c>
    </row>
    <row r="431" spans="1:16" x14ac:dyDescent="0.2">
      <c r="A431" t="str">
        <f t="shared" si="14"/>
        <v>CUST-430</v>
      </c>
      <c r="B431" s="13" t="s">
        <v>513</v>
      </c>
      <c r="P431" s="4" t="str">
        <f t="shared" si="15"/>
        <v>VIVEK TANKAR</v>
      </c>
    </row>
    <row r="432" spans="1:16" x14ac:dyDescent="0.2">
      <c r="A432" t="str">
        <f t="shared" si="14"/>
        <v>CUST-431</v>
      </c>
      <c r="B432" s="13" t="s">
        <v>514</v>
      </c>
      <c r="P432" s="4" t="str">
        <f t="shared" si="15"/>
        <v>RAJ KAMDI STOCK</v>
      </c>
    </row>
    <row r="433" spans="1:16" x14ac:dyDescent="0.2">
      <c r="A433" t="str">
        <f t="shared" si="14"/>
        <v>CUST-432</v>
      </c>
      <c r="B433" s="13" t="s">
        <v>520</v>
      </c>
      <c r="P433" s="4" t="str">
        <f t="shared" si="15"/>
        <v>MANOJ</v>
      </c>
    </row>
  </sheetData>
  <autoFilter ref="B1:B433" xr:uid="{D5DE3894-3107-2E4C-908E-7533AAF7BB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925C-EFCC-8C47-9E51-A1BAFCF45DC6}">
  <dimension ref="A1:B182"/>
  <sheetViews>
    <sheetView workbookViewId="0">
      <selection activeCell="F31" sqref="F31"/>
    </sheetView>
  </sheetViews>
  <sheetFormatPr baseColWidth="10" defaultRowHeight="16" x14ac:dyDescent="0.2"/>
  <cols>
    <col min="1" max="1" width="31.6640625" customWidth="1"/>
    <col min="2" max="2" width="38.6640625" customWidth="1"/>
  </cols>
  <sheetData>
    <row r="1" spans="1:2" x14ac:dyDescent="0.2">
      <c r="A1" t="s">
        <v>473</v>
      </c>
      <c r="B1" s="2" t="s">
        <v>19</v>
      </c>
    </row>
    <row r="2" spans="1:2" x14ac:dyDescent="0.2">
      <c r="A2">
        <v>0</v>
      </c>
      <c r="B2" s="2" t="s">
        <v>56</v>
      </c>
    </row>
    <row r="3" spans="1:2" x14ac:dyDescent="0.2">
      <c r="A3">
        <v>0</v>
      </c>
      <c r="B3" s="2" t="s">
        <v>36</v>
      </c>
    </row>
    <row r="4" spans="1:2" x14ac:dyDescent="0.2">
      <c r="A4" t="s">
        <v>473</v>
      </c>
      <c r="B4" s="2" t="s">
        <v>33</v>
      </c>
    </row>
    <row r="5" spans="1:2" x14ac:dyDescent="0.2">
      <c r="A5" t="s">
        <v>473</v>
      </c>
      <c r="B5" s="2" t="s">
        <v>20</v>
      </c>
    </row>
    <row r="6" spans="1:2" x14ac:dyDescent="0.2">
      <c r="A6">
        <v>0</v>
      </c>
      <c r="B6" s="2" t="s">
        <v>41</v>
      </c>
    </row>
    <row r="7" spans="1:2" x14ac:dyDescent="0.2">
      <c r="A7">
        <v>0</v>
      </c>
      <c r="B7" s="2" t="s">
        <v>50</v>
      </c>
    </row>
    <row r="8" spans="1:2" x14ac:dyDescent="0.2">
      <c r="A8">
        <v>0</v>
      </c>
      <c r="B8" s="2" t="s">
        <v>37</v>
      </c>
    </row>
    <row r="9" spans="1:2" x14ac:dyDescent="0.2">
      <c r="A9">
        <v>0</v>
      </c>
      <c r="B9" s="2" t="s">
        <v>39</v>
      </c>
    </row>
    <row r="10" spans="1:2" x14ac:dyDescent="0.2">
      <c r="A10">
        <v>0</v>
      </c>
      <c r="B10" s="2" t="s">
        <v>31</v>
      </c>
    </row>
    <row r="11" spans="1:2" x14ac:dyDescent="0.2">
      <c r="A11">
        <v>0</v>
      </c>
      <c r="B11" s="2" t="s">
        <v>31</v>
      </c>
    </row>
    <row r="12" spans="1:2" x14ac:dyDescent="0.2">
      <c r="A12">
        <v>0</v>
      </c>
      <c r="B12" s="2" t="s">
        <v>39</v>
      </c>
    </row>
    <row r="13" spans="1:2" x14ac:dyDescent="0.2">
      <c r="A13">
        <v>0</v>
      </c>
      <c r="B13" s="2" t="s">
        <v>38</v>
      </c>
    </row>
    <row r="14" spans="1:2" x14ac:dyDescent="0.2">
      <c r="A14">
        <v>0</v>
      </c>
      <c r="B14" s="2" t="s">
        <v>39</v>
      </c>
    </row>
    <row r="15" spans="1:2" x14ac:dyDescent="0.2">
      <c r="A15" t="s">
        <v>473</v>
      </c>
      <c r="B15" s="2" t="s">
        <v>21</v>
      </c>
    </row>
    <row r="16" spans="1:2" x14ac:dyDescent="0.2">
      <c r="A16">
        <v>0</v>
      </c>
      <c r="B16" s="2" t="s">
        <v>41</v>
      </c>
    </row>
    <row r="17" spans="1:2" x14ac:dyDescent="0.2">
      <c r="A17">
        <v>0</v>
      </c>
      <c r="B17" s="2" t="s">
        <v>56</v>
      </c>
    </row>
    <row r="18" spans="1:2" x14ac:dyDescent="0.2">
      <c r="A18">
        <v>0</v>
      </c>
      <c r="B18" s="2" t="s">
        <v>32</v>
      </c>
    </row>
    <row r="19" spans="1:2" x14ac:dyDescent="0.2">
      <c r="A19" t="s">
        <v>473</v>
      </c>
      <c r="B19" s="2" t="s">
        <v>24</v>
      </c>
    </row>
    <row r="20" spans="1:2" x14ac:dyDescent="0.2">
      <c r="A20">
        <v>0</v>
      </c>
      <c r="B20" s="2" t="s">
        <v>40</v>
      </c>
    </row>
    <row r="21" spans="1:2" x14ac:dyDescent="0.2">
      <c r="A21" t="s">
        <v>473</v>
      </c>
      <c r="B21" s="5" t="s">
        <v>19</v>
      </c>
    </row>
    <row r="22" spans="1:2" x14ac:dyDescent="0.2">
      <c r="A22">
        <v>0</v>
      </c>
      <c r="B22" s="5" t="s">
        <v>41</v>
      </c>
    </row>
    <row r="23" spans="1:2" x14ac:dyDescent="0.2">
      <c r="A23">
        <v>0</v>
      </c>
      <c r="B23" s="5" t="s">
        <v>103</v>
      </c>
    </row>
    <row r="24" spans="1:2" x14ac:dyDescent="0.2">
      <c r="A24">
        <v>0</v>
      </c>
      <c r="B24" s="4" t="s">
        <v>56</v>
      </c>
    </row>
    <row r="25" spans="1:2" x14ac:dyDescent="0.2">
      <c r="A25" t="s">
        <v>473</v>
      </c>
      <c r="B25" s="5" t="s">
        <v>210</v>
      </c>
    </row>
    <row r="26" spans="1:2" x14ac:dyDescent="0.2">
      <c r="A26" t="s">
        <v>473</v>
      </c>
      <c r="B26" s="5" t="s">
        <v>105</v>
      </c>
    </row>
    <row r="27" spans="1:2" x14ac:dyDescent="0.2">
      <c r="A27">
        <v>0</v>
      </c>
      <c r="B27" s="5" t="s">
        <v>36</v>
      </c>
    </row>
    <row r="28" spans="1:2" x14ac:dyDescent="0.2">
      <c r="A28" t="s">
        <v>473</v>
      </c>
      <c r="B28" s="5" t="s">
        <v>201</v>
      </c>
    </row>
    <row r="29" spans="1:2" x14ac:dyDescent="0.2">
      <c r="A29" t="s">
        <v>473</v>
      </c>
      <c r="B29" s="5" t="s">
        <v>196</v>
      </c>
    </row>
    <row r="30" spans="1:2" x14ac:dyDescent="0.2">
      <c r="A30">
        <v>0</v>
      </c>
      <c r="B30" s="5" t="s">
        <v>103</v>
      </c>
    </row>
    <row r="31" spans="1:2" x14ac:dyDescent="0.2">
      <c r="A31">
        <v>0</v>
      </c>
      <c r="B31" s="4" t="s">
        <v>56</v>
      </c>
    </row>
    <row r="32" spans="1:2" x14ac:dyDescent="0.2">
      <c r="A32">
        <v>0</v>
      </c>
      <c r="B32" s="7" t="s">
        <v>109</v>
      </c>
    </row>
    <row r="33" spans="1:2" x14ac:dyDescent="0.2">
      <c r="A33">
        <v>0</v>
      </c>
      <c r="B33" s="7" t="s">
        <v>113</v>
      </c>
    </row>
    <row r="34" spans="1:2" x14ac:dyDescent="0.2">
      <c r="A34" t="s">
        <v>473</v>
      </c>
      <c r="B34" s="7" t="s">
        <v>114</v>
      </c>
    </row>
    <row r="35" spans="1:2" x14ac:dyDescent="0.2">
      <c r="A35">
        <v>0</v>
      </c>
      <c r="B35" s="5" t="s">
        <v>211</v>
      </c>
    </row>
    <row r="36" spans="1:2" x14ac:dyDescent="0.2">
      <c r="A36" t="s">
        <v>473</v>
      </c>
      <c r="B36" s="7" t="s">
        <v>115</v>
      </c>
    </row>
    <row r="37" spans="1:2" x14ac:dyDescent="0.2">
      <c r="A37">
        <v>0</v>
      </c>
      <c r="B37" s="5" t="s">
        <v>116</v>
      </c>
    </row>
    <row r="38" spans="1:2" x14ac:dyDescent="0.2">
      <c r="A38">
        <v>0</v>
      </c>
      <c r="B38" s="5" t="s">
        <v>39</v>
      </c>
    </row>
    <row r="39" spans="1:2" x14ac:dyDescent="0.2">
      <c r="A39">
        <v>0</v>
      </c>
      <c r="B39" s="5" t="s">
        <v>39</v>
      </c>
    </row>
    <row r="40" spans="1:2" x14ac:dyDescent="0.2">
      <c r="A40">
        <v>0</v>
      </c>
      <c r="B40" s="5" t="s">
        <v>118</v>
      </c>
    </row>
    <row r="41" spans="1:2" x14ac:dyDescent="0.2">
      <c r="A41">
        <v>0</v>
      </c>
      <c r="B41" s="5" t="s">
        <v>116</v>
      </c>
    </row>
    <row r="42" spans="1:2" x14ac:dyDescent="0.2">
      <c r="A42">
        <v>0</v>
      </c>
      <c r="B42" s="4" t="s">
        <v>56</v>
      </c>
    </row>
    <row r="43" spans="1:2" x14ac:dyDescent="0.2">
      <c r="A43">
        <v>0</v>
      </c>
      <c r="B43" s="5" t="s">
        <v>38</v>
      </c>
    </row>
    <row r="44" spans="1:2" x14ac:dyDescent="0.2">
      <c r="A44">
        <v>0</v>
      </c>
      <c r="B44" s="4" t="s">
        <v>56</v>
      </c>
    </row>
    <row r="45" spans="1:2" x14ac:dyDescent="0.2">
      <c r="A45">
        <v>0</v>
      </c>
      <c r="B45" s="5" t="s">
        <v>119</v>
      </c>
    </row>
    <row r="46" spans="1:2" x14ac:dyDescent="0.2">
      <c r="A46">
        <v>0</v>
      </c>
      <c r="B46" s="5" t="s">
        <v>116</v>
      </c>
    </row>
    <row r="47" spans="1:2" x14ac:dyDescent="0.2">
      <c r="A47" t="s">
        <v>473</v>
      </c>
      <c r="B47" s="5" t="s">
        <v>19</v>
      </c>
    </row>
    <row r="48" spans="1:2" x14ac:dyDescent="0.2">
      <c r="A48">
        <v>0</v>
      </c>
      <c r="B48" s="5" t="s">
        <v>38</v>
      </c>
    </row>
    <row r="49" spans="1:2" x14ac:dyDescent="0.2">
      <c r="A49">
        <v>0</v>
      </c>
      <c r="B49" s="5" t="s">
        <v>121</v>
      </c>
    </row>
    <row r="50" spans="1:2" x14ac:dyDescent="0.2">
      <c r="A50">
        <v>0</v>
      </c>
      <c r="B50" s="4" t="s">
        <v>56</v>
      </c>
    </row>
    <row r="51" spans="1:2" x14ac:dyDescent="0.2">
      <c r="A51">
        <v>0</v>
      </c>
      <c r="B51" s="4" t="s">
        <v>56</v>
      </c>
    </row>
    <row r="52" spans="1:2" x14ac:dyDescent="0.2">
      <c r="A52">
        <v>0</v>
      </c>
      <c r="B52" s="4" t="s">
        <v>56</v>
      </c>
    </row>
    <row r="53" spans="1:2" x14ac:dyDescent="0.2">
      <c r="A53">
        <v>0</v>
      </c>
      <c r="B53" s="4" t="s">
        <v>56</v>
      </c>
    </row>
    <row r="54" spans="1:2" x14ac:dyDescent="0.2">
      <c r="A54">
        <v>0</v>
      </c>
      <c r="B54" s="5" t="s">
        <v>38</v>
      </c>
    </row>
    <row r="55" spans="1:2" x14ac:dyDescent="0.2">
      <c r="A55">
        <v>0</v>
      </c>
      <c r="B55" s="5" t="s">
        <v>39</v>
      </c>
    </row>
    <row r="56" spans="1:2" x14ac:dyDescent="0.2">
      <c r="A56">
        <v>0</v>
      </c>
      <c r="B56" s="5" t="s">
        <v>126</v>
      </c>
    </row>
    <row r="57" spans="1:2" x14ac:dyDescent="0.2">
      <c r="A57" t="s">
        <v>473</v>
      </c>
      <c r="B57" s="5" t="s">
        <v>55</v>
      </c>
    </row>
    <row r="58" spans="1:2" x14ac:dyDescent="0.2">
      <c r="A58">
        <v>0</v>
      </c>
      <c r="B58" s="4" t="s">
        <v>56</v>
      </c>
    </row>
    <row r="59" spans="1:2" x14ac:dyDescent="0.2">
      <c r="A59" t="s">
        <v>473</v>
      </c>
      <c r="B59" s="5" t="s">
        <v>105</v>
      </c>
    </row>
    <row r="60" spans="1:2" x14ac:dyDescent="0.2">
      <c r="A60">
        <v>0</v>
      </c>
      <c r="B60" s="5" t="s">
        <v>39</v>
      </c>
    </row>
    <row r="61" spans="1:2" x14ac:dyDescent="0.2">
      <c r="A61">
        <v>0</v>
      </c>
      <c r="B61" s="4" t="s">
        <v>56</v>
      </c>
    </row>
    <row r="62" spans="1:2" x14ac:dyDescent="0.2">
      <c r="A62" t="s">
        <v>473</v>
      </c>
      <c r="B62" s="5" t="s">
        <v>210</v>
      </c>
    </row>
    <row r="63" spans="1:2" x14ac:dyDescent="0.2">
      <c r="A63">
        <v>0</v>
      </c>
      <c r="B63" s="4" t="s">
        <v>56</v>
      </c>
    </row>
    <row r="64" spans="1:2" x14ac:dyDescent="0.2">
      <c r="A64">
        <v>0</v>
      </c>
      <c r="B64" s="5" t="s">
        <v>116</v>
      </c>
    </row>
    <row r="65" spans="1:2" x14ac:dyDescent="0.2">
      <c r="A65" t="s">
        <v>473</v>
      </c>
      <c r="B65" s="5" t="s">
        <v>55</v>
      </c>
    </row>
    <row r="66" spans="1:2" x14ac:dyDescent="0.2">
      <c r="A66">
        <v>0</v>
      </c>
      <c r="B66" s="5" t="s">
        <v>211</v>
      </c>
    </row>
    <row r="67" spans="1:2" x14ac:dyDescent="0.2">
      <c r="A67">
        <v>0</v>
      </c>
      <c r="B67" s="4" t="s">
        <v>56</v>
      </c>
    </row>
    <row r="68" spans="1:2" x14ac:dyDescent="0.2">
      <c r="A68" t="s">
        <v>473</v>
      </c>
      <c r="B68" s="5" t="s">
        <v>206</v>
      </c>
    </row>
    <row r="69" spans="1:2" x14ac:dyDescent="0.2">
      <c r="A69">
        <v>0</v>
      </c>
      <c r="B69" s="5" t="s">
        <v>156</v>
      </c>
    </row>
    <row r="70" spans="1:2" x14ac:dyDescent="0.2">
      <c r="A70">
        <v>0</v>
      </c>
      <c r="B70" s="5" t="s">
        <v>41</v>
      </c>
    </row>
    <row r="71" spans="1:2" x14ac:dyDescent="0.2">
      <c r="A71">
        <v>0</v>
      </c>
      <c r="B71" s="5" t="s">
        <v>39</v>
      </c>
    </row>
    <row r="72" spans="1:2" x14ac:dyDescent="0.2">
      <c r="A72" t="s">
        <v>473</v>
      </c>
      <c r="B72" s="5" t="s">
        <v>19</v>
      </c>
    </row>
    <row r="73" spans="1:2" x14ac:dyDescent="0.2">
      <c r="A73">
        <v>0</v>
      </c>
      <c r="B73" s="5" t="s">
        <v>133</v>
      </c>
    </row>
    <row r="74" spans="1:2" x14ac:dyDescent="0.2">
      <c r="A74">
        <v>0</v>
      </c>
      <c r="B74" s="5" t="s">
        <v>116</v>
      </c>
    </row>
    <row r="75" spans="1:2" x14ac:dyDescent="0.2">
      <c r="A75">
        <v>0</v>
      </c>
      <c r="B75" s="4" t="s">
        <v>56</v>
      </c>
    </row>
    <row r="76" spans="1:2" x14ac:dyDescent="0.2">
      <c r="A76">
        <v>0</v>
      </c>
      <c r="B76" s="5" t="s">
        <v>39</v>
      </c>
    </row>
    <row r="77" spans="1:2" x14ac:dyDescent="0.2">
      <c r="A77" t="s">
        <v>473</v>
      </c>
      <c r="B77" s="5" t="s">
        <v>210</v>
      </c>
    </row>
    <row r="78" spans="1:2" x14ac:dyDescent="0.2">
      <c r="A78">
        <v>0</v>
      </c>
      <c r="B78" s="4" t="s">
        <v>56</v>
      </c>
    </row>
    <row r="79" spans="1:2" x14ac:dyDescent="0.2">
      <c r="A79">
        <v>0</v>
      </c>
      <c r="B79" s="4" t="s">
        <v>56</v>
      </c>
    </row>
    <row r="80" spans="1:2" x14ac:dyDescent="0.2">
      <c r="A80">
        <v>0</v>
      </c>
      <c r="B80" s="5" t="s">
        <v>38</v>
      </c>
    </row>
    <row r="81" spans="1:2" x14ac:dyDescent="0.2">
      <c r="A81">
        <v>0</v>
      </c>
      <c r="B81" s="5" t="s">
        <v>133</v>
      </c>
    </row>
    <row r="82" spans="1:2" x14ac:dyDescent="0.2">
      <c r="A82">
        <v>0</v>
      </c>
      <c r="B82" s="5" t="s">
        <v>116</v>
      </c>
    </row>
    <row r="83" spans="1:2" x14ac:dyDescent="0.2">
      <c r="A83" t="s">
        <v>473</v>
      </c>
      <c r="B83" s="5" t="s">
        <v>196</v>
      </c>
    </row>
    <row r="84" spans="1:2" x14ac:dyDescent="0.2">
      <c r="A84" t="s">
        <v>473</v>
      </c>
      <c r="B84" s="5" t="s">
        <v>196</v>
      </c>
    </row>
    <row r="85" spans="1:2" x14ac:dyDescent="0.2">
      <c r="A85" t="s">
        <v>473</v>
      </c>
      <c r="B85" s="5" t="s">
        <v>196</v>
      </c>
    </row>
    <row r="86" spans="1:2" x14ac:dyDescent="0.2">
      <c r="A86">
        <v>0</v>
      </c>
      <c r="B86" s="4" t="s">
        <v>56</v>
      </c>
    </row>
    <row r="87" spans="1:2" x14ac:dyDescent="0.2">
      <c r="A87">
        <v>0</v>
      </c>
      <c r="B87" s="4" t="s">
        <v>56</v>
      </c>
    </row>
    <row r="88" spans="1:2" x14ac:dyDescent="0.2">
      <c r="A88" t="s">
        <v>473</v>
      </c>
      <c r="B88" s="5" t="s">
        <v>196</v>
      </c>
    </row>
    <row r="89" spans="1:2" x14ac:dyDescent="0.2">
      <c r="A89">
        <v>0</v>
      </c>
      <c r="B89" s="5" t="s">
        <v>41</v>
      </c>
    </row>
    <row r="90" spans="1:2" x14ac:dyDescent="0.2">
      <c r="A90" t="s">
        <v>473</v>
      </c>
      <c r="B90" s="5" t="s">
        <v>206</v>
      </c>
    </row>
    <row r="91" spans="1:2" x14ac:dyDescent="0.2">
      <c r="A91" t="s">
        <v>473</v>
      </c>
      <c r="B91" s="5" t="s">
        <v>148</v>
      </c>
    </row>
    <row r="92" spans="1:2" x14ac:dyDescent="0.2">
      <c r="A92" t="s">
        <v>473</v>
      </c>
      <c r="B92" s="5" t="s">
        <v>140</v>
      </c>
    </row>
    <row r="93" spans="1:2" x14ac:dyDescent="0.2">
      <c r="A93">
        <v>0</v>
      </c>
      <c r="B93" s="4" t="s">
        <v>56</v>
      </c>
    </row>
    <row r="94" spans="1:2" x14ac:dyDescent="0.2">
      <c r="A94">
        <v>0</v>
      </c>
      <c r="B94" s="5" t="s">
        <v>39</v>
      </c>
    </row>
    <row r="95" spans="1:2" x14ac:dyDescent="0.2">
      <c r="A95" t="s">
        <v>473</v>
      </c>
      <c r="B95" s="5" t="s">
        <v>20</v>
      </c>
    </row>
    <row r="96" spans="1:2" x14ac:dyDescent="0.2">
      <c r="A96">
        <v>0</v>
      </c>
      <c r="B96" s="4" t="s">
        <v>56</v>
      </c>
    </row>
    <row r="97" spans="1:2" x14ac:dyDescent="0.2">
      <c r="A97">
        <v>0</v>
      </c>
      <c r="B97" s="5" t="s">
        <v>211</v>
      </c>
    </row>
    <row r="98" spans="1:2" x14ac:dyDescent="0.2">
      <c r="A98">
        <v>0</v>
      </c>
      <c r="B98" s="4" t="s">
        <v>56</v>
      </c>
    </row>
    <row r="99" spans="1:2" x14ac:dyDescent="0.2">
      <c r="A99">
        <v>0</v>
      </c>
      <c r="B99" s="4" t="s">
        <v>56</v>
      </c>
    </row>
    <row r="100" spans="1:2" x14ac:dyDescent="0.2">
      <c r="A100" t="s">
        <v>473</v>
      </c>
      <c r="B100" s="5" t="s">
        <v>144</v>
      </c>
    </row>
    <row r="101" spans="1:2" x14ac:dyDescent="0.2">
      <c r="A101">
        <v>0</v>
      </c>
      <c r="B101" s="4" t="s">
        <v>56</v>
      </c>
    </row>
    <row r="102" spans="1:2" x14ac:dyDescent="0.2">
      <c r="A102">
        <v>0</v>
      </c>
      <c r="B102" s="4" t="s">
        <v>56</v>
      </c>
    </row>
    <row r="103" spans="1:2" x14ac:dyDescent="0.2">
      <c r="A103">
        <v>0</v>
      </c>
      <c r="B103" s="4" t="s">
        <v>56</v>
      </c>
    </row>
    <row r="104" spans="1:2" x14ac:dyDescent="0.2">
      <c r="A104">
        <v>0</v>
      </c>
      <c r="B104" s="5" t="s">
        <v>39</v>
      </c>
    </row>
    <row r="105" spans="1:2" x14ac:dyDescent="0.2">
      <c r="A105">
        <v>0</v>
      </c>
      <c r="B105" s="4" t="s">
        <v>56</v>
      </c>
    </row>
    <row r="106" spans="1:2" x14ac:dyDescent="0.2">
      <c r="A106">
        <v>0</v>
      </c>
      <c r="B106" s="5" t="s">
        <v>39</v>
      </c>
    </row>
    <row r="107" spans="1:2" x14ac:dyDescent="0.2">
      <c r="A107">
        <v>0</v>
      </c>
      <c r="B107" s="5" t="s">
        <v>39</v>
      </c>
    </row>
    <row r="108" spans="1:2" x14ac:dyDescent="0.2">
      <c r="A108">
        <v>0</v>
      </c>
      <c r="B108" s="4" t="s">
        <v>56</v>
      </c>
    </row>
    <row r="109" spans="1:2" x14ac:dyDescent="0.2">
      <c r="A109">
        <v>0</v>
      </c>
      <c r="B109" s="4" t="s">
        <v>56</v>
      </c>
    </row>
    <row r="110" spans="1:2" x14ac:dyDescent="0.2">
      <c r="A110">
        <v>0</v>
      </c>
      <c r="B110" s="5" t="s">
        <v>39</v>
      </c>
    </row>
    <row r="111" spans="1:2" x14ac:dyDescent="0.2">
      <c r="A111">
        <v>0</v>
      </c>
      <c r="B111" s="4" t="s">
        <v>56</v>
      </c>
    </row>
    <row r="112" spans="1:2" x14ac:dyDescent="0.2">
      <c r="A112">
        <v>0</v>
      </c>
      <c r="B112" s="4" t="s">
        <v>56</v>
      </c>
    </row>
    <row r="113" spans="1:2" x14ac:dyDescent="0.2">
      <c r="A113">
        <v>0</v>
      </c>
      <c r="B113" s="4" t="s">
        <v>56</v>
      </c>
    </row>
    <row r="114" spans="1:2" x14ac:dyDescent="0.2">
      <c r="A114" t="s">
        <v>473</v>
      </c>
      <c r="B114" s="5" t="s">
        <v>203</v>
      </c>
    </row>
    <row r="115" spans="1:2" x14ac:dyDescent="0.2">
      <c r="A115">
        <v>0</v>
      </c>
      <c r="B115" s="5" t="s">
        <v>39</v>
      </c>
    </row>
    <row r="116" spans="1:2" x14ac:dyDescent="0.2">
      <c r="A116">
        <v>0</v>
      </c>
      <c r="B116" s="5" t="s">
        <v>116</v>
      </c>
    </row>
    <row r="117" spans="1:2" x14ac:dyDescent="0.2">
      <c r="A117" t="s">
        <v>473</v>
      </c>
      <c r="B117" s="5" t="s">
        <v>148</v>
      </c>
    </row>
    <row r="118" spans="1:2" x14ac:dyDescent="0.2">
      <c r="A118">
        <v>0</v>
      </c>
      <c r="B118" s="5" t="s">
        <v>32</v>
      </c>
    </row>
    <row r="119" spans="1:2" x14ac:dyDescent="0.2">
      <c r="A119" t="s">
        <v>473</v>
      </c>
      <c r="B119" s="5" t="s">
        <v>196</v>
      </c>
    </row>
    <row r="120" spans="1:2" x14ac:dyDescent="0.2">
      <c r="A120">
        <v>0</v>
      </c>
      <c r="B120" s="5" t="s">
        <v>151</v>
      </c>
    </row>
    <row r="121" spans="1:2" x14ac:dyDescent="0.2">
      <c r="A121">
        <v>0</v>
      </c>
      <c r="B121" s="5" t="s">
        <v>32</v>
      </c>
    </row>
    <row r="122" spans="1:2" x14ac:dyDescent="0.2">
      <c r="A122">
        <v>0</v>
      </c>
      <c r="B122" s="5" t="s">
        <v>152</v>
      </c>
    </row>
    <row r="123" spans="1:2" x14ac:dyDescent="0.2">
      <c r="A123">
        <v>0</v>
      </c>
      <c r="B123" s="4" t="s">
        <v>56</v>
      </c>
    </row>
    <row r="124" spans="1:2" x14ac:dyDescent="0.2">
      <c r="A124">
        <v>0</v>
      </c>
      <c r="B124" s="5" t="s">
        <v>152</v>
      </c>
    </row>
    <row r="125" spans="1:2" x14ac:dyDescent="0.2">
      <c r="A125">
        <v>0</v>
      </c>
      <c r="B125" s="5" t="s">
        <v>152</v>
      </c>
    </row>
    <row r="126" spans="1:2" x14ac:dyDescent="0.2">
      <c r="A126" t="s">
        <v>473</v>
      </c>
      <c r="B126" s="5" t="s">
        <v>196</v>
      </c>
    </row>
    <row r="127" spans="1:2" x14ac:dyDescent="0.2">
      <c r="A127">
        <v>0</v>
      </c>
      <c r="B127" s="5" t="s">
        <v>152</v>
      </c>
    </row>
    <row r="128" spans="1:2" x14ac:dyDescent="0.2">
      <c r="A128">
        <v>0</v>
      </c>
      <c r="B128" s="5" t="s">
        <v>39</v>
      </c>
    </row>
    <row r="129" spans="1:2" x14ac:dyDescent="0.2">
      <c r="A129" t="s">
        <v>473</v>
      </c>
      <c r="B129" s="5" t="s">
        <v>196</v>
      </c>
    </row>
    <row r="130" spans="1:2" x14ac:dyDescent="0.2">
      <c r="A130">
        <v>0</v>
      </c>
      <c r="B130" s="5" t="s">
        <v>156</v>
      </c>
    </row>
    <row r="131" spans="1:2" x14ac:dyDescent="0.2">
      <c r="A131" t="s">
        <v>473</v>
      </c>
      <c r="B131" s="5" t="s">
        <v>157</v>
      </c>
    </row>
    <row r="132" spans="1:2" x14ac:dyDescent="0.2">
      <c r="A132">
        <v>0</v>
      </c>
      <c r="B132" s="5" t="s">
        <v>39</v>
      </c>
    </row>
    <row r="133" spans="1:2" x14ac:dyDescent="0.2">
      <c r="A133">
        <v>0</v>
      </c>
      <c r="B133" s="5" t="s">
        <v>116</v>
      </c>
    </row>
    <row r="134" spans="1:2" x14ac:dyDescent="0.2">
      <c r="A134" t="s">
        <v>473</v>
      </c>
      <c r="B134" s="5" t="s">
        <v>205</v>
      </c>
    </row>
    <row r="135" spans="1:2" x14ac:dyDescent="0.2">
      <c r="A135">
        <v>0</v>
      </c>
      <c r="B135" s="5" t="s">
        <v>116</v>
      </c>
    </row>
    <row r="136" spans="1:2" x14ac:dyDescent="0.2">
      <c r="A136">
        <v>0</v>
      </c>
      <c r="B136" s="4" t="s">
        <v>56</v>
      </c>
    </row>
    <row r="137" spans="1:2" x14ac:dyDescent="0.2">
      <c r="A137">
        <v>0</v>
      </c>
      <c r="B137" s="5" t="s">
        <v>116</v>
      </c>
    </row>
    <row r="138" spans="1:2" x14ac:dyDescent="0.2">
      <c r="A138">
        <v>0</v>
      </c>
      <c r="B138" s="4" t="s">
        <v>56</v>
      </c>
    </row>
    <row r="139" spans="1:2" x14ac:dyDescent="0.2">
      <c r="A139">
        <v>0</v>
      </c>
      <c r="B139" s="4" t="s">
        <v>56</v>
      </c>
    </row>
    <row r="140" spans="1:2" x14ac:dyDescent="0.2">
      <c r="A140">
        <v>0</v>
      </c>
      <c r="B140" s="5" t="s">
        <v>39</v>
      </c>
    </row>
    <row r="141" spans="1:2" x14ac:dyDescent="0.2">
      <c r="A141">
        <v>0</v>
      </c>
      <c r="B141" s="5" t="s">
        <v>39</v>
      </c>
    </row>
    <row r="142" spans="1:2" x14ac:dyDescent="0.2">
      <c r="A142">
        <v>0</v>
      </c>
      <c r="B142" s="5" t="s">
        <v>168</v>
      </c>
    </row>
    <row r="143" spans="1:2" x14ac:dyDescent="0.2">
      <c r="A143">
        <v>0</v>
      </c>
      <c r="B143" s="4" t="s">
        <v>56</v>
      </c>
    </row>
    <row r="144" spans="1:2" x14ac:dyDescent="0.2">
      <c r="A144">
        <v>0</v>
      </c>
      <c r="B144" s="5" t="s">
        <v>168</v>
      </c>
    </row>
    <row r="145" spans="1:2" x14ac:dyDescent="0.2">
      <c r="A145">
        <v>0</v>
      </c>
      <c r="B145" s="5" t="s">
        <v>168</v>
      </c>
    </row>
    <row r="146" spans="1:2" x14ac:dyDescent="0.2">
      <c r="A146" t="s">
        <v>473</v>
      </c>
      <c r="B146" s="5" t="s">
        <v>207</v>
      </c>
    </row>
    <row r="147" spans="1:2" x14ac:dyDescent="0.2">
      <c r="A147">
        <v>0</v>
      </c>
      <c r="B147" s="5" t="s">
        <v>168</v>
      </c>
    </row>
    <row r="148" spans="1:2" x14ac:dyDescent="0.2">
      <c r="A148">
        <v>0</v>
      </c>
      <c r="B148" s="5" t="s">
        <v>171</v>
      </c>
    </row>
    <row r="149" spans="1:2" x14ac:dyDescent="0.2">
      <c r="A149" t="s">
        <v>473</v>
      </c>
      <c r="B149" s="5" t="s">
        <v>172</v>
      </c>
    </row>
    <row r="150" spans="1:2" x14ac:dyDescent="0.2">
      <c r="A150">
        <v>0</v>
      </c>
      <c r="B150" s="5" t="s">
        <v>173</v>
      </c>
    </row>
    <row r="151" spans="1:2" x14ac:dyDescent="0.2">
      <c r="A151">
        <v>0</v>
      </c>
      <c r="B151" s="5" t="s">
        <v>211</v>
      </c>
    </row>
    <row r="152" spans="1:2" x14ac:dyDescent="0.2">
      <c r="A152" t="s">
        <v>473</v>
      </c>
      <c r="B152" s="5" t="s">
        <v>172</v>
      </c>
    </row>
    <row r="153" spans="1:2" x14ac:dyDescent="0.2">
      <c r="A153">
        <v>0</v>
      </c>
      <c r="B153" s="5" t="s">
        <v>116</v>
      </c>
    </row>
    <row r="154" spans="1:2" x14ac:dyDescent="0.2">
      <c r="A154">
        <v>0</v>
      </c>
      <c r="B154" s="4" t="s">
        <v>56</v>
      </c>
    </row>
    <row r="155" spans="1:2" x14ac:dyDescent="0.2">
      <c r="A155" t="s">
        <v>473</v>
      </c>
      <c r="B155" s="5" t="s">
        <v>197</v>
      </c>
    </row>
    <row r="156" spans="1:2" x14ac:dyDescent="0.2">
      <c r="A156" t="s">
        <v>473</v>
      </c>
      <c r="B156" s="5" t="s">
        <v>200</v>
      </c>
    </row>
    <row r="157" spans="1:2" x14ac:dyDescent="0.2">
      <c r="A157">
        <v>0</v>
      </c>
      <c r="B157" s="4" t="s">
        <v>56</v>
      </c>
    </row>
    <row r="158" spans="1:2" x14ac:dyDescent="0.2">
      <c r="A158">
        <v>0</v>
      </c>
      <c r="B158" s="5" t="s">
        <v>38</v>
      </c>
    </row>
    <row r="159" spans="1:2" x14ac:dyDescent="0.2">
      <c r="A159">
        <v>0</v>
      </c>
      <c r="B159" s="4" t="s">
        <v>56</v>
      </c>
    </row>
    <row r="160" spans="1:2" x14ac:dyDescent="0.2">
      <c r="A160">
        <v>0</v>
      </c>
      <c r="B160" s="5" t="s">
        <v>38</v>
      </c>
    </row>
    <row r="161" spans="1:2" x14ac:dyDescent="0.2">
      <c r="A161">
        <v>0</v>
      </c>
      <c r="B161" s="4" t="s">
        <v>56</v>
      </c>
    </row>
    <row r="162" spans="1:2" x14ac:dyDescent="0.2">
      <c r="A162">
        <v>0</v>
      </c>
      <c r="B162" s="5" t="s">
        <v>184</v>
      </c>
    </row>
    <row r="163" spans="1:2" x14ac:dyDescent="0.2">
      <c r="A163">
        <v>0</v>
      </c>
      <c r="B163" s="5" t="s">
        <v>38</v>
      </c>
    </row>
    <row r="164" spans="1:2" x14ac:dyDescent="0.2">
      <c r="A164">
        <v>0</v>
      </c>
      <c r="B164" s="5" t="s">
        <v>38</v>
      </c>
    </row>
    <row r="165" spans="1:2" x14ac:dyDescent="0.2">
      <c r="A165">
        <v>0</v>
      </c>
      <c r="B165" s="5" t="s">
        <v>41</v>
      </c>
    </row>
    <row r="166" spans="1:2" x14ac:dyDescent="0.2">
      <c r="A166">
        <v>0</v>
      </c>
      <c r="B166" s="5" t="s">
        <v>38</v>
      </c>
    </row>
    <row r="167" spans="1:2" x14ac:dyDescent="0.2">
      <c r="A167">
        <v>0</v>
      </c>
      <c r="B167" s="5" t="s">
        <v>38</v>
      </c>
    </row>
    <row r="168" spans="1:2" x14ac:dyDescent="0.2">
      <c r="A168">
        <v>0</v>
      </c>
      <c r="B168" s="5" t="s">
        <v>38</v>
      </c>
    </row>
    <row r="169" spans="1:2" x14ac:dyDescent="0.2">
      <c r="A169">
        <v>0</v>
      </c>
      <c r="B169" s="4" t="s">
        <v>56</v>
      </c>
    </row>
    <row r="170" spans="1:2" x14ac:dyDescent="0.2">
      <c r="A170">
        <v>0</v>
      </c>
      <c r="B170" s="5" t="s">
        <v>187</v>
      </c>
    </row>
    <row r="171" spans="1:2" x14ac:dyDescent="0.2">
      <c r="A171">
        <v>0</v>
      </c>
      <c r="B171" s="4" t="s">
        <v>56</v>
      </c>
    </row>
    <row r="172" spans="1:2" x14ac:dyDescent="0.2">
      <c r="A172">
        <v>0</v>
      </c>
      <c r="B172" s="4" t="s">
        <v>56</v>
      </c>
    </row>
    <row r="173" spans="1:2" x14ac:dyDescent="0.2">
      <c r="A173">
        <v>0</v>
      </c>
      <c r="B173" s="5" t="s">
        <v>189</v>
      </c>
    </row>
    <row r="174" spans="1:2" x14ac:dyDescent="0.2">
      <c r="A174">
        <v>0</v>
      </c>
      <c r="B174" s="5" t="s">
        <v>116</v>
      </c>
    </row>
    <row r="175" spans="1:2" x14ac:dyDescent="0.2">
      <c r="A175" t="s">
        <v>473</v>
      </c>
      <c r="B175" s="5" t="s">
        <v>196</v>
      </c>
    </row>
    <row r="176" spans="1:2" x14ac:dyDescent="0.2">
      <c r="A176" t="s">
        <v>473</v>
      </c>
      <c r="B176" s="5" t="s">
        <v>190</v>
      </c>
    </row>
    <row r="177" spans="1:2" x14ac:dyDescent="0.2">
      <c r="A177">
        <v>0</v>
      </c>
      <c r="B177" s="4" t="s">
        <v>56</v>
      </c>
    </row>
    <row r="178" spans="1:2" x14ac:dyDescent="0.2">
      <c r="A178" t="s">
        <v>473</v>
      </c>
      <c r="B178" s="5" t="s">
        <v>192</v>
      </c>
    </row>
    <row r="179" spans="1:2" x14ac:dyDescent="0.2">
      <c r="A179" t="s">
        <v>473</v>
      </c>
      <c r="B179" s="5" t="s">
        <v>199</v>
      </c>
    </row>
    <row r="180" spans="1:2" x14ac:dyDescent="0.2">
      <c r="A180" t="s">
        <v>473</v>
      </c>
      <c r="B180" s="5" t="s">
        <v>196</v>
      </c>
    </row>
    <row r="181" spans="1:2" x14ac:dyDescent="0.2">
      <c r="A181">
        <v>0</v>
      </c>
      <c r="B181" s="4" t="s">
        <v>56</v>
      </c>
    </row>
    <row r="182" spans="1:2" x14ac:dyDescent="0.2">
      <c r="A182" t="s">
        <v>473</v>
      </c>
      <c r="B182" s="5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BE29-534D-9C46-AB47-FD75D8A26EF5}">
  <dimension ref="A1:H6"/>
  <sheetViews>
    <sheetView zoomScale="267" workbookViewId="0">
      <selection activeCell="C8" sqref="C8"/>
    </sheetView>
  </sheetViews>
  <sheetFormatPr baseColWidth="10" defaultRowHeight="16" x14ac:dyDescent="0.2"/>
  <cols>
    <col min="1" max="1" width="11.83203125" bestFit="1" customWidth="1"/>
    <col min="2" max="2" width="14.1640625" bestFit="1" customWidth="1"/>
    <col min="3" max="3" width="14.1640625" customWidth="1"/>
  </cols>
  <sheetData>
    <row r="1" spans="1:8" x14ac:dyDescent="0.2">
      <c r="A1" t="s">
        <v>68</v>
      </c>
      <c r="B1" t="s">
        <v>69</v>
      </c>
      <c r="C1" t="s">
        <v>82</v>
      </c>
      <c r="D1" t="s">
        <v>70</v>
      </c>
      <c r="E1" t="s">
        <v>71</v>
      </c>
      <c r="F1" t="s">
        <v>72</v>
      </c>
      <c r="G1" t="s">
        <v>48</v>
      </c>
      <c r="H1" t="s">
        <v>49</v>
      </c>
    </row>
    <row r="2" spans="1:8" x14ac:dyDescent="0.2">
      <c r="A2" t="s">
        <v>80</v>
      </c>
      <c r="B2" t="s">
        <v>73</v>
      </c>
      <c r="C2" t="s">
        <v>57</v>
      </c>
      <c r="D2" t="s">
        <v>88</v>
      </c>
      <c r="E2" t="s">
        <v>77</v>
      </c>
      <c r="F2" t="s">
        <v>78</v>
      </c>
      <c r="G2" t="s">
        <v>79</v>
      </c>
    </row>
    <row r="3" spans="1:8" x14ac:dyDescent="0.2">
      <c r="A3" t="s">
        <v>84</v>
      </c>
      <c r="B3" t="s">
        <v>74</v>
      </c>
      <c r="C3" t="s">
        <v>57</v>
      </c>
      <c r="D3" t="s">
        <v>88</v>
      </c>
      <c r="E3" t="s">
        <v>77</v>
      </c>
      <c r="F3" t="s">
        <v>78</v>
      </c>
      <c r="G3" t="s">
        <v>79</v>
      </c>
    </row>
    <row r="4" spans="1:8" x14ac:dyDescent="0.2">
      <c r="A4" t="s">
        <v>85</v>
      </c>
      <c r="B4" t="s">
        <v>75</v>
      </c>
      <c r="C4" t="s">
        <v>58</v>
      </c>
      <c r="D4" t="s">
        <v>89</v>
      </c>
      <c r="E4" t="s">
        <v>77</v>
      </c>
      <c r="F4" t="s">
        <v>78</v>
      </c>
      <c r="G4" t="s">
        <v>79</v>
      </c>
    </row>
    <row r="5" spans="1:8" x14ac:dyDescent="0.2">
      <c r="A5" t="s">
        <v>86</v>
      </c>
      <c r="B5" t="s">
        <v>76</v>
      </c>
      <c r="C5" t="s">
        <v>58</v>
      </c>
      <c r="D5" t="s">
        <v>89</v>
      </c>
      <c r="E5" t="s">
        <v>77</v>
      </c>
      <c r="F5" t="s">
        <v>78</v>
      </c>
      <c r="G5" t="s">
        <v>79</v>
      </c>
    </row>
    <row r="6" spans="1:8" x14ac:dyDescent="0.2">
      <c r="A6" t="s">
        <v>87</v>
      </c>
      <c r="B6" t="s">
        <v>81</v>
      </c>
      <c r="C6" t="s">
        <v>83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1E83-9FF7-DE41-9368-6BD277238EE1}">
  <dimension ref="A1:D5"/>
  <sheetViews>
    <sheetView workbookViewId="0">
      <selection activeCell="B11" sqref="B11"/>
    </sheetView>
  </sheetViews>
  <sheetFormatPr baseColWidth="10" defaultRowHeight="16" x14ac:dyDescent="0.2"/>
  <cols>
    <col min="1" max="1" width="19.5" bestFit="1" customWidth="1"/>
    <col min="2" max="2" width="20" bestFit="1" customWidth="1"/>
  </cols>
  <sheetData>
    <row r="1" spans="1:4" x14ac:dyDescent="0.2">
      <c r="A1" t="s">
        <v>90</v>
      </c>
      <c r="B1" t="s">
        <v>91</v>
      </c>
      <c r="C1" t="s">
        <v>14</v>
      </c>
      <c r="D1" t="s">
        <v>49</v>
      </c>
    </row>
    <row r="2" spans="1:4" x14ac:dyDescent="0.2">
      <c r="A2" t="s">
        <v>92</v>
      </c>
      <c r="B2" t="s">
        <v>93</v>
      </c>
      <c r="C2" t="b">
        <v>1</v>
      </c>
    </row>
    <row r="3" spans="1:4" x14ac:dyDescent="0.2">
      <c r="A3" t="s">
        <v>94</v>
      </c>
      <c r="B3" t="s">
        <v>95</v>
      </c>
      <c r="C3" t="b">
        <v>1</v>
      </c>
    </row>
    <row r="4" spans="1:4" x14ac:dyDescent="0.2">
      <c r="A4" t="s">
        <v>96</v>
      </c>
      <c r="B4" t="s">
        <v>97</v>
      </c>
      <c r="C4" t="b">
        <v>1</v>
      </c>
    </row>
    <row r="5" spans="1:4" x14ac:dyDescent="0.2">
      <c r="A5" t="s">
        <v>98</v>
      </c>
      <c r="B5" t="s">
        <v>99</v>
      </c>
      <c r="C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628A-B4F6-9041-ACF0-50548EA41C80}">
  <dimension ref="A1:H21"/>
  <sheetViews>
    <sheetView zoomScale="125" workbookViewId="0">
      <selection activeCell="A2" sqref="A2"/>
    </sheetView>
  </sheetViews>
  <sheetFormatPr baseColWidth="10" defaultRowHeight="16" x14ac:dyDescent="0.2"/>
  <cols>
    <col min="1" max="1" width="11.6640625" bestFit="1" customWidth="1"/>
    <col min="2" max="2" width="16.6640625" customWidth="1"/>
    <col min="8" max="8" width="24.33203125" customWidth="1"/>
  </cols>
  <sheetData>
    <row r="1" spans="1:8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14</v>
      </c>
      <c r="H1" s="1" t="s">
        <v>42</v>
      </c>
    </row>
    <row r="2" spans="1:8" x14ac:dyDescent="0.2">
      <c r="A2" t="str">
        <f>"LAB-"&amp;TEXT(ROW()-1,"000")</f>
        <v>LAB-001</v>
      </c>
      <c r="B2" t="s">
        <v>53</v>
      </c>
      <c r="H2" t="str">
        <f>UPPER(TRIM(B2))</f>
        <v>GAJU BHAU</v>
      </c>
    </row>
    <row r="3" spans="1:8" x14ac:dyDescent="0.2">
      <c r="A3" t="str">
        <f t="shared" ref="A3:A21" si="0">"LAB-"&amp;TEXT(ROW()-1,"000")</f>
        <v>LAB-002</v>
      </c>
      <c r="B3" t="s">
        <v>51</v>
      </c>
      <c r="H3" t="str">
        <f t="shared" ref="H3:H21" si="1">UPPER(TRIM(B3))</f>
        <v>ANSHU</v>
      </c>
    </row>
    <row r="4" spans="1:8" x14ac:dyDescent="0.2">
      <c r="A4" t="str">
        <f t="shared" si="0"/>
        <v>LAB-003</v>
      </c>
      <c r="B4" t="s">
        <v>52</v>
      </c>
      <c r="H4" t="str">
        <f t="shared" si="1"/>
        <v>RAVI</v>
      </c>
    </row>
    <row r="5" spans="1:8" x14ac:dyDescent="0.2">
      <c r="A5" t="str">
        <f t="shared" si="0"/>
        <v>LAB-004</v>
      </c>
      <c r="B5" s="3" t="s">
        <v>66</v>
      </c>
      <c r="H5" t="str">
        <f t="shared" si="1"/>
        <v>ANNA</v>
      </c>
    </row>
    <row r="6" spans="1:8" x14ac:dyDescent="0.2">
      <c r="A6" t="str">
        <f t="shared" si="0"/>
        <v>LAB-005</v>
      </c>
      <c r="B6" s="3" t="s">
        <v>67</v>
      </c>
      <c r="H6" t="str">
        <f t="shared" si="1"/>
        <v>VITHAL BHAU</v>
      </c>
    </row>
    <row r="7" spans="1:8" x14ac:dyDescent="0.2">
      <c r="A7" t="str">
        <f t="shared" si="0"/>
        <v>LAB-006</v>
      </c>
      <c r="B7" s="3" t="s">
        <v>212</v>
      </c>
      <c r="H7" t="str">
        <f t="shared" si="1"/>
        <v>SHIVA DRIVER</v>
      </c>
    </row>
    <row r="8" spans="1:8" x14ac:dyDescent="0.2">
      <c r="A8" t="str">
        <f t="shared" si="0"/>
        <v>LAB-007</v>
      </c>
      <c r="B8" s="3" t="s">
        <v>155</v>
      </c>
      <c r="H8" t="str">
        <f t="shared" si="1"/>
        <v>KRISHNA</v>
      </c>
    </row>
    <row r="9" spans="1:8" x14ac:dyDescent="0.2">
      <c r="A9" t="str">
        <f t="shared" si="0"/>
        <v>LAB-008</v>
      </c>
      <c r="B9" s="3" t="s">
        <v>160</v>
      </c>
      <c r="H9" t="str">
        <f t="shared" si="1"/>
        <v>PRAVIN SAPATE</v>
      </c>
    </row>
    <row r="10" spans="1:8" x14ac:dyDescent="0.2">
      <c r="A10" t="str">
        <f t="shared" si="0"/>
        <v>LAB-009</v>
      </c>
      <c r="B10" s="3" t="s">
        <v>177</v>
      </c>
      <c r="H10" t="str">
        <f t="shared" si="1"/>
        <v>SANTOSH</v>
      </c>
    </row>
    <row r="11" spans="1:8" x14ac:dyDescent="0.2">
      <c r="A11" t="str">
        <f t="shared" si="0"/>
        <v>LAB-010</v>
      </c>
      <c r="B11" s="3" t="s">
        <v>176</v>
      </c>
      <c r="H11" t="str">
        <f t="shared" si="1"/>
        <v>DHANRAJ</v>
      </c>
    </row>
    <row r="12" spans="1:8" x14ac:dyDescent="0.2">
      <c r="A12" t="str">
        <f t="shared" si="0"/>
        <v>LAB-011</v>
      </c>
      <c r="B12" s="3" t="s">
        <v>181</v>
      </c>
      <c r="H12" t="str">
        <f t="shared" si="1"/>
        <v>MANGESH</v>
      </c>
    </row>
    <row r="13" spans="1:8" ht="19" x14ac:dyDescent="0.25">
      <c r="A13" t="str">
        <f t="shared" si="0"/>
        <v>LAB-012</v>
      </c>
      <c r="B13" s="8" t="s">
        <v>222</v>
      </c>
      <c r="H13" t="str">
        <f t="shared" si="1"/>
        <v>RISHAB DRIVER</v>
      </c>
    </row>
    <row r="14" spans="1:8" x14ac:dyDescent="0.2">
      <c r="A14" t="str">
        <f t="shared" si="0"/>
        <v>LAB-013</v>
      </c>
      <c r="B14" s="3" t="s">
        <v>34</v>
      </c>
      <c r="H14" t="str">
        <f t="shared" si="1"/>
        <v>SAURABH</v>
      </c>
    </row>
    <row r="15" spans="1:8" x14ac:dyDescent="0.2">
      <c r="A15" t="str">
        <f t="shared" si="0"/>
        <v>LAB-014</v>
      </c>
      <c r="B15" s="3" t="s">
        <v>54</v>
      </c>
      <c r="H15" t="str">
        <f t="shared" si="1"/>
        <v>SHUBHAM</v>
      </c>
    </row>
    <row r="16" spans="1:8" x14ac:dyDescent="0.2">
      <c r="A16" t="str">
        <f t="shared" si="0"/>
        <v>LAB-015</v>
      </c>
      <c r="B16" s="3" t="s">
        <v>519</v>
      </c>
      <c r="H16" t="str">
        <f t="shared" si="1"/>
        <v>DINESH</v>
      </c>
    </row>
    <row r="17" spans="1:8" x14ac:dyDescent="0.2">
      <c r="A17" t="str">
        <f t="shared" si="0"/>
        <v>LAB-016</v>
      </c>
      <c r="B17" s="14" t="s">
        <v>521</v>
      </c>
      <c r="H17" t="str">
        <f t="shared" si="1"/>
        <v>SANGAMITRA</v>
      </c>
    </row>
    <row r="18" spans="1:8" x14ac:dyDescent="0.2">
      <c r="A18" t="str">
        <f t="shared" si="0"/>
        <v>LAB-017</v>
      </c>
      <c r="B18" s="3" t="s">
        <v>419</v>
      </c>
      <c r="H18" t="str">
        <f t="shared" si="1"/>
        <v>ROHAN</v>
      </c>
    </row>
    <row r="19" spans="1:8" x14ac:dyDescent="0.2">
      <c r="A19" t="str">
        <f t="shared" si="0"/>
        <v>LAB-018</v>
      </c>
      <c r="B19" t="s">
        <v>522</v>
      </c>
      <c r="H19" t="str">
        <f t="shared" si="1"/>
        <v>RASEES DRIVER</v>
      </c>
    </row>
    <row r="20" spans="1:8" x14ac:dyDescent="0.2">
      <c r="A20" t="str">
        <f t="shared" si="0"/>
        <v>LAB-019</v>
      </c>
      <c r="B20" s="3" t="s">
        <v>315</v>
      </c>
      <c r="H20" t="str">
        <f t="shared" si="1"/>
        <v>ANKUSH BHAU</v>
      </c>
    </row>
    <row r="21" spans="1:8" x14ac:dyDescent="0.2">
      <c r="A21" t="str">
        <f t="shared" si="0"/>
        <v>LAB-020</v>
      </c>
      <c r="B21" s="3" t="s">
        <v>523</v>
      </c>
      <c r="H21" t="str">
        <f t="shared" si="1"/>
        <v>KISHAN BHAU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0D3D-E41A-134A-87E1-021DC4CDD354}">
  <dimension ref="A1"/>
  <sheetViews>
    <sheetView workbookViewId="0">
      <selection activeCell="H42" sqref="H4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 Customer Duplicate Hyva</vt:lpstr>
      <vt:lpstr>Sheet1</vt:lpstr>
      <vt:lpstr>Vechle master</vt:lpstr>
      <vt:lpstr>Payment Method Master</vt:lpstr>
      <vt:lpstr>Jan Labour Nd Drivers Hyva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2026-08-13T16:45:19Z</dcterms:created>
  <dcterms:modified xsi:type="dcterms:W3CDTF">2026-08-20T16:57:50Z</dcterms:modified>
</cp:coreProperties>
</file>