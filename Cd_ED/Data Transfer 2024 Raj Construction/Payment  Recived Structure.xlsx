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4B4FB98B-D97F-C246-A4AD-7FE62A6C66DA}" xr6:coauthVersionLast="47" xr6:coauthVersionMax="47" xr10:uidLastSave="{00000000-0000-0000-0000-000000000000}"/>
  <bookViews>
    <workbookView xWindow="0" yWindow="780" windowWidth="36000" windowHeight="22600" activeTab="2" xr2:uid="{986293C7-DB50-E142-B3F9-10D66AB63717}"/>
  </bookViews>
  <sheets>
    <sheet name="Hyva White Sand Payment" sheetId="1" r:id="rId1"/>
    <sheet name="Halfton White Sand" sheetId="2" r:id="rId2"/>
    <sheet name="Tractor" sheetId="3" r:id="rId3"/>
    <sheet name="Hyva Fly Ash Pay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A9" i="3"/>
  <c r="C8" i="3"/>
  <c r="A8" i="3"/>
  <c r="C7" i="3"/>
  <c r="A7" i="3"/>
  <c r="C6" i="3"/>
  <c r="A6" i="3"/>
  <c r="C5" i="3"/>
  <c r="A5" i="3"/>
  <c r="C4" i="3"/>
  <c r="A4" i="3"/>
  <c r="C3" i="3"/>
  <c r="A3" i="3"/>
  <c r="C2" i="3"/>
  <c r="A2" i="3"/>
  <c r="A12" i="2"/>
  <c r="A11" i="2"/>
  <c r="A10" i="2"/>
  <c r="A9" i="2"/>
  <c r="A8" i="2"/>
  <c r="A7" i="2"/>
  <c r="A6" i="2"/>
  <c r="A5" i="2"/>
  <c r="A4" i="2"/>
  <c r="A3" i="2"/>
  <c r="A2" i="2"/>
  <c r="C47" i="1"/>
  <c r="A47" i="1"/>
  <c r="C46" i="1"/>
  <c r="A46" i="1"/>
  <c r="C45" i="1"/>
  <c r="A45" i="1"/>
  <c r="C44" i="1"/>
  <c r="A44" i="1"/>
  <c r="C43" i="1"/>
  <c r="A43" i="1"/>
  <c r="C42" i="1"/>
  <c r="A42" i="1"/>
  <c r="C41" i="1"/>
  <c r="A41" i="1"/>
  <c r="C40" i="1"/>
  <c r="A40" i="1"/>
  <c r="C39" i="1"/>
  <c r="A39" i="1"/>
  <c r="C38" i="1"/>
  <c r="A38" i="1"/>
  <c r="C37" i="1"/>
  <c r="A37" i="1"/>
  <c r="C36" i="1"/>
  <c r="A36" i="1"/>
  <c r="C35" i="1"/>
  <c r="A35" i="1"/>
  <c r="C34" i="1"/>
  <c r="A34" i="1"/>
  <c r="C33" i="1"/>
  <c r="A33" i="1"/>
  <c r="C32" i="1"/>
  <c r="A32" i="1"/>
  <c r="C31" i="1"/>
  <c r="A31" i="1"/>
  <c r="C30" i="1"/>
  <c r="A30" i="1"/>
  <c r="C29" i="1"/>
  <c r="A29" i="1"/>
  <c r="C28" i="1"/>
  <c r="A28" i="1"/>
  <c r="C27" i="1"/>
  <c r="A27" i="1"/>
  <c r="C26" i="1"/>
  <c r="A26" i="1"/>
  <c r="C25" i="1"/>
  <c r="A25" i="1"/>
  <c r="C24" i="1"/>
  <c r="A24" i="1"/>
  <c r="C23" i="1"/>
  <c r="A23" i="1"/>
  <c r="C22" i="1"/>
  <c r="A22" i="1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C10" i="1"/>
  <c r="A10" i="1"/>
  <c r="C9" i="1"/>
  <c r="A9" i="1"/>
  <c r="C8" i="1"/>
  <c r="A8" i="1"/>
  <c r="C7" i="1"/>
  <c r="A7" i="1"/>
  <c r="C6" i="1"/>
  <c r="A6" i="1"/>
  <c r="C5" i="1"/>
  <c r="A5" i="1"/>
  <c r="C4" i="1"/>
  <c r="A4" i="1"/>
  <c r="C3" i="1"/>
  <c r="A3" i="1"/>
  <c r="C2" i="1"/>
  <c r="A2" i="1"/>
</calcChain>
</file>

<file path=xl/sharedStrings.xml><?xml version="1.0" encoding="utf-8"?>
<sst xmlns="http://schemas.openxmlformats.org/spreadsheetml/2006/main" count="313" uniqueCount="143">
  <si>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</si>
  <si>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</si>
  <si>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</si>
  <si>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</si>
  <si>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</si>
  <si>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</si>
  <si>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</si>
  <si>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</si>
  <si>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Preet Bhaiya</t>
  </si>
  <si>
    <t>Historical payment from 2025 Excel. Original payment date/mode unavailable.</t>
  </si>
  <si>
    <t>Chetan</t>
  </si>
  <si>
    <t>Izhar</t>
  </si>
  <si>
    <t>Saurabh</t>
  </si>
  <si>
    <t>Toyota</t>
  </si>
  <si>
    <t>Sanjeet</t>
  </si>
  <si>
    <t>Bhandare</t>
  </si>
  <si>
    <t>Gurjit</t>
  </si>
  <si>
    <t>Jaiswal</t>
  </si>
  <si>
    <t>Yuvraj Thakur</t>
  </si>
  <si>
    <t>Malli</t>
  </si>
  <si>
    <t>Shubham Sakarkar</t>
  </si>
  <si>
    <t>Upadya</t>
  </si>
  <si>
    <t>Vishal Singh</t>
  </si>
  <si>
    <t>Sachin K</t>
  </si>
  <si>
    <t>Raj Sir</t>
  </si>
  <si>
    <t>Nishan Bhattar</t>
  </si>
  <si>
    <t>Rupesh Regundewar</t>
  </si>
  <si>
    <t>Vishal Prasad</t>
  </si>
  <si>
    <t>Abhay Adgurwar</t>
  </si>
  <si>
    <t>Nitin Prasad</t>
  </si>
  <si>
    <t>Meshram</t>
  </si>
  <si>
    <t>Hitesh</t>
  </si>
  <si>
    <t>Salim</t>
  </si>
  <si>
    <t>Abhay Adgurwar ( Parmar )</t>
  </si>
  <si>
    <t>Arbaz</t>
  </si>
  <si>
    <t>Lalit</t>
  </si>
  <si>
    <t>Yadav</t>
  </si>
  <si>
    <t>TRIP-HF-001</t>
  </si>
  <si>
    <t>Historical payment from 2025 Excel; payment date/mode unavailable</t>
  </si>
  <si>
    <t>TRIP-HF-003</t>
  </si>
  <si>
    <t>Bobby Bhaiya</t>
  </si>
  <si>
    <t>TRIP-HF-004</t>
  </si>
  <si>
    <t>Shubham</t>
  </si>
  <si>
    <t>TRIP-HF-005</t>
  </si>
  <si>
    <t>Aupadhya</t>
  </si>
  <si>
    <t>TRIP-HF-006</t>
  </si>
  <si>
    <t>Customer Unknown</t>
  </si>
  <si>
    <t>TRIP-HF-008</t>
  </si>
  <si>
    <t>Gormade</t>
  </si>
  <si>
    <t>TRIP-HF-009</t>
  </si>
  <si>
    <t>Sharif Uncle</t>
  </si>
  <si>
    <t>TRIP-HF-010</t>
  </si>
  <si>
    <t>TRIP-HF-011</t>
  </si>
  <si>
    <t>TRIP-HF-012</t>
  </si>
  <si>
    <t xml:space="preserve">Kiran ( Papa Order ) </t>
  </si>
  <si>
    <t>TRIP-HF-013</t>
  </si>
  <si>
    <t>Ramteke ( Raj Dad )</t>
  </si>
  <si>
    <t>Arvind Rohankar ( Raj Dad )</t>
  </si>
  <si>
    <t>Devrao ( Raj Dad )</t>
  </si>
  <si>
    <t>Suresh Pachare ( Raj Dad )</t>
  </si>
  <si>
    <t>Raju Bala ( Raj Dad )</t>
  </si>
  <si>
    <t xml:space="preserve">Near Yenurkar House </t>
  </si>
  <si>
    <t>PAY-001</t>
  </si>
  <si>
    <t>TRIP-HR-001</t>
  </si>
  <si>
    <t>PAY-002</t>
  </si>
  <si>
    <t>TRIP-HR-002</t>
  </si>
  <si>
    <t>Aashay</t>
  </si>
  <si>
    <t>PAY-003</t>
  </si>
  <si>
    <t>TRIP-HR-003</t>
  </si>
  <si>
    <t>PAY-004</t>
  </si>
  <si>
    <t>TRIP-HR-004</t>
  </si>
  <si>
    <t>PAY-005</t>
  </si>
  <si>
    <t>TRIP-HR-005</t>
  </si>
  <si>
    <t>PAY-006</t>
  </si>
  <si>
    <t>TRIP-HR-006</t>
  </si>
  <si>
    <t>PAY-007</t>
  </si>
  <si>
    <t>TRIP-HR-007</t>
  </si>
  <si>
    <t>Shubham Dada</t>
  </si>
  <si>
    <t>PAY-008</t>
  </si>
  <si>
    <t>TRIP-HR-008</t>
  </si>
  <si>
    <t>PAY-009</t>
  </si>
  <si>
    <t>TRIP-HR-009</t>
  </si>
  <si>
    <t>Patel</t>
  </si>
  <si>
    <t>PAY-010</t>
  </si>
  <si>
    <t>TRIP-HR-010</t>
  </si>
  <si>
    <t>PAY-011</t>
  </si>
  <si>
    <t>TRIP-HR-011</t>
  </si>
  <si>
    <t>PAY-012</t>
  </si>
  <si>
    <t>TRIP-HR-012</t>
  </si>
  <si>
    <t>PAY-013</t>
  </si>
  <si>
    <t>TRIP-HR-013</t>
  </si>
  <si>
    <t>PAY-014</t>
  </si>
  <si>
    <t>TRIP-HR-014</t>
  </si>
  <si>
    <t>Rishab Dupare</t>
  </si>
  <si>
    <t>PAY-015</t>
  </si>
  <si>
    <t>TRIP-HR-015</t>
  </si>
  <si>
    <t>PAY-016</t>
  </si>
  <si>
    <t>TRIP-HR-016</t>
  </si>
  <si>
    <t>PAY-017</t>
  </si>
  <si>
    <t>TRIP-HR-017</t>
  </si>
  <si>
    <t>PAY-018</t>
  </si>
  <si>
    <t>TRIP-HR-018</t>
  </si>
  <si>
    <t>PAY-019</t>
  </si>
  <si>
    <t>TRIP-HR-019</t>
  </si>
  <si>
    <t>PAY-020</t>
  </si>
  <si>
    <t>TRIP-HR-020</t>
  </si>
  <si>
    <t>PAY-021</t>
  </si>
  <si>
    <t>TRIP-HR-021</t>
  </si>
  <si>
    <t>PAY-022</t>
  </si>
  <si>
    <t>TRIP-HR-022</t>
  </si>
  <si>
    <t>PAY-023</t>
  </si>
  <si>
    <t>TRIP-HR-023</t>
  </si>
  <si>
    <t>PAY-024</t>
  </si>
  <si>
    <t>TRIP-HR-024</t>
  </si>
  <si>
    <t>PAY-025</t>
  </si>
  <si>
    <t>TRIP-HR-025</t>
  </si>
  <si>
    <t>PAY-026</t>
  </si>
  <si>
    <t>TRIP-HR-026</t>
  </si>
  <si>
    <t>PAY-027</t>
  </si>
  <si>
    <t>TRIP-HR-027</t>
  </si>
  <si>
    <t>PAY-028</t>
  </si>
  <si>
    <t>TRIP-HR-028</t>
  </si>
  <si>
    <t>Sharik</t>
  </si>
  <si>
    <t>PAY-029</t>
  </si>
  <si>
    <t>TRIP-HR-029</t>
  </si>
  <si>
    <t>PAY-030</t>
  </si>
  <si>
    <t>TRIP-HR-030</t>
  </si>
  <si>
    <t>PAY-031</t>
  </si>
  <si>
    <t>TRIP-HR-031</t>
  </si>
  <si>
    <t>PAY-032</t>
  </si>
  <si>
    <t>TRIP-HR-032</t>
  </si>
  <si>
    <t>PAY-033</t>
  </si>
  <si>
    <t>TRIP-HR-033</t>
  </si>
  <si>
    <t>PAY-034</t>
  </si>
  <si>
    <t>TRIP-HR-034</t>
  </si>
  <si>
    <t>PAY-035</t>
  </si>
  <si>
    <t>TRIP-HR-035</t>
  </si>
  <si>
    <t>Nikkil</t>
  </si>
  <si>
    <t>PAY-036</t>
  </si>
  <si>
    <t>TRIP-HR-036</t>
  </si>
  <si>
    <t>PAY-037</t>
  </si>
  <si>
    <t>TRIP-HR-037</t>
  </si>
  <si>
    <t>Malli Bhaiya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</si>
</sst>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16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C966-6806-6A4D-ACC7-F366BD0EDCC6}">
  <dimension ref="A1:H47"/>
  <sheetViews>
    <sheetView zoomScale="119" workbookViewId="0">
      <selection activeCell="C3" sqref="C3"/>
    </sheetView>
  </sheetViews>
  <sheetFormatPr baseColWidth="10" defaultRowHeight="16" x14ac:dyDescent="0.2"/>
  <cols>
    <col min="1" max="1" width="12.83203125" bestFit="1" customWidth="1"/>
    <col min="2" max="2" width="12.5" bestFit="1" customWidth="1"/>
    <col min="3" max="3" width="8.83203125" bestFit="1" customWidth="1"/>
    <col min="4" max="4" width="22.33203125" bestFit="1" customWidth="1"/>
    <col min="5" max="5" width="10.6640625" bestFit="1" customWidth="1"/>
    <col min="6" max="6" width="14.6640625" bestFit="1" customWidth="1"/>
    <col min="7" max="7" width="16.5" bestFit="1" customWidth="1"/>
    <col min="8" max="8" width="6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"PAY-"&amp;TEXT(ROW()-1,"000")</f>
        <v>PAY-001</v>
      </c>
      <c r="C2" t="str">
        <f>"TRIP-"&amp;TEXT(ROW()-1,"000")</f>
        <v>TRIP-001</v>
      </c>
      <c r="D2" s="1" t="s">
        <v>8</v>
      </c>
      <c r="E2" s="2">
        <v>32000</v>
      </c>
      <c r="H2" t="s">
        <v>9</v>
      </c>
    </row>
    <row r="3" spans="1:8" x14ac:dyDescent="0.2">
      <c r="A3" t="str">
        <f t="shared" ref="A3:A47" si="0">"PAY-"&amp;TEXT(ROW()-1,"000")</f>
        <v>PAY-002</v>
      </c>
      <c r="C3" t="str">
        <f t="shared" ref="C3:C47" si="1">"TRIP-"&amp;TEXT(ROW()-1,"000")</f>
        <v>TRIP-002</v>
      </c>
      <c r="D3" s="1" t="s">
        <v>10</v>
      </c>
      <c r="E3" s="2">
        <v>31000</v>
      </c>
      <c r="H3" t="s">
        <v>9</v>
      </c>
    </row>
    <row r="4" spans="1:8" x14ac:dyDescent="0.2">
      <c r="A4" t="str">
        <f t="shared" si="0"/>
        <v>PAY-003</v>
      </c>
      <c r="C4" t="str">
        <f t="shared" si="1"/>
        <v>TRIP-003</v>
      </c>
      <c r="D4" s="1" t="s">
        <v>11</v>
      </c>
      <c r="E4" s="2">
        <v>40000</v>
      </c>
      <c r="H4" t="s">
        <v>9</v>
      </c>
    </row>
    <row r="5" spans="1:8" x14ac:dyDescent="0.2">
      <c r="A5" t="str">
        <f t="shared" si="0"/>
        <v>PAY-004</v>
      </c>
      <c r="C5" t="str">
        <f t="shared" si="1"/>
        <v>TRIP-004</v>
      </c>
      <c r="D5" s="1" t="s">
        <v>12</v>
      </c>
      <c r="E5" s="2">
        <v>35000</v>
      </c>
      <c r="H5" t="s">
        <v>9</v>
      </c>
    </row>
    <row r="6" spans="1:8" x14ac:dyDescent="0.2">
      <c r="A6" t="str">
        <f t="shared" si="0"/>
        <v>PAY-005</v>
      </c>
      <c r="C6" t="str">
        <f t="shared" si="1"/>
        <v>TRIP-005</v>
      </c>
      <c r="D6" s="1" t="s">
        <v>13</v>
      </c>
      <c r="E6" s="2">
        <v>38000</v>
      </c>
      <c r="H6" t="s">
        <v>9</v>
      </c>
    </row>
    <row r="7" spans="1:8" x14ac:dyDescent="0.2">
      <c r="A7" t="str">
        <f t="shared" si="0"/>
        <v>PAY-006</v>
      </c>
      <c r="C7" t="str">
        <f t="shared" si="1"/>
        <v>TRIP-006</v>
      </c>
      <c r="D7" s="1" t="s">
        <v>14</v>
      </c>
      <c r="E7" s="2">
        <v>35000</v>
      </c>
      <c r="H7" t="s">
        <v>9</v>
      </c>
    </row>
    <row r="8" spans="1:8" x14ac:dyDescent="0.2">
      <c r="A8" t="str">
        <f t="shared" si="0"/>
        <v>PAY-007</v>
      </c>
      <c r="C8" t="str">
        <f t="shared" si="1"/>
        <v>TRIP-007</v>
      </c>
      <c r="D8" s="1" t="s">
        <v>15</v>
      </c>
      <c r="E8" s="2">
        <v>20000</v>
      </c>
      <c r="H8" t="s">
        <v>9</v>
      </c>
    </row>
    <row r="9" spans="1:8" x14ac:dyDescent="0.2">
      <c r="A9" t="str">
        <f t="shared" si="0"/>
        <v>PAY-008</v>
      </c>
      <c r="C9" t="str">
        <f t="shared" si="1"/>
        <v>TRIP-008</v>
      </c>
      <c r="D9" s="1" t="s">
        <v>16</v>
      </c>
      <c r="E9" s="2">
        <v>34000</v>
      </c>
      <c r="H9" t="s">
        <v>9</v>
      </c>
    </row>
    <row r="10" spans="1:8" x14ac:dyDescent="0.2">
      <c r="A10" t="str">
        <f t="shared" si="0"/>
        <v>PAY-009</v>
      </c>
      <c r="C10" t="str">
        <f t="shared" si="1"/>
        <v>TRIP-009</v>
      </c>
      <c r="D10" s="1" t="s">
        <v>17</v>
      </c>
      <c r="E10" s="2">
        <v>36000</v>
      </c>
      <c r="H10" t="s">
        <v>9</v>
      </c>
    </row>
    <row r="11" spans="1:8" x14ac:dyDescent="0.2">
      <c r="A11" t="str">
        <f t="shared" si="0"/>
        <v>PAY-010</v>
      </c>
      <c r="C11" t="str">
        <f t="shared" si="1"/>
        <v>TRIP-010</v>
      </c>
      <c r="D11" s="1" t="s">
        <v>18</v>
      </c>
      <c r="E11" s="2">
        <v>34000</v>
      </c>
      <c r="H11" t="s">
        <v>9</v>
      </c>
    </row>
    <row r="12" spans="1:8" x14ac:dyDescent="0.2">
      <c r="A12" t="str">
        <f t="shared" si="0"/>
        <v>PAY-011</v>
      </c>
      <c r="C12" t="str">
        <f t="shared" si="1"/>
        <v>TRIP-011</v>
      </c>
      <c r="D12" s="1" t="s">
        <v>19</v>
      </c>
      <c r="E12" s="2">
        <v>64000</v>
      </c>
      <c r="H12" t="s">
        <v>9</v>
      </c>
    </row>
    <row r="13" spans="1:8" x14ac:dyDescent="0.2">
      <c r="A13" t="str">
        <f t="shared" si="0"/>
        <v>PAY-012</v>
      </c>
      <c r="C13" t="str">
        <f t="shared" si="1"/>
        <v>TRIP-012</v>
      </c>
      <c r="D13" s="1" t="s">
        <v>8</v>
      </c>
      <c r="E13" s="2">
        <v>34000</v>
      </c>
      <c r="H13" t="s">
        <v>9</v>
      </c>
    </row>
    <row r="14" spans="1:8" x14ac:dyDescent="0.2">
      <c r="A14" t="str">
        <f t="shared" si="0"/>
        <v>PAY-013</v>
      </c>
      <c r="C14" t="str">
        <f t="shared" si="1"/>
        <v>TRIP-013</v>
      </c>
      <c r="D14" s="1" t="s">
        <v>20</v>
      </c>
      <c r="E14" s="2">
        <v>35000</v>
      </c>
      <c r="H14" t="s">
        <v>9</v>
      </c>
    </row>
    <row r="15" spans="1:8" x14ac:dyDescent="0.2">
      <c r="A15" t="str">
        <f t="shared" si="0"/>
        <v>PAY-014</v>
      </c>
      <c r="C15" t="str">
        <f t="shared" si="1"/>
        <v>TRIP-014</v>
      </c>
      <c r="D15" s="1" t="s">
        <v>21</v>
      </c>
      <c r="E15" s="2">
        <v>38000</v>
      </c>
      <c r="H15" t="s">
        <v>9</v>
      </c>
    </row>
    <row r="16" spans="1:8" x14ac:dyDescent="0.2">
      <c r="A16" t="str">
        <f t="shared" si="0"/>
        <v>PAY-015</v>
      </c>
      <c r="C16" t="str">
        <f t="shared" si="1"/>
        <v>TRIP-015</v>
      </c>
      <c r="D16" s="1" t="s">
        <v>142</v>
      </c>
      <c r="E16" s="2">
        <v>32000</v>
      </c>
      <c r="H16" t="s">
        <v>9</v>
      </c>
    </row>
    <row r="17" spans="1:8" x14ac:dyDescent="0.2">
      <c r="A17" t="str">
        <f t="shared" si="0"/>
        <v>PAY-016</v>
      </c>
      <c r="C17" t="str">
        <f t="shared" si="1"/>
        <v>TRIP-016</v>
      </c>
      <c r="D17" s="1" t="s">
        <v>19</v>
      </c>
      <c r="E17" s="2">
        <v>32000</v>
      </c>
      <c r="H17" t="s">
        <v>9</v>
      </c>
    </row>
    <row r="18" spans="1:8" x14ac:dyDescent="0.2">
      <c r="A18" t="str">
        <f t="shared" si="0"/>
        <v>PAY-017</v>
      </c>
      <c r="C18" t="str">
        <f t="shared" si="1"/>
        <v>TRIP-017</v>
      </c>
      <c r="D18" s="1" t="s">
        <v>8</v>
      </c>
      <c r="E18" s="2">
        <v>34000</v>
      </c>
      <c r="H18" t="s">
        <v>9</v>
      </c>
    </row>
    <row r="19" spans="1:8" x14ac:dyDescent="0.2">
      <c r="A19" t="str">
        <f t="shared" si="0"/>
        <v>PAY-018</v>
      </c>
      <c r="C19" t="str">
        <f t="shared" si="1"/>
        <v>TRIP-018</v>
      </c>
      <c r="D19" s="1" t="s">
        <v>22</v>
      </c>
      <c r="E19" s="2">
        <v>34000</v>
      </c>
      <c r="H19" t="s">
        <v>9</v>
      </c>
    </row>
    <row r="20" spans="1:8" x14ac:dyDescent="0.2">
      <c r="A20" t="str">
        <f t="shared" si="0"/>
        <v>PAY-019</v>
      </c>
      <c r="C20" t="str">
        <f t="shared" si="1"/>
        <v>TRIP-019</v>
      </c>
      <c r="D20" s="1" t="s">
        <v>19</v>
      </c>
      <c r="E20" s="2">
        <v>64000</v>
      </c>
      <c r="H20" t="s">
        <v>9</v>
      </c>
    </row>
    <row r="21" spans="1:8" x14ac:dyDescent="0.2">
      <c r="A21" t="str">
        <f t="shared" si="0"/>
        <v>PAY-020</v>
      </c>
      <c r="C21" t="str">
        <f t="shared" si="1"/>
        <v>TRIP-020</v>
      </c>
      <c r="D21" s="1" t="s">
        <v>23</v>
      </c>
      <c r="E21" s="2">
        <v>32500</v>
      </c>
      <c r="H21" t="s">
        <v>9</v>
      </c>
    </row>
    <row r="22" spans="1:8" x14ac:dyDescent="0.2">
      <c r="A22" t="str">
        <f t="shared" si="0"/>
        <v>PAY-021</v>
      </c>
      <c r="C22" t="str">
        <f t="shared" si="1"/>
        <v>TRIP-021</v>
      </c>
      <c r="D22" s="1" t="s">
        <v>24</v>
      </c>
      <c r="E22" s="2">
        <v>40000</v>
      </c>
      <c r="H22" t="s">
        <v>9</v>
      </c>
    </row>
    <row r="23" spans="1:8" x14ac:dyDescent="0.2">
      <c r="A23" t="str">
        <f t="shared" si="0"/>
        <v>PAY-022</v>
      </c>
      <c r="C23" t="str">
        <f t="shared" si="1"/>
        <v>TRIP-022</v>
      </c>
      <c r="D23" s="1" t="s">
        <v>25</v>
      </c>
      <c r="E23" s="2">
        <v>35000</v>
      </c>
      <c r="H23" t="s">
        <v>9</v>
      </c>
    </row>
    <row r="24" spans="1:8" x14ac:dyDescent="0.2">
      <c r="A24" t="str">
        <f t="shared" si="0"/>
        <v>PAY-023</v>
      </c>
      <c r="C24" t="str">
        <f t="shared" si="1"/>
        <v>TRIP-023</v>
      </c>
      <c r="D24" s="1" t="s">
        <v>23</v>
      </c>
      <c r="E24" s="2">
        <v>32500</v>
      </c>
      <c r="H24" t="s">
        <v>9</v>
      </c>
    </row>
    <row r="25" spans="1:8" x14ac:dyDescent="0.2">
      <c r="A25" t="str">
        <f t="shared" si="0"/>
        <v>PAY-024</v>
      </c>
      <c r="C25" t="str">
        <f t="shared" si="1"/>
        <v>TRIP-024</v>
      </c>
      <c r="D25" s="1" t="s">
        <v>22</v>
      </c>
      <c r="E25" s="2">
        <v>33000</v>
      </c>
      <c r="H25" t="s">
        <v>9</v>
      </c>
    </row>
    <row r="26" spans="1:8" x14ac:dyDescent="0.2">
      <c r="A26" t="str">
        <f t="shared" si="0"/>
        <v>PAY-025</v>
      </c>
      <c r="C26" t="str">
        <f t="shared" si="1"/>
        <v>TRIP-025</v>
      </c>
      <c r="D26" s="1" t="s">
        <v>26</v>
      </c>
      <c r="E26" s="2">
        <v>35000</v>
      </c>
      <c r="H26" t="s">
        <v>9</v>
      </c>
    </row>
    <row r="27" spans="1:8" x14ac:dyDescent="0.2">
      <c r="A27" t="str">
        <f t="shared" si="0"/>
        <v>PAY-026</v>
      </c>
      <c r="C27" t="str">
        <f t="shared" si="1"/>
        <v>TRIP-026</v>
      </c>
      <c r="D27" s="1" t="s">
        <v>26</v>
      </c>
      <c r="E27" s="2">
        <v>35000</v>
      </c>
      <c r="H27" t="s">
        <v>9</v>
      </c>
    </row>
    <row r="28" spans="1:8" x14ac:dyDescent="0.2">
      <c r="A28" t="str">
        <f t="shared" si="0"/>
        <v>PAY-027</v>
      </c>
      <c r="C28" t="str">
        <f t="shared" si="1"/>
        <v>TRIP-027</v>
      </c>
      <c r="D28" s="1" t="s">
        <v>27</v>
      </c>
      <c r="E28" s="2">
        <v>32000</v>
      </c>
      <c r="H28" t="s">
        <v>9</v>
      </c>
    </row>
    <row r="29" spans="1:8" x14ac:dyDescent="0.2">
      <c r="A29" t="str">
        <f t="shared" si="0"/>
        <v>PAY-028</v>
      </c>
      <c r="C29" t="str">
        <f t="shared" si="1"/>
        <v>TRIP-028</v>
      </c>
      <c r="D29" s="1" t="s">
        <v>28</v>
      </c>
      <c r="E29" s="2">
        <v>32000</v>
      </c>
      <c r="H29" t="s">
        <v>9</v>
      </c>
    </row>
    <row r="30" spans="1:8" x14ac:dyDescent="0.2">
      <c r="A30" t="str">
        <f t="shared" si="0"/>
        <v>PAY-029</v>
      </c>
      <c r="C30" t="str">
        <f t="shared" si="1"/>
        <v>TRIP-029</v>
      </c>
      <c r="D30" s="1" t="s">
        <v>29</v>
      </c>
      <c r="E30" s="2">
        <v>30000</v>
      </c>
      <c r="H30" t="s">
        <v>9</v>
      </c>
    </row>
    <row r="31" spans="1:8" x14ac:dyDescent="0.2">
      <c r="A31" t="str">
        <f t="shared" si="0"/>
        <v>PAY-030</v>
      </c>
      <c r="C31" t="str">
        <f t="shared" si="1"/>
        <v>TRIP-030</v>
      </c>
      <c r="D31" s="1" t="s">
        <v>22</v>
      </c>
      <c r="E31" s="2">
        <v>33000</v>
      </c>
      <c r="H31" t="s">
        <v>9</v>
      </c>
    </row>
    <row r="32" spans="1:8" x14ac:dyDescent="0.2">
      <c r="A32" t="str">
        <f t="shared" si="0"/>
        <v>PAY-031</v>
      </c>
      <c r="C32" t="str">
        <f t="shared" si="1"/>
        <v>TRIP-031</v>
      </c>
      <c r="D32" s="1" t="s">
        <v>30</v>
      </c>
      <c r="E32" s="2">
        <v>35000</v>
      </c>
      <c r="H32" t="s">
        <v>9</v>
      </c>
    </row>
    <row r="33" spans="1:8" x14ac:dyDescent="0.2">
      <c r="A33" t="str">
        <f t="shared" si="0"/>
        <v>PAY-032</v>
      </c>
      <c r="C33" t="str">
        <f t="shared" si="1"/>
        <v>TRIP-032</v>
      </c>
      <c r="D33" s="1" t="s">
        <v>31</v>
      </c>
      <c r="E33" s="2">
        <v>30000</v>
      </c>
      <c r="H33" t="s">
        <v>9</v>
      </c>
    </row>
    <row r="34" spans="1:8" x14ac:dyDescent="0.2">
      <c r="A34" t="str">
        <f t="shared" si="0"/>
        <v>PAY-033</v>
      </c>
      <c r="C34" t="str">
        <f t="shared" si="1"/>
        <v>TRIP-033</v>
      </c>
      <c r="D34" s="1" t="s">
        <v>18</v>
      </c>
      <c r="E34" s="2">
        <v>30000</v>
      </c>
      <c r="H34" t="s">
        <v>9</v>
      </c>
    </row>
    <row r="35" spans="1:8" x14ac:dyDescent="0.2">
      <c r="A35" t="str">
        <f t="shared" si="0"/>
        <v>PAY-034</v>
      </c>
      <c r="C35" t="str">
        <f t="shared" si="1"/>
        <v>TRIP-034</v>
      </c>
      <c r="D35" s="1" t="s">
        <v>28</v>
      </c>
      <c r="E35" s="2">
        <v>32000</v>
      </c>
      <c r="H35" t="s">
        <v>9</v>
      </c>
    </row>
    <row r="36" spans="1:8" x14ac:dyDescent="0.2">
      <c r="A36" t="str">
        <f t="shared" si="0"/>
        <v>PAY-035</v>
      </c>
      <c r="C36" t="str">
        <f t="shared" si="1"/>
        <v>TRIP-035</v>
      </c>
      <c r="D36" s="1" t="s">
        <v>32</v>
      </c>
      <c r="E36" s="2">
        <v>33000</v>
      </c>
      <c r="H36" t="s">
        <v>9</v>
      </c>
    </row>
    <row r="37" spans="1:8" x14ac:dyDescent="0.2">
      <c r="A37" t="str">
        <f t="shared" si="0"/>
        <v>PAY-036</v>
      </c>
      <c r="C37" t="str">
        <f t="shared" si="1"/>
        <v>TRIP-036</v>
      </c>
      <c r="D37" s="1" t="s">
        <v>8</v>
      </c>
      <c r="E37" s="2">
        <v>34000</v>
      </c>
      <c r="H37" t="s">
        <v>9</v>
      </c>
    </row>
    <row r="38" spans="1:8" x14ac:dyDescent="0.2">
      <c r="A38" t="str">
        <f t="shared" si="0"/>
        <v>PAY-037</v>
      </c>
      <c r="C38" t="str">
        <f t="shared" si="1"/>
        <v>TRIP-037</v>
      </c>
      <c r="D38" s="1" t="s">
        <v>28</v>
      </c>
      <c r="E38" s="2">
        <v>32000</v>
      </c>
      <c r="H38" t="s">
        <v>9</v>
      </c>
    </row>
    <row r="39" spans="1:8" x14ac:dyDescent="0.2">
      <c r="A39" t="str">
        <f t="shared" si="0"/>
        <v>PAY-038</v>
      </c>
      <c r="C39" t="str">
        <f t="shared" si="1"/>
        <v>TRIP-038</v>
      </c>
      <c r="D39" s="1" t="s">
        <v>33</v>
      </c>
      <c r="E39" s="2">
        <v>32000</v>
      </c>
      <c r="H39" t="s">
        <v>9</v>
      </c>
    </row>
    <row r="40" spans="1:8" x14ac:dyDescent="0.2">
      <c r="A40" t="str">
        <f t="shared" si="0"/>
        <v>PAY-039</v>
      </c>
      <c r="C40" t="str">
        <f t="shared" si="1"/>
        <v>TRIP-039</v>
      </c>
      <c r="D40" s="1" t="s">
        <v>34</v>
      </c>
      <c r="E40" s="2">
        <v>32000</v>
      </c>
      <c r="H40" t="s">
        <v>9</v>
      </c>
    </row>
    <row r="41" spans="1:8" x14ac:dyDescent="0.2">
      <c r="A41" t="str">
        <f t="shared" si="0"/>
        <v>PAY-040</v>
      </c>
      <c r="C41" t="str">
        <f t="shared" si="1"/>
        <v>TRIP-040</v>
      </c>
      <c r="D41" s="1" t="s">
        <v>8</v>
      </c>
      <c r="E41" s="2">
        <v>32000</v>
      </c>
      <c r="H41" t="s">
        <v>9</v>
      </c>
    </row>
    <row r="42" spans="1:8" x14ac:dyDescent="0.2">
      <c r="A42" t="str">
        <f t="shared" si="0"/>
        <v>PAY-041</v>
      </c>
      <c r="C42" t="str">
        <f t="shared" si="1"/>
        <v>TRIP-041</v>
      </c>
      <c r="D42" s="1" t="s">
        <v>24</v>
      </c>
      <c r="E42" s="2">
        <v>40000</v>
      </c>
      <c r="H42" t="s">
        <v>9</v>
      </c>
    </row>
    <row r="43" spans="1:8" x14ac:dyDescent="0.2">
      <c r="A43" t="str">
        <f t="shared" si="0"/>
        <v>PAY-042</v>
      </c>
      <c r="C43" t="str">
        <f t="shared" si="1"/>
        <v>TRIP-042</v>
      </c>
      <c r="D43" s="1" t="s">
        <v>35</v>
      </c>
      <c r="E43" s="2">
        <v>33000</v>
      </c>
      <c r="H43" t="s">
        <v>9</v>
      </c>
    </row>
    <row r="44" spans="1:8" x14ac:dyDescent="0.2">
      <c r="A44" t="str">
        <f t="shared" si="0"/>
        <v>PAY-043</v>
      </c>
      <c r="C44" t="str">
        <f t="shared" si="1"/>
        <v>TRIP-043</v>
      </c>
      <c r="D44" s="1" t="s">
        <v>29</v>
      </c>
      <c r="E44" s="2">
        <v>62000</v>
      </c>
      <c r="H44" t="s">
        <v>9</v>
      </c>
    </row>
    <row r="45" spans="1:8" x14ac:dyDescent="0.2">
      <c r="A45" t="str">
        <f t="shared" si="0"/>
        <v>PAY-044</v>
      </c>
      <c r="C45" t="str">
        <f t="shared" si="1"/>
        <v>TRIP-044</v>
      </c>
      <c r="D45" s="1" t="s">
        <v>36</v>
      </c>
      <c r="E45" s="2">
        <v>30000</v>
      </c>
      <c r="H45" t="s">
        <v>9</v>
      </c>
    </row>
    <row r="46" spans="1:8" x14ac:dyDescent="0.2">
      <c r="A46" t="str">
        <f t="shared" si="0"/>
        <v>PAY-045</v>
      </c>
      <c r="C46" t="str">
        <f t="shared" si="1"/>
        <v>TRIP-045</v>
      </c>
      <c r="D46" s="1" t="s">
        <v>19</v>
      </c>
      <c r="E46" s="2">
        <v>64000</v>
      </c>
      <c r="H46" t="s">
        <v>9</v>
      </c>
    </row>
    <row r="47" spans="1:8" x14ac:dyDescent="0.2">
      <c r="A47" t="str">
        <f t="shared" si="0"/>
        <v>PAY-046</v>
      </c>
      <c r="C47" t="str">
        <f t="shared" si="1"/>
        <v>TRIP-046</v>
      </c>
      <c r="D47" s="1" t="s">
        <v>29</v>
      </c>
      <c r="E47" s="2">
        <v>62000</v>
      </c>
      <c r="H4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B477-B6FA-F14A-8A65-590B497172A2}">
  <dimension ref="A1:H12"/>
  <sheetViews>
    <sheetView workbookViewId="0">
      <selection activeCell="H2" sqref="H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"PAY-HF-"&amp;TEXT(ROW()-1,"000")</f>
        <v>PAY-HF-001</v>
      </c>
      <c r="C2" t="s">
        <v>37</v>
      </c>
      <c r="D2" s="1" t="s">
        <v>16</v>
      </c>
      <c r="E2" s="2">
        <v>12000</v>
      </c>
      <c r="H2" t="s">
        <v>38</v>
      </c>
    </row>
    <row r="3" spans="1:8" x14ac:dyDescent="0.2">
      <c r="A3" t="str">
        <f t="shared" ref="A3:A12" si="0">"PAY-HF-"&amp;TEXT(ROW()-1,"000")</f>
        <v>PAY-HF-002</v>
      </c>
      <c r="C3" t="s">
        <v>39</v>
      </c>
      <c r="D3" s="1" t="s">
        <v>40</v>
      </c>
      <c r="E3" s="2">
        <v>10000</v>
      </c>
      <c r="H3" t="s">
        <v>38</v>
      </c>
    </row>
    <row r="4" spans="1:8" x14ac:dyDescent="0.2">
      <c r="A4" t="str">
        <f t="shared" si="0"/>
        <v>PAY-HF-003</v>
      </c>
      <c r="C4" t="s">
        <v>41</v>
      </c>
      <c r="D4" s="1" t="s">
        <v>42</v>
      </c>
      <c r="E4" s="2">
        <v>9500</v>
      </c>
      <c r="H4" t="s">
        <v>38</v>
      </c>
    </row>
    <row r="5" spans="1:8" x14ac:dyDescent="0.2">
      <c r="A5" t="str">
        <f t="shared" si="0"/>
        <v>PAY-HF-004</v>
      </c>
      <c r="C5" t="s">
        <v>43</v>
      </c>
      <c r="D5" s="1" t="s">
        <v>44</v>
      </c>
      <c r="E5" s="2">
        <v>2000</v>
      </c>
      <c r="H5" t="s">
        <v>38</v>
      </c>
    </row>
    <row r="6" spans="1:8" x14ac:dyDescent="0.2">
      <c r="A6" t="str">
        <f t="shared" si="0"/>
        <v>PAY-HF-005</v>
      </c>
      <c r="C6" t="s">
        <v>45</v>
      </c>
      <c r="D6" s="1" t="s">
        <v>46</v>
      </c>
      <c r="E6" s="2">
        <v>10000</v>
      </c>
      <c r="H6" t="s">
        <v>38</v>
      </c>
    </row>
    <row r="7" spans="1:8" x14ac:dyDescent="0.2">
      <c r="A7" t="str">
        <f t="shared" si="0"/>
        <v>PAY-HF-006</v>
      </c>
      <c r="C7" t="s">
        <v>47</v>
      </c>
      <c r="D7" s="1" t="s">
        <v>48</v>
      </c>
      <c r="E7" s="2">
        <v>10000</v>
      </c>
      <c r="H7" t="s">
        <v>38</v>
      </c>
    </row>
    <row r="8" spans="1:8" x14ac:dyDescent="0.2">
      <c r="A8" t="str">
        <f t="shared" si="0"/>
        <v>PAY-HF-007</v>
      </c>
      <c r="C8" t="s">
        <v>49</v>
      </c>
      <c r="D8" s="1" t="s">
        <v>50</v>
      </c>
      <c r="E8" s="2">
        <v>10000</v>
      </c>
      <c r="H8" t="s">
        <v>38</v>
      </c>
    </row>
    <row r="9" spans="1:8" x14ac:dyDescent="0.2">
      <c r="A9" t="str">
        <f t="shared" si="0"/>
        <v>PAY-HF-008</v>
      </c>
      <c r="C9" t="s">
        <v>51</v>
      </c>
      <c r="D9" s="1" t="s">
        <v>40</v>
      </c>
      <c r="E9" s="2">
        <v>10000</v>
      </c>
      <c r="H9" t="s">
        <v>38</v>
      </c>
    </row>
    <row r="10" spans="1:8" x14ac:dyDescent="0.2">
      <c r="A10" t="str">
        <f t="shared" si="0"/>
        <v>PAY-HF-009</v>
      </c>
      <c r="C10" t="s">
        <v>52</v>
      </c>
      <c r="D10" s="1" t="s">
        <v>44</v>
      </c>
      <c r="E10" s="2">
        <v>10000</v>
      </c>
      <c r="H10" t="s">
        <v>38</v>
      </c>
    </row>
    <row r="11" spans="1:8" x14ac:dyDescent="0.2">
      <c r="A11" t="str">
        <f t="shared" si="0"/>
        <v>PAY-HF-010</v>
      </c>
      <c r="C11" t="s">
        <v>53</v>
      </c>
      <c r="D11" s="1" t="s">
        <v>54</v>
      </c>
      <c r="E11" s="2">
        <v>10000</v>
      </c>
      <c r="H11" t="s">
        <v>38</v>
      </c>
    </row>
    <row r="12" spans="1:8" x14ac:dyDescent="0.2">
      <c r="A12" t="str">
        <f t="shared" si="0"/>
        <v>PAY-HF-011</v>
      </c>
      <c r="C12" t="s">
        <v>55</v>
      </c>
      <c r="D12" s="1" t="s">
        <v>40</v>
      </c>
      <c r="E12" s="2">
        <v>10000</v>
      </c>
      <c r="H1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DBD2-6951-3043-A594-843F8EEC77A0}">
  <dimension ref="A1:H9"/>
  <sheetViews>
    <sheetView tabSelected="1" zoomScale="216" workbookViewId="0">
      <selection activeCell="G16" sqref="G1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tr">
        <f>"PAY-T-"&amp;TEXT(ROW()-1,"000")</f>
        <v>PAY-T-001</v>
      </c>
      <c r="C2" t="str">
        <f>"TRIP-T-"&amp;TEXT(ROW()-1,"000")</f>
        <v>TRIP-T-001</v>
      </c>
      <c r="D2" s="1" t="s">
        <v>56</v>
      </c>
      <c r="E2" s="2">
        <v>4000</v>
      </c>
    </row>
    <row r="3" spans="1:8" x14ac:dyDescent="0.2">
      <c r="A3" s="1" t="str">
        <f t="shared" ref="A3:A9" si="0">"PAY-T-"&amp;TEXT(ROW()-1,"000")</f>
        <v>PAY-T-002</v>
      </c>
      <c r="C3" t="str">
        <f t="shared" ref="C3:C9" si="1">"TRIP-T-"&amp;TEXT(ROW()-1,"000")</f>
        <v>TRIP-T-002</v>
      </c>
      <c r="D3" s="1" t="s">
        <v>57</v>
      </c>
      <c r="E3" s="2">
        <v>4000</v>
      </c>
    </row>
    <row r="4" spans="1:8" x14ac:dyDescent="0.2">
      <c r="A4" s="1" t="str">
        <f t="shared" si="0"/>
        <v>PAY-T-003</v>
      </c>
      <c r="C4" t="str">
        <f t="shared" si="1"/>
        <v>TRIP-T-003</v>
      </c>
      <c r="D4" s="3" t="s">
        <v>58</v>
      </c>
      <c r="E4" s="2">
        <v>1000</v>
      </c>
    </row>
    <row r="5" spans="1:8" x14ac:dyDescent="0.2">
      <c r="A5" s="1" t="str">
        <f t="shared" si="0"/>
        <v>PAY-T-004</v>
      </c>
      <c r="C5" t="str">
        <f t="shared" si="1"/>
        <v>TRIP-T-004</v>
      </c>
      <c r="D5" s="3" t="s">
        <v>56</v>
      </c>
      <c r="E5" s="2">
        <v>4000</v>
      </c>
    </row>
    <row r="6" spans="1:8" x14ac:dyDescent="0.2">
      <c r="A6" s="1" t="str">
        <f t="shared" si="0"/>
        <v>PAY-T-005</v>
      </c>
      <c r="C6" t="str">
        <f t="shared" si="1"/>
        <v>TRIP-T-005</v>
      </c>
      <c r="D6" s="3" t="s">
        <v>57</v>
      </c>
      <c r="E6" s="2">
        <v>4000</v>
      </c>
    </row>
    <row r="7" spans="1:8" x14ac:dyDescent="0.2">
      <c r="A7" s="1" t="str">
        <f t="shared" si="0"/>
        <v>PAY-T-006</v>
      </c>
      <c r="C7" t="str">
        <f t="shared" si="1"/>
        <v>TRIP-T-006</v>
      </c>
      <c r="D7" s="3" t="s">
        <v>59</v>
      </c>
      <c r="E7" s="2">
        <v>4000</v>
      </c>
    </row>
    <row r="8" spans="1:8" x14ac:dyDescent="0.2">
      <c r="A8" s="1" t="str">
        <f t="shared" si="0"/>
        <v>PAY-T-007</v>
      </c>
      <c r="C8" t="str">
        <f t="shared" si="1"/>
        <v>TRIP-T-007</v>
      </c>
      <c r="D8" s="3" t="s">
        <v>60</v>
      </c>
      <c r="E8" s="2">
        <v>4000</v>
      </c>
    </row>
    <row r="9" spans="1:8" x14ac:dyDescent="0.2">
      <c r="A9" s="1" t="str">
        <f t="shared" si="0"/>
        <v>PAY-T-008</v>
      </c>
      <c r="C9" t="str">
        <f t="shared" si="1"/>
        <v>TRIP-T-008</v>
      </c>
      <c r="D9" s="3" t="s">
        <v>61</v>
      </c>
      <c r="E9" s="2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9034-F279-7947-BECA-352C362C42DA}">
  <dimension ref="A1:H38"/>
  <sheetViews>
    <sheetView topLeftCell="A4" workbookViewId="0">
      <selection activeCell="H2" sqref="H2"/>
    </sheetView>
  </sheetViews>
  <sheetFormatPr baseColWidth="10" defaultRowHeight="16" x14ac:dyDescent="0.2"/>
  <cols>
    <col min="5" max="5" width="12.33203125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9" x14ac:dyDescent="0.25">
      <c r="A2" s="4" t="s">
        <v>62</v>
      </c>
      <c r="B2" s="5"/>
      <c r="C2" s="4" t="s">
        <v>63</v>
      </c>
      <c r="D2" s="6" t="s">
        <v>29</v>
      </c>
      <c r="E2" s="7">
        <v>4000</v>
      </c>
      <c r="F2" s="4"/>
      <c r="G2" s="4"/>
      <c r="H2" s="4" t="s">
        <v>9</v>
      </c>
    </row>
    <row r="3" spans="1:8" ht="19" x14ac:dyDescent="0.25">
      <c r="A3" s="4" t="s">
        <v>64</v>
      </c>
      <c r="B3" s="5"/>
      <c r="C3" s="4" t="s">
        <v>65</v>
      </c>
      <c r="D3" s="6" t="s">
        <v>66</v>
      </c>
      <c r="E3" s="7">
        <v>16800</v>
      </c>
      <c r="F3" s="4"/>
      <c r="G3" s="4"/>
      <c r="H3" s="4" t="s">
        <v>9</v>
      </c>
    </row>
    <row r="4" spans="1:8" ht="19" x14ac:dyDescent="0.25">
      <c r="A4" s="4" t="s">
        <v>67</v>
      </c>
      <c r="B4" s="5"/>
      <c r="C4" s="4" t="s">
        <v>68</v>
      </c>
      <c r="D4" s="6" t="s">
        <v>66</v>
      </c>
      <c r="E4" s="7">
        <v>16800</v>
      </c>
      <c r="F4" s="4"/>
      <c r="G4" s="4"/>
      <c r="H4" s="4" t="s">
        <v>9</v>
      </c>
    </row>
    <row r="5" spans="1:8" ht="19" x14ac:dyDescent="0.25">
      <c r="A5" s="4" t="s">
        <v>69</v>
      </c>
      <c r="B5" s="5"/>
      <c r="C5" s="4" t="s">
        <v>70</v>
      </c>
      <c r="D5" s="6" t="s">
        <v>10</v>
      </c>
      <c r="E5" s="7">
        <v>5400</v>
      </c>
      <c r="F5" s="4"/>
      <c r="G5" s="4"/>
      <c r="H5" s="4" t="s">
        <v>9</v>
      </c>
    </row>
    <row r="6" spans="1:8" ht="19" x14ac:dyDescent="0.25">
      <c r="A6" s="4" t="s">
        <v>71</v>
      </c>
      <c r="B6" s="5"/>
      <c r="C6" s="4" t="s">
        <v>72</v>
      </c>
      <c r="D6" s="6" t="s">
        <v>66</v>
      </c>
      <c r="E6" s="7">
        <v>11200</v>
      </c>
      <c r="F6" s="4"/>
      <c r="G6" s="4"/>
      <c r="H6" s="4" t="s">
        <v>9</v>
      </c>
    </row>
    <row r="7" spans="1:8" ht="19" x14ac:dyDescent="0.25">
      <c r="A7" s="4" t="s">
        <v>73</v>
      </c>
      <c r="B7" s="5"/>
      <c r="C7" s="4" t="s">
        <v>74</v>
      </c>
      <c r="D7" s="6" t="s">
        <v>66</v>
      </c>
      <c r="E7" s="7">
        <v>11200</v>
      </c>
      <c r="F7" s="4"/>
      <c r="G7" s="4"/>
      <c r="H7" s="4" t="s">
        <v>9</v>
      </c>
    </row>
    <row r="8" spans="1:8" ht="19" x14ac:dyDescent="0.25">
      <c r="A8" s="4" t="s">
        <v>75</v>
      </c>
      <c r="B8" s="5"/>
      <c r="C8" s="4" t="s">
        <v>76</v>
      </c>
      <c r="D8" s="6" t="s">
        <v>77</v>
      </c>
      <c r="E8" s="7">
        <v>8100</v>
      </c>
      <c r="F8" s="4"/>
      <c r="G8" s="4"/>
      <c r="H8" s="4" t="s">
        <v>9</v>
      </c>
    </row>
    <row r="9" spans="1:8" ht="19" x14ac:dyDescent="0.25">
      <c r="A9" s="4" t="s">
        <v>78</v>
      </c>
      <c r="B9" s="5"/>
      <c r="C9" s="4" t="s">
        <v>79</v>
      </c>
      <c r="D9" s="6" t="s">
        <v>77</v>
      </c>
      <c r="E9" s="7">
        <v>2500</v>
      </c>
      <c r="F9" s="4"/>
      <c r="G9" s="4"/>
      <c r="H9" s="4" t="s">
        <v>9</v>
      </c>
    </row>
    <row r="10" spans="1:8" ht="19" x14ac:dyDescent="0.25">
      <c r="A10" s="4" t="s">
        <v>80</v>
      </c>
      <c r="B10" s="5"/>
      <c r="C10" s="4" t="s">
        <v>81</v>
      </c>
      <c r="D10" s="6" t="s">
        <v>82</v>
      </c>
      <c r="E10" s="7">
        <v>9000</v>
      </c>
      <c r="F10" s="4"/>
      <c r="G10" s="4"/>
      <c r="H10" s="4" t="s">
        <v>9</v>
      </c>
    </row>
    <row r="11" spans="1:8" ht="19" x14ac:dyDescent="0.25">
      <c r="A11" s="4" t="s">
        <v>83</v>
      </c>
      <c r="B11" s="5"/>
      <c r="C11" s="4" t="s">
        <v>84</v>
      </c>
      <c r="D11" s="6" t="s">
        <v>82</v>
      </c>
      <c r="E11" s="7">
        <v>9000</v>
      </c>
      <c r="F11" s="4"/>
      <c r="G11" s="4"/>
      <c r="H11" s="4" t="s">
        <v>9</v>
      </c>
    </row>
    <row r="12" spans="1:8" ht="19" x14ac:dyDescent="0.25">
      <c r="A12" s="4" t="s">
        <v>85</v>
      </c>
      <c r="B12" s="5"/>
      <c r="C12" s="4" t="s">
        <v>86</v>
      </c>
      <c r="D12" s="6" t="s">
        <v>82</v>
      </c>
      <c r="E12" s="7">
        <v>3000</v>
      </c>
      <c r="F12" s="4"/>
      <c r="G12" s="4"/>
      <c r="H12" s="4" t="s">
        <v>9</v>
      </c>
    </row>
    <row r="13" spans="1:8" ht="19" x14ac:dyDescent="0.25">
      <c r="A13" s="4" t="s">
        <v>87</v>
      </c>
      <c r="B13" s="5"/>
      <c r="C13" s="4" t="s">
        <v>88</v>
      </c>
      <c r="D13" s="6" t="s">
        <v>82</v>
      </c>
      <c r="E13" s="7">
        <v>3000</v>
      </c>
      <c r="F13" s="4"/>
      <c r="G13" s="4"/>
      <c r="H13" s="4" t="s">
        <v>9</v>
      </c>
    </row>
    <row r="14" spans="1:8" ht="19" x14ac:dyDescent="0.25">
      <c r="A14" s="4" t="s">
        <v>89</v>
      </c>
      <c r="B14" s="5"/>
      <c r="C14" s="4" t="s">
        <v>90</v>
      </c>
      <c r="D14" s="6" t="s">
        <v>82</v>
      </c>
      <c r="E14" s="7">
        <v>6000</v>
      </c>
      <c r="F14" s="4"/>
      <c r="G14" s="4"/>
      <c r="H14" s="4" t="s">
        <v>9</v>
      </c>
    </row>
    <row r="15" spans="1:8" ht="19" x14ac:dyDescent="0.25">
      <c r="A15" s="4" t="s">
        <v>91</v>
      </c>
      <c r="B15" s="5"/>
      <c r="C15" s="4" t="s">
        <v>92</v>
      </c>
      <c r="D15" s="6" t="s">
        <v>93</v>
      </c>
      <c r="E15" s="7">
        <v>6000</v>
      </c>
      <c r="F15" s="4"/>
      <c r="G15" s="4"/>
      <c r="H15" s="4" t="s">
        <v>9</v>
      </c>
    </row>
    <row r="16" spans="1:8" ht="19" x14ac:dyDescent="0.25">
      <c r="A16" s="4" t="s">
        <v>94</v>
      </c>
      <c r="B16" s="5"/>
      <c r="C16" s="4" t="s">
        <v>95</v>
      </c>
      <c r="D16" s="6" t="s">
        <v>93</v>
      </c>
      <c r="E16" s="7">
        <v>6000</v>
      </c>
      <c r="F16" s="4"/>
      <c r="G16" s="4"/>
      <c r="H16" s="4" t="s">
        <v>9</v>
      </c>
    </row>
    <row r="17" spans="1:8" ht="19" x14ac:dyDescent="0.25">
      <c r="A17" s="4" t="s">
        <v>96</v>
      </c>
      <c r="B17" s="5"/>
      <c r="C17" s="4" t="s">
        <v>97</v>
      </c>
      <c r="D17" s="6" t="s">
        <v>82</v>
      </c>
      <c r="E17" s="7">
        <v>9000</v>
      </c>
      <c r="F17" s="4"/>
      <c r="G17" s="4"/>
      <c r="H17" s="4" t="s">
        <v>9</v>
      </c>
    </row>
    <row r="18" spans="1:8" ht="19" x14ac:dyDescent="0.25">
      <c r="A18" s="4" t="s">
        <v>98</v>
      </c>
      <c r="B18" s="5"/>
      <c r="C18" s="4" t="s">
        <v>99</v>
      </c>
      <c r="D18" s="6" t="s">
        <v>82</v>
      </c>
      <c r="E18" s="7">
        <v>3000</v>
      </c>
      <c r="F18" s="4"/>
      <c r="G18" s="4"/>
      <c r="H18" s="4" t="s">
        <v>9</v>
      </c>
    </row>
    <row r="19" spans="1:8" ht="19" x14ac:dyDescent="0.25">
      <c r="A19" s="4" t="s">
        <v>100</v>
      </c>
      <c r="B19" s="5"/>
      <c r="C19" s="4" t="s">
        <v>101</v>
      </c>
      <c r="D19" s="6" t="s">
        <v>93</v>
      </c>
      <c r="E19" s="7">
        <v>3000</v>
      </c>
      <c r="F19" s="4"/>
      <c r="G19" s="4"/>
      <c r="H19" s="4" t="s">
        <v>9</v>
      </c>
    </row>
    <row r="20" spans="1:8" ht="19" x14ac:dyDescent="0.25">
      <c r="A20" s="4" t="s">
        <v>102</v>
      </c>
      <c r="B20" s="5"/>
      <c r="C20" s="4" t="s">
        <v>103</v>
      </c>
      <c r="D20" s="6" t="s">
        <v>93</v>
      </c>
      <c r="E20" s="7">
        <v>3000</v>
      </c>
      <c r="F20" s="4"/>
      <c r="G20" s="4"/>
      <c r="H20" s="4" t="s">
        <v>9</v>
      </c>
    </row>
    <row r="21" spans="1:8" ht="19" x14ac:dyDescent="0.25">
      <c r="A21" s="4" t="s">
        <v>104</v>
      </c>
      <c r="B21" s="5"/>
      <c r="C21" s="4" t="s">
        <v>105</v>
      </c>
      <c r="D21" s="6" t="s">
        <v>82</v>
      </c>
      <c r="E21" s="7">
        <v>9000</v>
      </c>
      <c r="F21" s="4"/>
      <c r="G21" s="4"/>
      <c r="H21" s="4" t="s">
        <v>9</v>
      </c>
    </row>
    <row r="22" spans="1:8" ht="19" x14ac:dyDescent="0.25">
      <c r="A22" s="4" t="s">
        <v>106</v>
      </c>
      <c r="B22" s="5"/>
      <c r="C22" s="4" t="s">
        <v>107</v>
      </c>
      <c r="D22" s="6" t="s">
        <v>82</v>
      </c>
      <c r="E22" s="7">
        <v>6000</v>
      </c>
      <c r="F22" s="4"/>
      <c r="G22" s="4"/>
      <c r="H22" s="4" t="s">
        <v>9</v>
      </c>
    </row>
    <row r="23" spans="1:8" ht="19" x14ac:dyDescent="0.25">
      <c r="A23" s="4" t="s">
        <v>108</v>
      </c>
      <c r="B23" s="5"/>
      <c r="C23" s="4" t="s">
        <v>109</v>
      </c>
      <c r="D23" s="6" t="s">
        <v>93</v>
      </c>
      <c r="E23" s="7">
        <v>6000</v>
      </c>
      <c r="F23" s="4"/>
      <c r="G23" s="4"/>
      <c r="H23" s="4" t="s">
        <v>9</v>
      </c>
    </row>
    <row r="24" spans="1:8" ht="19" x14ac:dyDescent="0.25">
      <c r="A24" s="4" t="s">
        <v>110</v>
      </c>
      <c r="B24" s="5"/>
      <c r="C24" s="4" t="s">
        <v>111</v>
      </c>
      <c r="D24" s="6" t="s">
        <v>93</v>
      </c>
      <c r="E24" s="7">
        <v>15000</v>
      </c>
      <c r="F24" s="4"/>
      <c r="G24" s="4"/>
      <c r="H24" s="4" t="s">
        <v>9</v>
      </c>
    </row>
    <row r="25" spans="1:8" ht="19" x14ac:dyDescent="0.25">
      <c r="A25" s="4" t="s">
        <v>112</v>
      </c>
      <c r="B25" s="5"/>
      <c r="C25" s="4" t="s">
        <v>113</v>
      </c>
      <c r="D25" s="6" t="s">
        <v>93</v>
      </c>
      <c r="E25" s="7">
        <v>3000</v>
      </c>
      <c r="F25" s="4"/>
      <c r="G25" s="4"/>
      <c r="H25" s="4" t="s">
        <v>9</v>
      </c>
    </row>
    <row r="26" spans="1:8" ht="19" x14ac:dyDescent="0.25">
      <c r="A26" s="4" t="s">
        <v>114</v>
      </c>
      <c r="B26" s="5"/>
      <c r="C26" s="4" t="s">
        <v>115</v>
      </c>
      <c r="D26" s="6" t="s">
        <v>82</v>
      </c>
      <c r="E26" s="7">
        <v>6000</v>
      </c>
      <c r="F26" s="4"/>
      <c r="G26" s="4"/>
      <c r="H26" s="4" t="s">
        <v>9</v>
      </c>
    </row>
    <row r="27" spans="1:8" ht="19" x14ac:dyDescent="0.25">
      <c r="A27" s="4" t="s">
        <v>116</v>
      </c>
      <c r="B27" s="5"/>
      <c r="C27" s="4" t="s">
        <v>117</v>
      </c>
      <c r="D27" s="6" t="s">
        <v>82</v>
      </c>
      <c r="E27" s="7">
        <v>18000</v>
      </c>
      <c r="F27" s="4"/>
      <c r="G27" s="4"/>
      <c r="H27" s="4" t="s">
        <v>9</v>
      </c>
    </row>
    <row r="28" spans="1:8" ht="19" x14ac:dyDescent="0.25">
      <c r="A28" s="4" t="s">
        <v>118</v>
      </c>
      <c r="B28" s="5"/>
      <c r="C28" s="4" t="s">
        <v>119</v>
      </c>
      <c r="D28" s="6" t="s">
        <v>82</v>
      </c>
      <c r="E28" s="7">
        <v>3000</v>
      </c>
      <c r="F28" s="4"/>
      <c r="G28" s="4"/>
      <c r="H28" s="4" t="s">
        <v>9</v>
      </c>
    </row>
    <row r="29" spans="1:8" ht="19" x14ac:dyDescent="0.25">
      <c r="A29" s="4" t="s">
        <v>120</v>
      </c>
      <c r="B29" s="5"/>
      <c r="C29" s="4" t="s">
        <v>121</v>
      </c>
      <c r="D29" s="6" t="s">
        <v>122</v>
      </c>
      <c r="E29" s="7">
        <v>6400</v>
      </c>
      <c r="F29" s="4"/>
      <c r="G29" s="4"/>
      <c r="H29" s="4" t="s">
        <v>9</v>
      </c>
    </row>
    <row r="30" spans="1:8" ht="19" x14ac:dyDescent="0.25">
      <c r="A30" s="4" t="s">
        <v>123</v>
      </c>
      <c r="B30" s="5"/>
      <c r="C30" s="4" t="s">
        <v>124</v>
      </c>
      <c r="D30" s="6" t="s">
        <v>122</v>
      </c>
      <c r="E30" s="7">
        <v>22400</v>
      </c>
      <c r="F30" s="4"/>
      <c r="G30" s="4"/>
      <c r="H30" s="4" t="s">
        <v>9</v>
      </c>
    </row>
    <row r="31" spans="1:8" ht="19" x14ac:dyDescent="0.25">
      <c r="A31" s="4" t="s">
        <v>125</v>
      </c>
      <c r="B31" s="5"/>
      <c r="C31" s="4" t="s">
        <v>126</v>
      </c>
      <c r="D31" s="6" t="s">
        <v>82</v>
      </c>
      <c r="E31" s="7">
        <v>6000</v>
      </c>
      <c r="F31" s="4"/>
      <c r="G31" s="4"/>
      <c r="H31" s="4" t="s">
        <v>9</v>
      </c>
    </row>
    <row r="32" spans="1:8" ht="19" x14ac:dyDescent="0.25">
      <c r="A32" s="4" t="s">
        <v>127</v>
      </c>
      <c r="B32" s="5"/>
      <c r="C32" s="4" t="s">
        <v>128</v>
      </c>
      <c r="D32" s="6" t="s">
        <v>10</v>
      </c>
      <c r="E32" s="7">
        <v>5600</v>
      </c>
      <c r="F32" s="4"/>
      <c r="G32" s="4"/>
      <c r="H32" s="4" t="s">
        <v>9</v>
      </c>
    </row>
    <row r="33" spans="1:8" ht="19" x14ac:dyDescent="0.25">
      <c r="A33" s="4" t="s">
        <v>129</v>
      </c>
      <c r="B33" s="5"/>
      <c r="C33" s="4" t="s">
        <v>130</v>
      </c>
      <c r="D33" s="6" t="s">
        <v>122</v>
      </c>
      <c r="E33" s="7">
        <v>6400</v>
      </c>
      <c r="F33" s="4"/>
      <c r="G33" s="4"/>
      <c r="H33" s="4" t="s">
        <v>9</v>
      </c>
    </row>
    <row r="34" spans="1:8" ht="19" x14ac:dyDescent="0.25">
      <c r="A34" s="4" t="s">
        <v>131</v>
      </c>
      <c r="B34" s="5"/>
      <c r="C34" s="4" t="s">
        <v>132</v>
      </c>
      <c r="D34" s="6" t="s">
        <v>82</v>
      </c>
      <c r="E34" s="7">
        <v>18000</v>
      </c>
      <c r="F34" s="4"/>
      <c r="G34" s="4"/>
      <c r="H34" s="4" t="s">
        <v>9</v>
      </c>
    </row>
    <row r="35" spans="1:8" ht="19" x14ac:dyDescent="0.25">
      <c r="A35" s="4" t="s">
        <v>133</v>
      </c>
      <c r="B35" s="5"/>
      <c r="C35" s="4" t="s">
        <v>134</v>
      </c>
      <c r="D35" s="6" t="s">
        <v>10</v>
      </c>
      <c r="E35" s="7">
        <v>2800</v>
      </c>
      <c r="F35" s="4"/>
      <c r="G35" s="4"/>
      <c r="H35" s="4" t="s">
        <v>9</v>
      </c>
    </row>
    <row r="36" spans="1:8" ht="19" x14ac:dyDescent="0.25">
      <c r="A36" s="4" t="s">
        <v>135</v>
      </c>
      <c r="B36" s="5"/>
      <c r="C36" s="4" t="s">
        <v>136</v>
      </c>
      <c r="D36" s="6" t="s">
        <v>137</v>
      </c>
      <c r="E36" s="7">
        <v>3000</v>
      </c>
      <c r="F36" s="4"/>
      <c r="G36" s="4"/>
      <c r="H36" s="4" t="s">
        <v>9</v>
      </c>
    </row>
    <row r="37" spans="1:8" ht="19" x14ac:dyDescent="0.25">
      <c r="A37" s="4" t="s">
        <v>138</v>
      </c>
      <c r="B37" s="5"/>
      <c r="C37" s="4" t="s">
        <v>139</v>
      </c>
      <c r="D37" s="6" t="s">
        <v>82</v>
      </c>
      <c r="E37" s="7">
        <v>9000</v>
      </c>
      <c r="F37" s="4"/>
      <c r="G37" s="4"/>
      <c r="H37" s="4" t="s">
        <v>9</v>
      </c>
    </row>
    <row r="38" spans="1:8" ht="19" x14ac:dyDescent="0.25">
      <c r="A38" s="4" t="s">
        <v>140</v>
      </c>
      <c r="B38" s="5"/>
      <c r="C38" s="4" t="s">
        <v>141</v>
      </c>
      <c r="D38" s="6" t="s">
        <v>82</v>
      </c>
      <c r="E38" s="7">
        <v>12000</v>
      </c>
      <c r="F38" s="4"/>
      <c r="G38" s="4"/>
      <c r="H3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Hyva White Sand Payment</vt:lpstr>
      <vt:lpstr>Halfton White Sand</vt:lpstr>
      <vt:lpstr>Tractor</vt:lpstr>
      <vt:lpstr>Hyva Fly Ash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2026-08-14T05:36:50Z</dcterms:created>
  <dcterms:modified xsi:type="dcterms:W3CDTF">2026-08-15T11:11:49Z</dcterms:modified>
</cp:coreProperties>
</file>