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"/>
    </mc:Choice>
  </mc:AlternateContent>
  <xr:revisionPtr revIDLastSave="0" documentId="13_ncr:1_{057EFB5A-A641-7048-BCA7-FB245EDB7678}" xr6:coauthVersionLast="47" xr6:coauthVersionMax="47" xr10:uidLastSave="{00000000-0000-0000-0000-000000000000}"/>
  <bookViews>
    <workbookView xWindow="0" yWindow="780" windowWidth="36000" windowHeight="22600" activeTab="3" xr2:uid="{70ED392B-723B-7B4D-B065-CDAA307994DE}"/>
  </bookViews>
  <sheets>
    <sheet name="Hyva Trips  White Sand" sheetId="1" r:id="rId1"/>
    <sheet name="Hyva Trip Fly Ash" sheetId="3" r:id="rId2"/>
    <sheet name="Halfton trips" sheetId="2" r:id="rId3"/>
    <sheet name="Tractor" sheetId="5" r:id="rId4"/>
  </sheets>
  <externalReferences>
    <externalReference r:id="rId5"/>
    <externalReference r:id="rId6"/>
    <externalReference r:id="rId7"/>
  </externalReferences>
  <definedNames>
    <definedName name="_xlnm._FilterDatabase" localSheetId="0" hidden="1">'Hyva Trips  White Sand'!$D$1:$D$50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G2" i="1"/>
  <c r="V33" i="5" l="1"/>
  <c r="W33" i="5" s="1"/>
  <c r="T33" i="5"/>
  <c r="U33" i="5" s="1"/>
  <c r="C33" i="5"/>
  <c r="A33" i="5"/>
  <c r="V32" i="5"/>
  <c r="W32" i="5" s="1"/>
  <c r="U32" i="5"/>
  <c r="T32" i="5"/>
  <c r="C32" i="5"/>
  <c r="A32" i="5"/>
  <c r="V31" i="5"/>
  <c r="W31" i="5" s="1"/>
  <c r="T31" i="5"/>
  <c r="U31" i="5" s="1"/>
  <c r="C31" i="5"/>
  <c r="A31" i="5"/>
  <c r="W30" i="5"/>
  <c r="V30" i="5"/>
  <c r="T30" i="5"/>
  <c r="U30" i="5" s="1"/>
  <c r="C30" i="5"/>
  <c r="A30" i="5"/>
  <c r="V29" i="5"/>
  <c r="W29" i="5" s="1"/>
  <c r="T29" i="5"/>
  <c r="U29" i="5" s="1"/>
  <c r="C29" i="5"/>
  <c r="A29" i="5"/>
  <c r="V28" i="5"/>
  <c r="W28" i="5" s="1"/>
  <c r="T28" i="5"/>
  <c r="U28" i="5" s="1"/>
  <c r="C28" i="5"/>
  <c r="A28" i="5"/>
  <c r="V27" i="5"/>
  <c r="W27" i="5" s="1"/>
  <c r="U27" i="5"/>
  <c r="T27" i="5"/>
  <c r="C27" i="5"/>
  <c r="A27" i="5"/>
  <c r="V26" i="5"/>
  <c r="W26" i="5" s="1"/>
  <c r="T26" i="5"/>
  <c r="U26" i="5" s="1"/>
  <c r="C26" i="5"/>
  <c r="A26" i="5"/>
  <c r="W25" i="5"/>
  <c r="V25" i="5"/>
  <c r="T25" i="5"/>
  <c r="U25" i="5" s="1"/>
  <c r="C25" i="5"/>
  <c r="A25" i="5"/>
  <c r="V24" i="5"/>
  <c r="W24" i="5" s="1"/>
  <c r="T24" i="5"/>
  <c r="U24" i="5" s="1"/>
  <c r="C24" i="5"/>
  <c r="A24" i="5"/>
  <c r="V23" i="5"/>
  <c r="W23" i="5" s="1"/>
  <c r="T23" i="5"/>
  <c r="U23" i="5" s="1"/>
  <c r="C23" i="5"/>
  <c r="A23" i="5"/>
  <c r="V22" i="5"/>
  <c r="W22" i="5" s="1"/>
  <c r="U22" i="5"/>
  <c r="T22" i="5"/>
  <c r="C22" i="5"/>
  <c r="A22" i="5"/>
  <c r="V21" i="5"/>
  <c r="W21" i="5" s="1"/>
  <c r="T21" i="5"/>
  <c r="U21" i="5" s="1"/>
  <c r="C21" i="5"/>
  <c r="A21" i="5"/>
  <c r="W20" i="5"/>
  <c r="V20" i="5"/>
  <c r="T20" i="5"/>
  <c r="U20" i="5" s="1"/>
  <c r="C20" i="5"/>
  <c r="A20" i="5"/>
  <c r="V19" i="5"/>
  <c r="W19" i="5" s="1"/>
  <c r="T19" i="5"/>
  <c r="U19" i="5" s="1"/>
  <c r="C19" i="5"/>
  <c r="A19" i="5"/>
  <c r="V18" i="5"/>
  <c r="W18" i="5" s="1"/>
  <c r="T18" i="5"/>
  <c r="U18" i="5" s="1"/>
  <c r="C18" i="5"/>
  <c r="A18" i="5"/>
  <c r="V17" i="5"/>
  <c r="W17" i="5" s="1"/>
  <c r="U17" i="5"/>
  <c r="T17" i="5"/>
  <c r="C17" i="5"/>
  <c r="A17" i="5"/>
  <c r="V16" i="5"/>
  <c r="W16" i="5" s="1"/>
  <c r="T16" i="5"/>
  <c r="U16" i="5" s="1"/>
  <c r="C16" i="5"/>
  <c r="A16" i="5"/>
  <c r="W15" i="5"/>
  <c r="V15" i="5"/>
  <c r="T15" i="5"/>
  <c r="U15" i="5" s="1"/>
  <c r="C15" i="5"/>
  <c r="A15" i="5"/>
  <c r="V14" i="5"/>
  <c r="W14" i="5" s="1"/>
  <c r="T14" i="5"/>
  <c r="U14" i="5" s="1"/>
  <c r="C14" i="5"/>
  <c r="A14" i="5"/>
  <c r="V13" i="5"/>
  <c r="W13" i="5" s="1"/>
  <c r="T13" i="5"/>
  <c r="U13" i="5" s="1"/>
  <c r="C13" i="5"/>
  <c r="A13" i="5"/>
  <c r="V12" i="5"/>
  <c r="W12" i="5" s="1"/>
  <c r="U12" i="5"/>
  <c r="T12" i="5"/>
  <c r="C12" i="5"/>
  <c r="A12" i="5"/>
  <c r="V11" i="5"/>
  <c r="W11" i="5" s="1"/>
  <c r="T11" i="5"/>
  <c r="U11" i="5" s="1"/>
  <c r="C11" i="5"/>
  <c r="A11" i="5"/>
  <c r="W10" i="5"/>
  <c r="V10" i="5"/>
  <c r="T10" i="5"/>
  <c r="U10" i="5" s="1"/>
  <c r="C10" i="5"/>
  <c r="A10" i="5"/>
  <c r="T9" i="5"/>
  <c r="U9" i="5" s="1"/>
  <c r="O9" i="5"/>
  <c r="V9" i="5" s="1"/>
  <c r="W9" i="5" s="1"/>
  <c r="C9" i="5"/>
  <c r="A9" i="5"/>
  <c r="T8" i="5"/>
  <c r="U8" i="5" s="1"/>
  <c r="O8" i="5"/>
  <c r="V8" i="5" s="1"/>
  <c r="W8" i="5" s="1"/>
  <c r="A8" i="5"/>
  <c r="V7" i="5"/>
  <c r="W7" i="5" s="1"/>
  <c r="T7" i="5"/>
  <c r="U7" i="5" s="1"/>
  <c r="O7" i="5"/>
  <c r="A7" i="5"/>
  <c r="T6" i="5"/>
  <c r="U6" i="5" s="1"/>
  <c r="O6" i="5"/>
  <c r="V6" i="5" s="1"/>
  <c r="W6" i="5" s="1"/>
  <c r="A6" i="5"/>
  <c r="T5" i="5"/>
  <c r="U5" i="5" s="1"/>
  <c r="O5" i="5"/>
  <c r="V5" i="5" s="1"/>
  <c r="W5" i="5" s="1"/>
  <c r="A5" i="5"/>
  <c r="T4" i="5"/>
  <c r="O4" i="5"/>
  <c r="V4" i="5" s="1"/>
  <c r="W4" i="5" s="1"/>
  <c r="A4" i="5"/>
  <c r="V3" i="5"/>
  <c r="W3" i="5" s="1"/>
  <c r="T3" i="5"/>
  <c r="U3" i="5" s="1"/>
  <c r="O3" i="5"/>
  <c r="A3" i="5"/>
  <c r="T2" i="5"/>
  <c r="U2" i="5" s="1"/>
  <c r="O2" i="5"/>
  <c r="V2" i="5" s="1"/>
  <c r="W2" i="5" s="1"/>
  <c r="A2" i="5"/>
  <c r="F50" i="3"/>
  <c r="F49" i="3"/>
  <c r="F48" i="3"/>
  <c r="F47" i="3"/>
  <c r="F46" i="3"/>
  <c r="F45" i="3"/>
  <c r="F44" i="3"/>
  <c r="U43" i="3"/>
  <c r="T43" i="3"/>
  <c r="O43" i="3"/>
  <c r="Q43" i="3" s="1"/>
  <c r="R43" i="3" s="1"/>
  <c r="F43" i="3"/>
  <c r="I43" i="3" s="1"/>
  <c r="A43" i="3"/>
  <c r="T42" i="3"/>
  <c r="U42" i="3" s="1"/>
  <c r="O42" i="3"/>
  <c r="Q42" i="3" s="1"/>
  <c r="R42" i="3" s="1"/>
  <c r="F42" i="3"/>
  <c r="I42" i="3" s="1"/>
  <c r="A42" i="3"/>
  <c r="T41" i="3"/>
  <c r="U41" i="3" s="1"/>
  <c r="O41" i="3"/>
  <c r="V41" i="3" s="1"/>
  <c r="F41" i="3"/>
  <c r="I41" i="3" s="1"/>
  <c r="A41" i="3"/>
  <c r="T40" i="3"/>
  <c r="U40" i="3" s="1"/>
  <c r="O40" i="3"/>
  <c r="Q40" i="3" s="1"/>
  <c r="R40" i="3" s="1"/>
  <c r="I40" i="3"/>
  <c r="F40" i="3"/>
  <c r="A40" i="3"/>
  <c r="T39" i="3"/>
  <c r="U39" i="3" s="1"/>
  <c r="O39" i="3"/>
  <c r="V39" i="3" s="1"/>
  <c r="F39" i="3"/>
  <c r="I39" i="3" s="1"/>
  <c r="A39" i="3"/>
  <c r="V38" i="3"/>
  <c r="W38" i="3" s="1"/>
  <c r="T38" i="3"/>
  <c r="U38" i="3" s="1"/>
  <c r="Q38" i="3"/>
  <c r="R38" i="3" s="1"/>
  <c r="O38" i="3"/>
  <c r="I38" i="3"/>
  <c r="F38" i="3"/>
  <c r="A38" i="3"/>
  <c r="V37" i="3"/>
  <c r="T37" i="3"/>
  <c r="U37" i="3" s="1"/>
  <c r="O37" i="3"/>
  <c r="Q37" i="3" s="1"/>
  <c r="R37" i="3" s="1"/>
  <c r="F37" i="3"/>
  <c r="I37" i="3" s="1"/>
  <c r="A37" i="3"/>
  <c r="V36" i="3"/>
  <c r="W36" i="3" s="1"/>
  <c r="T36" i="3"/>
  <c r="U36" i="3" s="1"/>
  <c r="Q36" i="3"/>
  <c r="R36" i="3" s="1"/>
  <c r="O36" i="3"/>
  <c r="I36" i="3"/>
  <c r="F36" i="3"/>
  <c r="A36" i="3"/>
  <c r="V35" i="3"/>
  <c r="W35" i="3" s="1"/>
  <c r="U35" i="3"/>
  <c r="T35" i="3"/>
  <c r="O35" i="3"/>
  <c r="Q35" i="3" s="1"/>
  <c r="R35" i="3" s="1"/>
  <c r="F35" i="3"/>
  <c r="I35" i="3" s="1"/>
  <c r="A35" i="3"/>
  <c r="V34" i="3"/>
  <c r="W34" i="3" s="1"/>
  <c r="T34" i="3"/>
  <c r="U34" i="3" s="1"/>
  <c r="Q34" i="3"/>
  <c r="R34" i="3" s="1"/>
  <c r="O34" i="3"/>
  <c r="F34" i="3"/>
  <c r="I34" i="3" s="1"/>
  <c r="A34" i="3"/>
  <c r="U33" i="3"/>
  <c r="T33" i="3"/>
  <c r="O33" i="3"/>
  <c r="Q33" i="3" s="1"/>
  <c r="R33" i="3" s="1"/>
  <c r="F33" i="3"/>
  <c r="I33" i="3" s="1"/>
  <c r="A33" i="3"/>
  <c r="T32" i="3"/>
  <c r="U32" i="3" s="1"/>
  <c r="O32" i="3"/>
  <c r="Q32" i="3" s="1"/>
  <c r="R32" i="3" s="1"/>
  <c r="F32" i="3"/>
  <c r="I32" i="3" s="1"/>
  <c r="A32" i="3"/>
  <c r="T31" i="3"/>
  <c r="O31" i="3"/>
  <c r="V31" i="3" s="1"/>
  <c r="F31" i="3"/>
  <c r="I31" i="3" s="1"/>
  <c r="A31" i="3"/>
  <c r="T30" i="3"/>
  <c r="U30" i="3" s="1"/>
  <c r="O30" i="3"/>
  <c r="V30" i="3" s="1"/>
  <c r="I30" i="3"/>
  <c r="F30" i="3"/>
  <c r="A30" i="3"/>
  <c r="T29" i="3"/>
  <c r="U29" i="3" s="1"/>
  <c r="O29" i="3"/>
  <c r="Q29" i="3" s="1"/>
  <c r="R29" i="3" s="1"/>
  <c r="F29" i="3"/>
  <c r="I29" i="3" s="1"/>
  <c r="A29" i="3"/>
  <c r="V28" i="3"/>
  <c r="W28" i="3" s="1"/>
  <c r="T28" i="3"/>
  <c r="U28" i="3" s="1"/>
  <c r="Q28" i="3"/>
  <c r="R28" i="3" s="1"/>
  <c r="O28" i="3"/>
  <c r="I28" i="3"/>
  <c r="F28" i="3"/>
  <c r="A28" i="3"/>
  <c r="T27" i="3"/>
  <c r="U27" i="3" s="1"/>
  <c r="O27" i="3"/>
  <c r="V27" i="3" s="1"/>
  <c r="F27" i="3"/>
  <c r="I27" i="3" s="1"/>
  <c r="A27" i="3"/>
  <c r="V26" i="3"/>
  <c r="W26" i="3" s="1"/>
  <c r="T26" i="3"/>
  <c r="U26" i="3" s="1"/>
  <c r="Q26" i="3"/>
  <c r="R26" i="3" s="1"/>
  <c r="O26" i="3"/>
  <c r="I26" i="3"/>
  <c r="F26" i="3"/>
  <c r="A26" i="3"/>
  <c r="V25" i="3"/>
  <c r="W25" i="3" s="1"/>
  <c r="U25" i="3"/>
  <c r="T25" i="3"/>
  <c r="O25" i="3"/>
  <c r="Q25" i="3" s="1"/>
  <c r="R25" i="3" s="1"/>
  <c r="F25" i="3"/>
  <c r="I25" i="3" s="1"/>
  <c r="A25" i="3"/>
  <c r="V24" i="3"/>
  <c r="W24" i="3" s="1"/>
  <c r="T24" i="3"/>
  <c r="U24" i="3" s="1"/>
  <c r="Q24" i="3"/>
  <c r="R24" i="3" s="1"/>
  <c r="O24" i="3"/>
  <c r="F24" i="3"/>
  <c r="I24" i="3" s="1"/>
  <c r="A24" i="3"/>
  <c r="U23" i="3"/>
  <c r="T23" i="3"/>
  <c r="O23" i="3"/>
  <c r="Q23" i="3" s="1"/>
  <c r="R23" i="3" s="1"/>
  <c r="F23" i="3"/>
  <c r="I23" i="3" s="1"/>
  <c r="A23" i="3"/>
  <c r="T22" i="3"/>
  <c r="U22" i="3" s="1"/>
  <c r="O22" i="3"/>
  <c r="Q22" i="3" s="1"/>
  <c r="R22" i="3" s="1"/>
  <c r="F22" i="3"/>
  <c r="I22" i="3" s="1"/>
  <c r="A22" i="3"/>
  <c r="T21" i="3"/>
  <c r="O21" i="3"/>
  <c r="V21" i="3" s="1"/>
  <c r="F21" i="3"/>
  <c r="I21" i="3" s="1"/>
  <c r="A21" i="3"/>
  <c r="T20" i="3"/>
  <c r="U20" i="3" s="1"/>
  <c r="O20" i="3"/>
  <c r="V20" i="3" s="1"/>
  <c r="I20" i="3"/>
  <c r="F20" i="3"/>
  <c r="A20" i="3"/>
  <c r="T19" i="3"/>
  <c r="U19" i="3" s="1"/>
  <c r="O19" i="3"/>
  <c r="V19" i="3" s="1"/>
  <c r="F19" i="3"/>
  <c r="I19" i="3" s="1"/>
  <c r="A19" i="3"/>
  <c r="V18" i="3"/>
  <c r="W18" i="3" s="1"/>
  <c r="T18" i="3"/>
  <c r="U18" i="3" s="1"/>
  <c r="Q18" i="3"/>
  <c r="R18" i="3" s="1"/>
  <c r="O18" i="3"/>
  <c r="I18" i="3"/>
  <c r="F18" i="3"/>
  <c r="A18" i="3"/>
  <c r="T17" i="3"/>
  <c r="U17" i="3" s="1"/>
  <c r="O17" i="3"/>
  <c r="V17" i="3" s="1"/>
  <c r="F17" i="3"/>
  <c r="I17" i="3" s="1"/>
  <c r="A17" i="3"/>
  <c r="V16" i="3"/>
  <c r="W16" i="3" s="1"/>
  <c r="T16" i="3"/>
  <c r="U16" i="3" s="1"/>
  <c r="Q16" i="3"/>
  <c r="R16" i="3" s="1"/>
  <c r="O16" i="3"/>
  <c r="I16" i="3"/>
  <c r="F16" i="3"/>
  <c r="A16" i="3"/>
  <c r="V15" i="3"/>
  <c r="U15" i="3"/>
  <c r="T15" i="3"/>
  <c r="O15" i="3"/>
  <c r="Q15" i="3" s="1"/>
  <c r="R15" i="3" s="1"/>
  <c r="F15" i="3"/>
  <c r="I15" i="3" s="1"/>
  <c r="A15" i="3"/>
  <c r="V14" i="3"/>
  <c r="W14" i="3" s="1"/>
  <c r="T14" i="3"/>
  <c r="U14" i="3" s="1"/>
  <c r="Q14" i="3"/>
  <c r="R14" i="3" s="1"/>
  <c r="O14" i="3"/>
  <c r="F14" i="3"/>
  <c r="I14" i="3" s="1"/>
  <c r="A14" i="3"/>
  <c r="U13" i="3"/>
  <c r="T13" i="3"/>
  <c r="O13" i="3"/>
  <c r="Q13" i="3" s="1"/>
  <c r="R13" i="3" s="1"/>
  <c r="F13" i="3"/>
  <c r="I13" i="3" s="1"/>
  <c r="A13" i="3"/>
  <c r="V12" i="3"/>
  <c r="T12" i="3"/>
  <c r="U12" i="3" s="1"/>
  <c r="O12" i="3"/>
  <c r="Q12" i="3" s="1"/>
  <c r="R12" i="3" s="1"/>
  <c r="F12" i="3"/>
  <c r="I12" i="3" s="1"/>
  <c r="A12" i="3"/>
  <c r="T11" i="3"/>
  <c r="O11" i="3"/>
  <c r="V11" i="3" s="1"/>
  <c r="F11" i="3"/>
  <c r="I11" i="3" s="1"/>
  <c r="A11" i="3"/>
  <c r="T10" i="3"/>
  <c r="U10" i="3" s="1"/>
  <c r="O10" i="3"/>
  <c r="V10" i="3" s="1"/>
  <c r="I10" i="3"/>
  <c r="F10" i="3"/>
  <c r="A10" i="3"/>
  <c r="T9" i="3"/>
  <c r="U9" i="3" s="1"/>
  <c r="O9" i="3"/>
  <c r="Q9" i="3" s="1"/>
  <c r="R9" i="3" s="1"/>
  <c r="F9" i="3"/>
  <c r="I9" i="3" s="1"/>
  <c r="A9" i="3"/>
  <c r="V8" i="3"/>
  <c r="W8" i="3" s="1"/>
  <c r="T8" i="3"/>
  <c r="U8" i="3" s="1"/>
  <c r="Q8" i="3"/>
  <c r="R8" i="3" s="1"/>
  <c r="O8" i="3"/>
  <c r="I8" i="3"/>
  <c r="F8" i="3"/>
  <c r="A8" i="3"/>
  <c r="T7" i="3"/>
  <c r="U7" i="3" s="1"/>
  <c r="O7" i="3"/>
  <c r="V7" i="3" s="1"/>
  <c r="F7" i="3"/>
  <c r="I7" i="3" s="1"/>
  <c r="A7" i="3"/>
  <c r="V6" i="3"/>
  <c r="W6" i="3" s="1"/>
  <c r="T6" i="3"/>
  <c r="U6" i="3" s="1"/>
  <c r="Q6" i="3"/>
  <c r="R6" i="3" s="1"/>
  <c r="O6" i="3"/>
  <c r="I6" i="3"/>
  <c r="F6" i="3"/>
  <c r="A6" i="3"/>
  <c r="V5" i="3"/>
  <c r="U5" i="3"/>
  <c r="T5" i="3"/>
  <c r="O5" i="3"/>
  <c r="Q5" i="3" s="1"/>
  <c r="R5" i="3" s="1"/>
  <c r="F5" i="3"/>
  <c r="I5" i="3" s="1"/>
  <c r="A5" i="3"/>
  <c r="V4" i="3"/>
  <c r="W4" i="3" s="1"/>
  <c r="T4" i="3"/>
  <c r="U4" i="3" s="1"/>
  <c r="Q4" i="3"/>
  <c r="R4" i="3" s="1"/>
  <c r="O4" i="3"/>
  <c r="F4" i="3"/>
  <c r="I4" i="3" s="1"/>
  <c r="A4" i="3"/>
  <c r="U3" i="3"/>
  <c r="T3" i="3"/>
  <c r="O3" i="3"/>
  <c r="Q3" i="3" s="1"/>
  <c r="R3" i="3" s="1"/>
  <c r="F3" i="3"/>
  <c r="I3" i="3" s="1"/>
  <c r="A3" i="3"/>
  <c r="V2" i="3"/>
  <c r="T2" i="3"/>
  <c r="U2" i="3" s="1"/>
  <c r="O2" i="3"/>
  <c r="Q2" i="3" s="1"/>
  <c r="R2" i="3" s="1"/>
  <c r="F2" i="3"/>
  <c r="I2" i="3" s="1"/>
  <c r="A2" i="3"/>
  <c r="T14" i="2"/>
  <c r="U14" i="2" s="1"/>
  <c r="O14" i="2"/>
  <c r="V14" i="2" s="1"/>
  <c r="F14" i="2"/>
  <c r="I14" i="2" s="1"/>
  <c r="A14" i="2"/>
  <c r="T13" i="2"/>
  <c r="O13" i="2"/>
  <c r="V13" i="2" s="1"/>
  <c r="F13" i="2"/>
  <c r="I13" i="2" s="1"/>
  <c r="A13" i="2"/>
  <c r="T12" i="2"/>
  <c r="U12" i="2" s="1"/>
  <c r="O12" i="2"/>
  <c r="V12" i="2" s="1"/>
  <c r="F12" i="2"/>
  <c r="I12" i="2" s="1"/>
  <c r="A12" i="2"/>
  <c r="T11" i="2"/>
  <c r="O11" i="2"/>
  <c r="V11" i="2" s="1"/>
  <c r="F11" i="2"/>
  <c r="I11" i="2" s="1"/>
  <c r="A11" i="2"/>
  <c r="T10" i="2"/>
  <c r="U10" i="2" s="1"/>
  <c r="O10" i="2"/>
  <c r="V10" i="2" s="1"/>
  <c r="F10" i="2"/>
  <c r="I10" i="2" s="1"/>
  <c r="A10" i="2"/>
  <c r="T9" i="2"/>
  <c r="O9" i="2"/>
  <c r="V9" i="2" s="1"/>
  <c r="F9" i="2"/>
  <c r="I9" i="2" s="1"/>
  <c r="A9" i="2"/>
  <c r="T8" i="2"/>
  <c r="U8" i="2" s="1"/>
  <c r="O8" i="2"/>
  <c r="V8" i="2" s="1"/>
  <c r="F8" i="2"/>
  <c r="I8" i="2" s="1"/>
  <c r="A8" i="2"/>
  <c r="T7" i="2"/>
  <c r="O7" i="2"/>
  <c r="V7" i="2" s="1"/>
  <c r="F7" i="2"/>
  <c r="I7" i="2" s="1"/>
  <c r="A7" i="2"/>
  <c r="T6" i="2"/>
  <c r="U6" i="2" s="1"/>
  <c r="O6" i="2"/>
  <c r="V6" i="2" s="1"/>
  <c r="F6" i="2"/>
  <c r="I6" i="2" s="1"/>
  <c r="A6" i="2"/>
  <c r="T5" i="2"/>
  <c r="O5" i="2"/>
  <c r="V5" i="2" s="1"/>
  <c r="F5" i="2"/>
  <c r="I5" i="2" s="1"/>
  <c r="A5" i="2"/>
  <c r="T4" i="2"/>
  <c r="U4" i="2" s="1"/>
  <c r="O4" i="2"/>
  <c r="V4" i="2" s="1"/>
  <c r="F4" i="2"/>
  <c r="I4" i="2" s="1"/>
  <c r="A4" i="2"/>
  <c r="T3" i="2"/>
  <c r="O3" i="2"/>
  <c r="V3" i="2" s="1"/>
  <c r="F3" i="2"/>
  <c r="I3" i="2" s="1"/>
  <c r="A3" i="2"/>
  <c r="T2" i="2"/>
  <c r="U2" i="2" s="1"/>
  <c r="O2" i="2"/>
  <c r="V2" i="2" s="1"/>
  <c r="F2" i="2"/>
  <c r="I2" i="2" s="1"/>
  <c r="A2" i="2"/>
  <c r="T50" i="1"/>
  <c r="O50" i="1"/>
  <c r="V50" i="1" s="1"/>
  <c r="H50" i="1"/>
  <c r="K50" i="1" s="1"/>
  <c r="G50" i="1"/>
  <c r="J50" i="1" s="1"/>
  <c r="F50" i="1"/>
  <c r="I50" i="1" s="1"/>
  <c r="A50" i="1"/>
  <c r="T49" i="1"/>
  <c r="O49" i="1"/>
  <c r="Q49" i="1" s="1"/>
  <c r="R49" i="1" s="1"/>
  <c r="H49" i="1"/>
  <c r="K49" i="1" s="1"/>
  <c r="G49" i="1"/>
  <c r="J49" i="1" s="1"/>
  <c r="F49" i="1"/>
  <c r="I49" i="1" s="1"/>
  <c r="A49" i="1"/>
  <c r="T48" i="1"/>
  <c r="O48" i="1"/>
  <c r="V48" i="1" s="1"/>
  <c r="H48" i="1"/>
  <c r="K48" i="1" s="1"/>
  <c r="G48" i="1"/>
  <c r="J48" i="1" s="1"/>
  <c r="F48" i="1"/>
  <c r="I48" i="1" s="1"/>
  <c r="A48" i="1"/>
  <c r="T47" i="1"/>
  <c r="O47" i="1"/>
  <c r="Q47" i="1" s="1"/>
  <c r="R47" i="1" s="1"/>
  <c r="H47" i="1"/>
  <c r="K47" i="1" s="1"/>
  <c r="G47" i="1"/>
  <c r="J47" i="1" s="1"/>
  <c r="F47" i="1"/>
  <c r="I47" i="1" s="1"/>
  <c r="A47" i="1"/>
  <c r="T46" i="1"/>
  <c r="O46" i="1"/>
  <c r="V46" i="1" s="1"/>
  <c r="H46" i="1"/>
  <c r="K46" i="1" s="1"/>
  <c r="G46" i="1"/>
  <c r="J46" i="1" s="1"/>
  <c r="F46" i="1"/>
  <c r="I46" i="1" s="1"/>
  <c r="A46" i="1"/>
  <c r="T45" i="1"/>
  <c r="O45" i="1"/>
  <c r="Q45" i="1" s="1"/>
  <c r="R45" i="1" s="1"/>
  <c r="H45" i="1"/>
  <c r="K45" i="1" s="1"/>
  <c r="G45" i="1"/>
  <c r="J45" i="1" s="1"/>
  <c r="F45" i="1"/>
  <c r="I45" i="1" s="1"/>
  <c r="A45" i="1"/>
  <c r="V44" i="1"/>
  <c r="T44" i="1"/>
  <c r="U44" i="1" s="1"/>
  <c r="Q44" i="1"/>
  <c r="H44" i="1"/>
  <c r="K44" i="1" s="1"/>
  <c r="G44" i="1"/>
  <c r="J44" i="1" s="1"/>
  <c r="F44" i="1"/>
  <c r="I44" i="1" s="1"/>
  <c r="A44" i="1"/>
  <c r="T43" i="1"/>
  <c r="O43" i="1"/>
  <c r="V43" i="1" s="1"/>
  <c r="H43" i="1"/>
  <c r="K43" i="1" s="1"/>
  <c r="G43" i="1"/>
  <c r="J43" i="1" s="1"/>
  <c r="F43" i="1"/>
  <c r="I43" i="1" s="1"/>
  <c r="A43" i="1"/>
  <c r="T42" i="1"/>
  <c r="O42" i="1"/>
  <c r="V42" i="1" s="1"/>
  <c r="H42" i="1"/>
  <c r="K42" i="1" s="1"/>
  <c r="G42" i="1"/>
  <c r="J42" i="1" s="1"/>
  <c r="F42" i="1"/>
  <c r="I42" i="1" s="1"/>
  <c r="A42" i="1"/>
  <c r="T41" i="1"/>
  <c r="O41" i="1"/>
  <c r="V41" i="1" s="1"/>
  <c r="H41" i="1"/>
  <c r="K41" i="1" s="1"/>
  <c r="G41" i="1"/>
  <c r="J41" i="1" s="1"/>
  <c r="F41" i="1"/>
  <c r="I41" i="1" s="1"/>
  <c r="A41" i="1"/>
  <c r="T40" i="1"/>
  <c r="O40" i="1"/>
  <c r="V40" i="1" s="1"/>
  <c r="H40" i="1"/>
  <c r="K40" i="1" s="1"/>
  <c r="G40" i="1"/>
  <c r="J40" i="1" s="1"/>
  <c r="F40" i="1"/>
  <c r="I40" i="1" s="1"/>
  <c r="A40" i="1"/>
  <c r="T39" i="1"/>
  <c r="O39" i="1"/>
  <c r="Q39" i="1" s="1"/>
  <c r="R39" i="1" s="1"/>
  <c r="H39" i="1"/>
  <c r="K39" i="1" s="1"/>
  <c r="G39" i="1"/>
  <c r="J39" i="1" s="1"/>
  <c r="F39" i="1"/>
  <c r="I39" i="1" s="1"/>
  <c r="A39" i="1"/>
  <c r="T38" i="1"/>
  <c r="O38" i="1"/>
  <c r="V38" i="1" s="1"/>
  <c r="H38" i="1"/>
  <c r="K38" i="1" s="1"/>
  <c r="G38" i="1"/>
  <c r="J38" i="1" s="1"/>
  <c r="F38" i="1"/>
  <c r="I38" i="1" s="1"/>
  <c r="A38" i="1"/>
  <c r="T37" i="1"/>
  <c r="O37" i="1"/>
  <c r="Q37" i="1" s="1"/>
  <c r="R37" i="1" s="1"/>
  <c r="H37" i="1"/>
  <c r="K37" i="1" s="1"/>
  <c r="G37" i="1"/>
  <c r="J37" i="1" s="1"/>
  <c r="F37" i="1"/>
  <c r="I37" i="1" s="1"/>
  <c r="A37" i="1"/>
  <c r="T36" i="1"/>
  <c r="O36" i="1"/>
  <c r="V36" i="1" s="1"/>
  <c r="H36" i="1"/>
  <c r="K36" i="1" s="1"/>
  <c r="G36" i="1"/>
  <c r="J36" i="1" s="1"/>
  <c r="F36" i="1"/>
  <c r="I36" i="1" s="1"/>
  <c r="A36" i="1"/>
  <c r="T35" i="1"/>
  <c r="O35" i="1"/>
  <c r="Q35" i="1" s="1"/>
  <c r="R35" i="1" s="1"/>
  <c r="H35" i="1"/>
  <c r="K35" i="1" s="1"/>
  <c r="G35" i="1"/>
  <c r="J35" i="1" s="1"/>
  <c r="F35" i="1"/>
  <c r="I35" i="1" s="1"/>
  <c r="A35" i="1"/>
  <c r="T34" i="1"/>
  <c r="O34" i="1"/>
  <c r="V34" i="1" s="1"/>
  <c r="H34" i="1"/>
  <c r="K34" i="1" s="1"/>
  <c r="G34" i="1"/>
  <c r="J34" i="1" s="1"/>
  <c r="F34" i="1"/>
  <c r="I34" i="1" s="1"/>
  <c r="A34" i="1"/>
  <c r="T33" i="1"/>
  <c r="O33" i="1"/>
  <c r="V33" i="1" s="1"/>
  <c r="H33" i="1"/>
  <c r="K33" i="1" s="1"/>
  <c r="G33" i="1"/>
  <c r="J33" i="1" s="1"/>
  <c r="F33" i="1"/>
  <c r="I33" i="1" s="1"/>
  <c r="A33" i="1"/>
  <c r="T32" i="1"/>
  <c r="O32" i="1"/>
  <c r="V32" i="1" s="1"/>
  <c r="H32" i="1"/>
  <c r="K32" i="1" s="1"/>
  <c r="G32" i="1"/>
  <c r="J32" i="1" s="1"/>
  <c r="F32" i="1"/>
  <c r="I32" i="1" s="1"/>
  <c r="A32" i="1"/>
  <c r="T31" i="1"/>
  <c r="O31" i="1"/>
  <c r="V31" i="1" s="1"/>
  <c r="H31" i="1"/>
  <c r="K31" i="1" s="1"/>
  <c r="G31" i="1"/>
  <c r="J31" i="1" s="1"/>
  <c r="F31" i="1"/>
  <c r="I31" i="1" s="1"/>
  <c r="A31" i="1"/>
  <c r="T30" i="1"/>
  <c r="O30" i="1"/>
  <c r="V30" i="1" s="1"/>
  <c r="H30" i="1"/>
  <c r="K30" i="1" s="1"/>
  <c r="G30" i="1"/>
  <c r="J30" i="1" s="1"/>
  <c r="F30" i="1"/>
  <c r="I30" i="1" s="1"/>
  <c r="A30" i="1"/>
  <c r="T29" i="1"/>
  <c r="O29" i="1"/>
  <c r="Q29" i="1" s="1"/>
  <c r="R29" i="1" s="1"/>
  <c r="H29" i="1"/>
  <c r="K29" i="1" s="1"/>
  <c r="G29" i="1"/>
  <c r="J29" i="1" s="1"/>
  <c r="F29" i="1"/>
  <c r="I29" i="1" s="1"/>
  <c r="A29" i="1"/>
  <c r="T28" i="1"/>
  <c r="O28" i="1"/>
  <c r="V28" i="1" s="1"/>
  <c r="H28" i="1"/>
  <c r="K28" i="1" s="1"/>
  <c r="G28" i="1"/>
  <c r="J28" i="1" s="1"/>
  <c r="F28" i="1"/>
  <c r="I28" i="1" s="1"/>
  <c r="A28" i="1"/>
  <c r="T27" i="1"/>
  <c r="O27" i="1"/>
  <c r="Q27" i="1" s="1"/>
  <c r="R27" i="1" s="1"/>
  <c r="H27" i="1"/>
  <c r="K27" i="1" s="1"/>
  <c r="G27" i="1"/>
  <c r="J27" i="1" s="1"/>
  <c r="F27" i="1"/>
  <c r="I27" i="1" s="1"/>
  <c r="A27" i="1"/>
  <c r="T26" i="1"/>
  <c r="O26" i="1"/>
  <c r="V26" i="1" s="1"/>
  <c r="H26" i="1"/>
  <c r="K26" i="1" s="1"/>
  <c r="G26" i="1"/>
  <c r="J26" i="1" s="1"/>
  <c r="F26" i="1"/>
  <c r="I26" i="1" s="1"/>
  <c r="A26" i="1"/>
  <c r="T25" i="1"/>
  <c r="O25" i="1"/>
  <c r="V25" i="1" s="1"/>
  <c r="H25" i="1"/>
  <c r="K25" i="1" s="1"/>
  <c r="G25" i="1"/>
  <c r="J25" i="1" s="1"/>
  <c r="F25" i="1"/>
  <c r="I25" i="1" s="1"/>
  <c r="A25" i="1"/>
  <c r="T24" i="1"/>
  <c r="O24" i="1"/>
  <c r="V24" i="1" s="1"/>
  <c r="H24" i="1"/>
  <c r="K24" i="1" s="1"/>
  <c r="G24" i="1"/>
  <c r="J24" i="1" s="1"/>
  <c r="F24" i="1"/>
  <c r="I24" i="1" s="1"/>
  <c r="A24" i="1"/>
  <c r="T23" i="1"/>
  <c r="O23" i="1"/>
  <c r="V23" i="1" s="1"/>
  <c r="H23" i="1"/>
  <c r="K23" i="1" s="1"/>
  <c r="G23" i="1"/>
  <c r="J23" i="1" s="1"/>
  <c r="F23" i="1"/>
  <c r="I23" i="1" s="1"/>
  <c r="A23" i="1"/>
  <c r="T22" i="1"/>
  <c r="O22" i="1"/>
  <c r="V22" i="1" s="1"/>
  <c r="H22" i="1"/>
  <c r="K22" i="1" s="1"/>
  <c r="G22" i="1"/>
  <c r="J22" i="1" s="1"/>
  <c r="F22" i="1"/>
  <c r="I22" i="1" s="1"/>
  <c r="A22" i="1"/>
  <c r="T21" i="1"/>
  <c r="O21" i="1"/>
  <c r="Q21" i="1" s="1"/>
  <c r="R21" i="1" s="1"/>
  <c r="H21" i="1"/>
  <c r="K21" i="1" s="1"/>
  <c r="G21" i="1"/>
  <c r="J21" i="1" s="1"/>
  <c r="F21" i="1"/>
  <c r="I21" i="1" s="1"/>
  <c r="A21" i="1"/>
  <c r="T20" i="1"/>
  <c r="O20" i="1"/>
  <c r="V20" i="1" s="1"/>
  <c r="H20" i="1"/>
  <c r="K20" i="1" s="1"/>
  <c r="G20" i="1"/>
  <c r="J20" i="1" s="1"/>
  <c r="F20" i="1"/>
  <c r="I20" i="1" s="1"/>
  <c r="A20" i="1"/>
  <c r="T19" i="1"/>
  <c r="O19" i="1"/>
  <c r="Q19" i="1" s="1"/>
  <c r="R19" i="1" s="1"/>
  <c r="H19" i="1"/>
  <c r="K19" i="1" s="1"/>
  <c r="G19" i="1"/>
  <c r="J19" i="1" s="1"/>
  <c r="F19" i="1"/>
  <c r="I19" i="1" s="1"/>
  <c r="A19" i="1"/>
  <c r="T18" i="1"/>
  <c r="O18" i="1"/>
  <c r="V18" i="1" s="1"/>
  <c r="H18" i="1"/>
  <c r="K18" i="1" s="1"/>
  <c r="G18" i="1"/>
  <c r="J18" i="1" s="1"/>
  <c r="F18" i="1"/>
  <c r="I18" i="1" s="1"/>
  <c r="A18" i="1"/>
  <c r="T17" i="1"/>
  <c r="O17" i="1"/>
  <c r="Q17" i="1" s="1"/>
  <c r="R17" i="1" s="1"/>
  <c r="H17" i="1"/>
  <c r="K17" i="1" s="1"/>
  <c r="G17" i="1"/>
  <c r="J17" i="1" s="1"/>
  <c r="F17" i="1"/>
  <c r="I17" i="1" s="1"/>
  <c r="A17" i="1"/>
  <c r="T16" i="1"/>
  <c r="O16" i="1"/>
  <c r="V16" i="1" s="1"/>
  <c r="H16" i="1"/>
  <c r="K16" i="1" s="1"/>
  <c r="G16" i="1"/>
  <c r="J16" i="1" s="1"/>
  <c r="F16" i="1"/>
  <c r="I16" i="1" s="1"/>
  <c r="A16" i="1"/>
  <c r="T15" i="1"/>
  <c r="O15" i="1"/>
  <c r="V15" i="1" s="1"/>
  <c r="H15" i="1"/>
  <c r="K15" i="1" s="1"/>
  <c r="G15" i="1"/>
  <c r="J15" i="1" s="1"/>
  <c r="F15" i="1"/>
  <c r="I15" i="1" s="1"/>
  <c r="A15" i="1"/>
  <c r="T14" i="1"/>
  <c r="O14" i="1"/>
  <c r="V14" i="1" s="1"/>
  <c r="H14" i="1"/>
  <c r="K14" i="1" s="1"/>
  <c r="G14" i="1"/>
  <c r="J14" i="1" s="1"/>
  <c r="F14" i="1"/>
  <c r="I14" i="1" s="1"/>
  <c r="A14" i="1"/>
  <c r="T13" i="1"/>
  <c r="O13" i="1"/>
  <c r="Q13" i="1" s="1"/>
  <c r="R13" i="1" s="1"/>
  <c r="H13" i="1"/>
  <c r="K13" i="1" s="1"/>
  <c r="G13" i="1"/>
  <c r="J13" i="1" s="1"/>
  <c r="F13" i="1"/>
  <c r="I13" i="1" s="1"/>
  <c r="A13" i="1"/>
  <c r="T12" i="1"/>
  <c r="O12" i="1"/>
  <c r="V12" i="1" s="1"/>
  <c r="H12" i="1"/>
  <c r="K12" i="1" s="1"/>
  <c r="G12" i="1"/>
  <c r="J12" i="1" s="1"/>
  <c r="F12" i="1"/>
  <c r="I12" i="1" s="1"/>
  <c r="A12" i="1"/>
  <c r="T11" i="1"/>
  <c r="O11" i="1"/>
  <c r="Q11" i="1" s="1"/>
  <c r="R11" i="1" s="1"/>
  <c r="H11" i="1"/>
  <c r="K11" i="1" s="1"/>
  <c r="G11" i="1"/>
  <c r="J11" i="1" s="1"/>
  <c r="F11" i="1"/>
  <c r="I11" i="1" s="1"/>
  <c r="A11" i="1"/>
  <c r="T10" i="1"/>
  <c r="O10" i="1"/>
  <c r="V10" i="1" s="1"/>
  <c r="H10" i="1"/>
  <c r="K10" i="1" s="1"/>
  <c r="G10" i="1"/>
  <c r="J10" i="1" s="1"/>
  <c r="F10" i="1"/>
  <c r="I10" i="1" s="1"/>
  <c r="A10" i="1"/>
  <c r="T9" i="1"/>
  <c r="O9" i="1"/>
  <c r="Q9" i="1" s="1"/>
  <c r="R9" i="1" s="1"/>
  <c r="H9" i="1"/>
  <c r="K9" i="1" s="1"/>
  <c r="G9" i="1"/>
  <c r="J9" i="1" s="1"/>
  <c r="F9" i="1"/>
  <c r="I9" i="1" s="1"/>
  <c r="A9" i="1"/>
  <c r="T8" i="1"/>
  <c r="O8" i="1"/>
  <c r="V8" i="1" s="1"/>
  <c r="H8" i="1"/>
  <c r="K8" i="1" s="1"/>
  <c r="G8" i="1"/>
  <c r="J8" i="1" s="1"/>
  <c r="F8" i="1"/>
  <c r="I8" i="1" s="1"/>
  <c r="A8" i="1"/>
  <c r="T7" i="1"/>
  <c r="O7" i="1"/>
  <c r="Q7" i="1" s="1"/>
  <c r="R7" i="1" s="1"/>
  <c r="H7" i="1"/>
  <c r="K7" i="1" s="1"/>
  <c r="G7" i="1"/>
  <c r="J7" i="1" s="1"/>
  <c r="F7" i="1"/>
  <c r="I7" i="1" s="1"/>
  <c r="A7" i="1"/>
  <c r="T6" i="1"/>
  <c r="O6" i="1"/>
  <c r="V6" i="1" s="1"/>
  <c r="H6" i="1"/>
  <c r="K6" i="1" s="1"/>
  <c r="G6" i="1"/>
  <c r="J6" i="1" s="1"/>
  <c r="F6" i="1"/>
  <c r="I6" i="1" s="1"/>
  <c r="A6" i="1"/>
  <c r="T5" i="1"/>
  <c r="O5" i="1"/>
  <c r="V5" i="1" s="1"/>
  <c r="H5" i="1"/>
  <c r="K5" i="1" s="1"/>
  <c r="G5" i="1"/>
  <c r="J5" i="1" s="1"/>
  <c r="F5" i="1"/>
  <c r="I5" i="1" s="1"/>
  <c r="A5" i="1"/>
  <c r="T4" i="1"/>
  <c r="O4" i="1"/>
  <c r="V4" i="1" s="1"/>
  <c r="H4" i="1"/>
  <c r="K4" i="1" s="1"/>
  <c r="G4" i="1"/>
  <c r="J4" i="1" s="1"/>
  <c r="F4" i="1"/>
  <c r="I4" i="1" s="1"/>
  <c r="A4" i="1"/>
  <c r="T3" i="1"/>
  <c r="O3" i="1"/>
  <c r="V3" i="1" s="1"/>
  <c r="H3" i="1"/>
  <c r="K3" i="1" s="1"/>
  <c r="G3" i="1"/>
  <c r="J3" i="1" s="1"/>
  <c r="F3" i="1"/>
  <c r="I3" i="1" s="1"/>
  <c r="A3" i="1"/>
  <c r="O2" i="1"/>
  <c r="V2" i="1" s="1"/>
  <c r="H2" i="1"/>
  <c r="K2" i="1" s="1"/>
  <c r="J2" i="1"/>
  <c r="F2" i="1"/>
  <c r="I2" i="1" s="1"/>
  <c r="A2" i="1"/>
  <c r="U16" i="1" l="1"/>
  <c r="U33" i="1"/>
  <c r="V17" i="1"/>
  <c r="W17" i="1" s="1"/>
  <c r="V21" i="1"/>
  <c r="U9" i="1"/>
  <c r="V13" i="1"/>
  <c r="W13" i="1" s="1"/>
  <c r="U7" i="1"/>
  <c r="V9" i="1"/>
  <c r="W9" i="1" s="1"/>
  <c r="U35" i="1"/>
  <c r="U21" i="1"/>
  <c r="V35" i="1"/>
  <c r="W35" i="1" s="1"/>
  <c r="V39" i="1"/>
  <c r="W39" i="1" s="1"/>
  <c r="U5" i="1"/>
  <c r="U29" i="1"/>
  <c r="Q33" i="1"/>
  <c r="R33" i="1" s="1"/>
  <c r="V7" i="1"/>
  <c r="W7" i="1" s="1"/>
  <c r="U23" i="1"/>
  <c r="U27" i="1"/>
  <c r="U3" i="1"/>
  <c r="U11" i="1"/>
  <c r="U15" i="1"/>
  <c r="U6" i="1"/>
  <c r="Q16" i="1"/>
  <c r="R16" i="1" s="1"/>
  <c r="U39" i="1"/>
  <c r="W21" i="1"/>
  <c r="V11" i="1"/>
  <c r="W11" i="1" s="1"/>
  <c r="Q41" i="1"/>
  <c r="R41" i="1" s="1"/>
  <c r="U19" i="1"/>
  <c r="U37" i="1"/>
  <c r="U31" i="1"/>
  <c r="V37" i="1"/>
  <c r="W37" i="1" s="1"/>
  <c r="U41" i="1"/>
  <c r="V19" i="1"/>
  <c r="W19" i="1" s="1"/>
  <c r="U25" i="1"/>
  <c r="U43" i="1"/>
  <c r="U13" i="1"/>
  <c r="U17" i="1"/>
  <c r="U4" i="5"/>
  <c r="W20" i="3"/>
  <c r="W17" i="3"/>
  <c r="W11" i="3"/>
  <c r="W21" i="3"/>
  <c r="W2" i="3"/>
  <c r="W37" i="3"/>
  <c r="W5" i="3"/>
  <c r="W7" i="3"/>
  <c r="W12" i="3"/>
  <c r="W15" i="3"/>
  <c r="W39" i="3"/>
  <c r="V22" i="3"/>
  <c r="W22" i="3" s="1"/>
  <c r="V32" i="3"/>
  <c r="W32" i="3" s="1"/>
  <c r="V42" i="3"/>
  <c r="W42" i="3" s="1"/>
  <c r="V3" i="3"/>
  <c r="W3" i="3" s="1"/>
  <c r="Q7" i="3"/>
  <c r="R7" i="3" s="1"/>
  <c r="V13" i="3"/>
  <c r="W13" i="3" s="1"/>
  <c r="Q17" i="3"/>
  <c r="R17" i="3" s="1"/>
  <c r="V23" i="3"/>
  <c r="W23" i="3" s="1"/>
  <c r="Q27" i="3"/>
  <c r="R27" i="3" s="1"/>
  <c r="V33" i="3"/>
  <c r="W33" i="3" s="1"/>
  <c r="V43" i="3"/>
  <c r="W43" i="3" s="1"/>
  <c r="Q19" i="3"/>
  <c r="R19" i="3" s="1"/>
  <c r="Q39" i="3"/>
  <c r="R39" i="3" s="1"/>
  <c r="Q20" i="3"/>
  <c r="R20" i="3" s="1"/>
  <c r="Q11" i="3"/>
  <c r="R11" i="3" s="1"/>
  <c r="Q21" i="3"/>
  <c r="R21" i="3" s="1"/>
  <c r="Q31" i="3"/>
  <c r="R31" i="3" s="1"/>
  <c r="Q41" i="3"/>
  <c r="R41" i="3" s="1"/>
  <c r="V9" i="3"/>
  <c r="W9" i="3" s="1"/>
  <c r="V29" i="3"/>
  <c r="W29" i="3" s="1"/>
  <c r="Q10" i="3"/>
  <c r="R10" i="3" s="1"/>
  <c r="Q30" i="3"/>
  <c r="R30" i="3" s="1"/>
  <c r="U11" i="3"/>
  <c r="U21" i="3"/>
  <c r="U31" i="3"/>
  <c r="V40" i="3"/>
  <c r="W40" i="3" s="1"/>
  <c r="Q31" i="1"/>
  <c r="R31" i="1" s="1"/>
  <c r="Q23" i="1"/>
  <c r="R23" i="1" s="1"/>
  <c r="Q25" i="1"/>
  <c r="R25" i="1" s="1"/>
  <c r="Q22" i="1"/>
  <c r="R22" i="1" s="1"/>
  <c r="U26" i="1"/>
  <c r="V27" i="1"/>
  <c r="W27" i="1" s="1"/>
  <c r="U28" i="1"/>
  <c r="V29" i="1"/>
  <c r="W29" i="1" s="1"/>
  <c r="Q42" i="1"/>
  <c r="R42" i="1" s="1"/>
  <c r="U45" i="1"/>
  <c r="U47" i="1"/>
  <c r="U49" i="1"/>
  <c r="U50" i="1"/>
  <c r="U3" i="2"/>
  <c r="U5" i="2"/>
  <c r="U7" i="2"/>
  <c r="U9" i="2"/>
  <c r="U11" i="2"/>
  <c r="U13" i="2"/>
  <c r="Q5" i="1"/>
  <c r="R5" i="1" s="1"/>
  <c r="U22" i="1"/>
  <c r="V45" i="1"/>
  <c r="W45" i="1" s="1"/>
  <c r="Q43" i="1"/>
  <c r="R43" i="1" s="1"/>
  <c r="V49" i="1"/>
  <c r="W49" i="1" s="1"/>
  <c r="Q3" i="1"/>
  <c r="R3" i="1" s="1"/>
  <c r="Q40" i="1"/>
  <c r="R40" i="1" s="1"/>
  <c r="Q20" i="1"/>
  <c r="R20" i="1" s="1"/>
  <c r="U20" i="1"/>
  <c r="U42" i="1"/>
  <c r="V47" i="1"/>
  <c r="W47" i="1" s="1"/>
  <c r="Q15" i="1"/>
  <c r="R15" i="1" s="1"/>
  <c r="U4" i="1"/>
  <c r="U40" i="1"/>
  <c r="Q6" i="1"/>
  <c r="R6" i="1" s="1"/>
  <c r="U14" i="1"/>
  <c r="W8" i="2"/>
  <c r="Q14" i="2"/>
  <c r="W14" i="2" s="1"/>
  <c r="Q2" i="2"/>
  <c r="W2" i="2" s="1"/>
  <c r="Q3" i="2"/>
  <c r="W3" i="2" s="1"/>
  <c r="Q4" i="2"/>
  <c r="W4" i="2" s="1"/>
  <c r="Q5" i="2"/>
  <c r="W5" i="2" s="1"/>
  <c r="Q6" i="2"/>
  <c r="W6" i="2" s="1"/>
  <c r="Q7" i="2"/>
  <c r="W7" i="2" s="1"/>
  <c r="Q8" i="2"/>
  <c r="Q9" i="2"/>
  <c r="W9" i="2" s="1"/>
  <c r="Q10" i="2"/>
  <c r="W10" i="2" s="1"/>
  <c r="Q11" i="2"/>
  <c r="W11" i="2" s="1"/>
  <c r="Q12" i="2"/>
  <c r="W12" i="2" s="1"/>
  <c r="Q13" i="2"/>
  <c r="W13" i="2" s="1"/>
  <c r="Q10" i="1"/>
  <c r="Q34" i="1"/>
  <c r="U10" i="1"/>
  <c r="Q28" i="1"/>
  <c r="U34" i="1"/>
  <c r="U36" i="1"/>
  <c r="U24" i="1"/>
  <c r="U46" i="1"/>
  <c r="Q36" i="1"/>
  <c r="R36" i="1" s="1"/>
  <c r="Q2" i="1"/>
  <c r="R2" i="1" s="1"/>
  <c r="W42" i="1"/>
  <c r="U2" i="1"/>
  <c r="U12" i="1"/>
  <c r="Q24" i="1"/>
  <c r="R24" i="1" s="1"/>
  <c r="U30" i="1"/>
  <c r="Q8" i="1"/>
  <c r="R8" i="1" s="1"/>
  <c r="Q18" i="1"/>
  <c r="R18" i="1" s="1"/>
  <c r="U8" i="1"/>
  <c r="U18" i="1"/>
  <c r="Q32" i="1"/>
  <c r="U38" i="1"/>
  <c r="Q48" i="1"/>
  <c r="R48" i="1" s="1"/>
  <c r="W44" i="1"/>
  <c r="R44" i="1"/>
  <c r="Q12" i="1"/>
  <c r="R12" i="1" s="1"/>
  <c r="Q30" i="1"/>
  <c r="R30" i="1" s="1"/>
  <c r="Q46" i="1"/>
  <c r="R46" i="1" s="1"/>
  <c r="Q38" i="1"/>
  <c r="R38" i="1" s="1"/>
  <c r="Q4" i="1"/>
  <c r="Q14" i="1"/>
  <c r="Q26" i="1"/>
  <c r="U32" i="1"/>
  <c r="U48" i="1"/>
  <c r="Q50" i="1"/>
  <c r="R50" i="1" s="1"/>
  <c r="W31" i="1" l="1"/>
  <c r="W20" i="1"/>
  <c r="W2" i="1"/>
  <c r="W33" i="1"/>
  <c r="W24" i="1"/>
  <c r="W23" i="1"/>
  <c r="W22" i="1"/>
  <c r="W48" i="1"/>
  <c r="W16" i="1"/>
  <c r="W38" i="1"/>
  <c r="W25" i="1"/>
  <c r="W41" i="1"/>
  <c r="W10" i="3"/>
  <c r="W19" i="3"/>
  <c r="W41" i="3"/>
  <c r="W27" i="3"/>
  <c r="W31" i="3"/>
  <c r="W30" i="3"/>
  <c r="W5" i="1"/>
  <c r="W3" i="1"/>
  <c r="W30" i="1"/>
  <c r="W43" i="1"/>
  <c r="W6" i="1"/>
  <c r="W40" i="1"/>
  <c r="W36" i="1"/>
  <c r="W15" i="1"/>
  <c r="R34" i="1"/>
  <c r="W34" i="1"/>
  <c r="R10" i="1"/>
  <c r="W10" i="1"/>
  <c r="R14" i="1"/>
  <c r="W14" i="1"/>
  <c r="W50" i="1"/>
  <c r="R4" i="1"/>
  <c r="W4" i="1"/>
  <c r="W12" i="1"/>
  <c r="R32" i="1"/>
  <c r="W32" i="1"/>
  <c r="R28" i="1"/>
  <c r="W28" i="1"/>
  <c r="W46" i="1"/>
  <c r="W18" i="1"/>
  <c r="R26" i="1"/>
  <c r="W26" i="1"/>
  <c r="W8" i="1"/>
  <c r="C8" i="5" l="1"/>
  <c r="C12" i="3"/>
  <c r="C41" i="3"/>
  <c r="C15" i="3" l="1"/>
  <c r="C6" i="3"/>
  <c r="C3" i="3"/>
  <c r="C7" i="3"/>
  <c r="C4" i="3"/>
  <c r="C38" i="3"/>
  <c r="C35" i="3"/>
  <c r="C34" i="3"/>
  <c r="C23" i="3"/>
  <c r="C30" i="3"/>
  <c r="C24" i="3"/>
  <c r="C20" i="3"/>
  <c r="C28" i="3"/>
  <c r="C25" i="3"/>
  <c r="C29" i="3"/>
  <c r="C19" i="3"/>
  <c r="C9" i="3"/>
  <c r="C10" i="3"/>
  <c r="C8" i="3"/>
  <c r="C11" i="3"/>
  <c r="C4" i="5"/>
  <c r="C7" i="5"/>
  <c r="C6" i="5" l="1"/>
  <c r="C3" i="5"/>
  <c r="C5" i="5"/>
  <c r="C2" i="5"/>
  <c r="C8" i="2"/>
  <c r="C9" i="2"/>
  <c r="C10" i="2"/>
  <c r="C13" i="2"/>
  <c r="C5" i="2" l="1"/>
  <c r="C3" i="2"/>
  <c r="C12" i="2"/>
  <c r="C6" i="2"/>
  <c r="C4" i="2"/>
  <c r="C14" i="2"/>
  <c r="C11" i="2"/>
  <c r="C7" i="2"/>
  <c r="C42" i="1"/>
  <c r="C43" i="1"/>
  <c r="C8" i="1"/>
  <c r="C35" i="1"/>
  <c r="C10" i="1"/>
  <c r="C33" i="1"/>
  <c r="C7" i="1"/>
  <c r="C15" i="1"/>
  <c r="C48" i="1"/>
  <c r="C17" i="3" l="1"/>
  <c r="C43" i="3"/>
  <c r="C22" i="3"/>
  <c r="C14" i="3"/>
  <c r="C39" i="3"/>
  <c r="C36" i="3"/>
  <c r="C33" i="3"/>
  <c r="C31" i="3"/>
  <c r="C18" i="3"/>
  <c r="C18" i="1"/>
  <c r="C42" i="3"/>
  <c r="C26" i="3"/>
  <c r="C21" i="3"/>
  <c r="C27" i="3"/>
  <c r="C16" i="3"/>
  <c r="C13" i="3"/>
  <c r="C32" i="3"/>
  <c r="C47" i="1"/>
  <c r="C31" i="1"/>
  <c r="C2" i="3"/>
  <c r="C50" i="1"/>
  <c r="C3" i="1"/>
  <c r="C5" i="3"/>
  <c r="C37" i="3"/>
  <c r="C40" i="3"/>
  <c r="C6" i="1"/>
  <c r="C38" i="1"/>
  <c r="C5" i="1"/>
  <c r="C17" i="1"/>
  <c r="C21" i="1"/>
  <c r="C49" i="1"/>
  <c r="C16" i="1"/>
  <c r="C12" i="1"/>
  <c r="C2" i="2"/>
  <c r="C9" i="1"/>
  <c r="C24" i="1"/>
  <c r="C14" i="1"/>
  <c r="C46" i="1"/>
  <c r="C25" i="1"/>
  <c r="C22" i="1"/>
  <c r="C29" i="1"/>
  <c r="C30" i="1"/>
  <c r="C34" i="1"/>
  <c r="C41" i="1"/>
  <c r="C37" i="1"/>
  <c r="C11" i="1"/>
  <c r="C36" i="1"/>
  <c r="C27" i="1"/>
  <c r="C28" i="1"/>
  <c r="C4" i="1"/>
  <c r="C23" i="1"/>
  <c r="C45" i="1"/>
  <c r="C39" i="1"/>
  <c r="C20" i="1"/>
  <c r="C26" i="1"/>
  <c r="C32" i="1"/>
  <c r="C2" i="1"/>
  <c r="C40" i="1"/>
  <c r="C13" i="1"/>
  <c r="C44" i="1"/>
  <c r="C19" i="1"/>
</calcChain>
</file>

<file path=xl/sharedStrings.xml><?xml version="1.0" encoding="utf-8"?>
<sst xmlns="http://schemas.openxmlformats.org/spreadsheetml/2006/main" count="713" uniqueCount="135">
  <si>
    <t>Trip Code</t>
  </si>
  <si>
    <t>Trip Date</t>
  </si>
  <si>
    <t>Customer Code</t>
  </si>
  <si>
    <t>Customer Name</t>
  </si>
  <si>
    <t>Driver Raw</t>
  </si>
  <si>
    <t>Driver 1</t>
  </si>
  <si>
    <t>Driver 2</t>
  </si>
  <si>
    <t>Driver 3</t>
  </si>
  <si>
    <t>Driver 1 Code</t>
  </si>
  <si>
    <t>Driver 2 Code</t>
  </si>
  <si>
    <t>Driver 3 Code</t>
  </si>
  <si>
    <t>Destination</t>
  </si>
  <si>
    <t>Quantity</t>
  </si>
  <si>
    <t>Rate</t>
  </si>
  <si>
    <t>Total Amount</t>
  </si>
  <si>
    <t>Received</t>
  </si>
  <si>
    <t>Balance</t>
  </si>
  <si>
    <t>Payment Status</t>
  </si>
  <si>
    <t>Notes</t>
  </si>
  <si>
    <t>Calculated Total</t>
  </si>
  <si>
    <t>Amount Check</t>
  </si>
  <si>
    <t>Calculated Balance</t>
  </si>
  <si>
    <t>Balance Check</t>
  </si>
  <si>
    <t>Vechile Type</t>
  </si>
  <si>
    <t>Preet Bhaiya</t>
  </si>
  <si>
    <t>Gaju Bhau</t>
  </si>
  <si>
    <t>T-Point</t>
  </si>
  <si>
    <t>Hyva</t>
  </si>
  <si>
    <t>Chetan</t>
  </si>
  <si>
    <t>Anshu</t>
  </si>
  <si>
    <t>Mada</t>
  </si>
  <si>
    <t>Izhar</t>
  </si>
  <si>
    <t>Tadali</t>
  </si>
  <si>
    <t>Saurabh Vidhate</t>
  </si>
  <si>
    <t>Ghodpet</t>
  </si>
  <si>
    <t>Toyota</t>
  </si>
  <si>
    <t>Morwa</t>
  </si>
  <si>
    <t>Sanjeet</t>
  </si>
  <si>
    <t>Kosara</t>
  </si>
  <si>
    <t>Bhandare</t>
  </si>
  <si>
    <t>Kosra</t>
  </si>
  <si>
    <t>Gurjit</t>
  </si>
  <si>
    <t>MIDC</t>
  </si>
  <si>
    <t>Jaiswal</t>
  </si>
  <si>
    <t>Yuvraj Thakur</t>
  </si>
  <si>
    <t>Padoli</t>
  </si>
  <si>
    <t>Rundawan</t>
  </si>
  <si>
    <t>Rashtrawadi</t>
  </si>
  <si>
    <t>Shubham Sakarkar</t>
  </si>
  <si>
    <t>Upadya</t>
  </si>
  <si>
    <t>Rastrawadi</t>
  </si>
  <si>
    <t xml:space="preserve">Wadgaon </t>
  </si>
  <si>
    <t>Patel</t>
  </si>
  <si>
    <t>Tea point</t>
  </si>
  <si>
    <t>Vishal Singh</t>
  </si>
  <si>
    <t>Rundawan Nagar</t>
  </si>
  <si>
    <t>Sachin K</t>
  </si>
  <si>
    <t>Raj Sir</t>
  </si>
  <si>
    <t>Sai Mandir</t>
  </si>
  <si>
    <t>Nishan Bhattar</t>
  </si>
  <si>
    <t>Chorada</t>
  </si>
  <si>
    <t>Nirmal Nagri</t>
  </si>
  <si>
    <t>Rupesh Regundewar</t>
  </si>
  <si>
    <t>Vishal Prasad</t>
  </si>
  <si>
    <t>Nagada</t>
  </si>
  <si>
    <t>Abhay Adgurwar</t>
  </si>
  <si>
    <t>Nitin Prasad</t>
  </si>
  <si>
    <t>Mardarsa</t>
  </si>
  <si>
    <t>Khanda Nagri</t>
  </si>
  <si>
    <t>Meshram</t>
  </si>
  <si>
    <t>Yerur</t>
  </si>
  <si>
    <t>Hitesh</t>
  </si>
  <si>
    <t>Salim</t>
  </si>
  <si>
    <t>Mada Colony</t>
  </si>
  <si>
    <t>Abhay Adgurwar ( Parmar )</t>
  </si>
  <si>
    <t>Arbaz</t>
  </si>
  <si>
    <t>Wadgaon</t>
  </si>
  <si>
    <t>Lalit</t>
  </si>
  <si>
    <t>Ravi</t>
  </si>
  <si>
    <t>Anshu / Ravi</t>
  </si>
  <si>
    <t>Marshi School</t>
  </si>
  <si>
    <t>Yadav</t>
  </si>
  <si>
    <t xml:space="preserve">Anshu </t>
  </si>
  <si>
    <t>Halfton</t>
  </si>
  <si>
    <t>Shubham</t>
  </si>
  <si>
    <t>Bobby Bhaiya</t>
  </si>
  <si>
    <t>Haveli Garden</t>
  </si>
  <si>
    <t>Satsang</t>
  </si>
  <si>
    <t>Aupadhya</t>
  </si>
  <si>
    <t>Bharan / Kosara</t>
  </si>
  <si>
    <t>Customer Unknown</t>
  </si>
  <si>
    <t>Robby</t>
  </si>
  <si>
    <t xml:space="preserve">Tadali ( Rahul Dhaba ) </t>
  </si>
  <si>
    <t>Gormade</t>
  </si>
  <si>
    <t>Sharif Uncle</t>
  </si>
  <si>
    <t>SakarWahi</t>
  </si>
  <si>
    <t xml:space="preserve">Kiran ( Papa Order ) </t>
  </si>
  <si>
    <t>Santkurpa Hotel</t>
  </si>
  <si>
    <t>Malli Bhaiya</t>
  </si>
  <si>
    <t>Pathanpura</t>
  </si>
  <si>
    <t>Aashay</t>
  </si>
  <si>
    <t>Datada</t>
  </si>
  <si>
    <t>Shubham Dada</t>
  </si>
  <si>
    <t>Ambedkar Sabhagurah</t>
  </si>
  <si>
    <t>Balaji</t>
  </si>
  <si>
    <t>Golu</t>
  </si>
  <si>
    <t>Rishab Dupare</t>
  </si>
  <si>
    <t>ITI College</t>
  </si>
  <si>
    <t>ITI Collge</t>
  </si>
  <si>
    <t>Tadali T-Pointt</t>
  </si>
  <si>
    <t>Akshu Dada</t>
  </si>
  <si>
    <t>Datta Nagar</t>
  </si>
  <si>
    <t>Sharik</t>
  </si>
  <si>
    <t>Devada</t>
  </si>
  <si>
    <t>Anna</t>
  </si>
  <si>
    <t>Vithal Bhau</t>
  </si>
  <si>
    <t>Thackery Wadi</t>
  </si>
  <si>
    <t>Tharkey Wadi</t>
  </si>
  <si>
    <t>Nikkil</t>
  </si>
  <si>
    <t>Material Type</t>
  </si>
  <si>
    <t>White Sand</t>
  </si>
  <si>
    <t>Fly Ash</t>
  </si>
  <si>
    <t>Transaction Type</t>
  </si>
  <si>
    <t>Ramteke ( Raj Dad )</t>
  </si>
  <si>
    <t>Vichoda</t>
  </si>
  <si>
    <t>CUSTOMER DELIVERY</t>
  </si>
  <si>
    <t>Arvind Rohankar ( Raj Dad )</t>
  </si>
  <si>
    <t>Devrao ( Raj Dad )</t>
  </si>
  <si>
    <t>Rundawan ( Bharran )</t>
  </si>
  <si>
    <t>Suresh Pachare ( Raj Dad )</t>
  </si>
  <si>
    <t>Pachare Farms</t>
  </si>
  <si>
    <t>Raju Bala ( Raj Dad )</t>
  </si>
  <si>
    <t>Stock</t>
  </si>
  <si>
    <t>INTERNAL STOCK</t>
  </si>
  <si>
    <t>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</si>
</sst>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₹&quot;\ #,##0.00"/>
    <numFmt numFmtId="166" formatCode="&quot;₹&quot;#,##0.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165" fontId="0" fillId="0" borderId="0" xfId="0" applyNumberFormat="1"/>
    <xf numFmtId="164" fontId="0" fillId="0" borderId="0" xfId="0" applyNumberFormat="1" applyAlignment="1">
      <alignment horizontal="left"/>
    </xf>
    <xf numFmtId="164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0" borderId="0" xfId="1" applyAlignment="1">
      <alignment horizontal="center"/>
    </xf>
    <xf numFmtId="166" fontId="0" fillId="0" borderId="0" xfId="0" applyNumberFormat="1"/>
  </cellXfs>
  <cellStyles count="2">
    <cellStyle name="Normal" xfId="0" builtinId="0"/>
    <cellStyle name="Normal 2" xfId="1" xr:uid="{33D267D8-6A35-804A-AFAD-5470273453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hilwaghmare/Desktop/Data%20Transfer%202024%20Raj%20Construction/Business%20Data%20Cleaned.xlsx" TargetMode="External"/><Relationship Id="rId1" Type="http://schemas.openxmlformats.org/officeDocument/2006/relationships/externalLinkPath" Target="Business%20Data%20Clea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o%20Driver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d%20Drive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 Customer Duplicate Hyva"/>
      <sheetName val="Sheet1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Aakash</v>
          </cell>
        </row>
        <row r="3">
          <cell r="A3" t="str">
            <v>CUST-002</v>
          </cell>
          <cell r="B3" t="str">
            <v>Aalam Bhaiya</v>
          </cell>
        </row>
        <row r="4">
          <cell r="A4" t="str">
            <v>CUST-003</v>
          </cell>
          <cell r="B4" t="str">
            <v>Aanya</v>
          </cell>
        </row>
        <row r="5">
          <cell r="A5" t="str">
            <v>CUST-004</v>
          </cell>
          <cell r="B5" t="str">
            <v>Aaro Water Filter</v>
          </cell>
        </row>
        <row r="6">
          <cell r="A6" t="str">
            <v>CUST-005</v>
          </cell>
          <cell r="B6" t="str">
            <v>Aashay</v>
          </cell>
        </row>
        <row r="7">
          <cell r="A7" t="str">
            <v>CUST-006</v>
          </cell>
          <cell r="B7" t="str">
            <v>Aashish</v>
          </cell>
        </row>
        <row r="8">
          <cell r="A8" t="str">
            <v>CUST-007</v>
          </cell>
          <cell r="B8" t="str">
            <v>Aatram</v>
          </cell>
        </row>
        <row r="9">
          <cell r="A9" t="str">
            <v>CUST-008</v>
          </cell>
          <cell r="B9" t="str">
            <v>Aau</v>
          </cell>
        </row>
        <row r="10">
          <cell r="A10" t="str">
            <v>CUST-009</v>
          </cell>
          <cell r="B10" t="str">
            <v>Aawari</v>
          </cell>
        </row>
        <row r="11">
          <cell r="A11" t="str">
            <v>CUST-010</v>
          </cell>
          <cell r="B11" t="str">
            <v>Aawde</v>
          </cell>
        </row>
        <row r="12">
          <cell r="A12" t="str">
            <v>CUST-011</v>
          </cell>
          <cell r="B12" t="str">
            <v>Abhay Adgurwar</v>
          </cell>
        </row>
        <row r="13">
          <cell r="A13" t="str">
            <v>CUST-012</v>
          </cell>
          <cell r="B13" t="str">
            <v>Abhay Adgurwar ( Parmar )</v>
          </cell>
        </row>
        <row r="14">
          <cell r="A14" t="str">
            <v>CUST-013</v>
          </cell>
          <cell r="B14" t="str">
            <v>Aggrawal</v>
          </cell>
        </row>
        <row r="15">
          <cell r="A15" t="str">
            <v>CUST-014</v>
          </cell>
          <cell r="B15" t="str">
            <v>Ajay Mobile Shop</v>
          </cell>
        </row>
        <row r="16">
          <cell r="A16" t="str">
            <v>CUST-015</v>
          </cell>
          <cell r="B16" t="str">
            <v>Ajgar Bhaiya</v>
          </cell>
        </row>
        <row r="17">
          <cell r="A17" t="str">
            <v>CUST-016</v>
          </cell>
          <cell r="B17" t="str">
            <v>Ajju Balki</v>
          </cell>
        </row>
        <row r="18">
          <cell r="A18" t="str">
            <v>CUST-017</v>
          </cell>
          <cell r="B18" t="str">
            <v>Akash</v>
          </cell>
        </row>
        <row r="19">
          <cell r="A19" t="str">
            <v>CUST-018</v>
          </cell>
          <cell r="B19" t="str">
            <v xml:space="preserve">Akash </v>
          </cell>
        </row>
        <row r="20">
          <cell r="A20" t="str">
            <v>CUST-019</v>
          </cell>
          <cell r="B20" t="str">
            <v>Akram Shiek</v>
          </cell>
        </row>
        <row r="21">
          <cell r="A21" t="str">
            <v>CUST-020</v>
          </cell>
          <cell r="B21" t="str">
            <v>Akshay</v>
          </cell>
        </row>
        <row r="22">
          <cell r="A22" t="str">
            <v>CUST-021</v>
          </cell>
          <cell r="B22" t="str">
            <v>Akshu</v>
          </cell>
        </row>
        <row r="23">
          <cell r="A23" t="str">
            <v>CUST-022</v>
          </cell>
          <cell r="B23" t="str">
            <v>Ali Bhaiya</v>
          </cell>
        </row>
        <row r="24">
          <cell r="A24" t="str">
            <v>CUST-023</v>
          </cell>
          <cell r="B24" t="str">
            <v>Amar Avde</v>
          </cell>
        </row>
        <row r="25">
          <cell r="A25" t="str">
            <v>CUST-024</v>
          </cell>
          <cell r="B25" t="str">
            <v>Amit G</v>
          </cell>
        </row>
        <row r="26">
          <cell r="A26" t="str">
            <v>CUST-025</v>
          </cell>
          <cell r="B26" t="str">
            <v>Amit Matthe</v>
          </cell>
        </row>
        <row r="27">
          <cell r="A27" t="str">
            <v>CUST-026</v>
          </cell>
          <cell r="B27" t="str">
            <v>Amit Sherke</v>
          </cell>
        </row>
        <row r="28">
          <cell r="A28" t="str">
            <v>CUST-027</v>
          </cell>
          <cell r="B28" t="str">
            <v>Amol Thekedar</v>
          </cell>
        </row>
        <row r="29">
          <cell r="A29" t="str">
            <v>CUST-028</v>
          </cell>
          <cell r="B29" t="str">
            <v>Amtha</v>
          </cell>
        </row>
        <row r="30">
          <cell r="A30" t="str">
            <v>CUST-029</v>
          </cell>
          <cell r="B30" t="str">
            <v>Aniket Chaudhary</v>
          </cell>
        </row>
        <row r="31">
          <cell r="A31" t="str">
            <v>CUST-030</v>
          </cell>
          <cell r="B31" t="str">
            <v>Anil Bhoyar</v>
          </cell>
        </row>
        <row r="32">
          <cell r="A32" t="str">
            <v>CUST-031</v>
          </cell>
          <cell r="B32" t="str">
            <v>Anil Khokle</v>
          </cell>
        </row>
        <row r="33">
          <cell r="A33" t="str">
            <v>CUST-032</v>
          </cell>
          <cell r="B33" t="str">
            <v>Anil Narule</v>
          </cell>
        </row>
        <row r="34">
          <cell r="A34" t="str">
            <v>CUST-033</v>
          </cell>
          <cell r="B34" t="str">
            <v>Anil Shukdev</v>
          </cell>
        </row>
        <row r="35">
          <cell r="A35" t="str">
            <v>CUST-034</v>
          </cell>
          <cell r="B35" t="str">
            <v>Ankit Ghutke</v>
          </cell>
        </row>
        <row r="36">
          <cell r="A36" t="str">
            <v>CUST-035</v>
          </cell>
          <cell r="B36" t="str">
            <v>Ankit Milmile</v>
          </cell>
        </row>
        <row r="37">
          <cell r="A37" t="str">
            <v>CUST-036</v>
          </cell>
          <cell r="B37" t="str">
            <v>Ankush Bhau</v>
          </cell>
        </row>
        <row r="38">
          <cell r="A38" t="str">
            <v>CUST-037</v>
          </cell>
          <cell r="B38" t="str">
            <v>Ankush P</v>
          </cell>
        </row>
        <row r="39">
          <cell r="A39" t="str">
            <v>CUST-038</v>
          </cell>
          <cell r="B39" t="str">
            <v>Anurag ( Golu)</v>
          </cell>
        </row>
        <row r="40">
          <cell r="A40" t="str">
            <v>CUST-039</v>
          </cell>
          <cell r="B40" t="str">
            <v>Arbaz</v>
          </cell>
        </row>
        <row r="41">
          <cell r="A41" t="str">
            <v>CUST-040</v>
          </cell>
          <cell r="B41" t="str">
            <v>Arjun Chinchurwar</v>
          </cell>
        </row>
        <row r="42">
          <cell r="A42" t="str">
            <v>CUST-041</v>
          </cell>
          <cell r="B42" t="str">
            <v>Arnav</v>
          </cell>
        </row>
        <row r="43">
          <cell r="A43" t="str">
            <v>CUST-042</v>
          </cell>
          <cell r="B43" t="str">
            <v>Arvind Gupta</v>
          </cell>
        </row>
        <row r="44">
          <cell r="A44" t="str">
            <v>CUST-043</v>
          </cell>
          <cell r="B44" t="str">
            <v>Arvind Rohankar</v>
          </cell>
        </row>
        <row r="45">
          <cell r="A45" t="str">
            <v>CUST-044</v>
          </cell>
          <cell r="B45" t="str">
            <v>Ashok</v>
          </cell>
        </row>
        <row r="46">
          <cell r="A46" t="str">
            <v>CUST-045</v>
          </cell>
          <cell r="B46" t="str">
            <v>Ashwin</v>
          </cell>
        </row>
        <row r="47">
          <cell r="A47" t="str">
            <v>CUST-046</v>
          </cell>
          <cell r="B47" t="str">
            <v xml:space="preserve">Ashwin </v>
          </cell>
        </row>
        <row r="48">
          <cell r="A48" t="str">
            <v>CUST-047</v>
          </cell>
          <cell r="B48" t="str">
            <v xml:space="preserve">Aszar </v>
          </cell>
        </row>
        <row r="49">
          <cell r="A49" t="str">
            <v>CUST-048</v>
          </cell>
          <cell r="B49" t="str">
            <v>Ataullah</v>
          </cell>
        </row>
        <row r="50">
          <cell r="A50" t="str">
            <v>CUST-049</v>
          </cell>
          <cell r="B50" t="str">
            <v xml:space="preserve">Ataullah </v>
          </cell>
        </row>
        <row r="51">
          <cell r="A51" t="str">
            <v>CUST-050</v>
          </cell>
          <cell r="B51" t="str">
            <v>Atul Bhaiya</v>
          </cell>
        </row>
        <row r="52">
          <cell r="A52" t="str">
            <v>CUST-051</v>
          </cell>
          <cell r="B52" t="str">
            <v>Atul Ukade</v>
          </cell>
        </row>
        <row r="53">
          <cell r="A53" t="str">
            <v>CUST-052</v>
          </cell>
          <cell r="B53" t="str">
            <v>Azad Transport</v>
          </cell>
        </row>
        <row r="54">
          <cell r="A54" t="str">
            <v>CUST-053</v>
          </cell>
          <cell r="B54" t="str">
            <v>Baburao Weilding</v>
          </cell>
        </row>
        <row r="55">
          <cell r="A55" t="str">
            <v>CUST-054</v>
          </cell>
          <cell r="B55" t="str">
            <v>Balaji Kaka</v>
          </cell>
        </row>
        <row r="56">
          <cell r="A56" t="str">
            <v>CUST-055</v>
          </cell>
          <cell r="B56" t="str">
            <v>Balki</v>
          </cell>
        </row>
        <row r="57">
          <cell r="A57" t="str">
            <v>CUST-056</v>
          </cell>
          <cell r="B57" t="str">
            <v xml:space="preserve">Balki </v>
          </cell>
        </row>
        <row r="58">
          <cell r="A58" t="str">
            <v>CUST-057</v>
          </cell>
          <cell r="B58" t="str">
            <v>Balu Khokle</v>
          </cell>
        </row>
        <row r="59">
          <cell r="A59" t="str">
            <v>CUST-058</v>
          </cell>
          <cell r="B59" t="str">
            <v>Bandu</v>
          </cell>
        </row>
        <row r="60">
          <cell r="A60" t="str">
            <v>CUST-059</v>
          </cell>
          <cell r="B60" t="str">
            <v>Bappya Mama</v>
          </cell>
        </row>
        <row r="61">
          <cell r="A61" t="str">
            <v>CUST-060</v>
          </cell>
          <cell r="B61" t="str">
            <v>Bhadke</v>
          </cell>
        </row>
        <row r="62">
          <cell r="A62" t="str">
            <v>CUST-061</v>
          </cell>
          <cell r="B62" t="str">
            <v>Bhai Miya</v>
          </cell>
        </row>
        <row r="63">
          <cell r="A63" t="str">
            <v>CUST-062</v>
          </cell>
          <cell r="B63" t="str">
            <v>Bhandare</v>
          </cell>
        </row>
        <row r="64">
          <cell r="A64" t="str">
            <v>CUST-063</v>
          </cell>
          <cell r="B64" t="str">
            <v>Bharat Rone</v>
          </cell>
        </row>
        <row r="65">
          <cell r="A65" t="str">
            <v>CUST-064</v>
          </cell>
          <cell r="B65" t="str">
            <v>Bhimrao Padwekar</v>
          </cell>
        </row>
        <row r="66">
          <cell r="A66" t="str">
            <v>CUST-065</v>
          </cell>
          <cell r="B66" t="str">
            <v>Bondhare</v>
          </cell>
        </row>
        <row r="67">
          <cell r="A67" t="str">
            <v>CUST-066</v>
          </cell>
          <cell r="B67" t="str">
            <v>Borkute</v>
          </cell>
        </row>
        <row r="68">
          <cell r="A68" t="str">
            <v>CUST-067</v>
          </cell>
          <cell r="B68" t="str">
            <v>Cement Pipe ( Raj Order )</v>
          </cell>
        </row>
        <row r="69">
          <cell r="A69" t="str">
            <v>CUST-068</v>
          </cell>
          <cell r="B69" t="str">
            <v>Chaada Transport</v>
          </cell>
        </row>
        <row r="70">
          <cell r="A70" t="str">
            <v>CUST-069</v>
          </cell>
          <cell r="B70" t="str">
            <v>Chabu Sahare</v>
          </cell>
        </row>
        <row r="71">
          <cell r="A71" t="str">
            <v>CUST-070</v>
          </cell>
          <cell r="B71" t="str">
            <v>Chambhare</v>
          </cell>
        </row>
        <row r="72">
          <cell r="A72" t="str">
            <v>CUST-071</v>
          </cell>
          <cell r="B72" t="str">
            <v>Chandraban</v>
          </cell>
        </row>
        <row r="73">
          <cell r="A73" t="str">
            <v>CUST-072</v>
          </cell>
          <cell r="B73" t="str">
            <v>Chaudhary</v>
          </cell>
        </row>
        <row r="74">
          <cell r="A74" t="str">
            <v>CUST-073</v>
          </cell>
          <cell r="B74" t="str">
            <v>Chauhan</v>
          </cell>
        </row>
        <row r="75">
          <cell r="A75" t="str">
            <v>CUST-074</v>
          </cell>
          <cell r="B75" t="str">
            <v xml:space="preserve">Chaure Welder </v>
          </cell>
        </row>
        <row r="76">
          <cell r="A76" t="str">
            <v>CUST-075</v>
          </cell>
          <cell r="B76" t="str">
            <v>Chetan</v>
          </cell>
        </row>
        <row r="77">
          <cell r="A77" t="str">
            <v>CUST-076</v>
          </cell>
          <cell r="B77" t="str">
            <v>Chetan Bhobde</v>
          </cell>
        </row>
        <row r="78">
          <cell r="A78" t="str">
            <v>CUST-077</v>
          </cell>
          <cell r="B78" t="str">
            <v>Chetan U</v>
          </cell>
        </row>
        <row r="79">
          <cell r="A79" t="str">
            <v>CUST-078</v>
          </cell>
          <cell r="B79" t="str">
            <v>Chhabu Sahare ( Raj Dad )</v>
          </cell>
        </row>
        <row r="80">
          <cell r="A80" t="str">
            <v>CUST-079</v>
          </cell>
          <cell r="B80" t="str">
            <v>Chips Wala</v>
          </cell>
        </row>
        <row r="81">
          <cell r="A81" t="str">
            <v>CUST-080</v>
          </cell>
          <cell r="B81" t="str">
            <v>Chiwande</v>
          </cell>
        </row>
        <row r="82">
          <cell r="A82" t="str">
            <v>CUST-081</v>
          </cell>
          <cell r="B82" t="str">
            <v>Daru Ramtake</v>
          </cell>
        </row>
        <row r="83">
          <cell r="A83" t="str">
            <v>CUST-082</v>
          </cell>
          <cell r="B83" t="str">
            <v>Dayakar</v>
          </cell>
        </row>
        <row r="84">
          <cell r="A84" t="str">
            <v>CUST-083</v>
          </cell>
          <cell r="B84" t="str">
            <v>Dayaram Thekedar</v>
          </cell>
        </row>
        <row r="85">
          <cell r="A85" t="str">
            <v>CUST-084</v>
          </cell>
          <cell r="B85" t="str">
            <v>Dayakar</v>
          </cell>
        </row>
        <row r="86">
          <cell r="A86" t="str">
            <v>CUST-085</v>
          </cell>
          <cell r="B86" t="str">
            <v>Deepanshu Thackrey</v>
          </cell>
        </row>
        <row r="87">
          <cell r="A87" t="str">
            <v>CUST-086</v>
          </cell>
          <cell r="B87" t="str">
            <v>Deshkar ( Raj Dad )</v>
          </cell>
        </row>
        <row r="88">
          <cell r="A88" t="str">
            <v>CUST-087</v>
          </cell>
          <cell r="B88" t="str">
            <v>Desi Ramteke ( Roshan Order )</v>
          </cell>
        </row>
        <row r="89">
          <cell r="A89" t="str">
            <v>CUST-088</v>
          </cell>
          <cell r="B89" t="str">
            <v>Dev Kumar</v>
          </cell>
        </row>
        <row r="90">
          <cell r="A90" t="str">
            <v>CUST-089</v>
          </cell>
          <cell r="B90" t="str">
            <v>Devanand Sao</v>
          </cell>
        </row>
        <row r="91">
          <cell r="A91" t="str">
            <v>CUST-090</v>
          </cell>
          <cell r="B91" t="str">
            <v>Devrao ( Raj Dad )</v>
          </cell>
        </row>
        <row r="92">
          <cell r="A92" t="str">
            <v>CUST-091</v>
          </cell>
          <cell r="B92" t="str">
            <v>Dewagan</v>
          </cell>
        </row>
        <row r="93">
          <cell r="A93" t="str">
            <v>CUST-092</v>
          </cell>
          <cell r="B93" t="str">
            <v>Dhote</v>
          </cell>
        </row>
        <row r="94">
          <cell r="A94" t="str">
            <v>CUST-093</v>
          </cell>
          <cell r="B94" t="str">
            <v>Dodlani</v>
          </cell>
        </row>
        <row r="95">
          <cell r="A95" t="str">
            <v>CUST-094</v>
          </cell>
          <cell r="B95" t="str">
            <v>Dump</v>
          </cell>
        </row>
        <row r="96">
          <cell r="A96" t="str">
            <v>CUST-095</v>
          </cell>
          <cell r="B96" t="str">
            <v>Durge</v>
          </cell>
        </row>
        <row r="97">
          <cell r="A97" t="str">
            <v>CUST-096</v>
          </cell>
          <cell r="B97" t="str">
            <v>Dyaneshwar Sau</v>
          </cell>
        </row>
        <row r="98">
          <cell r="A98" t="str">
            <v>CUST-097</v>
          </cell>
          <cell r="B98" t="str">
            <v>Fasate</v>
          </cell>
        </row>
        <row r="99">
          <cell r="A99" t="str">
            <v>CUST-098</v>
          </cell>
          <cell r="B99" t="str">
            <v>Fish Wala</v>
          </cell>
        </row>
        <row r="100">
          <cell r="A100" t="str">
            <v>CUST-099</v>
          </cell>
          <cell r="B100" t="str">
            <v>Gajanan</v>
          </cell>
        </row>
        <row r="101">
          <cell r="A101" t="str">
            <v>CUST-100</v>
          </cell>
          <cell r="B101" t="str">
            <v>Gajendra</v>
          </cell>
        </row>
        <row r="102">
          <cell r="A102" t="str">
            <v>CUST-101</v>
          </cell>
          <cell r="B102" t="str">
            <v>Gaju Mandavkar</v>
          </cell>
        </row>
        <row r="103">
          <cell r="A103" t="str">
            <v>CUST-102</v>
          </cell>
          <cell r="B103" t="str">
            <v xml:space="preserve">Gaju Panthela </v>
          </cell>
        </row>
        <row r="104">
          <cell r="A104" t="str">
            <v>CUST-103</v>
          </cell>
          <cell r="B104" t="str">
            <v>Gandfade</v>
          </cell>
        </row>
        <row r="105">
          <cell r="A105" t="str">
            <v>CUST-104</v>
          </cell>
          <cell r="B105" t="str">
            <v>Ganesh LCB. ( Raj Order</v>
          </cell>
        </row>
        <row r="106">
          <cell r="A106" t="str">
            <v>CUST-105</v>
          </cell>
          <cell r="B106" t="str">
            <v>Ganesh Surje</v>
          </cell>
        </row>
        <row r="107">
          <cell r="A107" t="str">
            <v>CUST-106</v>
          </cell>
          <cell r="B107" t="str">
            <v>Gaurav</v>
          </cell>
        </row>
        <row r="108">
          <cell r="A108" t="str">
            <v>CUST-107</v>
          </cell>
          <cell r="B108" t="str">
            <v>Gautre</v>
          </cell>
        </row>
        <row r="109">
          <cell r="A109" t="str">
            <v>CUST-108</v>
          </cell>
          <cell r="B109" t="str">
            <v>Gautre ( Raj Dad )</v>
          </cell>
        </row>
        <row r="110">
          <cell r="A110" t="str">
            <v>CUST-109</v>
          </cell>
          <cell r="B110" t="str">
            <v>Gedam Raj</v>
          </cell>
        </row>
        <row r="111">
          <cell r="A111" t="str">
            <v>CUST-110</v>
          </cell>
          <cell r="B111" t="str">
            <v>Ghopal ( Mahendra )</v>
          </cell>
        </row>
        <row r="112">
          <cell r="A112" t="str">
            <v>CUST-111</v>
          </cell>
          <cell r="B112" t="str">
            <v>Ghorpade ( Roshan )</v>
          </cell>
        </row>
        <row r="113">
          <cell r="A113" t="str">
            <v>CUST-112</v>
          </cell>
          <cell r="B113" t="str">
            <v>Giratkar</v>
          </cell>
        </row>
        <row r="114">
          <cell r="A114" t="str">
            <v>CUST-113</v>
          </cell>
          <cell r="B114" t="str">
            <v>Githe Saheb</v>
          </cell>
        </row>
        <row r="115">
          <cell r="A115" t="str">
            <v>CUST-114</v>
          </cell>
          <cell r="B115" t="str">
            <v>Golu</v>
          </cell>
        </row>
        <row r="116">
          <cell r="A116" t="str">
            <v>CUST-115</v>
          </cell>
          <cell r="B116" t="str">
            <v xml:space="preserve">Golu </v>
          </cell>
        </row>
        <row r="117">
          <cell r="A117" t="str">
            <v>CUST-116</v>
          </cell>
          <cell r="B117" t="str">
            <v>Golu Operator</v>
          </cell>
        </row>
        <row r="118">
          <cell r="A118" t="str">
            <v>CUST-117</v>
          </cell>
          <cell r="B118" t="str">
            <v>Gurjit Saini</v>
          </cell>
        </row>
        <row r="119">
          <cell r="A119" t="str">
            <v>CUST-118</v>
          </cell>
          <cell r="B119" t="str">
            <v>Guru</v>
          </cell>
        </row>
        <row r="120">
          <cell r="A120" t="str">
            <v>CUST-119</v>
          </cell>
          <cell r="B120" t="str">
            <v xml:space="preserve">Guru </v>
          </cell>
        </row>
        <row r="121">
          <cell r="A121" t="str">
            <v>CUST-120</v>
          </cell>
          <cell r="B121" t="str">
            <v>Hari Bhau</v>
          </cell>
        </row>
        <row r="122">
          <cell r="A122" t="str">
            <v>CUST-121</v>
          </cell>
          <cell r="B122" t="str">
            <v>Harshal Murgane</v>
          </cell>
        </row>
        <row r="123">
          <cell r="A123" t="str">
            <v>CUST-122</v>
          </cell>
          <cell r="B123" t="str">
            <v>Hemendra</v>
          </cell>
        </row>
        <row r="124">
          <cell r="A124" t="str">
            <v>CUST-123</v>
          </cell>
          <cell r="B124" t="str">
            <v>Hitesh Zamare</v>
          </cell>
        </row>
        <row r="125">
          <cell r="A125" t="str">
            <v>CUST-124</v>
          </cell>
          <cell r="B125" t="str">
            <v>hiwakar</v>
          </cell>
        </row>
        <row r="126">
          <cell r="A126" t="str">
            <v>CUST-125</v>
          </cell>
          <cell r="B126" t="str">
            <v xml:space="preserve">Hiwakar </v>
          </cell>
        </row>
        <row r="127">
          <cell r="A127" t="str">
            <v>CUST-126</v>
          </cell>
          <cell r="B127" t="str">
            <v>HP Gas ( Mahendra )</v>
          </cell>
        </row>
        <row r="128">
          <cell r="A128" t="str">
            <v>CUST-127</v>
          </cell>
          <cell r="B128" t="str">
            <v>Irfan</v>
          </cell>
        </row>
        <row r="129">
          <cell r="A129" t="str">
            <v>CUST-128</v>
          </cell>
          <cell r="B129" t="str">
            <v>Izhar</v>
          </cell>
        </row>
        <row r="130">
          <cell r="A130" t="str">
            <v>CUST-129</v>
          </cell>
          <cell r="B130" t="str">
            <v>Jadish Yadav</v>
          </cell>
        </row>
        <row r="131">
          <cell r="A131" t="str">
            <v>CUST-130</v>
          </cell>
          <cell r="B131" t="str">
            <v>Jagannath Chukre ( Mahendra )</v>
          </cell>
        </row>
        <row r="132">
          <cell r="A132" t="str">
            <v>CUST-131</v>
          </cell>
          <cell r="B132" t="str">
            <v>Jaiswal</v>
          </cell>
        </row>
        <row r="133">
          <cell r="A133" t="str">
            <v>CUST-132</v>
          </cell>
          <cell r="B133" t="str">
            <v>Jannya Bhau</v>
          </cell>
        </row>
        <row r="134">
          <cell r="A134" t="str">
            <v>CUST-133</v>
          </cell>
          <cell r="B134" t="str">
            <v>Jay Amte</v>
          </cell>
        </row>
        <row r="135">
          <cell r="A135" t="str">
            <v>CUST-134</v>
          </cell>
          <cell r="B135" t="str">
            <v>Jay Mishra</v>
          </cell>
        </row>
        <row r="136">
          <cell r="A136" t="str">
            <v>CUST-135</v>
          </cell>
          <cell r="B136" t="str">
            <v>jhangid</v>
          </cell>
        </row>
        <row r="137">
          <cell r="A137" t="str">
            <v>CUST-136</v>
          </cell>
          <cell r="B137" t="str">
            <v>Jhenthe</v>
          </cell>
        </row>
        <row r="138">
          <cell r="A138" t="str">
            <v>CUST-137</v>
          </cell>
          <cell r="B138" t="str">
            <v>JI Sav ( Roshan )</v>
          </cell>
        </row>
        <row r="139">
          <cell r="A139" t="str">
            <v>CUST-138</v>
          </cell>
          <cell r="B139" t="str">
            <v>Jivan Sao</v>
          </cell>
        </row>
        <row r="140">
          <cell r="A140" t="str">
            <v>CUST-139</v>
          </cell>
          <cell r="B140" t="str">
            <v>Joyti Bai</v>
          </cell>
        </row>
        <row r="141">
          <cell r="A141" t="str">
            <v>CUST-140</v>
          </cell>
          <cell r="B141" t="str">
            <v xml:space="preserve">Joyti Dhote ( Raj Dad) </v>
          </cell>
        </row>
        <row r="142">
          <cell r="A142" t="str">
            <v>CUST-141</v>
          </cell>
          <cell r="B142" t="str">
            <v>Kade</v>
          </cell>
        </row>
        <row r="143">
          <cell r="A143" t="str">
            <v>CUST-142</v>
          </cell>
          <cell r="B143" t="str">
            <v>Kailash Bhaiya</v>
          </cell>
        </row>
        <row r="144">
          <cell r="A144" t="str">
            <v>CUST-143</v>
          </cell>
          <cell r="B144" t="str">
            <v>Kakaji</v>
          </cell>
        </row>
        <row r="145">
          <cell r="A145" t="str">
            <v>CUST-144</v>
          </cell>
          <cell r="B145" t="str">
            <v>Kakaji ( Papa Order )</v>
          </cell>
        </row>
        <row r="146">
          <cell r="A146" t="str">
            <v>CUST-145</v>
          </cell>
          <cell r="B146" t="str">
            <v>Kalam ( Raj Dad )</v>
          </cell>
        </row>
        <row r="147">
          <cell r="A147" t="str">
            <v>CUST-146</v>
          </cell>
          <cell r="B147" t="str">
            <v>Kale</v>
          </cell>
        </row>
        <row r="148">
          <cell r="A148" t="str">
            <v>CUST-147</v>
          </cell>
          <cell r="B148" t="str">
            <v>Kamalar Ramteke</v>
          </cell>
        </row>
        <row r="149">
          <cell r="A149" t="str">
            <v>CUST-148</v>
          </cell>
          <cell r="B149" t="str">
            <v>Kamlesh Chidate ( Raj Dad )</v>
          </cell>
        </row>
        <row r="150">
          <cell r="A150" t="str">
            <v>CUST-149</v>
          </cell>
          <cell r="B150" t="str">
            <v>Karan</v>
          </cell>
        </row>
        <row r="151">
          <cell r="A151" t="str">
            <v>CUST-150</v>
          </cell>
          <cell r="B151" t="str">
            <v>Khare Uncle ( Raj Dad )</v>
          </cell>
        </row>
        <row r="152">
          <cell r="A152" t="str">
            <v>CUST-151</v>
          </cell>
          <cell r="B152" t="str">
            <v xml:space="preserve">Khobragade </v>
          </cell>
        </row>
        <row r="153">
          <cell r="A153" t="str">
            <v>CUST-152</v>
          </cell>
          <cell r="B153" t="str">
            <v>Kiran</v>
          </cell>
        </row>
        <row r="154">
          <cell r="A154" t="str">
            <v>CUST-153</v>
          </cell>
          <cell r="B154" t="str">
            <v>Kirmire ( Raj Dad )</v>
          </cell>
        </row>
        <row r="155">
          <cell r="A155" t="str">
            <v>CUST-154</v>
          </cell>
          <cell r="B155" t="str">
            <v>Kishor Buratkar</v>
          </cell>
        </row>
        <row r="156">
          <cell r="A156" t="str">
            <v>CUST-155</v>
          </cell>
          <cell r="B156" t="str">
            <v>Komal Bhaiya</v>
          </cell>
        </row>
        <row r="157">
          <cell r="A157" t="str">
            <v>CUST-156</v>
          </cell>
          <cell r="B157" t="str">
            <v>Kotkar</v>
          </cell>
        </row>
        <row r="158">
          <cell r="A158" t="str">
            <v>CUST-157</v>
          </cell>
          <cell r="B158" t="str">
            <v>Krishna United</v>
          </cell>
        </row>
        <row r="159">
          <cell r="A159" t="str">
            <v>CUST-158</v>
          </cell>
          <cell r="B159" t="str">
            <v xml:space="preserve">Kunal ( Roshan Order </v>
          </cell>
        </row>
        <row r="160">
          <cell r="A160" t="str">
            <v>CUST-159</v>
          </cell>
          <cell r="B160" t="str">
            <v>Kunal Dhole</v>
          </cell>
        </row>
        <row r="161">
          <cell r="A161" t="str">
            <v>CUST-160</v>
          </cell>
          <cell r="B161" t="str">
            <v>Lakhan</v>
          </cell>
        </row>
        <row r="162">
          <cell r="A162" t="str">
            <v>CUST-161</v>
          </cell>
          <cell r="B162" t="str">
            <v>Lalit Nimkar</v>
          </cell>
        </row>
        <row r="163">
          <cell r="A163" t="str">
            <v>CUST-162</v>
          </cell>
          <cell r="B163" t="str">
            <v>Langda ( Mahendra )</v>
          </cell>
        </row>
        <row r="164">
          <cell r="A164" t="str">
            <v>CUST-163</v>
          </cell>
          <cell r="B164" t="str">
            <v>Lemon Sao</v>
          </cell>
        </row>
        <row r="165">
          <cell r="A165" t="str">
            <v>CUST-164</v>
          </cell>
          <cell r="B165" t="str">
            <v>Lokhande</v>
          </cell>
        </row>
        <row r="166">
          <cell r="A166" t="str">
            <v>CUST-165</v>
          </cell>
          <cell r="B166" t="str">
            <v>Lonbole</v>
          </cell>
        </row>
        <row r="167">
          <cell r="A167" t="str">
            <v>CUST-166</v>
          </cell>
          <cell r="B167" t="str">
            <v>Maane</v>
          </cell>
        </row>
        <row r="168">
          <cell r="A168" t="str">
            <v>CUST-167</v>
          </cell>
          <cell r="B168" t="str">
            <v>Madhu Zanke ( Papa Order )</v>
          </cell>
        </row>
        <row r="169">
          <cell r="A169" t="str">
            <v>CUST-168</v>
          </cell>
          <cell r="B169" t="str">
            <v>Mahendra  CCTV</v>
          </cell>
        </row>
        <row r="170">
          <cell r="A170" t="str">
            <v>CUST-169</v>
          </cell>
          <cell r="B170" t="str">
            <v>Mahendra Order</v>
          </cell>
        </row>
        <row r="171">
          <cell r="A171" t="str">
            <v>CUST-170</v>
          </cell>
          <cell r="B171" t="str">
            <v>Mahesh P</v>
          </cell>
        </row>
        <row r="172">
          <cell r="A172" t="str">
            <v>CUST-171</v>
          </cell>
          <cell r="B172" t="str">
            <v>Mahesh Thekedar</v>
          </cell>
        </row>
        <row r="173">
          <cell r="A173" t="str">
            <v>CUST-172</v>
          </cell>
          <cell r="B173" t="str">
            <v>Malli Bhaiya</v>
          </cell>
        </row>
        <row r="174">
          <cell r="A174" t="str">
            <v>CUST-173</v>
          </cell>
          <cell r="B174" t="str">
            <v>Mandir</v>
          </cell>
        </row>
        <row r="175">
          <cell r="A175" t="str">
            <v>CUST-174</v>
          </cell>
          <cell r="B175" t="str">
            <v>Manish Ramteke</v>
          </cell>
        </row>
        <row r="176">
          <cell r="A176" t="str">
            <v>CUST-175</v>
          </cell>
          <cell r="B176" t="str">
            <v>Manish Raykunde</v>
          </cell>
        </row>
        <row r="177">
          <cell r="A177" t="str">
            <v>CUST-176</v>
          </cell>
          <cell r="B177" t="str">
            <v>Manoj Khokle</v>
          </cell>
        </row>
        <row r="178">
          <cell r="A178" t="str">
            <v>CUST-177</v>
          </cell>
          <cell r="B178" t="str">
            <v>Masirkar</v>
          </cell>
        </row>
        <row r="179">
          <cell r="A179" t="str">
            <v>CUST-178</v>
          </cell>
          <cell r="B179" t="str">
            <v>Matthe</v>
          </cell>
        </row>
        <row r="180">
          <cell r="A180" t="str">
            <v>CUST-179</v>
          </cell>
          <cell r="B180" t="str">
            <v xml:space="preserve">MD </v>
          </cell>
        </row>
        <row r="181">
          <cell r="A181" t="str">
            <v>CUST-180</v>
          </cell>
          <cell r="B181" t="str">
            <v>Mehul Bhaiya</v>
          </cell>
        </row>
        <row r="182">
          <cell r="A182" t="str">
            <v>CUST-181</v>
          </cell>
          <cell r="B182" t="str">
            <v>Meshram</v>
          </cell>
        </row>
        <row r="183">
          <cell r="A183" t="str">
            <v>CUST-182</v>
          </cell>
          <cell r="B183" t="str">
            <v>Mohan Lonbole</v>
          </cell>
        </row>
        <row r="184">
          <cell r="A184" t="str">
            <v>CUST-183</v>
          </cell>
          <cell r="B184" t="str">
            <v>Morey Cycle</v>
          </cell>
        </row>
        <row r="185">
          <cell r="A185" t="str">
            <v>CUST-184</v>
          </cell>
          <cell r="B185" t="str">
            <v>Mukesh</v>
          </cell>
        </row>
        <row r="186">
          <cell r="A186" t="str">
            <v>CUST-185</v>
          </cell>
          <cell r="B186" t="str">
            <v>Naeem Bhaiya</v>
          </cell>
        </row>
        <row r="187">
          <cell r="A187" t="str">
            <v>CUST-186</v>
          </cell>
          <cell r="B187" t="str">
            <v>Nagapure</v>
          </cell>
        </row>
        <row r="188">
          <cell r="A188" t="str">
            <v>CUST-187</v>
          </cell>
          <cell r="B188" t="str">
            <v>Nagendra Gadge</v>
          </cell>
        </row>
        <row r="189">
          <cell r="A189" t="str">
            <v>CUST-188</v>
          </cell>
          <cell r="B189" t="str">
            <v>Naitam</v>
          </cell>
        </row>
        <row r="190">
          <cell r="A190" t="str">
            <v>CUST-189</v>
          </cell>
          <cell r="B190" t="str">
            <v>Nana ( Raj Dad )</v>
          </cell>
        </row>
        <row r="191">
          <cell r="A191" t="str">
            <v>CUST-190</v>
          </cell>
          <cell r="B191" t="str">
            <v>Narayan Tiles</v>
          </cell>
        </row>
        <row r="192">
          <cell r="A192" t="str">
            <v>CUST-191</v>
          </cell>
          <cell r="B192" t="str">
            <v>Narayana Kakaji</v>
          </cell>
        </row>
        <row r="193">
          <cell r="A193" t="str">
            <v>CUST-192</v>
          </cell>
          <cell r="B193" t="str">
            <v>Narendra Chiwande ( Roshan )</v>
          </cell>
        </row>
        <row r="194">
          <cell r="A194" t="str">
            <v>CUST-193</v>
          </cell>
          <cell r="B194" t="str">
            <v>Naresh Gaware</v>
          </cell>
        </row>
        <row r="195">
          <cell r="A195" t="str">
            <v>CUST-194</v>
          </cell>
          <cell r="B195" t="str">
            <v>Naresh Kaka</v>
          </cell>
        </row>
        <row r="196">
          <cell r="A196" t="str">
            <v>CUST-195</v>
          </cell>
          <cell r="B196" t="str">
            <v>Naryana Uncle Friend</v>
          </cell>
        </row>
        <row r="197">
          <cell r="A197" t="str">
            <v>CUST-196</v>
          </cell>
          <cell r="B197" t="str">
            <v>National</v>
          </cell>
        </row>
        <row r="198">
          <cell r="A198" t="str">
            <v>CUST-197</v>
          </cell>
          <cell r="B198" t="str">
            <v>Nattu Meshram</v>
          </cell>
        </row>
        <row r="199">
          <cell r="A199" t="str">
            <v>CUST-198</v>
          </cell>
          <cell r="B199" t="str">
            <v>Navel Bhaiya</v>
          </cell>
        </row>
        <row r="200">
          <cell r="A200" t="str">
            <v>CUST-199</v>
          </cell>
          <cell r="B200" t="str">
            <v xml:space="preserve">Near Yenurkar House </v>
          </cell>
        </row>
        <row r="201">
          <cell r="A201" t="str">
            <v>CUST-200</v>
          </cell>
          <cell r="B201" t="str">
            <v>Nidhi Dhodhare</v>
          </cell>
        </row>
        <row r="202">
          <cell r="A202" t="str">
            <v>CUST-201</v>
          </cell>
          <cell r="B202" t="str">
            <v>Nikhil Aaglave</v>
          </cell>
        </row>
        <row r="203">
          <cell r="A203" t="str">
            <v>CUST-202</v>
          </cell>
          <cell r="B203" t="str">
            <v>Nishan Bhattar</v>
          </cell>
        </row>
        <row r="204">
          <cell r="A204" t="str">
            <v>CUST-203</v>
          </cell>
          <cell r="B204" t="str">
            <v>Nishu Bhaiya</v>
          </cell>
        </row>
        <row r="205">
          <cell r="A205" t="str">
            <v>CUST-204</v>
          </cell>
          <cell r="B205" t="str">
            <v>Nitesh</v>
          </cell>
        </row>
        <row r="206">
          <cell r="A206" t="str">
            <v>CUST-205</v>
          </cell>
          <cell r="B206" t="str">
            <v>Nitesh Khandarkar ( Mahendra )</v>
          </cell>
        </row>
        <row r="207">
          <cell r="A207" t="str">
            <v>CUST-206</v>
          </cell>
          <cell r="B207" t="str">
            <v>Nitin Bhoyar</v>
          </cell>
        </row>
        <row r="208">
          <cell r="A208" t="str">
            <v>CUST-207</v>
          </cell>
          <cell r="B208" t="str">
            <v>Nitin Prasad</v>
          </cell>
        </row>
        <row r="209">
          <cell r="A209" t="str">
            <v>CUST-208</v>
          </cell>
          <cell r="B209" t="str">
            <v xml:space="preserve">Nitin Prasad </v>
          </cell>
        </row>
        <row r="210">
          <cell r="A210" t="str">
            <v>CUST-209</v>
          </cell>
          <cell r="B210" t="str">
            <v>Nitin Prasad ( Gandhare )</v>
          </cell>
        </row>
        <row r="211">
          <cell r="A211" t="str">
            <v>CUST-210</v>
          </cell>
          <cell r="B211" t="str">
            <v>Noor ( Lak Wala )</v>
          </cell>
        </row>
        <row r="212">
          <cell r="A212" t="str">
            <v>CUST-211</v>
          </cell>
          <cell r="B212" t="str">
            <v>Noor Garage ( Mahendra )</v>
          </cell>
        </row>
        <row r="213">
          <cell r="A213" t="str">
            <v>CUST-212</v>
          </cell>
          <cell r="B213" t="str">
            <v>Omdas</v>
          </cell>
        </row>
        <row r="214">
          <cell r="A214" t="str">
            <v>CUST-213</v>
          </cell>
          <cell r="B214" t="str">
            <v>Papa Order</v>
          </cell>
        </row>
        <row r="215">
          <cell r="A215" t="str">
            <v>CUST-214</v>
          </cell>
          <cell r="B215" t="str">
            <v xml:space="preserve">Papa Order </v>
          </cell>
        </row>
        <row r="216">
          <cell r="A216" t="str">
            <v>CUST-215</v>
          </cell>
          <cell r="B216" t="str">
            <v>Paranav Bobade</v>
          </cell>
        </row>
        <row r="217">
          <cell r="A217" t="str">
            <v>CUST-216</v>
          </cell>
          <cell r="B217" t="str">
            <v>Parchake</v>
          </cell>
        </row>
        <row r="218">
          <cell r="A218" t="str">
            <v>CUST-217</v>
          </cell>
          <cell r="B218" t="str">
            <v>Pari Doctor</v>
          </cell>
        </row>
        <row r="219">
          <cell r="A219" t="str">
            <v>CUST-218</v>
          </cell>
          <cell r="B219" t="str">
            <v>Patel</v>
          </cell>
        </row>
        <row r="220">
          <cell r="A220" t="str">
            <v>CUST-219</v>
          </cell>
          <cell r="B220" t="str">
            <v>Pawan (Friend)</v>
          </cell>
        </row>
        <row r="221">
          <cell r="A221" t="str">
            <v>CUST-220</v>
          </cell>
          <cell r="B221" t="str">
            <v>Pawan Order</v>
          </cell>
        </row>
        <row r="222">
          <cell r="A222" t="str">
            <v>CUST-221</v>
          </cell>
          <cell r="B222" t="str">
            <v>Pawar</v>
          </cell>
        </row>
        <row r="223">
          <cell r="A223" t="str">
            <v>CUST-222</v>
          </cell>
          <cell r="B223" t="str">
            <v>Pinge</v>
          </cell>
        </row>
        <row r="224">
          <cell r="A224" t="str">
            <v>CUST-223</v>
          </cell>
          <cell r="B224" t="str">
            <v>Piyush</v>
          </cell>
        </row>
        <row r="225">
          <cell r="A225" t="str">
            <v>CUST-224</v>
          </cell>
          <cell r="B225" t="str">
            <v>Poilice Gaju</v>
          </cell>
        </row>
        <row r="226">
          <cell r="A226" t="str">
            <v>CUST-225</v>
          </cell>
          <cell r="B226" t="str">
            <v>Police Station</v>
          </cell>
        </row>
        <row r="227">
          <cell r="A227" t="str">
            <v>CUST-226</v>
          </cell>
          <cell r="B227" t="str">
            <v>Police Wala Saheb</v>
          </cell>
        </row>
        <row r="228">
          <cell r="A228" t="str">
            <v>CUST-227</v>
          </cell>
          <cell r="B228" t="str">
            <v>Pradip Chitade</v>
          </cell>
        </row>
        <row r="229">
          <cell r="A229" t="str">
            <v>CUST-228</v>
          </cell>
          <cell r="B229" t="str">
            <v>Prajwal Kasaute (Ashay Jal )</v>
          </cell>
        </row>
        <row r="230">
          <cell r="A230" t="str">
            <v>CUST-229</v>
          </cell>
          <cell r="B230" t="str">
            <v>Prakash kale</v>
          </cell>
        </row>
        <row r="231">
          <cell r="A231" t="str">
            <v>CUST-230</v>
          </cell>
          <cell r="B231" t="str">
            <v>Prakash Nagarkar</v>
          </cell>
        </row>
        <row r="232">
          <cell r="A232" t="str">
            <v>CUST-231</v>
          </cell>
          <cell r="B232" t="str">
            <v>Pramod Mistri</v>
          </cell>
        </row>
        <row r="233">
          <cell r="A233" t="str">
            <v>CUST-232</v>
          </cell>
          <cell r="B233" t="str">
            <v>Pranav Bhobde</v>
          </cell>
        </row>
        <row r="234">
          <cell r="A234" t="str">
            <v>CUST-233</v>
          </cell>
          <cell r="B234" t="str">
            <v>Prasahant</v>
          </cell>
        </row>
        <row r="235">
          <cell r="A235" t="str">
            <v>CUST-234</v>
          </cell>
          <cell r="B235" t="str">
            <v>Pratap Yard ( Raj Dad )</v>
          </cell>
        </row>
        <row r="236">
          <cell r="A236" t="str">
            <v>CUST-235</v>
          </cell>
          <cell r="B236" t="str">
            <v>Pravin Singh</v>
          </cell>
        </row>
        <row r="237">
          <cell r="A237" t="str">
            <v>CUST-236</v>
          </cell>
          <cell r="B237" t="str">
            <v>Preet Bhaiya</v>
          </cell>
        </row>
        <row r="238">
          <cell r="A238" t="str">
            <v>CUST-237</v>
          </cell>
          <cell r="B238" t="str">
            <v>Preet Friend</v>
          </cell>
        </row>
        <row r="239">
          <cell r="A239" t="str">
            <v>CUST-238</v>
          </cell>
          <cell r="B239" t="str">
            <v>Prem Meshram</v>
          </cell>
        </row>
        <row r="240">
          <cell r="A240" t="str">
            <v>CUST-239</v>
          </cell>
          <cell r="B240" t="str">
            <v>Punay Pawar</v>
          </cell>
        </row>
        <row r="241">
          <cell r="A241" t="str">
            <v>CUST-240</v>
          </cell>
          <cell r="B241" t="str">
            <v>Puncture Wala</v>
          </cell>
        </row>
        <row r="242">
          <cell r="A242" t="str">
            <v>CUST-241</v>
          </cell>
          <cell r="B242" t="str">
            <v>Rachna Ramteke</v>
          </cell>
        </row>
        <row r="243">
          <cell r="A243" t="str">
            <v>CUST-242</v>
          </cell>
          <cell r="B243" t="str">
            <v>Rafik Thekedar</v>
          </cell>
        </row>
        <row r="244">
          <cell r="A244" t="str">
            <v>CUST-243</v>
          </cell>
          <cell r="B244" t="str">
            <v>Rahim Bhaiya</v>
          </cell>
        </row>
        <row r="245">
          <cell r="A245" t="str">
            <v>CUST-244</v>
          </cell>
          <cell r="B245" t="str">
            <v>Rahish ( Mahendra )</v>
          </cell>
        </row>
        <row r="246">
          <cell r="A246" t="str">
            <v>CUST-245</v>
          </cell>
          <cell r="B246" t="str">
            <v>Rahul</v>
          </cell>
        </row>
        <row r="247">
          <cell r="A247" t="str">
            <v>CUST-246</v>
          </cell>
          <cell r="B247" t="str">
            <v>Rahul Borkute</v>
          </cell>
        </row>
        <row r="248">
          <cell r="A248" t="str">
            <v>CUST-247</v>
          </cell>
          <cell r="B248" t="str">
            <v>Rahul Dada</v>
          </cell>
        </row>
        <row r="249">
          <cell r="A249" t="str">
            <v>CUST-248</v>
          </cell>
          <cell r="B249" t="str">
            <v>Rahul Dhaba</v>
          </cell>
        </row>
        <row r="250">
          <cell r="A250" t="str">
            <v>CUST-249</v>
          </cell>
          <cell r="B250" t="str">
            <v>Rahul Kode</v>
          </cell>
        </row>
        <row r="251">
          <cell r="A251" t="str">
            <v>CUST-250</v>
          </cell>
          <cell r="B251" t="str">
            <v>Railway</v>
          </cell>
        </row>
        <row r="252">
          <cell r="A252" t="str">
            <v>CUST-251</v>
          </cell>
          <cell r="B252" t="str">
            <v>Railway Bridge</v>
          </cell>
        </row>
        <row r="253">
          <cell r="A253" t="str">
            <v>CUST-252</v>
          </cell>
          <cell r="B253" t="str">
            <v>Raj Dad Order</v>
          </cell>
        </row>
        <row r="254">
          <cell r="A254" t="str">
            <v>CUST-253</v>
          </cell>
          <cell r="B254" t="str">
            <v>Raj Order</v>
          </cell>
        </row>
        <row r="255">
          <cell r="A255" t="str">
            <v>CUST-254</v>
          </cell>
          <cell r="B255" t="str">
            <v>Raj Owned</v>
          </cell>
        </row>
        <row r="256">
          <cell r="A256" t="str">
            <v>CUST-255</v>
          </cell>
          <cell r="B256" t="str">
            <v>Raj Sir</v>
          </cell>
        </row>
        <row r="257">
          <cell r="A257" t="str">
            <v>CUST-256</v>
          </cell>
          <cell r="B257" t="str">
            <v>Raj Traders</v>
          </cell>
        </row>
        <row r="258">
          <cell r="A258" t="str">
            <v>CUST-257</v>
          </cell>
          <cell r="B258" t="str">
            <v xml:space="preserve">Rajesh ( Ravi Mama </v>
          </cell>
        </row>
        <row r="259">
          <cell r="A259" t="str">
            <v>CUST-258</v>
          </cell>
          <cell r="B259" t="str">
            <v>Rajesh Kade</v>
          </cell>
        </row>
        <row r="260">
          <cell r="A260" t="str">
            <v>CUST-259</v>
          </cell>
          <cell r="B260" t="str">
            <v>Rajesh Singh</v>
          </cell>
        </row>
        <row r="261">
          <cell r="A261" t="str">
            <v>CUST-260</v>
          </cell>
          <cell r="B261" t="str">
            <v>Rajesh Thakur</v>
          </cell>
        </row>
        <row r="262">
          <cell r="A262" t="str">
            <v>CUST-261</v>
          </cell>
          <cell r="B262" t="str">
            <v>Raju Bala ( Raj Dad )</v>
          </cell>
        </row>
        <row r="263">
          <cell r="A263" t="str">
            <v>CUST-262</v>
          </cell>
          <cell r="B263" t="str">
            <v>Raju Manusmare</v>
          </cell>
        </row>
        <row r="264">
          <cell r="A264" t="str">
            <v>CUST-263</v>
          </cell>
          <cell r="B264" t="str">
            <v>Raju Mistri ( Mahendra )</v>
          </cell>
        </row>
        <row r="265">
          <cell r="A265" t="str">
            <v>CUST-264</v>
          </cell>
          <cell r="B265" t="str">
            <v>Raju Sangarthi</v>
          </cell>
        </row>
        <row r="266">
          <cell r="A266" t="str">
            <v>CUST-265</v>
          </cell>
          <cell r="B266" t="str">
            <v>Rajura Thekedar</v>
          </cell>
        </row>
        <row r="267">
          <cell r="A267" t="str">
            <v>CUST-266</v>
          </cell>
          <cell r="B267" t="str">
            <v>Rakesh</v>
          </cell>
        </row>
        <row r="268">
          <cell r="A268" t="str">
            <v>CUST-267</v>
          </cell>
          <cell r="B268" t="str">
            <v>Rakesh Aagat ( Raj )</v>
          </cell>
        </row>
        <row r="269">
          <cell r="A269" t="str">
            <v>CUST-268</v>
          </cell>
          <cell r="B269" t="str">
            <v>Rakesh Ramteke</v>
          </cell>
        </row>
        <row r="270">
          <cell r="A270" t="str">
            <v>CUST-269</v>
          </cell>
          <cell r="B270" t="str">
            <v>Ramchandra Dongre</v>
          </cell>
        </row>
        <row r="271">
          <cell r="A271" t="str">
            <v>CUST-270</v>
          </cell>
          <cell r="B271" t="str">
            <v>Ramteke</v>
          </cell>
        </row>
        <row r="272">
          <cell r="A272" t="str">
            <v>CUST-271</v>
          </cell>
          <cell r="B272" t="str">
            <v>Rasees</v>
          </cell>
        </row>
        <row r="273">
          <cell r="A273" t="str">
            <v>CUST-272</v>
          </cell>
          <cell r="B273" t="str">
            <v>Rashtrawadi ( Raj )</v>
          </cell>
        </row>
        <row r="274">
          <cell r="A274" t="str">
            <v>CUST-273</v>
          </cell>
          <cell r="B274" t="str">
            <v>Rasses Order</v>
          </cell>
        </row>
        <row r="275">
          <cell r="A275" t="str">
            <v>CUST-274</v>
          </cell>
          <cell r="B275" t="str">
            <v>Raut</v>
          </cell>
        </row>
        <row r="276">
          <cell r="A276" t="str">
            <v>CUST-275</v>
          </cell>
          <cell r="B276" t="str">
            <v>Ravi Electrician</v>
          </cell>
        </row>
        <row r="277">
          <cell r="A277" t="str">
            <v>CUST-276</v>
          </cell>
          <cell r="B277" t="str">
            <v>Ravi Mama</v>
          </cell>
        </row>
        <row r="278">
          <cell r="A278" t="str">
            <v>CUST-277</v>
          </cell>
          <cell r="B278" t="str">
            <v>Ravi Morey</v>
          </cell>
        </row>
        <row r="279">
          <cell r="A279" t="str">
            <v>CUST-278</v>
          </cell>
          <cell r="B279" t="str">
            <v>Ravi Wandare</v>
          </cell>
        </row>
        <row r="280">
          <cell r="A280" t="str">
            <v>CUST-279</v>
          </cell>
          <cell r="B280" t="str">
            <v>Rawal Bhaiya</v>
          </cell>
        </row>
        <row r="281">
          <cell r="A281" t="str">
            <v>CUST-280</v>
          </cell>
          <cell r="B281" t="str">
            <v>Rishab Dupare</v>
          </cell>
        </row>
        <row r="282">
          <cell r="A282" t="str">
            <v>CUST-281</v>
          </cell>
          <cell r="B282" t="str">
            <v>Road ( Raj Dad )</v>
          </cell>
        </row>
        <row r="283">
          <cell r="A283" t="str">
            <v>CUST-282</v>
          </cell>
          <cell r="B283" t="str">
            <v>Rohan</v>
          </cell>
        </row>
        <row r="284">
          <cell r="A284" t="str">
            <v>CUST-283</v>
          </cell>
          <cell r="B284" t="str">
            <v>Rohan Nagarkar</v>
          </cell>
        </row>
        <row r="285">
          <cell r="A285" t="str">
            <v>CUST-284</v>
          </cell>
          <cell r="B285" t="str">
            <v>Rohankar ( Raj Dad )</v>
          </cell>
        </row>
        <row r="286">
          <cell r="A286" t="str">
            <v>CUST-285</v>
          </cell>
          <cell r="B286" t="str">
            <v>Rohit Jograna</v>
          </cell>
        </row>
        <row r="287">
          <cell r="A287" t="str">
            <v>CUST-286</v>
          </cell>
          <cell r="B287" t="str">
            <v>Rohit Prasad</v>
          </cell>
        </row>
        <row r="288">
          <cell r="A288" t="str">
            <v>CUST-287</v>
          </cell>
          <cell r="B288" t="str">
            <v>Roshan</v>
          </cell>
        </row>
        <row r="289">
          <cell r="A289" t="str">
            <v>CUST-288</v>
          </cell>
          <cell r="B289" t="str">
            <v>Roshan Order</v>
          </cell>
        </row>
        <row r="290">
          <cell r="A290" t="str">
            <v>CUST-289</v>
          </cell>
          <cell r="B290" t="str">
            <v>Roshan Raj Dad</v>
          </cell>
        </row>
        <row r="291">
          <cell r="A291" t="str">
            <v>CUST-290</v>
          </cell>
          <cell r="B291" t="str">
            <v>RTO</v>
          </cell>
        </row>
        <row r="292">
          <cell r="A292" t="str">
            <v>CUST-291</v>
          </cell>
          <cell r="B292" t="str">
            <v>Rupesh Regundewar</v>
          </cell>
        </row>
        <row r="293">
          <cell r="A293" t="str">
            <v>CUST-292</v>
          </cell>
          <cell r="B293" t="str">
            <v>RVF Railway</v>
          </cell>
        </row>
        <row r="294">
          <cell r="A294" t="str">
            <v>CUST-293</v>
          </cell>
          <cell r="B294" t="str">
            <v>Sachin</v>
          </cell>
        </row>
        <row r="295">
          <cell r="A295" t="str">
            <v>CUST-294</v>
          </cell>
          <cell r="B295" t="str">
            <v>Sachin Gawande</v>
          </cell>
        </row>
        <row r="296">
          <cell r="A296" t="str">
            <v>CUST-295</v>
          </cell>
          <cell r="B296" t="str">
            <v>Sachin K</v>
          </cell>
        </row>
        <row r="297">
          <cell r="A297" t="str">
            <v>CUST-296</v>
          </cell>
          <cell r="B297" t="str">
            <v>Sadwe Hardware</v>
          </cell>
        </row>
        <row r="298">
          <cell r="A298" t="str">
            <v>CUST-297</v>
          </cell>
          <cell r="B298" t="str">
            <v>Sagar Ghorade</v>
          </cell>
        </row>
        <row r="299">
          <cell r="A299" t="str">
            <v>CUST-298</v>
          </cell>
          <cell r="B299" t="str">
            <v>Sagar Morey ( Mahendra )</v>
          </cell>
        </row>
        <row r="300">
          <cell r="A300" t="str">
            <v>CUST-299</v>
          </cell>
          <cell r="B300" t="str">
            <v>Sahil Derkar</v>
          </cell>
        </row>
        <row r="301">
          <cell r="A301" t="str">
            <v>CUST-300</v>
          </cell>
          <cell r="B301" t="str">
            <v>Saija Bai</v>
          </cell>
        </row>
        <row r="302">
          <cell r="A302" t="str">
            <v>CUST-301</v>
          </cell>
          <cell r="B302" t="str">
            <v>Sainaith Jungure</v>
          </cell>
        </row>
        <row r="303">
          <cell r="A303" t="str">
            <v>CUST-302</v>
          </cell>
          <cell r="B303" t="str">
            <v>Sakdev</v>
          </cell>
        </row>
        <row r="304">
          <cell r="A304" t="str">
            <v>CUST-303</v>
          </cell>
          <cell r="B304" t="str">
            <v>Salam Kalam</v>
          </cell>
        </row>
        <row r="305">
          <cell r="A305" t="str">
            <v>CUST-304</v>
          </cell>
          <cell r="B305" t="str">
            <v>Salim</v>
          </cell>
        </row>
        <row r="306">
          <cell r="A306" t="str">
            <v>CUST-305</v>
          </cell>
          <cell r="B306" t="str">
            <v>Sammer Ingole</v>
          </cell>
        </row>
        <row r="307">
          <cell r="A307" t="str">
            <v>CUST-306</v>
          </cell>
          <cell r="B307" t="str">
            <v>Sandeep Borkhute</v>
          </cell>
        </row>
        <row r="308">
          <cell r="A308" t="str">
            <v>CUST-307</v>
          </cell>
          <cell r="B308" t="str">
            <v>Sanjeet Police</v>
          </cell>
        </row>
        <row r="309">
          <cell r="A309" t="str">
            <v>CUST-308</v>
          </cell>
          <cell r="B309" t="str">
            <v>Sanju</v>
          </cell>
        </row>
        <row r="310">
          <cell r="A310" t="str">
            <v>CUST-309</v>
          </cell>
          <cell r="B310" t="str">
            <v>Sanju Ghate</v>
          </cell>
        </row>
        <row r="311">
          <cell r="A311" t="str">
            <v>CUST-310</v>
          </cell>
          <cell r="B311" t="str">
            <v>Sanju Sonwane ( Mahendra )</v>
          </cell>
        </row>
        <row r="312">
          <cell r="A312" t="str">
            <v>CUST-311</v>
          </cell>
          <cell r="B312" t="str">
            <v>Santosh</v>
          </cell>
        </row>
        <row r="313">
          <cell r="A313" t="str">
            <v>CUST-312</v>
          </cell>
          <cell r="B313" t="str">
            <v>Santosh Bhaiya</v>
          </cell>
        </row>
        <row r="314">
          <cell r="A314" t="str">
            <v>CUST-313</v>
          </cell>
          <cell r="B314" t="str">
            <v>Santosh Bhaiya Order</v>
          </cell>
        </row>
        <row r="315">
          <cell r="A315" t="str">
            <v>CUST-314</v>
          </cell>
          <cell r="B315" t="str">
            <v>Santosh Bonwar</v>
          </cell>
        </row>
        <row r="316">
          <cell r="A316" t="str">
            <v>CUST-315</v>
          </cell>
          <cell r="B316" t="str">
            <v>Santosh Order</v>
          </cell>
        </row>
        <row r="317">
          <cell r="A317" t="str">
            <v>CUST-316</v>
          </cell>
          <cell r="B317" t="str">
            <v>Santosh Parde ( Raj Dad )</v>
          </cell>
        </row>
        <row r="318">
          <cell r="A318" t="str">
            <v>CUST-317</v>
          </cell>
          <cell r="B318" t="str">
            <v>Santosh Sinha</v>
          </cell>
        </row>
        <row r="319">
          <cell r="A319" t="str">
            <v>CUST-318</v>
          </cell>
          <cell r="B319" t="str">
            <v>Sarda Angency ( Raj Dad )</v>
          </cell>
        </row>
        <row r="320">
          <cell r="A320" t="str">
            <v>CUST-319</v>
          </cell>
          <cell r="B320" t="str">
            <v>Sashikant ( Raj )</v>
          </cell>
        </row>
        <row r="321">
          <cell r="A321" t="str">
            <v>CUST-320</v>
          </cell>
          <cell r="B321" t="str">
            <v>Sau</v>
          </cell>
        </row>
        <row r="322">
          <cell r="A322" t="str">
            <v>CUST-321</v>
          </cell>
          <cell r="B322" t="str">
            <v>Sau Thekedar</v>
          </cell>
        </row>
        <row r="323">
          <cell r="A323" t="str">
            <v>CUST-322</v>
          </cell>
          <cell r="B323" t="str">
            <v>Saurabh Meshram</v>
          </cell>
        </row>
        <row r="324">
          <cell r="A324" t="str">
            <v>CUST-323</v>
          </cell>
          <cell r="B324" t="str">
            <v>Saurabh Vidhate</v>
          </cell>
        </row>
        <row r="325">
          <cell r="A325" t="str">
            <v>CUST-324</v>
          </cell>
          <cell r="B325" t="str">
            <v>Seat Wala</v>
          </cell>
        </row>
        <row r="326">
          <cell r="A326" t="str">
            <v>CUST-325</v>
          </cell>
          <cell r="B326" t="str">
            <v>Shailja Enterprise</v>
          </cell>
        </row>
        <row r="327">
          <cell r="A327" t="str">
            <v>CUST-326</v>
          </cell>
          <cell r="B327" t="str">
            <v xml:space="preserve">Sham Builder </v>
          </cell>
        </row>
        <row r="328">
          <cell r="A328" t="str">
            <v>CUST-327</v>
          </cell>
          <cell r="B328" t="str">
            <v>Shardur</v>
          </cell>
        </row>
        <row r="329">
          <cell r="A329" t="str">
            <v>CUST-328</v>
          </cell>
          <cell r="B329" t="str">
            <v>Sharif Mistri</v>
          </cell>
        </row>
        <row r="330">
          <cell r="A330" t="str">
            <v>CUST-329</v>
          </cell>
          <cell r="B330" t="str">
            <v>Sharik</v>
          </cell>
        </row>
        <row r="331">
          <cell r="A331" t="str">
            <v>CUST-330</v>
          </cell>
          <cell r="B331" t="str">
            <v xml:space="preserve">Sharik </v>
          </cell>
        </row>
        <row r="332">
          <cell r="A332" t="str">
            <v>CUST-331</v>
          </cell>
          <cell r="B332" t="str">
            <v>Sharik thekedar</v>
          </cell>
        </row>
        <row r="333">
          <cell r="A333" t="str">
            <v>CUST-332</v>
          </cell>
          <cell r="B333" t="str">
            <v>Sharukh Bhaiya</v>
          </cell>
        </row>
        <row r="334">
          <cell r="A334" t="str">
            <v>CUST-333</v>
          </cell>
          <cell r="B334" t="str">
            <v>Shende</v>
          </cell>
        </row>
        <row r="335">
          <cell r="A335" t="str">
            <v>CUST-334</v>
          </cell>
          <cell r="B335" t="str">
            <v>Shera Bhaiya</v>
          </cell>
        </row>
        <row r="336">
          <cell r="A336" t="str">
            <v>CUST-335</v>
          </cell>
          <cell r="B336" t="str">
            <v>Shiv Mandir</v>
          </cell>
        </row>
        <row r="337">
          <cell r="A337" t="str">
            <v>CUST-336</v>
          </cell>
          <cell r="B337" t="str">
            <v>Shiva Korewar</v>
          </cell>
        </row>
        <row r="338">
          <cell r="A338" t="str">
            <v>CUST-337</v>
          </cell>
          <cell r="B338" t="str">
            <v>Shri Sai ( Raj Dad )</v>
          </cell>
        </row>
        <row r="339">
          <cell r="A339" t="str">
            <v>CUST-338</v>
          </cell>
          <cell r="B339" t="str">
            <v>Shrisagar</v>
          </cell>
        </row>
        <row r="340">
          <cell r="A340" t="str">
            <v>CUST-339</v>
          </cell>
          <cell r="B340" t="str">
            <v>Shubham Bondare</v>
          </cell>
        </row>
        <row r="341">
          <cell r="A341" t="str">
            <v>CUST-340</v>
          </cell>
          <cell r="B341" t="str">
            <v>Shubham Dada</v>
          </cell>
        </row>
        <row r="342">
          <cell r="A342" t="str">
            <v>CUST-341</v>
          </cell>
          <cell r="B342" t="str">
            <v>Shubham Sakarkar</v>
          </cell>
        </row>
        <row r="343">
          <cell r="A343" t="str">
            <v>CUST-342</v>
          </cell>
          <cell r="B343" t="str">
            <v>Shubhash Mistri</v>
          </cell>
        </row>
        <row r="344">
          <cell r="A344" t="str">
            <v>CUST-343</v>
          </cell>
          <cell r="B344" t="str">
            <v>Shyam Kulmete</v>
          </cell>
        </row>
        <row r="345">
          <cell r="A345" t="str">
            <v>CUST-344</v>
          </cell>
          <cell r="B345" t="str">
            <v>Sina Thekedar</v>
          </cell>
        </row>
        <row r="346">
          <cell r="A346" t="str">
            <v>CUST-345</v>
          </cell>
          <cell r="B346" t="str">
            <v>Sonalika Ramtake ( Raj Order )</v>
          </cell>
        </row>
        <row r="347">
          <cell r="A347" t="str">
            <v>CUST-346</v>
          </cell>
          <cell r="B347" t="str">
            <v>Sonaware</v>
          </cell>
        </row>
        <row r="348">
          <cell r="A348" t="str">
            <v>CUST-347</v>
          </cell>
          <cell r="B348" t="str">
            <v>Sontake</v>
          </cell>
        </row>
        <row r="349">
          <cell r="A349" t="str">
            <v>CUST-348</v>
          </cell>
          <cell r="B349" t="str">
            <v>Sonware</v>
          </cell>
        </row>
        <row r="350">
          <cell r="A350" t="str">
            <v>CUST-349</v>
          </cell>
          <cell r="B350" t="str">
            <v>Stock -  Ramp</v>
          </cell>
        </row>
        <row r="351">
          <cell r="A351" t="str">
            <v>CUST-350</v>
          </cell>
          <cell r="B351" t="str">
            <v>Sudha Hotel</v>
          </cell>
        </row>
        <row r="352">
          <cell r="A352" t="str">
            <v>CUST-351</v>
          </cell>
          <cell r="B352" t="str">
            <v>Sukhdev</v>
          </cell>
        </row>
        <row r="353">
          <cell r="A353" t="str">
            <v>CUST-352</v>
          </cell>
          <cell r="B353" t="str">
            <v>Sumit Meshram</v>
          </cell>
        </row>
        <row r="354">
          <cell r="A354" t="str">
            <v>CUST-353</v>
          </cell>
          <cell r="B354" t="str">
            <v>Sunil Balki</v>
          </cell>
        </row>
        <row r="355">
          <cell r="A355" t="str">
            <v>CUST-354</v>
          </cell>
          <cell r="B355" t="str">
            <v xml:space="preserve">Sunil Balki </v>
          </cell>
        </row>
        <row r="356">
          <cell r="A356" t="str">
            <v>CUST-355</v>
          </cell>
          <cell r="B356" t="str">
            <v>Sunny Dad</v>
          </cell>
        </row>
        <row r="357">
          <cell r="A357" t="str">
            <v>CUST-356</v>
          </cell>
          <cell r="B357" t="str">
            <v>Suraj</v>
          </cell>
        </row>
        <row r="358">
          <cell r="A358" t="str">
            <v>CUST-357</v>
          </cell>
          <cell r="B358" t="str">
            <v xml:space="preserve">Surana </v>
          </cell>
        </row>
        <row r="359">
          <cell r="A359" t="str">
            <v>CUST-358</v>
          </cell>
          <cell r="B359" t="str">
            <v>Suresh Pachare</v>
          </cell>
        </row>
        <row r="360">
          <cell r="A360" t="str">
            <v>CUST-359</v>
          </cell>
          <cell r="B360" t="str">
            <v>Surr</v>
          </cell>
        </row>
        <row r="361">
          <cell r="A361" t="str">
            <v>CUST-360</v>
          </cell>
          <cell r="B361" t="str">
            <v>Tejas Pawar</v>
          </cell>
        </row>
        <row r="362">
          <cell r="A362" t="str">
            <v>CUST-361</v>
          </cell>
          <cell r="B362" t="str">
            <v>Thackery ( Raj )</v>
          </cell>
        </row>
        <row r="363">
          <cell r="A363" t="str">
            <v>CUST-362</v>
          </cell>
          <cell r="B363" t="str">
            <v>Tiushal Chawda</v>
          </cell>
        </row>
        <row r="364">
          <cell r="A364" t="str">
            <v>CUST-363</v>
          </cell>
          <cell r="B364" t="str">
            <v>Toyota</v>
          </cell>
        </row>
        <row r="365">
          <cell r="A365" t="str">
            <v>CUST-364</v>
          </cell>
          <cell r="B365" t="str">
            <v>Tukum</v>
          </cell>
        </row>
        <row r="366">
          <cell r="A366" t="str">
            <v>CUST-365</v>
          </cell>
          <cell r="B366" t="str">
            <v>Turankar ( Raj )</v>
          </cell>
        </row>
        <row r="367">
          <cell r="A367" t="str">
            <v>CUST-366</v>
          </cell>
          <cell r="B367" t="str">
            <v>Tyre Wala</v>
          </cell>
        </row>
        <row r="368">
          <cell r="A368" t="str">
            <v>CUST-367</v>
          </cell>
          <cell r="B368" t="str">
            <v>Ujjawala Marketing</v>
          </cell>
        </row>
        <row r="369">
          <cell r="A369" t="str">
            <v>CUST-368</v>
          </cell>
          <cell r="B369" t="str">
            <v>Unknown ( Raj )</v>
          </cell>
        </row>
        <row r="370">
          <cell r="A370" t="str">
            <v>CUST-369</v>
          </cell>
          <cell r="B370" t="str">
            <v>Upadya</v>
          </cell>
        </row>
        <row r="371">
          <cell r="A371" t="str">
            <v>CUST-370</v>
          </cell>
          <cell r="B371" t="str">
            <v>vaman Shende</v>
          </cell>
        </row>
        <row r="372">
          <cell r="A372" t="str">
            <v>CUST-371</v>
          </cell>
          <cell r="B372" t="str">
            <v>Vansh Nikose</v>
          </cell>
        </row>
        <row r="373">
          <cell r="A373" t="str">
            <v>CUST-372</v>
          </cell>
          <cell r="B373" t="str">
            <v>Vasanda</v>
          </cell>
        </row>
        <row r="374">
          <cell r="A374" t="str">
            <v>CUST-373</v>
          </cell>
          <cell r="B374" t="str">
            <v>Vedant Wargane</v>
          </cell>
        </row>
        <row r="375">
          <cell r="A375" t="str">
            <v>CUST-374</v>
          </cell>
          <cell r="B375" t="str">
            <v>Vicky ( Padoli Sarpanch )</v>
          </cell>
        </row>
        <row r="376">
          <cell r="A376" t="str">
            <v>CUST-375</v>
          </cell>
          <cell r="B376" t="str">
            <v>Vijayendra Selokar</v>
          </cell>
        </row>
        <row r="377">
          <cell r="A377" t="str">
            <v>CUST-376</v>
          </cell>
          <cell r="B377" t="str">
            <v>Vilas Tonge</v>
          </cell>
        </row>
        <row r="378">
          <cell r="A378" t="str">
            <v>CUST-377</v>
          </cell>
          <cell r="B378" t="str">
            <v>Vineet Ramteke</v>
          </cell>
        </row>
        <row r="379">
          <cell r="A379" t="str">
            <v>CUST-378</v>
          </cell>
          <cell r="B379" t="str">
            <v>Vishal Chaware</v>
          </cell>
        </row>
        <row r="380">
          <cell r="A380" t="str">
            <v>CUST-379</v>
          </cell>
          <cell r="B380" t="str">
            <v>Vishal Patil</v>
          </cell>
        </row>
        <row r="381">
          <cell r="A381" t="str">
            <v>CUST-380</v>
          </cell>
          <cell r="B381" t="str">
            <v>Vishal Prasad</v>
          </cell>
        </row>
        <row r="382">
          <cell r="A382" t="str">
            <v>CUST-381</v>
          </cell>
          <cell r="B382" t="str">
            <v>Vishal Prasad ( Vinod Side )</v>
          </cell>
        </row>
        <row r="383">
          <cell r="A383" t="str">
            <v>CUST-382</v>
          </cell>
          <cell r="B383" t="str">
            <v>Vishal Singh</v>
          </cell>
        </row>
        <row r="384">
          <cell r="A384" t="str">
            <v>CUST-383</v>
          </cell>
          <cell r="B384" t="str">
            <v>Vishwakarma</v>
          </cell>
        </row>
        <row r="385">
          <cell r="A385" t="str">
            <v>CUST-384</v>
          </cell>
          <cell r="B385" t="str">
            <v>Wandhare</v>
          </cell>
        </row>
        <row r="386">
          <cell r="A386" t="str">
            <v>CUST-385</v>
          </cell>
          <cell r="B386" t="str">
            <v>Washing Center</v>
          </cell>
        </row>
        <row r="387">
          <cell r="A387" t="str">
            <v>CUST-386</v>
          </cell>
          <cell r="B387" t="str">
            <v>Yadav</v>
          </cell>
        </row>
        <row r="388">
          <cell r="A388" t="str">
            <v>CUST-387</v>
          </cell>
          <cell r="B388" t="str">
            <v>Yash Bhaiya</v>
          </cell>
        </row>
        <row r="389">
          <cell r="A389" t="str">
            <v>CUST-388</v>
          </cell>
          <cell r="B389" t="str">
            <v>Yash Thipe</v>
          </cell>
        </row>
        <row r="390">
          <cell r="A390" t="str">
            <v>CUST-389</v>
          </cell>
          <cell r="B390" t="str">
            <v>Yergude</v>
          </cell>
        </row>
        <row r="391">
          <cell r="A391" t="str">
            <v>CUST-390</v>
          </cell>
          <cell r="B391" t="str">
            <v>Yete</v>
          </cell>
        </row>
        <row r="392">
          <cell r="A392" t="str">
            <v>CUST-391</v>
          </cell>
          <cell r="B392" t="str">
            <v>Yogesh Bhandare</v>
          </cell>
        </row>
        <row r="393">
          <cell r="A393" t="str">
            <v>CUST-392</v>
          </cell>
          <cell r="B393" t="str">
            <v>Yuvraj Thakur</v>
          </cell>
        </row>
        <row r="394">
          <cell r="A394" t="str">
            <v>CUST-393</v>
          </cell>
          <cell r="B394" t="str">
            <v>Zamare</v>
          </cell>
        </row>
        <row r="395">
          <cell r="A395" t="str">
            <v>CUST-394</v>
          </cell>
          <cell r="B395" t="str">
            <v>N/A</v>
          </cell>
        </row>
        <row r="396">
          <cell r="A396" t="str">
            <v>CUST-395</v>
          </cell>
          <cell r="B396" t="str">
            <v>Ankush Topase</v>
          </cell>
        </row>
        <row r="397">
          <cell r="A397" t="str">
            <v>CUST-396</v>
          </cell>
          <cell r="B397" t="str">
            <v>Anuraj  ( Golu )</v>
          </cell>
        </row>
        <row r="398">
          <cell r="A398" t="str">
            <v>CUST-397</v>
          </cell>
          <cell r="B398" t="str">
            <v>Ashish Nagpure</v>
          </cell>
        </row>
        <row r="399">
          <cell r="A399" t="str">
            <v>CUST-398</v>
          </cell>
          <cell r="B399" t="str">
            <v>Atul Aatram</v>
          </cell>
        </row>
        <row r="400">
          <cell r="A400" t="str">
            <v>CUST-399</v>
          </cell>
          <cell r="B400" t="str">
            <v>Aupadhya</v>
          </cell>
        </row>
        <row r="401">
          <cell r="A401" t="str">
            <v>CUST-400</v>
          </cell>
          <cell r="B401" t="str">
            <v>Bablu Bhaiya</v>
          </cell>
        </row>
        <row r="402">
          <cell r="A402" t="str">
            <v>CUST-401</v>
          </cell>
          <cell r="B402" t="str">
            <v>Bawane</v>
          </cell>
        </row>
        <row r="403">
          <cell r="A403" t="str">
            <v>CUST-402</v>
          </cell>
          <cell r="B403" t="str">
            <v>Bobby Bhaiya</v>
          </cell>
        </row>
        <row r="404">
          <cell r="A404" t="str">
            <v>CUST-403</v>
          </cell>
          <cell r="B404" t="str">
            <v>Faizan Bhaiya</v>
          </cell>
        </row>
        <row r="405">
          <cell r="A405" t="str">
            <v>CUST-404</v>
          </cell>
          <cell r="B405" t="str">
            <v>Fateing ( Mamaji )</v>
          </cell>
        </row>
        <row r="406">
          <cell r="A406" t="str">
            <v>CUST-405</v>
          </cell>
          <cell r="B406" t="str">
            <v>Gorkar</v>
          </cell>
        </row>
        <row r="407">
          <cell r="A407" t="str">
            <v>CUST-406</v>
          </cell>
          <cell r="B407" t="str">
            <v>Gormade</v>
          </cell>
        </row>
        <row r="408">
          <cell r="A408" t="str">
            <v>CUST-407</v>
          </cell>
          <cell r="B408" t="str">
            <v>Jadish Morey</v>
          </cell>
        </row>
        <row r="409">
          <cell r="A409" t="str">
            <v>CUST-408</v>
          </cell>
          <cell r="B409" t="str">
            <v>Jagdish Yadav</v>
          </cell>
        </row>
        <row r="410">
          <cell r="A410" t="str">
            <v>CUST-409</v>
          </cell>
          <cell r="B410" t="str">
            <v>Jilte</v>
          </cell>
        </row>
        <row r="411">
          <cell r="A411" t="str">
            <v>CUST-410</v>
          </cell>
          <cell r="B411" t="str">
            <v>Lalita</v>
          </cell>
        </row>
        <row r="412">
          <cell r="A412" t="str">
            <v>CUST-411</v>
          </cell>
          <cell r="B412" t="str">
            <v>Lalita Sangarti</v>
          </cell>
        </row>
        <row r="413">
          <cell r="A413" t="str">
            <v>CUST-412</v>
          </cell>
          <cell r="B413" t="str">
            <v>Lanchu</v>
          </cell>
        </row>
        <row r="414">
          <cell r="A414" t="str">
            <v>CUST-413</v>
          </cell>
          <cell r="B414" t="str">
            <v>Manthan</v>
          </cell>
        </row>
        <row r="415">
          <cell r="A415" t="str">
            <v>CUST-414</v>
          </cell>
          <cell r="B415" t="str">
            <v>Maroti Gotkar</v>
          </cell>
        </row>
        <row r="416">
          <cell r="A416" t="str">
            <v>CUST-415</v>
          </cell>
          <cell r="B416" t="str">
            <v>Nacika Kaka</v>
          </cell>
        </row>
        <row r="417">
          <cell r="A417" t="str">
            <v>CUST-416</v>
          </cell>
          <cell r="B417" t="str">
            <v>Naresh Kaka. Order</v>
          </cell>
        </row>
        <row r="418">
          <cell r="A418" t="str">
            <v>CUST-417</v>
          </cell>
          <cell r="B418" t="str">
            <v>Pani Puri Wala</v>
          </cell>
        </row>
        <row r="419">
          <cell r="A419" t="str">
            <v>CUST-418</v>
          </cell>
          <cell r="B419" t="str">
            <v xml:space="preserve">Railway </v>
          </cell>
        </row>
        <row r="420">
          <cell r="A420" t="str">
            <v>CUST-419</v>
          </cell>
          <cell r="B420" t="str">
            <v>Raj Patil</v>
          </cell>
        </row>
        <row r="421">
          <cell r="A421" t="str">
            <v>CUST-420</v>
          </cell>
          <cell r="B421" t="str">
            <v>Robby</v>
          </cell>
        </row>
        <row r="422">
          <cell r="A422" t="str">
            <v>CUST-421</v>
          </cell>
          <cell r="B422" t="str">
            <v>Sandeep</v>
          </cell>
        </row>
        <row r="423">
          <cell r="A423" t="str">
            <v>CUST-422</v>
          </cell>
          <cell r="B423" t="str">
            <v>Sangham Palliwar</v>
          </cell>
        </row>
        <row r="424">
          <cell r="A424" t="str">
            <v>CUST-423</v>
          </cell>
          <cell r="B424" t="str">
            <v>Sanjay Wagade</v>
          </cell>
        </row>
        <row r="425">
          <cell r="A425" t="str">
            <v>CUST-424</v>
          </cell>
          <cell r="B425" t="str">
            <v>Sardarji</v>
          </cell>
        </row>
        <row r="426">
          <cell r="A426" t="str">
            <v>CUST-425</v>
          </cell>
          <cell r="B426" t="str">
            <v>Sheshrao Zhilte</v>
          </cell>
        </row>
        <row r="427">
          <cell r="A427" t="str">
            <v>CUST-426</v>
          </cell>
          <cell r="B427" t="str">
            <v>Shukla</v>
          </cell>
        </row>
        <row r="428">
          <cell r="A428" t="str">
            <v>CUST-427</v>
          </cell>
          <cell r="B428" t="str">
            <v xml:space="preserve">Suraj Sasra </v>
          </cell>
        </row>
        <row r="429">
          <cell r="A429" t="str">
            <v>CUST-428</v>
          </cell>
          <cell r="B429" t="str">
            <v>Surendra magar</v>
          </cell>
        </row>
        <row r="430">
          <cell r="A430" t="str">
            <v>CUST-429</v>
          </cell>
          <cell r="B430" t="str">
            <v>Vishal</v>
          </cell>
        </row>
        <row r="431">
          <cell r="A431" t="str">
            <v>CUST-430</v>
          </cell>
          <cell r="B431" t="str">
            <v>Vivek Tankar</v>
          </cell>
        </row>
        <row r="432">
          <cell r="A432" t="str">
            <v>CUST-431</v>
          </cell>
          <cell r="B432" t="str">
            <v>Raj Kamdi Stock</v>
          </cell>
        </row>
      </sheetData>
      <sheetData sheetId="1"/>
      <sheetData sheetId="2"/>
      <sheetData sheetId="3"/>
      <sheetData sheetId="4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  <sheetName val="Sheet14"/>
      <sheetName val="Jan Labour Nd Drivers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A617-4299-CD44-B9CA-32E15BB2E25A}">
  <dimension ref="A1:Y50"/>
  <sheetViews>
    <sheetView topLeftCell="A5" zoomScale="125" zoomScaleNormal="95" workbookViewId="0">
      <selection activeCell="E29" sqref="E29"/>
    </sheetView>
  </sheetViews>
  <sheetFormatPr baseColWidth="10" defaultRowHeight="16" x14ac:dyDescent="0.2"/>
  <cols>
    <col min="2" max="2" width="23.1640625" bestFit="1" customWidth="1"/>
    <col min="3" max="3" width="20.5" customWidth="1"/>
    <col min="4" max="4" width="32.33203125" customWidth="1"/>
    <col min="9" max="9" width="12.1640625" bestFit="1" customWidth="1"/>
    <col min="17" max="17" width="20" customWidth="1"/>
    <col min="22" max="22" width="15.66406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119</v>
      </c>
    </row>
    <row r="2" spans="1:25" x14ac:dyDescent="0.2">
      <c r="A2" t="str">
        <f>"TRIP-"&amp;TEXT(ROW()-1,"000")</f>
        <v>TRIP-001</v>
      </c>
      <c r="B2" s="2">
        <v>45658</v>
      </c>
      <c r="C2" t="str">
        <f>_xlfn.XLOOKUP(D2,'[1]Jan Customer Duplicate Hyva'!$B:$B,'[1]Jan Customer Duplicate Hyva'!$A:$A,"NOT FOUND")</f>
        <v>CUST-236</v>
      </c>
      <c r="D2" s="3" t="s">
        <v>24</v>
      </c>
      <c r="E2" s="4" t="s">
        <v>25</v>
      </c>
      <c r="F2" s="4" t="str">
        <f>TRIM(_xlfn.TEXTBEFORE(E2&amp;" / "," / "))</f>
        <v>Gaju Bhau</v>
      </c>
      <c r="G2" s="4" t="str">
        <f>IFERROR(TRIM(_xlfn.TEXTBEFORE(_xlfn.TEXTAFTER(E2," / ")&amp;" / "," / ")),"")</f>
        <v/>
      </c>
      <c r="H2" s="4" t="str">
        <f>IFERROR(TRIM(_xlfn.TEXTAFTER(E2," / ","2")),"")</f>
        <v/>
      </c>
      <c r="I2" s="4" t="str">
        <f>_xlfn.XLOOKUP(F2,'[1]Jan Labour Nd Drivers Hyva'!$B:$B,'[2]Jan Labour Nd Drivers Hyva'!$A:$A,"NOT FOUND")</f>
        <v>LAB-001</v>
      </c>
      <c r="J2" s="4" t="str">
        <f>IF(G2="","",_xlfn.XLOOKUP(G2,'[3]Jan Labour Nd Drivers Hyva'!$B:$B,'[2]Jan Labour Nd Drivers Hyva'!$A:$A,"NOT FOUND"))</f>
        <v/>
      </c>
      <c r="K2" s="4" t="str">
        <f>IF(H2="","",_xlfn.XLOOKUP(H2,'[2]Jan Labour Nd Drivers Hyva'!$B:$B,'[2]Jan Labour Nd Drivers Hyva'!$A:$A,"NOT FOUND"))</f>
        <v/>
      </c>
      <c r="L2" s="3" t="s">
        <v>26</v>
      </c>
      <c r="M2" s="5">
        <v>1</v>
      </c>
      <c r="N2" s="6">
        <v>32000</v>
      </c>
      <c r="O2" s="6">
        <f t="shared" ref="O2:O43" si="0">N2*M2</f>
        <v>32000</v>
      </c>
      <c r="P2" s="6">
        <v>32000</v>
      </c>
      <c r="Q2" s="6">
        <f t="shared" ref="Q2:Q33" si="1">O2-P2</f>
        <v>0</v>
      </c>
      <c r="R2" t="str">
        <f>IF(Q2=0,"PAID",IF(P2=0,"UNPAID","PARTIAL"))</f>
        <v>PAID</v>
      </c>
      <c r="T2" s="17">
        <f>M2*N2</f>
        <v>32000</v>
      </c>
      <c r="U2" t="str">
        <f>IF(ROUND(T2,2)=ROUND(O2,2),"OK","CHECK")</f>
        <v>OK</v>
      </c>
      <c r="V2" s="7">
        <f>O2-P2</f>
        <v>0</v>
      </c>
      <c r="W2" t="str">
        <f>IF(ROUND(V2,2)=ROUND(Q2,2),"OK","CHECK")</f>
        <v>OK</v>
      </c>
      <c r="X2" t="s">
        <v>27</v>
      </c>
      <c r="Y2" t="s">
        <v>120</v>
      </c>
    </row>
    <row r="3" spans="1:25" x14ac:dyDescent="0.2">
      <c r="A3" t="str">
        <f t="shared" ref="A3:A50" si="2">"TRIP-"&amp;TEXT(ROW()-1,"000")</f>
        <v>TRIP-002</v>
      </c>
      <c r="B3" s="2">
        <v>45659</v>
      </c>
      <c r="C3" t="str">
        <f>_xlfn.XLOOKUP(D3,'[1]Jan Customer Duplicate Hyva'!$B:$B,'[1]Jan Customer Duplicate Hyva'!$A:$A,"NOT FOUND")</f>
        <v>CUST-075</v>
      </c>
      <c r="D3" s="3" t="s">
        <v>28</v>
      </c>
      <c r="E3" s="4" t="s">
        <v>29</v>
      </c>
      <c r="F3" s="4" t="str">
        <f t="shared" ref="F3:F50" si="3">TRIM(_xlfn.TEXTBEFORE(E3&amp;" / "," / "))</f>
        <v>Anshu</v>
      </c>
      <c r="G3" s="4" t="str">
        <f t="shared" ref="G3:G50" si="4">IFERROR(TRIM(_xlfn.TEXTBEFORE(_xlfn.TEXTAFTER(E3," / ")&amp;" / "," / ")),"")</f>
        <v/>
      </c>
      <c r="H3" s="4" t="str">
        <f t="shared" ref="H3:H50" si="5">IFERROR(TRIM(_xlfn.TEXTAFTER(E3," / ","2")),"")</f>
        <v/>
      </c>
      <c r="I3" s="4" t="str">
        <f>_xlfn.XLOOKUP(F3,'[1]Jan Labour Nd Drivers Hyva'!$B:$B,'[2]Jan Labour Nd Drivers Hyva'!$A:$A,"NOT FOUND")</f>
        <v>LAB-002</v>
      </c>
      <c r="J3" s="4" t="str">
        <f>IF(G3="","",_xlfn.XLOOKUP(G3,'[3]Jan Labour Nd Drivers Hyva'!$B:$B,'[2]Jan Labour Nd Drivers Hyva'!$A:$A,"NOT FOUND"))</f>
        <v/>
      </c>
      <c r="K3" s="4" t="str">
        <f>IF(H3="","",_xlfn.XLOOKUP(H3,'[2]Jan Labour Nd Drivers Hyva'!$B:$B,'[2]Jan Labour Nd Drivers Hyva'!$A:$A,"NOT FOUND"))</f>
        <v/>
      </c>
      <c r="L3" s="3" t="s">
        <v>30</v>
      </c>
      <c r="M3" s="5">
        <v>1</v>
      </c>
      <c r="N3" s="6">
        <v>31000</v>
      </c>
      <c r="O3" s="6">
        <f t="shared" si="0"/>
        <v>31000</v>
      </c>
      <c r="P3" s="6">
        <v>31000</v>
      </c>
      <c r="Q3" s="6">
        <f t="shared" si="1"/>
        <v>0</v>
      </c>
      <c r="R3" t="str">
        <f t="shared" ref="R3:R50" si="6">IF(Q3=0,"PAID",IF(P3=0,"UNPAID","PARTIAL"))</f>
        <v>PAID</v>
      </c>
      <c r="T3">
        <f t="shared" ref="T3:T50" si="7">M3*N3</f>
        <v>31000</v>
      </c>
      <c r="U3" t="str">
        <f t="shared" ref="U3:U50" si="8">IF(ROUND(T3,2)=ROUND(O3,2),"OK","CHECK")</f>
        <v>OK</v>
      </c>
      <c r="V3" s="7">
        <f t="shared" ref="V3:V50" si="9">O3-P3</f>
        <v>0</v>
      </c>
      <c r="W3" t="str">
        <f t="shared" ref="W3:W50" si="10">IF(ROUND(V3,2)=ROUND(Q3,2),"OK","CHECK")</f>
        <v>OK</v>
      </c>
      <c r="X3" t="s">
        <v>27</v>
      </c>
      <c r="Y3" t="s">
        <v>120</v>
      </c>
    </row>
    <row r="4" spans="1:25" x14ac:dyDescent="0.2">
      <c r="A4" t="str">
        <f t="shared" si="2"/>
        <v>TRIP-003</v>
      </c>
      <c r="B4" s="2">
        <v>45660</v>
      </c>
      <c r="C4" t="str">
        <f>_xlfn.XLOOKUP(D4,'[1]Jan Customer Duplicate Hyva'!$B:$B,'[1]Jan Customer Duplicate Hyva'!$A:$A,"NOT FOUND")</f>
        <v>CUST-128</v>
      </c>
      <c r="D4" s="3" t="s">
        <v>31</v>
      </c>
      <c r="E4" s="4" t="s">
        <v>29</v>
      </c>
      <c r="F4" s="4" t="str">
        <f t="shared" si="3"/>
        <v>Anshu</v>
      </c>
      <c r="G4" s="4" t="str">
        <f t="shared" si="4"/>
        <v/>
      </c>
      <c r="H4" s="4" t="str">
        <f t="shared" si="5"/>
        <v/>
      </c>
      <c r="I4" s="4" t="str">
        <f>_xlfn.XLOOKUP(F4,'[1]Jan Labour Nd Drivers Hyva'!$B:$B,'[2]Jan Labour Nd Drivers Hyva'!$A:$A,"NOT FOUND")</f>
        <v>LAB-002</v>
      </c>
      <c r="J4" s="4" t="str">
        <f>IF(G4="","",_xlfn.XLOOKUP(G4,'[3]Jan Labour Nd Drivers Hyva'!$B:$B,'[2]Jan Labour Nd Drivers Hyva'!$A:$A,"NOT FOUND"))</f>
        <v/>
      </c>
      <c r="K4" s="4" t="str">
        <f>IF(H4="","",_xlfn.XLOOKUP(H4,'[2]Jan Labour Nd Drivers Hyva'!$B:$B,'[2]Jan Labour Nd Drivers Hyva'!$A:$A,"NOT FOUND"))</f>
        <v/>
      </c>
      <c r="L4" s="3" t="s">
        <v>32</v>
      </c>
      <c r="M4" s="5">
        <v>1</v>
      </c>
      <c r="N4" s="6">
        <v>40000</v>
      </c>
      <c r="O4" s="6">
        <f t="shared" si="0"/>
        <v>40000</v>
      </c>
      <c r="P4" s="6">
        <v>40000</v>
      </c>
      <c r="Q4" s="6">
        <f t="shared" si="1"/>
        <v>0</v>
      </c>
      <c r="R4" t="str">
        <f t="shared" si="6"/>
        <v>PAID</v>
      </c>
      <c r="T4">
        <f t="shared" si="7"/>
        <v>40000</v>
      </c>
      <c r="U4" t="str">
        <f t="shared" si="8"/>
        <v>OK</v>
      </c>
      <c r="V4" s="7">
        <f t="shared" si="9"/>
        <v>0</v>
      </c>
      <c r="W4" t="str">
        <f t="shared" si="10"/>
        <v>OK</v>
      </c>
      <c r="X4" t="s">
        <v>27</v>
      </c>
      <c r="Y4" t="s">
        <v>120</v>
      </c>
    </row>
    <row r="5" spans="1:25" x14ac:dyDescent="0.2">
      <c r="A5" t="str">
        <f t="shared" si="2"/>
        <v>TRIP-004</v>
      </c>
      <c r="B5" s="2">
        <v>45660</v>
      </c>
      <c r="C5" t="str">
        <f>_xlfn.XLOOKUP(D5,'[1]Jan Customer Duplicate Hyva'!$B:$B,'[1]Jan Customer Duplicate Hyva'!$A:$A,"NOT FOUND")</f>
        <v>CUST-323</v>
      </c>
      <c r="D5" s="3" t="s">
        <v>33</v>
      </c>
      <c r="E5" s="4" t="s">
        <v>25</v>
      </c>
      <c r="F5" s="4" t="str">
        <f t="shared" si="3"/>
        <v>Gaju Bhau</v>
      </c>
      <c r="G5" s="4" t="str">
        <f t="shared" si="4"/>
        <v/>
      </c>
      <c r="H5" s="4" t="str">
        <f t="shared" si="5"/>
        <v/>
      </c>
      <c r="I5" s="4" t="str">
        <f>_xlfn.XLOOKUP(F5,'[1]Jan Labour Nd Drivers Hyva'!$B:$B,'[2]Jan Labour Nd Drivers Hyva'!$A:$A,"NOT FOUND")</f>
        <v>LAB-001</v>
      </c>
      <c r="J5" s="4" t="str">
        <f>IF(G5="","",_xlfn.XLOOKUP(G5,'[3]Jan Labour Nd Drivers Hyva'!$B:$B,'[2]Jan Labour Nd Drivers Hyva'!$A:$A,"NOT FOUND"))</f>
        <v/>
      </c>
      <c r="K5" s="4" t="str">
        <f>IF(H5="","",_xlfn.XLOOKUP(H5,'[2]Jan Labour Nd Drivers Hyva'!$B:$B,'[2]Jan Labour Nd Drivers Hyva'!$A:$A,"NOT FOUND"))</f>
        <v/>
      </c>
      <c r="L5" s="3" t="s">
        <v>34</v>
      </c>
      <c r="M5" s="5">
        <v>1</v>
      </c>
      <c r="N5" s="6">
        <v>35000</v>
      </c>
      <c r="O5" s="6">
        <f t="shared" si="0"/>
        <v>35000</v>
      </c>
      <c r="P5" s="6">
        <v>35000</v>
      </c>
      <c r="Q5" s="6">
        <f t="shared" si="1"/>
        <v>0</v>
      </c>
      <c r="R5" t="str">
        <f t="shared" si="6"/>
        <v>PAID</v>
      </c>
      <c r="T5">
        <f t="shared" si="7"/>
        <v>35000</v>
      </c>
      <c r="U5" t="str">
        <f t="shared" si="8"/>
        <v>OK</v>
      </c>
      <c r="V5" s="7">
        <f t="shared" si="9"/>
        <v>0</v>
      </c>
      <c r="W5" t="str">
        <f t="shared" si="10"/>
        <v>OK</v>
      </c>
      <c r="X5" t="s">
        <v>27</v>
      </c>
      <c r="Y5" t="s">
        <v>120</v>
      </c>
    </row>
    <row r="6" spans="1:25" x14ac:dyDescent="0.2">
      <c r="A6" t="str">
        <f t="shared" si="2"/>
        <v>TRIP-005</v>
      </c>
      <c r="B6" s="2">
        <v>45660</v>
      </c>
      <c r="C6" t="str">
        <f>_xlfn.XLOOKUP(D6,'[1]Jan Customer Duplicate Hyva'!$B:$B,'[1]Jan Customer Duplicate Hyva'!$A:$A,"NOT FOUND")</f>
        <v>CUST-363</v>
      </c>
      <c r="D6" s="3" t="s">
        <v>35</v>
      </c>
      <c r="E6" s="4" t="s">
        <v>25</v>
      </c>
      <c r="F6" s="4" t="str">
        <f t="shared" si="3"/>
        <v>Gaju Bhau</v>
      </c>
      <c r="G6" s="4" t="str">
        <f t="shared" si="4"/>
        <v/>
      </c>
      <c r="H6" s="4" t="str">
        <f t="shared" si="5"/>
        <v/>
      </c>
      <c r="I6" s="4" t="str">
        <f>_xlfn.XLOOKUP(F6,'[1]Jan Labour Nd Drivers Hyva'!$B:$B,'[2]Jan Labour Nd Drivers Hyva'!$A:$A,"NOT FOUND")</f>
        <v>LAB-001</v>
      </c>
      <c r="J6" s="4" t="str">
        <f>IF(G6="","",_xlfn.XLOOKUP(G6,'[3]Jan Labour Nd Drivers Hyva'!$B:$B,'[2]Jan Labour Nd Drivers Hyva'!$A:$A,"NOT FOUND"))</f>
        <v/>
      </c>
      <c r="K6" s="4" t="str">
        <f>IF(H6="","",_xlfn.XLOOKUP(H6,'[2]Jan Labour Nd Drivers Hyva'!$B:$B,'[2]Jan Labour Nd Drivers Hyva'!$A:$A,"NOT FOUND"))</f>
        <v/>
      </c>
      <c r="L6" s="3" t="s">
        <v>36</v>
      </c>
      <c r="M6" s="5">
        <v>1</v>
      </c>
      <c r="N6" s="6">
        <v>38000</v>
      </c>
      <c r="O6" s="6">
        <f t="shared" si="0"/>
        <v>38000</v>
      </c>
      <c r="P6" s="6">
        <v>38000</v>
      </c>
      <c r="Q6" s="6">
        <f t="shared" si="1"/>
        <v>0</v>
      </c>
      <c r="R6" t="str">
        <f t="shared" si="6"/>
        <v>PAID</v>
      </c>
      <c r="T6">
        <f t="shared" si="7"/>
        <v>38000</v>
      </c>
      <c r="U6" t="str">
        <f t="shared" si="8"/>
        <v>OK</v>
      </c>
      <c r="V6" s="7">
        <f t="shared" si="9"/>
        <v>0</v>
      </c>
      <c r="W6" t="str">
        <f t="shared" si="10"/>
        <v>OK</v>
      </c>
      <c r="X6" t="s">
        <v>27</v>
      </c>
      <c r="Y6" t="s">
        <v>120</v>
      </c>
    </row>
    <row r="7" spans="1:25" x14ac:dyDescent="0.2">
      <c r="A7" t="str">
        <f t="shared" si="2"/>
        <v>TRIP-006</v>
      </c>
      <c r="B7" s="2">
        <v>45661</v>
      </c>
      <c r="C7" t="str">
        <f>_xlfn.XLOOKUP(D7,'[1]Jan Customer Duplicate Hyva'!$B:$B,'[1]Jan Customer Duplicate Hyva'!$A:$A,"NOT FOUND")</f>
        <v>NOT FOUND</v>
      </c>
      <c r="D7" s="3" t="s">
        <v>37</v>
      </c>
      <c r="E7" s="4" t="s">
        <v>29</v>
      </c>
      <c r="F7" s="4" t="str">
        <f t="shared" si="3"/>
        <v>Anshu</v>
      </c>
      <c r="G7" s="4" t="str">
        <f t="shared" si="4"/>
        <v/>
      </c>
      <c r="H7" s="4" t="str">
        <f t="shared" si="5"/>
        <v/>
      </c>
      <c r="I7" s="4" t="str">
        <f>_xlfn.XLOOKUP(F7,'[1]Jan Labour Nd Drivers Hyva'!$B:$B,'[2]Jan Labour Nd Drivers Hyva'!$A:$A,"NOT FOUND")</f>
        <v>LAB-002</v>
      </c>
      <c r="J7" s="4" t="str">
        <f>IF(G7="","",_xlfn.XLOOKUP(G7,'[3]Jan Labour Nd Drivers Hyva'!$B:$B,'[2]Jan Labour Nd Drivers Hyva'!$A:$A,"NOT FOUND"))</f>
        <v/>
      </c>
      <c r="K7" s="4" t="str">
        <f>IF(H7="","",_xlfn.XLOOKUP(H7,'[2]Jan Labour Nd Drivers Hyva'!$B:$B,'[2]Jan Labour Nd Drivers Hyva'!$A:$A,"NOT FOUND"))</f>
        <v/>
      </c>
      <c r="L7" s="3" t="s">
        <v>38</v>
      </c>
      <c r="M7" s="5">
        <v>1</v>
      </c>
      <c r="N7" s="6">
        <v>35000</v>
      </c>
      <c r="O7" s="6">
        <f t="shared" si="0"/>
        <v>35000</v>
      </c>
      <c r="P7" s="6">
        <v>35000</v>
      </c>
      <c r="Q7" s="6">
        <f t="shared" si="1"/>
        <v>0</v>
      </c>
      <c r="R7" t="str">
        <f t="shared" si="6"/>
        <v>PAID</v>
      </c>
      <c r="T7">
        <f t="shared" si="7"/>
        <v>35000</v>
      </c>
      <c r="U7" t="str">
        <f t="shared" si="8"/>
        <v>OK</v>
      </c>
      <c r="V7" s="7">
        <f t="shared" si="9"/>
        <v>0</v>
      </c>
      <c r="W7" t="str">
        <f t="shared" si="10"/>
        <v>OK</v>
      </c>
      <c r="X7" t="s">
        <v>27</v>
      </c>
      <c r="Y7" t="s">
        <v>120</v>
      </c>
    </row>
    <row r="8" spans="1:25" x14ac:dyDescent="0.2">
      <c r="A8" t="str">
        <f t="shared" si="2"/>
        <v>TRIP-007</v>
      </c>
      <c r="B8" s="2">
        <v>45666</v>
      </c>
      <c r="C8" t="str">
        <f>_xlfn.XLOOKUP(D8,'[1]Jan Customer Duplicate Hyva'!$B:$B,'[1]Jan Customer Duplicate Hyva'!$A:$A,"NOT FOUND")</f>
        <v>CUST-062</v>
      </c>
      <c r="D8" s="3" t="s">
        <v>39</v>
      </c>
      <c r="E8" s="4" t="s">
        <v>25</v>
      </c>
      <c r="F8" s="4" t="str">
        <f t="shared" si="3"/>
        <v>Gaju Bhau</v>
      </c>
      <c r="G8" s="4" t="str">
        <f t="shared" si="4"/>
        <v/>
      </c>
      <c r="H8" s="4" t="str">
        <f t="shared" si="5"/>
        <v/>
      </c>
      <c r="I8" s="4" t="str">
        <f>_xlfn.XLOOKUP(F8,'[1]Jan Labour Nd Drivers Hyva'!$B:$B,'[2]Jan Labour Nd Drivers Hyva'!$A:$A,"NOT FOUND")</f>
        <v>LAB-001</v>
      </c>
      <c r="J8" s="4" t="str">
        <f>IF(G8="","",_xlfn.XLOOKUP(G8,'[3]Jan Labour Nd Drivers Hyva'!$B:$B,'[2]Jan Labour Nd Drivers Hyva'!$A:$A,"NOT FOUND"))</f>
        <v/>
      </c>
      <c r="K8" s="4" t="str">
        <f>IF(H8="","",_xlfn.XLOOKUP(H8,'[2]Jan Labour Nd Drivers Hyva'!$B:$B,'[2]Jan Labour Nd Drivers Hyva'!$A:$A,"NOT FOUND"))</f>
        <v/>
      </c>
      <c r="L8" s="3" t="s">
        <v>40</v>
      </c>
      <c r="M8" s="5">
        <v>1</v>
      </c>
      <c r="N8" s="6">
        <v>35000</v>
      </c>
      <c r="O8" s="6">
        <f t="shared" si="0"/>
        <v>35000</v>
      </c>
      <c r="P8" s="6">
        <v>20000</v>
      </c>
      <c r="Q8" s="6">
        <f t="shared" si="1"/>
        <v>15000</v>
      </c>
      <c r="R8" t="str">
        <f t="shared" si="6"/>
        <v>PARTIAL</v>
      </c>
      <c r="T8">
        <f t="shared" si="7"/>
        <v>35000</v>
      </c>
      <c r="U8" t="str">
        <f t="shared" si="8"/>
        <v>OK</v>
      </c>
      <c r="V8" s="7">
        <f t="shared" si="9"/>
        <v>15000</v>
      </c>
      <c r="W8" t="str">
        <f t="shared" si="10"/>
        <v>OK</v>
      </c>
      <c r="X8" t="s">
        <v>27</v>
      </c>
      <c r="Y8" t="s">
        <v>120</v>
      </c>
    </row>
    <row r="9" spans="1:25" x14ac:dyDescent="0.2">
      <c r="A9" t="str">
        <f t="shared" si="2"/>
        <v>TRIP-008</v>
      </c>
      <c r="B9" s="2">
        <v>45666</v>
      </c>
      <c r="C9" t="str">
        <f>_xlfn.XLOOKUP(D9,'[1]Jan Customer Duplicate Hyva'!$B:$B,'[1]Jan Customer Duplicate Hyva'!$A:$A,"NOT FOUND")</f>
        <v>NOT FOUND</v>
      </c>
      <c r="D9" s="3" t="s">
        <v>41</v>
      </c>
      <c r="E9" s="4" t="s">
        <v>29</v>
      </c>
      <c r="F9" s="4" t="str">
        <f t="shared" si="3"/>
        <v>Anshu</v>
      </c>
      <c r="G9" s="4" t="str">
        <f t="shared" si="4"/>
        <v/>
      </c>
      <c r="H9" s="4" t="str">
        <f t="shared" si="5"/>
        <v/>
      </c>
      <c r="I9" s="4" t="str">
        <f>_xlfn.XLOOKUP(F9,'[1]Jan Labour Nd Drivers Hyva'!$B:$B,'[2]Jan Labour Nd Drivers Hyva'!$A:$A,"NOT FOUND")</f>
        <v>LAB-002</v>
      </c>
      <c r="J9" s="4" t="str">
        <f>IF(G9="","",_xlfn.XLOOKUP(G9,'[3]Jan Labour Nd Drivers Hyva'!$B:$B,'[2]Jan Labour Nd Drivers Hyva'!$A:$A,"NOT FOUND"))</f>
        <v/>
      </c>
      <c r="K9" s="4" t="str">
        <f>IF(H9="","",_xlfn.XLOOKUP(H9,'[2]Jan Labour Nd Drivers Hyva'!$B:$B,'[2]Jan Labour Nd Drivers Hyva'!$A:$A,"NOT FOUND"))</f>
        <v/>
      </c>
      <c r="L9" s="3" t="s">
        <v>42</v>
      </c>
      <c r="M9" s="5">
        <v>1</v>
      </c>
      <c r="N9" s="6">
        <v>34000</v>
      </c>
      <c r="O9" s="6">
        <f t="shared" si="0"/>
        <v>34000</v>
      </c>
      <c r="P9" s="6">
        <v>34000</v>
      </c>
      <c r="Q9" s="6">
        <f t="shared" si="1"/>
        <v>0</v>
      </c>
      <c r="R9" t="str">
        <f t="shared" si="6"/>
        <v>PAID</v>
      </c>
      <c r="T9">
        <f t="shared" si="7"/>
        <v>34000</v>
      </c>
      <c r="U9" t="str">
        <f t="shared" si="8"/>
        <v>OK</v>
      </c>
      <c r="V9" s="7">
        <f t="shared" si="9"/>
        <v>0</v>
      </c>
      <c r="W9" t="str">
        <f t="shared" si="10"/>
        <v>OK</v>
      </c>
      <c r="X9" t="s">
        <v>27</v>
      </c>
      <c r="Y9" t="s">
        <v>120</v>
      </c>
    </row>
    <row r="10" spans="1:25" x14ac:dyDescent="0.2">
      <c r="A10" t="str">
        <f t="shared" si="2"/>
        <v>TRIP-009</v>
      </c>
      <c r="B10" s="2">
        <v>45667</v>
      </c>
      <c r="C10" t="str">
        <f>_xlfn.XLOOKUP(D10,'[1]Jan Customer Duplicate Hyva'!$B:$B,'[1]Jan Customer Duplicate Hyva'!$A:$A,"NOT FOUND")</f>
        <v>CUST-131</v>
      </c>
      <c r="D10" s="3" t="s">
        <v>43</v>
      </c>
      <c r="E10" s="4" t="s">
        <v>25</v>
      </c>
      <c r="F10" s="4" t="str">
        <f t="shared" si="3"/>
        <v>Gaju Bhau</v>
      </c>
      <c r="G10" s="4" t="str">
        <f t="shared" si="4"/>
        <v/>
      </c>
      <c r="H10" s="4" t="str">
        <f t="shared" si="5"/>
        <v/>
      </c>
      <c r="I10" s="4" t="str">
        <f>_xlfn.XLOOKUP(F10,'[1]Jan Labour Nd Drivers Hyva'!$B:$B,'[2]Jan Labour Nd Drivers Hyva'!$A:$A,"NOT FOUND")</f>
        <v>LAB-001</v>
      </c>
      <c r="J10" s="4" t="str">
        <f>IF(G10="","",_xlfn.XLOOKUP(G10,'[3]Jan Labour Nd Drivers Hyva'!$B:$B,'[2]Jan Labour Nd Drivers Hyva'!$A:$A,"NOT FOUND"))</f>
        <v/>
      </c>
      <c r="K10" s="4" t="str">
        <f>IF(H10="","",_xlfn.XLOOKUP(H10,'[2]Jan Labour Nd Drivers Hyva'!$B:$B,'[2]Jan Labour Nd Drivers Hyva'!$A:$A,"NOT FOUND"))</f>
        <v/>
      </c>
      <c r="L10" s="3" t="s">
        <v>42</v>
      </c>
      <c r="M10" s="5">
        <v>1</v>
      </c>
      <c r="N10" s="6">
        <v>36000</v>
      </c>
      <c r="O10" s="6">
        <f t="shared" si="0"/>
        <v>36000</v>
      </c>
      <c r="P10" s="6">
        <v>36000</v>
      </c>
      <c r="Q10" s="6">
        <f t="shared" si="1"/>
        <v>0</v>
      </c>
      <c r="R10" t="str">
        <f t="shared" si="6"/>
        <v>PAID</v>
      </c>
      <c r="T10">
        <f t="shared" si="7"/>
        <v>36000</v>
      </c>
      <c r="U10" t="str">
        <f t="shared" si="8"/>
        <v>OK</v>
      </c>
      <c r="V10" s="7">
        <f t="shared" si="9"/>
        <v>0</v>
      </c>
      <c r="W10" t="str">
        <f t="shared" si="10"/>
        <v>OK</v>
      </c>
      <c r="X10" t="s">
        <v>27</v>
      </c>
      <c r="Y10" t="s">
        <v>120</v>
      </c>
    </row>
    <row r="11" spans="1:25" x14ac:dyDescent="0.2">
      <c r="A11" t="str">
        <f t="shared" si="2"/>
        <v>TRIP-010</v>
      </c>
      <c r="B11" s="2">
        <v>45667</v>
      </c>
      <c r="C11" t="str">
        <f>_xlfn.XLOOKUP(D11,'[1]Jan Customer Duplicate Hyva'!$B:$B,'[1]Jan Customer Duplicate Hyva'!$A:$A,"NOT FOUND")</f>
        <v>CUST-392</v>
      </c>
      <c r="D11" s="3" t="s">
        <v>44</v>
      </c>
      <c r="E11" s="4" t="s">
        <v>25</v>
      </c>
      <c r="F11" s="4" t="str">
        <f t="shared" si="3"/>
        <v>Gaju Bhau</v>
      </c>
      <c r="G11" s="4" t="str">
        <f t="shared" si="4"/>
        <v/>
      </c>
      <c r="H11" s="4" t="str">
        <f t="shared" si="5"/>
        <v/>
      </c>
      <c r="I11" s="4" t="str">
        <f>_xlfn.XLOOKUP(F11,'[1]Jan Labour Nd Drivers Hyva'!$B:$B,'[2]Jan Labour Nd Drivers Hyva'!$A:$A,"NOT FOUND")</f>
        <v>LAB-001</v>
      </c>
      <c r="J11" s="4" t="str">
        <f>IF(G11="","",_xlfn.XLOOKUP(G11,'[3]Jan Labour Nd Drivers Hyva'!$B:$B,'[2]Jan Labour Nd Drivers Hyva'!$A:$A,"NOT FOUND"))</f>
        <v/>
      </c>
      <c r="K11" s="4" t="str">
        <f>IF(H11="","",_xlfn.XLOOKUP(H11,'[2]Jan Labour Nd Drivers Hyva'!$B:$B,'[2]Jan Labour Nd Drivers Hyva'!$A:$A,"NOT FOUND"))</f>
        <v/>
      </c>
      <c r="L11" s="3" t="s">
        <v>45</v>
      </c>
      <c r="M11" s="5">
        <v>1</v>
      </c>
      <c r="N11" s="6">
        <v>34000</v>
      </c>
      <c r="O11" s="6">
        <f t="shared" si="0"/>
        <v>34000</v>
      </c>
      <c r="P11" s="6">
        <v>34000</v>
      </c>
      <c r="Q11" s="6">
        <f t="shared" si="1"/>
        <v>0</v>
      </c>
      <c r="R11" t="str">
        <f t="shared" si="6"/>
        <v>PAID</v>
      </c>
      <c r="T11">
        <f t="shared" si="7"/>
        <v>34000</v>
      </c>
      <c r="U11" t="str">
        <f t="shared" si="8"/>
        <v>OK</v>
      </c>
      <c r="V11" s="7">
        <f t="shared" si="9"/>
        <v>0</v>
      </c>
      <c r="W11" t="str">
        <f t="shared" si="10"/>
        <v>OK</v>
      </c>
      <c r="X11" t="s">
        <v>27</v>
      </c>
      <c r="Y11" t="s">
        <v>120</v>
      </c>
    </row>
    <row r="12" spans="1:25" x14ac:dyDescent="0.2">
      <c r="A12" t="str">
        <f t="shared" si="2"/>
        <v>TRIP-011</v>
      </c>
      <c r="B12" s="2">
        <v>45669</v>
      </c>
      <c r="C12" t="str">
        <f>_xlfn.XLOOKUP(D12,'[1]Jan Customer Duplicate Hyva'!$B:$B,'[1]Jan Customer Duplicate Hyva'!$A:$A,"NOT FOUND")</f>
        <v>CUST-172</v>
      </c>
      <c r="D12" s="3" t="s">
        <v>98</v>
      </c>
      <c r="E12" s="4" t="s">
        <v>25</v>
      </c>
      <c r="F12" s="4" t="str">
        <f t="shared" si="3"/>
        <v>Gaju Bhau</v>
      </c>
      <c r="G12" s="4" t="str">
        <f t="shared" si="4"/>
        <v/>
      </c>
      <c r="H12" s="4" t="str">
        <f t="shared" si="5"/>
        <v/>
      </c>
      <c r="I12" s="4" t="str">
        <f>_xlfn.XLOOKUP(F12,'[1]Jan Labour Nd Drivers Hyva'!$B:$B,'[2]Jan Labour Nd Drivers Hyva'!$A:$A,"NOT FOUND")</f>
        <v>LAB-001</v>
      </c>
      <c r="J12" s="4" t="str">
        <f>IF(G12="","",_xlfn.XLOOKUP(G12,'[3]Jan Labour Nd Drivers Hyva'!$B:$B,'[2]Jan Labour Nd Drivers Hyva'!$A:$A,"NOT FOUND"))</f>
        <v/>
      </c>
      <c r="K12" s="4" t="str">
        <f>IF(H12="","",_xlfn.XLOOKUP(H12,'[2]Jan Labour Nd Drivers Hyva'!$B:$B,'[2]Jan Labour Nd Drivers Hyva'!$A:$A,"NOT FOUND"))</f>
        <v/>
      </c>
      <c r="L12" s="3" t="s">
        <v>46</v>
      </c>
      <c r="M12" s="5">
        <v>2</v>
      </c>
      <c r="N12" s="6">
        <v>32000</v>
      </c>
      <c r="O12" s="6">
        <f t="shared" si="0"/>
        <v>64000</v>
      </c>
      <c r="P12" s="6">
        <v>64000</v>
      </c>
      <c r="Q12" s="6">
        <f t="shared" si="1"/>
        <v>0</v>
      </c>
      <c r="R12" t="str">
        <f t="shared" si="6"/>
        <v>PAID</v>
      </c>
      <c r="T12">
        <f t="shared" si="7"/>
        <v>64000</v>
      </c>
      <c r="U12" t="str">
        <f t="shared" si="8"/>
        <v>OK</v>
      </c>
      <c r="V12" s="7">
        <f t="shared" si="9"/>
        <v>0</v>
      </c>
      <c r="W12" t="str">
        <f t="shared" si="10"/>
        <v>OK</v>
      </c>
      <c r="X12" t="s">
        <v>27</v>
      </c>
      <c r="Y12" t="s">
        <v>120</v>
      </c>
    </row>
    <row r="13" spans="1:25" x14ac:dyDescent="0.2">
      <c r="A13" t="str">
        <f t="shared" si="2"/>
        <v>TRIP-012</v>
      </c>
      <c r="B13" s="2">
        <v>45669</v>
      </c>
      <c r="C13" t="str">
        <f>_xlfn.XLOOKUP(D13,'[1]Jan Customer Duplicate Hyva'!$B:$B,'[1]Jan Customer Duplicate Hyva'!$A:$A,"NOT FOUND")</f>
        <v>CUST-236</v>
      </c>
      <c r="D13" s="3" t="s">
        <v>24</v>
      </c>
      <c r="E13" s="4" t="s">
        <v>25</v>
      </c>
      <c r="F13" s="4" t="str">
        <f t="shared" si="3"/>
        <v>Gaju Bhau</v>
      </c>
      <c r="G13" s="4" t="str">
        <f t="shared" si="4"/>
        <v/>
      </c>
      <c r="H13" s="4" t="str">
        <f t="shared" si="5"/>
        <v/>
      </c>
      <c r="I13" s="4" t="str">
        <f>_xlfn.XLOOKUP(F13,'[1]Jan Labour Nd Drivers Hyva'!$B:$B,'[2]Jan Labour Nd Drivers Hyva'!$A:$A,"NOT FOUND")</f>
        <v>LAB-001</v>
      </c>
      <c r="J13" s="4" t="str">
        <f>IF(G13="","",_xlfn.XLOOKUP(G13,'[3]Jan Labour Nd Drivers Hyva'!$B:$B,'[2]Jan Labour Nd Drivers Hyva'!$A:$A,"NOT FOUND"))</f>
        <v/>
      </c>
      <c r="K13" s="4" t="str">
        <f>IF(H13="","",_xlfn.XLOOKUP(H13,'[2]Jan Labour Nd Drivers Hyva'!$B:$B,'[2]Jan Labour Nd Drivers Hyva'!$A:$A,"NOT FOUND"))</f>
        <v/>
      </c>
      <c r="L13" s="3" t="s">
        <v>47</v>
      </c>
      <c r="M13" s="5">
        <v>1</v>
      </c>
      <c r="N13" s="6">
        <v>34000</v>
      </c>
      <c r="O13" s="6">
        <f t="shared" si="0"/>
        <v>34000</v>
      </c>
      <c r="P13" s="6">
        <v>34000</v>
      </c>
      <c r="Q13" s="6">
        <f t="shared" si="1"/>
        <v>0</v>
      </c>
      <c r="R13" t="str">
        <f t="shared" si="6"/>
        <v>PAID</v>
      </c>
      <c r="T13">
        <f t="shared" si="7"/>
        <v>34000</v>
      </c>
      <c r="U13" t="str">
        <f t="shared" si="8"/>
        <v>OK</v>
      </c>
      <c r="V13" s="7">
        <f t="shared" si="9"/>
        <v>0</v>
      </c>
      <c r="W13" t="str">
        <f t="shared" si="10"/>
        <v>OK</v>
      </c>
      <c r="X13" t="s">
        <v>27</v>
      </c>
      <c r="Y13" t="s">
        <v>120</v>
      </c>
    </row>
    <row r="14" spans="1:25" x14ac:dyDescent="0.2">
      <c r="A14" t="str">
        <f t="shared" si="2"/>
        <v>TRIP-013</v>
      </c>
      <c r="B14" s="2">
        <v>45670</v>
      </c>
      <c r="C14" t="str">
        <f>_xlfn.XLOOKUP(D14,'[1]Jan Customer Duplicate Hyva'!$B:$B,'[1]Jan Customer Duplicate Hyva'!$A:$A,"NOT FOUND")</f>
        <v>CUST-341</v>
      </c>
      <c r="D14" s="3" t="s">
        <v>48</v>
      </c>
      <c r="E14" s="4" t="s">
        <v>29</v>
      </c>
      <c r="F14" s="4" t="str">
        <f t="shared" si="3"/>
        <v>Anshu</v>
      </c>
      <c r="G14" s="4" t="str">
        <f t="shared" si="4"/>
        <v/>
      </c>
      <c r="H14" s="4" t="str">
        <f t="shared" si="5"/>
        <v/>
      </c>
      <c r="I14" s="4" t="str">
        <f>_xlfn.XLOOKUP(F14,'[1]Jan Labour Nd Drivers Hyva'!$B:$B,'[2]Jan Labour Nd Drivers Hyva'!$A:$A,"NOT FOUND")</f>
        <v>LAB-002</v>
      </c>
      <c r="J14" s="4" t="str">
        <f>IF(G14="","",_xlfn.XLOOKUP(G14,'[3]Jan Labour Nd Drivers Hyva'!$B:$B,'[2]Jan Labour Nd Drivers Hyva'!$A:$A,"NOT FOUND"))</f>
        <v/>
      </c>
      <c r="K14" s="4" t="str">
        <f>IF(H14="","",_xlfn.XLOOKUP(H14,'[2]Jan Labour Nd Drivers Hyva'!$B:$B,'[2]Jan Labour Nd Drivers Hyva'!$A:$A,"NOT FOUND"))</f>
        <v/>
      </c>
      <c r="L14" s="3" t="s">
        <v>36</v>
      </c>
      <c r="M14" s="5">
        <v>1</v>
      </c>
      <c r="N14" s="6">
        <v>35000</v>
      </c>
      <c r="O14" s="6">
        <f t="shared" si="0"/>
        <v>35000</v>
      </c>
      <c r="P14" s="6">
        <v>35000</v>
      </c>
      <c r="Q14" s="6">
        <f t="shared" si="1"/>
        <v>0</v>
      </c>
      <c r="R14" t="str">
        <f t="shared" si="6"/>
        <v>PAID</v>
      </c>
      <c r="T14">
        <f t="shared" si="7"/>
        <v>35000</v>
      </c>
      <c r="U14" t="str">
        <f t="shared" si="8"/>
        <v>OK</v>
      </c>
      <c r="V14" s="7">
        <f t="shared" si="9"/>
        <v>0</v>
      </c>
      <c r="W14" t="str">
        <f t="shared" si="10"/>
        <v>OK</v>
      </c>
      <c r="X14" t="s">
        <v>27</v>
      </c>
      <c r="Y14" t="s">
        <v>120</v>
      </c>
    </row>
    <row r="15" spans="1:25" x14ac:dyDescent="0.2">
      <c r="A15" t="str">
        <f t="shared" si="2"/>
        <v>TRIP-014</v>
      </c>
      <c r="B15" s="2">
        <v>45670</v>
      </c>
      <c r="C15" t="str">
        <f>_xlfn.XLOOKUP(D15,'[1]Jan Customer Duplicate Hyva'!$B:$B,'[1]Jan Customer Duplicate Hyva'!$A:$A,"NOT FOUND")</f>
        <v>CUST-369</v>
      </c>
      <c r="D15" s="3" t="s">
        <v>49</v>
      </c>
      <c r="E15" s="4" t="s">
        <v>25</v>
      </c>
      <c r="F15" s="4" t="str">
        <f t="shared" si="3"/>
        <v>Gaju Bhau</v>
      </c>
      <c r="G15" s="4" t="str">
        <f t="shared" si="4"/>
        <v/>
      </c>
      <c r="H15" s="4" t="str">
        <f t="shared" si="5"/>
        <v/>
      </c>
      <c r="I15" s="4" t="str">
        <f>_xlfn.XLOOKUP(F15,'[1]Jan Labour Nd Drivers Hyva'!$B:$B,'[2]Jan Labour Nd Drivers Hyva'!$A:$A,"NOT FOUND")</f>
        <v>LAB-001</v>
      </c>
      <c r="J15" s="4" t="str">
        <f>IF(G15="","",_xlfn.XLOOKUP(G15,'[3]Jan Labour Nd Drivers Hyva'!$B:$B,'[2]Jan Labour Nd Drivers Hyva'!$A:$A,"NOT FOUND"))</f>
        <v/>
      </c>
      <c r="K15" s="4" t="str">
        <f>IF(H15="","",_xlfn.XLOOKUP(H15,'[2]Jan Labour Nd Drivers Hyva'!$B:$B,'[2]Jan Labour Nd Drivers Hyva'!$A:$A,"NOT FOUND"))</f>
        <v/>
      </c>
      <c r="L15" s="3" t="s">
        <v>38</v>
      </c>
      <c r="M15" s="5">
        <v>1</v>
      </c>
      <c r="N15" s="6">
        <v>38000</v>
      </c>
      <c r="O15" s="6">
        <f t="shared" si="0"/>
        <v>38000</v>
      </c>
      <c r="P15" s="6">
        <v>38000</v>
      </c>
      <c r="Q15" s="6">
        <f t="shared" si="1"/>
        <v>0</v>
      </c>
      <c r="R15" t="str">
        <f t="shared" si="6"/>
        <v>PAID</v>
      </c>
      <c r="T15">
        <f t="shared" si="7"/>
        <v>38000</v>
      </c>
      <c r="U15" t="str">
        <f t="shared" si="8"/>
        <v>OK</v>
      </c>
      <c r="V15" s="7">
        <f t="shared" si="9"/>
        <v>0</v>
      </c>
      <c r="W15" t="str">
        <f t="shared" si="10"/>
        <v>OK</v>
      </c>
      <c r="X15" t="s">
        <v>27</v>
      </c>
      <c r="Y15" t="s">
        <v>120</v>
      </c>
    </row>
    <row r="16" spans="1:25" x14ac:dyDescent="0.2">
      <c r="A16" t="str">
        <f t="shared" si="2"/>
        <v>TRIP-015</v>
      </c>
      <c r="B16" s="2">
        <v>45672</v>
      </c>
      <c r="C16" t="str">
        <f>_xlfn.XLOOKUP(D16,'[1]Jan Customer Duplicate Hyva'!$B:$B,'[1]Jan Customer Duplicate Hyva'!$A:$A,"NOT FOUND")</f>
        <v>CUST-172</v>
      </c>
      <c r="D16" s="3" t="s">
        <v>98</v>
      </c>
      <c r="E16" s="4" t="s">
        <v>25</v>
      </c>
      <c r="F16" s="4" t="str">
        <f t="shared" si="3"/>
        <v>Gaju Bhau</v>
      </c>
      <c r="G16" s="4" t="str">
        <f t="shared" si="4"/>
        <v/>
      </c>
      <c r="H16" s="4" t="str">
        <f t="shared" si="5"/>
        <v/>
      </c>
      <c r="I16" s="4" t="str">
        <f>_xlfn.XLOOKUP(F16,'[1]Jan Labour Nd Drivers Hyva'!$B:$B,'[2]Jan Labour Nd Drivers Hyva'!$A:$A,"NOT FOUND")</f>
        <v>LAB-001</v>
      </c>
      <c r="J16" s="4" t="str">
        <f>IF(G16="","",_xlfn.XLOOKUP(G16,'[3]Jan Labour Nd Drivers Hyva'!$B:$B,'[2]Jan Labour Nd Drivers Hyva'!$A:$A,"NOT FOUND"))</f>
        <v/>
      </c>
      <c r="K16" s="4" t="str">
        <f>IF(H16="","",_xlfn.XLOOKUP(H16,'[2]Jan Labour Nd Drivers Hyva'!$B:$B,'[2]Jan Labour Nd Drivers Hyva'!$A:$A,"NOT FOUND"))</f>
        <v/>
      </c>
      <c r="L16" s="3" t="s">
        <v>50</v>
      </c>
      <c r="M16" s="5">
        <v>1</v>
      </c>
      <c r="N16" s="6">
        <v>32000</v>
      </c>
      <c r="O16" s="6">
        <f t="shared" si="0"/>
        <v>32000</v>
      </c>
      <c r="P16" s="6">
        <v>32000</v>
      </c>
      <c r="Q16" s="6">
        <f t="shared" si="1"/>
        <v>0</v>
      </c>
      <c r="R16" t="str">
        <f t="shared" si="6"/>
        <v>PAID</v>
      </c>
      <c r="T16">
        <f t="shared" si="7"/>
        <v>32000</v>
      </c>
      <c r="U16" t="str">
        <f t="shared" si="8"/>
        <v>OK</v>
      </c>
      <c r="V16" s="7">
        <f t="shared" si="9"/>
        <v>0</v>
      </c>
      <c r="W16" t="str">
        <f t="shared" si="10"/>
        <v>OK</v>
      </c>
      <c r="X16" t="s">
        <v>27</v>
      </c>
      <c r="Y16" t="s">
        <v>120</v>
      </c>
    </row>
    <row r="17" spans="1:25" x14ac:dyDescent="0.2">
      <c r="A17" t="str">
        <f t="shared" si="2"/>
        <v>TRIP-016</v>
      </c>
      <c r="B17" s="2">
        <v>45672</v>
      </c>
      <c r="C17" t="str">
        <f>_xlfn.XLOOKUP(D17,'[1]Jan Customer Duplicate Hyva'!$B:$B,'[1]Jan Customer Duplicate Hyva'!$A:$A,"NOT FOUND")</f>
        <v>CUST-172</v>
      </c>
      <c r="D17" s="3" t="s">
        <v>98</v>
      </c>
      <c r="E17" s="4" t="s">
        <v>25</v>
      </c>
      <c r="F17" s="4" t="str">
        <f t="shared" si="3"/>
        <v>Gaju Bhau</v>
      </c>
      <c r="G17" s="4" t="str">
        <f t="shared" si="4"/>
        <v/>
      </c>
      <c r="H17" s="4" t="str">
        <f t="shared" si="5"/>
        <v/>
      </c>
      <c r="I17" s="4" t="str">
        <f>_xlfn.XLOOKUP(F17,'[1]Jan Labour Nd Drivers Hyva'!$B:$B,'[2]Jan Labour Nd Drivers Hyva'!$A:$A,"NOT FOUND")</f>
        <v>LAB-001</v>
      </c>
      <c r="J17" s="4" t="str">
        <f>IF(G17="","",_xlfn.XLOOKUP(G17,'[3]Jan Labour Nd Drivers Hyva'!$B:$B,'[2]Jan Labour Nd Drivers Hyva'!$A:$A,"NOT FOUND"))</f>
        <v/>
      </c>
      <c r="K17" s="4" t="str">
        <f>IF(H17="","",_xlfn.XLOOKUP(H17,'[2]Jan Labour Nd Drivers Hyva'!$B:$B,'[2]Jan Labour Nd Drivers Hyva'!$A:$A,"NOT FOUND"))</f>
        <v/>
      </c>
      <c r="L17" s="3" t="s">
        <v>51</v>
      </c>
      <c r="M17" s="5">
        <v>1</v>
      </c>
      <c r="N17" s="6">
        <v>32000</v>
      </c>
      <c r="O17" s="6">
        <f t="shared" si="0"/>
        <v>32000</v>
      </c>
      <c r="P17" s="6">
        <v>32000</v>
      </c>
      <c r="Q17" s="6">
        <f t="shared" si="1"/>
        <v>0</v>
      </c>
      <c r="R17" t="str">
        <f t="shared" si="6"/>
        <v>PAID</v>
      </c>
      <c r="T17">
        <f t="shared" si="7"/>
        <v>32000</v>
      </c>
      <c r="U17" t="str">
        <f t="shared" si="8"/>
        <v>OK</v>
      </c>
      <c r="V17" s="7">
        <f t="shared" si="9"/>
        <v>0</v>
      </c>
      <c r="W17" t="str">
        <f t="shared" si="10"/>
        <v>OK</v>
      </c>
      <c r="X17" t="s">
        <v>27</v>
      </c>
      <c r="Y17" t="s">
        <v>120</v>
      </c>
    </row>
    <row r="18" spans="1:25" x14ac:dyDescent="0.2">
      <c r="A18" t="str">
        <f t="shared" si="2"/>
        <v>TRIP-017</v>
      </c>
      <c r="B18" s="2">
        <v>45672</v>
      </c>
      <c r="C18" t="str">
        <f>_xlfn.XLOOKUP(D18,'[1]Jan Customer Duplicate Hyva'!$B:$B,'[1]Jan Customer Duplicate Hyva'!$A:$A,"NOT FOUND")</f>
        <v>CUST-218</v>
      </c>
      <c r="D18" s="3" t="s">
        <v>52</v>
      </c>
      <c r="E18" s="4" t="s">
        <v>25</v>
      </c>
      <c r="F18" s="4" t="str">
        <f t="shared" si="3"/>
        <v>Gaju Bhau</v>
      </c>
      <c r="G18" s="4" t="str">
        <f t="shared" si="4"/>
        <v/>
      </c>
      <c r="H18" s="4" t="str">
        <f t="shared" si="5"/>
        <v/>
      </c>
      <c r="I18" s="4" t="str">
        <f>_xlfn.XLOOKUP(F18,'[1]Jan Labour Nd Drivers Hyva'!$B:$B,'[2]Jan Labour Nd Drivers Hyva'!$A:$A,"NOT FOUND")</f>
        <v>LAB-001</v>
      </c>
      <c r="J18" s="4" t="str">
        <f>IF(G18="","",_xlfn.XLOOKUP(G18,'[3]Jan Labour Nd Drivers Hyva'!$B:$B,'[2]Jan Labour Nd Drivers Hyva'!$A:$A,"NOT FOUND"))</f>
        <v/>
      </c>
      <c r="K18" s="4" t="str">
        <f>IF(H18="","",_xlfn.XLOOKUP(H18,'[2]Jan Labour Nd Drivers Hyva'!$B:$B,'[2]Jan Labour Nd Drivers Hyva'!$A:$A,"NOT FOUND"))</f>
        <v/>
      </c>
      <c r="L18" s="3" t="s">
        <v>42</v>
      </c>
      <c r="M18" s="5">
        <v>1</v>
      </c>
      <c r="N18" s="6">
        <v>33000</v>
      </c>
      <c r="O18" s="6">
        <f t="shared" si="0"/>
        <v>33000</v>
      </c>
      <c r="P18" s="6"/>
      <c r="Q18" s="6">
        <f t="shared" si="1"/>
        <v>33000</v>
      </c>
      <c r="R18" t="str">
        <f t="shared" si="6"/>
        <v>UNPAID</v>
      </c>
      <c r="T18">
        <f t="shared" si="7"/>
        <v>33000</v>
      </c>
      <c r="U18" t="str">
        <f t="shared" si="8"/>
        <v>OK</v>
      </c>
      <c r="V18" s="7">
        <f t="shared" si="9"/>
        <v>33000</v>
      </c>
      <c r="W18" t="str">
        <f t="shared" si="10"/>
        <v>OK</v>
      </c>
      <c r="X18" t="s">
        <v>27</v>
      </c>
      <c r="Y18" t="s">
        <v>120</v>
      </c>
    </row>
    <row r="19" spans="1:25" x14ac:dyDescent="0.2">
      <c r="A19" t="str">
        <f t="shared" si="2"/>
        <v>TRIP-018</v>
      </c>
      <c r="B19" s="2">
        <v>45672</v>
      </c>
      <c r="C19" t="str">
        <f>_xlfn.XLOOKUP(D19,'[1]Jan Customer Duplicate Hyva'!$B:$B,'[1]Jan Customer Duplicate Hyva'!$A:$A,"NOT FOUND")</f>
        <v>CUST-236</v>
      </c>
      <c r="D19" s="3" t="s">
        <v>24</v>
      </c>
      <c r="E19" s="4" t="s">
        <v>25</v>
      </c>
      <c r="F19" s="4" t="str">
        <f t="shared" si="3"/>
        <v>Gaju Bhau</v>
      </c>
      <c r="G19" s="4" t="str">
        <f t="shared" si="4"/>
        <v/>
      </c>
      <c r="H19" s="4" t="str">
        <f t="shared" si="5"/>
        <v/>
      </c>
      <c r="I19" s="4" t="str">
        <f>_xlfn.XLOOKUP(F19,'[1]Jan Labour Nd Drivers Hyva'!$B:$B,'[2]Jan Labour Nd Drivers Hyva'!$A:$A,"NOT FOUND")</f>
        <v>LAB-001</v>
      </c>
      <c r="J19" s="4" t="str">
        <f>IF(G19="","",_xlfn.XLOOKUP(G19,'[3]Jan Labour Nd Drivers Hyva'!$B:$B,'[2]Jan Labour Nd Drivers Hyva'!$A:$A,"NOT FOUND"))</f>
        <v/>
      </c>
      <c r="K19" s="4" t="str">
        <f>IF(H19="","",_xlfn.XLOOKUP(H19,'[2]Jan Labour Nd Drivers Hyva'!$B:$B,'[2]Jan Labour Nd Drivers Hyva'!$A:$A,"NOT FOUND"))</f>
        <v/>
      </c>
      <c r="L19" s="3" t="s">
        <v>53</v>
      </c>
      <c r="M19" s="5">
        <v>1</v>
      </c>
      <c r="N19" s="6">
        <v>34000</v>
      </c>
      <c r="O19" s="6">
        <f t="shared" si="0"/>
        <v>34000</v>
      </c>
      <c r="P19" s="6">
        <v>34000</v>
      </c>
      <c r="Q19" s="6">
        <f t="shared" si="1"/>
        <v>0</v>
      </c>
      <c r="R19" t="str">
        <f t="shared" si="6"/>
        <v>PAID</v>
      </c>
      <c r="T19">
        <f t="shared" si="7"/>
        <v>34000</v>
      </c>
      <c r="U19" t="str">
        <f t="shared" si="8"/>
        <v>OK</v>
      </c>
      <c r="V19" s="7">
        <f t="shared" si="9"/>
        <v>0</v>
      </c>
      <c r="W19" t="str">
        <f t="shared" si="10"/>
        <v>OK</v>
      </c>
      <c r="X19" t="s">
        <v>27</v>
      </c>
      <c r="Y19" t="s">
        <v>120</v>
      </c>
    </row>
    <row r="20" spans="1:25" x14ac:dyDescent="0.2">
      <c r="A20" t="str">
        <f t="shared" si="2"/>
        <v>TRIP-019</v>
      </c>
      <c r="B20" s="2">
        <v>45672</v>
      </c>
      <c r="C20" t="str">
        <f>_xlfn.XLOOKUP(D20,'[1]Jan Customer Duplicate Hyva'!$B:$B,'[1]Jan Customer Duplicate Hyva'!$A:$A,"NOT FOUND")</f>
        <v>CUST-382</v>
      </c>
      <c r="D20" s="3" t="s">
        <v>54</v>
      </c>
      <c r="E20" s="4" t="s">
        <v>29</v>
      </c>
      <c r="F20" s="4" t="str">
        <f t="shared" si="3"/>
        <v>Anshu</v>
      </c>
      <c r="G20" s="4" t="str">
        <f t="shared" si="4"/>
        <v/>
      </c>
      <c r="H20" s="4" t="str">
        <f t="shared" si="5"/>
        <v/>
      </c>
      <c r="I20" s="4" t="str">
        <f>_xlfn.XLOOKUP(F20,'[1]Jan Labour Nd Drivers Hyva'!$B:$B,'[2]Jan Labour Nd Drivers Hyva'!$A:$A,"NOT FOUND")</f>
        <v>LAB-002</v>
      </c>
      <c r="J20" s="4" t="str">
        <f>IF(G20="","",_xlfn.XLOOKUP(G20,'[3]Jan Labour Nd Drivers Hyva'!$B:$B,'[2]Jan Labour Nd Drivers Hyva'!$A:$A,"NOT FOUND"))</f>
        <v/>
      </c>
      <c r="K20" s="4" t="str">
        <f>IF(H20="","",_xlfn.XLOOKUP(H20,'[2]Jan Labour Nd Drivers Hyva'!$B:$B,'[2]Jan Labour Nd Drivers Hyva'!$A:$A,"NOT FOUND"))</f>
        <v/>
      </c>
      <c r="L20" s="3" t="s">
        <v>46</v>
      </c>
      <c r="M20" s="5">
        <v>1</v>
      </c>
      <c r="N20" s="6">
        <v>34000</v>
      </c>
      <c r="O20" s="6">
        <f t="shared" si="0"/>
        <v>34000</v>
      </c>
      <c r="P20" s="6">
        <v>34000</v>
      </c>
      <c r="Q20" s="6">
        <f t="shared" si="1"/>
        <v>0</v>
      </c>
      <c r="R20" t="str">
        <f t="shared" si="6"/>
        <v>PAID</v>
      </c>
      <c r="T20">
        <f t="shared" si="7"/>
        <v>34000</v>
      </c>
      <c r="U20" t="str">
        <f t="shared" si="8"/>
        <v>OK</v>
      </c>
      <c r="V20" s="7">
        <f t="shared" si="9"/>
        <v>0</v>
      </c>
      <c r="W20" t="str">
        <f t="shared" si="10"/>
        <v>OK</v>
      </c>
      <c r="X20" t="s">
        <v>27</v>
      </c>
      <c r="Y20" t="s">
        <v>120</v>
      </c>
    </row>
    <row r="21" spans="1:25" x14ac:dyDescent="0.2">
      <c r="A21" t="str">
        <f t="shared" si="2"/>
        <v>TRIP-020</v>
      </c>
      <c r="B21" s="2">
        <v>45673</v>
      </c>
      <c r="C21" t="str">
        <f>_xlfn.XLOOKUP(D21,'[1]Jan Customer Duplicate Hyva'!$B:$B,'[1]Jan Customer Duplicate Hyva'!$A:$A,"NOT FOUND")</f>
        <v>CUST-172</v>
      </c>
      <c r="D21" s="3" t="s">
        <v>98</v>
      </c>
      <c r="E21" s="4" t="s">
        <v>25</v>
      </c>
      <c r="F21" s="4" t="str">
        <f t="shared" si="3"/>
        <v>Gaju Bhau</v>
      </c>
      <c r="G21" s="4" t="str">
        <f t="shared" si="4"/>
        <v/>
      </c>
      <c r="H21" s="4" t="str">
        <f t="shared" si="5"/>
        <v/>
      </c>
      <c r="I21" s="4" t="str">
        <f>_xlfn.XLOOKUP(F21,'[1]Jan Labour Nd Drivers Hyva'!$B:$B,'[2]Jan Labour Nd Drivers Hyva'!$A:$A,"NOT FOUND")</f>
        <v>LAB-001</v>
      </c>
      <c r="J21" s="4" t="str">
        <f>IF(G21="","",_xlfn.XLOOKUP(G21,'[3]Jan Labour Nd Drivers Hyva'!$B:$B,'[2]Jan Labour Nd Drivers Hyva'!$A:$A,"NOT FOUND"))</f>
        <v/>
      </c>
      <c r="K21" s="4" t="str">
        <f>IF(H21="","",_xlfn.XLOOKUP(H21,'[2]Jan Labour Nd Drivers Hyva'!$B:$B,'[2]Jan Labour Nd Drivers Hyva'!$A:$A,"NOT FOUND"))</f>
        <v/>
      </c>
      <c r="L21" s="3" t="s">
        <v>55</v>
      </c>
      <c r="M21" s="5">
        <v>2</v>
      </c>
      <c r="N21" s="6">
        <v>32000</v>
      </c>
      <c r="O21" s="6">
        <f t="shared" si="0"/>
        <v>64000</v>
      </c>
      <c r="P21" s="6">
        <v>64000</v>
      </c>
      <c r="Q21" s="6">
        <f t="shared" si="1"/>
        <v>0</v>
      </c>
      <c r="R21" t="str">
        <f t="shared" si="6"/>
        <v>PAID</v>
      </c>
      <c r="T21">
        <f t="shared" si="7"/>
        <v>64000</v>
      </c>
      <c r="U21" t="str">
        <f t="shared" si="8"/>
        <v>OK</v>
      </c>
      <c r="V21" s="7">
        <f t="shared" si="9"/>
        <v>0</v>
      </c>
      <c r="W21" t="str">
        <f t="shared" si="10"/>
        <v>OK</v>
      </c>
      <c r="X21" t="s">
        <v>27</v>
      </c>
      <c r="Y21" t="s">
        <v>120</v>
      </c>
    </row>
    <row r="22" spans="1:25" x14ac:dyDescent="0.2">
      <c r="A22" t="str">
        <f t="shared" si="2"/>
        <v>TRIP-021</v>
      </c>
      <c r="B22" s="2">
        <v>45674</v>
      </c>
      <c r="C22" t="str">
        <f>_xlfn.XLOOKUP(D22,'[1]Jan Customer Duplicate Hyva'!$B:$B,'[1]Jan Customer Duplicate Hyva'!$A:$A,"NOT FOUND")</f>
        <v>CUST-295</v>
      </c>
      <c r="D22" s="3" t="s">
        <v>56</v>
      </c>
      <c r="E22" s="4" t="s">
        <v>25</v>
      </c>
      <c r="F22" s="4" t="str">
        <f t="shared" si="3"/>
        <v>Gaju Bhau</v>
      </c>
      <c r="G22" s="4" t="str">
        <f t="shared" si="4"/>
        <v/>
      </c>
      <c r="H22" s="4" t="str">
        <f t="shared" si="5"/>
        <v/>
      </c>
      <c r="I22" s="4" t="str">
        <f>_xlfn.XLOOKUP(F22,'[1]Jan Labour Nd Drivers Hyva'!$B:$B,'[2]Jan Labour Nd Drivers Hyva'!$A:$A,"NOT FOUND")</f>
        <v>LAB-001</v>
      </c>
      <c r="J22" s="4" t="str">
        <f>IF(G22="","",_xlfn.XLOOKUP(G22,'[3]Jan Labour Nd Drivers Hyva'!$B:$B,'[2]Jan Labour Nd Drivers Hyva'!$A:$A,"NOT FOUND"))</f>
        <v/>
      </c>
      <c r="K22" s="4" t="str">
        <f>IF(H22="","",_xlfn.XLOOKUP(H22,'[2]Jan Labour Nd Drivers Hyva'!$B:$B,'[2]Jan Labour Nd Drivers Hyva'!$A:$A,"NOT FOUND"))</f>
        <v/>
      </c>
      <c r="L22" s="3" t="s">
        <v>38</v>
      </c>
      <c r="M22" s="5">
        <v>1</v>
      </c>
      <c r="N22" s="6">
        <v>32500</v>
      </c>
      <c r="O22" s="6">
        <f t="shared" si="0"/>
        <v>32500</v>
      </c>
      <c r="P22" s="6">
        <v>32500</v>
      </c>
      <c r="Q22" s="6">
        <f t="shared" si="1"/>
        <v>0</v>
      </c>
      <c r="R22" t="str">
        <f t="shared" si="6"/>
        <v>PAID</v>
      </c>
      <c r="T22">
        <f t="shared" si="7"/>
        <v>32500</v>
      </c>
      <c r="U22" t="str">
        <f t="shared" si="8"/>
        <v>OK</v>
      </c>
      <c r="V22" s="7">
        <f t="shared" si="9"/>
        <v>0</v>
      </c>
      <c r="W22" t="str">
        <f t="shared" si="10"/>
        <v>OK</v>
      </c>
      <c r="X22" t="s">
        <v>27</v>
      </c>
      <c r="Y22" t="s">
        <v>120</v>
      </c>
    </row>
    <row r="23" spans="1:25" x14ac:dyDescent="0.2">
      <c r="A23" t="str">
        <f t="shared" si="2"/>
        <v>TRIP-022</v>
      </c>
      <c r="B23" s="2">
        <v>45675</v>
      </c>
      <c r="C23" t="str">
        <f>_xlfn.XLOOKUP(D23,'[1]Jan Customer Duplicate Hyva'!$B:$B,'[1]Jan Customer Duplicate Hyva'!$A:$A,"NOT FOUND")</f>
        <v>CUST-255</v>
      </c>
      <c r="D23" s="3" t="s">
        <v>57</v>
      </c>
      <c r="E23" s="4" t="s">
        <v>25</v>
      </c>
      <c r="F23" s="4" t="str">
        <f t="shared" si="3"/>
        <v>Gaju Bhau</v>
      </c>
      <c r="G23" s="4" t="str">
        <f t="shared" si="4"/>
        <v/>
      </c>
      <c r="H23" s="4" t="str">
        <f t="shared" si="5"/>
        <v/>
      </c>
      <c r="I23" s="4" t="str">
        <f>_xlfn.XLOOKUP(F23,'[1]Jan Labour Nd Drivers Hyva'!$B:$B,'[2]Jan Labour Nd Drivers Hyva'!$A:$A,"NOT FOUND")</f>
        <v>LAB-001</v>
      </c>
      <c r="J23" s="4" t="str">
        <f>IF(G23="","",_xlfn.XLOOKUP(G23,'[3]Jan Labour Nd Drivers Hyva'!$B:$B,'[2]Jan Labour Nd Drivers Hyva'!$A:$A,"NOT FOUND"))</f>
        <v/>
      </c>
      <c r="K23" s="4" t="str">
        <f>IF(H23="","",_xlfn.XLOOKUP(H23,'[2]Jan Labour Nd Drivers Hyva'!$B:$B,'[2]Jan Labour Nd Drivers Hyva'!$A:$A,"NOT FOUND"))</f>
        <v/>
      </c>
      <c r="L23" s="3" t="s">
        <v>58</v>
      </c>
      <c r="M23" s="5">
        <v>1</v>
      </c>
      <c r="N23" s="6">
        <v>40000</v>
      </c>
      <c r="O23" s="6">
        <f t="shared" si="0"/>
        <v>40000</v>
      </c>
      <c r="P23" s="6">
        <v>40000</v>
      </c>
      <c r="Q23" s="6">
        <f t="shared" si="1"/>
        <v>0</v>
      </c>
      <c r="R23" t="str">
        <f t="shared" si="6"/>
        <v>PAID</v>
      </c>
      <c r="T23">
        <f t="shared" si="7"/>
        <v>40000</v>
      </c>
      <c r="U23" t="str">
        <f t="shared" si="8"/>
        <v>OK</v>
      </c>
      <c r="V23" s="7">
        <f t="shared" si="9"/>
        <v>0</v>
      </c>
      <c r="W23" t="str">
        <f t="shared" si="10"/>
        <v>OK</v>
      </c>
      <c r="X23" t="s">
        <v>27</v>
      </c>
      <c r="Y23" t="s">
        <v>120</v>
      </c>
    </row>
    <row r="24" spans="1:25" x14ac:dyDescent="0.2">
      <c r="A24" t="str">
        <f t="shared" si="2"/>
        <v>TRIP-023</v>
      </c>
      <c r="B24" s="2">
        <v>45675</v>
      </c>
      <c r="C24" t="str">
        <f>_xlfn.XLOOKUP(D24,'[1]Jan Customer Duplicate Hyva'!$B:$B,'[1]Jan Customer Duplicate Hyva'!$A:$A,"NOT FOUND")</f>
        <v>CUST-202</v>
      </c>
      <c r="D24" s="3" t="s">
        <v>59</v>
      </c>
      <c r="E24" s="4" t="s">
        <v>29</v>
      </c>
      <c r="F24" s="4" t="str">
        <f t="shared" si="3"/>
        <v>Anshu</v>
      </c>
      <c r="G24" s="4" t="str">
        <f t="shared" si="4"/>
        <v/>
      </c>
      <c r="H24" s="4" t="str">
        <f t="shared" si="5"/>
        <v/>
      </c>
      <c r="I24" s="4" t="str">
        <f>_xlfn.XLOOKUP(F24,'[1]Jan Labour Nd Drivers Hyva'!$B:$B,'[2]Jan Labour Nd Drivers Hyva'!$A:$A,"NOT FOUND")</f>
        <v>LAB-002</v>
      </c>
      <c r="J24" s="4" t="str">
        <f>IF(G24="","",_xlfn.XLOOKUP(G24,'[3]Jan Labour Nd Drivers Hyva'!$B:$B,'[2]Jan Labour Nd Drivers Hyva'!$A:$A,"NOT FOUND"))</f>
        <v/>
      </c>
      <c r="K24" s="4" t="str">
        <f>IF(H24="","",_xlfn.XLOOKUP(H24,'[2]Jan Labour Nd Drivers Hyva'!$B:$B,'[2]Jan Labour Nd Drivers Hyva'!$A:$A,"NOT FOUND"))</f>
        <v/>
      </c>
      <c r="L24" s="3" t="s">
        <v>60</v>
      </c>
      <c r="M24" s="5">
        <v>1</v>
      </c>
      <c r="N24" s="6">
        <v>35000</v>
      </c>
      <c r="O24" s="6">
        <f t="shared" si="0"/>
        <v>35000</v>
      </c>
      <c r="P24" s="6">
        <v>35000</v>
      </c>
      <c r="Q24" s="6">
        <f t="shared" si="1"/>
        <v>0</v>
      </c>
      <c r="R24" t="str">
        <f t="shared" si="6"/>
        <v>PAID</v>
      </c>
      <c r="T24">
        <f t="shared" si="7"/>
        <v>35000</v>
      </c>
      <c r="U24" t="str">
        <f t="shared" si="8"/>
        <v>OK</v>
      </c>
      <c r="V24" s="7">
        <f t="shared" si="9"/>
        <v>0</v>
      </c>
      <c r="W24" t="str">
        <f t="shared" si="10"/>
        <v>OK</v>
      </c>
      <c r="X24" t="s">
        <v>27</v>
      </c>
      <c r="Y24" t="s">
        <v>120</v>
      </c>
    </row>
    <row r="25" spans="1:25" x14ac:dyDescent="0.2">
      <c r="A25" t="str">
        <f t="shared" si="2"/>
        <v>TRIP-024</v>
      </c>
      <c r="B25" s="2">
        <v>45675</v>
      </c>
      <c r="C25" t="str">
        <f>_xlfn.XLOOKUP(D25,'[1]Jan Customer Duplicate Hyva'!$B:$B,'[1]Jan Customer Duplicate Hyva'!$A:$A,"NOT FOUND")</f>
        <v>CUST-295</v>
      </c>
      <c r="D25" s="3" t="s">
        <v>56</v>
      </c>
      <c r="E25" s="4" t="s">
        <v>25</v>
      </c>
      <c r="F25" s="4" t="str">
        <f t="shared" si="3"/>
        <v>Gaju Bhau</v>
      </c>
      <c r="G25" s="4" t="str">
        <f t="shared" si="4"/>
        <v/>
      </c>
      <c r="H25" s="4" t="str">
        <f t="shared" si="5"/>
        <v/>
      </c>
      <c r="I25" s="4" t="str">
        <f>_xlfn.XLOOKUP(F25,'[1]Jan Labour Nd Drivers Hyva'!$B:$B,'[2]Jan Labour Nd Drivers Hyva'!$A:$A,"NOT FOUND")</f>
        <v>LAB-001</v>
      </c>
      <c r="J25" s="4" t="str">
        <f>IF(G25="","",_xlfn.XLOOKUP(G25,'[3]Jan Labour Nd Drivers Hyva'!$B:$B,'[2]Jan Labour Nd Drivers Hyva'!$A:$A,"NOT FOUND"))</f>
        <v/>
      </c>
      <c r="K25" s="4" t="str">
        <f>IF(H25="","",_xlfn.XLOOKUP(H25,'[2]Jan Labour Nd Drivers Hyva'!$B:$B,'[2]Jan Labour Nd Drivers Hyva'!$A:$A,"NOT FOUND"))</f>
        <v/>
      </c>
      <c r="L25" s="3" t="s">
        <v>38</v>
      </c>
      <c r="M25" s="5">
        <v>1</v>
      </c>
      <c r="N25" s="6">
        <v>32500</v>
      </c>
      <c r="O25" s="6">
        <f t="shared" si="0"/>
        <v>32500</v>
      </c>
      <c r="P25" s="6">
        <v>32500</v>
      </c>
      <c r="Q25" s="6">
        <f t="shared" si="1"/>
        <v>0</v>
      </c>
      <c r="R25" t="str">
        <f t="shared" si="6"/>
        <v>PAID</v>
      </c>
      <c r="T25">
        <f t="shared" si="7"/>
        <v>32500</v>
      </c>
      <c r="U25" t="str">
        <f t="shared" si="8"/>
        <v>OK</v>
      </c>
      <c r="V25" s="7">
        <f t="shared" si="9"/>
        <v>0</v>
      </c>
      <c r="W25" t="str">
        <f t="shared" si="10"/>
        <v>OK</v>
      </c>
      <c r="X25" t="s">
        <v>27</v>
      </c>
      <c r="Y25" t="s">
        <v>120</v>
      </c>
    </row>
    <row r="26" spans="1:25" x14ac:dyDescent="0.2">
      <c r="A26" t="str">
        <f t="shared" si="2"/>
        <v>TRIP-025</v>
      </c>
      <c r="B26" s="2">
        <v>45675</v>
      </c>
      <c r="C26" t="str">
        <f>_xlfn.XLOOKUP(D26,'[1]Jan Customer Duplicate Hyva'!$B:$B,'[1]Jan Customer Duplicate Hyva'!$A:$A,"NOT FOUND")</f>
        <v>CUST-382</v>
      </c>
      <c r="D26" s="3" t="s">
        <v>54</v>
      </c>
      <c r="E26" s="4" t="s">
        <v>29</v>
      </c>
      <c r="F26" s="4" t="str">
        <f t="shared" si="3"/>
        <v>Anshu</v>
      </c>
      <c r="G26" s="4" t="str">
        <f t="shared" si="4"/>
        <v/>
      </c>
      <c r="H26" s="4" t="str">
        <f t="shared" si="5"/>
        <v/>
      </c>
      <c r="I26" s="4" t="str">
        <f>_xlfn.XLOOKUP(F26,'[1]Jan Labour Nd Drivers Hyva'!$B:$B,'[2]Jan Labour Nd Drivers Hyva'!$A:$A,"NOT FOUND")</f>
        <v>LAB-002</v>
      </c>
      <c r="J26" s="4" t="str">
        <f>IF(G26="","",_xlfn.XLOOKUP(G26,'[3]Jan Labour Nd Drivers Hyva'!$B:$B,'[2]Jan Labour Nd Drivers Hyva'!$A:$A,"NOT FOUND"))</f>
        <v/>
      </c>
      <c r="K26" s="4" t="str">
        <f>IF(H26="","",_xlfn.XLOOKUP(H26,'[2]Jan Labour Nd Drivers Hyva'!$B:$B,'[2]Jan Labour Nd Drivers Hyva'!$A:$A,"NOT FOUND"))</f>
        <v/>
      </c>
      <c r="L26" s="3" t="s">
        <v>61</v>
      </c>
      <c r="M26" s="5">
        <v>1</v>
      </c>
      <c r="N26" s="6">
        <v>33000</v>
      </c>
      <c r="O26" s="6">
        <f t="shared" si="0"/>
        <v>33000</v>
      </c>
      <c r="P26" s="6">
        <v>33000</v>
      </c>
      <c r="Q26" s="6">
        <f t="shared" si="1"/>
        <v>0</v>
      </c>
      <c r="R26" t="str">
        <f t="shared" si="6"/>
        <v>PAID</v>
      </c>
      <c r="T26">
        <f t="shared" si="7"/>
        <v>33000</v>
      </c>
      <c r="U26" t="str">
        <f t="shared" si="8"/>
        <v>OK</v>
      </c>
      <c r="V26" s="7">
        <f t="shared" si="9"/>
        <v>0</v>
      </c>
      <c r="W26" t="str">
        <f t="shared" si="10"/>
        <v>OK</v>
      </c>
      <c r="X26" t="s">
        <v>27</v>
      </c>
      <c r="Y26" t="s">
        <v>120</v>
      </c>
    </row>
    <row r="27" spans="1:25" x14ac:dyDescent="0.2">
      <c r="A27" t="str">
        <f t="shared" si="2"/>
        <v>TRIP-026</v>
      </c>
      <c r="B27" s="2">
        <v>45676</v>
      </c>
      <c r="C27" t="str">
        <f>_xlfn.XLOOKUP(D27,'[1]Jan Customer Duplicate Hyva'!$B:$B,'[1]Jan Customer Duplicate Hyva'!$A:$A,"NOT FOUND")</f>
        <v>CUST-291</v>
      </c>
      <c r="D27" s="3" t="s">
        <v>62</v>
      </c>
      <c r="E27" s="4" t="s">
        <v>25</v>
      </c>
      <c r="F27" s="4" t="str">
        <f t="shared" si="3"/>
        <v>Gaju Bhau</v>
      </c>
      <c r="G27" s="4" t="str">
        <f t="shared" si="4"/>
        <v/>
      </c>
      <c r="H27" s="4" t="str">
        <f t="shared" si="5"/>
        <v/>
      </c>
      <c r="I27" s="4" t="str">
        <f>_xlfn.XLOOKUP(F27,'[1]Jan Labour Nd Drivers Hyva'!$B:$B,'[2]Jan Labour Nd Drivers Hyva'!$A:$A,"NOT FOUND")</f>
        <v>LAB-001</v>
      </c>
      <c r="J27" s="4" t="str">
        <f>IF(G27="","",_xlfn.XLOOKUP(G27,'[3]Jan Labour Nd Drivers Hyva'!$B:$B,'[2]Jan Labour Nd Drivers Hyva'!$A:$A,"NOT FOUND"))</f>
        <v/>
      </c>
      <c r="K27" s="4" t="str">
        <f>IF(H27="","",_xlfn.XLOOKUP(H27,'[2]Jan Labour Nd Drivers Hyva'!$B:$B,'[2]Jan Labour Nd Drivers Hyva'!$A:$A,"NOT FOUND"))</f>
        <v/>
      </c>
      <c r="L27" s="3" t="s">
        <v>36</v>
      </c>
      <c r="M27" s="5">
        <v>1</v>
      </c>
      <c r="N27" s="6">
        <v>35000</v>
      </c>
      <c r="O27" s="6">
        <f t="shared" si="0"/>
        <v>35000</v>
      </c>
      <c r="P27" s="6">
        <v>35000</v>
      </c>
      <c r="Q27" s="6">
        <f t="shared" si="1"/>
        <v>0</v>
      </c>
      <c r="R27" t="str">
        <f t="shared" si="6"/>
        <v>PAID</v>
      </c>
      <c r="T27">
        <f t="shared" si="7"/>
        <v>35000</v>
      </c>
      <c r="U27" t="str">
        <f t="shared" si="8"/>
        <v>OK</v>
      </c>
      <c r="V27" s="7">
        <f t="shared" si="9"/>
        <v>0</v>
      </c>
      <c r="W27" t="str">
        <f t="shared" si="10"/>
        <v>OK</v>
      </c>
      <c r="X27" t="s">
        <v>27</v>
      </c>
      <c r="Y27" t="s">
        <v>120</v>
      </c>
    </row>
    <row r="28" spans="1:25" x14ac:dyDescent="0.2">
      <c r="A28" t="str">
        <f t="shared" si="2"/>
        <v>TRIP-027</v>
      </c>
      <c r="B28" s="2">
        <v>45676</v>
      </c>
      <c r="C28" t="str">
        <f>_xlfn.XLOOKUP(D28,'[1]Jan Customer Duplicate Hyva'!$B:$B,'[1]Jan Customer Duplicate Hyva'!$A:$A,"NOT FOUND")</f>
        <v>CUST-291</v>
      </c>
      <c r="D28" s="3" t="s">
        <v>62</v>
      </c>
      <c r="E28" s="4" t="s">
        <v>29</v>
      </c>
      <c r="F28" s="4" t="str">
        <f t="shared" si="3"/>
        <v>Anshu</v>
      </c>
      <c r="G28" s="4" t="str">
        <f t="shared" si="4"/>
        <v/>
      </c>
      <c r="H28" s="4" t="str">
        <f t="shared" si="5"/>
        <v/>
      </c>
      <c r="I28" s="4" t="str">
        <f>_xlfn.XLOOKUP(F28,'[1]Jan Labour Nd Drivers Hyva'!$B:$B,'[2]Jan Labour Nd Drivers Hyva'!$A:$A,"NOT FOUND")</f>
        <v>LAB-002</v>
      </c>
      <c r="J28" s="4" t="str">
        <f>IF(G28="","",_xlfn.XLOOKUP(G28,'[3]Jan Labour Nd Drivers Hyva'!$B:$B,'[2]Jan Labour Nd Drivers Hyva'!$A:$A,"NOT FOUND"))</f>
        <v/>
      </c>
      <c r="K28" s="4" t="str">
        <f>IF(H28="","",_xlfn.XLOOKUP(H28,'[2]Jan Labour Nd Drivers Hyva'!$B:$B,'[2]Jan Labour Nd Drivers Hyva'!$A:$A,"NOT FOUND"))</f>
        <v/>
      </c>
      <c r="L28" s="3" t="s">
        <v>36</v>
      </c>
      <c r="M28" s="5">
        <v>1</v>
      </c>
      <c r="N28" s="6">
        <v>35000</v>
      </c>
      <c r="O28" s="6">
        <f t="shared" si="0"/>
        <v>35000</v>
      </c>
      <c r="P28" s="6">
        <v>35000</v>
      </c>
      <c r="Q28" s="6">
        <f t="shared" si="1"/>
        <v>0</v>
      </c>
      <c r="R28" t="str">
        <f t="shared" si="6"/>
        <v>PAID</v>
      </c>
      <c r="T28">
        <f t="shared" si="7"/>
        <v>35000</v>
      </c>
      <c r="U28" t="str">
        <f t="shared" si="8"/>
        <v>OK</v>
      </c>
      <c r="V28" s="7">
        <f t="shared" si="9"/>
        <v>0</v>
      </c>
      <c r="W28" t="str">
        <f t="shared" si="10"/>
        <v>OK</v>
      </c>
      <c r="X28" t="s">
        <v>27</v>
      </c>
      <c r="Y28" t="s">
        <v>120</v>
      </c>
    </row>
    <row r="29" spans="1:25" x14ac:dyDescent="0.2">
      <c r="A29" t="str">
        <f t="shared" si="2"/>
        <v>TRIP-028</v>
      </c>
      <c r="B29" s="2">
        <v>45676</v>
      </c>
      <c r="C29" t="str">
        <f>_xlfn.XLOOKUP(D29,'[1]Jan Customer Duplicate Hyva'!$B:$B,'[1]Jan Customer Duplicate Hyva'!$A:$A,"NOT FOUND")</f>
        <v>CUST-380</v>
      </c>
      <c r="D29" s="3" t="s">
        <v>63</v>
      </c>
      <c r="E29" s="4" t="s">
        <v>25</v>
      </c>
      <c r="F29" s="4" t="str">
        <f t="shared" si="3"/>
        <v>Gaju Bhau</v>
      </c>
      <c r="G29" s="4" t="str">
        <f t="shared" si="4"/>
        <v/>
      </c>
      <c r="H29" s="4" t="str">
        <f t="shared" si="5"/>
        <v/>
      </c>
      <c r="I29" s="4" t="str">
        <f>_xlfn.XLOOKUP(F29,'[1]Jan Labour Nd Drivers Hyva'!$B:$B,'[2]Jan Labour Nd Drivers Hyva'!$A:$A,"NOT FOUND")</f>
        <v>LAB-001</v>
      </c>
      <c r="J29" s="4" t="str">
        <f>IF(G29="","",_xlfn.XLOOKUP(G29,'[3]Jan Labour Nd Drivers Hyva'!$B:$B,'[2]Jan Labour Nd Drivers Hyva'!$A:$A,"NOT FOUND"))</f>
        <v/>
      </c>
      <c r="K29" s="4" t="str">
        <f>IF(H29="","",_xlfn.XLOOKUP(H29,'[2]Jan Labour Nd Drivers Hyva'!$B:$B,'[2]Jan Labour Nd Drivers Hyva'!$A:$A,"NOT FOUND"))</f>
        <v/>
      </c>
      <c r="L29" s="3" t="s">
        <v>64</v>
      </c>
      <c r="M29" s="5">
        <v>1</v>
      </c>
      <c r="N29" s="6">
        <v>32000</v>
      </c>
      <c r="O29" s="6">
        <f t="shared" si="0"/>
        <v>32000</v>
      </c>
      <c r="P29" s="6">
        <v>32000</v>
      </c>
      <c r="Q29" s="6">
        <f t="shared" si="1"/>
        <v>0</v>
      </c>
      <c r="R29" t="str">
        <f t="shared" si="6"/>
        <v>PAID</v>
      </c>
      <c r="T29">
        <f t="shared" si="7"/>
        <v>32000</v>
      </c>
      <c r="U29" t="str">
        <f t="shared" si="8"/>
        <v>OK</v>
      </c>
      <c r="V29" s="7">
        <f t="shared" si="9"/>
        <v>0</v>
      </c>
      <c r="W29" t="str">
        <f t="shared" si="10"/>
        <v>OK</v>
      </c>
      <c r="X29" t="s">
        <v>27</v>
      </c>
      <c r="Y29" t="s">
        <v>120</v>
      </c>
    </row>
    <row r="30" spans="1:25" x14ac:dyDescent="0.2">
      <c r="A30" t="str">
        <f t="shared" si="2"/>
        <v>TRIP-029</v>
      </c>
      <c r="B30" s="2">
        <v>45678</v>
      </c>
      <c r="C30" t="str">
        <f>_xlfn.XLOOKUP(D30,'[1]Jan Customer Duplicate Hyva'!$B:$B,'[1]Jan Customer Duplicate Hyva'!$A:$A,"NOT FOUND")</f>
        <v>CUST-011</v>
      </c>
      <c r="D30" s="3" t="s">
        <v>65</v>
      </c>
      <c r="E30" s="4" t="s">
        <v>25</v>
      </c>
      <c r="F30" s="4" t="str">
        <f t="shared" si="3"/>
        <v>Gaju Bhau</v>
      </c>
      <c r="G30" s="4" t="str">
        <f t="shared" si="4"/>
        <v/>
      </c>
      <c r="H30" s="4" t="str">
        <f t="shared" si="5"/>
        <v/>
      </c>
      <c r="I30" s="4" t="str">
        <f>_xlfn.XLOOKUP(F30,'[1]Jan Labour Nd Drivers Hyva'!$B:$B,'[2]Jan Labour Nd Drivers Hyva'!$A:$A,"NOT FOUND")</f>
        <v>LAB-001</v>
      </c>
      <c r="J30" s="4" t="str">
        <f>IF(G30="","",_xlfn.XLOOKUP(G30,'[3]Jan Labour Nd Drivers Hyva'!$B:$B,'[2]Jan Labour Nd Drivers Hyva'!$A:$A,"NOT FOUND"))</f>
        <v/>
      </c>
      <c r="K30" s="4" t="str">
        <f>IF(H30="","",_xlfn.XLOOKUP(H30,'[2]Jan Labour Nd Drivers Hyva'!$B:$B,'[2]Jan Labour Nd Drivers Hyva'!$A:$A,"NOT FOUND"))</f>
        <v/>
      </c>
      <c r="L30" s="3" t="s">
        <v>30</v>
      </c>
      <c r="M30" s="5">
        <v>1</v>
      </c>
      <c r="N30" s="6">
        <v>32000</v>
      </c>
      <c r="O30" s="6">
        <f t="shared" si="0"/>
        <v>32000</v>
      </c>
      <c r="P30" s="6">
        <v>32000</v>
      </c>
      <c r="Q30" s="6">
        <f t="shared" si="1"/>
        <v>0</v>
      </c>
      <c r="R30" t="str">
        <f t="shared" si="6"/>
        <v>PAID</v>
      </c>
      <c r="T30">
        <f t="shared" si="7"/>
        <v>32000</v>
      </c>
      <c r="U30" t="str">
        <f t="shared" si="8"/>
        <v>OK</v>
      </c>
      <c r="V30" s="7">
        <f t="shared" si="9"/>
        <v>0</v>
      </c>
      <c r="W30" t="str">
        <f t="shared" si="10"/>
        <v>OK</v>
      </c>
      <c r="X30" t="s">
        <v>27</v>
      </c>
      <c r="Y30" t="s">
        <v>120</v>
      </c>
    </row>
    <row r="31" spans="1:25" x14ac:dyDescent="0.2">
      <c r="A31" t="str">
        <f t="shared" si="2"/>
        <v>TRIP-030</v>
      </c>
      <c r="B31" s="2">
        <v>45678</v>
      </c>
      <c r="C31" t="str">
        <f>_xlfn.XLOOKUP(D31,'[1]Jan Customer Duplicate Hyva'!$B:$B,'[1]Jan Customer Duplicate Hyva'!$A:$A,"NOT FOUND")</f>
        <v>CUST-207</v>
      </c>
      <c r="D31" s="3" t="s">
        <v>66</v>
      </c>
      <c r="E31" s="4" t="s">
        <v>29</v>
      </c>
      <c r="F31" s="4" t="str">
        <f t="shared" si="3"/>
        <v>Anshu</v>
      </c>
      <c r="G31" s="4" t="str">
        <f t="shared" si="4"/>
        <v/>
      </c>
      <c r="H31" s="4" t="str">
        <f t="shared" si="5"/>
        <v/>
      </c>
      <c r="I31" s="4" t="str">
        <f>_xlfn.XLOOKUP(F31,'[1]Jan Labour Nd Drivers Hyva'!$B:$B,'[2]Jan Labour Nd Drivers Hyva'!$A:$A,"NOT FOUND")</f>
        <v>LAB-002</v>
      </c>
      <c r="J31" s="4" t="str">
        <f>IF(G31="","",_xlfn.XLOOKUP(G31,'[3]Jan Labour Nd Drivers Hyva'!$B:$B,'[2]Jan Labour Nd Drivers Hyva'!$A:$A,"NOT FOUND"))</f>
        <v/>
      </c>
      <c r="K31" s="4" t="str">
        <f>IF(H31="","",_xlfn.XLOOKUP(H31,'[2]Jan Labour Nd Drivers Hyva'!$B:$B,'[2]Jan Labour Nd Drivers Hyva'!$A:$A,"NOT FOUND"))</f>
        <v/>
      </c>
      <c r="L31" s="3" t="s">
        <v>67</v>
      </c>
      <c r="M31" s="5">
        <v>1</v>
      </c>
      <c r="N31" s="6">
        <v>30000</v>
      </c>
      <c r="O31" s="6">
        <f t="shared" si="0"/>
        <v>30000</v>
      </c>
      <c r="P31" s="6">
        <v>30000</v>
      </c>
      <c r="Q31" s="6">
        <f t="shared" si="1"/>
        <v>0</v>
      </c>
      <c r="R31" t="str">
        <f t="shared" si="6"/>
        <v>PAID</v>
      </c>
      <c r="T31">
        <f t="shared" si="7"/>
        <v>30000</v>
      </c>
      <c r="U31" t="str">
        <f t="shared" si="8"/>
        <v>OK</v>
      </c>
      <c r="V31" s="7">
        <f t="shared" si="9"/>
        <v>0</v>
      </c>
      <c r="W31" t="str">
        <f t="shared" si="10"/>
        <v>OK</v>
      </c>
      <c r="X31" t="s">
        <v>27</v>
      </c>
      <c r="Y31" t="s">
        <v>120</v>
      </c>
    </row>
    <row r="32" spans="1:25" x14ac:dyDescent="0.2">
      <c r="A32" t="str">
        <f t="shared" si="2"/>
        <v>TRIP-031</v>
      </c>
      <c r="B32" s="2">
        <v>45678</v>
      </c>
      <c r="C32" t="str">
        <f>_xlfn.XLOOKUP(D32,'[1]Jan Customer Duplicate Hyva'!$B:$B,'[1]Jan Customer Duplicate Hyva'!$A:$A,"NOT FOUND")</f>
        <v>CUST-382</v>
      </c>
      <c r="D32" s="3" t="s">
        <v>54</v>
      </c>
      <c r="E32" s="4" t="s">
        <v>25</v>
      </c>
      <c r="F32" s="4" t="str">
        <f t="shared" si="3"/>
        <v>Gaju Bhau</v>
      </c>
      <c r="G32" s="4" t="str">
        <f t="shared" si="4"/>
        <v/>
      </c>
      <c r="H32" s="4" t="str">
        <f t="shared" si="5"/>
        <v/>
      </c>
      <c r="I32" s="4" t="str">
        <f>_xlfn.XLOOKUP(F32,'[1]Jan Labour Nd Drivers Hyva'!$B:$B,'[2]Jan Labour Nd Drivers Hyva'!$A:$A,"NOT FOUND")</f>
        <v>LAB-001</v>
      </c>
      <c r="J32" s="4" t="str">
        <f>IF(G32="","",_xlfn.XLOOKUP(G32,'[3]Jan Labour Nd Drivers Hyva'!$B:$B,'[2]Jan Labour Nd Drivers Hyva'!$A:$A,"NOT FOUND"))</f>
        <v/>
      </c>
      <c r="K32" s="4" t="str">
        <f>IF(H32="","",_xlfn.XLOOKUP(H32,'[2]Jan Labour Nd Drivers Hyva'!$B:$B,'[2]Jan Labour Nd Drivers Hyva'!$A:$A,"NOT FOUND"))</f>
        <v/>
      </c>
      <c r="L32" s="3" t="s">
        <v>68</v>
      </c>
      <c r="M32" s="5">
        <v>1</v>
      </c>
      <c r="N32" s="6">
        <v>33000</v>
      </c>
      <c r="O32" s="6">
        <f t="shared" si="0"/>
        <v>33000</v>
      </c>
      <c r="P32" s="6">
        <v>33000</v>
      </c>
      <c r="Q32" s="6">
        <f t="shared" si="1"/>
        <v>0</v>
      </c>
      <c r="R32" t="str">
        <f t="shared" si="6"/>
        <v>PAID</v>
      </c>
      <c r="T32">
        <f t="shared" si="7"/>
        <v>33000</v>
      </c>
      <c r="U32" t="str">
        <f t="shared" si="8"/>
        <v>OK</v>
      </c>
      <c r="V32" s="7">
        <f t="shared" si="9"/>
        <v>0</v>
      </c>
      <c r="W32" t="str">
        <f t="shared" si="10"/>
        <v>OK</v>
      </c>
      <c r="X32" t="s">
        <v>27</v>
      </c>
      <c r="Y32" t="s">
        <v>120</v>
      </c>
    </row>
    <row r="33" spans="1:25" x14ac:dyDescent="0.2">
      <c r="A33" t="str">
        <f t="shared" si="2"/>
        <v>TRIP-032</v>
      </c>
      <c r="B33" s="2">
        <v>45680</v>
      </c>
      <c r="C33" t="str">
        <f>_xlfn.XLOOKUP(D33,'[1]Jan Customer Duplicate Hyva'!$B:$B,'[1]Jan Customer Duplicate Hyva'!$A:$A,"NOT FOUND")</f>
        <v>CUST-181</v>
      </c>
      <c r="D33" s="3" t="s">
        <v>69</v>
      </c>
      <c r="E33" s="4" t="s">
        <v>25</v>
      </c>
      <c r="F33" s="4" t="str">
        <f t="shared" si="3"/>
        <v>Gaju Bhau</v>
      </c>
      <c r="G33" s="4" t="str">
        <f t="shared" si="4"/>
        <v/>
      </c>
      <c r="H33" s="4" t="str">
        <f t="shared" si="5"/>
        <v/>
      </c>
      <c r="I33" s="4" t="str">
        <f>_xlfn.XLOOKUP(F33,'[1]Jan Labour Nd Drivers Hyva'!$B:$B,'[2]Jan Labour Nd Drivers Hyva'!$A:$A,"NOT FOUND")</f>
        <v>LAB-001</v>
      </c>
      <c r="J33" s="4" t="str">
        <f>IF(G33="","",_xlfn.XLOOKUP(G33,'[3]Jan Labour Nd Drivers Hyva'!$B:$B,'[2]Jan Labour Nd Drivers Hyva'!$A:$A,"NOT FOUND"))</f>
        <v/>
      </c>
      <c r="K33" s="4" t="str">
        <f>IF(H33="","",_xlfn.XLOOKUP(H33,'[2]Jan Labour Nd Drivers Hyva'!$B:$B,'[2]Jan Labour Nd Drivers Hyva'!$A:$A,"NOT FOUND"))</f>
        <v/>
      </c>
      <c r="L33" s="3" t="s">
        <v>70</v>
      </c>
      <c r="M33" s="5">
        <v>1</v>
      </c>
      <c r="N33" s="6">
        <v>35000</v>
      </c>
      <c r="O33" s="6">
        <f t="shared" si="0"/>
        <v>35000</v>
      </c>
      <c r="P33" s="6">
        <v>35000</v>
      </c>
      <c r="Q33" s="6">
        <f t="shared" si="1"/>
        <v>0</v>
      </c>
      <c r="R33" t="str">
        <f t="shared" si="6"/>
        <v>PAID</v>
      </c>
      <c r="T33">
        <f t="shared" si="7"/>
        <v>35000</v>
      </c>
      <c r="U33" t="str">
        <f t="shared" si="8"/>
        <v>OK</v>
      </c>
      <c r="V33" s="7">
        <f t="shared" si="9"/>
        <v>0</v>
      </c>
      <c r="W33" t="str">
        <f t="shared" si="10"/>
        <v>OK</v>
      </c>
      <c r="X33" t="s">
        <v>27</v>
      </c>
      <c r="Y33" t="s">
        <v>120</v>
      </c>
    </row>
    <row r="34" spans="1:25" x14ac:dyDescent="0.2">
      <c r="A34" t="str">
        <f t="shared" si="2"/>
        <v>TRIP-033</v>
      </c>
      <c r="B34" s="2">
        <v>45681</v>
      </c>
      <c r="C34" t="str">
        <f>_xlfn.XLOOKUP(D34,'[1]Jan Customer Duplicate Hyva'!$B:$B,'[1]Jan Customer Duplicate Hyva'!$A:$A,"NOT FOUND")</f>
        <v>CUST-011</v>
      </c>
      <c r="D34" s="3" t="s">
        <v>65</v>
      </c>
      <c r="E34" s="4" t="s">
        <v>25</v>
      </c>
      <c r="F34" s="4" t="str">
        <f t="shared" si="3"/>
        <v>Gaju Bhau</v>
      </c>
      <c r="G34" s="4" t="str">
        <f t="shared" si="4"/>
        <v/>
      </c>
      <c r="H34" s="4" t="str">
        <f t="shared" si="5"/>
        <v/>
      </c>
      <c r="I34" s="4" t="str">
        <f>_xlfn.XLOOKUP(F34,'[1]Jan Labour Nd Drivers Hyva'!$B:$B,'[2]Jan Labour Nd Drivers Hyva'!$A:$A,"NOT FOUND")</f>
        <v>LAB-001</v>
      </c>
      <c r="J34" s="4" t="str">
        <f>IF(G34="","",_xlfn.XLOOKUP(G34,'[3]Jan Labour Nd Drivers Hyva'!$B:$B,'[2]Jan Labour Nd Drivers Hyva'!$A:$A,"NOT FOUND"))</f>
        <v/>
      </c>
      <c r="K34" s="4" t="str">
        <f>IF(H34="","",_xlfn.XLOOKUP(H34,'[2]Jan Labour Nd Drivers Hyva'!$B:$B,'[2]Jan Labour Nd Drivers Hyva'!$A:$A,"NOT FOUND"))</f>
        <v/>
      </c>
      <c r="L34" s="3" t="s">
        <v>30</v>
      </c>
      <c r="M34" s="5">
        <v>1</v>
      </c>
      <c r="N34" s="6">
        <v>32000</v>
      </c>
      <c r="O34" s="6">
        <f t="shared" si="0"/>
        <v>32000</v>
      </c>
      <c r="P34" s="6"/>
      <c r="Q34" s="6">
        <f t="shared" ref="Q34:Q50" si="11">O34-P34</f>
        <v>32000</v>
      </c>
      <c r="R34" t="str">
        <f t="shared" si="6"/>
        <v>UNPAID</v>
      </c>
      <c r="T34">
        <f t="shared" si="7"/>
        <v>32000</v>
      </c>
      <c r="U34" t="str">
        <f t="shared" si="8"/>
        <v>OK</v>
      </c>
      <c r="V34" s="7">
        <f t="shared" si="9"/>
        <v>32000</v>
      </c>
      <c r="W34" t="str">
        <f t="shared" si="10"/>
        <v>OK</v>
      </c>
      <c r="X34" t="s">
        <v>27</v>
      </c>
      <c r="Y34" t="s">
        <v>120</v>
      </c>
    </row>
    <row r="35" spans="1:25" x14ac:dyDescent="0.2">
      <c r="A35" t="str">
        <f t="shared" si="2"/>
        <v>TRIP-034</v>
      </c>
      <c r="B35" s="2">
        <v>45681</v>
      </c>
      <c r="C35" t="str">
        <f>_xlfn.XLOOKUP(D35,'[1]Jan Customer Duplicate Hyva'!$B:$B,'[1]Jan Customer Duplicate Hyva'!$A:$A,"NOT FOUND")</f>
        <v>NOT FOUND</v>
      </c>
      <c r="D35" s="3" t="s">
        <v>71</v>
      </c>
      <c r="E35" s="4" t="s">
        <v>25</v>
      </c>
      <c r="F35" s="4" t="str">
        <f t="shared" si="3"/>
        <v>Gaju Bhau</v>
      </c>
      <c r="G35" s="4" t="str">
        <f t="shared" si="4"/>
        <v/>
      </c>
      <c r="H35" s="4" t="str">
        <f t="shared" si="5"/>
        <v/>
      </c>
      <c r="I35" s="4" t="str">
        <f>_xlfn.XLOOKUP(F35,'[1]Jan Labour Nd Drivers Hyva'!$B:$B,'[2]Jan Labour Nd Drivers Hyva'!$A:$A,"NOT FOUND")</f>
        <v>LAB-001</v>
      </c>
      <c r="J35" s="4" t="str">
        <f>IF(G35="","",_xlfn.XLOOKUP(G35,'[3]Jan Labour Nd Drivers Hyva'!$B:$B,'[2]Jan Labour Nd Drivers Hyva'!$A:$A,"NOT FOUND"))</f>
        <v/>
      </c>
      <c r="K35" s="4" t="str">
        <f>IF(H35="","",_xlfn.XLOOKUP(H35,'[2]Jan Labour Nd Drivers Hyva'!$B:$B,'[2]Jan Labour Nd Drivers Hyva'!$A:$A,"NOT FOUND"))</f>
        <v/>
      </c>
      <c r="L35" s="3" t="s">
        <v>38</v>
      </c>
      <c r="M35" s="5">
        <v>1</v>
      </c>
      <c r="N35" s="6">
        <v>30000</v>
      </c>
      <c r="O35" s="6">
        <f t="shared" si="0"/>
        <v>30000</v>
      </c>
      <c r="P35" s="6">
        <v>30000</v>
      </c>
      <c r="Q35" s="6">
        <f t="shared" si="11"/>
        <v>0</v>
      </c>
      <c r="R35" t="str">
        <f t="shared" si="6"/>
        <v>PAID</v>
      </c>
      <c r="T35">
        <f t="shared" si="7"/>
        <v>30000</v>
      </c>
      <c r="U35" t="str">
        <f t="shared" si="8"/>
        <v>OK</v>
      </c>
      <c r="V35" s="7">
        <f t="shared" si="9"/>
        <v>0</v>
      </c>
      <c r="W35" t="str">
        <f t="shared" si="10"/>
        <v>OK</v>
      </c>
      <c r="X35" t="s">
        <v>27</v>
      </c>
      <c r="Y35" t="s">
        <v>120</v>
      </c>
    </row>
    <row r="36" spans="1:25" x14ac:dyDescent="0.2">
      <c r="A36" t="str">
        <f t="shared" si="2"/>
        <v>TRIP-035</v>
      </c>
      <c r="B36" s="2">
        <v>45681</v>
      </c>
      <c r="C36" t="str">
        <f>_xlfn.XLOOKUP(D36,'[1]Jan Customer Duplicate Hyva'!$B:$B,'[1]Jan Customer Duplicate Hyva'!$A:$A,"NOT FOUND")</f>
        <v>CUST-392</v>
      </c>
      <c r="D36" s="3" t="s">
        <v>44</v>
      </c>
      <c r="E36" s="4" t="s">
        <v>25</v>
      </c>
      <c r="F36" s="4" t="str">
        <f t="shared" si="3"/>
        <v>Gaju Bhau</v>
      </c>
      <c r="G36" s="4" t="str">
        <f t="shared" si="4"/>
        <v/>
      </c>
      <c r="H36" s="4" t="str">
        <f t="shared" si="5"/>
        <v/>
      </c>
      <c r="I36" s="4" t="str">
        <f>_xlfn.XLOOKUP(F36,'[1]Jan Labour Nd Drivers Hyva'!$B:$B,'[2]Jan Labour Nd Drivers Hyva'!$A:$A,"NOT FOUND")</f>
        <v>LAB-001</v>
      </c>
      <c r="J36" s="4" t="str">
        <f>IF(G36="","",_xlfn.XLOOKUP(G36,'[3]Jan Labour Nd Drivers Hyva'!$B:$B,'[2]Jan Labour Nd Drivers Hyva'!$A:$A,"NOT FOUND"))</f>
        <v/>
      </c>
      <c r="K36" s="4" t="str">
        <f>IF(H36="","",_xlfn.XLOOKUP(H36,'[2]Jan Labour Nd Drivers Hyva'!$B:$B,'[2]Jan Labour Nd Drivers Hyva'!$A:$A,"NOT FOUND"))</f>
        <v/>
      </c>
      <c r="L36" s="3" t="s">
        <v>45</v>
      </c>
      <c r="M36" s="5">
        <v>1</v>
      </c>
      <c r="N36" s="6">
        <v>30000</v>
      </c>
      <c r="O36" s="6">
        <f t="shared" si="0"/>
        <v>30000</v>
      </c>
      <c r="P36" s="6">
        <v>30000</v>
      </c>
      <c r="Q36" s="6">
        <f t="shared" si="11"/>
        <v>0</v>
      </c>
      <c r="R36" t="str">
        <f t="shared" si="6"/>
        <v>PAID</v>
      </c>
      <c r="T36">
        <f t="shared" si="7"/>
        <v>30000</v>
      </c>
      <c r="U36" t="str">
        <f t="shared" si="8"/>
        <v>OK</v>
      </c>
      <c r="V36" s="7">
        <f t="shared" si="9"/>
        <v>0</v>
      </c>
      <c r="W36" t="str">
        <f t="shared" si="10"/>
        <v>OK</v>
      </c>
      <c r="X36" t="s">
        <v>27</v>
      </c>
      <c r="Y36" t="s">
        <v>120</v>
      </c>
    </row>
    <row r="37" spans="1:25" x14ac:dyDescent="0.2">
      <c r="A37" t="str">
        <f t="shared" si="2"/>
        <v>TRIP-036</v>
      </c>
      <c r="B37" s="2">
        <v>45682</v>
      </c>
      <c r="C37" t="str">
        <f>_xlfn.XLOOKUP(D37,'[1]Jan Customer Duplicate Hyva'!$B:$B,'[1]Jan Customer Duplicate Hyva'!$A:$A,"NOT FOUND")</f>
        <v>CUST-011</v>
      </c>
      <c r="D37" s="3" t="s">
        <v>65</v>
      </c>
      <c r="E37" s="4" t="s">
        <v>25</v>
      </c>
      <c r="F37" s="4" t="str">
        <f t="shared" si="3"/>
        <v>Gaju Bhau</v>
      </c>
      <c r="G37" s="4" t="str">
        <f t="shared" si="4"/>
        <v/>
      </c>
      <c r="H37" s="4" t="str">
        <f t="shared" si="5"/>
        <v/>
      </c>
      <c r="I37" s="4" t="str">
        <f>_xlfn.XLOOKUP(F37,'[1]Jan Labour Nd Drivers Hyva'!$B:$B,'[2]Jan Labour Nd Drivers Hyva'!$A:$A,"NOT FOUND")</f>
        <v>LAB-001</v>
      </c>
      <c r="J37" s="4" t="str">
        <f>IF(G37="","",_xlfn.XLOOKUP(G37,'[3]Jan Labour Nd Drivers Hyva'!$B:$B,'[2]Jan Labour Nd Drivers Hyva'!$A:$A,"NOT FOUND"))</f>
        <v/>
      </c>
      <c r="K37" s="4" t="str">
        <f>IF(H37="","",_xlfn.XLOOKUP(H37,'[2]Jan Labour Nd Drivers Hyva'!$B:$B,'[2]Jan Labour Nd Drivers Hyva'!$A:$A,"NOT FOUND"))</f>
        <v/>
      </c>
      <c r="L37" s="3" t="s">
        <v>30</v>
      </c>
      <c r="M37" s="5">
        <v>1</v>
      </c>
      <c r="N37" s="6">
        <v>32000</v>
      </c>
      <c r="O37" s="6">
        <f t="shared" si="0"/>
        <v>32000</v>
      </c>
      <c r="P37" s="6">
        <v>32000</v>
      </c>
      <c r="Q37" s="6">
        <f t="shared" si="11"/>
        <v>0</v>
      </c>
      <c r="R37" t="str">
        <f t="shared" si="6"/>
        <v>PAID</v>
      </c>
      <c r="T37">
        <f t="shared" si="7"/>
        <v>32000</v>
      </c>
      <c r="U37" t="str">
        <f t="shared" si="8"/>
        <v>OK</v>
      </c>
      <c r="V37" s="7">
        <f t="shared" si="9"/>
        <v>0</v>
      </c>
      <c r="W37" t="str">
        <f t="shared" si="10"/>
        <v>OK</v>
      </c>
      <c r="X37" t="s">
        <v>27</v>
      </c>
      <c r="Y37" t="s">
        <v>120</v>
      </c>
    </row>
    <row r="38" spans="1:25" x14ac:dyDescent="0.2">
      <c r="A38" t="str">
        <f t="shared" si="2"/>
        <v>TRIP-037</v>
      </c>
      <c r="B38" s="2">
        <v>45682</v>
      </c>
      <c r="C38" t="str">
        <f>_xlfn.XLOOKUP(D38,'[1]Jan Customer Duplicate Hyva'!$B:$B,'[1]Jan Customer Duplicate Hyva'!$A:$A,"NOT FOUND")</f>
        <v>CUST-323</v>
      </c>
      <c r="D38" s="3" t="s">
        <v>33</v>
      </c>
      <c r="E38" s="4" t="s">
        <v>29</v>
      </c>
      <c r="F38" s="4" t="str">
        <f t="shared" si="3"/>
        <v>Anshu</v>
      </c>
      <c r="G38" s="4" t="str">
        <f t="shared" si="4"/>
        <v/>
      </c>
      <c r="H38" s="4" t="str">
        <f t="shared" si="5"/>
        <v/>
      </c>
      <c r="I38" s="4" t="str">
        <f>_xlfn.XLOOKUP(F38,'[1]Jan Labour Nd Drivers Hyva'!$B:$B,'[2]Jan Labour Nd Drivers Hyva'!$A:$A,"NOT FOUND")</f>
        <v>LAB-002</v>
      </c>
      <c r="J38" s="4" t="str">
        <f>IF(G38="","",_xlfn.XLOOKUP(G38,'[3]Jan Labour Nd Drivers Hyva'!$B:$B,'[2]Jan Labour Nd Drivers Hyva'!$A:$A,"NOT FOUND"))</f>
        <v/>
      </c>
      <c r="K38" s="4" t="str">
        <f>IF(H38="","",_xlfn.XLOOKUP(H38,'[2]Jan Labour Nd Drivers Hyva'!$B:$B,'[2]Jan Labour Nd Drivers Hyva'!$A:$A,"NOT FOUND"))</f>
        <v/>
      </c>
      <c r="L38" s="3" t="s">
        <v>34</v>
      </c>
      <c r="M38" s="5">
        <v>1</v>
      </c>
      <c r="N38" s="6">
        <v>35000</v>
      </c>
      <c r="O38" s="6">
        <f t="shared" si="0"/>
        <v>35000</v>
      </c>
      <c r="P38" s="6"/>
      <c r="Q38" s="6">
        <f t="shared" si="11"/>
        <v>35000</v>
      </c>
      <c r="R38" t="str">
        <f t="shared" si="6"/>
        <v>UNPAID</v>
      </c>
      <c r="T38">
        <f t="shared" si="7"/>
        <v>35000</v>
      </c>
      <c r="U38" t="str">
        <f t="shared" si="8"/>
        <v>OK</v>
      </c>
      <c r="V38" s="7">
        <f t="shared" si="9"/>
        <v>35000</v>
      </c>
      <c r="W38" t="str">
        <f t="shared" si="10"/>
        <v>OK</v>
      </c>
      <c r="X38" t="s">
        <v>27</v>
      </c>
      <c r="Y38" t="s">
        <v>120</v>
      </c>
    </row>
    <row r="39" spans="1:25" x14ac:dyDescent="0.2">
      <c r="A39" t="str">
        <f t="shared" si="2"/>
        <v>TRIP-038</v>
      </c>
      <c r="B39" s="2">
        <v>45683</v>
      </c>
      <c r="C39" t="str">
        <f>_xlfn.XLOOKUP(D39,'[1]Jan Customer Duplicate Hyva'!$B:$B,'[1]Jan Customer Duplicate Hyva'!$A:$A,"NOT FOUND")</f>
        <v>CUST-304</v>
      </c>
      <c r="D39" s="3" t="s">
        <v>72</v>
      </c>
      <c r="E39" s="4" t="s">
        <v>25</v>
      </c>
      <c r="F39" s="4" t="str">
        <f t="shared" si="3"/>
        <v>Gaju Bhau</v>
      </c>
      <c r="G39" s="4" t="str">
        <f t="shared" si="4"/>
        <v/>
      </c>
      <c r="H39" s="4" t="str">
        <f t="shared" si="5"/>
        <v/>
      </c>
      <c r="I39" s="4" t="str">
        <f>_xlfn.XLOOKUP(F39,'[1]Jan Labour Nd Drivers Hyva'!$B:$B,'[2]Jan Labour Nd Drivers Hyva'!$A:$A,"NOT FOUND")</f>
        <v>LAB-001</v>
      </c>
      <c r="J39" s="4" t="str">
        <f>IF(G39="","",_xlfn.XLOOKUP(G39,'[3]Jan Labour Nd Drivers Hyva'!$B:$B,'[2]Jan Labour Nd Drivers Hyva'!$A:$A,"NOT FOUND"))</f>
        <v/>
      </c>
      <c r="K39" s="4" t="str">
        <f>IF(H39="","",_xlfn.XLOOKUP(H39,'[2]Jan Labour Nd Drivers Hyva'!$B:$B,'[2]Jan Labour Nd Drivers Hyva'!$A:$A,"NOT FOUND"))</f>
        <v/>
      </c>
      <c r="L39" s="3" t="s">
        <v>42</v>
      </c>
      <c r="M39" s="5">
        <v>1</v>
      </c>
      <c r="N39" s="6">
        <v>33000</v>
      </c>
      <c r="O39" s="6">
        <f t="shared" si="0"/>
        <v>33000</v>
      </c>
      <c r="P39" s="6">
        <v>33000</v>
      </c>
      <c r="Q39" s="6">
        <f t="shared" si="11"/>
        <v>0</v>
      </c>
      <c r="R39" t="str">
        <f t="shared" si="6"/>
        <v>PAID</v>
      </c>
      <c r="T39">
        <f t="shared" si="7"/>
        <v>33000</v>
      </c>
      <c r="U39" t="str">
        <f t="shared" si="8"/>
        <v>OK</v>
      </c>
      <c r="V39" s="7">
        <f t="shared" si="9"/>
        <v>0</v>
      </c>
      <c r="W39" t="str">
        <f t="shared" si="10"/>
        <v>OK</v>
      </c>
      <c r="X39" t="s">
        <v>27</v>
      </c>
      <c r="Y39" t="s">
        <v>120</v>
      </c>
    </row>
    <row r="40" spans="1:25" x14ac:dyDescent="0.2">
      <c r="A40" t="str">
        <f t="shared" si="2"/>
        <v>TRIP-039</v>
      </c>
      <c r="B40" s="2">
        <v>45684</v>
      </c>
      <c r="C40" t="str">
        <f>_xlfn.XLOOKUP(D40,'[1]Jan Customer Duplicate Hyva'!$B:$B,'[1]Jan Customer Duplicate Hyva'!$A:$A,"NOT FOUND")</f>
        <v>CUST-236</v>
      </c>
      <c r="D40" s="3" t="s">
        <v>24</v>
      </c>
      <c r="E40" s="4" t="s">
        <v>29</v>
      </c>
      <c r="F40" s="4" t="str">
        <f t="shared" si="3"/>
        <v>Anshu</v>
      </c>
      <c r="G40" s="4" t="str">
        <f t="shared" si="4"/>
        <v/>
      </c>
      <c r="H40" s="4" t="str">
        <f t="shared" si="5"/>
        <v/>
      </c>
      <c r="I40" s="4" t="str">
        <f>_xlfn.XLOOKUP(F40,'[1]Jan Labour Nd Drivers Hyva'!$B:$B,'[2]Jan Labour Nd Drivers Hyva'!$A:$A,"NOT FOUND")</f>
        <v>LAB-002</v>
      </c>
      <c r="J40" s="4" t="str">
        <f>IF(G40="","",_xlfn.XLOOKUP(G40,'[3]Jan Labour Nd Drivers Hyva'!$B:$B,'[2]Jan Labour Nd Drivers Hyva'!$A:$A,"NOT FOUND"))</f>
        <v/>
      </c>
      <c r="K40" s="4" t="str">
        <f>IF(H40="","",_xlfn.XLOOKUP(H40,'[2]Jan Labour Nd Drivers Hyva'!$B:$B,'[2]Jan Labour Nd Drivers Hyva'!$A:$A,"NOT FOUND"))</f>
        <v/>
      </c>
      <c r="L40" s="3" t="s">
        <v>32</v>
      </c>
      <c r="M40" s="5">
        <v>1</v>
      </c>
      <c r="N40" s="6">
        <v>34000</v>
      </c>
      <c r="O40" s="6">
        <f t="shared" si="0"/>
        <v>34000</v>
      </c>
      <c r="P40" s="6">
        <v>34000</v>
      </c>
      <c r="Q40" s="6">
        <f t="shared" si="11"/>
        <v>0</v>
      </c>
      <c r="R40" t="str">
        <f t="shared" si="6"/>
        <v>PAID</v>
      </c>
      <c r="T40">
        <f t="shared" si="7"/>
        <v>34000</v>
      </c>
      <c r="U40" t="str">
        <f t="shared" si="8"/>
        <v>OK</v>
      </c>
      <c r="V40" s="7">
        <f t="shared" si="9"/>
        <v>0</v>
      </c>
      <c r="W40" t="str">
        <f t="shared" si="10"/>
        <v>OK</v>
      </c>
      <c r="X40" t="s">
        <v>27</v>
      </c>
      <c r="Y40" t="s">
        <v>120</v>
      </c>
    </row>
    <row r="41" spans="1:25" x14ac:dyDescent="0.2">
      <c r="A41" t="str">
        <f t="shared" si="2"/>
        <v>TRIP-040</v>
      </c>
      <c r="B41" s="2">
        <v>45685</v>
      </c>
      <c r="C41" t="str">
        <f>_xlfn.XLOOKUP(D41,'[1]Jan Customer Duplicate Hyva'!$B:$B,'[1]Jan Customer Duplicate Hyva'!$A:$A,"NOT FOUND")</f>
        <v>CUST-011</v>
      </c>
      <c r="D41" s="3" t="s">
        <v>65</v>
      </c>
      <c r="E41" s="4" t="s">
        <v>29</v>
      </c>
      <c r="F41" s="4" t="str">
        <f t="shared" si="3"/>
        <v>Anshu</v>
      </c>
      <c r="G41" s="4" t="str">
        <f t="shared" si="4"/>
        <v/>
      </c>
      <c r="H41" s="4" t="str">
        <f t="shared" si="5"/>
        <v/>
      </c>
      <c r="I41" s="4" t="str">
        <f>_xlfn.XLOOKUP(F41,'[1]Jan Labour Nd Drivers Hyva'!$B:$B,'[2]Jan Labour Nd Drivers Hyva'!$A:$A,"NOT FOUND")</f>
        <v>LAB-002</v>
      </c>
      <c r="J41" s="4" t="str">
        <f>IF(G41="","",_xlfn.XLOOKUP(G41,'[3]Jan Labour Nd Drivers Hyva'!$B:$B,'[2]Jan Labour Nd Drivers Hyva'!$A:$A,"NOT FOUND"))</f>
        <v/>
      </c>
      <c r="K41" s="4" t="str">
        <f>IF(H41="","",_xlfn.XLOOKUP(H41,'[2]Jan Labour Nd Drivers Hyva'!$B:$B,'[2]Jan Labour Nd Drivers Hyva'!$A:$A,"NOT FOUND"))</f>
        <v/>
      </c>
      <c r="L41" s="3" t="s">
        <v>73</v>
      </c>
      <c r="M41" s="5">
        <v>1</v>
      </c>
      <c r="N41" s="6">
        <v>32000</v>
      </c>
      <c r="O41" s="6">
        <f t="shared" si="0"/>
        <v>32000</v>
      </c>
      <c r="P41" s="6">
        <v>32000</v>
      </c>
      <c r="Q41" s="6">
        <f t="shared" si="11"/>
        <v>0</v>
      </c>
      <c r="R41" t="str">
        <f t="shared" si="6"/>
        <v>PAID</v>
      </c>
      <c r="T41">
        <f t="shared" si="7"/>
        <v>32000</v>
      </c>
      <c r="U41" t="str">
        <f t="shared" si="8"/>
        <v>OK</v>
      </c>
      <c r="V41" s="7">
        <f t="shared" si="9"/>
        <v>0</v>
      </c>
      <c r="W41" t="str">
        <f t="shared" si="10"/>
        <v>OK</v>
      </c>
      <c r="X41" t="s">
        <v>27</v>
      </c>
      <c r="Y41" t="s">
        <v>120</v>
      </c>
    </row>
    <row r="42" spans="1:25" x14ac:dyDescent="0.2">
      <c r="A42" t="str">
        <f t="shared" si="2"/>
        <v>TRIP-041</v>
      </c>
      <c r="B42" s="2">
        <v>45685</v>
      </c>
      <c r="C42" t="str">
        <f>_xlfn.XLOOKUP(D42,'[1]Jan Customer Duplicate Hyva'!$B:$B,'[1]Jan Customer Duplicate Hyva'!$A:$A,"NOT FOUND")</f>
        <v>CUST-012</v>
      </c>
      <c r="D42" s="3" t="s">
        <v>74</v>
      </c>
      <c r="E42" s="4" t="s">
        <v>29</v>
      </c>
      <c r="F42" s="4" t="str">
        <f t="shared" si="3"/>
        <v>Anshu</v>
      </c>
      <c r="G42" s="4" t="str">
        <f t="shared" si="4"/>
        <v/>
      </c>
      <c r="H42" s="4" t="str">
        <f t="shared" si="5"/>
        <v/>
      </c>
      <c r="I42" s="4" t="str">
        <f>_xlfn.XLOOKUP(F42,'[1]Jan Labour Nd Drivers Hyva'!$B:$B,'[2]Jan Labour Nd Drivers Hyva'!$A:$A,"NOT FOUND")</f>
        <v>LAB-002</v>
      </c>
      <c r="J42" s="4" t="str">
        <f>IF(G42="","",_xlfn.XLOOKUP(G42,'[3]Jan Labour Nd Drivers Hyva'!$B:$B,'[2]Jan Labour Nd Drivers Hyva'!$A:$A,"NOT FOUND"))</f>
        <v/>
      </c>
      <c r="K42" s="4" t="str">
        <f>IF(H42="","",_xlfn.XLOOKUP(H42,'[2]Jan Labour Nd Drivers Hyva'!$B:$B,'[2]Jan Labour Nd Drivers Hyva'!$A:$A,"NOT FOUND"))</f>
        <v/>
      </c>
      <c r="L42" s="3" t="s">
        <v>42</v>
      </c>
      <c r="M42" s="5">
        <v>1</v>
      </c>
      <c r="N42" s="6">
        <v>32000</v>
      </c>
      <c r="O42" s="6">
        <f t="shared" si="0"/>
        <v>32000</v>
      </c>
      <c r="P42" s="6">
        <v>32000</v>
      </c>
      <c r="Q42" s="6">
        <f t="shared" si="11"/>
        <v>0</v>
      </c>
      <c r="R42" t="str">
        <f t="shared" si="6"/>
        <v>PAID</v>
      </c>
      <c r="T42">
        <f t="shared" si="7"/>
        <v>32000</v>
      </c>
      <c r="U42" t="str">
        <f t="shared" si="8"/>
        <v>OK</v>
      </c>
      <c r="V42" s="7">
        <f t="shared" si="9"/>
        <v>0</v>
      </c>
      <c r="W42" t="str">
        <f t="shared" si="10"/>
        <v>OK</v>
      </c>
      <c r="X42" t="s">
        <v>27</v>
      </c>
      <c r="Y42" t="s">
        <v>120</v>
      </c>
    </row>
    <row r="43" spans="1:25" x14ac:dyDescent="0.2">
      <c r="A43" t="str">
        <f t="shared" si="2"/>
        <v>TRIP-042</v>
      </c>
      <c r="B43" s="2">
        <v>45685</v>
      </c>
      <c r="C43" t="str">
        <f>_xlfn.XLOOKUP(D43,'[1]Jan Customer Duplicate Hyva'!$B:$B,'[1]Jan Customer Duplicate Hyva'!$A:$A,"NOT FOUND")</f>
        <v>CUST-039</v>
      </c>
      <c r="D43" s="3" t="s">
        <v>75</v>
      </c>
      <c r="E43" s="4" t="s">
        <v>25</v>
      </c>
      <c r="F43" s="4" t="str">
        <f t="shared" si="3"/>
        <v>Gaju Bhau</v>
      </c>
      <c r="G43" s="4" t="str">
        <f t="shared" si="4"/>
        <v/>
      </c>
      <c r="H43" s="4" t="str">
        <f t="shared" si="5"/>
        <v/>
      </c>
      <c r="I43" s="4" t="str">
        <f>_xlfn.XLOOKUP(F43,'[1]Jan Labour Nd Drivers Hyva'!$B:$B,'[2]Jan Labour Nd Drivers Hyva'!$A:$A,"NOT FOUND")</f>
        <v>LAB-001</v>
      </c>
      <c r="J43" s="4" t="str">
        <f>IF(G43="","",_xlfn.XLOOKUP(G43,'[3]Jan Labour Nd Drivers Hyva'!$B:$B,'[2]Jan Labour Nd Drivers Hyva'!$A:$A,"NOT FOUND"))</f>
        <v/>
      </c>
      <c r="K43" s="4" t="str">
        <f>IF(H43="","",_xlfn.XLOOKUP(H43,'[2]Jan Labour Nd Drivers Hyva'!$B:$B,'[2]Jan Labour Nd Drivers Hyva'!$A:$A,"NOT FOUND"))</f>
        <v/>
      </c>
      <c r="L43" s="3" t="s">
        <v>76</v>
      </c>
      <c r="M43" s="5">
        <v>1</v>
      </c>
      <c r="N43" s="6">
        <v>32000</v>
      </c>
      <c r="O43" s="6">
        <f t="shared" si="0"/>
        <v>32000</v>
      </c>
      <c r="P43" s="6">
        <v>32000</v>
      </c>
      <c r="Q43" s="6">
        <f t="shared" si="11"/>
        <v>0</v>
      </c>
      <c r="R43" t="str">
        <f t="shared" si="6"/>
        <v>PAID</v>
      </c>
      <c r="T43">
        <f t="shared" si="7"/>
        <v>32000</v>
      </c>
      <c r="U43" t="str">
        <f t="shared" si="8"/>
        <v>OK</v>
      </c>
      <c r="V43" s="7">
        <f t="shared" si="9"/>
        <v>0</v>
      </c>
      <c r="W43" t="str">
        <f t="shared" si="10"/>
        <v>OK</v>
      </c>
      <c r="X43" t="s">
        <v>27</v>
      </c>
      <c r="Y43" t="s">
        <v>120</v>
      </c>
    </row>
    <row r="44" spans="1:25" x14ac:dyDescent="0.2">
      <c r="A44" t="str">
        <f t="shared" si="2"/>
        <v>TRIP-043</v>
      </c>
      <c r="B44" s="2">
        <v>45685</v>
      </c>
      <c r="C44" t="str">
        <f>_xlfn.XLOOKUP(D44,'[1]Jan Customer Duplicate Hyva'!$B:$B,'[1]Jan Customer Duplicate Hyva'!$A:$A,"NOT FOUND")</f>
        <v>CUST-236</v>
      </c>
      <c r="D44" s="3" t="s">
        <v>24</v>
      </c>
      <c r="E44" s="4" t="s">
        <v>25</v>
      </c>
      <c r="F44" s="4" t="str">
        <f t="shared" si="3"/>
        <v>Gaju Bhau</v>
      </c>
      <c r="G44" s="4" t="str">
        <f t="shared" si="4"/>
        <v/>
      </c>
      <c r="H44" s="4" t="str">
        <f t="shared" si="5"/>
        <v/>
      </c>
      <c r="I44" s="4" t="str">
        <f>_xlfn.XLOOKUP(F44,'[1]Jan Labour Nd Drivers Hyva'!$B:$B,'[2]Jan Labour Nd Drivers Hyva'!$A:$A,"NOT FOUND")</f>
        <v>LAB-001</v>
      </c>
      <c r="J44" s="4" t="str">
        <f>IF(G44="","",_xlfn.XLOOKUP(G44,'[3]Jan Labour Nd Drivers Hyva'!$B:$B,'[2]Jan Labour Nd Drivers Hyva'!$A:$A,"NOT FOUND"))</f>
        <v/>
      </c>
      <c r="K44" s="4" t="str">
        <f>IF(H44="","",_xlfn.XLOOKUP(H44,'[2]Jan Labour Nd Drivers Hyva'!$B:$B,'[2]Jan Labour Nd Drivers Hyva'!$A:$A,"NOT FOUND"))</f>
        <v/>
      </c>
      <c r="L44" s="3" t="s">
        <v>38</v>
      </c>
      <c r="M44" s="5">
        <v>1</v>
      </c>
      <c r="N44" s="6">
        <v>32000</v>
      </c>
      <c r="O44" s="6">
        <v>32000</v>
      </c>
      <c r="P44" s="6">
        <v>32000</v>
      </c>
      <c r="Q44" s="6">
        <f t="shared" si="11"/>
        <v>0</v>
      </c>
      <c r="R44" t="str">
        <f t="shared" si="6"/>
        <v>PAID</v>
      </c>
      <c r="T44">
        <f t="shared" si="7"/>
        <v>32000</v>
      </c>
      <c r="U44" t="str">
        <f t="shared" si="8"/>
        <v>OK</v>
      </c>
      <c r="V44" s="7">
        <f t="shared" si="9"/>
        <v>0</v>
      </c>
      <c r="W44" t="str">
        <f t="shared" si="10"/>
        <v>OK</v>
      </c>
      <c r="X44" t="s">
        <v>27</v>
      </c>
      <c r="Y44" t="s">
        <v>120</v>
      </c>
    </row>
    <row r="45" spans="1:25" x14ac:dyDescent="0.2">
      <c r="A45" t="str">
        <f t="shared" si="2"/>
        <v>TRIP-044</v>
      </c>
      <c r="B45" s="2">
        <v>45686</v>
      </c>
      <c r="C45" t="str">
        <f>_xlfn.XLOOKUP(D45,'[1]Jan Customer Duplicate Hyva'!$B:$B,'[1]Jan Customer Duplicate Hyva'!$A:$A,"NOT FOUND")</f>
        <v>CUST-255</v>
      </c>
      <c r="D45" s="3" t="s">
        <v>57</v>
      </c>
      <c r="E45" s="4" t="s">
        <v>29</v>
      </c>
      <c r="F45" s="4" t="str">
        <f t="shared" si="3"/>
        <v>Anshu</v>
      </c>
      <c r="G45" s="4" t="str">
        <f t="shared" si="4"/>
        <v/>
      </c>
      <c r="H45" s="4" t="str">
        <f t="shared" si="5"/>
        <v/>
      </c>
      <c r="I45" s="4" t="str">
        <f>_xlfn.XLOOKUP(F45,'[1]Jan Labour Nd Drivers Hyva'!$B:$B,'[2]Jan Labour Nd Drivers Hyva'!$A:$A,"NOT FOUND")</f>
        <v>LAB-002</v>
      </c>
      <c r="J45" s="4" t="str">
        <f>IF(G45="","",_xlfn.XLOOKUP(G45,'[3]Jan Labour Nd Drivers Hyva'!$B:$B,'[2]Jan Labour Nd Drivers Hyva'!$A:$A,"NOT FOUND"))</f>
        <v/>
      </c>
      <c r="K45" s="4" t="str">
        <f>IF(H45="","",_xlfn.XLOOKUP(H45,'[2]Jan Labour Nd Drivers Hyva'!$B:$B,'[2]Jan Labour Nd Drivers Hyva'!$A:$A,"NOT FOUND"))</f>
        <v/>
      </c>
      <c r="L45" s="3" t="s">
        <v>58</v>
      </c>
      <c r="M45" s="5">
        <v>1</v>
      </c>
      <c r="N45" s="6">
        <v>40000</v>
      </c>
      <c r="O45" s="6">
        <f t="shared" ref="O45:O50" si="12">N45*M45</f>
        <v>40000</v>
      </c>
      <c r="P45" s="6">
        <v>40000</v>
      </c>
      <c r="Q45" s="6">
        <f t="shared" si="11"/>
        <v>0</v>
      </c>
      <c r="R45" t="str">
        <f t="shared" si="6"/>
        <v>PAID</v>
      </c>
      <c r="T45">
        <f t="shared" si="7"/>
        <v>40000</v>
      </c>
      <c r="U45" t="str">
        <f t="shared" si="8"/>
        <v>OK</v>
      </c>
      <c r="V45" s="7">
        <f t="shared" si="9"/>
        <v>0</v>
      </c>
      <c r="W45" t="str">
        <f t="shared" si="10"/>
        <v>OK</v>
      </c>
      <c r="X45" t="s">
        <v>27</v>
      </c>
      <c r="Y45" t="s">
        <v>120</v>
      </c>
    </row>
    <row r="46" spans="1:25" x14ac:dyDescent="0.2">
      <c r="A46" t="str">
        <f t="shared" si="2"/>
        <v>TRIP-045</v>
      </c>
      <c r="B46" s="2">
        <v>45687</v>
      </c>
      <c r="C46" t="str">
        <f>_xlfn.XLOOKUP(D46,'[1]Jan Customer Duplicate Hyva'!$B:$B,'[1]Jan Customer Duplicate Hyva'!$A:$A,"NOT FOUND")</f>
        <v>NOT FOUND</v>
      </c>
      <c r="D46" s="3" t="s">
        <v>77</v>
      </c>
      <c r="E46" s="4" t="s">
        <v>78</v>
      </c>
      <c r="F46" s="4" t="str">
        <f t="shared" si="3"/>
        <v>Ravi</v>
      </c>
      <c r="G46" s="4" t="str">
        <f t="shared" si="4"/>
        <v/>
      </c>
      <c r="H46" s="4" t="str">
        <f t="shared" si="5"/>
        <v/>
      </c>
      <c r="I46" s="4" t="str">
        <f>_xlfn.XLOOKUP(F46,'[1]Jan Labour Nd Drivers Hyva'!$B:$B,'[2]Jan Labour Nd Drivers Hyva'!$A:$A,"NOT FOUND")</f>
        <v>LAB-003</v>
      </c>
      <c r="J46" s="4" t="str">
        <f>IF(G46="","",_xlfn.XLOOKUP(G46,'[3]Jan Labour Nd Drivers Hyva'!$B:$B,'[2]Jan Labour Nd Drivers Hyva'!$A:$A,"NOT FOUND"))</f>
        <v/>
      </c>
      <c r="K46" s="4" t="str">
        <f>IF(H46="","",_xlfn.XLOOKUP(H46,'[2]Jan Labour Nd Drivers Hyva'!$B:$B,'[2]Jan Labour Nd Drivers Hyva'!$A:$A,"NOT FOUND"))</f>
        <v/>
      </c>
      <c r="L46" s="3" t="s">
        <v>38</v>
      </c>
      <c r="M46" s="5">
        <v>1</v>
      </c>
      <c r="N46" s="6">
        <v>33000</v>
      </c>
      <c r="O46" s="6">
        <f t="shared" si="12"/>
        <v>33000</v>
      </c>
      <c r="P46" s="6">
        <v>33000</v>
      </c>
      <c r="Q46" s="6">
        <f t="shared" si="11"/>
        <v>0</v>
      </c>
      <c r="R46" t="str">
        <f t="shared" si="6"/>
        <v>PAID</v>
      </c>
      <c r="T46">
        <f t="shared" si="7"/>
        <v>33000</v>
      </c>
      <c r="U46" t="str">
        <f t="shared" si="8"/>
        <v>OK</v>
      </c>
      <c r="V46" s="7">
        <f t="shared" si="9"/>
        <v>0</v>
      </c>
      <c r="W46" t="str">
        <f t="shared" si="10"/>
        <v>OK</v>
      </c>
      <c r="X46" t="s">
        <v>27</v>
      </c>
      <c r="Y46" t="s">
        <v>120</v>
      </c>
    </row>
    <row r="47" spans="1:25" x14ac:dyDescent="0.2">
      <c r="A47" t="str">
        <f t="shared" si="2"/>
        <v>TRIP-046</v>
      </c>
      <c r="B47" s="2">
        <v>45687</v>
      </c>
      <c r="C47" t="str">
        <f>_xlfn.XLOOKUP(D47,'[1]Jan Customer Duplicate Hyva'!$B:$B,'[1]Jan Customer Duplicate Hyva'!$A:$A,"NOT FOUND")</f>
        <v>CUST-207</v>
      </c>
      <c r="D47" s="3" t="s">
        <v>66</v>
      </c>
      <c r="E47" s="4" t="s">
        <v>79</v>
      </c>
      <c r="F47" s="4" t="str">
        <f t="shared" si="3"/>
        <v>Anshu</v>
      </c>
      <c r="G47" s="4" t="str">
        <f t="shared" si="4"/>
        <v>Ravi</v>
      </c>
      <c r="H47" s="4" t="str">
        <f t="shared" si="5"/>
        <v/>
      </c>
      <c r="I47" s="4" t="str">
        <f>_xlfn.XLOOKUP(F47,'[1]Jan Labour Nd Drivers Hyva'!$B:$B,'[2]Jan Labour Nd Drivers Hyva'!$A:$A,"NOT FOUND")</f>
        <v>LAB-002</v>
      </c>
      <c r="J47" s="4" t="str">
        <f>IF(G47="","",_xlfn.XLOOKUP(G47,'[3]Jan Labour Nd Drivers Hyva'!$B:$B,'[2]Jan Labour Nd Drivers Hyva'!$A:$A,"NOT FOUND"))</f>
        <v>LAB-003</v>
      </c>
      <c r="K47" s="4" t="str">
        <f>IF(H47="","",_xlfn.XLOOKUP(H47,'[2]Jan Labour Nd Drivers Hyva'!$B:$B,'[2]Jan Labour Nd Drivers Hyva'!$A:$A,"NOT FOUND"))</f>
        <v/>
      </c>
      <c r="L47" s="3" t="s">
        <v>80</v>
      </c>
      <c r="M47" s="5">
        <v>2</v>
      </c>
      <c r="N47" s="6">
        <v>31000</v>
      </c>
      <c r="O47" s="6">
        <f t="shared" si="12"/>
        <v>62000</v>
      </c>
      <c r="P47" s="6">
        <v>62000</v>
      </c>
      <c r="Q47" s="6">
        <f t="shared" si="11"/>
        <v>0</v>
      </c>
      <c r="R47" t="str">
        <f t="shared" si="6"/>
        <v>PAID</v>
      </c>
      <c r="T47">
        <f t="shared" si="7"/>
        <v>62000</v>
      </c>
      <c r="U47" t="str">
        <f t="shared" si="8"/>
        <v>OK</v>
      </c>
      <c r="V47" s="7">
        <f t="shared" si="9"/>
        <v>0</v>
      </c>
      <c r="W47" t="str">
        <f t="shared" si="10"/>
        <v>OK</v>
      </c>
      <c r="X47" t="s">
        <v>27</v>
      </c>
      <c r="Y47" t="s">
        <v>120</v>
      </c>
    </row>
    <row r="48" spans="1:25" x14ac:dyDescent="0.2">
      <c r="A48" t="str">
        <f t="shared" si="2"/>
        <v>TRIP-047</v>
      </c>
      <c r="B48" s="2">
        <v>45687</v>
      </c>
      <c r="C48" t="str">
        <f>_xlfn.XLOOKUP(D48,'[1]Jan Customer Duplicate Hyva'!$B:$B,'[1]Jan Customer Duplicate Hyva'!$A:$A,"NOT FOUND")</f>
        <v>CUST-386</v>
      </c>
      <c r="D48" s="3" t="s">
        <v>81</v>
      </c>
      <c r="E48" s="4" t="s">
        <v>29</v>
      </c>
      <c r="F48" s="4" t="str">
        <f t="shared" si="3"/>
        <v>Anshu</v>
      </c>
      <c r="G48" s="4" t="str">
        <f t="shared" si="4"/>
        <v/>
      </c>
      <c r="H48" s="4" t="str">
        <f t="shared" si="5"/>
        <v/>
      </c>
      <c r="I48" s="4" t="str">
        <f>_xlfn.XLOOKUP(F48,'[1]Jan Labour Nd Drivers Hyva'!$B:$B,'[2]Jan Labour Nd Drivers Hyva'!$A:$A,"NOT FOUND")</f>
        <v>LAB-002</v>
      </c>
      <c r="J48" s="4" t="str">
        <f>IF(G48="","",_xlfn.XLOOKUP(G48,'[3]Jan Labour Nd Drivers Hyva'!$B:$B,'[2]Jan Labour Nd Drivers Hyva'!$A:$A,"NOT FOUND"))</f>
        <v/>
      </c>
      <c r="K48" s="4" t="str">
        <f>IF(H48="","",_xlfn.XLOOKUP(H48,'[2]Jan Labour Nd Drivers Hyva'!$B:$B,'[2]Jan Labour Nd Drivers Hyva'!$A:$A,"NOT FOUND"))</f>
        <v/>
      </c>
      <c r="L48" s="3" t="s">
        <v>42</v>
      </c>
      <c r="M48" s="5">
        <v>1</v>
      </c>
      <c r="N48" s="6">
        <v>30000</v>
      </c>
      <c r="O48" s="6">
        <f t="shared" si="12"/>
        <v>30000</v>
      </c>
      <c r="P48" s="6">
        <v>30000</v>
      </c>
      <c r="Q48" s="6">
        <f t="shared" si="11"/>
        <v>0</v>
      </c>
      <c r="R48" t="str">
        <f t="shared" si="6"/>
        <v>PAID</v>
      </c>
      <c r="T48">
        <f t="shared" si="7"/>
        <v>30000</v>
      </c>
      <c r="U48" t="str">
        <f t="shared" si="8"/>
        <v>OK</v>
      </c>
      <c r="V48" s="7">
        <f t="shared" si="9"/>
        <v>0</v>
      </c>
      <c r="W48" t="str">
        <f t="shared" si="10"/>
        <v>OK</v>
      </c>
      <c r="X48" t="s">
        <v>27</v>
      </c>
      <c r="Y48" t="s">
        <v>120</v>
      </c>
    </row>
    <row r="49" spans="1:25" x14ac:dyDescent="0.2">
      <c r="A49" t="str">
        <f t="shared" si="2"/>
        <v>TRIP-048</v>
      </c>
      <c r="B49" s="2">
        <v>45688</v>
      </c>
      <c r="C49" t="str">
        <f>_xlfn.XLOOKUP(D49,'[1]Jan Customer Duplicate Hyva'!$B:$B,'[1]Jan Customer Duplicate Hyva'!$A:$A,"NOT FOUND")</f>
        <v>CUST-172</v>
      </c>
      <c r="D49" s="3" t="s">
        <v>98</v>
      </c>
      <c r="E49" s="4" t="s">
        <v>82</v>
      </c>
      <c r="F49" s="4" t="str">
        <f t="shared" si="3"/>
        <v>Anshu</v>
      </c>
      <c r="G49" s="4" t="str">
        <f t="shared" si="4"/>
        <v/>
      </c>
      <c r="H49" s="4" t="str">
        <f t="shared" si="5"/>
        <v/>
      </c>
      <c r="I49" s="4" t="str">
        <f>_xlfn.XLOOKUP(F49,'[1]Jan Labour Nd Drivers Hyva'!$B:$B,'[2]Jan Labour Nd Drivers Hyva'!$A:$A,"NOT FOUND")</f>
        <v>LAB-002</v>
      </c>
      <c r="J49" s="4" t="str">
        <f>IF(G49="","",_xlfn.XLOOKUP(G49,'[3]Jan Labour Nd Drivers Hyva'!$B:$B,'[2]Jan Labour Nd Drivers Hyva'!$A:$A,"NOT FOUND"))</f>
        <v/>
      </c>
      <c r="K49" s="4" t="str">
        <f>IF(H49="","",_xlfn.XLOOKUP(H49,'[2]Jan Labour Nd Drivers Hyva'!$B:$B,'[2]Jan Labour Nd Drivers Hyva'!$A:$A,"NOT FOUND"))</f>
        <v/>
      </c>
      <c r="L49" s="3" t="s">
        <v>46</v>
      </c>
      <c r="M49" s="5">
        <v>2</v>
      </c>
      <c r="N49" s="6">
        <v>32000</v>
      </c>
      <c r="O49" s="6">
        <f t="shared" si="12"/>
        <v>64000</v>
      </c>
      <c r="P49" s="6">
        <v>64000</v>
      </c>
      <c r="Q49" s="6">
        <f t="shared" si="11"/>
        <v>0</v>
      </c>
      <c r="R49" t="str">
        <f t="shared" si="6"/>
        <v>PAID</v>
      </c>
      <c r="T49">
        <f t="shared" si="7"/>
        <v>64000</v>
      </c>
      <c r="U49" t="str">
        <f t="shared" si="8"/>
        <v>OK</v>
      </c>
      <c r="V49" s="7">
        <f t="shared" si="9"/>
        <v>0</v>
      </c>
      <c r="W49" t="str">
        <f t="shared" si="10"/>
        <v>OK</v>
      </c>
      <c r="X49" t="s">
        <v>27</v>
      </c>
      <c r="Y49" t="s">
        <v>120</v>
      </c>
    </row>
    <row r="50" spans="1:25" x14ac:dyDescent="0.2">
      <c r="A50" t="str">
        <f t="shared" si="2"/>
        <v>TRIP-049</v>
      </c>
      <c r="B50" s="2">
        <v>45688</v>
      </c>
      <c r="C50" t="str">
        <f>_xlfn.XLOOKUP(D50,'[1]Jan Customer Duplicate Hyva'!$B:$B,'[1]Jan Customer Duplicate Hyva'!$A:$A,"NOT FOUND")</f>
        <v>CUST-207</v>
      </c>
      <c r="D50" s="3" t="s">
        <v>66</v>
      </c>
      <c r="E50" s="4" t="s">
        <v>78</v>
      </c>
      <c r="F50" s="4" t="str">
        <f t="shared" si="3"/>
        <v>Ravi</v>
      </c>
      <c r="G50" s="4" t="str">
        <f t="shared" si="4"/>
        <v/>
      </c>
      <c r="H50" s="4" t="str">
        <f t="shared" si="5"/>
        <v/>
      </c>
      <c r="I50" s="4" t="str">
        <f>_xlfn.XLOOKUP(F50,'[1]Jan Labour Nd Drivers Hyva'!$B:$B,'[2]Jan Labour Nd Drivers Hyva'!$A:$A,"NOT FOUND")</f>
        <v>LAB-003</v>
      </c>
      <c r="J50" s="4" t="str">
        <f>IF(G50="","",_xlfn.XLOOKUP(G50,'[3]Jan Labour Nd Drivers Hyva'!$B:$B,'[2]Jan Labour Nd Drivers Hyva'!$A:$A,"NOT FOUND"))</f>
        <v/>
      </c>
      <c r="K50" s="4" t="str">
        <f>IF(H50="","",_xlfn.XLOOKUP(H50,'[2]Jan Labour Nd Drivers Hyva'!$B:$B,'[2]Jan Labour Nd Drivers Hyva'!$A:$A,"NOT FOUND"))</f>
        <v/>
      </c>
      <c r="L50" s="3" t="s">
        <v>80</v>
      </c>
      <c r="M50" s="5">
        <v>2</v>
      </c>
      <c r="N50" s="6">
        <v>31000</v>
      </c>
      <c r="O50" s="6">
        <f t="shared" si="12"/>
        <v>62000</v>
      </c>
      <c r="P50" s="6">
        <v>62000</v>
      </c>
      <c r="Q50" s="6">
        <f t="shared" si="11"/>
        <v>0</v>
      </c>
      <c r="R50" t="str">
        <f t="shared" si="6"/>
        <v>PAID</v>
      </c>
      <c r="T50">
        <f t="shared" si="7"/>
        <v>62000</v>
      </c>
      <c r="U50" t="str">
        <f t="shared" si="8"/>
        <v>OK</v>
      </c>
      <c r="V50" s="7">
        <f t="shared" si="9"/>
        <v>0</v>
      </c>
      <c r="W50" t="str">
        <f t="shared" si="10"/>
        <v>OK</v>
      </c>
      <c r="X50" t="s">
        <v>27</v>
      </c>
      <c r="Y50" t="s">
        <v>120</v>
      </c>
    </row>
  </sheetData>
  <autoFilter ref="D1:D50" xr:uid="{8CC2A617-4299-CD44-B9CA-32E15BB2E25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7E881-D8DC-E548-BE9E-D96BF9DD2A6A}">
  <dimension ref="A1:X50"/>
  <sheetViews>
    <sheetView zoomScale="141" zoomScaleNormal="95" workbookViewId="0">
      <selection activeCell="A2" sqref="A2:W43"/>
    </sheetView>
  </sheetViews>
  <sheetFormatPr baseColWidth="10" defaultRowHeight="16" x14ac:dyDescent="0.2"/>
  <cols>
    <col min="1" max="1" width="12.1640625" bestFit="1" customWidth="1"/>
    <col min="2" max="2" width="32" bestFit="1" customWidth="1"/>
    <col min="3" max="3" width="14.1640625" bestFit="1" customWidth="1"/>
    <col min="4" max="4" width="23.5" customWidth="1"/>
    <col min="5" max="5" width="17.83203125" customWidth="1"/>
    <col min="12" max="12" width="24.1640625" bestFit="1" customWidth="1"/>
    <col min="13" max="13" width="11" bestFit="1" customWidth="1"/>
    <col min="14" max="14" width="14.6640625" customWidth="1"/>
    <col min="15" max="15" width="17.1640625" customWidth="1"/>
    <col min="16" max="16" width="17.33203125" customWidth="1"/>
    <col min="17" max="17" width="18.83203125" customWidth="1"/>
    <col min="18" max="18" width="14.66406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9" x14ac:dyDescent="0.25">
      <c r="A2" t="str">
        <f>"TRIP-HR-"&amp;TEXT(ROW()-1,"000")</f>
        <v>TRIP-HR-001</v>
      </c>
      <c r="B2" s="9">
        <v>45660</v>
      </c>
      <c r="C2" t="str">
        <f>_xlfn.XLOOKUP(D2,'[1]Jan Customer Duplicate Hyva'!$B:$B,'[1]Jan Customer Duplicate Hyva'!$A:$A,"NOT FOUND")</f>
        <v>CUST-207</v>
      </c>
      <c r="D2" s="10" t="s">
        <v>66</v>
      </c>
      <c r="E2" s="10" t="s">
        <v>78</v>
      </c>
      <c r="F2" s="4" t="str">
        <f>TRIM(_xlfn.TEXTBEFORE(E2&amp;" / "," / "))</f>
        <v>Ravi</v>
      </c>
      <c r="I2" s="4" t="str">
        <f>_xlfn.XLOOKUP(F2,'[1]Jan Labour Nd Drivers Hyva'!$B:$B,'[2]Jan Labour Nd Drivers Hyva'!$A:$A,"NOT FOUND")</f>
        <v>LAB-003</v>
      </c>
      <c r="L2" s="10" t="s">
        <v>99</v>
      </c>
      <c r="M2" s="11">
        <v>1</v>
      </c>
      <c r="N2" s="12">
        <v>4000</v>
      </c>
      <c r="O2" s="12">
        <f>N2*M2</f>
        <v>4000</v>
      </c>
      <c r="P2" s="12">
        <v>4000</v>
      </c>
      <c r="Q2" s="12">
        <f>O2-P2</f>
        <v>0</v>
      </c>
      <c r="R2" t="str">
        <f>IF(Q2=0,"PAID",IF(P2=0,"UNPAID","PARTIAL"))</f>
        <v>PAID</v>
      </c>
      <c r="T2">
        <f>M2*N2</f>
        <v>4000</v>
      </c>
      <c r="U2" t="str">
        <f>IF(ROUND(T2,2)=ROUND(O2,2),"OK","CHECK")</f>
        <v>OK</v>
      </c>
      <c r="V2" s="7">
        <f>O2-P2</f>
        <v>0</v>
      </c>
      <c r="W2" t="str">
        <f>IF(ROUND(V2,2)=ROUND(Q2,2),"OK","CHECK")</f>
        <v>OK</v>
      </c>
      <c r="X2" t="s">
        <v>121</v>
      </c>
    </row>
    <row r="3" spans="1:24" ht="19" x14ac:dyDescent="0.25">
      <c r="A3" t="str">
        <f t="shared" ref="A3:A43" si="0">"TRIP-HR-"&amp;TEXT(ROW()-1,"000")</f>
        <v>TRIP-HR-002</v>
      </c>
      <c r="B3" s="9">
        <v>45666</v>
      </c>
      <c r="C3" t="str">
        <f>_xlfn.XLOOKUP(D3,'[1]Jan Customer Duplicate Hyva'!$B:$B,'[1]Jan Customer Duplicate Hyva'!$A:$A,"NOT FOUND")</f>
        <v>CUST-005</v>
      </c>
      <c r="D3" s="10" t="s">
        <v>100</v>
      </c>
      <c r="E3" s="10" t="s">
        <v>25</v>
      </c>
      <c r="F3" s="4" t="str">
        <f t="shared" ref="F3:F50" si="1">TRIM(_xlfn.TEXTBEFORE(E3&amp;" / "," / "))</f>
        <v>Gaju Bhau</v>
      </c>
      <c r="I3" s="4" t="str">
        <f>_xlfn.XLOOKUP(F3,'[1]Jan Labour Nd Drivers Hyva'!$B:$B,'[2]Jan Labour Nd Drivers Hyva'!$A:$A,"NOT FOUND")</f>
        <v>LAB-001</v>
      </c>
      <c r="L3" s="10" t="s">
        <v>101</v>
      </c>
      <c r="M3" s="11">
        <v>6</v>
      </c>
      <c r="N3" s="12">
        <v>2800</v>
      </c>
      <c r="O3" s="12">
        <f t="shared" ref="O3:O43" si="2">N3*M3</f>
        <v>16800</v>
      </c>
      <c r="P3" s="12">
        <v>16800</v>
      </c>
      <c r="Q3" s="12">
        <f t="shared" ref="Q3:Q43" si="3">O3-P3</f>
        <v>0</v>
      </c>
      <c r="R3" t="str">
        <f t="shared" ref="R3:R43" si="4">IF(Q3=0,"PAID",IF(P3=0,"UNPAID","PARTIAL"))</f>
        <v>PAID</v>
      </c>
      <c r="T3">
        <f t="shared" ref="T3:T43" si="5">M3*N3</f>
        <v>16800</v>
      </c>
      <c r="U3" t="str">
        <f t="shared" ref="U3:U43" si="6">IF(ROUND(T3,2)=ROUND(O3,2),"OK","CHECK")</f>
        <v>OK</v>
      </c>
      <c r="V3" s="7">
        <f t="shared" ref="V3:V43" si="7">O3-P3</f>
        <v>0</v>
      </c>
      <c r="W3" t="str">
        <f t="shared" ref="W3:W43" si="8">IF(ROUND(V3,2)=ROUND(Q3,2),"OK","CHECK")</f>
        <v>OK</v>
      </c>
      <c r="X3" t="s">
        <v>121</v>
      </c>
    </row>
    <row r="4" spans="1:24" ht="19" x14ac:dyDescent="0.25">
      <c r="A4" t="str">
        <f t="shared" si="0"/>
        <v>TRIP-HR-003</v>
      </c>
      <c r="B4" s="9">
        <v>45666</v>
      </c>
      <c r="C4" t="str">
        <f>_xlfn.XLOOKUP(D4,'[1]Jan Customer Duplicate Hyva'!$B:$B,'[1]Jan Customer Duplicate Hyva'!$A:$A,"NOT FOUND")</f>
        <v>CUST-005</v>
      </c>
      <c r="D4" s="10" t="s">
        <v>100</v>
      </c>
      <c r="E4" s="10" t="s">
        <v>29</v>
      </c>
      <c r="F4" s="4" t="str">
        <f t="shared" si="1"/>
        <v>Anshu</v>
      </c>
      <c r="I4" s="4" t="str">
        <f>_xlfn.XLOOKUP(F4,'[1]Jan Labour Nd Drivers Hyva'!$B:$B,'[2]Jan Labour Nd Drivers Hyva'!$A:$A,"NOT FOUND")</f>
        <v>LAB-002</v>
      </c>
      <c r="L4" s="10" t="s">
        <v>101</v>
      </c>
      <c r="M4" s="11">
        <v>6</v>
      </c>
      <c r="N4" s="12">
        <v>2800</v>
      </c>
      <c r="O4" s="12">
        <f t="shared" si="2"/>
        <v>16800</v>
      </c>
      <c r="P4" s="12">
        <v>16800</v>
      </c>
      <c r="Q4" s="12">
        <f t="shared" si="3"/>
        <v>0</v>
      </c>
      <c r="R4" t="str">
        <f t="shared" si="4"/>
        <v>PAID</v>
      </c>
      <c r="T4">
        <f t="shared" si="5"/>
        <v>16800</v>
      </c>
      <c r="U4" t="str">
        <f t="shared" si="6"/>
        <v>OK</v>
      </c>
      <c r="V4" s="7">
        <f t="shared" si="7"/>
        <v>0</v>
      </c>
      <c r="W4" t="str">
        <f t="shared" si="8"/>
        <v>OK</v>
      </c>
      <c r="X4" t="s">
        <v>121</v>
      </c>
    </row>
    <row r="5" spans="1:24" ht="19" x14ac:dyDescent="0.25">
      <c r="A5" t="str">
        <f t="shared" si="0"/>
        <v>TRIP-HR-004</v>
      </c>
      <c r="B5" s="9">
        <v>45666</v>
      </c>
      <c r="C5" t="str">
        <f>_xlfn.XLOOKUP(D5,'[1]Jan Customer Duplicate Hyva'!$B:$B,'[1]Jan Customer Duplicate Hyva'!$A:$A,"NOT FOUND")</f>
        <v>CUST-075</v>
      </c>
      <c r="D5" s="10" t="s">
        <v>28</v>
      </c>
      <c r="E5" s="10" t="s">
        <v>29</v>
      </c>
      <c r="F5" s="4" t="str">
        <f t="shared" si="1"/>
        <v>Anshu</v>
      </c>
      <c r="I5" s="4" t="str">
        <f>_xlfn.XLOOKUP(F5,'[1]Jan Labour Nd Drivers Hyva'!$B:$B,'[2]Jan Labour Nd Drivers Hyva'!$A:$A,"NOT FOUND")</f>
        <v>LAB-002</v>
      </c>
      <c r="L5" s="10" t="s">
        <v>73</v>
      </c>
      <c r="M5" s="11">
        <v>2</v>
      </c>
      <c r="N5" s="12">
        <v>2700</v>
      </c>
      <c r="O5" s="12">
        <f t="shared" si="2"/>
        <v>5400</v>
      </c>
      <c r="P5" s="12">
        <v>5400</v>
      </c>
      <c r="Q5" s="12">
        <f t="shared" si="3"/>
        <v>0</v>
      </c>
      <c r="R5" t="str">
        <f t="shared" si="4"/>
        <v>PAID</v>
      </c>
      <c r="T5">
        <f t="shared" si="5"/>
        <v>5400</v>
      </c>
      <c r="U5" t="str">
        <f t="shared" si="6"/>
        <v>OK</v>
      </c>
      <c r="V5" s="7">
        <f t="shared" si="7"/>
        <v>0</v>
      </c>
      <c r="W5" t="str">
        <f t="shared" si="8"/>
        <v>OK</v>
      </c>
      <c r="X5" t="s">
        <v>121</v>
      </c>
    </row>
    <row r="6" spans="1:24" ht="19" x14ac:dyDescent="0.25">
      <c r="A6" t="str">
        <f t="shared" si="0"/>
        <v>TRIP-HR-005</v>
      </c>
      <c r="B6" s="9">
        <v>45667</v>
      </c>
      <c r="C6" t="str">
        <f>_xlfn.XLOOKUP(D6,'[1]Jan Customer Duplicate Hyva'!$B:$B,'[1]Jan Customer Duplicate Hyva'!$A:$A,"NOT FOUND")</f>
        <v>CUST-005</v>
      </c>
      <c r="D6" s="10" t="s">
        <v>100</v>
      </c>
      <c r="E6" s="10" t="s">
        <v>29</v>
      </c>
      <c r="F6" s="4" t="str">
        <f t="shared" si="1"/>
        <v>Anshu</v>
      </c>
      <c r="I6" s="4" t="str">
        <f>_xlfn.XLOOKUP(F6,'[1]Jan Labour Nd Drivers Hyva'!$B:$B,'[2]Jan Labour Nd Drivers Hyva'!$A:$A,"NOT FOUND")</f>
        <v>LAB-002</v>
      </c>
      <c r="L6" s="10" t="s">
        <v>101</v>
      </c>
      <c r="M6" s="11">
        <v>4</v>
      </c>
      <c r="N6" s="12">
        <v>2800</v>
      </c>
      <c r="O6" s="12">
        <f t="shared" si="2"/>
        <v>11200</v>
      </c>
      <c r="P6" s="12">
        <v>11200</v>
      </c>
      <c r="Q6" s="12">
        <f t="shared" si="3"/>
        <v>0</v>
      </c>
      <c r="R6" t="str">
        <f t="shared" si="4"/>
        <v>PAID</v>
      </c>
      <c r="T6">
        <f t="shared" si="5"/>
        <v>11200</v>
      </c>
      <c r="U6" t="str">
        <f t="shared" si="6"/>
        <v>OK</v>
      </c>
      <c r="V6" s="7">
        <f t="shared" si="7"/>
        <v>0</v>
      </c>
      <c r="W6" t="str">
        <f t="shared" si="8"/>
        <v>OK</v>
      </c>
      <c r="X6" t="s">
        <v>121</v>
      </c>
    </row>
    <row r="7" spans="1:24" ht="19" x14ac:dyDescent="0.25">
      <c r="A7" t="str">
        <f t="shared" si="0"/>
        <v>TRIP-HR-006</v>
      </c>
      <c r="B7" s="9">
        <v>45667</v>
      </c>
      <c r="C7" t="str">
        <f>_xlfn.XLOOKUP(D7,'[1]Jan Customer Duplicate Hyva'!$B:$B,'[1]Jan Customer Duplicate Hyva'!$A:$A,"NOT FOUND")</f>
        <v>CUST-005</v>
      </c>
      <c r="D7" s="10" t="s">
        <v>100</v>
      </c>
      <c r="E7" s="10" t="s">
        <v>25</v>
      </c>
      <c r="F7" s="4" t="str">
        <f t="shared" si="1"/>
        <v>Gaju Bhau</v>
      </c>
      <c r="I7" s="4" t="str">
        <f>_xlfn.XLOOKUP(F7,'[1]Jan Labour Nd Drivers Hyva'!$B:$B,'[2]Jan Labour Nd Drivers Hyva'!$A:$A,"NOT FOUND")</f>
        <v>LAB-001</v>
      </c>
      <c r="L7" s="10" t="s">
        <v>101</v>
      </c>
      <c r="M7" s="11">
        <v>4</v>
      </c>
      <c r="N7" s="12">
        <v>2800</v>
      </c>
      <c r="O7" s="12">
        <f t="shared" si="2"/>
        <v>11200</v>
      </c>
      <c r="P7" s="12">
        <v>11200</v>
      </c>
      <c r="Q7" s="12">
        <f t="shared" si="3"/>
        <v>0</v>
      </c>
      <c r="R7" t="str">
        <f t="shared" si="4"/>
        <v>PAID</v>
      </c>
      <c r="T7">
        <f t="shared" si="5"/>
        <v>11200</v>
      </c>
      <c r="U7" t="str">
        <f t="shared" si="6"/>
        <v>OK</v>
      </c>
      <c r="V7" s="7">
        <f t="shared" si="7"/>
        <v>0</v>
      </c>
      <c r="W7" t="str">
        <f t="shared" si="8"/>
        <v>OK</v>
      </c>
      <c r="X7" t="s">
        <v>121</v>
      </c>
    </row>
    <row r="8" spans="1:24" ht="19" x14ac:dyDescent="0.25">
      <c r="A8" t="str">
        <f t="shared" si="0"/>
        <v>TRIP-HR-007</v>
      </c>
      <c r="B8" s="9">
        <v>45667</v>
      </c>
      <c r="C8" t="str">
        <f>_xlfn.XLOOKUP(D8,'[1]Jan Customer Duplicate Hyva'!$B:$B,'[1]Jan Customer Duplicate Hyva'!$A:$A,"NOT FOUND")</f>
        <v>CUST-340</v>
      </c>
      <c r="D8" s="10" t="s">
        <v>102</v>
      </c>
      <c r="E8" s="10" t="s">
        <v>25</v>
      </c>
      <c r="F8" s="4" t="str">
        <f t="shared" si="1"/>
        <v>Gaju Bhau</v>
      </c>
      <c r="I8" s="4" t="str">
        <f>_xlfn.XLOOKUP(F8,'[1]Jan Labour Nd Drivers Hyva'!$B:$B,'[2]Jan Labour Nd Drivers Hyva'!$A:$A,"NOT FOUND")</f>
        <v>LAB-001</v>
      </c>
      <c r="L8" s="10" t="s">
        <v>36</v>
      </c>
      <c r="M8" s="11">
        <v>3</v>
      </c>
      <c r="N8" s="12">
        <v>2700</v>
      </c>
      <c r="O8" s="12">
        <f t="shared" si="2"/>
        <v>8100</v>
      </c>
      <c r="P8" s="12">
        <v>8100</v>
      </c>
      <c r="Q8" s="12">
        <f t="shared" si="3"/>
        <v>0</v>
      </c>
      <c r="R8" t="str">
        <f t="shared" si="4"/>
        <v>PAID</v>
      </c>
      <c r="T8">
        <f t="shared" si="5"/>
        <v>8100</v>
      </c>
      <c r="U8" t="str">
        <f t="shared" si="6"/>
        <v>OK</v>
      </c>
      <c r="V8" s="7">
        <f t="shared" si="7"/>
        <v>0</v>
      </c>
      <c r="W8" t="str">
        <f t="shared" si="8"/>
        <v>OK</v>
      </c>
      <c r="X8" t="s">
        <v>121</v>
      </c>
    </row>
    <row r="9" spans="1:24" ht="19" x14ac:dyDescent="0.25">
      <c r="A9" t="str">
        <f t="shared" si="0"/>
        <v>TRIP-HR-008</v>
      </c>
      <c r="B9" s="9">
        <v>45667</v>
      </c>
      <c r="C9" t="str">
        <f>_xlfn.XLOOKUP(D9,'[1]Jan Customer Duplicate Hyva'!$B:$B,'[1]Jan Customer Duplicate Hyva'!$A:$A,"NOT FOUND")</f>
        <v>CUST-340</v>
      </c>
      <c r="D9" s="10" t="s">
        <v>102</v>
      </c>
      <c r="E9" s="10" t="s">
        <v>29</v>
      </c>
      <c r="F9" s="4" t="str">
        <f t="shared" si="1"/>
        <v>Anshu</v>
      </c>
      <c r="I9" s="4" t="str">
        <f>_xlfn.XLOOKUP(F9,'[1]Jan Labour Nd Drivers Hyva'!$B:$B,'[2]Jan Labour Nd Drivers Hyva'!$A:$A,"NOT FOUND")</f>
        <v>LAB-002</v>
      </c>
      <c r="L9" s="10" t="s">
        <v>36</v>
      </c>
      <c r="M9" s="11">
        <v>1</v>
      </c>
      <c r="N9" s="12">
        <v>2700</v>
      </c>
      <c r="O9" s="12">
        <f t="shared" si="2"/>
        <v>2700</v>
      </c>
      <c r="P9" s="12"/>
      <c r="Q9" s="12">
        <f t="shared" si="3"/>
        <v>2700</v>
      </c>
      <c r="R9" t="str">
        <f t="shared" si="4"/>
        <v>UNPAID</v>
      </c>
      <c r="T9">
        <f t="shared" si="5"/>
        <v>2700</v>
      </c>
      <c r="U9" t="str">
        <f t="shared" si="6"/>
        <v>OK</v>
      </c>
      <c r="V9" s="7">
        <f t="shared" si="7"/>
        <v>2700</v>
      </c>
      <c r="W9" t="str">
        <f t="shared" si="8"/>
        <v>OK</v>
      </c>
      <c r="X9" t="s">
        <v>121</v>
      </c>
    </row>
    <row r="10" spans="1:24" ht="19" x14ac:dyDescent="0.25">
      <c r="A10" t="str">
        <f t="shared" si="0"/>
        <v>TRIP-HR-009</v>
      </c>
      <c r="B10" s="9">
        <v>45669</v>
      </c>
      <c r="C10" t="str">
        <f>_xlfn.XLOOKUP(D10,'[1]Jan Customer Duplicate Hyva'!$B:$B,'[1]Jan Customer Duplicate Hyva'!$A:$A,"NOT FOUND")</f>
        <v>CUST-340</v>
      </c>
      <c r="D10" s="10" t="s">
        <v>102</v>
      </c>
      <c r="E10" s="10" t="s">
        <v>29</v>
      </c>
      <c r="F10" s="4" t="str">
        <f t="shared" si="1"/>
        <v>Anshu</v>
      </c>
      <c r="I10" s="4" t="str">
        <f>_xlfn.XLOOKUP(F10,'[1]Jan Labour Nd Drivers Hyva'!$B:$B,'[2]Jan Labour Nd Drivers Hyva'!$A:$A,"NOT FOUND")</f>
        <v>LAB-002</v>
      </c>
      <c r="L10" s="10" t="s">
        <v>101</v>
      </c>
      <c r="M10" s="11">
        <v>2</v>
      </c>
      <c r="N10" s="12">
        <v>2500</v>
      </c>
      <c r="O10" s="12">
        <f t="shared" si="2"/>
        <v>5000</v>
      </c>
      <c r="P10" s="12"/>
      <c r="Q10" s="12">
        <f t="shared" si="3"/>
        <v>5000</v>
      </c>
      <c r="R10" t="str">
        <f t="shared" si="4"/>
        <v>UNPAID</v>
      </c>
      <c r="T10">
        <f t="shared" si="5"/>
        <v>5000</v>
      </c>
      <c r="U10" t="str">
        <f t="shared" si="6"/>
        <v>OK</v>
      </c>
      <c r="V10" s="7">
        <f t="shared" si="7"/>
        <v>5000</v>
      </c>
      <c r="W10" t="str">
        <f t="shared" si="8"/>
        <v>OK</v>
      </c>
      <c r="X10" t="s">
        <v>121</v>
      </c>
    </row>
    <row r="11" spans="1:24" ht="19" x14ac:dyDescent="0.25">
      <c r="A11" t="str">
        <f t="shared" si="0"/>
        <v>TRIP-HR-010</v>
      </c>
      <c r="B11" s="9">
        <v>45672</v>
      </c>
      <c r="C11" t="str">
        <f>_xlfn.XLOOKUP(D11,'[1]Jan Customer Duplicate Hyva'!$B:$B,'[1]Jan Customer Duplicate Hyva'!$A:$A,"NOT FOUND")</f>
        <v>CUST-340</v>
      </c>
      <c r="D11" s="10" t="s">
        <v>102</v>
      </c>
      <c r="E11" s="10" t="s">
        <v>29</v>
      </c>
      <c r="F11" s="4" t="str">
        <f t="shared" si="1"/>
        <v>Anshu</v>
      </c>
      <c r="I11" s="4" t="str">
        <f>_xlfn.XLOOKUP(F11,'[1]Jan Labour Nd Drivers Hyva'!$B:$B,'[2]Jan Labour Nd Drivers Hyva'!$A:$A,"NOT FOUND")</f>
        <v>LAB-002</v>
      </c>
      <c r="L11" s="10" t="s">
        <v>103</v>
      </c>
      <c r="M11" s="11">
        <v>1</v>
      </c>
      <c r="N11" s="12">
        <v>2500</v>
      </c>
      <c r="O11" s="12">
        <f t="shared" si="2"/>
        <v>2500</v>
      </c>
      <c r="P11" s="12">
        <v>2500</v>
      </c>
      <c r="Q11" s="12">
        <f t="shared" si="3"/>
        <v>0</v>
      </c>
      <c r="R11" t="str">
        <f t="shared" si="4"/>
        <v>PAID</v>
      </c>
      <c r="T11">
        <f t="shared" si="5"/>
        <v>2500</v>
      </c>
      <c r="U11" t="str">
        <f t="shared" si="6"/>
        <v>OK</v>
      </c>
      <c r="V11" s="7">
        <f t="shared" si="7"/>
        <v>0</v>
      </c>
      <c r="W11" t="str">
        <f t="shared" si="8"/>
        <v>OK</v>
      </c>
      <c r="X11" t="s">
        <v>121</v>
      </c>
    </row>
    <row r="12" spans="1:24" ht="19" x14ac:dyDescent="0.25">
      <c r="A12" t="str">
        <f t="shared" si="0"/>
        <v>TRIP-HR-011</v>
      </c>
      <c r="B12" s="9">
        <v>45672</v>
      </c>
      <c r="C12" t="str">
        <f>_xlfn.XLOOKUP(D12,'[1]Jan Customer Duplicate Hyva'!$B:$B,'[1]Jan Customer Duplicate Hyva'!$A:$A,"NOT FOUND")</f>
        <v>NOT FOUND</v>
      </c>
      <c r="D12" s="10" t="s">
        <v>104</v>
      </c>
      <c r="E12" s="10" t="s">
        <v>25</v>
      </c>
      <c r="F12" s="4" t="str">
        <f t="shared" si="1"/>
        <v>Gaju Bhau</v>
      </c>
      <c r="I12" s="4" t="str">
        <f>_xlfn.XLOOKUP(F12,'[1]Jan Labour Nd Drivers Hyva'!$B:$B,'[2]Jan Labour Nd Drivers Hyva'!$A:$A,"NOT FOUND")</f>
        <v>LAB-001</v>
      </c>
      <c r="L12" s="10" t="s">
        <v>38</v>
      </c>
      <c r="M12" s="11">
        <v>1</v>
      </c>
      <c r="N12" s="12">
        <v>2500</v>
      </c>
      <c r="O12" s="12">
        <f t="shared" si="2"/>
        <v>2500</v>
      </c>
      <c r="P12" s="12"/>
      <c r="Q12" s="12">
        <f t="shared" si="3"/>
        <v>2500</v>
      </c>
      <c r="R12" t="str">
        <f t="shared" si="4"/>
        <v>UNPAID</v>
      </c>
      <c r="T12">
        <f t="shared" si="5"/>
        <v>2500</v>
      </c>
      <c r="U12" t="str">
        <f t="shared" si="6"/>
        <v>OK</v>
      </c>
      <c r="V12" s="7">
        <f t="shared" si="7"/>
        <v>2500</v>
      </c>
      <c r="W12" t="str">
        <f t="shared" si="8"/>
        <v>OK</v>
      </c>
      <c r="X12" t="s">
        <v>121</v>
      </c>
    </row>
    <row r="13" spans="1:24" ht="19" x14ac:dyDescent="0.25">
      <c r="A13" t="str">
        <f t="shared" si="0"/>
        <v>TRIP-HR-012</v>
      </c>
      <c r="B13" s="9">
        <v>45672</v>
      </c>
      <c r="C13" t="str">
        <f>_xlfn.XLOOKUP(D13,'[1]Jan Customer Duplicate Hyva'!$B:$B,'[1]Jan Customer Duplicate Hyva'!$A:$A,"NOT FOUND")</f>
        <v>CUST-218</v>
      </c>
      <c r="D13" s="10" t="s">
        <v>52</v>
      </c>
      <c r="E13" s="10" t="s">
        <v>29</v>
      </c>
      <c r="F13" s="4" t="str">
        <f t="shared" si="1"/>
        <v>Anshu</v>
      </c>
      <c r="I13" s="4" t="str">
        <f>_xlfn.XLOOKUP(F13,'[1]Jan Labour Nd Drivers Hyva'!$B:$B,'[2]Jan Labour Nd Drivers Hyva'!$A:$A,"NOT FOUND")</f>
        <v>LAB-002</v>
      </c>
      <c r="L13" s="10" t="s">
        <v>42</v>
      </c>
      <c r="M13" s="11">
        <v>3</v>
      </c>
      <c r="N13" s="12">
        <v>3000</v>
      </c>
      <c r="O13" s="12">
        <f t="shared" si="2"/>
        <v>9000</v>
      </c>
      <c r="P13" s="12">
        <v>9000</v>
      </c>
      <c r="Q13" s="12">
        <f t="shared" si="3"/>
        <v>0</v>
      </c>
      <c r="R13" t="str">
        <f t="shared" si="4"/>
        <v>PAID</v>
      </c>
      <c r="T13">
        <f t="shared" si="5"/>
        <v>9000</v>
      </c>
      <c r="U13" t="str">
        <f t="shared" si="6"/>
        <v>OK</v>
      </c>
      <c r="V13" s="7">
        <f t="shared" si="7"/>
        <v>0</v>
      </c>
      <c r="W13" t="str">
        <f t="shared" si="8"/>
        <v>OK</v>
      </c>
      <c r="X13" t="s">
        <v>121</v>
      </c>
    </row>
    <row r="14" spans="1:24" ht="19" x14ac:dyDescent="0.25">
      <c r="A14" t="str">
        <f t="shared" si="0"/>
        <v>TRIP-HR-013</v>
      </c>
      <c r="B14" s="9">
        <v>45672</v>
      </c>
      <c r="C14" t="str">
        <f>_xlfn.XLOOKUP(D14,'[1]Jan Customer Duplicate Hyva'!$B:$B,'[1]Jan Customer Duplicate Hyva'!$A:$A,"NOT FOUND")</f>
        <v>CUST-218</v>
      </c>
      <c r="D14" s="10" t="s">
        <v>52</v>
      </c>
      <c r="E14" s="10" t="s">
        <v>25</v>
      </c>
      <c r="F14" s="4" t="str">
        <f t="shared" si="1"/>
        <v>Gaju Bhau</v>
      </c>
      <c r="I14" s="4" t="str">
        <f>_xlfn.XLOOKUP(F14,'[1]Jan Labour Nd Drivers Hyva'!$B:$B,'[2]Jan Labour Nd Drivers Hyva'!$A:$A,"NOT FOUND")</f>
        <v>LAB-001</v>
      </c>
      <c r="L14" s="10" t="s">
        <v>42</v>
      </c>
      <c r="M14" s="11">
        <v>3</v>
      </c>
      <c r="N14" s="12">
        <v>3000</v>
      </c>
      <c r="O14" s="12">
        <f t="shared" si="2"/>
        <v>9000</v>
      </c>
      <c r="P14" s="12">
        <v>9000</v>
      </c>
      <c r="Q14" s="12">
        <f t="shared" si="3"/>
        <v>0</v>
      </c>
      <c r="R14" t="str">
        <f t="shared" si="4"/>
        <v>PAID</v>
      </c>
      <c r="T14">
        <f t="shared" si="5"/>
        <v>9000</v>
      </c>
      <c r="U14" t="str">
        <f t="shared" si="6"/>
        <v>OK</v>
      </c>
      <c r="V14" s="7">
        <f t="shared" si="7"/>
        <v>0</v>
      </c>
      <c r="W14" t="str">
        <f t="shared" si="8"/>
        <v>OK</v>
      </c>
      <c r="X14" t="s">
        <v>121</v>
      </c>
    </row>
    <row r="15" spans="1:24" ht="19" x14ac:dyDescent="0.25">
      <c r="A15" t="str">
        <f t="shared" si="0"/>
        <v>TRIP-HR-014</v>
      </c>
      <c r="B15" s="9">
        <v>45673</v>
      </c>
      <c r="C15" t="str">
        <f>_xlfn.XLOOKUP(D15,'[1]Jan Customer Duplicate Hyva'!$B:$B,'[1]Jan Customer Duplicate Hyva'!$A:$A,"NOT FOUND")</f>
        <v>CUST-114</v>
      </c>
      <c r="D15" s="10" t="s">
        <v>105</v>
      </c>
      <c r="E15" s="10" t="s">
        <v>25</v>
      </c>
      <c r="F15" s="4" t="str">
        <f t="shared" si="1"/>
        <v>Gaju Bhau</v>
      </c>
      <c r="I15" s="4" t="str">
        <f>_xlfn.XLOOKUP(F15,'[1]Jan Labour Nd Drivers Hyva'!$B:$B,'[2]Jan Labour Nd Drivers Hyva'!$A:$A,"NOT FOUND")</f>
        <v>LAB-001</v>
      </c>
      <c r="L15" s="10" t="s">
        <v>38</v>
      </c>
      <c r="M15" s="11">
        <v>1</v>
      </c>
      <c r="N15" s="12">
        <v>2500</v>
      </c>
      <c r="O15" s="12">
        <f t="shared" si="2"/>
        <v>2500</v>
      </c>
      <c r="P15" s="12"/>
      <c r="Q15" s="12">
        <f t="shared" si="3"/>
        <v>2500</v>
      </c>
      <c r="R15" t="str">
        <f t="shared" si="4"/>
        <v>UNPAID</v>
      </c>
      <c r="T15">
        <f t="shared" si="5"/>
        <v>2500</v>
      </c>
      <c r="U15" t="str">
        <f t="shared" si="6"/>
        <v>OK</v>
      </c>
      <c r="V15" s="7">
        <f t="shared" si="7"/>
        <v>2500</v>
      </c>
      <c r="W15" t="str">
        <f t="shared" si="8"/>
        <v>OK</v>
      </c>
      <c r="X15" t="s">
        <v>121</v>
      </c>
    </row>
    <row r="16" spans="1:24" ht="19" x14ac:dyDescent="0.25">
      <c r="A16" t="str">
        <f t="shared" si="0"/>
        <v>TRIP-HR-015</v>
      </c>
      <c r="B16" s="9">
        <v>45673</v>
      </c>
      <c r="C16" t="str">
        <f>_xlfn.XLOOKUP(D16,'[1]Jan Customer Duplicate Hyva'!$B:$B,'[1]Jan Customer Duplicate Hyva'!$A:$A,"NOT FOUND")</f>
        <v>CUST-218</v>
      </c>
      <c r="D16" s="10" t="s">
        <v>52</v>
      </c>
      <c r="E16" s="10" t="s">
        <v>25</v>
      </c>
      <c r="F16" s="4" t="str">
        <f t="shared" si="1"/>
        <v>Gaju Bhau</v>
      </c>
      <c r="I16" s="4" t="str">
        <f>_xlfn.XLOOKUP(F16,'[1]Jan Labour Nd Drivers Hyva'!$B:$B,'[2]Jan Labour Nd Drivers Hyva'!$A:$A,"NOT FOUND")</f>
        <v>LAB-001</v>
      </c>
      <c r="L16" s="10" t="s">
        <v>26</v>
      </c>
      <c r="M16" s="11">
        <v>1</v>
      </c>
      <c r="N16" s="12">
        <v>3000</v>
      </c>
      <c r="O16" s="12">
        <f t="shared" si="2"/>
        <v>3000</v>
      </c>
      <c r="P16" s="12">
        <v>3000</v>
      </c>
      <c r="Q16" s="12">
        <f t="shared" si="3"/>
        <v>0</v>
      </c>
      <c r="R16" t="str">
        <f t="shared" si="4"/>
        <v>PAID</v>
      </c>
      <c r="T16">
        <f t="shared" si="5"/>
        <v>3000</v>
      </c>
      <c r="U16" t="str">
        <f t="shared" si="6"/>
        <v>OK</v>
      </c>
      <c r="V16" s="7">
        <f t="shared" si="7"/>
        <v>0</v>
      </c>
      <c r="W16" t="str">
        <f t="shared" si="8"/>
        <v>OK</v>
      </c>
      <c r="X16" t="s">
        <v>121</v>
      </c>
    </row>
    <row r="17" spans="1:24" ht="19" x14ac:dyDescent="0.25">
      <c r="A17" t="str">
        <f t="shared" si="0"/>
        <v>TRIP-HR-016</v>
      </c>
      <c r="B17" s="9">
        <v>45673</v>
      </c>
      <c r="C17" t="str">
        <f>_xlfn.XLOOKUP(D17,'[1]Jan Customer Duplicate Hyva'!$B:$B,'[1]Jan Customer Duplicate Hyva'!$A:$A,"NOT FOUND")</f>
        <v>CUST-218</v>
      </c>
      <c r="D17" s="10" t="s">
        <v>52</v>
      </c>
      <c r="E17" s="10" t="s">
        <v>29</v>
      </c>
      <c r="F17" s="4" t="str">
        <f t="shared" si="1"/>
        <v>Anshu</v>
      </c>
      <c r="I17" s="4" t="str">
        <f>_xlfn.XLOOKUP(F17,'[1]Jan Labour Nd Drivers Hyva'!$B:$B,'[2]Jan Labour Nd Drivers Hyva'!$A:$A,"NOT FOUND")</f>
        <v>LAB-002</v>
      </c>
      <c r="L17" s="10" t="s">
        <v>26</v>
      </c>
      <c r="M17" s="11">
        <v>1</v>
      </c>
      <c r="N17" s="12">
        <v>3000</v>
      </c>
      <c r="O17" s="12">
        <f t="shared" si="2"/>
        <v>3000</v>
      </c>
      <c r="P17" s="12">
        <v>3000</v>
      </c>
      <c r="Q17" s="12">
        <f t="shared" si="3"/>
        <v>0</v>
      </c>
      <c r="R17" t="str">
        <f t="shared" si="4"/>
        <v>PAID</v>
      </c>
      <c r="T17">
        <f t="shared" si="5"/>
        <v>3000</v>
      </c>
      <c r="U17" t="str">
        <f t="shared" si="6"/>
        <v>OK</v>
      </c>
      <c r="V17" s="7">
        <f t="shared" si="7"/>
        <v>0</v>
      </c>
      <c r="W17" t="str">
        <f t="shared" si="8"/>
        <v>OK</v>
      </c>
      <c r="X17" t="s">
        <v>121</v>
      </c>
    </row>
    <row r="18" spans="1:24" ht="19" x14ac:dyDescent="0.25">
      <c r="A18" t="str">
        <f t="shared" si="0"/>
        <v>TRIP-HR-017</v>
      </c>
      <c r="B18" s="9">
        <v>45675</v>
      </c>
      <c r="C18" t="str">
        <f>_xlfn.XLOOKUP(D18,'[1]Jan Customer Duplicate Hyva'!$B:$B,'[1]Jan Customer Duplicate Hyva'!$A:$A,"NOT FOUND")</f>
        <v>CUST-218</v>
      </c>
      <c r="D18" s="10" t="s">
        <v>52</v>
      </c>
      <c r="E18" s="10" t="s">
        <v>29</v>
      </c>
      <c r="F18" s="4" t="str">
        <f t="shared" si="1"/>
        <v>Anshu</v>
      </c>
      <c r="I18" s="4" t="str">
        <f>_xlfn.XLOOKUP(F18,'[1]Jan Labour Nd Drivers Hyva'!$B:$B,'[2]Jan Labour Nd Drivers Hyva'!$A:$A,"NOT FOUND")</f>
        <v>LAB-002</v>
      </c>
      <c r="L18" s="10" t="s">
        <v>32</v>
      </c>
      <c r="M18" s="11">
        <v>2</v>
      </c>
      <c r="N18" s="12">
        <v>3000</v>
      </c>
      <c r="O18" s="12">
        <f t="shared" si="2"/>
        <v>6000</v>
      </c>
      <c r="P18" s="12">
        <v>6000</v>
      </c>
      <c r="Q18" s="12">
        <f t="shared" si="3"/>
        <v>0</v>
      </c>
      <c r="R18" t="str">
        <f t="shared" si="4"/>
        <v>PAID</v>
      </c>
      <c r="T18">
        <f t="shared" si="5"/>
        <v>6000</v>
      </c>
      <c r="U18" t="str">
        <f t="shared" si="6"/>
        <v>OK</v>
      </c>
      <c r="V18" s="7">
        <f t="shared" si="7"/>
        <v>0</v>
      </c>
      <c r="W18" t="str">
        <f t="shared" si="8"/>
        <v>OK</v>
      </c>
      <c r="X18" t="s">
        <v>121</v>
      </c>
    </row>
    <row r="19" spans="1:24" ht="19" x14ac:dyDescent="0.25">
      <c r="A19" t="str">
        <f t="shared" si="0"/>
        <v>TRIP-HR-018</v>
      </c>
      <c r="B19" s="9">
        <v>45677</v>
      </c>
      <c r="C19" t="str">
        <f>_xlfn.XLOOKUP(D19,'[1]Jan Customer Duplicate Hyva'!$B:$B,'[1]Jan Customer Duplicate Hyva'!$A:$A,"NOT FOUND")</f>
        <v>CUST-280</v>
      </c>
      <c r="D19" s="10" t="s">
        <v>106</v>
      </c>
      <c r="E19" s="10" t="s">
        <v>29</v>
      </c>
      <c r="F19" s="4" t="str">
        <f t="shared" si="1"/>
        <v>Anshu</v>
      </c>
      <c r="I19" s="4" t="str">
        <f>_xlfn.XLOOKUP(F19,'[1]Jan Labour Nd Drivers Hyva'!$B:$B,'[2]Jan Labour Nd Drivers Hyva'!$A:$A,"NOT FOUND")</f>
        <v>LAB-002</v>
      </c>
      <c r="L19" s="10" t="s">
        <v>107</v>
      </c>
      <c r="M19" s="11">
        <v>2</v>
      </c>
      <c r="N19" s="12">
        <v>3000</v>
      </c>
      <c r="O19" s="12">
        <f t="shared" si="2"/>
        <v>6000</v>
      </c>
      <c r="P19" s="12">
        <v>6000</v>
      </c>
      <c r="Q19" s="12">
        <f t="shared" si="3"/>
        <v>0</v>
      </c>
      <c r="R19" t="str">
        <f t="shared" si="4"/>
        <v>PAID</v>
      </c>
      <c r="T19">
        <f t="shared" si="5"/>
        <v>6000</v>
      </c>
      <c r="U19" t="str">
        <f t="shared" si="6"/>
        <v>OK</v>
      </c>
      <c r="V19" s="7">
        <f t="shared" si="7"/>
        <v>0</v>
      </c>
      <c r="W19" t="str">
        <f t="shared" si="8"/>
        <v>OK</v>
      </c>
      <c r="X19" t="s">
        <v>121</v>
      </c>
    </row>
    <row r="20" spans="1:24" ht="19" x14ac:dyDescent="0.25">
      <c r="A20" t="str">
        <f t="shared" si="0"/>
        <v>TRIP-HR-019</v>
      </c>
      <c r="B20" s="9">
        <v>45677</v>
      </c>
      <c r="C20" t="str">
        <f>_xlfn.XLOOKUP(D20,'[1]Jan Customer Duplicate Hyva'!$B:$B,'[1]Jan Customer Duplicate Hyva'!$A:$A,"NOT FOUND")</f>
        <v>CUST-280</v>
      </c>
      <c r="D20" s="10" t="s">
        <v>106</v>
      </c>
      <c r="E20" s="10" t="s">
        <v>25</v>
      </c>
      <c r="F20" s="4" t="str">
        <f t="shared" si="1"/>
        <v>Gaju Bhau</v>
      </c>
      <c r="I20" s="4" t="str">
        <f>_xlfn.XLOOKUP(F20,'[1]Jan Labour Nd Drivers Hyva'!$B:$B,'[2]Jan Labour Nd Drivers Hyva'!$A:$A,"NOT FOUND")</f>
        <v>LAB-001</v>
      </c>
      <c r="L20" s="10" t="s">
        <v>108</v>
      </c>
      <c r="M20" s="11">
        <v>2</v>
      </c>
      <c r="N20" s="12">
        <v>3000</v>
      </c>
      <c r="O20" s="12">
        <f t="shared" si="2"/>
        <v>6000</v>
      </c>
      <c r="P20" s="12">
        <v>6000</v>
      </c>
      <c r="Q20" s="12">
        <f t="shared" si="3"/>
        <v>0</v>
      </c>
      <c r="R20" t="str">
        <f t="shared" si="4"/>
        <v>PAID</v>
      </c>
      <c r="T20">
        <f t="shared" si="5"/>
        <v>6000</v>
      </c>
      <c r="U20" t="str">
        <f t="shared" si="6"/>
        <v>OK</v>
      </c>
      <c r="V20" s="7">
        <f t="shared" si="7"/>
        <v>0</v>
      </c>
      <c r="W20" t="str">
        <f t="shared" si="8"/>
        <v>OK</v>
      </c>
      <c r="X20" t="s">
        <v>121</v>
      </c>
    </row>
    <row r="21" spans="1:24" ht="19" x14ac:dyDescent="0.25">
      <c r="A21" t="str">
        <f t="shared" si="0"/>
        <v>TRIP-HR-020</v>
      </c>
      <c r="B21" s="9">
        <v>45677</v>
      </c>
      <c r="C21" t="str">
        <f>_xlfn.XLOOKUP(D21,'[1]Jan Customer Duplicate Hyva'!$B:$B,'[1]Jan Customer Duplicate Hyva'!$A:$A,"NOT FOUND")</f>
        <v>CUST-218</v>
      </c>
      <c r="D21" s="10" t="s">
        <v>52</v>
      </c>
      <c r="E21" s="10" t="s">
        <v>29</v>
      </c>
      <c r="F21" s="4" t="str">
        <f t="shared" si="1"/>
        <v>Anshu</v>
      </c>
      <c r="I21" s="4" t="str">
        <f>_xlfn.XLOOKUP(F21,'[1]Jan Labour Nd Drivers Hyva'!$B:$B,'[2]Jan Labour Nd Drivers Hyva'!$A:$A,"NOT FOUND")</f>
        <v>LAB-002</v>
      </c>
      <c r="L21" s="10" t="s">
        <v>32</v>
      </c>
      <c r="M21" s="11">
        <v>3</v>
      </c>
      <c r="N21" s="12">
        <v>3000</v>
      </c>
      <c r="O21" s="12">
        <f t="shared" si="2"/>
        <v>9000</v>
      </c>
      <c r="P21" s="12">
        <v>9000</v>
      </c>
      <c r="Q21" s="12">
        <f t="shared" si="3"/>
        <v>0</v>
      </c>
      <c r="R21" t="str">
        <f t="shared" si="4"/>
        <v>PAID</v>
      </c>
      <c r="T21">
        <f t="shared" si="5"/>
        <v>9000</v>
      </c>
      <c r="U21" t="str">
        <f t="shared" si="6"/>
        <v>OK</v>
      </c>
      <c r="V21" s="7">
        <f t="shared" si="7"/>
        <v>0</v>
      </c>
      <c r="W21" t="str">
        <f t="shared" si="8"/>
        <v>OK</v>
      </c>
      <c r="X21" t="s">
        <v>121</v>
      </c>
    </row>
    <row r="22" spans="1:24" ht="19" x14ac:dyDescent="0.25">
      <c r="A22" t="str">
        <f t="shared" si="0"/>
        <v>TRIP-HR-021</v>
      </c>
      <c r="B22" s="9">
        <v>45677</v>
      </c>
      <c r="C22" t="str">
        <f>_xlfn.XLOOKUP(D22,'[1]Jan Customer Duplicate Hyva'!$B:$B,'[1]Jan Customer Duplicate Hyva'!$A:$A,"NOT FOUND")</f>
        <v>CUST-218</v>
      </c>
      <c r="D22" s="10" t="s">
        <v>52</v>
      </c>
      <c r="E22" s="10" t="s">
        <v>25</v>
      </c>
      <c r="F22" s="4" t="str">
        <f t="shared" si="1"/>
        <v>Gaju Bhau</v>
      </c>
      <c r="I22" s="4" t="str">
        <f>_xlfn.XLOOKUP(F22,'[1]Jan Labour Nd Drivers Hyva'!$B:$B,'[2]Jan Labour Nd Drivers Hyva'!$A:$A,"NOT FOUND")</f>
        <v>LAB-001</v>
      </c>
      <c r="L22" s="10" t="s">
        <v>109</v>
      </c>
      <c r="M22" s="11">
        <v>1</v>
      </c>
      <c r="N22" s="12">
        <v>3000</v>
      </c>
      <c r="O22" s="12">
        <f t="shared" si="2"/>
        <v>3000</v>
      </c>
      <c r="P22" s="12">
        <v>3000</v>
      </c>
      <c r="Q22" s="12">
        <f t="shared" si="3"/>
        <v>0</v>
      </c>
      <c r="R22" t="str">
        <f t="shared" si="4"/>
        <v>PAID</v>
      </c>
      <c r="T22">
        <f t="shared" si="5"/>
        <v>3000</v>
      </c>
      <c r="U22" t="str">
        <f t="shared" si="6"/>
        <v>OK</v>
      </c>
      <c r="V22" s="7">
        <f t="shared" si="7"/>
        <v>0</v>
      </c>
      <c r="W22" t="str">
        <f t="shared" si="8"/>
        <v>OK</v>
      </c>
      <c r="X22" t="s">
        <v>121</v>
      </c>
    </row>
    <row r="23" spans="1:24" ht="19" x14ac:dyDescent="0.25">
      <c r="A23" t="str">
        <f t="shared" si="0"/>
        <v>TRIP-HR-022</v>
      </c>
      <c r="B23" s="9">
        <v>45678</v>
      </c>
      <c r="C23" t="str">
        <f>_xlfn.XLOOKUP(D23,'[1]Jan Customer Duplicate Hyva'!$B:$B,'[1]Jan Customer Duplicate Hyva'!$A:$A,"NOT FOUND")</f>
        <v>NOT FOUND</v>
      </c>
      <c r="D23" s="10" t="s">
        <v>110</v>
      </c>
      <c r="E23" s="10" t="s">
        <v>25</v>
      </c>
      <c r="F23" s="4" t="str">
        <f t="shared" si="1"/>
        <v>Gaju Bhau</v>
      </c>
      <c r="I23" s="4" t="str">
        <f>_xlfn.XLOOKUP(F23,'[1]Jan Labour Nd Drivers Hyva'!$B:$B,'[2]Jan Labour Nd Drivers Hyva'!$A:$A,"NOT FOUND")</f>
        <v>LAB-001</v>
      </c>
      <c r="L23" s="10" t="s">
        <v>111</v>
      </c>
      <c r="M23" s="11">
        <v>3</v>
      </c>
      <c r="N23" s="12">
        <v>0</v>
      </c>
      <c r="O23" s="12">
        <f t="shared" si="2"/>
        <v>0</v>
      </c>
      <c r="P23" s="12"/>
      <c r="Q23" s="12">
        <f t="shared" si="3"/>
        <v>0</v>
      </c>
      <c r="R23" t="str">
        <f t="shared" si="4"/>
        <v>PAID</v>
      </c>
      <c r="T23">
        <f t="shared" si="5"/>
        <v>0</v>
      </c>
      <c r="U23" t="str">
        <f t="shared" si="6"/>
        <v>OK</v>
      </c>
      <c r="V23" s="7">
        <f t="shared" si="7"/>
        <v>0</v>
      </c>
      <c r="W23" t="str">
        <f t="shared" si="8"/>
        <v>OK</v>
      </c>
      <c r="X23" t="s">
        <v>121</v>
      </c>
    </row>
    <row r="24" spans="1:24" ht="19" x14ac:dyDescent="0.25">
      <c r="A24" t="str">
        <f t="shared" si="0"/>
        <v>TRIP-HR-023</v>
      </c>
      <c r="B24" s="9">
        <v>45678</v>
      </c>
      <c r="C24" t="str">
        <f>_xlfn.XLOOKUP(D24,'[1]Jan Customer Duplicate Hyva'!$B:$B,'[1]Jan Customer Duplicate Hyva'!$A:$A,"NOT FOUND")</f>
        <v>CUST-280</v>
      </c>
      <c r="D24" s="10" t="s">
        <v>106</v>
      </c>
      <c r="E24" s="10" t="s">
        <v>25</v>
      </c>
      <c r="F24" s="4" t="str">
        <f t="shared" si="1"/>
        <v>Gaju Bhau</v>
      </c>
      <c r="I24" s="4" t="str">
        <f>_xlfn.XLOOKUP(F24,'[1]Jan Labour Nd Drivers Hyva'!$B:$B,'[2]Jan Labour Nd Drivers Hyva'!$A:$A,"NOT FOUND")</f>
        <v>LAB-001</v>
      </c>
      <c r="L24" s="10" t="s">
        <v>107</v>
      </c>
      <c r="M24" s="11">
        <v>1</v>
      </c>
      <c r="N24" s="12">
        <v>3000</v>
      </c>
      <c r="O24" s="12">
        <f t="shared" si="2"/>
        <v>3000</v>
      </c>
      <c r="P24" s="12">
        <v>3000</v>
      </c>
      <c r="Q24" s="12">
        <f t="shared" si="3"/>
        <v>0</v>
      </c>
      <c r="R24" t="str">
        <f t="shared" si="4"/>
        <v>PAID</v>
      </c>
      <c r="T24">
        <f t="shared" si="5"/>
        <v>3000</v>
      </c>
      <c r="U24" t="str">
        <f t="shared" si="6"/>
        <v>OK</v>
      </c>
      <c r="V24" s="7">
        <f t="shared" si="7"/>
        <v>0</v>
      </c>
      <c r="W24" t="str">
        <f t="shared" si="8"/>
        <v>OK</v>
      </c>
      <c r="X24" t="s">
        <v>121</v>
      </c>
    </row>
    <row r="25" spans="1:24" ht="19" x14ac:dyDescent="0.25">
      <c r="A25" t="str">
        <f t="shared" si="0"/>
        <v>TRIP-HR-024</v>
      </c>
      <c r="B25" s="9">
        <v>45678</v>
      </c>
      <c r="C25" t="str">
        <f>_xlfn.XLOOKUP(D25,'[1]Jan Customer Duplicate Hyva'!$B:$B,'[1]Jan Customer Duplicate Hyva'!$A:$A,"NOT FOUND")</f>
        <v>CUST-280</v>
      </c>
      <c r="D25" s="10" t="s">
        <v>106</v>
      </c>
      <c r="E25" s="10" t="s">
        <v>29</v>
      </c>
      <c r="F25" s="4" t="str">
        <f t="shared" si="1"/>
        <v>Anshu</v>
      </c>
      <c r="I25" s="4" t="str">
        <f>_xlfn.XLOOKUP(F25,'[1]Jan Labour Nd Drivers Hyva'!$B:$B,'[2]Jan Labour Nd Drivers Hyva'!$A:$A,"NOT FOUND")</f>
        <v>LAB-002</v>
      </c>
      <c r="L25" s="10" t="s">
        <v>108</v>
      </c>
      <c r="M25" s="11">
        <v>1</v>
      </c>
      <c r="N25" s="12">
        <v>3000</v>
      </c>
      <c r="O25" s="12">
        <f t="shared" si="2"/>
        <v>3000</v>
      </c>
      <c r="P25" s="12">
        <v>3000</v>
      </c>
      <c r="Q25" s="12">
        <f t="shared" si="3"/>
        <v>0</v>
      </c>
      <c r="R25" t="str">
        <f t="shared" si="4"/>
        <v>PAID</v>
      </c>
      <c r="T25">
        <f t="shared" si="5"/>
        <v>3000</v>
      </c>
      <c r="U25" t="str">
        <f t="shared" si="6"/>
        <v>OK</v>
      </c>
      <c r="V25" s="7">
        <f t="shared" si="7"/>
        <v>0</v>
      </c>
      <c r="W25" t="str">
        <f t="shared" si="8"/>
        <v>OK</v>
      </c>
      <c r="X25" t="s">
        <v>121</v>
      </c>
    </row>
    <row r="26" spans="1:24" ht="19" x14ac:dyDescent="0.25">
      <c r="A26" t="str">
        <f t="shared" si="0"/>
        <v>TRIP-HR-025</v>
      </c>
      <c r="B26" s="9">
        <v>45678</v>
      </c>
      <c r="C26" t="str">
        <f>_xlfn.XLOOKUP(D26,'[1]Jan Customer Duplicate Hyva'!$B:$B,'[1]Jan Customer Duplicate Hyva'!$A:$A,"NOT FOUND")</f>
        <v>CUST-218</v>
      </c>
      <c r="D26" s="10" t="s">
        <v>52</v>
      </c>
      <c r="E26" s="10" t="s">
        <v>29</v>
      </c>
      <c r="F26" s="4" t="str">
        <f t="shared" si="1"/>
        <v>Anshu</v>
      </c>
      <c r="I26" s="4" t="str">
        <f>_xlfn.XLOOKUP(F26,'[1]Jan Labour Nd Drivers Hyva'!$B:$B,'[2]Jan Labour Nd Drivers Hyva'!$A:$A,"NOT FOUND")</f>
        <v>LAB-002</v>
      </c>
      <c r="L26" s="10" t="s">
        <v>26</v>
      </c>
      <c r="M26" s="11">
        <v>3</v>
      </c>
      <c r="N26" s="12">
        <v>3000</v>
      </c>
      <c r="O26" s="12">
        <f t="shared" si="2"/>
        <v>9000</v>
      </c>
      <c r="P26" s="12">
        <v>9000</v>
      </c>
      <c r="Q26" s="12">
        <f t="shared" si="3"/>
        <v>0</v>
      </c>
      <c r="R26" t="str">
        <f t="shared" si="4"/>
        <v>PAID</v>
      </c>
      <c r="T26">
        <f t="shared" si="5"/>
        <v>9000</v>
      </c>
      <c r="U26" t="str">
        <f t="shared" si="6"/>
        <v>OK</v>
      </c>
      <c r="V26" s="7">
        <f t="shared" si="7"/>
        <v>0</v>
      </c>
      <c r="W26" t="str">
        <f t="shared" si="8"/>
        <v>OK</v>
      </c>
      <c r="X26" t="s">
        <v>121</v>
      </c>
    </row>
    <row r="27" spans="1:24" ht="19" x14ac:dyDescent="0.25">
      <c r="A27" t="str">
        <f t="shared" si="0"/>
        <v>TRIP-HR-026</v>
      </c>
      <c r="B27" s="9">
        <v>45678</v>
      </c>
      <c r="C27" t="str">
        <f>_xlfn.XLOOKUP(D27,'[1]Jan Customer Duplicate Hyva'!$B:$B,'[1]Jan Customer Duplicate Hyva'!$A:$A,"NOT FOUND")</f>
        <v>CUST-218</v>
      </c>
      <c r="D27" s="10" t="s">
        <v>52</v>
      </c>
      <c r="E27" s="10" t="s">
        <v>25</v>
      </c>
      <c r="F27" s="4" t="str">
        <f t="shared" si="1"/>
        <v>Gaju Bhau</v>
      </c>
      <c r="I27" s="4" t="str">
        <f>_xlfn.XLOOKUP(F27,'[1]Jan Labour Nd Drivers Hyva'!$B:$B,'[2]Jan Labour Nd Drivers Hyva'!$A:$A,"NOT FOUND")</f>
        <v>LAB-001</v>
      </c>
      <c r="L27" s="10" t="s">
        <v>26</v>
      </c>
      <c r="M27" s="11">
        <v>2</v>
      </c>
      <c r="N27" s="12">
        <v>3000</v>
      </c>
      <c r="O27" s="12">
        <f t="shared" si="2"/>
        <v>6000</v>
      </c>
      <c r="P27" s="12">
        <v>6000</v>
      </c>
      <c r="Q27" s="12">
        <f t="shared" si="3"/>
        <v>0</v>
      </c>
      <c r="R27" t="str">
        <f t="shared" si="4"/>
        <v>PAID</v>
      </c>
      <c r="T27">
        <f t="shared" si="5"/>
        <v>6000</v>
      </c>
      <c r="U27" t="str">
        <f t="shared" si="6"/>
        <v>OK</v>
      </c>
      <c r="V27" s="7">
        <f t="shared" si="7"/>
        <v>0</v>
      </c>
      <c r="W27" t="str">
        <f t="shared" si="8"/>
        <v>OK</v>
      </c>
      <c r="X27" t="s">
        <v>121</v>
      </c>
    </row>
    <row r="28" spans="1:24" ht="19" x14ac:dyDescent="0.25">
      <c r="A28" t="str">
        <f t="shared" si="0"/>
        <v>TRIP-HR-027</v>
      </c>
      <c r="B28" s="9">
        <v>45679</v>
      </c>
      <c r="C28" t="str">
        <f>_xlfn.XLOOKUP(D28,'[1]Jan Customer Duplicate Hyva'!$B:$B,'[1]Jan Customer Duplicate Hyva'!$A:$A,"NOT FOUND")</f>
        <v>CUST-280</v>
      </c>
      <c r="D28" s="10" t="s">
        <v>106</v>
      </c>
      <c r="E28" s="10" t="s">
        <v>25</v>
      </c>
      <c r="F28" s="4" t="str">
        <f t="shared" si="1"/>
        <v>Gaju Bhau</v>
      </c>
      <c r="I28" s="4" t="str">
        <f>_xlfn.XLOOKUP(F28,'[1]Jan Labour Nd Drivers Hyva'!$B:$B,'[2]Jan Labour Nd Drivers Hyva'!$A:$A,"NOT FOUND")</f>
        <v>LAB-001</v>
      </c>
      <c r="L28" s="10" t="s">
        <v>107</v>
      </c>
      <c r="M28" s="11">
        <v>2</v>
      </c>
      <c r="N28" s="12">
        <v>3000</v>
      </c>
      <c r="O28" s="12">
        <f t="shared" si="2"/>
        <v>6000</v>
      </c>
      <c r="P28" s="12">
        <v>6000</v>
      </c>
      <c r="Q28" s="12">
        <f t="shared" si="3"/>
        <v>0</v>
      </c>
      <c r="R28" t="str">
        <f t="shared" si="4"/>
        <v>PAID</v>
      </c>
      <c r="T28">
        <f t="shared" si="5"/>
        <v>6000</v>
      </c>
      <c r="U28" t="str">
        <f t="shared" si="6"/>
        <v>OK</v>
      </c>
      <c r="V28" s="7">
        <f t="shared" si="7"/>
        <v>0</v>
      </c>
      <c r="W28" t="str">
        <f t="shared" si="8"/>
        <v>OK</v>
      </c>
      <c r="X28" t="s">
        <v>121</v>
      </c>
    </row>
    <row r="29" spans="1:24" ht="19" x14ac:dyDescent="0.25">
      <c r="A29" t="str">
        <f t="shared" si="0"/>
        <v>TRIP-HR-028</v>
      </c>
      <c r="B29" s="9">
        <v>45681</v>
      </c>
      <c r="C29" t="str">
        <f>_xlfn.XLOOKUP(D29,'[1]Jan Customer Duplicate Hyva'!$B:$B,'[1]Jan Customer Duplicate Hyva'!$A:$A,"NOT FOUND")</f>
        <v>CUST-280</v>
      </c>
      <c r="D29" s="10" t="s">
        <v>106</v>
      </c>
      <c r="E29" s="10" t="s">
        <v>29</v>
      </c>
      <c r="F29" s="4" t="str">
        <f t="shared" si="1"/>
        <v>Anshu</v>
      </c>
      <c r="I29" s="4" t="str">
        <f>_xlfn.XLOOKUP(F29,'[1]Jan Labour Nd Drivers Hyva'!$B:$B,'[2]Jan Labour Nd Drivers Hyva'!$A:$A,"NOT FOUND")</f>
        <v>LAB-002</v>
      </c>
      <c r="L29" s="10" t="s">
        <v>107</v>
      </c>
      <c r="M29" s="11">
        <v>5</v>
      </c>
      <c r="N29" s="12">
        <v>3000</v>
      </c>
      <c r="O29" s="12">
        <f t="shared" si="2"/>
        <v>15000</v>
      </c>
      <c r="P29" s="12">
        <v>15000</v>
      </c>
      <c r="Q29" s="12">
        <f t="shared" si="3"/>
        <v>0</v>
      </c>
      <c r="R29" t="str">
        <f t="shared" si="4"/>
        <v>PAID</v>
      </c>
      <c r="T29">
        <f t="shared" si="5"/>
        <v>15000</v>
      </c>
      <c r="U29" t="str">
        <f t="shared" si="6"/>
        <v>OK</v>
      </c>
      <c r="V29" s="7">
        <f t="shared" si="7"/>
        <v>0</v>
      </c>
      <c r="W29" t="str">
        <f t="shared" si="8"/>
        <v>OK</v>
      </c>
      <c r="X29" t="s">
        <v>121</v>
      </c>
    </row>
    <row r="30" spans="1:24" ht="19" x14ac:dyDescent="0.25">
      <c r="A30" t="str">
        <f t="shared" si="0"/>
        <v>TRIP-HR-029</v>
      </c>
      <c r="B30" s="9">
        <v>45681</v>
      </c>
      <c r="C30" t="str">
        <f>_xlfn.XLOOKUP(D30,'[1]Jan Customer Duplicate Hyva'!$B:$B,'[1]Jan Customer Duplicate Hyva'!$A:$A,"NOT FOUND")</f>
        <v>CUST-280</v>
      </c>
      <c r="D30" s="10" t="s">
        <v>106</v>
      </c>
      <c r="E30" s="10" t="s">
        <v>25</v>
      </c>
      <c r="F30" s="4" t="str">
        <f t="shared" si="1"/>
        <v>Gaju Bhau</v>
      </c>
      <c r="I30" s="4" t="str">
        <f>_xlfn.XLOOKUP(F30,'[1]Jan Labour Nd Drivers Hyva'!$B:$B,'[2]Jan Labour Nd Drivers Hyva'!$A:$A,"NOT FOUND")</f>
        <v>LAB-001</v>
      </c>
      <c r="L30" s="10" t="s">
        <v>107</v>
      </c>
      <c r="M30" s="11">
        <v>1</v>
      </c>
      <c r="N30" s="12">
        <v>3000</v>
      </c>
      <c r="O30" s="12">
        <f t="shared" si="2"/>
        <v>3000</v>
      </c>
      <c r="P30" s="12">
        <v>3000</v>
      </c>
      <c r="Q30" s="12">
        <f t="shared" si="3"/>
        <v>0</v>
      </c>
      <c r="R30" t="str">
        <f t="shared" si="4"/>
        <v>PAID</v>
      </c>
      <c r="T30">
        <f t="shared" si="5"/>
        <v>3000</v>
      </c>
      <c r="U30" t="str">
        <f t="shared" si="6"/>
        <v>OK</v>
      </c>
      <c r="V30" s="7">
        <f t="shared" si="7"/>
        <v>0</v>
      </c>
      <c r="W30" t="str">
        <f t="shared" si="8"/>
        <v>OK</v>
      </c>
      <c r="X30" t="s">
        <v>121</v>
      </c>
    </row>
    <row r="31" spans="1:24" ht="19" x14ac:dyDescent="0.25">
      <c r="A31" t="str">
        <f t="shared" si="0"/>
        <v>TRIP-HR-030</v>
      </c>
      <c r="B31" s="9">
        <v>45681</v>
      </c>
      <c r="C31" t="str">
        <f>_xlfn.XLOOKUP(D31,'[1]Jan Customer Duplicate Hyva'!$B:$B,'[1]Jan Customer Duplicate Hyva'!$A:$A,"NOT FOUND")</f>
        <v>CUST-218</v>
      </c>
      <c r="D31" s="10" t="s">
        <v>52</v>
      </c>
      <c r="E31" s="10" t="s">
        <v>25</v>
      </c>
      <c r="F31" s="4" t="str">
        <f t="shared" si="1"/>
        <v>Gaju Bhau</v>
      </c>
      <c r="I31" s="4" t="str">
        <f>_xlfn.XLOOKUP(F31,'[1]Jan Labour Nd Drivers Hyva'!$B:$B,'[2]Jan Labour Nd Drivers Hyva'!$A:$A,"NOT FOUND")</f>
        <v>LAB-001</v>
      </c>
      <c r="L31" s="10" t="s">
        <v>42</v>
      </c>
      <c r="M31" s="11">
        <v>2</v>
      </c>
      <c r="N31" s="12">
        <v>3000</v>
      </c>
      <c r="O31" s="12">
        <f t="shared" si="2"/>
        <v>6000</v>
      </c>
      <c r="P31" s="12">
        <v>6000</v>
      </c>
      <c r="Q31" s="12">
        <f t="shared" si="3"/>
        <v>0</v>
      </c>
      <c r="R31" t="str">
        <f t="shared" si="4"/>
        <v>PAID</v>
      </c>
      <c r="T31">
        <f t="shared" si="5"/>
        <v>6000</v>
      </c>
      <c r="U31" t="str">
        <f t="shared" si="6"/>
        <v>OK</v>
      </c>
      <c r="V31" s="7">
        <f t="shared" si="7"/>
        <v>0</v>
      </c>
      <c r="W31" t="str">
        <f t="shared" si="8"/>
        <v>OK</v>
      </c>
      <c r="X31" t="s">
        <v>121</v>
      </c>
    </row>
    <row r="32" spans="1:24" ht="19" x14ac:dyDescent="0.25">
      <c r="A32" t="str">
        <f t="shared" si="0"/>
        <v>TRIP-HR-031</v>
      </c>
      <c r="B32" s="9">
        <v>45685</v>
      </c>
      <c r="C32" t="str">
        <f>_xlfn.XLOOKUP(D32,'[1]Jan Customer Duplicate Hyva'!$B:$B,'[1]Jan Customer Duplicate Hyva'!$A:$A,"NOT FOUND")</f>
        <v>CUST-218</v>
      </c>
      <c r="D32" s="10" t="s">
        <v>52</v>
      </c>
      <c r="E32" s="10" t="s">
        <v>25</v>
      </c>
      <c r="F32" s="4" t="str">
        <f t="shared" si="1"/>
        <v>Gaju Bhau</v>
      </c>
      <c r="I32" s="4" t="str">
        <f>_xlfn.XLOOKUP(F32,'[1]Jan Labour Nd Drivers Hyva'!$B:$B,'[2]Jan Labour Nd Drivers Hyva'!$A:$A,"NOT FOUND")</f>
        <v>LAB-001</v>
      </c>
      <c r="L32" s="10" t="s">
        <v>42</v>
      </c>
      <c r="M32" s="11">
        <v>6</v>
      </c>
      <c r="N32" s="12">
        <v>3000</v>
      </c>
      <c r="O32" s="12">
        <f t="shared" si="2"/>
        <v>18000</v>
      </c>
      <c r="P32" s="12">
        <v>18000</v>
      </c>
      <c r="Q32" s="12">
        <f t="shared" si="3"/>
        <v>0</v>
      </c>
      <c r="R32" t="str">
        <f t="shared" si="4"/>
        <v>PAID</v>
      </c>
      <c r="T32">
        <f t="shared" si="5"/>
        <v>18000</v>
      </c>
      <c r="U32" t="str">
        <f t="shared" si="6"/>
        <v>OK</v>
      </c>
      <c r="V32" s="7">
        <f t="shared" si="7"/>
        <v>0</v>
      </c>
      <c r="W32" t="str">
        <f t="shared" si="8"/>
        <v>OK</v>
      </c>
      <c r="X32" t="s">
        <v>121</v>
      </c>
    </row>
    <row r="33" spans="1:24" ht="19" x14ac:dyDescent="0.25">
      <c r="A33" t="str">
        <f t="shared" si="0"/>
        <v>TRIP-HR-032</v>
      </c>
      <c r="B33" s="9">
        <v>45685</v>
      </c>
      <c r="C33" t="str">
        <f>_xlfn.XLOOKUP(D33,'[1]Jan Customer Duplicate Hyva'!$B:$B,'[1]Jan Customer Duplicate Hyva'!$A:$A,"NOT FOUND")</f>
        <v>CUST-218</v>
      </c>
      <c r="D33" s="10" t="s">
        <v>52</v>
      </c>
      <c r="E33" s="10" t="s">
        <v>29</v>
      </c>
      <c r="F33" s="4" t="str">
        <f t="shared" si="1"/>
        <v>Anshu</v>
      </c>
      <c r="I33" s="4" t="str">
        <f>_xlfn.XLOOKUP(F33,'[1]Jan Labour Nd Drivers Hyva'!$B:$B,'[2]Jan Labour Nd Drivers Hyva'!$A:$A,"NOT FOUND")</f>
        <v>LAB-002</v>
      </c>
      <c r="L33" s="10" t="s">
        <v>42</v>
      </c>
      <c r="M33" s="11">
        <v>1</v>
      </c>
      <c r="N33" s="12">
        <v>3000</v>
      </c>
      <c r="O33" s="12">
        <f t="shared" si="2"/>
        <v>3000</v>
      </c>
      <c r="P33" s="12">
        <v>3000</v>
      </c>
      <c r="Q33" s="12">
        <f t="shared" si="3"/>
        <v>0</v>
      </c>
      <c r="R33" t="str">
        <f t="shared" si="4"/>
        <v>PAID</v>
      </c>
      <c r="T33">
        <f t="shared" si="5"/>
        <v>3000</v>
      </c>
      <c r="U33" t="str">
        <f t="shared" si="6"/>
        <v>OK</v>
      </c>
      <c r="V33" s="7">
        <f t="shared" si="7"/>
        <v>0</v>
      </c>
      <c r="W33" t="str">
        <f t="shared" si="8"/>
        <v>OK</v>
      </c>
      <c r="X33" t="s">
        <v>121</v>
      </c>
    </row>
    <row r="34" spans="1:24" ht="19" x14ac:dyDescent="0.25">
      <c r="A34" t="str">
        <f t="shared" si="0"/>
        <v>TRIP-HR-033</v>
      </c>
      <c r="B34" s="9">
        <v>45686</v>
      </c>
      <c r="C34" t="str">
        <f>_xlfn.XLOOKUP(D34,'[1]Jan Customer Duplicate Hyva'!$B:$B,'[1]Jan Customer Duplicate Hyva'!$A:$A,"NOT FOUND")</f>
        <v>CUST-329</v>
      </c>
      <c r="D34" s="10" t="s">
        <v>112</v>
      </c>
      <c r="E34" s="10" t="s">
        <v>29</v>
      </c>
      <c r="F34" s="4" t="str">
        <f t="shared" si="1"/>
        <v>Anshu</v>
      </c>
      <c r="I34" s="4" t="str">
        <f>_xlfn.XLOOKUP(F34,'[1]Jan Labour Nd Drivers Hyva'!$B:$B,'[2]Jan Labour Nd Drivers Hyva'!$A:$A,"NOT FOUND")</f>
        <v>LAB-002</v>
      </c>
      <c r="L34" s="10" t="s">
        <v>113</v>
      </c>
      <c r="M34" s="11">
        <v>2</v>
      </c>
      <c r="N34" s="12">
        <v>3200</v>
      </c>
      <c r="O34" s="12">
        <f t="shared" si="2"/>
        <v>6400</v>
      </c>
      <c r="P34" s="12">
        <v>6400</v>
      </c>
      <c r="Q34" s="12">
        <f t="shared" si="3"/>
        <v>0</v>
      </c>
      <c r="R34" t="str">
        <f t="shared" si="4"/>
        <v>PAID</v>
      </c>
      <c r="T34">
        <f t="shared" si="5"/>
        <v>6400</v>
      </c>
      <c r="U34" t="str">
        <f t="shared" si="6"/>
        <v>OK</v>
      </c>
      <c r="V34" s="7">
        <f t="shared" si="7"/>
        <v>0</v>
      </c>
      <c r="W34" t="str">
        <f t="shared" si="8"/>
        <v>OK</v>
      </c>
      <c r="X34" t="s">
        <v>121</v>
      </c>
    </row>
    <row r="35" spans="1:24" ht="19" x14ac:dyDescent="0.25">
      <c r="A35" t="str">
        <f t="shared" si="0"/>
        <v>TRIP-HR-034</v>
      </c>
      <c r="B35" s="9">
        <v>45686</v>
      </c>
      <c r="C35" t="str">
        <f>_xlfn.XLOOKUP(D35,'[1]Jan Customer Duplicate Hyva'!$B:$B,'[1]Jan Customer Duplicate Hyva'!$A:$A,"NOT FOUND")</f>
        <v>CUST-329</v>
      </c>
      <c r="D35" s="10" t="s">
        <v>112</v>
      </c>
      <c r="E35" s="10" t="s">
        <v>114</v>
      </c>
      <c r="F35" s="4" t="str">
        <f t="shared" si="1"/>
        <v>Anna</v>
      </c>
      <c r="I35" s="4" t="str">
        <f>_xlfn.XLOOKUP(F35,'[1]Jan Labour Nd Drivers Hyva'!$B:$B,'[1]Jan Labour Nd Drivers Hyva'!$A:$A,"NOT FOUND")</f>
        <v>LAB-004</v>
      </c>
      <c r="L35" s="10" t="s">
        <v>113</v>
      </c>
      <c r="M35" s="11">
        <v>7</v>
      </c>
      <c r="N35" s="12">
        <v>3200</v>
      </c>
      <c r="O35" s="12">
        <f t="shared" si="2"/>
        <v>22400</v>
      </c>
      <c r="P35" s="12">
        <v>22400</v>
      </c>
      <c r="Q35" s="12">
        <f t="shared" si="3"/>
        <v>0</v>
      </c>
      <c r="R35" t="str">
        <f t="shared" si="4"/>
        <v>PAID</v>
      </c>
      <c r="T35">
        <f t="shared" si="5"/>
        <v>22400</v>
      </c>
      <c r="U35" t="str">
        <f t="shared" si="6"/>
        <v>OK</v>
      </c>
      <c r="V35" s="7">
        <f t="shared" si="7"/>
        <v>0</v>
      </c>
      <c r="W35" t="str">
        <f t="shared" si="8"/>
        <v>OK</v>
      </c>
      <c r="X35" t="s">
        <v>121</v>
      </c>
    </row>
    <row r="36" spans="1:24" ht="19" x14ac:dyDescent="0.25">
      <c r="A36" t="str">
        <f t="shared" si="0"/>
        <v>TRIP-HR-035</v>
      </c>
      <c r="B36" s="9">
        <v>45686</v>
      </c>
      <c r="C36" t="str">
        <f>_xlfn.XLOOKUP(D36,'[1]Jan Customer Duplicate Hyva'!$B:$B,'[1]Jan Customer Duplicate Hyva'!$A:$A,"NOT FOUND")</f>
        <v>CUST-218</v>
      </c>
      <c r="D36" s="10" t="s">
        <v>52</v>
      </c>
      <c r="E36" s="10" t="s">
        <v>25</v>
      </c>
      <c r="F36" s="4" t="str">
        <f t="shared" si="1"/>
        <v>Gaju Bhau</v>
      </c>
      <c r="I36" s="4" t="str">
        <f>_xlfn.XLOOKUP(F36,'[1]Jan Labour Nd Drivers Hyva'!$B:$B,'[1]Jan Labour Nd Drivers Hyva'!$A:$A,"NOT FOUND")</f>
        <v>LAB-001</v>
      </c>
      <c r="L36" s="10" t="s">
        <v>42</v>
      </c>
      <c r="M36" s="11">
        <v>2</v>
      </c>
      <c r="N36" s="12">
        <v>3000</v>
      </c>
      <c r="O36" s="12">
        <f t="shared" si="2"/>
        <v>6000</v>
      </c>
      <c r="P36" s="12">
        <v>6000</v>
      </c>
      <c r="Q36" s="12">
        <f t="shared" si="3"/>
        <v>0</v>
      </c>
      <c r="R36" t="str">
        <f t="shared" si="4"/>
        <v>PAID</v>
      </c>
      <c r="T36">
        <f t="shared" si="5"/>
        <v>6000</v>
      </c>
      <c r="U36" t="str">
        <f t="shared" si="6"/>
        <v>OK</v>
      </c>
      <c r="V36" s="7">
        <f t="shared" si="7"/>
        <v>0</v>
      </c>
      <c r="W36" t="str">
        <f t="shared" si="8"/>
        <v>OK</v>
      </c>
      <c r="X36" t="s">
        <v>121</v>
      </c>
    </row>
    <row r="37" spans="1:24" ht="19" x14ac:dyDescent="0.25">
      <c r="A37" t="str">
        <f t="shared" si="0"/>
        <v>TRIP-HR-036</v>
      </c>
      <c r="B37" s="9">
        <v>45686</v>
      </c>
      <c r="C37" t="str">
        <f>_xlfn.XLOOKUP(D37,'[1]Jan Customer Duplicate Hyva'!$B:$B,'[1]Jan Customer Duplicate Hyva'!$A:$A,"NOT FOUND")</f>
        <v>CUST-075</v>
      </c>
      <c r="D37" s="10" t="s">
        <v>28</v>
      </c>
      <c r="E37" s="10" t="s">
        <v>115</v>
      </c>
      <c r="F37" s="4" t="str">
        <f t="shared" si="1"/>
        <v>Vithal Bhau</v>
      </c>
      <c r="I37" s="4" t="str">
        <f>_xlfn.XLOOKUP(F37,'[1]Jan Labour Nd Drivers Hyva'!$B:$B,'[1]Jan Labour Nd Drivers Hyva'!$A:$A,"NOT FOUND")</f>
        <v>LAB-005</v>
      </c>
      <c r="L37" s="10" t="s">
        <v>116</v>
      </c>
      <c r="M37" s="11">
        <v>2</v>
      </c>
      <c r="N37" s="12">
        <v>2800</v>
      </c>
      <c r="O37" s="12">
        <f t="shared" si="2"/>
        <v>5600</v>
      </c>
      <c r="P37" s="12">
        <v>5600</v>
      </c>
      <c r="Q37" s="12">
        <f t="shared" si="3"/>
        <v>0</v>
      </c>
      <c r="R37" t="str">
        <f t="shared" si="4"/>
        <v>PAID</v>
      </c>
      <c r="T37">
        <f t="shared" si="5"/>
        <v>5600</v>
      </c>
      <c r="U37" t="str">
        <f t="shared" si="6"/>
        <v>OK</v>
      </c>
      <c r="V37" s="7">
        <f t="shared" si="7"/>
        <v>0</v>
      </c>
      <c r="W37" t="str">
        <f t="shared" si="8"/>
        <v>OK</v>
      </c>
      <c r="X37" t="s">
        <v>121</v>
      </c>
    </row>
    <row r="38" spans="1:24" ht="19" x14ac:dyDescent="0.25">
      <c r="A38" t="str">
        <f t="shared" si="0"/>
        <v>TRIP-HR-037</v>
      </c>
      <c r="B38" s="9">
        <v>45687</v>
      </c>
      <c r="C38" t="str">
        <f>_xlfn.XLOOKUP(D38,'[1]Jan Customer Duplicate Hyva'!$B:$B,'[1]Jan Customer Duplicate Hyva'!$A:$A,"NOT FOUND")</f>
        <v>CUST-329</v>
      </c>
      <c r="D38" s="10" t="s">
        <v>112</v>
      </c>
      <c r="E38" s="10" t="s">
        <v>115</v>
      </c>
      <c r="F38" s="4" t="str">
        <f t="shared" si="1"/>
        <v>Vithal Bhau</v>
      </c>
      <c r="I38" s="4" t="str">
        <f>_xlfn.XLOOKUP(F38,'[1]Jan Labour Nd Drivers Hyva'!$B:$B,'[1]Jan Labour Nd Drivers Hyva'!$A:$A,"NOT FOUND")</f>
        <v>LAB-005</v>
      </c>
      <c r="L38" s="10" t="s">
        <v>113</v>
      </c>
      <c r="M38" s="11">
        <v>2</v>
      </c>
      <c r="N38" s="12">
        <v>3200</v>
      </c>
      <c r="O38" s="12">
        <f t="shared" si="2"/>
        <v>6400</v>
      </c>
      <c r="P38" s="12">
        <v>6400</v>
      </c>
      <c r="Q38" s="12">
        <f t="shared" si="3"/>
        <v>0</v>
      </c>
      <c r="R38" t="str">
        <f t="shared" si="4"/>
        <v>PAID</v>
      </c>
      <c r="T38">
        <f t="shared" si="5"/>
        <v>6400</v>
      </c>
      <c r="U38" t="str">
        <f t="shared" si="6"/>
        <v>OK</v>
      </c>
      <c r="V38" s="7">
        <f t="shared" si="7"/>
        <v>0</v>
      </c>
      <c r="W38" t="str">
        <f t="shared" si="8"/>
        <v>OK</v>
      </c>
      <c r="X38" t="s">
        <v>121</v>
      </c>
    </row>
    <row r="39" spans="1:24" ht="19" x14ac:dyDescent="0.25">
      <c r="A39" t="str">
        <f t="shared" si="0"/>
        <v>TRIP-HR-038</v>
      </c>
      <c r="B39" s="9">
        <v>45687</v>
      </c>
      <c r="C39" t="str">
        <f>_xlfn.XLOOKUP(D39,'[1]Jan Customer Duplicate Hyva'!$B:$B,'[1]Jan Customer Duplicate Hyva'!$A:$A,"NOT FOUND")</f>
        <v>CUST-218</v>
      </c>
      <c r="D39" s="10" t="s">
        <v>52</v>
      </c>
      <c r="E39" s="10" t="s">
        <v>29</v>
      </c>
      <c r="F39" s="4" t="str">
        <f t="shared" si="1"/>
        <v>Anshu</v>
      </c>
      <c r="I39" s="4" t="str">
        <f>_xlfn.XLOOKUP(F39,'[1]Jan Labour Nd Drivers Hyva'!$B:$B,'[1]Jan Labour Nd Drivers Hyva'!$A:$A,"NOT FOUND")</f>
        <v>LAB-002</v>
      </c>
      <c r="L39" s="10" t="s">
        <v>26</v>
      </c>
      <c r="M39" s="11">
        <v>6</v>
      </c>
      <c r="N39" s="12">
        <v>3000</v>
      </c>
      <c r="O39" s="12">
        <f t="shared" si="2"/>
        <v>18000</v>
      </c>
      <c r="P39" s="12">
        <v>18000</v>
      </c>
      <c r="Q39" s="12">
        <f t="shared" si="3"/>
        <v>0</v>
      </c>
      <c r="R39" t="str">
        <f t="shared" si="4"/>
        <v>PAID</v>
      </c>
      <c r="T39">
        <f t="shared" si="5"/>
        <v>18000</v>
      </c>
      <c r="U39" t="str">
        <f t="shared" si="6"/>
        <v>OK</v>
      </c>
      <c r="V39" s="7">
        <f t="shared" si="7"/>
        <v>0</v>
      </c>
      <c r="W39" t="str">
        <f t="shared" si="8"/>
        <v>OK</v>
      </c>
      <c r="X39" t="s">
        <v>121</v>
      </c>
    </row>
    <row r="40" spans="1:24" ht="19" x14ac:dyDescent="0.25">
      <c r="A40" t="str">
        <f t="shared" si="0"/>
        <v>TRIP-HR-039</v>
      </c>
      <c r="B40" s="9">
        <v>45687</v>
      </c>
      <c r="C40" t="str">
        <f>_xlfn.XLOOKUP(D40,'[1]Jan Customer Duplicate Hyva'!$B:$B,'[1]Jan Customer Duplicate Hyva'!$A:$A,"NOT FOUND")</f>
        <v>CUST-075</v>
      </c>
      <c r="D40" s="10" t="s">
        <v>28</v>
      </c>
      <c r="E40" s="10" t="s">
        <v>78</v>
      </c>
      <c r="F40" s="4" t="str">
        <f t="shared" si="1"/>
        <v>Ravi</v>
      </c>
      <c r="I40" s="4" t="str">
        <f>_xlfn.XLOOKUP(F40,'[1]Jan Labour Nd Drivers Hyva'!$B:$B,'[1]Jan Labour Nd Drivers Hyva'!$A:$A,"NOT FOUND")</f>
        <v>LAB-003</v>
      </c>
      <c r="L40" s="10" t="s">
        <v>117</v>
      </c>
      <c r="M40" s="11">
        <v>1</v>
      </c>
      <c r="N40" s="12">
        <v>2800</v>
      </c>
      <c r="O40" s="12">
        <f t="shared" si="2"/>
        <v>2800</v>
      </c>
      <c r="P40" s="12">
        <v>2800</v>
      </c>
      <c r="Q40" s="12">
        <f t="shared" si="3"/>
        <v>0</v>
      </c>
      <c r="R40" t="str">
        <f t="shared" si="4"/>
        <v>PAID</v>
      </c>
      <c r="T40">
        <f t="shared" si="5"/>
        <v>2800</v>
      </c>
      <c r="U40" t="str">
        <f t="shared" si="6"/>
        <v>OK</v>
      </c>
      <c r="V40" s="7">
        <f t="shared" si="7"/>
        <v>0</v>
      </c>
      <c r="W40" t="str">
        <f t="shared" si="8"/>
        <v>OK</v>
      </c>
      <c r="X40" t="s">
        <v>121</v>
      </c>
    </row>
    <row r="41" spans="1:24" ht="19" x14ac:dyDescent="0.25">
      <c r="A41" t="str">
        <f t="shared" si="0"/>
        <v>TRIP-HR-040</v>
      </c>
      <c r="B41" s="9">
        <v>45688</v>
      </c>
      <c r="C41" t="str">
        <f>_xlfn.XLOOKUP(D41,'[1]Jan Customer Duplicate Hyva'!$B:$B,'[1]Jan Customer Duplicate Hyva'!$A:$A,"NOT FOUND")</f>
        <v>NOT FOUND</v>
      </c>
      <c r="D41" s="10" t="s">
        <v>118</v>
      </c>
      <c r="E41" s="10" t="s">
        <v>78</v>
      </c>
      <c r="F41" s="4" t="str">
        <f t="shared" si="1"/>
        <v>Ravi</v>
      </c>
      <c r="I41" s="4" t="str">
        <f>_xlfn.XLOOKUP(F41,'[1]Jan Labour Nd Drivers Hyva'!$B:$B,'[1]Jan Labour Nd Drivers Hyva'!$A:$A,"NOT FOUND")</f>
        <v>LAB-003</v>
      </c>
      <c r="L41" s="10" t="s">
        <v>38</v>
      </c>
      <c r="M41" s="11">
        <v>1</v>
      </c>
      <c r="N41" s="12">
        <v>3000</v>
      </c>
      <c r="O41" s="12">
        <f t="shared" si="2"/>
        <v>3000</v>
      </c>
      <c r="P41" s="12">
        <v>3000</v>
      </c>
      <c r="Q41" s="12">
        <f t="shared" si="3"/>
        <v>0</v>
      </c>
      <c r="R41" t="str">
        <f t="shared" si="4"/>
        <v>PAID</v>
      </c>
      <c r="T41">
        <f t="shared" si="5"/>
        <v>3000</v>
      </c>
      <c r="U41" t="str">
        <f t="shared" si="6"/>
        <v>OK</v>
      </c>
      <c r="V41" s="7">
        <f t="shared" si="7"/>
        <v>0</v>
      </c>
      <c r="W41" t="str">
        <f t="shared" si="8"/>
        <v>OK</v>
      </c>
      <c r="X41" t="s">
        <v>121</v>
      </c>
    </row>
    <row r="42" spans="1:24" ht="19" x14ac:dyDescent="0.25">
      <c r="A42" t="str">
        <f t="shared" si="0"/>
        <v>TRIP-HR-041</v>
      </c>
      <c r="B42" s="9">
        <v>45688</v>
      </c>
      <c r="C42" t="str">
        <f>_xlfn.XLOOKUP(D42,'[1]Jan Customer Duplicate Hyva'!$B:$B,'[1]Jan Customer Duplicate Hyva'!$A:$A,"NOT FOUND")</f>
        <v>CUST-218</v>
      </c>
      <c r="D42" s="10" t="s">
        <v>52</v>
      </c>
      <c r="E42" s="10" t="s">
        <v>29</v>
      </c>
      <c r="F42" s="4" t="str">
        <f t="shared" si="1"/>
        <v>Anshu</v>
      </c>
      <c r="I42" s="4" t="str">
        <f>_xlfn.XLOOKUP(F42,'[1]Jan Labour Nd Drivers Hyva'!$B:$B,'[1]Jan Labour Nd Drivers Hyva'!$A:$A,"NOT FOUND")</f>
        <v>LAB-002</v>
      </c>
      <c r="L42" s="10" t="s">
        <v>42</v>
      </c>
      <c r="M42" s="11">
        <v>3</v>
      </c>
      <c r="N42" s="12">
        <v>3000</v>
      </c>
      <c r="O42" s="12">
        <f t="shared" si="2"/>
        <v>9000</v>
      </c>
      <c r="P42" s="12">
        <v>9000</v>
      </c>
      <c r="Q42" s="12">
        <f t="shared" si="3"/>
        <v>0</v>
      </c>
      <c r="R42" t="str">
        <f t="shared" si="4"/>
        <v>PAID</v>
      </c>
      <c r="T42">
        <f t="shared" si="5"/>
        <v>9000</v>
      </c>
      <c r="U42" t="str">
        <f t="shared" si="6"/>
        <v>OK</v>
      </c>
      <c r="V42" s="7">
        <f t="shared" si="7"/>
        <v>0</v>
      </c>
      <c r="W42" t="str">
        <f t="shared" si="8"/>
        <v>OK</v>
      </c>
      <c r="X42" t="s">
        <v>121</v>
      </c>
    </row>
    <row r="43" spans="1:24" ht="19" x14ac:dyDescent="0.25">
      <c r="A43" t="str">
        <f t="shared" si="0"/>
        <v>TRIP-HR-042</v>
      </c>
      <c r="B43" s="9">
        <v>45688</v>
      </c>
      <c r="C43" t="str">
        <f>_xlfn.XLOOKUP(D43,'[1]Jan Customer Duplicate Hyva'!$B:$B,'[1]Jan Customer Duplicate Hyva'!$A:$A,"NOT FOUND")</f>
        <v>CUST-218</v>
      </c>
      <c r="D43" s="10" t="s">
        <v>52</v>
      </c>
      <c r="E43" s="10" t="s">
        <v>78</v>
      </c>
      <c r="F43" s="4" t="str">
        <f t="shared" si="1"/>
        <v>Ravi</v>
      </c>
      <c r="I43" s="4" t="str">
        <f>_xlfn.XLOOKUP(F43,'[1]Jan Labour Nd Drivers Hyva'!$B:$B,'[1]Jan Labour Nd Drivers Hyva'!$A:$A,"NOT FOUND")</f>
        <v>LAB-003</v>
      </c>
      <c r="L43" s="10" t="s">
        <v>42</v>
      </c>
      <c r="M43" s="11">
        <v>4</v>
      </c>
      <c r="N43" s="12">
        <v>3000</v>
      </c>
      <c r="O43" s="12">
        <f t="shared" si="2"/>
        <v>12000</v>
      </c>
      <c r="P43" s="12">
        <v>12000</v>
      </c>
      <c r="Q43" s="12">
        <f t="shared" si="3"/>
        <v>0</v>
      </c>
      <c r="R43" t="str">
        <f t="shared" si="4"/>
        <v>PAID</v>
      </c>
      <c r="T43">
        <f t="shared" si="5"/>
        <v>12000</v>
      </c>
      <c r="U43" t="str">
        <f t="shared" si="6"/>
        <v>OK</v>
      </c>
      <c r="V43" s="7">
        <f t="shared" si="7"/>
        <v>0</v>
      </c>
      <c r="W43" t="str">
        <f t="shared" si="8"/>
        <v>OK</v>
      </c>
      <c r="X43" t="s">
        <v>121</v>
      </c>
    </row>
    <row r="44" spans="1:24" x14ac:dyDescent="0.2">
      <c r="F44" s="4" t="str">
        <f t="shared" si="1"/>
        <v/>
      </c>
      <c r="I44" s="4"/>
      <c r="V44" s="7"/>
    </row>
    <row r="45" spans="1:24" x14ac:dyDescent="0.2">
      <c r="F45" s="4" t="str">
        <f t="shared" si="1"/>
        <v/>
      </c>
      <c r="I45" s="4"/>
      <c r="V45" s="7"/>
    </row>
    <row r="46" spans="1:24" x14ac:dyDescent="0.2">
      <c r="F46" s="4" t="str">
        <f t="shared" si="1"/>
        <v/>
      </c>
      <c r="I46" s="4"/>
      <c r="V46" s="7"/>
    </row>
    <row r="47" spans="1:24" x14ac:dyDescent="0.2">
      <c r="F47" s="4" t="str">
        <f t="shared" si="1"/>
        <v/>
      </c>
      <c r="I47" s="4"/>
      <c r="V47" s="7"/>
    </row>
    <row r="48" spans="1:24" x14ac:dyDescent="0.2">
      <c r="F48" s="4" t="str">
        <f t="shared" si="1"/>
        <v/>
      </c>
      <c r="I48" s="4"/>
      <c r="V48" s="7"/>
    </row>
    <row r="49" spans="6:22" x14ac:dyDescent="0.2">
      <c r="F49" s="4" t="str">
        <f t="shared" si="1"/>
        <v/>
      </c>
      <c r="I49" s="4"/>
      <c r="V49" s="7"/>
    </row>
    <row r="50" spans="6:22" x14ac:dyDescent="0.2">
      <c r="F50" s="4" t="str">
        <f t="shared" si="1"/>
        <v/>
      </c>
      <c r="I50" s="4"/>
      <c r="V5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8B48-2C67-E340-AEBF-C73C9308A61A}">
  <dimension ref="A1:Y14"/>
  <sheetViews>
    <sheetView zoomScale="95" zoomScaleNormal="95" workbookViewId="0">
      <selection activeCell="O23" sqref="O23"/>
    </sheetView>
  </sheetViews>
  <sheetFormatPr baseColWidth="10" defaultRowHeight="16" x14ac:dyDescent="0.2"/>
  <cols>
    <col min="2" max="2" width="30.332031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119</v>
      </c>
    </row>
    <row r="2" spans="1:25" x14ac:dyDescent="0.2">
      <c r="A2" t="str">
        <f>"TRIP-HF-"&amp;TEXT(ROW()-1,"000")</f>
        <v>TRIP-HF-001</v>
      </c>
      <c r="B2" s="8">
        <v>45669</v>
      </c>
      <c r="C2" t="str">
        <f>_xlfn.XLOOKUP(D2,'[1]Jan Customer Duplicate Hyva'!$B:$B,'[1]Jan Customer Duplicate Hyva'!$A:$A,"NOT FOUND")</f>
        <v>NOT FOUND</v>
      </c>
      <c r="D2" s="3" t="s">
        <v>41</v>
      </c>
      <c r="E2" s="3" t="s">
        <v>25</v>
      </c>
      <c r="F2" t="str">
        <f>E2</f>
        <v>Gaju Bhau</v>
      </c>
      <c r="I2" t="str">
        <f>_xlfn.XLOOKUP(F2,'[1]Jan Labour Nd Drivers Hyva'!$B:$B,'[1]Jan Labour Nd Drivers Hyva'!$A:$A,"NOT FOUND")</f>
        <v>LAB-001</v>
      </c>
      <c r="L2" s="3" t="s">
        <v>32</v>
      </c>
      <c r="M2" s="5">
        <v>1</v>
      </c>
      <c r="N2" s="6">
        <v>12000</v>
      </c>
      <c r="O2" s="6">
        <f t="shared" ref="O2:O14" si="0">N2*M2</f>
        <v>12000</v>
      </c>
      <c r="P2" s="6">
        <v>12000</v>
      </c>
      <c r="Q2" s="6">
        <f t="shared" ref="Q2:Q14" si="1">O2-P2</f>
        <v>0</v>
      </c>
      <c r="T2">
        <f>M2*N2</f>
        <v>12000</v>
      </c>
      <c r="U2" t="str">
        <f>IF(ROUND(T2,2)=ROUND(O2,2),"OK","CHECK")</f>
        <v>OK</v>
      </c>
      <c r="V2" s="7">
        <f>O2-P2</f>
        <v>0</v>
      </c>
      <c r="W2" t="str">
        <f>IF(ROUND(V2,2)=ROUND(Q2,2),"OK","CHECK")</f>
        <v>OK</v>
      </c>
      <c r="X2" t="s">
        <v>83</v>
      </c>
      <c r="Y2" t="s">
        <v>120</v>
      </c>
    </row>
    <row r="3" spans="1:25" x14ac:dyDescent="0.2">
      <c r="A3" t="str">
        <f t="shared" ref="A3:A14" si="2">"TRIP-HF-"&amp;TEXT(ROW()-1,"000")</f>
        <v>TRIP-HF-002</v>
      </c>
      <c r="B3" s="8">
        <v>45670</v>
      </c>
      <c r="C3" t="str">
        <f>_xlfn.XLOOKUP(D3,'[1]Jan Customer Duplicate Hyva'!$B:$B,'[1]Jan Customer Duplicate Hyva'!$A:$A,"NOT FOUND")</f>
        <v>NOT FOUND</v>
      </c>
      <c r="D3" s="3" t="s">
        <v>84</v>
      </c>
      <c r="E3" s="3" t="s">
        <v>25</v>
      </c>
      <c r="F3" t="str">
        <f t="shared" ref="F3:F14" si="3">E3</f>
        <v>Gaju Bhau</v>
      </c>
      <c r="I3" t="str">
        <f>_xlfn.XLOOKUP(F3,'[1]Jan Labour Nd Drivers Hyva'!$B:$B,'[1]Jan Labour Nd Drivers Hyva'!$A:$A,"NOT FOUND")</f>
        <v>LAB-001</v>
      </c>
      <c r="L3" s="3" t="s">
        <v>68</v>
      </c>
      <c r="M3" s="5">
        <v>1</v>
      </c>
      <c r="N3" s="6">
        <v>10000</v>
      </c>
      <c r="O3" s="6">
        <f t="shared" si="0"/>
        <v>10000</v>
      </c>
      <c r="P3" s="6"/>
      <c r="Q3" s="6">
        <f t="shared" si="1"/>
        <v>10000</v>
      </c>
      <c r="T3">
        <f t="shared" ref="T3:T14" si="4">M3*N3</f>
        <v>10000</v>
      </c>
      <c r="U3" t="str">
        <f t="shared" ref="U3:U14" si="5">IF(ROUND(T3,2)=ROUND(O3,2),"OK","CHECK")</f>
        <v>OK</v>
      </c>
      <c r="V3" s="7">
        <f t="shared" ref="V3:V14" si="6">O3-P3</f>
        <v>10000</v>
      </c>
      <c r="W3" t="str">
        <f t="shared" ref="W3:W14" si="7">IF(ROUND(V3,2)=ROUND(Q3,2),"OK","CHECK")</f>
        <v>OK</v>
      </c>
      <c r="X3" t="s">
        <v>83</v>
      </c>
      <c r="Y3" t="s">
        <v>120</v>
      </c>
    </row>
    <row r="4" spans="1:25" x14ac:dyDescent="0.2">
      <c r="A4" t="str">
        <f t="shared" si="2"/>
        <v>TRIP-HF-003</v>
      </c>
      <c r="B4" s="8">
        <v>45670</v>
      </c>
      <c r="C4" t="str">
        <f>_xlfn.XLOOKUP(D4,'[1]Jan Customer Duplicate Hyva'!$B:$B,'[1]Jan Customer Duplicate Hyva'!$A:$A,"NOT FOUND")</f>
        <v>CUST-402</v>
      </c>
      <c r="D4" s="3" t="s">
        <v>85</v>
      </c>
      <c r="E4" s="3" t="s">
        <v>25</v>
      </c>
      <c r="F4" t="str">
        <f t="shared" si="3"/>
        <v>Gaju Bhau</v>
      </c>
      <c r="I4" t="str">
        <f>_xlfn.XLOOKUP(F4,'[1]Jan Labour Nd Drivers Hyva'!$B:$B,'[1]Jan Labour Nd Drivers Hyva'!$A:$A,"NOT FOUND")</f>
        <v>LAB-001</v>
      </c>
      <c r="L4" s="3" t="s">
        <v>86</v>
      </c>
      <c r="M4" s="5">
        <v>1</v>
      </c>
      <c r="N4" s="6">
        <v>10000</v>
      </c>
      <c r="O4" s="6">
        <f t="shared" si="0"/>
        <v>10000</v>
      </c>
      <c r="P4" s="6">
        <v>10000</v>
      </c>
      <c r="Q4" s="6">
        <f t="shared" si="1"/>
        <v>0</v>
      </c>
      <c r="T4">
        <f t="shared" si="4"/>
        <v>10000</v>
      </c>
      <c r="U4" t="str">
        <f t="shared" si="5"/>
        <v>OK</v>
      </c>
      <c r="V4" s="7">
        <f t="shared" si="6"/>
        <v>0</v>
      </c>
      <c r="W4" t="str">
        <f t="shared" si="7"/>
        <v>OK</v>
      </c>
      <c r="X4" t="s">
        <v>83</v>
      </c>
      <c r="Y4" t="s">
        <v>120</v>
      </c>
    </row>
    <row r="5" spans="1:25" x14ac:dyDescent="0.2">
      <c r="A5" t="str">
        <f t="shared" si="2"/>
        <v>TRIP-HF-004</v>
      </c>
      <c r="B5" s="8">
        <v>45670</v>
      </c>
      <c r="C5" t="str">
        <f>_xlfn.XLOOKUP(D5,'[1]Jan Customer Duplicate Hyva'!$B:$B,'[1]Jan Customer Duplicate Hyva'!$A:$A,"NOT FOUND")</f>
        <v>NOT FOUND</v>
      </c>
      <c r="D5" s="3" t="s">
        <v>84</v>
      </c>
      <c r="E5" s="3" t="s">
        <v>29</v>
      </c>
      <c r="F5" t="str">
        <f t="shared" si="3"/>
        <v>Anshu</v>
      </c>
      <c r="I5" t="str">
        <f>_xlfn.XLOOKUP(F5,'[1]Jan Labour Nd Drivers Hyva'!$B:$B,'[1]Jan Labour Nd Drivers Hyva'!$A:$A,"NOT FOUND")</f>
        <v>LAB-002</v>
      </c>
      <c r="L5" s="3" t="s">
        <v>87</v>
      </c>
      <c r="M5" s="5">
        <v>1</v>
      </c>
      <c r="N5" s="6">
        <v>9500</v>
      </c>
      <c r="O5" s="6">
        <f t="shared" si="0"/>
        <v>9500</v>
      </c>
      <c r="P5" s="6">
        <v>9500</v>
      </c>
      <c r="Q5" s="6">
        <f t="shared" si="1"/>
        <v>0</v>
      </c>
      <c r="T5">
        <f t="shared" si="4"/>
        <v>9500</v>
      </c>
      <c r="U5" t="str">
        <f t="shared" si="5"/>
        <v>OK</v>
      </c>
      <c r="V5" s="7">
        <f t="shared" si="6"/>
        <v>0</v>
      </c>
      <c r="W5" t="str">
        <f t="shared" si="7"/>
        <v>OK</v>
      </c>
      <c r="X5" t="s">
        <v>83</v>
      </c>
      <c r="Y5" t="s">
        <v>120</v>
      </c>
    </row>
    <row r="6" spans="1:25" x14ac:dyDescent="0.2">
      <c r="A6" t="str">
        <f t="shared" si="2"/>
        <v>TRIP-HF-005</v>
      </c>
      <c r="B6" s="8">
        <v>45670</v>
      </c>
      <c r="C6" t="str">
        <f>_xlfn.XLOOKUP(D6,'[1]Jan Customer Duplicate Hyva'!$B:$B,'[1]Jan Customer Duplicate Hyva'!$A:$A,"NOT FOUND")</f>
        <v>CUST-399</v>
      </c>
      <c r="D6" s="3" t="s">
        <v>88</v>
      </c>
      <c r="E6" s="3" t="s">
        <v>29</v>
      </c>
      <c r="F6" t="str">
        <f t="shared" si="3"/>
        <v>Anshu</v>
      </c>
      <c r="I6" t="str">
        <f>_xlfn.XLOOKUP(F6,'[1]Jan Labour Nd Drivers Hyva'!$B:$B,'[1]Jan Labour Nd Drivers Hyva'!$A:$A,"NOT FOUND")</f>
        <v>LAB-002</v>
      </c>
      <c r="L6" s="3" t="s">
        <v>89</v>
      </c>
      <c r="M6" s="5">
        <v>1</v>
      </c>
      <c r="N6" s="6">
        <v>2000</v>
      </c>
      <c r="O6" s="6">
        <f t="shared" si="0"/>
        <v>2000</v>
      </c>
      <c r="P6" s="6">
        <v>2000</v>
      </c>
      <c r="Q6" s="6">
        <f t="shared" si="1"/>
        <v>0</v>
      </c>
      <c r="T6">
        <f t="shared" si="4"/>
        <v>2000</v>
      </c>
      <c r="U6" t="str">
        <f t="shared" si="5"/>
        <v>OK</v>
      </c>
      <c r="V6" s="7">
        <f t="shared" si="6"/>
        <v>0</v>
      </c>
      <c r="W6" t="str">
        <f t="shared" si="7"/>
        <v>OK</v>
      </c>
      <c r="X6" t="s">
        <v>83</v>
      </c>
      <c r="Y6" t="s">
        <v>120</v>
      </c>
    </row>
    <row r="7" spans="1:25" x14ac:dyDescent="0.2">
      <c r="A7" t="str">
        <f t="shared" si="2"/>
        <v>TRIP-HF-006</v>
      </c>
      <c r="B7" s="8">
        <v>45672</v>
      </c>
      <c r="C7" t="str">
        <f>_xlfn.XLOOKUP(D7,'[1]Jan Customer Duplicate Hyva'!$B:$B,'[1]Jan Customer Duplicate Hyva'!$A:$A,"NOT FOUND")</f>
        <v>NOT FOUND</v>
      </c>
      <c r="D7" s="3" t="s">
        <v>90</v>
      </c>
      <c r="E7" s="3" t="s">
        <v>29</v>
      </c>
      <c r="F7" t="str">
        <f t="shared" si="3"/>
        <v>Anshu</v>
      </c>
      <c r="I7" t="str">
        <f>_xlfn.XLOOKUP(F7,'[1]Jan Labour Nd Drivers Hyva'!$B:$B,'[1]Jan Labour Nd Drivers Hyva'!$A:$A,"NOT FOUND")</f>
        <v>LAB-002</v>
      </c>
      <c r="L7" s="3" t="s">
        <v>26</v>
      </c>
      <c r="M7" s="5">
        <v>1</v>
      </c>
      <c r="N7" s="6">
        <v>10000</v>
      </c>
      <c r="O7" s="6">
        <f t="shared" si="0"/>
        <v>10000</v>
      </c>
      <c r="P7" s="6">
        <v>10000</v>
      </c>
      <c r="Q7" s="6">
        <f t="shared" si="1"/>
        <v>0</v>
      </c>
      <c r="T7">
        <f t="shared" si="4"/>
        <v>10000</v>
      </c>
      <c r="U7" t="str">
        <f t="shared" si="5"/>
        <v>OK</v>
      </c>
      <c r="V7" s="7">
        <f t="shared" si="6"/>
        <v>0</v>
      </c>
      <c r="W7" t="str">
        <f t="shared" si="7"/>
        <v>OK</v>
      </c>
      <c r="X7" t="s">
        <v>83</v>
      </c>
      <c r="Y7" t="s">
        <v>120</v>
      </c>
    </row>
    <row r="8" spans="1:25" x14ac:dyDescent="0.2">
      <c r="A8" t="str">
        <f t="shared" si="2"/>
        <v>TRIP-HF-007</v>
      </c>
      <c r="B8" s="8">
        <v>45675</v>
      </c>
      <c r="C8" t="str">
        <f>_xlfn.XLOOKUP(D8,'[1]Jan Customer Duplicate Hyva'!$B:$B,'[1]Jan Customer Duplicate Hyva'!$A:$A,"NOT FOUND")</f>
        <v>CUST-420</v>
      </c>
      <c r="D8" s="3" t="s">
        <v>91</v>
      </c>
      <c r="E8" s="3" t="s">
        <v>29</v>
      </c>
      <c r="F8" t="str">
        <f t="shared" si="3"/>
        <v>Anshu</v>
      </c>
      <c r="I8" t="str">
        <f>_xlfn.XLOOKUP(F8,'[1]Jan Labour Nd Drivers Hyva'!$B:$B,'[1]Jan Labour Nd Drivers Hyva'!$A:$A,"NOT FOUND")</f>
        <v>LAB-002</v>
      </c>
      <c r="L8" s="3" t="s">
        <v>92</v>
      </c>
      <c r="M8" s="5">
        <v>1</v>
      </c>
      <c r="N8" s="6">
        <v>10000</v>
      </c>
      <c r="O8" s="6">
        <f t="shared" si="0"/>
        <v>10000</v>
      </c>
      <c r="P8" s="6"/>
      <c r="Q8" s="6">
        <f t="shared" si="1"/>
        <v>10000</v>
      </c>
      <c r="T8">
        <f t="shared" si="4"/>
        <v>10000</v>
      </c>
      <c r="U8" t="str">
        <f t="shared" si="5"/>
        <v>OK</v>
      </c>
      <c r="V8" s="7">
        <f t="shared" si="6"/>
        <v>10000</v>
      </c>
      <c r="W8" t="str">
        <f t="shared" si="7"/>
        <v>OK</v>
      </c>
      <c r="X8" t="s">
        <v>83</v>
      </c>
      <c r="Y8" t="s">
        <v>120</v>
      </c>
    </row>
    <row r="9" spans="1:25" x14ac:dyDescent="0.2">
      <c r="A9" t="str">
        <f t="shared" si="2"/>
        <v>TRIP-HF-008</v>
      </c>
      <c r="B9" s="8">
        <v>45679</v>
      </c>
      <c r="C9" t="str">
        <f>_xlfn.XLOOKUP(D9,'[1]Jan Customer Duplicate Hyva'!$B:$B,'[1]Jan Customer Duplicate Hyva'!$A:$A,"NOT FOUND")</f>
        <v>CUST-406</v>
      </c>
      <c r="D9" s="3" t="s">
        <v>93</v>
      </c>
      <c r="E9" s="3" t="s">
        <v>29</v>
      </c>
      <c r="F9" t="str">
        <f t="shared" si="3"/>
        <v>Anshu</v>
      </c>
      <c r="I9" t="str">
        <f>_xlfn.XLOOKUP(F9,'[1]Jan Labour Nd Drivers Hyva'!$B:$B,'[1]Jan Labour Nd Drivers Hyva'!$A:$A,"NOT FOUND")</f>
        <v>LAB-002</v>
      </c>
      <c r="L9" s="3" t="s">
        <v>45</v>
      </c>
      <c r="M9" s="5">
        <v>1</v>
      </c>
      <c r="N9" s="6">
        <v>10000</v>
      </c>
      <c r="O9" s="6">
        <f t="shared" si="0"/>
        <v>10000</v>
      </c>
      <c r="P9" s="6">
        <v>10000</v>
      </c>
      <c r="Q9" s="6">
        <f t="shared" si="1"/>
        <v>0</v>
      </c>
      <c r="T9">
        <f t="shared" si="4"/>
        <v>10000</v>
      </c>
      <c r="U9" t="str">
        <f t="shared" si="5"/>
        <v>OK</v>
      </c>
      <c r="V9" s="7">
        <f t="shared" si="6"/>
        <v>0</v>
      </c>
      <c r="W9" t="str">
        <f t="shared" si="7"/>
        <v>OK</v>
      </c>
      <c r="X9" t="s">
        <v>83</v>
      </c>
      <c r="Y9" t="s">
        <v>120</v>
      </c>
    </row>
    <row r="10" spans="1:25" x14ac:dyDescent="0.2">
      <c r="A10" t="str">
        <f t="shared" si="2"/>
        <v>TRIP-HF-009</v>
      </c>
      <c r="B10" s="8">
        <v>45679</v>
      </c>
      <c r="C10" t="str">
        <f>_xlfn.XLOOKUP(D10,'[1]Jan Customer Duplicate Hyva'!$B:$B,'[1]Jan Customer Duplicate Hyva'!$A:$A,"NOT FOUND")</f>
        <v>NOT FOUND</v>
      </c>
      <c r="D10" s="3" t="s">
        <v>94</v>
      </c>
      <c r="E10" s="3" t="s">
        <v>29</v>
      </c>
      <c r="F10" t="str">
        <f t="shared" si="3"/>
        <v>Anshu</v>
      </c>
      <c r="I10" t="str">
        <f>_xlfn.XLOOKUP(F10,'[1]Jan Labour Nd Drivers Hyva'!$B:$B,'[1]Jan Labour Nd Drivers Hyva'!$A:$A,"NOT FOUND")</f>
        <v>LAB-002</v>
      </c>
      <c r="L10" s="3" t="s">
        <v>95</v>
      </c>
      <c r="M10" s="5">
        <v>1</v>
      </c>
      <c r="N10" s="6">
        <v>10000</v>
      </c>
      <c r="O10" s="6">
        <f t="shared" si="0"/>
        <v>10000</v>
      </c>
      <c r="P10" s="6">
        <v>10000</v>
      </c>
      <c r="Q10" s="6">
        <f t="shared" si="1"/>
        <v>0</v>
      </c>
      <c r="T10">
        <f t="shared" si="4"/>
        <v>10000</v>
      </c>
      <c r="U10" t="str">
        <f t="shared" si="5"/>
        <v>OK</v>
      </c>
      <c r="V10" s="7">
        <f t="shared" si="6"/>
        <v>0</v>
      </c>
      <c r="W10" t="str">
        <f t="shared" si="7"/>
        <v>OK</v>
      </c>
      <c r="X10" t="s">
        <v>83</v>
      </c>
      <c r="Y10" t="s">
        <v>120</v>
      </c>
    </row>
    <row r="11" spans="1:25" x14ac:dyDescent="0.2">
      <c r="A11" t="str">
        <f t="shared" si="2"/>
        <v>TRIP-HF-010</v>
      </c>
      <c r="B11" s="8">
        <v>45680</v>
      </c>
      <c r="C11" t="str">
        <f>_xlfn.XLOOKUP(D11,'[1]Jan Customer Duplicate Hyva'!$B:$B,'[1]Jan Customer Duplicate Hyva'!$A:$A,"NOT FOUND")</f>
        <v>CUST-402</v>
      </c>
      <c r="D11" s="3" t="s">
        <v>85</v>
      </c>
      <c r="E11" s="3" t="s">
        <v>29</v>
      </c>
      <c r="F11" t="str">
        <f t="shared" si="3"/>
        <v>Anshu</v>
      </c>
      <c r="I11" t="str">
        <f>_xlfn.XLOOKUP(F11,'[1]Jan Labour Nd Drivers Hyva'!$B:$B,'[1]Jan Labour Nd Drivers Hyva'!$A:$A,"NOT FOUND")</f>
        <v>LAB-002</v>
      </c>
      <c r="L11" s="3" t="s">
        <v>86</v>
      </c>
      <c r="M11" s="5">
        <v>1</v>
      </c>
      <c r="N11" s="6">
        <v>10000</v>
      </c>
      <c r="O11" s="6">
        <f t="shared" si="0"/>
        <v>10000</v>
      </c>
      <c r="P11" s="6">
        <v>10000</v>
      </c>
      <c r="Q11" s="6">
        <f t="shared" si="1"/>
        <v>0</v>
      </c>
      <c r="T11">
        <f t="shared" si="4"/>
        <v>10000</v>
      </c>
      <c r="U11" t="str">
        <f t="shared" si="5"/>
        <v>OK</v>
      </c>
      <c r="V11" s="7">
        <f t="shared" si="6"/>
        <v>0</v>
      </c>
      <c r="W11" t="str">
        <f t="shared" si="7"/>
        <v>OK</v>
      </c>
      <c r="X11" t="s">
        <v>83</v>
      </c>
      <c r="Y11" t="s">
        <v>120</v>
      </c>
    </row>
    <row r="12" spans="1:25" x14ac:dyDescent="0.2">
      <c r="A12" t="str">
        <f t="shared" si="2"/>
        <v>TRIP-HF-011</v>
      </c>
      <c r="B12" s="8">
        <v>45681</v>
      </c>
      <c r="C12" t="str">
        <f>_xlfn.XLOOKUP(D12,'[1]Jan Customer Duplicate Hyva'!$B:$B,'[1]Jan Customer Duplicate Hyva'!$A:$A,"NOT FOUND")</f>
        <v>CUST-399</v>
      </c>
      <c r="D12" s="3" t="s">
        <v>88</v>
      </c>
      <c r="E12" s="3" t="s">
        <v>29</v>
      </c>
      <c r="F12" t="str">
        <f t="shared" si="3"/>
        <v>Anshu</v>
      </c>
      <c r="I12" t="str">
        <f>_xlfn.XLOOKUP(F12,'[1]Jan Labour Nd Drivers Hyva'!$B:$B,'[1]Jan Labour Nd Drivers Hyva'!$A:$A,"NOT FOUND")</f>
        <v>LAB-002</v>
      </c>
      <c r="L12" s="3" t="s">
        <v>38</v>
      </c>
      <c r="M12" s="5">
        <v>1</v>
      </c>
      <c r="N12" s="6">
        <v>10000</v>
      </c>
      <c r="O12" s="6">
        <f t="shared" si="0"/>
        <v>10000</v>
      </c>
      <c r="P12" s="6">
        <v>10000</v>
      </c>
      <c r="Q12" s="6">
        <f t="shared" si="1"/>
        <v>0</v>
      </c>
      <c r="T12">
        <f t="shared" si="4"/>
        <v>10000</v>
      </c>
      <c r="U12" t="str">
        <f t="shared" si="5"/>
        <v>OK</v>
      </c>
      <c r="V12" s="7">
        <f t="shared" si="6"/>
        <v>0</v>
      </c>
      <c r="W12" t="str">
        <f t="shared" si="7"/>
        <v>OK</v>
      </c>
      <c r="X12" t="s">
        <v>83</v>
      </c>
      <c r="Y12" t="s">
        <v>120</v>
      </c>
    </row>
    <row r="13" spans="1:25" x14ac:dyDescent="0.2">
      <c r="A13" t="str">
        <f t="shared" si="2"/>
        <v>TRIP-HF-012</v>
      </c>
      <c r="B13" s="8">
        <v>45682</v>
      </c>
      <c r="C13" t="str">
        <f>_xlfn.XLOOKUP(D13,'[1]Jan Customer Duplicate Hyva'!$B:$B,'[1]Jan Customer Duplicate Hyva'!$A:$A,"NOT FOUND")</f>
        <v>NOT FOUND</v>
      </c>
      <c r="D13" s="3" t="s">
        <v>96</v>
      </c>
      <c r="E13" s="3" t="s">
        <v>29</v>
      </c>
      <c r="F13" t="str">
        <f t="shared" si="3"/>
        <v>Anshu</v>
      </c>
      <c r="I13" t="str">
        <f>_xlfn.XLOOKUP(F13,'[1]Jan Labour Nd Drivers Hyva'!$B:$B,'[1]Jan Labour Nd Drivers Hyva'!$A:$A,"NOT FOUND")</f>
        <v>LAB-002</v>
      </c>
      <c r="L13" s="3" t="s">
        <v>97</v>
      </c>
      <c r="M13" s="5">
        <v>1</v>
      </c>
      <c r="N13" s="6">
        <v>10000</v>
      </c>
      <c r="O13" s="6">
        <f t="shared" si="0"/>
        <v>10000</v>
      </c>
      <c r="P13" s="6">
        <v>10000</v>
      </c>
      <c r="Q13" s="6">
        <f t="shared" si="1"/>
        <v>0</v>
      </c>
      <c r="T13">
        <f t="shared" si="4"/>
        <v>10000</v>
      </c>
      <c r="U13" t="str">
        <f t="shared" si="5"/>
        <v>OK</v>
      </c>
      <c r="V13" s="7">
        <f t="shared" si="6"/>
        <v>0</v>
      </c>
      <c r="W13" t="str">
        <f t="shared" si="7"/>
        <v>OK</v>
      </c>
      <c r="X13" t="s">
        <v>83</v>
      </c>
      <c r="Y13" t="s">
        <v>120</v>
      </c>
    </row>
    <row r="14" spans="1:25" x14ac:dyDescent="0.2">
      <c r="A14" t="str">
        <f t="shared" si="2"/>
        <v>TRIP-HF-013</v>
      </c>
      <c r="B14" s="8">
        <v>45688</v>
      </c>
      <c r="C14" t="str">
        <f>_xlfn.XLOOKUP(D14,'[1]Jan Customer Duplicate Hyva'!$B:$B,'[1]Jan Customer Duplicate Hyva'!$A:$A,"NOT FOUND")</f>
        <v>CUST-402</v>
      </c>
      <c r="D14" s="3" t="s">
        <v>85</v>
      </c>
      <c r="E14" s="3" t="s">
        <v>29</v>
      </c>
      <c r="F14" t="str">
        <f t="shared" si="3"/>
        <v>Anshu</v>
      </c>
      <c r="I14" t="str">
        <f>_xlfn.XLOOKUP(F14,'[1]Jan Labour Nd Drivers Hyva'!$B:$B,'[1]Jan Labour Nd Drivers Hyva'!$A:$A,"NOT FOUND")</f>
        <v>LAB-002</v>
      </c>
      <c r="L14" s="3" t="s">
        <v>86</v>
      </c>
      <c r="M14" s="5">
        <v>1</v>
      </c>
      <c r="N14" s="6">
        <v>10000</v>
      </c>
      <c r="O14" s="6">
        <f t="shared" si="0"/>
        <v>10000</v>
      </c>
      <c r="P14" s="6">
        <v>10000</v>
      </c>
      <c r="Q14" s="6">
        <f t="shared" si="1"/>
        <v>0</v>
      </c>
      <c r="T14">
        <f t="shared" si="4"/>
        <v>10000</v>
      </c>
      <c r="U14" t="str">
        <f t="shared" si="5"/>
        <v>OK</v>
      </c>
      <c r="V14" s="7">
        <f t="shared" si="6"/>
        <v>0</v>
      </c>
      <c r="W14" t="str">
        <f t="shared" si="7"/>
        <v>OK</v>
      </c>
      <c r="X14" t="s">
        <v>83</v>
      </c>
      <c r="Y14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6B2D-FCE2-C248-97C4-2BC4B8C740AD}">
  <dimension ref="A1:Z39"/>
  <sheetViews>
    <sheetView tabSelected="1" topLeftCell="F1" zoomScale="90" workbookViewId="0">
      <selection activeCell="C30" sqref="C30"/>
    </sheetView>
  </sheetViews>
  <sheetFormatPr baseColWidth="10" defaultRowHeight="16" x14ac:dyDescent="0.2"/>
  <cols>
    <col min="2" max="2" width="23.83203125" bestFit="1" customWidth="1"/>
    <col min="3" max="3" width="14.1640625" bestFit="1" customWidth="1"/>
    <col min="4" max="4" width="23.1640625" bestFit="1" customWidth="1"/>
    <col min="6" max="7" width="8.1640625" bestFit="1" customWidth="1"/>
    <col min="12" max="12" width="16.83203125" bestFit="1" customWidth="1"/>
    <col min="19" max="19" width="6.5" bestFit="1" customWidth="1"/>
    <col min="23" max="23" width="13.5" bestFit="1" customWidth="1"/>
    <col min="24" max="24" width="18.83203125" bestFit="1" customWidth="1"/>
    <col min="25" max="25" width="12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122</v>
      </c>
      <c r="Y1" s="1" t="s">
        <v>119</v>
      </c>
      <c r="Z1" s="1" t="s">
        <v>23</v>
      </c>
    </row>
    <row r="2" spans="1:26" x14ac:dyDescent="0.2">
      <c r="A2" t="str">
        <f>"TRIP-T-"&amp;TEXT(ROW()-1,"000")</f>
        <v>TRIP-T-001</v>
      </c>
      <c r="B2" s="13">
        <v>45667</v>
      </c>
      <c r="C2" t="str">
        <f>IF(X2="CUSTOMER DELIVERY",_xlfn.XLOOKUP(D2,'[1]Jan Customer Duplicate Hyva'!$B:$B,'[1]Jan Customer Duplicate Hyva'!$A:$A,"NOT FOUND"),"")</f>
        <v>NOT FOUND</v>
      </c>
      <c r="D2" s="3" t="s">
        <v>123</v>
      </c>
      <c r="L2" s="3" t="s">
        <v>124</v>
      </c>
      <c r="M2" s="5">
        <v>1</v>
      </c>
      <c r="N2" s="6">
        <v>4000</v>
      </c>
      <c r="O2" s="6">
        <f t="shared" ref="O2:O7" si="0">N2*M2</f>
        <v>4000</v>
      </c>
      <c r="P2" s="6">
        <v>4000</v>
      </c>
      <c r="T2">
        <f>M2*N2</f>
        <v>4000</v>
      </c>
      <c r="U2" t="str">
        <f>IF(ROUND(T2,2)=ROUND(O2,2),"OK","CHECK")</f>
        <v>OK</v>
      </c>
      <c r="V2" s="7">
        <f>O2-P2</f>
        <v>0</v>
      </c>
      <c r="W2" t="str">
        <f>IF(ROUND(V2,2)=ROUND(Q2,2),"OK","CHECK")</f>
        <v>OK</v>
      </c>
      <c r="X2" t="s">
        <v>125</v>
      </c>
      <c r="Y2" t="s">
        <v>120</v>
      </c>
      <c r="Z2" t="s">
        <v>134</v>
      </c>
    </row>
    <row r="3" spans="1:26" x14ac:dyDescent="0.2">
      <c r="A3" t="str">
        <f t="shared" ref="A3:A33" si="1">"TRIP-T-"&amp;TEXT(ROW()-1,"000")</f>
        <v>TRIP-T-002</v>
      </c>
      <c r="B3" s="13">
        <v>45669</v>
      </c>
      <c r="C3" t="str">
        <f>IF(X3="CUSTOMER DELIVERY",_xlfn.XLOOKUP(D3,'[1]Jan Customer Duplicate Hyva'!$B:$B,'[1]Jan Customer Duplicate Hyva'!$A:$A,"NOT FOUND"),"")</f>
        <v>NOT FOUND</v>
      </c>
      <c r="D3" s="3" t="s">
        <v>126</v>
      </c>
      <c r="L3" s="3" t="s">
        <v>38</v>
      </c>
      <c r="M3" s="5">
        <v>1</v>
      </c>
      <c r="N3" s="6">
        <v>4000</v>
      </c>
      <c r="O3" s="6">
        <f t="shared" si="0"/>
        <v>4000</v>
      </c>
      <c r="P3" s="6">
        <v>4000</v>
      </c>
      <c r="T3">
        <f t="shared" ref="T3:T33" si="2">M3*N3</f>
        <v>4000</v>
      </c>
      <c r="U3" t="str">
        <f t="shared" ref="U3:U33" si="3">IF(ROUND(T3,2)=ROUND(O3,2),"OK","CHECK")</f>
        <v>OK</v>
      </c>
      <c r="V3" s="7">
        <f t="shared" ref="V3:V33" si="4">O3-P3</f>
        <v>0</v>
      </c>
      <c r="W3" t="str">
        <f t="shared" ref="W3:W33" si="5">IF(ROUND(V3,2)=ROUND(Q3,2),"OK","CHECK")</f>
        <v>OK</v>
      </c>
      <c r="X3" t="s">
        <v>125</v>
      </c>
      <c r="Y3" t="s">
        <v>120</v>
      </c>
      <c r="Z3" t="s">
        <v>134</v>
      </c>
    </row>
    <row r="4" spans="1:26" x14ac:dyDescent="0.2">
      <c r="A4" t="str">
        <f t="shared" si="1"/>
        <v>TRIP-T-003</v>
      </c>
      <c r="B4" s="13">
        <v>45672</v>
      </c>
      <c r="C4" t="str">
        <f>IF(X4="CUSTOMER DELIVERY",_xlfn.XLOOKUP(D4,'[1]Jan Customer Duplicate Hyva'!$B:$B,'[1]Jan Customer Duplicate Hyva'!$A:$A,"NOT FOUND"),"")</f>
        <v>CUST-090</v>
      </c>
      <c r="D4" s="14" t="s">
        <v>127</v>
      </c>
      <c r="L4" s="14" t="s">
        <v>128</v>
      </c>
      <c r="M4" s="15">
        <v>1</v>
      </c>
      <c r="N4" s="6">
        <v>1000</v>
      </c>
      <c r="O4" s="6">
        <f t="shared" si="0"/>
        <v>1000</v>
      </c>
      <c r="P4" s="6">
        <v>1000</v>
      </c>
      <c r="T4">
        <f t="shared" si="2"/>
        <v>1000</v>
      </c>
      <c r="U4" t="str">
        <f t="shared" si="3"/>
        <v>OK</v>
      </c>
      <c r="V4" s="7">
        <f t="shared" si="4"/>
        <v>0</v>
      </c>
      <c r="W4" t="str">
        <f t="shared" si="5"/>
        <v>OK</v>
      </c>
      <c r="X4" t="s">
        <v>125</v>
      </c>
      <c r="Y4" t="s">
        <v>120</v>
      </c>
      <c r="Z4" t="s">
        <v>134</v>
      </c>
    </row>
    <row r="5" spans="1:26" x14ac:dyDescent="0.2">
      <c r="A5" t="str">
        <f t="shared" si="1"/>
        <v>TRIP-T-004</v>
      </c>
      <c r="B5" s="13">
        <v>45673</v>
      </c>
      <c r="C5" t="str">
        <f>IF(X5="CUSTOMER DELIVERY",_xlfn.XLOOKUP(D5,'[1]Jan Customer Duplicate Hyva'!$B:$B,'[1]Jan Customer Duplicate Hyva'!$A:$A,"NOT FOUND"),"")</f>
        <v>NOT FOUND</v>
      </c>
      <c r="D5" s="14" t="s">
        <v>123</v>
      </c>
      <c r="L5" s="14" t="s">
        <v>124</v>
      </c>
      <c r="M5" s="15">
        <v>1</v>
      </c>
      <c r="N5" s="6">
        <v>4000</v>
      </c>
      <c r="O5" s="6">
        <f t="shared" si="0"/>
        <v>4000</v>
      </c>
      <c r="P5" s="6">
        <v>4000</v>
      </c>
      <c r="T5">
        <f t="shared" si="2"/>
        <v>4000</v>
      </c>
      <c r="U5" t="str">
        <f t="shared" si="3"/>
        <v>OK</v>
      </c>
      <c r="V5" s="7">
        <f t="shared" si="4"/>
        <v>0</v>
      </c>
      <c r="W5" t="str">
        <f t="shared" si="5"/>
        <v>OK</v>
      </c>
      <c r="X5" t="s">
        <v>125</v>
      </c>
      <c r="Y5" t="s">
        <v>120</v>
      </c>
      <c r="Z5" t="s">
        <v>134</v>
      </c>
    </row>
    <row r="6" spans="1:26" x14ac:dyDescent="0.2">
      <c r="A6" t="str">
        <f t="shared" si="1"/>
        <v>TRIP-T-005</v>
      </c>
      <c r="B6" s="13">
        <v>45675</v>
      </c>
      <c r="C6" t="str">
        <f>IF(X6="CUSTOMER DELIVERY",_xlfn.XLOOKUP(D6,'[1]Jan Customer Duplicate Hyva'!$B:$B,'[1]Jan Customer Duplicate Hyva'!$A:$A,"NOT FOUND"),"")</f>
        <v>NOT FOUND</v>
      </c>
      <c r="D6" s="14" t="s">
        <v>126</v>
      </c>
      <c r="L6" s="14" t="s">
        <v>38</v>
      </c>
      <c r="M6" s="15">
        <v>1</v>
      </c>
      <c r="N6" s="6">
        <v>4000</v>
      </c>
      <c r="O6" s="6">
        <f t="shared" si="0"/>
        <v>4000</v>
      </c>
      <c r="P6" s="6">
        <v>4000</v>
      </c>
      <c r="T6">
        <f t="shared" si="2"/>
        <v>4000</v>
      </c>
      <c r="U6" t="str">
        <f t="shared" si="3"/>
        <v>OK</v>
      </c>
      <c r="V6" s="7">
        <f t="shared" si="4"/>
        <v>0</v>
      </c>
      <c r="W6" t="str">
        <f t="shared" si="5"/>
        <v>OK</v>
      </c>
      <c r="X6" t="s">
        <v>125</v>
      </c>
      <c r="Y6" t="s">
        <v>120</v>
      </c>
      <c r="Z6" t="s">
        <v>134</v>
      </c>
    </row>
    <row r="7" spans="1:26" x14ac:dyDescent="0.2">
      <c r="A7" t="str">
        <f t="shared" si="1"/>
        <v>TRIP-T-006</v>
      </c>
      <c r="B7" s="13">
        <v>45681</v>
      </c>
      <c r="C7" t="str">
        <f>IF(X7="CUSTOMER DELIVERY",_xlfn.XLOOKUP(D7,'[1]Jan Customer Duplicate Hyva'!$B:$B,'[1]Jan Customer Duplicate Hyva'!$A:$A,"NOT FOUND"),"")</f>
        <v>NOT FOUND</v>
      </c>
      <c r="D7" s="14" t="s">
        <v>129</v>
      </c>
      <c r="L7" s="14" t="s">
        <v>130</v>
      </c>
      <c r="M7" s="15">
        <v>1</v>
      </c>
      <c r="N7" s="6">
        <v>4000</v>
      </c>
      <c r="O7" s="6">
        <f t="shared" si="0"/>
        <v>4000</v>
      </c>
      <c r="P7" s="6">
        <v>4000</v>
      </c>
      <c r="T7">
        <f t="shared" si="2"/>
        <v>4000</v>
      </c>
      <c r="U7" t="str">
        <f t="shared" si="3"/>
        <v>OK</v>
      </c>
      <c r="V7" s="7">
        <f t="shared" si="4"/>
        <v>0</v>
      </c>
      <c r="W7" t="str">
        <f t="shared" si="5"/>
        <v>OK</v>
      </c>
      <c r="X7" t="s">
        <v>125</v>
      </c>
      <c r="Y7" t="s">
        <v>120</v>
      </c>
      <c r="Z7" t="s">
        <v>134</v>
      </c>
    </row>
    <row r="8" spans="1:26" x14ac:dyDescent="0.2">
      <c r="A8" t="str">
        <f t="shared" si="1"/>
        <v>TRIP-T-007</v>
      </c>
      <c r="B8" s="13">
        <v>45681</v>
      </c>
      <c r="C8" t="str">
        <f>IF(X8="CUSTOMER DELIVERY",_xlfn.XLOOKUP(D8,'[1]Jan Customer Duplicate Hyva'!$B:$B,'[1]Jan Customer Duplicate Hyva'!$A:$A,"NOT FOUND"),"")</f>
        <v>CUST-261</v>
      </c>
      <c r="D8" s="14" t="s">
        <v>131</v>
      </c>
      <c r="L8" s="14" t="s">
        <v>38</v>
      </c>
      <c r="M8" s="15">
        <v>1</v>
      </c>
      <c r="N8" s="6">
        <v>4000</v>
      </c>
      <c r="O8" s="6">
        <f t="shared" ref="O8:O9" si="6">N8*M8</f>
        <v>4000</v>
      </c>
      <c r="P8" s="6">
        <v>4000</v>
      </c>
      <c r="T8">
        <f t="shared" si="2"/>
        <v>4000</v>
      </c>
      <c r="U8" t="str">
        <f t="shared" si="3"/>
        <v>OK</v>
      </c>
      <c r="V8" s="7">
        <f t="shared" si="4"/>
        <v>0</v>
      </c>
      <c r="W8" t="str">
        <f t="shared" si="5"/>
        <v>OK</v>
      </c>
      <c r="X8" t="s">
        <v>125</v>
      </c>
      <c r="Y8" t="s">
        <v>120</v>
      </c>
      <c r="Z8" t="s">
        <v>134</v>
      </c>
    </row>
    <row r="9" spans="1:26" x14ac:dyDescent="0.2">
      <c r="A9" t="str">
        <f t="shared" si="1"/>
        <v>TRIP-T-008</v>
      </c>
      <c r="B9" s="13">
        <v>45682</v>
      </c>
      <c r="C9">
        <f>IF(X9="CUSTOMER DELIVERY",_xlfn.XLOOKUP(D9,'[1]Jan Customer Duplicate Hyva'!$B:$B,'[1]Jan Customer Duplicate Hyva'!$A:$A,"NOT FOUND"),"")</f>
        <v>0</v>
      </c>
      <c r="D9" s="14"/>
      <c r="L9" s="14" t="s">
        <v>45</v>
      </c>
      <c r="M9" s="15">
        <v>1</v>
      </c>
      <c r="N9" s="6">
        <v>4000</v>
      </c>
      <c r="O9" s="6">
        <f t="shared" si="6"/>
        <v>4000</v>
      </c>
      <c r="P9" s="6">
        <v>4000</v>
      </c>
      <c r="T9">
        <f t="shared" si="2"/>
        <v>4000</v>
      </c>
      <c r="U9" t="str">
        <f t="shared" si="3"/>
        <v>OK</v>
      </c>
      <c r="V9" s="7">
        <f t="shared" si="4"/>
        <v>0</v>
      </c>
      <c r="W9" t="str">
        <f t="shared" si="5"/>
        <v>OK</v>
      </c>
      <c r="X9" t="s">
        <v>125</v>
      </c>
      <c r="Y9" t="s">
        <v>120</v>
      </c>
      <c r="Z9" t="s">
        <v>134</v>
      </c>
    </row>
    <row r="10" spans="1:26" x14ac:dyDescent="0.2">
      <c r="A10" t="str">
        <f t="shared" si="1"/>
        <v>TRIP-T-009</v>
      </c>
      <c r="B10" s="13">
        <v>45658</v>
      </c>
      <c r="C10" t="str">
        <f>IF(X10="CUSTOMER DELIVERY",_xlfn.XLOOKUP(D10,'[1]Jan Customer Duplicate Hyva'!$B:$B,'[1]Jan Customer Duplicate Hyva'!$A:$A,"NOT FOUND"),"")</f>
        <v/>
      </c>
      <c r="L10" s="14" t="s">
        <v>132</v>
      </c>
      <c r="M10" s="16">
        <v>1</v>
      </c>
      <c r="T10">
        <f t="shared" si="2"/>
        <v>0</v>
      </c>
      <c r="U10" t="str">
        <f t="shared" si="3"/>
        <v>OK</v>
      </c>
      <c r="V10" s="7">
        <f t="shared" si="4"/>
        <v>0</v>
      </c>
      <c r="W10" t="str">
        <f t="shared" si="5"/>
        <v>OK</v>
      </c>
      <c r="X10" t="s">
        <v>133</v>
      </c>
      <c r="Y10" t="s">
        <v>120</v>
      </c>
      <c r="Z10" t="s">
        <v>134</v>
      </c>
    </row>
    <row r="11" spans="1:26" x14ac:dyDescent="0.2">
      <c r="A11" t="str">
        <f t="shared" si="1"/>
        <v>TRIP-T-010</v>
      </c>
      <c r="B11" s="13">
        <v>45666</v>
      </c>
      <c r="C11" t="str">
        <f>IF(X11="CUSTOMER DELIVERY",_xlfn.XLOOKUP(D11,'[1]Jan Customer Duplicate Hyva'!$B:$B,'[1]Jan Customer Duplicate Hyva'!$A:$A,"NOT FOUND"),"")</f>
        <v/>
      </c>
      <c r="L11" s="14" t="s">
        <v>132</v>
      </c>
      <c r="M11" s="15">
        <v>3</v>
      </c>
      <c r="T11">
        <f t="shared" si="2"/>
        <v>0</v>
      </c>
      <c r="U11" t="str">
        <f t="shared" si="3"/>
        <v>OK</v>
      </c>
      <c r="V11" s="7">
        <f t="shared" si="4"/>
        <v>0</v>
      </c>
      <c r="W11" t="str">
        <f t="shared" si="5"/>
        <v>OK</v>
      </c>
      <c r="X11" t="s">
        <v>133</v>
      </c>
      <c r="Y11" t="s">
        <v>120</v>
      </c>
      <c r="Z11" t="s">
        <v>134</v>
      </c>
    </row>
    <row r="12" spans="1:26" x14ac:dyDescent="0.2">
      <c r="A12" t="str">
        <f t="shared" si="1"/>
        <v>TRIP-T-011</v>
      </c>
      <c r="B12" s="13">
        <v>45667</v>
      </c>
      <c r="C12" t="str">
        <f>IF(X12="CUSTOMER DELIVERY",_xlfn.XLOOKUP(D12,'[1]Jan Customer Duplicate Hyva'!$B:$B,'[1]Jan Customer Duplicate Hyva'!$A:$A,"NOT FOUND"),"")</f>
        <v/>
      </c>
      <c r="L12" s="14" t="s">
        <v>132</v>
      </c>
      <c r="M12" s="15">
        <v>7</v>
      </c>
      <c r="T12">
        <f t="shared" si="2"/>
        <v>0</v>
      </c>
      <c r="U12" t="str">
        <f t="shared" si="3"/>
        <v>OK</v>
      </c>
      <c r="V12" s="7">
        <f t="shared" si="4"/>
        <v>0</v>
      </c>
      <c r="W12" t="str">
        <f t="shared" si="5"/>
        <v>OK</v>
      </c>
      <c r="X12" t="s">
        <v>133</v>
      </c>
      <c r="Y12" t="s">
        <v>120</v>
      </c>
      <c r="Z12" t="s">
        <v>134</v>
      </c>
    </row>
    <row r="13" spans="1:26" x14ac:dyDescent="0.2">
      <c r="A13" t="str">
        <f t="shared" si="1"/>
        <v>TRIP-T-012</v>
      </c>
      <c r="B13" s="13">
        <v>45668</v>
      </c>
      <c r="C13" t="str">
        <f>IF(X13="CUSTOMER DELIVERY",_xlfn.XLOOKUP(D13,'[1]Jan Customer Duplicate Hyva'!$B:$B,'[1]Jan Customer Duplicate Hyva'!$A:$A,"NOT FOUND"),"")</f>
        <v/>
      </c>
      <c r="L13" s="14" t="s">
        <v>132</v>
      </c>
      <c r="M13" s="15">
        <v>13</v>
      </c>
      <c r="T13">
        <f t="shared" si="2"/>
        <v>0</v>
      </c>
      <c r="U13" t="str">
        <f t="shared" si="3"/>
        <v>OK</v>
      </c>
      <c r="V13" s="7">
        <f t="shared" si="4"/>
        <v>0</v>
      </c>
      <c r="W13" t="str">
        <f t="shared" si="5"/>
        <v>OK</v>
      </c>
      <c r="X13" t="s">
        <v>133</v>
      </c>
      <c r="Y13" t="s">
        <v>120</v>
      </c>
      <c r="Z13" t="s">
        <v>134</v>
      </c>
    </row>
    <row r="14" spans="1:26" x14ac:dyDescent="0.2">
      <c r="A14" t="str">
        <f t="shared" si="1"/>
        <v>TRIP-T-013</v>
      </c>
      <c r="B14" s="13">
        <v>45669</v>
      </c>
      <c r="C14" t="str">
        <f>IF(X14="CUSTOMER DELIVERY",_xlfn.XLOOKUP(D14,'[1]Jan Customer Duplicate Hyva'!$B:$B,'[1]Jan Customer Duplicate Hyva'!$A:$A,"NOT FOUND"),"")</f>
        <v/>
      </c>
      <c r="L14" s="14" t="s">
        <v>132</v>
      </c>
      <c r="M14" s="15">
        <v>11</v>
      </c>
      <c r="T14">
        <f t="shared" si="2"/>
        <v>0</v>
      </c>
      <c r="U14" t="str">
        <f t="shared" si="3"/>
        <v>OK</v>
      </c>
      <c r="V14" s="7">
        <f t="shared" si="4"/>
        <v>0</v>
      </c>
      <c r="W14" t="str">
        <f t="shared" si="5"/>
        <v>OK</v>
      </c>
      <c r="X14" t="s">
        <v>133</v>
      </c>
      <c r="Y14" t="s">
        <v>120</v>
      </c>
      <c r="Z14" t="s">
        <v>134</v>
      </c>
    </row>
    <row r="15" spans="1:26" x14ac:dyDescent="0.2">
      <c r="A15" t="str">
        <f t="shared" si="1"/>
        <v>TRIP-T-014</v>
      </c>
      <c r="B15" s="13">
        <v>45670</v>
      </c>
      <c r="C15" t="str">
        <f>IF(X15="CUSTOMER DELIVERY",_xlfn.XLOOKUP(D15,'[1]Jan Customer Duplicate Hyva'!$B:$B,'[1]Jan Customer Duplicate Hyva'!$A:$A,"NOT FOUND"),"")</f>
        <v/>
      </c>
      <c r="L15" s="14" t="s">
        <v>132</v>
      </c>
      <c r="M15" s="15">
        <v>12</v>
      </c>
      <c r="T15">
        <f t="shared" si="2"/>
        <v>0</v>
      </c>
      <c r="U15" t="str">
        <f t="shared" si="3"/>
        <v>OK</v>
      </c>
      <c r="V15" s="7">
        <f t="shared" si="4"/>
        <v>0</v>
      </c>
      <c r="W15" t="str">
        <f t="shared" si="5"/>
        <v>OK</v>
      </c>
      <c r="X15" t="s">
        <v>133</v>
      </c>
      <c r="Y15" t="s">
        <v>120</v>
      </c>
      <c r="Z15" t="s">
        <v>134</v>
      </c>
    </row>
    <row r="16" spans="1:26" x14ac:dyDescent="0.2">
      <c r="A16" t="str">
        <f t="shared" si="1"/>
        <v>TRIP-T-015</v>
      </c>
      <c r="B16" s="13">
        <v>45671</v>
      </c>
      <c r="C16" t="str">
        <f>IF(X16="CUSTOMER DELIVERY",_xlfn.XLOOKUP(D16,'[1]Jan Customer Duplicate Hyva'!$B:$B,'[1]Jan Customer Duplicate Hyva'!$A:$A,"NOT FOUND"),"")</f>
        <v/>
      </c>
      <c r="L16" s="14" t="s">
        <v>132</v>
      </c>
      <c r="M16" s="15">
        <v>16</v>
      </c>
      <c r="T16">
        <f t="shared" si="2"/>
        <v>0</v>
      </c>
      <c r="U16" t="str">
        <f t="shared" si="3"/>
        <v>OK</v>
      </c>
      <c r="V16" s="7">
        <f t="shared" si="4"/>
        <v>0</v>
      </c>
      <c r="W16" t="str">
        <f t="shared" si="5"/>
        <v>OK</v>
      </c>
      <c r="X16" t="s">
        <v>133</v>
      </c>
      <c r="Y16" t="s">
        <v>120</v>
      </c>
      <c r="Z16" t="s">
        <v>134</v>
      </c>
    </row>
    <row r="17" spans="1:26" x14ac:dyDescent="0.2">
      <c r="A17" t="str">
        <f t="shared" si="1"/>
        <v>TRIP-T-016</v>
      </c>
      <c r="B17" s="13">
        <v>45672</v>
      </c>
      <c r="C17" t="str">
        <f>IF(X17="CUSTOMER DELIVERY",_xlfn.XLOOKUP(D17,'[1]Jan Customer Duplicate Hyva'!$B:$B,'[1]Jan Customer Duplicate Hyva'!$A:$A,"NOT FOUND"),"")</f>
        <v/>
      </c>
      <c r="L17" s="14" t="s">
        <v>132</v>
      </c>
      <c r="M17" s="15">
        <v>10</v>
      </c>
      <c r="T17">
        <f t="shared" si="2"/>
        <v>0</v>
      </c>
      <c r="U17" t="str">
        <f t="shared" si="3"/>
        <v>OK</v>
      </c>
      <c r="V17" s="7">
        <f t="shared" si="4"/>
        <v>0</v>
      </c>
      <c r="W17" t="str">
        <f t="shared" si="5"/>
        <v>OK</v>
      </c>
      <c r="X17" t="s">
        <v>133</v>
      </c>
      <c r="Y17" t="s">
        <v>120</v>
      </c>
      <c r="Z17" t="s">
        <v>134</v>
      </c>
    </row>
    <row r="18" spans="1:26" x14ac:dyDescent="0.2">
      <c r="A18" t="str">
        <f t="shared" si="1"/>
        <v>TRIP-T-017</v>
      </c>
      <c r="B18" s="13">
        <v>45673</v>
      </c>
      <c r="C18" t="str">
        <f>IF(X18="CUSTOMER DELIVERY",_xlfn.XLOOKUP(D18,'[1]Jan Customer Duplicate Hyva'!$B:$B,'[1]Jan Customer Duplicate Hyva'!$A:$A,"NOT FOUND"),"")</f>
        <v/>
      </c>
      <c r="L18" s="14" t="s">
        <v>132</v>
      </c>
      <c r="M18" s="15">
        <v>10</v>
      </c>
      <c r="T18">
        <f t="shared" si="2"/>
        <v>0</v>
      </c>
      <c r="U18" t="str">
        <f t="shared" si="3"/>
        <v>OK</v>
      </c>
      <c r="V18" s="7">
        <f t="shared" si="4"/>
        <v>0</v>
      </c>
      <c r="W18" t="str">
        <f t="shared" si="5"/>
        <v>OK</v>
      </c>
      <c r="X18" t="s">
        <v>133</v>
      </c>
      <c r="Y18" t="s">
        <v>120</v>
      </c>
      <c r="Z18" t="s">
        <v>134</v>
      </c>
    </row>
    <row r="19" spans="1:26" x14ac:dyDescent="0.2">
      <c r="A19" t="str">
        <f t="shared" si="1"/>
        <v>TRIP-T-018</v>
      </c>
      <c r="B19" s="13">
        <v>45674</v>
      </c>
      <c r="C19" t="str">
        <f>IF(X19="CUSTOMER DELIVERY",_xlfn.XLOOKUP(D19,'[1]Jan Customer Duplicate Hyva'!$B:$B,'[1]Jan Customer Duplicate Hyva'!$A:$A,"NOT FOUND"),"")</f>
        <v/>
      </c>
      <c r="L19" s="14" t="s">
        <v>132</v>
      </c>
      <c r="M19" s="15">
        <v>11</v>
      </c>
      <c r="T19">
        <f t="shared" si="2"/>
        <v>0</v>
      </c>
      <c r="U19" t="str">
        <f t="shared" si="3"/>
        <v>OK</v>
      </c>
      <c r="V19" s="7">
        <f t="shared" si="4"/>
        <v>0</v>
      </c>
      <c r="W19" t="str">
        <f t="shared" si="5"/>
        <v>OK</v>
      </c>
      <c r="X19" t="s">
        <v>133</v>
      </c>
      <c r="Y19" t="s">
        <v>120</v>
      </c>
      <c r="Z19" t="s">
        <v>134</v>
      </c>
    </row>
    <row r="20" spans="1:26" x14ac:dyDescent="0.2">
      <c r="A20" t="str">
        <f t="shared" si="1"/>
        <v>TRIP-T-019</v>
      </c>
      <c r="B20" s="13">
        <v>45675</v>
      </c>
      <c r="C20" t="str">
        <f>IF(X20="CUSTOMER DELIVERY",_xlfn.XLOOKUP(D20,'[1]Jan Customer Duplicate Hyva'!$B:$B,'[1]Jan Customer Duplicate Hyva'!$A:$A,"NOT FOUND"),"")</f>
        <v/>
      </c>
      <c r="L20" s="14" t="s">
        <v>132</v>
      </c>
      <c r="M20" s="15">
        <v>15</v>
      </c>
      <c r="T20">
        <f t="shared" si="2"/>
        <v>0</v>
      </c>
      <c r="U20" t="str">
        <f t="shared" si="3"/>
        <v>OK</v>
      </c>
      <c r="V20" s="7">
        <f t="shared" si="4"/>
        <v>0</v>
      </c>
      <c r="W20" t="str">
        <f t="shared" si="5"/>
        <v>OK</v>
      </c>
      <c r="X20" t="s">
        <v>133</v>
      </c>
      <c r="Y20" t="s">
        <v>120</v>
      </c>
      <c r="Z20" t="s">
        <v>134</v>
      </c>
    </row>
    <row r="21" spans="1:26" x14ac:dyDescent="0.2">
      <c r="A21" t="str">
        <f t="shared" si="1"/>
        <v>TRIP-T-020</v>
      </c>
      <c r="B21" s="13">
        <v>45676</v>
      </c>
      <c r="C21" t="str">
        <f>IF(X21="CUSTOMER DELIVERY",_xlfn.XLOOKUP(D21,'[1]Jan Customer Duplicate Hyva'!$B:$B,'[1]Jan Customer Duplicate Hyva'!$A:$A,"NOT FOUND"),"")</f>
        <v/>
      </c>
      <c r="L21" s="14" t="s">
        <v>132</v>
      </c>
      <c r="M21" s="15">
        <v>5</v>
      </c>
      <c r="T21">
        <f t="shared" si="2"/>
        <v>0</v>
      </c>
      <c r="U21" t="str">
        <f t="shared" si="3"/>
        <v>OK</v>
      </c>
      <c r="V21" s="7">
        <f t="shared" si="4"/>
        <v>0</v>
      </c>
      <c r="W21" t="str">
        <f t="shared" si="5"/>
        <v>OK</v>
      </c>
      <c r="X21" t="s">
        <v>133</v>
      </c>
      <c r="Y21" t="s">
        <v>120</v>
      </c>
      <c r="Z21" t="s">
        <v>134</v>
      </c>
    </row>
    <row r="22" spans="1:26" x14ac:dyDescent="0.2">
      <c r="A22" t="str">
        <f t="shared" si="1"/>
        <v>TRIP-T-021</v>
      </c>
      <c r="B22" s="13">
        <v>45677</v>
      </c>
      <c r="C22" t="str">
        <f>IF(X22="CUSTOMER DELIVERY",_xlfn.XLOOKUP(D22,'[1]Jan Customer Duplicate Hyva'!$B:$B,'[1]Jan Customer Duplicate Hyva'!$A:$A,"NOT FOUND"),"")</f>
        <v/>
      </c>
      <c r="L22" s="14" t="s">
        <v>132</v>
      </c>
      <c r="M22" s="15">
        <v>7</v>
      </c>
      <c r="T22">
        <f t="shared" si="2"/>
        <v>0</v>
      </c>
      <c r="U22" t="str">
        <f t="shared" si="3"/>
        <v>OK</v>
      </c>
      <c r="V22" s="7">
        <f t="shared" si="4"/>
        <v>0</v>
      </c>
      <c r="W22" t="str">
        <f t="shared" si="5"/>
        <v>OK</v>
      </c>
      <c r="X22" t="s">
        <v>133</v>
      </c>
      <c r="Y22" t="s">
        <v>120</v>
      </c>
      <c r="Z22" t="s">
        <v>134</v>
      </c>
    </row>
    <row r="23" spans="1:26" x14ac:dyDescent="0.2">
      <c r="A23" t="str">
        <f t="shared" si="1"/>
        <v>TRIP-T-022</v>
      </c>
      <c r="B23" s="13">
        <v>45678</v>
      </c>
      <c r="C23" t="str">
        <f>IF(X23="CUSTOMER DELIVERY",_xlfn.XLOOKUP(D23,'[1]Jan Customer Duplicate Hyva'!$B:$B,'[1]Jan Customer Duplicate Hyva'!$A:$A,"NOT FOUND"),"")</f>
        <v/>
      </c>
      <c r="L23" s="14" t="s">
        <v>132</v>
      </c>
      <c r="M23" s="15">
        <v>13</v>
      </c>
      <c r="T23">
        <f t="shared" si="2"/>
        <v>0</v>
      </c>
      <c r="U23" t="str">
        <f t="shared" si="3"/>
        <v>OK</v>
      </c>
      <c r="V23" s="7">
        <f t="shared" si="4"/>
        <v>0</v>
      </c>
      <c r="W23" t="str">
        <f t="shared" si="5"/>
        <v>OK</v>
      </c>
      <c r="X23" t="s">
        <v>133</v>
      </c>
      <c r="Y23" t="s">
        <v>120</v>
      </c>
      <c r="Z23" t="s">
        <v>134</v>
      </c>
    </row>
    <row r="24" spans="1:26" x14ac:dyDescent="0.2">
      <c r="A24" t="str">
        <f t="shared" si="1"/>
        <v>TRIP-T-023</v>
      </c>
      <c r="B24" s="13">
        <v>45679</v>
      </c>
      <c r="C24" t="str">
        <f>IF(X24="CUSTOMER DELIVERY",_xlfn.XLOOKUP(D24,'[1]Jan Customer Duplicate Hyva'!$B:$B,'[1]Jan Customer Duplicate Hyva'!$A:$A,"NOT FOUND"),"")</f>
        <v/>
      </c>
      <c r="L24" s="14" t="s">
        <v>132</v>
      </c>
      <c r="M24" s="15">
        <v>3</v>
      </c>
      <c r="T24">
        <f t="shared" si="2"/>
        <v>0</v>
      </c>
      <c r="U24" t="str">
        <f t="shared" si="3"/>
        <v>OK</v>
      </c>
      <c r="V24" s="7">
        <f t="shared" si="4"/>
        <v>0</v>
      </c>
      <c r="W24" t="str">
        <f t="shared" si="5"/>
        <v>OK</v>
      </c>
      <c r="X24" t="s">
        <v>133</v>
      </c>
      <c r="Y24" t="s">
        <v>120</v>
      </c>
      <c r="Z24" t="s">
        <v>134</v>
      </c>
    </row>
    <row r="25" spans="1:26" x14ac:dyDescent="0.2">
      <c r="A25" t="str">
        <f t="shared" si="1"/>
        <v>TRIP-T-024</v>
      </c>
      <c r="B25" s="13">
        <v>45680</v>
      </c>
      <c r="C25" t="str">
        <f>IF(X25="CUSTOMER DELIVERY",_xlfn.XLOOKUP(D25,'[1]Jan Customer Duplicate Hyva'!$B:$B,'[1]Jan Customer Duplicate Hyva'!$A:$A,"NOT FOUND"),"")</f>
        <v/>
      </c>
      <c r="L25" s="14" t="s">
        <v>132</v>
      </c>
      <c r="M25" s="15">
        <v>11</v>
      </c>
      <c r="T25">
        <f t="shared" si="2"/>
        <v>0</v>
      </c>
      <c r="U25" t="str">
        <f t="shared" si="3"/>
        <v>OK</v>
      </c>
      <c r="V25" s="7">
        <f t="shared" si="4"/>
        <v>0</v>
      </c>
      <c r="W25" t="str">
        <f t="shared" si="5"/>
        <v>OK</v>
      </c>
      <c r="X25" t="s">
        <v>133</v>
      </c>
      <c r="Y25" t="s">
        <v>120</v>
      </c>
      <c r="Z25" t="s">
        <v>134</v>
      </c>
    </row>
    <row r="26" spans="1:26" x14ac:dyDescent="0.2">
      <c r="A26" t="str">
        <f t="shared" si="1"/>
        <v>TRIP-T-025</v>
      </c>
      <c r="B26" s="13">
        <v>45681</v>
      </c>
      <c r="C26" t="str">
        <f>IF(X26="CUSTOMER DELIVERY",_xlfn.XLOOKUP(D26,'[1]Jan Customer Duplicate Hyva'!$B:$B,'[1]Jan Customer Duplicate Hyva'!$A:$A,"NOT FOUND"),"")</f>
        <v/>
      </c>
      <c r="L26" s="14" t="s">
        <v>132</v>
      </c>
      <c r="M26" s="15">
        <v>11</v>
      </c>
      <c r="T26">
        <f t="shared" si="2"/>
        <v>0</v>
      </c>
      <c r="U26" t="str">
        <f t="shared" si="3"/>
        <v>OK</v>
      </c>
      <c r="V26" s="7">
        <f t="shared" si="4"/>
        <v>0</v>
      </c>
      <c r="W26" t="str">
        <f t="shared" si="5"/>
        <v>OK</v>
      </c>
      <c r="X26" t="s">
        <v>133</v>
      </c>
      <c r="Y26" t="s">
        <v>120</v>
      </c>
      <c r="Z26" t="s">
        <v>134</v>
      </c>
    </row>
    <row r="27" spans="1:26" x14ac:dyDescent="0.2">
      <c r="A27" t="str">
        <f t="shared" si="1"/>
        <v>TRIP-T-026</v>
      </c>
      <c r="B27" s="13">
        <v>45682</v>
      </c>
      <c r="C27" t="str">
        <f>IF(X27="CUSTOMER DELIVERY",_xlfn.XLOOKUP(D27,'[1]Jan Customer Duplicate Hyva'!$B:$B,'[1]Jan Customer Duplicate Hyva'!$A:$A,"NOT FOUND"),"")</f>
        <v/>
      </c>
      <c r="L27" s="14" t="s">
        <v>132</v>
      </c>
      <c r="M27" s="15">
        <v>14</v>
      </c>
      <c r="T27">
        <f t="shared" si="2"/>
        <v>0</v>
      </c>
      <c r="U27" t="str">
        <f t="shared" si="3"/>
        <v>OK</v>
      </c>
      <c r="V27" s="7">
        <f t="shared" si="4"/>
        <v>0</v>
      </c>
      <c r="W27" t="str">
        <f t="shared" si="5"/>
        <v>OK</v>
      </c>
      <c r="X27" t="s">
        <v>133</v>
      </c>
      <c r="Y27" t="s">
        <v>120</v>
      </c>
      <c r="Z27" t="s">
        <v>134</v>
      </c>
    </row>
    <row r="28" spans="1:26" x14ac:dyDescent="0.2">
      <c r="A28" t="str">
        <f t="shared" si="1"/>
        <v>TRIP-T-027</v>
      </c>
      <c r="B28" s="13">
        <v>45683</v>
      </c>
      <c r="C28" t="str">
        <f>IF(X28="CUSTOMER DELIVERY",_xlfn.XLOOKUP(D28,'[1]Jan Customer Duplicate Hyva'!$B:$B,'[1]Jan Customer Duplicate Hyva'!$A:$A,"NOT FOUND"),"")</f>
        <v/>
      </c>
      <c r="L28" s="14" t="s">
        <v>132</v>
      </c>
      <c r="M28" s="15">
        <v>8</v>
      </c>
      <c r="T28">
        <f t="shared" si="2"/>
        <v>0</v>
      </c>
      <c r="U28" t="str">
        <f t="shared" si="3"/>
        <v>OK</v>
      </c>
      <c r="V28" s="7">
        <f t="shared" si="4"/>
        <v>0</v>
      </c>
      <c r="W28" t="str">
        <f t="shared" si="5"/>
        <v>OK</v>
      </c>
      <c r="X28" t="s">
        <v>133</v>
      </c>
      <c r="Y28" t="s">
        <v>120</v>
      </c>
      <c r="Z28" t="s">
        <v>134</v>
      </c>
    </row>
    <row r="29" spans="1:26" x14ac:dyDescent="0.2">
      <c r="A29" t="str">
        <f t="shared" si="1"/>
        <v>TRIP-T-028</v>
      </c>
      <c r="B29" s="13">
        <v>45684</v>
      </c>
      <c r="C29" t="str">
        <f>IF(X29="CUSTOMER DELIVERY",_xlfn.XLOOKUP(D29,'[1]Jan Customer Duplicate Hyva'!$B:$B,'[1]Jan Customer Duplicate Hyva'!$A:$A,"NOT FOUND"),"")</f>
        <v/>
      </c>
      <c r="L29" s="14" t="s">
        <v>132</v>
      </c>
      <c r="M29" s="15">
        <v>10</v>
      </c>
      <c r="T29">
        <f t="shared" si="2"/>
        <v>0</v>
      </c>
      <c r="U29" t="str">
        <f t="shared" si="3"/>
        <v>OK</v>
      </c>
      <c r="V29" s="7">
        <f t="shared" si="4"/>
        <v>0</v>
      </c>
      <c r="W29" t="str">
        <f t="shared" si="5"/>
        <v>OK</v>
      </c>
      <c r="X29" t="s">
        <v>133</v>
      </c>
      <c r="Y29" t="s">
        <v>120</v>
      </c>
      <c r="Z29" t="s">
        <v>134</v>
      </c>
    </row>
    <row r="30" spans="1:26" x14ac:dyDescent="0.2">
      <c r="A30" t="str">
        <f t="shared" si="1"/>
        <v>TRIP-T-029</v>
      </c>
      <c r="B30" s="13">
        <v>45685</v>
      </c>
      <c r="C30" t="str">
        <f>IF(X30="CUSTOMER DELIVERY",_xlfn.XLOOKUP(D30,'[1]Jan Customer Duplicate Hyva'!$B:$B,'[1]Jan Customer Duplicate Hyva'!$A:$A,"NOT FOUND"),"")</f>
        <v/>
      </c>
      <c r="L30" s="14" t="s">
        <v>132</v>
      </c>
      <c r="M30" s="15">
        <v>6</v>
      </c>
      <c r="T30">
        <f t="shared" si="2"/>
        <v>0</v>
      </c>
      <c r="U30" t="str">
        <f t="shared" si="3"/>
        <v>OK</v>
      </c>
      <c r="V30" s="7">
        <f t="shared" si="4"/>
        <v>0</v>
      </c>
      <c r="W30" t="str">
        <f t="shared" si="5"/>
        <v>OK</v>
      </c>
      <c r="X30" t="s">
        <v>133</v>
      </c>
      <c r="Y30" t="s">
        <v>120</v>
      </c>
      <c r="Z30" t="s">
        <v>134</v>
      </c>
    </row>
    <row r="31" spans="1:26" x14ac:dyDescent="0.2">
      <c r="A31" t="str">
        <f t="shared" si="1"/>
        <v>TRIP-T-030</v>
      </c>
      <c r="B31" s="13">
        <v>45686</v>
      </c>
      <c r="C31" t="str">
        <f>IF(X31="CUSTOMER DELIVERY",_xlfn.XLOOKUP(D31,'[1]Jan Customer Duplicate Hyva'!$B:$B,'[1]Jan Customer Duplicate Hyva'!$A:$A,"NOT FOUND"),"")</f>
        <v/>
      </c>
      <c r="L31" s="14" t="s">
        <v>132</v>
      </c>
      <c r="M31" s="15">
        <v>14</v>
      </c>
      <c r="T31">
        <f t="shared" si="2"/>
        <v>0</v>
      </c>
      <c r="U31" t="str">
        <f t="shared" si="3"/>
        <v>OK</v>
      </c>
      <c r="V31" s="7">
        <f t="shared" si="4"/>
        <v>0</v>
      </c>
      <c r="W31" t="str">
        <f t="shared" si="5"/>
        <v>OK</v>
      </c>
      <c r="X31" t="s">
        <v>133</v>
      </c>
      <c r="Y31" t="s">
        <v>120</v>
      </c>
      <c r="Z31" t="s">
        <v>134</v>
      </c>
    </row>
    <row r="32" spans="1:26" x14ac:dyDescent="0.2">
      <c r="A32" t="str">
        <f t="shared" si="1"/>
        <v>TRIP-T-031</v>
      </c>
      <c r="B32" s="13">
        <v>45687</v>
      </c>
      <c r="C32" t="str">
        <f>IF(X32="CUSTOMER DELIVERY",_xlfn.XLOOKUP(D32,'[1]Jan Customer Duplicate Hyva'!$B:$B,'[1]Jan Customer Duplicate Hyva'!$A:$A,"NOT FOUND"),"")</f>
        <v/>
      </c>
      <c r="L32" s="14" t="s">
        <v>132</v>
      </c>
      <c r="M32" s="15">
        <v>21</v>
      </c>
      <c r="T32">
        <f t="shared" si="2"/>
        <v>0</v>
      </c>
      <c r="U32" t="str">
        <f t="shared" si="3"/>
        <v>OK</v>
      </c>
      <c r="V32" s="7">
        <f t="shared" si="4"/>
        <v>0</v>
      </c>
      <c r="W32" t="str">
        <f t="shared" si="5"/>
        <v>OK</v>
      </c>
      <c r="X32" t="s">
        <v>133</v>
      </c>
      <c r="Y32" t="s">
        <v>120</v>
      </c>
      <c r="Z32" t="s">
        <v>134</v>
      </c>
    </row>
    <row r="33" spans="1:26" x14ac:dyDescent="0.2">
      <c r="A33" t="str">
        <f t="shared" si="1"/>
        <v>TRIP-T-032</v>
      </c>
      <c r="B33" s="13">
        <v>45688</v>
      </c>
      <c r="C33" t="str">
        <f>IF(X33="CUSTOMER DELIVERY",_xlfn.XLOOKUP(D33,'[1]Jan Customer Duplicate Hyva'!$B:$B,'[1]Jan Customer Duplicate Hyva'!$A:$A,"NOT FOUND"),"")</f>
        <v/>
      </c>
      <c r="L33" s="14" t="s">
        <v>132</v>
      </c>
      <c r="M33" s="15">
        <v>21</v>
      </c>
      <c r="T33">
        <f t="shared" si="2"/>
        <v>0</v>
      </c>
      <c r="U33" t="str">
        <f t="shared" si="3"/>
        <v>OK</v>
      </c>
      <c r="V33" s="7">
        <f t="shared" si="4"/>
        <v>0</v>
      </c>
      <c r="W33" t="str">
        <f t="shared" si="5"/>
        <v>OK</v>
      </c>
      <c r="X33" t="s">
        <v>133</v>
      </c>
      <c r="Y33" t="s">
        <v>120</v>
      </c>
      <c r="Z33" t="s">
        <v>134</v>
      </c>
    </row>
    <row r="39" spans="1:26" x14ac:dyDescent="0.2">
      <c r="P3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Hyva Trips  White Sand</vt:lpstr>
      <vt:lpstr>Hyva Trip Fly Ash</vt:lpstr>
      <vt:lpstr>Halfton trips</vt:lpstr>
      <vt:lpstr>Tractor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2026-08-14T05:20:33Z</dcterms:created>
  <dcterms:modified xsi:type="dcterms:W3CDTF">2026-08-16T07:45:37Z</dcterms:modified>
</cp:coreProperties>
</file>