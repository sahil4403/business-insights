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waghmare/Desktop/Data Transfer 2024 Raj Construction/"/>
    </mc:Choice>
  </mc:AlternateContent>
  <xr:revisionPtr revIDLastSave="0" documentId="13_ncr:1_{F55781B4-6506-154F-9F0D-1650617BBDFF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Hyva White Sand Payment" sheetId="1" r:id="rId1"/>
    <sheet name="Halfton White Sand" sheetId="2" r:id="rId2"/>
    <sheet name="Tractor" sheetId="3" r:id="rId3"/>
    <sheet name="Hyva Fly Ash Payment" sheetId="4" r:id="rId4"/>
    <sheet name="Import Mapping Audi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5" l="1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B58" i="5"/>
  <c r="B57" i="5"/>
  <c r="B56" i="5"/>
  <c r="B55" i="5"/>
  <c r="B54" i="5"/>
  <c r="B53" i="5"/>
  <c r="B52" i="5"/>
  <c r="B51" i="5"/>
  <c r="B50" i="5"/>
  <c r="B49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9" i="3"/>
  <c r="A8" i="3"/>
  <c r="A7" i="3"/>
  <c r="A6" i="3"/>
  <c r="A5" i="3"/>
  <c r="A4" i="3"/>
  <c r="A3" i="3"/>
  <c r="A2" i="3"/>
  <c r="A12" i="2"/>
  <c r="A11" i="2"/>
  <c r="A10" i="2"/>
  <c r="A9" i="2"/>
  <c r="A8" i="2"/>
  <c r="A7" i="2"/>
  <c r="A6" i="2"/>
  <c r="A5" i="2"/>
  <c r="A4" i="2"/>
  <c r="A3" i="2"/>
  <c r="A2" i="2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<sst xmlns="http://schemas.openxmlformats.org/spreadsheetml/2006/main" count="970" uniqueCount="218">
  <si>
    <t>Payment Code</t>
  </si>
  <si>
    <t>Payment Date</t>
  </si>
  <si>
    <t>Trip Code</t>
  </si>
  <si>
    <t>Customer Name</t>
  </si>
  <si>
    <t>Amount</t>
  </si>
  <si>
    <t>Payment Method</t>
  </si>
  <si>
    <t>Reference Number</t>
  </si>
  <si>
    <t>Notes</t>
  </si>
  <si>
    <t>PAY-001</t>
  </si>
  <si>
    <t>TRIP-HR-001</t>
  </si>
  <si>
    <t>Nitin Prasad</t>
  </si>
  <si>
    <t>Historical payment from 2025 Excel. Original payment date/mode unavailable.</t>
  </si>
  <si>
    <t>PAY-002</t>
  </si>
  <si>
    <t>TRIP-HR-002</t>
  </si>
  <si>
    <t>Aashay</t>
  </si>
  <si>
    <t>PAY-003</t>
  </si>
  <si>
    <t>TRIP-HR-003</t>
  </si>
  <si>
    <t>PAY-004</t>
  </si>
  <si>
    <t>TRIP-HR-004</t>
  </si>
  <si>
    <t>Chetan</t>
  </si>
  <si>
    <t>PAY-005</t>
  </si>
  <si>
    <t>TRIP-HR-005</t>
  </si>
  <si>
    <t>PAY-006</t>
  </si>
  <si>
    <t>TRIP-HR-006</t>
  </si>
  <si>
    <t>PAY-007</t>
  </si>
  <si>
    <t>TRIP-HR-007</t>
  </si>
  <si>
    <t>Shubham Dada</t>
  </si>
  <si>
    <t>PAY-008</t>
  </si>
  <si>
    <t>TRIP-HR-010</t>
  </si>
  <si>
    <t>PAY-009</t>
  </si>
  <si>
    <t>TRIP-HR-012</t>
  </si>
  <si>
    <t>Patel</t>
  </si>
  <si>
    <t>PAY-010</t>
  </si>
  <si>
    <t>TRIP-HR-013</t>
  </si>
  <si>
    <t>PAY-011</t>
  </si>
  <si>
    <t>TRIP-HR-015</t>
  </si>
  <si>
    <t>PAY-012</t>
  </si>
  <si>
    <t>TRIP-HR-016</t>
  </si>
  <si>
    <t>PAY-013</t>
  </si>
  <si>
    <t>TRIP-HR-017</t>
  </si>
  <si>
    <t>PAY-014</t>
  </si>
  <si>
    <t>TRIP-HR-018</t>
  </si>
  <si>
    <t>Rishab Dupare</t>
  </si>
  <si>
    <t>PAY-015</t>
  </si>
  <si>
    <t>TRIP-HR-019</t>
  </si>
  <si>
    <t>PAY-016</t>
  </si>
  <si>
    <t>TRIP-HR-020</t>
  </si>
  <si>
    <t>PAY-017</t>
  </si>
  <si>
    <t>TRIP-HR-021</t>
  </si>
  <si>
    <t>PAY-018</t>
  </si>
  <si>
    <t>TRIP-HR-023</t>
  </si>
  <si>
    <t>PAY-019</t>
  </si>
  <si>
    <t>TRIP-HR-024</t>
  </si>
  <si>
    <t>PAY-020</t>
  </si>
  <si>
    <t>TRIP-HR-025</t>
  </si>
  <si>
    <t>PAY-021</t>
  </si>
  <si>
    <t>TRIP-HR-026</t>
  </si>
  <si>
    <t>PAY-022</t>
  </si>
  <si>
    <t>TRIP-HR-027</t>
  </si>
  <si>
    <t>PAY-023</t>
  </si>
  <si>
    <t>TRIP-HR-028</t>
  </si>
  <si>
    <t>PAY-024</t>
  </si>
  <si>
    <t>TRIP-HR-029</t>
  </si>
  <si>
    <t>PAY-025</t>
  </si>
  <si>
    <t>TRIP-HR-030</t>
  </si>
  <si>
    <t>PAY-026</t>
  </si>
  <si>
    <t>TRIP-HR-031</t>
  </si>
  <si>
    <t>PAY-027</t>
  </si>
  <si>
    <t>TRIP-HR-032</t>
  </si>
  <si>
    <t>PAY-028</t>
  </si>
  <si>
    <t>TRIP-HR-033</t>
  </si>
  <si>
    <t>Sharik</t>
  </si>
  <si>
    <t>PAY-029</t>
  </si>
  <si>
    <t>TRIP-HR-034</t>
  </si>
  <si>
    <t>PAY-030</t>
  </si>
  <si>
    <t>TRIP-HR-035</t>
  </si>
  <si>
    <t>PAY-031</t>
  </si>
  <si>
    <t>TRIP-HR-036</t>
  </si>
  <si>
    <t>PAY-032</t>
  </si>
  <si>
    <t>TRIP-HR-037</t>
  </si>
  <si>
    <t>PAY-033</t>
  </si>
  <si>
    <t>TRIP-HR-038</t>
  </si>
  <si>
    <t>PAY-034</t>
  </si>
  <si>
    <t>TRIP-HR-039</t>
  </si>
  <si>
    <t>PAY-035</t>
  </si>
  <si>
    <t>TRIP-HR-040</t>
  </si>
  <si>
    <t>Nikkil</t>
  </si>
  <si>
    <t>PAY-036</t>
  </si>
  <si>
    <t>TRIP-HR-041</t>
  </si>
  <si>
    <t>PAY-037</t>
  </si>
  <si>
    <t>TRIP-HR-042</t>
  </si>
  <si>
    <t>TRIP-001</t>
  </si>
  <si>
    <t>Preet Bhaiya</t>
  </si>
  <si>
    <t>TRIP-002</t>
  </si>
  <si>
    <t>TRIP-003</t>
  </si>
  <si>
    <t>Izhar</t>
  </si>
  <si>
    <t>TRIP-004</t>
  </si>
  <si>
    <t>Saurabh</t>
  </si>
  <si>
    <t>TRIP-005</t>
  </si>
  <si>
    <t>Toyota</t>
  </si>
  <si>
    <t>TRIP-006</t>
  </si>
  <si>
    <t>Sanjeet</t>
  </si>
  <si>
    <t>TRIP-007</t>
  </si>
  <si>
    <t>Bhandare</t>
  </si>
  <si>
    <t>TRIP-008</t>
  </si>
  <si>
    <t>Gurjit</t>
  </si>
  <si>
    <t>TRIP-009</t>
  </si>
  <si>
    <t>Jaiswal</t>
  </si>
  <si>
    <t>TRIP-010</t>
  </si>
  <si>
    <t>Yuvraj Thakur</t>
  </si>
  <si>
    <t>TRIP-011</t>
  </si>
  <si>
    <t>Malli</t>
  </si>
  <si>
    <t>TRIP-012</t>
  </si>
  <si>
    <t>TRIP-013</t>
  </si>
  <si>
    <t>Shubham Sakarkar</t>
  </si>
  <si>
    <t>TRIP-014</t>
  </si>
  <si>
    <t>Upadya</t>
  </si>
  <si>
    <t>TRIP-015</t>
  </si>
  <si>
    <t>TRIP-016</t>
  </si>
  <si>
    <t>TRIP-018</t>
  </si>
  <si>
    <t>TRIP-019</t>
  </si>
  <si>
    <t>Vishal Singh</t>
  </si>
  <si>
    <t>TRIP-020</t>
  </si>
  <si>
    <t>TRIP-021</t>
  </si>
  <si>
    <t>Sachin K</t>
  </si>
  <si>
    <t>TRIP-022</t>
  </si>
  <si>
    <t>Raj Sir</t>
  </si>
  <si>
    <t>TRIP-023</t>
  </si>
  <si>
    <t>Nishan Bhattar</t>
  </si>
  <si>
    <t>TRIP-024</t>
  </si>
  <si>
    <t>TRIP-025</t>
  </si>
  <si>
    <t>TRIP-026</t>
  </si>
  <si>
    <t>Rupesh Regundewar</t>
  </si>
  <si>
    <t>TRIP-027</t>
  </si>
  <si>
    <t>TRIP-028</t>
  </si>
  <si>
    <t>Vishal Prasad</t>
  </si>
  <si>
    <t>TRIP-029</t>
  </si>
  <si>
    <t>Abhay Adgurwar</t>
  </si>
  <si>
    <t>TRIP-030</t>
  </si>
  <si>
    <t>TRIP-031</t>
  </si>
  <si>
    <t>TRIP-032</t>
  </si>
  <si>
    <t>Meshram</t>
  </si>
  <si>
    <t>TRIP-034</t>
  </si>
  <si>
    <t>Hitesh</t>
  </si>
  <si>
    <t>TRIP-035</t>
  </si>
  <si>
    <t>TRIP-036</t>
  </si>
  <si>
    <t>TRIP-038</t>
  </si>
  <si>
    <t>Salim</t>
  </si>
  <si>
    <t>TRIP-039</t>
  </si>
  <si>
    <t>TRIP-040</t>
  </si>
  <si>
    <t>TRIP-041</t>
  </si>
  <si>
    <t>Abhay Adgurwar ( Parmar )</t>
  </si>
  <si>
    <t>TRIP-042</t>
  </si>
  <si>
    <t>Arbaz</t>
  </si>
  <si>
    <t>TRIP-043</t>
  </si>
  <si>
    <t>TRIP-044</t>
  </si>
  <si>
    <t>TRIP-045</t>
  </si>
  <si>
    <t>Lalit</t>
  </si>
  <si>
    <t>TRIP-046</t>
  </si>
  <si>
    <t>TRIP-047</t>
  </si>
  <si>
    <t>Yadav</t>
  </si>
  <si>
    <t>TRIP-048</t>
  </si>
  <si>
    <t>TRIP-049</t>
  </si>
  <si>
    <t>TRIP-HF-001</t>
  </si>
  <si>
    <t>Historical payment from 2025 Excel; payment date/mode unavailable</t>
  </si>
  <si>
    <t>TRIP-HF-003</t>
  </si>
  <si>
    <t>Bobby Bhaiya</t>
  </si>
  <si>
    <t>TRIP-HF-004</t>
  </si>
  <si>
    <t>Shubham</t>
  </si>
  <si>
    <t>TRIP-HF-005</t>
  </si>
  <si>
    <t>Aupadhya</t>
  </si>
  <si>
    <t>TRIP-HF-006</t>
  </si>
  <si>
    <t>Customer Unknown</t>
  </si>
  <si>
    <t>TRIP-HF-008</t>
  </si>
  <si>
    <t>Gormade</t>
  </si>
  <si>
    <t>TRIP-HF-009</t>
  </si>
  <si>
    <t>Sharif Uncle</t>
  </si>
  <si>
    <t>TRIP-HF-010</t>
  </si>
  <si>
    <t>TRIP-HF-011</t>
  </si>
  <si>
    <t>TRIP-HF-012</t>
  </si>
  <si>
    <t xml:space="preserve">Kiran ( Papa Order ) </t>
  </si>
  <si>
    <t>TRIP-HF-013</t>
  </si>
  <si>
    <t>TRIP-T-001</t>
  </si>
  <si>
    <t>Ramteke ( Raj Dad )</t>
  </si>
  <si>
    <t>TRIP-T-002</t>
  </si>
  <si>
    <t>Arvind Rohankar ( Raj Dad )</t>
  </si>
  <si>
    <t>TRIP-T-003</t>
  </si>
  <si>
    <t>Devrao ( Raj Dad )</t>
  </si>
  <si>
    <t>TRIP-T-004</t>
  </si>
  <si>
    <t>TRIP-T-005</t>
  </si>
  <si>
    <t>TRIP-T-006</t>
  </si>
  <si>
    <t>Suresh Pachare ( Raj Dad )</t>
  </si>
  <si>
    <t>TRIP-T-007</t>
  </si>
  <si>
    <t>Raju Bala ( Raj Dad )</t>
  </si>
  <si>
    <t>TRIP-T-008</t>
  </si>
  <si>
    <t xml:space="preserve">Near Yenurkar House </t>
  </si>
  <si>
    <t>Payment Sheet</t>
  </si>
  <si>
    <t>Old Trip Code</t>
  </si>
  <si>
    <t>Corrected Trip Code</t>
  </si>
  <si>
    <t>Payment Customer</t>
  </si>
  <si>
    <t>Payment Amount</t>
  </si>
  <si>
    <t>Trip Customer</t>
  </si>
  <si>
    <t>Trip Received</t>
  </si>
  <si>
    <t>Status</t>
  </si>
  <si>
    <t>Hyva White Sand Payment</t>
  </si>
  <si>
    <t>CHANGED</t>
  </si>
  <si>
    <t>Saurabh Vidhate</t>
  </si>
  <si>
    <t>Malli Bhaiya</t>
  </si>
  <si>
    <t>Halfton White Sand</t>
  </si>
  <si>
    <t>OK</t>
  </si>
  <si>
    <t>Kiran ( Papa Order )</t>
  </si>
  <si>
    <t>Tractor</t>
  </si>
  <si>
    <t>Hyva Fly Ash Payment</t>
  </si>
  <si>
    <t>TRIP-HR-008</t>
  </si>
  <si>
    <t>TRIP-HR-009</t>
  </si>
  <si>
    <t>TRIP-HR-011</t>
  </si>
  <si>
    <t>TRIP-HR-014</t>
  </si>
  <si>
    <t>TRIP-HR-022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</si>
</sst>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800]dddd\,\ mmmm\ dd\,\ yyyy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165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topLeftCell="A38" zoomScale="119" workbookViewId="0">
      <selection activeCell="H67" sqref="H67"/>
    </sheetView>
  </sheetViews>
  <sheetFormatPr baseColWidth="10" defaultRowHeight="16" x14ac:dyDescent="0.2"/>
  <cols>
    <col min="1" max="1" width="12.83203125" bestFit="1" customWidth="1"/>
    <col min="2" max="2" width="12.5" bestFit="1" customWidth="1"/>
    <col min="3" max="3" width="8.83203125" bestFit="1" customWidth="1"/>
    <col min="4" max="4" width="22.33203125" bestFit="1" customWidth="1"/>
    <col min="5" max="5" width="10.6640625" bestFit="1" customWidth="1"/>
    <col min="6" max="6" width="14.6640625" bestFit="1" customWidth="1"/>
    <col min="7" max="7" width="16.5" bestFit="1" customWidth="1"/>
    <col min="8" max="8" width="6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tr">
        <f t="shared" ref="A2:A47" si="0">"PAY-"&amp;TEXT(ROW()-1,"000")</f>
        <v>PAY-001</v>
      </c>
      <c r="C2" t="s">
        <v>91</v>
      </c>
      <c r="D2" s="1" t="s">
        <v>92</v>
      </c>
      <c r="E2" s="2">
        <v>32000</v>
      </c>
      <c r="H2" t="s">
        <v>11</v>
      </c>
    </row>
    <row r="3" spans="1:8" x14ac:dyDescent="0.2">
      <c r="A3" t="str">
        <f t="shared" si="0"/>
        <v>PAY-002</v>
      </c>
      <c r="C3" t="s">
        <v>93</v>
      </c>
      <c r="D3" s="1" t="s">
        <v>19</v>
      </c>
      <c r="E3" s="2">
        <v>31000</v>
      </c>
      <c r="H3" t="s">
        <v>11</v>
      </c>
    </row>
    <row r="4" spans="1:8" x14ac:dyDescent="0.2">
      <c r="A4" t="str">
        <f t="shared" si="0"/>
        <v>PAY-003</v>
      </c>
      <c r="C4" t="s">
        <v>94</v>
      </c>
      <c r="D4" s="1" t="s">
        <v>95</v>
      </c>
      <c r="E4" s="2">
        <v>40000</v>
      </c>
      <c r="H4" t="s">
        <v>11</v>
      </c>
    </row>
    <row r="5" spans="1:8" x14ac:dyDescent="0.2">
      <c r="A5" t="str">
        <f t="shared" si="0"/>
        <v>PAY-004</v>
      </c>
      <c r="C5" t="s">
        <v>96</v>
      </c>
      <c r="D5" s="1" t="s">
        <v>97</v>
      </c>
      <c r="E5" s="2">
        <v>35000</v>
      </c>
      <c r="H5" t="s">
        <v>11</v>
      </c>
    </row>
    <row r="6" spans="1:8" x14ac:dyDescent="0.2">
      <c r="A6" t="str">
        <f t="shared" si="0"/>
        <v>PAY-005</v>
      </c>
      <c r="C6" t="s">
        <v>98</v>
      </c>
      <c r="D6" s="1" t="s">
        <v>99</v>
      </c>
      <c r="E6" s="2">
        <v>38000</v>
      </c>
      <c r="H6" t="s">
        <v>11</v>
      </c>
    </row>
    <row r="7" spans="1:8" x14ac:dyDescent="0.2">
      <c r="A7" t="str">
        <f t="shared" si="0"/>
        <v>PAY-006</v>
      </c>
      <c r="C7" t="s">
        <v>100</v>
      </c>
      <c r="D7" s="1" t="s">
        <v>101</v>
      </c>
      <c r="E7" s="2">
        <v>35000</v>
      </c>
      <c r="H7" t="s">
        <v>11</v>
      </c>
    </row>
    <row r="8" spans="1:8" x14ac:dyDescent="0.2">
      <c r="A8" t="str">
        <f t="shared" si="0"/>
        <v>PAY-007</v>
      </c>
      <c r="C8" t="s">
        <v>102</v>
      </c>
      <c r="D8" s="1" t="s">
        <v>103</v>
      </c>
      <c r="E8" s="2">
        <v>20000</v>
      </c>
      <c r="H8" t="s">
        <v>11</v>
      </c>
    </row>
    <row r="9" spans="1:8" x14ac:dyDescent="0.2">
      <c r="A9" t="str">
        <f t="shared" si="0"/>
        <v>PAY-008</v>
      </c>
      <c r="C9" t="s">
        <v>104</v>
      </c>
      <c r="D9" s="1" t="s">
        <v>105</v>
      </c>
      <c r="E9" s="2">
        <v>34000</v>
      </c>
      <c r="H9" t="s">
        <v>11</v>
      </c>
    </row>
    <row r="10" spans="1:8" x14ac:dyDescent="0.2">
      <c r="A10" t="str">
        <f t="shared" si="0"/>
        <v>PAY-009</v>
      </c>
      <c r="C10" t="s">
        <v>106</v>
      </c>
      <c r="D10" s="1" t="s">
        <v>107</v>
      </c>
      <c r="E10" s="2">
        <v>36000</v>
      </c>
      <c r="H10" t="s">
        <v>11</v>
      </c>
    </row>
    <row r="11" spans="1:8" x14ac:dyDescent="0.2">
      <c r="A11" t="str">
        <f t="shared" si="0"/>
        <v>PAY-010</v>
      </c>
      <c r="C11" t="s">
        <v>108</v>
      </c>
      <c r="D11" s="1" t="s">
        <v>109</v>
      </c>
      <c r="E11" s="2">
        <v>34000</v>
      </c>
      <c r="H11" t="s">
        <v>11</v>
      </c>
    </row>
    <row r="12" spans="1:8" x14ac:dyDescent="0.2">
      <c r="A12" t="str">
        <f t="shared" si="0"/>
        <v>PAY-011</v>
      </c>
      <c r="C12" t="s">
        <v>110</v>
      </c>
      <c r="D12" s="1" t="s">
        <v>111</v>
      </c>
      <c r="E12" s="2">
        <v>64000</v>
      </c>
      <c r="H12" t="s">
        <v>11</v>
      </c>
    </row>
    <row r="13" spans="1:8" x14ac:dyDescent="0.2">
      <c r="A13" t="str">
        <f t="shared" si="0"/>
        <v>PAY-012</v>
      </c>
      <c r="C13" t="s">
        <v>112</v>
      </c>
      <c r="D13" s="1" t="s">
        <v>92</v>
      </c>
      <c r="E13" s="2">
        <v>34000</v>
      </c>
      <c r="H13" t="s">
        <v>11</v>
      </c>
    </row>
    <row r="14" spans="1:8" x14ac:dyDescent="0.2">
      <c r="A14" t="str">
        <f t="shared" si="0"/>
        <v>PAY-013</v>
      </c>
      <c r="C14" t="s">
        <v>113</v>
      </c>
      <c r="D14" s="1" t="s">
        <v>114</v>
      </c>
      <c r="E14" s="2">
        <v>35000</v>
      </c>
      <c r="H14" t="s">
        <v>11</v>
      </c>
    </row>
    <row r="15" spans="1:8" x14ac:dyDescent="0.2">
      <c r="A15" t="str">
        <f t="shared" si="0"/>
        <v>PAY-014</v>
      </c>
      <c r="C15" t="s">
        <v>115</v>
      </c>
      <c r="D15" s="1" t="s">
        <v>116</v>
      </c>
      <c r="E15" s="2">
        <v>38000</v>
      </c>
      <c r="H15" t="s">
        <v>11</v>
      </c>
    </row>
    <row r="16" spans="1:8" x14ac:dyDescent="0.2">
      <c r="A16" t="str">
        <f t="shared" si="0"/>
        <v>PAY-015</v>
      </c>
      <c r="C16" t="s">
        <v>117</v>
      </c>
      <c r="D16" s="1" t="s">
        <v>111</v>
      </c>
      <c r="E16" s="2">
        <v>32000</v>
      </c>
      <c r="H16" t="s">
        <v>11</v>
      </c>
    </row>
    <row r="17" spans="1:8" x14ac:dyDescent="0.2">
      <c r="A17" t="str">
        <f t="shared" si="0"/>
        <v>PAY-016</v>
      </c>
      <c r="C17" t="s">
        <v>118</v>
      </c>
      <c r="D17" s="1" t="s">
        <v>111</v>
      </c>
      <c r="E17" s="2">
        <v>32000</v>
      </c>
      <c r="H17" t="s">
        <v>11</v>
      </c>
    </row>
    <row r="18" spans="1:8" x14ac:dyDescent="0.2">
      <c r="A18" t="str">
        <f t="shared" si="0"/>
        <v>PAY-017</v>
      </c>
      <c r="C18" t="s">
        <v>119</v>
      </c>
      <c r="D18" s="1" t="s">
        <v>92</v>
      </c>
      <c r="E18" s="2">
        <v>34000</v>
      </c>
      <c r="H18" t="s">
        <v>11</v>
      </c>
    </row>
    <row r="19" spans="1:8" x14ac:dyDescent="0.2">
      <c r="A19" t="str">
        <f t="shared" si="0"/>
        <v>PAY-018</v>
      </c>
      <c r="C19" t="s">
        <v>120</v>
      </c>
      <c r="D19" s="1" t="s">
        <v>121</v>
      </c>
      <c r="E19" s="2">
        <v>34000</v>
      </c>
      <c r="H19" t="s">
        <v>11</v>
      </c>
    </row>
    <row r="20" spans="1:8" x14ac:dyDescent="0.2">
      <c r="A20" t="str">
        <f t="shared" si="0"/>
        <v>PAY-019</v>
      </c>
      <c r="C20" t="s">
        <v>122</v>
      </c>
      <c r="D20" s="1" t="s">
        <v>111</v>
      </c>
      <c r="E20" s="2">
        <v>64000</v>
      </c>
      <c r="H20" t="s">
        <v>11</v>
      </c>
    </row>
    <row r="21" spans="1:8" x14ac:dyDescent="0.2">
      <c r="A21" t="str">
        <f t="shared" si="0"/>
        <v>PAY-020</v>
      </c>
      <c r="C21" t="s">
        <v>123</v>
      </c>
      <c r="D21" s="1" t="s">
        <v>124</v>
      </c>
      <c r="E21" s="2">
        <v>32500</v>
      </c>
      <c r="H21" t="s">
        <v>11</v>
      </c>
    </row>
    <row r="22" spans="1:8" x14ac:dyDescent="0.2">
      <c r="A22" t="str">
        <f t="shared" si="0"/>
        <v>PAY-021</v>
      </c>
      <c r="C22" t="s">
        <v>125</v>
      </c>
      <c r="D22" s="1" t="s">
        <v>126</v>
      </c>
      <c r="E22" s="2">
        <v>40000</v>
      </c>
      <c r="H22" t="s">
        <v>11</v>
      </c>
    </row>
    <row r="23" spans="1:8" x14ac:dyDescent="0.2">
      <c r="A23" t="str">
        <f t="shared" si="0"/>
        <v>PAY-022</v>
      </c>
      <c r="C23" t="s">
        <v>127</v>
      </c>
      <c r="D23" s="1" t="s">
        <v>128</v>
      </c>
      <c r="E23" s="2">
        <v>35000</v>
      </c>
      <c r="H23" t="s">
        <v>11</v>
      </c>
    </row>
    <row r="24" spans="1:8" x14ac:dyDescent="0.2">
      <c r="A24" t="str">
        <f t="shared" si="0"/>
        <v>PAY-023</v>
      </c>
      <c r="C24" t="s">
        <v>129</v>
      </c>
      <c r="D24" s="1" t="s">
        <v>124</v>
      </c>
      <c r="E24" s="2">
        <v>32500</v>
      </c>
      <c r="H24" t="s">
        <v>11</v>
      </c>
    </row>
    <row r="25" spans="1:8" x14ac:dyDescent="0.2">
      <c r="A25" t="str">
        <f t="shared" si="0"/>
        <v>PAY-024</v>
      </c>
      <c r="C25" t="s">
        <v>130</v>
      </c>
      <c r="D25" s="1" t="s">
        <v>121</v>
      </c>
      <c r="E25" s="2">
        <v>33000</v>
      </c>
      <c r="H25" t="s">
        <v>11</v>
      </c>
    </row>
    <row r="26" spans="1:8" x14ac:dyDescent="0.2">
      <c r="A26" t="str">
        <f t="shared" si="0"/>
        <v>PAY-025</v>
      </c>
      <c r="C26" t="s">
        <v>131</v>
      </c>
      <c r="D26" s="1" t="s">
        <v>132</v>
      </c>
      <c r="E26" s="2">
        <v>35000</v>
      </c>
      <c r="H26" t="s">
        <v>11</v>
      </c>
    </row>
    <row r="27" spans="1:8" x14ac:dyDescent="0.2">
      <c r="A27" t="str">
        <f t="shared" si="0"/>
        <v>PAY-026</v>
      </c>
      <c r="C27" t="s">
        <v>133</v>
      </c>
      <c r="D27" s="1" t="s">
        <v>132</v>
      </c>
      <c r="E27" s="2">
        <v>35000</v>
      </c>
      <c r="H27" t="s">
        <v>11</v>
      </c>
    </row>
    <row r="28" spans="1:8" x14ac:dyDescent="0.2">
      <c r="A28" t="str">
        <f t="shared" si="0"/>
        <v>PAY-027</v>
      </c>
      <c r="C28" t="s">
        <v>134</v>
      </c>
      <c r="D28" s="1" t="s">
        <v>135</v>
      </c>
      <c r="E28" s="2">
        <v>32000</v>
      </c>
      <c r="H28" t="s">
        <v>11</v>
      </c>
    </row>
    <row r="29" spans="1:8" x14ac:dyDescent="0.2">
      <c r="A29" t="str">
        <f t="shared" si="0"/>
        <v>PAY-028</v>
      </c>
      <c r="C29" t="s">
        <v>136</v>
      </c>
      <c r="D29" s="1" t="s">
        <v>137</v>
      </c>
      <c r="E29" s="2">
        <v>32000</v>
      </c>
      <c r="H29" t="s">
        <v>11</v>
      </c>
    </row>
    <row r="30" spans="1:8" x14ac:dyDescent="0.2">
      <c r="A30" t="str">
        <f t="shared" si="0"/>
        <v>PAY-029</v>
      </c>
      <c r="C30" t="s">
        <v>138</v>
      </c>
      <c r="D30" s="1" t="s">
        <v>10</v>
      </c>
      <c r="E30" s="2">
        <v>30000</v>
      </c>
      <c r="H30" t="s">
        <v>11</v>
      </c>
    </row>
    <row r="31" spans="1:8" x14ac:dyDescent="0.2">
      <c r="A31" t="str">
        <f t="shared" si="0"/>
        <v>PAY-030</v>
      </c>
      <c r="C31" t="s">
        <v>139</v>
      </c>
      <c r="D31" s="1" t="s">
        <v>121</v>
      </c>
      <c r="E31" s="2">
        <v>33000</v>
      </c>
      <c r="H31" t="s">
        <v>11</v>
      </c>
    </row>
    <row r="32" spans="1:8" x14ac:dyDescent="0.2">
      <c r="A32" t="str">
        <f t="shared" si="0"/>
        <v>PAY-031</v>
      </c>
      <c r="C32" t="s">
        <v>140</v>
      </c>
      <c r="D32" s="1" t="s">
        <v>141</v>
      </c>
      <c r="E32" s="2">
        <v>35000</v>
      </c>
      <c r="H32" t="s">
        <v>11</v>
      </c>
    </row>
    <row r="33" spans="1:8" x14ac:dyDescent="0.2">
      <c r="A33" t="str">
        <f t="shared" si="0"/>
        <v>PAY-032</v>
      </c>
      <c r="C33" t="s">
        <v>142</v>
      </c>
      <c r="D33" s="1" t="s">
        <v>143</v>
      </c>
      <c r="E33" s="2">
        <v>30000</v>
      </c>
      <c r="H33" t="s">
        <v>11</v>
      </c>
    </row>
    <row r="34" spans="1:8" x14ac:dyDescent="0.2">
      <c r="A34" t="str">
        <f t="shared" si="0"/>
        <v>PAY-033</v>
      </c>
      <c r="C34" t="s">
        <v>144</v>
      </c>
      <c r="D34" s="1" t="s">
        <v>109</v>
      </c>
      <c r="E34" s="2">
        <v>30000</v>
      </c>
      <c r="H34" t="s">
        <v>11</v>
      </c>
    </row>
    <row r="35" spans="1:8" x14ac:dyDescent="0.2">
      <c r="A35" t="str">
        <f t="shared" si="0"/>
        <v>PAY-034</v>
      </c>
      <c r="C35" t="s">
        <v>145</v>
      </c>
      <c r="D35" s="1" t="s">
        <v>137</v>
      </c>
      <c r="E35" s="2">
        <v>32000</v>
      </c>
      <c r="H35" t="s">
        <v>11</v>
      </c>
    </row>
    <row r="36" spans="1:8" x14ac:dyDescent="0.2">
      <c r="A36" t="str">
        <f t="shared" si="0"/>
        <v>PAY-035</v>
      </c>
      <c r="C36" t="s">
        <v>146</v>
      </c>
      <c r="D36" s="1" t="s">
        <v>147</v>
      </c>
      <c r="E36" s="2">
        <v>33000</v>
      </c>
      <c r="H36" t="s">
        <v>11</v>
      </c>
    </row>
    <row r="37" spans="1:8" x14ac:dyDescent="0.2">
      <c r="A37" t="str">
        <f t="shared" si="0"/>
        <v>PAY-036</v>
      </c>
      <c r="C37" t="s">
        <v>148</v>
      </c>
      <c r="D37" s="1" t="s">
        <v>92</v>
      </c>
      <c r="E37" s="2">
        <v>34000</v>
      </c>
      <c r="H37" t="s">
        <v>11</v>
      </c>
    </row>
    <row r="38" spans="1:8" x14ac:dyDescent="0.2">
      <c r="A38" t="str">
        <f t="shared" si="0"/>
        <v>PAY-037</v>
      </c>
      <c r="C38" t="s">
        <v>149</v>
      </c>
      <c r="D38" s="1" t="s">
        <v>137</v>
      </c>
      <c r="E38" s="2">
        <v>32000</v>
      </c>
      <c r="H38" t="s">
        <v>11</v>
      </c>
    </row>
    <row r="39" spans="1:8" x14ac:dyDescent="0.2">
      <c r="A39" t="str">
        <f t="shared" si="0"/>
        <v>PAY-038</v>
      </c>
      <c r="C39" t="s">
        <v>150</v>
      </c>
      <c r="D39" s="1" t="s">
        <v>151</v>
      </c>
      <c r="E39" s="2">
        <v>32000</v>
      </c>
      <c r="H39" t="s">
        <v>11</v>
      </c>
    </row>
    <row r="40" spans="1:8" x14ac:dyDescent="0.2">
      <c r="A40" t="str">
        <f t="shared" si="0"/>
        <v>PAY-039</v>
      </c>
      <c r="C40" t="s">
        <v>152</v>
      </c>
      <c r="D40" s="1" t="s">
        <v>153</v>
      </c>
      <c r="E40" s="2">
        <v>32000</v>
      </c>
      <c r="H40" t="s">
        <v>11</v>
      </c>
    </row>
    <row r="41" spans="1:8" x14ac:dyDescent="0.2">
      <c r="A41" t="str">
        <f t="shared" si="0"/>
        <v>PAY-040</v>
      </c>
      <c r="C41" t="s">
        <v>154</v>
      </c>
      <c r="D41" s="1" t="s">
        <v>92</v>
      </c>
      <c r="E41" s="2">
        <v>32000</v>
      </c>
      <c r="H41" t="s">
        <v>11</v>
      </c>
    </row>
    <row r="42" spans="1:8" x14ac:dyDescent="0.2">
      <c r="A42" t="str">
        <f t="shared" si="0"/>
        <v>PAY-041</v>
      </c>
      <c r="C42" t="s">
        <v>155</v>
      </c>
      <c r="D42" s="1" t="s">
        <v>126</v>
      </c>
      <c r="E42" s="2">
        <v>40000</v>
      </c>
      <c r="H42" t="s">
        <v>11</v>
      </c>
    </row>
    <row r="43" spans="1:8" x14ac:dyDescent="0.2">
      <c r="A43" t="str">
        <f t="shared" si="0"/>
        <v>PAY-042</v>
      </c>
      <c r="C43" t="s">
        <v>156</v>
      </c>
      <c r="D43" s="1" t="s">
        <v>157</v>
      </c>
      <c r="E43" s="2">
        <v>33000</v>
      </c>
      <c r="H43" t="s">
        <v>11</v>
      </c>
    </row>
    <row r="44" spans="1:8" x14ac:dyDescent="0.2">
      <c r="A44" t="str">
        <f t="shared" si="0"/>
        <v>PAY-043</v>
      </c>
      <c r="C44" t="s">
        <v>158</v>
      </c>
      <c r="D44" s="1" t="s">
        <v>10</v>
      </c>
      <c r="E44" s="2">
        <v>62000</v>
      </c>
      <c r="H44" t="s">
        <v>11</v>
      </c>
    </row>
    <row r="45" spans="1:8" x14ac:dyDescent="0.2">
      <c r="A45" t="str">
        <f t="shared" si="0"/>
        <v>PAY-044</v>
      </c>
      <c r="C45" t="s">
        <v>159</v>
      </c>
      <c r="D45" s="1" t="s">
        <v>160</v>
      </c>
      <c r="E45" s="2">
        <v>30000</v>
      </c>
      <c r="H45" t="s">
        <v>11</v>
      </c>
    </row>
    <row r="46" spans="1:8" x14ac:dyDescent="0.2">
      <c r="A46" t="str">
        <f t="shared" si="0"/>
        <v>PAY-045</v>
      </c>
      <c r="C46" t="s">
        <v>161</v>
      </c>
      <c r="D46" s="1" t="s">
        <v>111</v>
      </c>
      <c r="E46" s="2">
        <v>64000</v>
      </c>
      <c r="H46" t="s">
        <v>11</v>
      </c>
    </row>
    <row r="47" spans="1:8" x14ac:dyDescent="0.2">
      <c r="A47" t="str">
        <f t="shared" si="0"/>
        <v>PAY-046</v>
      </c>
      <c r="C47" t="s">
        <v>162</v>
      </c>
      <c r="D47" s="1" t="s">
        <v>10</v>
      </c>
      <c r="E47" s="2">
        <v>62000</v>
      </c>
      <c r="H4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D24" sqref="D24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tr">
        <f t="shared" ref="A2:A12" si="0">"PAY-HF-"&amp;TEXT(ROW()-1,"000")</f>
        <v>PAY-HF-001</v>
      </c>
      <c r="C2" t="s">
        <v>163</v>
      </c>
      <c r="D2" s="1" t="s">
        <v>105</v>
      </c>
      <c r="E2" s="2">
        <v>12000</v>
      </c>
      <c r="H2" t="s">
        <v>164</v>
      </c>
    </row>
    <row r="3" spans="1:8" x14ac:dyDescent="0.2">
      <c r="A3" t="str">
        <f t="shared" si="0"/>
        <v>PAY-HF-002</v>
      </c>
      <c r="C3" t="s">
        <v>165</v>
      </c>
      <c r="D3" s="1" t="s">
        <v>166</v>
      </c>
      <c r="E3" s="2">
        <v>10000</v>
      </c>
      <c r="H3" t="s">
        <v>164</v>
      </c>
    </row>
    <row r="4" spans="1:8" x14ac:dyDescent="0.2">
      <c r="A4" t="str">
        <f t="shared" si="0"/>
        <v>PAY-HF-003</v>
      </c>
      <c r="C4" t="s">
        <v>167</v>
      </c>
      <c r="D4" s="1" t="s">
        <v>168</v>
      </c>
      <c r="E4" s="2">
        <v>9500</v>
      </c>
      <c r="H4" t="s">
        <v>164</v>
      </c>
    </row>
    <row r="5" spans="1:8" x14ac:dyDescent="0.2">
      <c r="A5" t="str">
        <f t="shared" si="0"/>
        <v>PAY-HF-004</v>
      </c>
      <c r="C5" t="s">
        <v>169</v>
      </c>
      <c r="D5" s="1" t="s">
        <v>170</v>
      </c>
      <c r="E5" s="2">
        <v>2000</v>
      </c>
      <c r="H5" t="s">
        <v>164</v>
      </c>
    </row>
    <row r="6" spans="1:8" x14ac:dyDescent="0.2">
      <c r="A6" t="str">
        <f t="shared" si="0"/>
        <v>PAY-HF-005</v>
      </c>
      <c r="C6" t="s">
        <v>171</v>
      </c>
      <c r="D6" s="1" t="s">
        <v>172</v>
      </c>
      <c r="E6" s="2">
        <v>10000</v>
      </c>
      <c r="H6" t="s">
        <v>164</v>
      </c>
    </row>
    <row r="7" spans="1:8" x14ac:dyDescent="0.2">
      <c r="A7" t="str">
        <f t="shared" si="0"/>
        <v>PAY-HF-006</v>
      </c>
      <c r="C7" t="s">
        <v>173</v>
      </c>
      <c r="D7" s="1" t="s">
        <v>174</v>
      </c>
      <c r="E7" s="2">
        <v>10000</v>
      </c>
      <c r="H7" t="s">
        <v>164</v>
      </c>
    </row>
    <row r="8" spans="1:8" x14ac:dyDescent="0.2">
      <c r="A8" t="str">
        <f t="shared" si="0"/>
        <v>PAY-HF-007</v>
      </c>
      <c r="C8" t="s">
        <v>175</v>
      </c>
      <c r="D8" s="1" t="s">
        <v>176</v>
      </c>
      <c r="E8" s="2">
        <v>10000</v>
      </c>
      <c r="H8" t="s">
        <v>164</v>
      </c>
    </row>
    <row r="9" spans="1:8" x14ac:dyDescent="0.2">
      <c r="A9" t="str">
        <f t="shared" si="0"/>
        <v>PAY-HF-008</v>
      </c>
      <c r="C9" t="s">
        <v>177</v>
      </c>
      <c r="D9" s="1" t="s">
        <v>166</v>
      </c>
      <c r="E9" s="2">
        <v>10000</v>
      </c>
      <c r="H9" t="s">
        <v>164</v>
      </c>
    </row>
    <row r="10" spans="1:8" x14ac:dyDescent="0.2">
      <c r="A10" t="str">
        <f t="shared" si="0"/>
        <v>PAY-HF-009</v>
      </c>
      <c r="C10" t="s">
        <v>178</v>
      </c>
      <c r="D10" s="1" t="s">
        <v>170</v>
      </c>
      <c r="E10" s="2">
        <v>10000</v>
      </c>
      <c r="H10" t="s">
        <v>164</v>
      </c>
    </row>
    <row r="11" spans="1:8" x14ac:dyDescent="0.2">
      <c r="A11" t="str">
        <f t="shared" si="0"/>
        <v>PAY-HF-010</v>
      </c>
      <c r="C11" t="s">
        <v>179</v>
      </c>
      <c r="D11" s="1" t="s">
        <v>180</v>
      </c>
      <c r="E11" s="2">
        <v>10000</v>
      </c>
      <c r="H11" t="s">
        <v>164</v>
      </c>
    </row>
    <row r="12" spans="1:8" x14ac:dyDescent="0.2">
      <c r="A12" t="str">
        <f t="shared" si="0"/>
        <v>PAY-HF-011</v>
      </c>
      <c r="C12" t="s">
        <v>181</v>
      </c>
      <c r="D12" s="1" t="s">
        <v>166</v>
      </c>
      <c r="E12" s="2">
        <v>10000</v>
      </c>
      <c r="H12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topLeftCell="A22" zoomScale="216" workbookViewId="0">
      <selection activeCell="G31" sqref="G3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 t="str">
        <f t="shared" ref="A2:A9" si="0">"PAY-T-"&amp;TEXT(ROW()-1,"000")</f>
        <v>PAY-T-001</v>
      </c>
      <c r="C2" t="s">
        <v>182</v>
      </c>
      <c r="D2" s="1" t="s">
        <v>183</v>
      </c>
      <c r="E2" s="2">
        <v>4000</v>
      </c>
    </row>
    <row r="3" spans="1:8" x14ac:dyDescent="0.2">
      <c r="A3" s="1" t="str">
        <f t="shared" si="0"/>
        <v>PAY-T-002</v>
      </c>
      <c r="C3" t="s">
        <v>184</v>
      </c>
      <c r="D3" s="1" t="s">
        <v>185</v>
      </c>
      <c r="E3" s="2">
        <v>4000</v>
      </c>
    </row>
    <row r="4" spans="1:8" x14ac:dyDescent="0.2">
      <c r="A4" s="1" t="str">
        <f t="shared" si="0"/>
        <v>PAY-T-003</v>
      </c>
      <c r="C4" t="s">
        <v>186</v>
      </c>
      <c r="D4" s="3" t="s">
        <v>187</v>
      </c>
      <c r="E4" s="2">
        <v>1000</v>
      </c>
    </row>
    <row r="5" spans="1:8" x14ac:dyDescent="0.2">
      <c r="A5" s="1" t="str">
        <f t="shared" si="0"/>
        <v>PAY-T-004</v>
      </c>
      <c r="C5" t="s">
        <v>188</v>
      </c>
      <c r="D5" s="3" t="s">
        <v>183</v>
      </c>
      <c r="E5" s="2">
        <v>4000</v>
      </c>
    </row>
    <row r="6" spans="1:8" x14ac:dyDescent="0.2">
      <c r="A6" s="1" t="str">
        <f t="shared" si="0"/>
        <v>PAY-T-005</v>
      </c>
      <c r="C6" t="s">
        <v>189</v>
      </c>
      <c r="D6" s="3" t="s">
        <v>185</v>
      </c>
      <c r="E6" s="2">
        <v>4000</v>
      </c>
    </row>
    <row r="7" spans="1:8" x14ac:dyDescent="0.2">
      <c r="A7" s="1" t="str">
        <f t="shared" si="0"/>
        <v>PAY-T-006</v>
      </c>
      <c r="C7" t="s">
        <v>190</v>
      </c>
      <c r="D7" s="3" t="s">
        <v>191</v>
      </c>
      <c r="E7" s="2">
        <v>4000</v>
      </c>
    </row>
    <row r="8" spans="1:8" x14ac:dyDescent="0.2">
      <c r="A8" s="1" t="str">
        <f t="shared" si="0"/>
        <v>PAY-T-007</v>
      </c>
      <c r="C8" t="s">
        <v>192</v>
      </c>
      <c r="D8" s="3" t="s">
        <v>193</v>
      </c>
      <c r="E8" s="2">
        <v>4000</v>
      </c>
    </row>
    <row r="9" spans="1:8" x14ac:dyDescent="0.2">
      <c r="A9" s="1" t="str">
        <f t="shared" si="0"/>
        <v>PAY-T-008</v>
      </c>
      <c r="C9" t="s">
        <v>194</v>
      </c>
      <c r="D9" s="3" t="s">
        <v>195</v>
      </c>
      <c r="E9" s="2">
        <v>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"/>
  <sheetViews>
    <sheetView workbookViewId="0">
      <selection sqref="A1:H38"/>
    </sheetView>
  </sheetViews>
  <sheetFormatPr baseColWidth="10" defaultRowHeight="16" x14ac:dyDescent="0.2"/>
  <cols>
    <col min="3" max="3" width="11.5" bestFit="1" customWidth="1"/>
    <col min="5" max="5" width="12.33203125" bestFit="1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9" customHeight="1" x14ac:dyDescent="0.25">
      <c r="A2" s="4" t="s">
        <v>8</v>
      </c>
      <c r="B2" s="5"/>
      <c r="C2" s="4" t="s">
        <v>9</v>
      </c>
      <c r="D2" s="6" t="s">
        <v>10</v>
      </c>
      <c r="E2" s="7">
        <v>4000</v>
      </c>
      <c r="F2" s="4"/>
      <c r="G2" s="4"/>
      <c r="H2" s="4" t="s">
        <v>11</v>
      </c>
    </row>
    <row r="3" spans="1:8" ht="19" customHeight="1" x14ac:dyDescent="0.25">
      <c r="A3" s="4" t="s">
        <v>12</v>
      </c>
      <c r="B3" s="5"/>
      <c r="C3" s="4" t="s">
        <v>13</v>
      </c>
      <c r="D3" s="6" t="s">
        <v>14</v>
      </c>
      <c r="E3" s="7">
        <v>16800</v>
      </c>
      <c r="F3" s="4"/>
      <c r="G3" s="4"/>
      <c r="H3" s="4" t="s">
        <v>11</v>
      </c>
    </row>
    <row r="4" spans="1:8" ht="19" customHeight="1" x14ac:dyDescent="0.25">
      <c r="A4" s="4" t="s">
        <v>15</v>
      </c>
      <c r="B4" s="5"/>
      <c r="C4" s="4" t="s">
        <v>16</v>
      </c>
      <c r="D4" s="6" t="s">
        <v>14</v>
      </c>
      <c r="E4" s="7">
        <v>16800</v>
      </c>
      <c r="F4" s="4"/>
      <c r="G4" s="4"/>
      <c r="H4" s="4" t="s">
        <v>11</v>
      </c>
    </row>
    <row r="5" spans="1:8" ht="19" customHeight="1" x14ac:dyDescent="0.25">
      <c r="A5" s="4" t="s">
        <v>17</v>
      </c>
      <c r="B5" s="5"/>
      <c r="C5" s="4" t="s">
        <v>18</v>
      </c>
      <c r="D5" s="6" t="s">
        <v>19</v>
      </c>
      <c r="E5" s="7">
        <v>5400</v>
      </c>
      <c r="F5" s="4"/>
      <c r="G5" s="4"/>
      <c r="H5" s="4" t="s">
        <v>11</v>
      </c>
    </row>
    <row r="6" spans="1:8" ht="19" customHeight="1" x14ac:dyDescent="0.25">
      <c r="A6" s="4" t="s">
        <v>20</v>
      </c>
      <c r="B6" s="5"/>
      <c r="C6" s="4" t="s">
        <v>21</v>
      </c>
      <c r="D6" s="6" t="s">
        <v>14</v>
      </c>
      <c r="E6" s="7">
        <v>11200</v>
      </c>
      <c r="F6" s="4"/>
      <c r="G6" s="4"/>
      <c r="H6" s="4" t="s">
        <v>11</v>
      </c>
    </row>
    <row r="7" spans="1:8" ht="19" customHeight="1" x14ac:dyDescent="0.25">
      <c r="A7" s="4" t="s">
        <v>22</v>
      </c>
      <c r="B7" s="5"/>
      <c r="C7" s="4" t="s">
        <v>23</v>
      </c>
      <c r="D7" s="6" t="s">
        <v>14</v>
      </c>
      <c r="E7" s="7">
        <v>11200</v>
      </c>
      <c r="F7" s="4"/>
      <c r="G7" s="4"/>
      <c r="H7" s="4" t="s">
        <v>11</v>
      </c>
    </row>
    <row r="8" spans="1:8" ht="19" customHeight="1" x14ac:dyDescent="0.25">
      <c r="A8" s="4" t="s">
        <v>24</v>
      </c>
      <c r="B8" s="5"/>
      <c r="C8" s="4" t="s">
        <v>25</v>
      </c>
      <c r="D8" s="6" t="s">
        <v>26</v>
      </c>
      <c r="E8" s="7">
        <v>8100</v>
      </c>
      <c r="F8" s="4"/>
      <c r="G8" s="4"/>
      <c r="H8" s="4" t="s">
        <v>11</v>
      </c>
    </row>
    <row r="9" spans="1:8" ht="19" customHeight="1" x14ac:dyDescent="0.25">
      <c r="A9" s="4" t="s">
        <v>27</v>
      </c>
      <c r="B9" s="5"/>
      <c r="C9" s="4" t="s">
        <v>28</v>
      </c>
      <c r="D9" s="6" t="s">
        <v>26</v>
      </c>
      <c r="E9" s="7">
        <v>2500</v>
      </c>
      <c r="F9" s="4"/>
      <c r="G9" s="4"/>
      <c r="H9" s="4" t="s">
        <v>11</v>
      </c>
    </row>
    <row r="10" spans="1:8" ht="19" customHeight="1" x14ac:dyDescent="0.25">
      <c r="A10" s="4" t="s">
        <v>29</v>
      </c>
      <c r="B10" s="5"/>
      <c r="C10" s="4" t="s">
        <v>30</v>
      </c>
      <c r="D10" s="6" t="s">
        <v>31</v>
      </c>
      <c r="E10" s="7">
        <v>9000</v>
      </c>
      <c r="F10" s="4"/>
      <c r="G10" s="4"/>
      <c r="H10" s="4" t="s">
        <v>11</v>
      </c>
    </row>
    <row r="11" spans="1:8" ht="19" customHeight="1" x14ac:dyDescent="0.25">
      <c r="A11" s="4" t="s">
        <v>32</v>
      </c>
      <c r="B11" s="5"/>
      <c r="C11" s="4" t="s">
        <v>33</v>
      </c>
      <c r="D11" s="6" t="s">
        <v>31</v>
      </c>
      <c r="E11" s="7">
        <v>9000</v>
      </c>
      <c r="F11" s="4"/>
      <c r="G11" s="4"/>
      <c r="H11" s="4" t="s">
        <v>11</v>
      </c>
    </row>
    <row r="12" spans="1:8" ht="19" customHeight="1" x14ac:dyDescent="0.25">
      <c r="A12" s="4" t="s">
        <v>34</v>
      </c>
      <c r="B12" s="5"/>
      <c r="C12" s="4" t="s">
        <v>35</v>
      </c>
      <c r="D12" s="6" t="s">
        <v>31</v>
      </c>
      <c r="E12" s="7">
        <v>3000</v>
      </c>
      <c r="F12" s="4"/>
      <c r="G12" s="4"/>
      <c r="H12" s="4" t="s">
        <v>11</v>
      </c>
    </row>
    <row r="13" spans="1:8" ht="19" customHeight="1" x14ac:dyDescent="0.25">
      <c r="A13" s="4" t="s">
        <v>36</v>
      </c>
      <c r="B13" s="5"/>
      <c r="C13" s="4" t="s">
        <v>37</v>
      </c>
      <c r="D13" s="6" t="s">
        <v>31</v>
      </c>
      <c r="E13" s="7">
        <v>3000</v>
      </c>
      <c r="F13" s="4"/>
      <c r="G13" s="4"/>
      <c r="H13" s="4" t="s">
        <v>11</v>
      </c>
    </row>
    <row r="14" spans="1:8" ht="19" customHeight="1" x14ac:dyDescent="0.25">
      <c r="A14" s="4" t="s">
        <v>38</v>
      </c>
      <c r="B14" s="5"/>
      <c r="C14" s="4" t="s">
        <v>39</v>
      </c>
      <c r="D14" s="6" t="s">
        <v>31</v>
      </c>
      <c r="E14" s="7">
        <v>6000</v>
      </c>
      <c r="F14" s="4"/>
      <c r="G14" s="4"/>
      <c r="H14" s="4" t="s">
        <v>11</v>
      </c>
    </row>
    <row r="15" spans="1:8" ht="19" customHeight="1" x14ac:dyDescent="0.25">
      <c r="A15" s="4" t="s">
        <v>40</v>
      </c>
      <c r="B15" s="5"/>
      <c r="C15" s="4" t="s">
        <v>41</v>
      </c>
      <c r="D15" s="6" t="s">
        <v>42</v>
      </c>
      <c r="E15" s="7">
        <v>6000</v>
      </c>
      <c r="F15" s="4"/>
      <c r="G15" s="4"/>
      <c r="H15" s="4" t="s">
        <v>11</v>
      </c>
    </row>
    <row r="16" spans="1:8" ht="19" customHeight="1" x14ac:dyDescent="0.25">
      <c r="A16" s="4" t="s">
        <v>43</v>
      </c>
      <c r="B16" s="5"/>
      <c r="C16" s="4" t="s">
        <v>44</v>
      </c>
      <c r="D16" s="6" t="s">
        <v>42</v>
      </c>
      <c r="E16" s="7">
        <v>6000</v>
      </c>
      <c r="F16" s="4"/>
      <c r="G16" s="4"/>
      <c r="H16" s="4" t="s">
        <v>11</v>
      </c>
    </row>
    <row r="17" spans="1:8" ht="19" customHeight="1" x14ac:dyDescent="0.25">
      <c r="A17" s="4" t="s">
        <v>45</v>
      </c>
      <c r="B17" s="5"/>
      <c r="C17" s="4" t="s">
        <v>46</v>
      </c>
      <c r="D17" s="6" t="s">
        <v>31</v>
      </c>
      <c r="E17" s="7">
        <v>9000</v>
      </c>
      <c r="F17" s="4"/>
      <c r="G17" s="4"/>
      <c r="H17" s="4" t="s">
        <v>11</v>
      </c>
    </row>
    <row r="18" spans="1:8" ht="19" customHeight="1" x14ac:dyDescent="0.25">
      <c r="A18" s="4" t="s">
        <v>47</v>
      </c>
      <c r="B18" s="5"/>
      <c r="C18" s="4" t="s">
        <v>48</v>
      </c>
      <c r="D18" s="6" t="s">
        <v>31</v>
      </c>
      <c r="E18" s="7">
        <v>3000</v>
      </c>
      <c r="F18" s="4"/>
      <c r="G18" s="4"/>
      <c r="H18" s="4" t="s">
        <v>11</v>
      </c>
    </row>
    <row r="19" spans="1:8" ht="19" customHeight="1" x14ac:dyDescent="0.25">
      <c r="A19" s="4" t="s">
        <v>49</v>
      </c>
      <c r="B19" s="5"/>
      <c r="C19" s="4" t="s">
        <v>50</v>
      </c>
      <c r="D19" s="6" t="s">
        <v>42</v>
      </c>
      <c r="E19" s="7">
        <v>3000</v>
      </c>
      <c r="F19" s="4"/>
      <c r="G19" s="4"/>
      <c r="H19" s="4" t="s">
        <v>11</v>
      </c>
    </row>
    <row r="20" spans="1:8" ht="19" customHeight="1" x14ac:dyDescent="0.25">
      <c r="A20" s="4" t="s">
        <v>51</v>
      </c>
      <c r="B20" s="5"/>
      <c r="C20" s="4" t="s">
        <v>52</v>
      </c>
      <c r="D20" s="6" t="s">
        <v>42</v>
      </c>
      <c r="E20" s="7">
        <v>3000</v>
      </c>
      <c r="F20" s="4"/>
      <c r="G20" s="4"/>
      <c r="H20" s="4" t="s">
        <v>11</v>
      </c>
    </row>
    <row r="21" spans="1:8" ht="19" customHeight="1" x14ac:dyDescent="0.25">
      <c r="A21" s="4" t="s">
        <v>53</v>
      </c>
      <c r="B21" s="5"/>
      <c r="C21" s="4" t="s">
        <v>54</v>
      </c>
      <c r="D21" s="6" t="s">
        <v>31</v>
      </c>
      <c r="E21" s="7">
        <v>9000</v>
      </c>
      <c r="F21" s="4"/>
      <c r="G21" s="4"/>
      <c r="H21" s="4" t="s">
        <v>11</v>
      </c>
    </row>
    <row r="22" spans="1:8" ht="19" customHeight="1" x14ac:dyDescent="0.25">
      <c r="A22" s="4" t="s">
        <v>55</v>
      </c>
      <c r="B22" s="5"/>
      <c r="C22" s="4" t="s">
        <v>56</v>
      </c>
      <c r="D22" s="6" t="s">
        <v>31</v>
      </c>
      <c r="E22" s="7">
        <v>6000</v>
      </c>
      <c r="F22" s="4"/>
      <c r="G22" s="4"/>
      <c r="H22" s="4" t="s">
        <v>11</v>
      </c>
    </row>
    <row r="23" spans="1:8" ht="19" customHeight="1" x14ac:dyDescent="0.25">
      <c r="A23" s="4" t="s">
        <v>57</v>
      </c>
      <c r="B23" s="5"/>
      <c r="C23" s="4" t="s">
        <v>58</v>
      </c>
      <c r="D23" s="6" t="s">
        <v>42</v>
      </c>
      <c r="E23" s="7">
        <v>6000</v>
      </c>
      <c r="F23" s="4"/>
      <c r="G23" s="4"/>
      <c r="H23" s="4" t="s">
        <v>11</v>
      </c>
    </row>
    <row r="24" spans="1:8" ht="19" customHeight="1" x14ac:dyDescent="0.25">
      <c r="A24" s="4" t="s">
        <v>59</v>
      </c>
      <c r="B24" s="5"/>
      <c r="C24" s="4" t="s">
        <v>60</v>
      </c>
      <c r="D24" s="6" t="s">
        <v>42</v>
      </c>
      <c r="E24" s="7">
        <v>15000</v>
      </c>
      <c r="F24" s="4"/>
      <c r="G24" s="4"/>
      <c r="H24" s="4" t="s">
        <v>11</v>
      </c>
    </row>
    <row r="25" spans="1:8" ht="19" customHeight="1" x14ac:dyDescent="0.25">
      <c r="A25" s="4" t="s">
        <v>61</v>
      </c>
      <c r="B25" s="5"/>
      <c r="C25" s="4" t="s">
        <v>62</v>
      </c>
      <c r="D25" s="6" t="s">
        <v>42</v>
      </c>
      <c r="E25" s="7">
        <v>3000</v>
      </c>
      <c r="F25" s="4"/>
      <c r="G25" s="4"/>
      <c r="H25" s="4" t="s">
        <v>11</v>
      </c>
    </row>
    <row r="26" spans="1:8" ht="19" customHeight="1" x14ac:dyDescent="0.25">
      <c r="A26" s="4" t="s">
        <v>63</v>
      </c>
      <c r="B26" s="5"/>
      <c r="C26" s="4" t="s">
        <v>64</v>
      </c>
      <c r="D26" s="6" t="s">
        <v>31</v>
      </c>
      <c r="E26" s="7">
        <v>6000</v>
      </c>
      <c r="F26" s="4"/>
      <c r="G26" s="4"/>
      <c r="H26" s="4" t="s">
        <v>11</v>
      </c>
    </row>
    <row r="27" spans="1:8" ht="19" customHeight="1" x14ac:dyDescent="0.25">
      <c r="A27" s="4" t="s">
        <v>65</v>
      </c>
      <c r="B27" s="5"/>
      <c r="C27" s="4" t="s">
        <v>66</v>
      </c>
      <c r="D27" s="6" t="s">
        <v>31</v>
      </c>
      <c r="E27" s="7">
        <v>18000</v>
      </c>
      <c r="F27" s="4"/>
      <c r="G27" s="4"/>
      <c r="H27" s="4" t="s">
        <v>11</v>
      </c>
    </row>
    <row r="28" spans="1:8" ht="19" customHeight="1" x14ac:dyDescent="0.25">
      <c r="A28" s="4" t="s">
        <v>67</v>
      </c>
      <c r="B28" s="5"/>
      <c r="C28" s="4" t="s">
        <v>68</v>
      </c>
      <c r="D28" s="6" t="s">
        <v>31</v>
      </c>
      <c r="E28" s="7">
        <v>3000</v>
      </c>
      <c r="F28" s="4"/>
      <c r="G28" s="4"/>
      <c r="H28" s="4" t="s">
        <v>11</v>
      </c>
    </row>
    <row r="29" spans="1:8" ht="19" customHeight="1" x14ac:dyDescent="0.25">
      <c r="A29" s="4" t="s">
        <v>69</v>
      </c>
      <c r="B29" s="5"/>
      <c r="C29" s="4" t="s">
        <v>70</v>
      </c>
      <c r="D29" s="6" t="s">
        <v>71</v>
      </c>
      <c r="E29" s="7">
        <v>6400</v>
      </c>
      <c r="F29" s="4"/>
      <c r="G29" s="4"/>
      <c r="H29" s="4" t="s">
        <v>11</v>
      </c>
    </row>
    <row r="30" spans="1:8" ht="19" customHeight="1" x14ac:dyDescent="0.25">
      <c r="A30" s="4" t="s">
        <v>72</v>
      </c>
      <c r="B30" s="5"/>
      <c r="C30" s="4" t="s">
        <v>73</v>
      </c>
      <c r="D30" s="6" t="s">
        <v>71</v>
      </c>
      <c r="E30" s="7">
        <v>22400</v>
      </c>
      <c r="F30" s="4"/>
      <c r="G30" s="4"/>
      <c r="H30" s="4" t="s">
        <v>11</v>
      </c>
    </row>
    <row r="31" spans="1:8" ht="19" customHeight="1" x14ac:dyDescent="0.25">
      <c r="A31" s="4" t="s">
        <v>74</v>
      </c>
      <c r="B31" s="5"/>
      <c r="C31" s="4" t="s">
        <v>75</v>
      </c>
      <c r="D31" s="6" t="s">
        <v>31</v>
      </c>
      <c r="E31" s="7">
        <v>6000</v>
      </c>
      <c r="F31" s="4"/>
      <c r="G31" s="4"/>
      <c r="H31" s="4" t="s">
        <v>11</v>
      </c>
    </row>
    <row r="32" spans="1:8" ht="19" customHeight="1" x14ac:dyDescent="0.25">
      <c r="A32" s="4" t="s">
        <v>76</v>
      </c>
      <c r="B32" s="5"/>
      <c r="C32" s="4" t="s">
        <v>77</v>
      </c>
      <c r="D32" s="6" t="s">
        <v>19</v>
      </c>
      <c r="E32" s="7">
        <v>5600</v>
      </c>
      <c r="F32" s="4"/>
      <c r="G32" s="4"/>
      <c r="H32" s="4" t="s">
        <v>11</v>
      </c>
    </row>
    <row r="33" spans="1:8" ht="19" customHeight="1" x14ac:dyDescent="0.25">
      <c r="A33" s="4" t="s">
        <v>78</v>
      </c>
      <c r="B33" s="5"/>
      <c r="C33" s="4" t="s">
        <v>79</v>
      </c>
      <c r="D33" s="6" t="s">
        <v>71</v>
      </c>
      <c r="E33" s="7">
        <v>6400</v>
      </c>
      <c r="F33" s="4"/>
      <c r="G33" s="4"/>
      <c r="H33" s="4" t="s">
        <v>11</v>
      </c>
    </row>
    <row r="34" spans="1:8" ht="19" customHeight="1" x14ac:dyDescent="0.25">
      <c r="A34" s="4" t="s">
        <v>80</v>
      </c>
      <c r="B34" s="5"/>
      <c r="C34" s="4" t="s">
        <v>81</v>
      </c>
      <c r="D34" s="6" t="s">
        <v>31</v>
      </c>
      <c r="E34" s="7">
        <v>18000</v>
      </c>
      <c r="F34" s="4"/>
      <c r="G34" s="4"/>
      <c r="H34" s="4" t="s">
        <v>11</v>
      </c>
    </row>
    <row r="35" spans="1:8" ht="19" customHeight="1" x14ac:dyDescent="0.25">
      <c r="A35" s="4" t="s">
        <v>82</v>
      </c>
      <c r="B35" s="5"/>
      <c r="C35" s="4" t="s">
        <v>83</v>
      </c>
      <c r="D35" s="6" t="s">
        <v>19</v>
      </c>
      <c r="E35" s="7">
        <v>2800</v>
      </c>
      <c r="F35" s="4"/>
      <c r="G35" s="4"/>
      <c r="H35" s="4" t="s">
        <v>11</v>
      </c>
    </row>
    <row r="36" spans="1:8" ht="19" customHeight="1" x14ac:dyDescent="0.25">
      <c r="A36" s="4" t="s">
        <v>84</v>
      </c>
      <c r="B36" s="5"/>
      <c r="C36" s="4" t="s">
        <v>85</v>
      </c>
      <c r="D36" s="6" t="s">
        <v>86</v>
      </c>
      <c r="E36" s="7">
        <v>3000</v>
      </c>
      <c r="F36" s="4"/>
      <c r="G36" s="4"/>
      <c r="H36" s="4" t="s">
        <v>11</v>
      </c>
    </row>
    <row r="37" spans="1:8" ht="19" customHeight="1" x14ac:dyDescent="0.25">
      <c r="A37" s="4" t="s">
        <v>87</v>
      </c>
      <c r="B37" s="5"/>
      <c r="C37" s="4" t="s">
        <v>88</v>
      </c>
      <c r="D37" s="6" t="s">
        <v>31</v>
      </c>
      <c r="E37" s="7">
        <v>9000</v>
      </c>
      <c r="F37" s="4"/>
      <c r="G37" s="4"/>
      <c r="H37" s="4" t="s">
        <v>11</v>
      </c>
    </row>
    <row r="38" spans="1:8" ht="19" customHeight="1" x14ac:dyDescent="0.25">
      <c r="A38" s="4" t="s">
        <v>89</v>
      </c>
      <c r="B38" s="5"/>
      <c r="C38" s="4" t="s">
        <v>90</v>
      </c>
      <c r="D38" s="6" t="s">
        <v>31</v>
      </c>
      <c r="E38" s="7">
        <v>12000</v>
      </c>
      <c r="F38" s="4"/>
      <c r="G38" s="4"/>
      <c r="H38" s="4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3"/>
  <sheetViews>
    <sheetView workbookViewId="0"/>
  </sheetViews>
  <sheetFormatPr baseColWidth="10" defaultColWidth="8.83203125" defaultRowHeight="16" x14ac:dyDescent="0.2"/>
  <cols>
    <col min="1" max="1" width="25" customWidth="1"/>
    <col min="2" max="3" width="32" customWidth="1"/>
    <col min="4" max="4" width="21" customWidth="1"/>
    <col min="5" max="5" width="29" customWidth="1"/>
    <col min="6" max="6" width="16" customWidth="1"/>
    <col min="7" max="7" width="29" customWidth="1"/>
    <col min="8" max="8" width="15" customWidth="1"/>
    <col min="9" max="9" width="9" customWidth="1"/>
  </cols>
  <sheetData>
    <row r="1" spans="1:9" x14ac:dyDescent="0.2">
      <c r="A1" s="8" t="s">
        <v>196</v>
      </c>
      <c r="B1" s="8" t="s">
        <v>0</v>
      </c>
      <c r="C1" s="8" t="s">
        <v>197</v>
      </c>
      <c r="D1" s="8" t="s">
        <v>198</v>
      </c>
      <c r="E1" s="8" t="s">
        <v>199</v>
      </c>
      <c r="F1" s="8" t="s">
        <v>200</v>
      </c>
      <c r="G1" s="8" t="s">
        <v>201</v>
      </c>
      <c r="H1" s="8" t="s">
        <v>202</v>
      </c>
      <c r="I1" s="8" t="s">
        <v>203</v>
      </c>
    </row>
    <row r="2" spans="1:9" x14ac:dyDescent="0.2">
      <c r="A2" t="s">
        <v>204</v>
      </c>
      <c r="B2" t="str">
        <f t="shared" ref="B2:B47" si="0">"PAY-"&amp;TEXT(ROW()-1,"000")</f>
        <v>PAY-001</v>
      </c>
      <c r="C2" t="str">
        <f t="shared" ref="C2:C47" si="1">"TRIP-"&amp;TEXT(ROW()-1,"000")</f>
        <v>TRIP-001</v>
      </c>
      <c r="D2" t="s">
        <v>91</v>
      </c>
      <c r="E2" t="s">
        <v>92</v>
      </c>
      <c r="F2">
        <v>32000</v>
      </c>
      <c r="G2" t="s">
        <v>92</v>
      </c>
      <c r="H2">
        <v>32000</v>
      </c>
      <c r="I2" t="s">
        <v>205</v>
      </c>
    </row>
    <row r="3" spans="1:9" x14ac:dyDescent="0.2">
      <c r="A3" t="s">
        <v>204</v>
      </c>
      <c r="B3" t="str">
        <f t="shared" si="0"/>
        <v>PAY-002</v>
      </c>
      <c r="C3" t="str">
        <f t="shared" si="1"/>
        <v>TRIP-002</v>
      </c>
      <c r="D3" t="s">
        <v>93</v>
      </c>
      <c r="E3" t="s">
        <v>19</v>
      </c>
      <c r="F3">
        <v>31000</v>
      </c>
      <c r="G3" t="s">
        <v>19</v>
      </c>
      <c r="H3">
        <v>31000</v>
      </c>
      <c r="I3" t="s">
        <v>205</v>
      </c>
    </row>
    <row r="4" spans="1:9" x14ac:dyDescent="0.2">
      <c r="A4" t="s">
        <v>204</v>
      </c>
      <c r="B4" t="str">
        <f t="shared" si="0"/>
        <v>PAY-003</v>
      </c>
      <c r="C4" t="str">
        <f t="shared" si="1"/>
        <v>TRIP-003</v>
      </c>
      <c r="D4" t="s">
        <v>94</v>
      </c>
      <c r="E4" t="s">
        <v>95</v>
      </c>
      <c r="F4">
        <v>40000</v>
      </c>
      <c r="G4" t="s">
        <v>95</v>
      </c>
      <c r="H4">
        <v>40000</v>
      </c>
      <c r="I4" t="s">
        <v>205</v>
      </c>
    </row>
    <row r="5" spans="1:9" x14ac:dyDescent="0.2">
      <c r="A5" t="s">
        <v>204</v>
      </c>
      <c r="B5" t="str">
        <f t="shared" si="0"/>
        <v>PAY-004</v>
      </c>
      <c r="C5" t="str">
        <f t="shared" si="1"/>
        <v>TRIP-004</v>
      </c>
      <c r="D5" t="s">
        <v>96</v>
      </c>
      <c r="E5" t="s">
        <v>97</v>
      </c>
      <c r="F5">
        <v>35000</v>
      </c>
      <c r="G5" t="s">
        <v>206</v>
      </c>
      <c r="H5">
        <v>35000</v>
      </c>
      <c r="I5" t="s">
        <v>205</v>
      </c>
    </row>
    <row r="6" spans="1:9" x14ac:dyDescent="0.2">
      <c r="A6" t="s">
        <v>204</v>
      </c>
      <c r="B6" t="str">
        <f t="shared" si="0"/>
        <v>PAY-005</v>
      </c>
      <c r="C6" t="str">
        <f t="shared" si="1"/>
        <v>TRIP-005</v>
      </c>
      <c r="D6" t="s">
        <v>98</v>
      </c>
      <c r="E6" t="s">
        <v>99</v>
      </c>
      <c r="F6">
        <v>38000</v>
      </c>
      <c r="G6" t="s">
        <v>99</v>
      </c>
      <c r="H6">
        <v>38000</v>
      </c>
      <c r="I6" t="s">
        <v>205</v>
      </c>
    </row>
    <row r="7" spans="1:9" x14ac:dyDescent="0.2">
      <c r="A7" t="s">
        <v>204</v>
      </c>
      <c r="B7" t="str">
        <f t="shared" si="0"/>
        <v>PAY-006</v>
      </c>
      <c r="C7" t="str">
        <f t="shared" si="1"/>
        <v>TRIP-006</v>
      </c>
      <c r="D7" t="s">
        <v>100</v>
      </c>
      <c r="E7" t="s">
        <v>101</v>
      </c>
      <c r="F7">
        <v>35000</v>
      </c>
      <c r="G7" t="s">
        <v>101</v>
      </c>
      <c r="H7">
        <v>35000</v>
      </c>
      <c r="I7" t="s">
        <v>205</v>
      </c>
    </row>
    <row r="8" spans="1:9" x14ac:dyDescent="0.2">
      <c r="A8" t="s">
        <v>204</v>
      </c>
      <c r="B8" t="str">
        <f t="shared" si="0"/>
        <v>PAY-007</v>
      </c>
      <c r="C8" t="str">
        <f t="shared" si="1"/>
        <v>TRIP-007</v>
      </c>
      <c r="D8" t="s">
        <v>102</v>
      </c>
      <c r="E8" t="s">
        <v>103</v>
      </c>
      <c r="F8">
        <v>20000</v>
      </c>
      <c r="G8" t="s">
        <v>103</v>
      </c>
      <c r="H8">
        <v>20000</v>
      </c>
      <c r="I8" t="s">
        <v>205</v>
      </c>
    </row>
    <row r="9" spans="1:9" x14ac:dyDescent="0.2">
      <c r="A9" t="s">
        <v>204</v>
      </c>
      <c r="B9" t="str">
        <f t="shared" si="0"/>
        <v>PAY-008</v>
      </c>
      <c r="C9" t="str">
        <f t="shared" si="1"/>
        <v>TRIP-008</v>
      </c>
      <c r="D9" t="s">
        <v>104</v>
      </c>
      <c r="E9" t="s">
        <v>105</v>
      </c>
      <c r="F9">
        <v>34000</v>
      </c>
      <c r="G9" t="s">
        <v>105</v>
      </c>
      <c r="H9">
        <v>34000</v>
      </c>
      <c r="I9" t="s">
        <v>205</v>
      </c>
    </row>
    <row r="10" spans="1:9" x14ac:dyDescent="0.2">
      <c r="A10" t="s">
        <v>204</v>
      </c>
      <c r="B10" t="str">
        <f t="shared" si="0"/>
        <v>PAY-009</v>
      </c>
      <c r="C10" t="str">
        <f t="shared" si="1"/>
        <v>TRIP-009</v>
      </c>
      <c r="D10" t="s">
        <v>106</v>
      </c>
      <c r="E10" t="s">
        <v>107</v>
      </c>
      <c r="F10">
        <v>36000</v>
      </c>
      <c r="G10" t="s">
        <v>107</v>
      </c>
      <c r="H10">
        <v>36000</v>
      </c>
      <c r="I10" t="s">
        <v>205</v>
      </c>
    </row>
    <row r="11" spans="1:9" x14ac:dyDescent="0.2">
      <c r="A11" t="s">
        <v>204</v>
      </c>
      <c r="B11" t="str">
        <f t="shared" si="0"/>
        <v>PAY-010</v>
      </c>
      <c r="C11" t="str">
        <f t="shared" si="1"/>
        <v>TRIP-010</v>
      </c>
      <c r="D11" t="s">
        <v>108</v>
      </c>
      <c r="E11" t="s">
        <v>109</v>
      </c>
      <c r="F11">
        <v>34000</v>
      </c>
      <c r="G11" t="s">
        <v>109</v>
      </c>
      <c r="H11">
        <v>34000</v>
      </c>
      <c r="I11" t="s">
        <v>205</v>
      </c>
    </row>
    <row r="12" spans="1:9" x14ac:dyDescent="0.2">
      <c r="A12" t="s">
        <v>204</v>
      </c>
      <c r="B12" t="str">
        <f t="shared" si="0"/>
        <v>PAY-011</v>
      </c>
      <c r="C12" t="str">
        <f t="shared" si="1"/>
        <v>TRIP-011</v>
      </c>
      <c r="D12" t="s">
        <v>110</v>
      </c>
      <c r="E12" t="s">
        <v>111</v>
      </c>
      <c r="F12">
        <v>64000</v>
      </c>
      <c r="G12" t="s">
        <v>207</v>
      </c>
      <c r="H12">
        <v>64000</v>
      </c>
      <c r="I12" t="s">
        <v>205</v>
      </c>
    </row>
    <row r="13" spans="1:9" x14ac:dyDescent="0.2">
      <c r="A13" t="s">
        <v>204</v>
      </c>
      <c r="B13" t="str">
        <f t="shared" si="0"/>
        <v>PAY-012</v>
      </c>
      <c r="C13" t="str">
        <f t="shared" si="1"/>
        <v>TRIP-012</v>
      </c>
      <c r="D13" t="s">
        <v>112</v>
      </c>
      <c r="E13" t="s">
        <v>92</v>
      </c>
      <c r="F13">
        <v>34000</v>
      </c>
      <c r="G13" t="s">
        <v>92</v>
      </c>
      <c r="H13">
        <v>34000</v>
      </c>
      <c r="I13" t="s">
        <v>205</v>
      </c>
    </row>
    <row r="14" spans="1:9" x14ac:dyDescent="0.2">
      <c r="A14" t="s">
        <v>204</v>
      </c>
      <c r="B14" t="str">
        <f t="shared" si="0"/>
        <v>PAY-013</v>
      </c>
      <c r="C14" t="str">
        <f t="shared" si="1"/>
        <v>TRIP-013</v>
      </c>
      <c r="D14" t="s">
        <v>113</v>
      </c>
      <c r="E14" t="s">
        <v>114</v>
      </c>
      <c r="F14">
        <v>35000</v>
      </c>
      <c r="G14" t="s">
        <v>114</v>
      </c>
      <c r="H14">
        <v>35000</v>
      </c>
      <c r="I14" t="s">
        <v>205</v>
      </c>
    </row>
    <row r="15" spans="1:9" x14ac:dyDescent="0.2">
      <c r="A15" t="s">
        <v>204</v>
      </c>
      <c r="B15" t="str">
        <f t="shared" si="0"/>
        <v>PAY-014</v>
      </c>
      <c r="C15" t="str">
        <f t="shared" si="1"/>
        <v>TRIP-014</v>
      </c>
      <c r="D15" t="s">
        <v>115</v>
      </c>
      <c r="E15" t="s">
        <v>116</v>
      </c>
      <c r="F15">
        <v>38000</v>
      </c>
      <c r="G15" t="s">
        <v>116</v>
      </c>
      <c r="H15">
        <v>38000</v>
      </c>
      <c r="I15" t="s">
        <v>205</v>
      </c>
    </row>
    <row r="16" spans="1:9" x14ac:dyDescent="0.2">
      <c r="A16" t="s">
        <v>204</v>
      </c>
      <c r="B16" t="str">
        <f t="shared" si="0"/>
        <v>PAY-015</v>
      </c>
      <c r="C16" t="str">
        <f t="shared" si="1"/>
        <v>TRIP-015</v>
      </c>
      <c r="D16" t="s">
        <v>117</v>
      </c>
      <c r="E16" t="s">
        <v>111</v>
      </c>
      <c r="F16">
        <v>32000</v>
      </c>
      <c r="G16" t="s">
        <v>207</v>
      </c>
      <c r="H16">
        <v>32000</v>
      </c>
      <c r="I16" t="s">
        <v>205</v>
      </c>
    </row>
    <row r="17" spans="1:9" x14ac:dyDescent="0.2">
      <c r="A17" t="s">
        <v>204</v>
      </c>
      <c r="B17" t="str">
        <f t="shared" si="0"/>
        <v>PAY-016</v>
      </c>
      <c r="C17" t="str">
        <f t="shared" si="1"/>
        <v>TRIP-016</v>
      </c>
      <c r="D17" t="s">
        <v>118</v>
      </c>
      <c r="E17" t="s">
        <v>111</v>
      </c>
      <c r="F17">
        <v>32000</v>
      </c>
      <c r="G17" t="s">
        <v>207</v>
      </c>
      <c r="H17">
        <v>32000</v>
      </c>
      <c r="I17" t="s">
        <v>205</v>
      </c>
    </row>
    <row r="18" spans="1:9" x14ac:dyDescent="0.2">
      <c r="A18" t="s">
        <v>204</v>
      </c>
      <c r="B18" t="str">
        <f t="shared" si="0"/>
        <v>PAY-017</v>
      </c>
      <c r="C18" t="str">
        <f t="shared" si="1"/>
        <v>TRIP-017</v>
      </c>
      <c r="D18" t="s">
        <v>119</v>
      </c>
      <c r="E18" t="s">
        <v>92</v>
      </c>
      <c r="F18">
        <v>34000</v>
      </c>
      <c r="G18" t="s">
        <v>92</v>
      </c>
      <c r="H18">
        <v>34000</v>
      </c>
      <c r="I18" t="s">
        <v>205</v>
      </c>
    </row>
    <row r="19" spans="1:9" x14ac:dyDescent="0.2">
      <c r="A19" t="s">
        <v>204</v>
      </c>
      <c r="B19" t="str">
        <f t="shared" si="0"/>
        <v>PAY-018</v>
      </c>
      <c r="C19" t="str">
        <f t="shared" si="1"/>
        <v>TRIP-018</v>
      </c>
      <c r="D19" t="s">
        <v>120</v>
      </c>
      <c r="E19" t="s">
        <v>121</v>
      </c>
      <c r="F19">
        <v>34000</v>
      </c>
      <c r="G19" t="s">
        <v>121</v>
      </c>
      <c r="H19">
        <v>34000</v>
      </c>
      <c r="I19" t="s">
        <v>205</v>
      </c>
    </row>
    <row r="20" spans="1:9" x14ac:dyDescent="0.2">
      <c r="A20" t="s">
        <v>204</v>
      </c>
      <c r="B20" t="str">
        <f t="shared" si="0"/>
        <v>PAY-019</v>
      </c>
      <c r="C20" t="str">
        <f t="shared" si="1"/>
        <v>TRIP-019</v>
      </c>
      <c r="D20" t="s">
        <v>122</v>
      </c>
      <c r="E20" t="s">
        <v>111</v>
      </c>
      <c r="F20">
        <v>64000</v>
      </c>
      <c r="G20" t="s">
        <v>207</v>
      </c>
      <c r="H20">
        <v>64000</v>
      </c>
      <c r="I20" t="s">
        <v>205</v>
      </c>
    </row>
    <row r="21" spans="1:9" x14ac:dyDescent="0.2">
      <c r="A21" t="s">
        <v>204</v>
      </c>
      <c r="B21" t="str">
        <f t="shared" si="0"/>
        <v>PAY-020</v>
      </c>
      <c r="C21" t="str">
        <f t="shared" si="1"/>
        <v>TRIP-020</v>
      </c>
      <c r="D21" t="s">
        <v>123</v>
      </c>
      <c r="E21" t="s">
        <v>124</v>
      </c>
      <c r="F21">
        <v>32500</v>
      </c>
      <c r="G21" t="s">
        <v>124</v>
      </c>
      <c r="H21">
        <v>32500</v>
      </c>
      <c r="I21" t="s">
        <v>205</v>
      </c>
    </row>
    <row r="22" spans="1:9" x14ac:dyDescent="0.2">
      <c r="A22" t="s">
        <v>204</v>
      </c>
      <c r="B22" t="str">
        <f t="shared" si="0"/>
        <v>PAY-021</v>
      </c>
      <c r="C22" t="str">
        <f t="shared" si="1"/>
        <v>TRIP-021</v>
      </c>
      <c r="D22" t="s">
        <v>125</v>
      </c>
      <c r="E22" t="s">
        <v>126</v>
      </c>
      <c r="F22">
        <v>40000</v>
      </c>
      <c r="G22" t="s">
        <v>126</v>
      </c>
      <c r="H22">
        <v>40000</v>
      </c>
      <c r="I22" t="s">
        <v>205</v>
      </c>
    </row>
    <row r="23" spans="1:9" x14ac:dyDescent="0.2">
      <c r="A23" t="s">
        <v>204</v>
      </c>
      <c r="B23" t="str">
        <f t="shared" si="0"/>
        <v>PAY-022</v>
      </c>
      <c r="C23" t="str">
        <f t="shared" si="1"/>
        <v>TRIP-022</v>
      </c>
      <c r="D23" t="s">
        <v>127</v>
      </c>
      <c r="E23" t="s">
        <v>128</v>
      </c>
      <c r="F23">
        <v>35000</v>
      </c>
      <c r="G23" t="s">
        <v>128</v>
      </c>
      <c r="H23">
        <v>35000</v>
      </c>
      <c r="I23" t="s">
        <v>205</v>
      </c>
    </row>
    <row r="24" spans="1:9" x14ac:dyDescent="0.2">
      <c r="A24" t="s">
        <v>204</v>
      </c>
      <c r="B24" t="str">
        <f t="shared" si="0"/>
        <v>PAY-023</v>
      </c>
      <c r="C24" t="str">
        <f t="shared" si="1"/>
        <v>TRIP-023</v>
      </c>
      <c r="D24" t="s">
        <v>129</v>
      </c>
      <c r="E24" t="s">
        <v>124</v>
      </c>
      <c r="F24">
        <v>32500</v>
      </c>
      <c r="G24" t="s">
        <v>124</v>
      </c>
      <c r="H24">
        <v>32500</v>
      </c>
      <c r="I24" t="s">
        <v>205</v>
      </c>
    </row>
    <row r="25" spans="1:9" x14ac:dyDescent="0.2">
      <c r="A25" t="s">
        <v>204</v>
      </c>
      <c r="B25" t="str">
        <f t="shared" si="0"/>
        <v>PAY-024</v>
      </c>
      <c r="C25" t="str">
        <f t="shared" si="1"/>
        <v>TRIP-024</v>
      </c>
      <c r="D25" t="s">
        <v>130</v>
      </c>
      <c r="E25" t="s">
        <v>121</v>
      </c>
      <c r="F25">
        <v>33000</v>
      </c>
      <c r="G25" t="s">
        <v>121</v>
      </c>
      <c r="H25">
        <v>33000</v>
      </c>
      <c r="I25" t="s">
        <v>205</v>
      </c>
    </row>
    <row r="26" spans="1:9" x14ac:dyDescent="0.2">
      <c r="A26" t="s">
        <v>204</v>
      </c>
      <c r="B26" t="str">
        <f t="shared" si="0"/>
        <v>PAY-025</v>
      </c>
      <c r="C26" t="str">
        <f t="shared" si="1"/>
        <v>TRIP-025</v>
      </c>
      <c r="D26" t="s">
        <v>131</v>
      </c>
      <c r="E26" t="s">
        <v>132</v>
      </c>
      <c r="F26">
        <v>35000</v>
      </c>
      <c r="G26" t="s">
        <v>132</v>
      </c>
      <c r="H26">
        <v>35000</v>
      </c>
      <c r="I26" t="s">
        <v>205</v>
      </c>
    </row>
    <row r="27" spans="1:9" x14ac:dyDescent="0.2">
      <c r="A27" t="s">
        <v>204</v>
      </c>
      <c r="B27" t="str">
        <f t="shared" si="0"/>
        <v>PAY-026</v>
      </c>
      <c r="C27" t="str">
        <f t="shared" si="1"/>
        <v>TRIP-026</v>
      </c>
      <c r="D27" t="s">
        <v>133</v>
      </c>
      <c r="E27" t="s">
        <v>132</v>
      </c>
      <c r="F27">
        <v>35000</v>
      </c>
      <c r="G27" t="s">
        <v>132</v>
      </c>
      <c r="H27">
        <v>35000</v>
      </c>
      <c r="I27" t="s">
        <v>205</v>
      </c>
    </row>
    <row r="28" spans="1:9" x14ac:dyDescent="0.2">
      <c r="A28" t="s">
        <v>204</v>
      </c>
      <c r="B28" t="str">
        <f t="shared" si="0"/>
        <v>PAY-027</v>
      </c>
      <c r="C28" t="str">
        <f t="shared" si="1"/>
        <v>TRIP-027</v>
      </c>
      <c r="D28" t="s">
        <v>134</v>
      </c>
      <c r="E28" t="s">
        <v>135</v>
      </c>
      <c r="F28">
        <v>32000</v>
      </c>
      <c r="G28" t="s">
        <v>135</v>
      </c>
      <c r="H28">
        <v>32000</v>
      </c>
      <c r="I28" t="s">
        <v>205</v>
      </c>
    </row>
    <row r="29" spans="1:9" x14ac:dyDescent="0.2">
      <c r="A29" t="s">
        <v>204</v>
      </c>
      <c r="B29" t="str">
        <f t="shared" si="0"/>
        <v>PAY-028</v>
      </c>
      <c r="C29" t="str">
        <f t="shared" si="1"/>
        <v>TRIP-028</v>
      </c>
      <c r="D29" t="s">
        <v>136</v>
      </c>
      <c r="E29" t="s">
        <v>137</v>
      </c>
      <c r="F29">
        <v>32000</v>
      </c>
      <c r="G29" t="s">
        <v>137</v>
      </c>
      <c r="H29">
        <v>32000</v>
      </c>
      <c r="I29" t="s">
        <v>205</v>
      </c>
    </row>
    <row r="30" spans="1:9" x14ac:dyDescent="0.2">
      <c r="A30" t="s">
        <v>204</v>
      </c>
      <c r="B30" t="str">
        <f t="shared" si="0"/>
        <v>PAY-029</v>
      </c>
      <c r="C30" t="str">
        <f t="shared" si="1"/>
        <v>TRIP-029</v>
      </c>
      <c r="D30" t="s">
        <v>138</v>
      </c>
      <c r="E30" t="s">
        <v>10</v>
      </c>
      <c r="F30">
        <v>30000</v>
      </c>
      <c r="G30" t="s">
        <v>10</v>
      </c>
      <c r="H30">
        <v>30000</v>
      </c>
      <c r="I30" t="s">
        <v>205</v>
      </c>
    </row>
    <row r="31" spans="1:9" x14ac:dyDescent="0.2">
      <c r="A31" t="s">
        <v>204</v>
      </c>
      <c r="B31" t="str">
        <f t="shared" si="0"/>
        <v>PAY-030</v>
      </c>
      <c r="C31" t="str">
        <f t="shared" si="1"/>
        <v>TRIP-030</v>
      </c>
      <c r="D31" t="s">
        <v>139</v>
      </c>
      <c r="E31" t="s">
        <v>121</v>
      </c>
      <c r="F31">
        <v>33000</v>
      </c>
      <c r="G31" t="s">
        <v>121</v>
      </c>
      <c r="H31">
        <v>33000</v>
      </c>
      <c r="I31" t="s">
        <v>205</v>
      </c>
    </row>
    <row r="32" spans="1:9" x14ac:dyDescent="0.2">
      <c r="A32" t="s">
        <v>204</v>
      </c>
      <c r="B32" t="str">
        <f t="shared" si="0"/>
        <v>PAY-031</v>
      </c>
      <c r="C32" t="str">
        <f t="shared" si="1"/>
        <v>TRIP-031</v>
      </c>
      <c r="D32" t="s">
        <v>140</v>
      </c>
      <c r="E32" t="s">
        <v>141</v>
      </c>
      <c r="F32">
        <v>35000</v>
      </c>
      <c r="G32" t="s">
        <v>141</v>
      </c>
      <c r="H32">
        <v>35000</v>
      </c>
      <c r="I32" t="s">
        <v>205</v>
      </c>
    </row>
    <row r="33" spans="1:9" x14ac:dyDescent="0.2">
      <c r="A33" t="s">
        <v>204</v>
      </c>
      <c r="B33" t="str">
        <f t="shared" si="0"/>
        <v>PAY-032</v>
      </c>
      <c r="C33" t="str">
        <f t="shared" si="1"/>
        <v>TRIP-032</v>
      </c>
      <c r="D33" t="s">
        <v>142</v>
      </c>
      <c r="E33" t="s">
        <v>143</v>
      </c>
      <c r="F33">
        <v>30000</v>
      </c>
      <c r="G33" t="s">
        <v>143</v>
      </c>
      <c r="H33">
        <v>30000</v>
      </c>
      <c r="I33" t="s">
        <v>205</v>
      </c>
    </row>
    <row r="34" spans="1:9" x14ac:dyDescent="0.2">
      <c r="A34" t="s">
        <v>204</v>
      </c>
      <c r="B34" t="str">
        <f t="shared" si="0"/>
        <v>PAY-033</v>
      </c>
      <c r="C34" t="str">
        <f t="shared" si="1"/>
        <v>TRIP-033</v>
      </c>
      <c r="D34" t="s">
        <v>144</v>
      </c>
      <c r="E34" t="s">
        <v>109</v>
      </c>
      <c r="F34">
        <v>30000</v>
      </c>
      <c r="G34" t="s">
        <v>109</v>
      </c>
      <c r="H34">
        <v>30000</v>
      </c>
      <c r="I34" t="s">
        <v>205</v>
      </c>
    </row>
    <row r="35" spans="1:9" x14ac:dyDescent="0.2">
      <c r="A35" t="s">
        <v>204</v>
      </c>
      <c r="B35" t="str">
        <f t="shared" si="0"/>
        <v>PAY-034</v>
      </c>
      <c r="C35" t="str">
        <f t="shared" si="1"/>
        <v>TRIP-034</v>
      </c>
      <c r="D35" t="s">
        <v>145</v>
      </c>
      <c r="E35" t="s">
        <v>137</v>
      </c>
      <c r="F35">
        <v>32000</v>
      </c>
      <c r="G35" t="s">
        <v>137</v>
      </c>
      <c r="H35">
        <v>32000</v>
      </c>
      <c r="I35" t="s">
        <v>205</v>
      </c>
    </row>
    <row r="36" spans="1:9" x14ac:dyDescent="0.2">
      <c r="A36" t="s">
        <v>204</v>
      </c>
      <c r="B36" t="str">
        <f t="shared" si="0"/>
        <v>PAY-035</v>
      </c>
      <c r="C36" t="str">
        <f t="shared" si="1"/>
        <v>TRIP-035</v>
      </c>
      <c r="D36" t="s">
        <v>146</v>
      </c>
      <c r="E36" t="s">
        <v>147</v>
      </c>
      <c r="F36">
        <v>33000</v>
      </c>
      <c r="G36" t="s">
        <v>147</v>
      </c>
      <c r="H36">
        <v>33000</v>
      </c>
      <c r="I36" t="s">
        <v>205</v>
      </c>
    </row>
    <row r="37" spans="1:9" x14ac:dyDescent="0.2">
      <c r="A37" t="s">
        <v>204</v>
      </c>
      <c r="B37" t="str">
        <f t="shared" si="0"/>
        <v>PAY-036</v>
      </c>
      <c r="C37" t="str">
        <f t="shared" si="1"/>
        <v>TRIP-036</v>
      </c>
      <c r="D37" t="s">
        <v>148</v>
      </c>
      <c r="E37" t="s">
        <v>92</v>
      </c>
      <c r="F37">
        <v>34000</v>
      </c>
      <c r="G37" t="s">
        <v>92</v>
      </c>
      <c r="H37">
        <v>34000</v>
      </c>
      <c r="I37" t="s">
        <v>205</v>
      </c>
    </row>
    <row r="38" spans="1:9" x14ac:dyDescent="0.2">
      <c r="A38" t="s">
        <v>204</v>
      </c>
      <c r="B38" t="str">
        <f t="shared" si="0"/>
        <v>PAY-037</v>
      </c>
      <c r="C38" t="str">
        <f t="shared" si="1"/>
        <v>TRIP-037</v>
      </c>
      <c r="D38" t="s">
        <v>149</v>
      </c>
      <c r="E38" t="s">
        <v>137</v>
      </c>
      <c r="F38">
        <v>32000</v>
      </c>
      <c r="G38" t="s">
        <v>137</v>
      </c>
      <c r="H38">
        <v>32000</v>
      </c>
      <c r="I38" t="s">
        <v>205</v>
      </c>
    </row>
    <row r="39" spans="1:9" x14ac:dyDescent="0.2">
      <c r="A39" t="s">
        <v>204</v>
      </c>
      <c r="B39" t="str">
        <f t="shared" si="0"/>
        <v>PAY-038</v>
      </c>
      <c r="C39" t="str">
        <f t="shared" si="1"/>
        <v>TRIP-038</v>
      </c>
      <c r="D39" t="s">
        <v>150</v>
      </c>
      <c r="E39" t="s">
        <v>151</v>
      </c>
      <c r="F39">
        <v>32000</v>
      </c>
      <c r="G39" t="s">
        <v>151</v>
      </c>
      <c r="H39">
        <v>32000</v>
      </c>
      <c r="I39" t="s">
        <v>205</v>
      </c>
    </row>
    <row r="40" spans="1:9" x14ac:dyDescent="0.2">
      <c r="A40" t="s">
        <v>204</v>
      </c>
      <c r="B40" t="str">
        <f t="shared" si="0"/>
        <v>PAY-039</v>
      </c>
      <c r="C40" t="str">
        <f t="shared" si="1"/>
        <v>TRIP-039</v>
      </c>
      <c r="D40" t="s">
        <v>152</v>
      </c>
      <c r="E40" t="s">
        <v>153</v>
      </c>
      <c r="F40">
        <v>32000</v>
      </c>
      <c r="G40" t="s">
        <v>153</v>
      </c>
      <c r="H40">
        <v>32000</v>
      </c>
      <c r="I40" t="s">
        <v>205</v>
      </c>
    </row>
    <row r="41" spans="1:9" x14ac:dyDescent="0.2">
      <c r="A41" t="s">
        <v>204</v>
      </c>
      <c r="B41" t="str">
        <f t="shared" si="0"/>
        <v>PAY-040</v>
      </c>
      <c r="C41" t="str">
        <f t="shared" si="1"/>
        <v>TRIP-040</v>
      </c>
      <c r="D41" t="s">
        <v>154</v>
      </c>
      <c r="E41" t="s">
        <v>92</v>
      </c>
      <c r="F41">
        <v>32000</v>
      </c>
      <c r="G41" t="s">
        <v>92</v>
      </c>
      <c r="H41">
        <v>32000</v>
      </c>
      <c r="I41" t="s">
        <v>205</v>
      </c>
    </row>
    <row r="42" spans="1:9" x14ac:dyDescent="0.2">
      <c r="A42" t="s">
        <v>204</v>
      </c>
      <c r="B42" t="str">
        <f t="shared" si="0"/>
        <v>PAY-041</v>
      </c>
      <c r="C42" t="str">
        <f t="shared" si="1"/>
        <v>TRIP-041</v>
      </c>
      <c r="D42" t="s">
        <v>155</v>
      </c>
      <c r="E42" t="s">
        <v>126</v>
      </c>
      <c r="F42">
        <v>40000</v>
      </c>
      <c r="G42" t="s">
        <v>126</v>
      </c>
      <c r="H42">
        <v>40000</v>
      </c>
      <c r="I42" t="s">
        <v>205</v>
      </c>
    </row>
    <row r="43" spans="1:9" x14ac:dyDescent="0.2">
      <c r="A43" t="s">
        <v>204</v>
      </c>
      <c r="B43" t="str">
        <f t="shared" si="0"/>
        <v>PAY-042</v>
      </c>
      <c r="C43" t="str">
        <f t="shared" si="1"/>
        <v>TRIP-042</v>
      </c>
      <c r="D43" t="s">
        <v>156</v>
      </c>
      <c r="E43" t="s">
        <v>157</v>
      </c>
      <c r="F43">
        <v>33000</v>
      </c>
      <c r="G43" t="s">
        <v>157</v>
      </c>
      <c r="H43">
        <v>33000</v>
      </c>
      <c r="I43" t="s">
        <v>205</v>
      </c>
    </row>
    <row r="44" spans="1:9" x14ac:dyDescent="0.2">
      <c r="A44" t="s">
        <v>204</v>
      </c>
      <c r="B44" t="str">
        <f t="shared" si="0"/>
        <v>PAY-043</v>
      </c>
      <c r="C44" t="str">
        <f t="shared" si="1"/>
        <v>TRIP-043</v>
      </c>
      <c r="D44" t="s">
        <v>158</v>
      </c>
      <c r="E44" t="s">
        <v>10</v>
      </c>
      <c r="F44">
        <v>62000</v>
      </c>
      <c r="G44" t="s">
        <v>10</v>
      </c>
      <c r="H44">
        <v>62000</v>
      </c>
      <c r="I44" t="s">
        <v>205</v>
      </c>
    </row>
    <row r="45" spans="1:9" x14ac:dyDescent="0.2">
      <c r="A45" t="s">
        <v>204</v>
      </c>
      <c r="B45" t="str">
        <f t="shared" si="0"/>
        <v>PAY-044</v>
      </c>
      <c r="C45" t="str">
        <f t="shared" si="1"/>
        <v>TRIP-044</v>
      </c>
      <c r="D45" t="s">
        <v>159</v>
      </c>
      <c r="E45" t="s">
        <v>160</v>
      </c>
      <c r="F45">
        <v>30000</v>
      </c>
      <c r="G45" t="s">
        <v>160</v>
      </c>
      <c r="H45">
        <v>30000</v>
      </c>
      <c r="I45" t="s">
        <v>205</v>
      </c>
    </row>
    <row r="46" spans="1:9" x14ac:dyDescent="0.2">
      <c r="A46" t="s">
        <v>204</v>
      </c>
      <c r="B46" t="str">
        <f t="shared" si="0"/>
        <v>PAY-045</v>
      </c>
      <c r="C46" t="str">
        <f t="shared" si="1"/>
        <v>TRIP-045</v>
      </c>
      <c r="D46" t="s">
        <v>161</v>
      </c>
      <c r="E46" t="s">
        <v>111</v>
      </c>
      <c r="F46">
        <v>64000</v>
      </c>
      <c r="G46" t="s">
        <v>207</v>
      </c>
      <c r="H46">
        <v>64000</v>
      </c>
      <c r="I46" t="s">
        <v>205</v>
      </c>
    </row>
    <row r="47" spans="1:9" x14ac:dyDescent="0.2">
      <c r="A47" t="s">
        <v>204</v>
      </c>
      <c r="B47" t="str">
        <f t="shared" si="0"/>
        <v>PAY-046</v>
      </c>
      <c r="C47" t="str">
        <f t="shared" si="1"/>
        <v>TRIP-046</v>
      </c>
      <c r="D47" t="s">
        <v>162</v>
      </c>
      <c r="E47" t="s">
        <v>10</v>
      </c>
      <c r="F47">
        <v>62000</v>
      </c>
      <c r="G47" t="s">
        <v>10</v>
      </c>
      <c r="H47">
        <v>62000</v>
      </c>
      <c r="I47" t="s">
        <v>205</v>
      </c>
    </row>
    <row r="48" spans="1:9" x14ac:dyDescent="0.2">
      <c r="A48" t="s">
        <v>208</v>
      </c>
      <c r="B48" t="str">
        <f t="shared" ref="B48:B58" si="2">"PAY-HF-"&amp;TEXT(ROW()-1,"000")</f>
        <v>PAY-HF-047</v>
      </c>
      <c r="C48" t="s">
        <v>163</v>
      </c>
      <c r="D48" t="s">
        <v>163</v>
      </c>
      <c r="E48" t="s">
        <v>105</v>
      </c>
      <c r="F48">
        <v>12000</v>
      </c>
      <c r="G48" t="s">
        <v>105</v>
      </c>
      <c r="H48">
        <v>12000</v>
      </c>
      <c r="I48" t="s">
        <v>209</v>
      </c>
    </row>
    <row r="49" spans="1:9" x14ac:dyDescent="0.2">
      <c r="A49" t="s">
        <v>208</v>
      </c>
      <c r="B49" t="str">
        <f t="shared" si="2"/>
        <v>PAY-HF-048</v>
      </c>
      <c r="C49" t="s">
        <v>165</v>
      </c>
      <c r="D49" t="s">
        <v>165</v>
      </c>
      <c r="E49" t="s">
        <v>166</v>
      </c>
      <c r="F49">
        <v>10000</v>
      </c>
      <c r="G49" t="s">
        <v>166</v>
      </c>
      <c r="H49">
        <v>10000</v>
      </c>
      <c r="I49" t="s">
        <v>209</v>
      </c>
    </row>
    <row r="50" spans="1:9" x14ac:dyDescent="0.2">
      <c r="A50" t="s">
        <v>208</v>
      </c>
      <c r="B50" t="str">
        <f t="shared" si="2"/>
        <v>PAY-HF-049</v>
      </c>
      <c r="C50" t="s">
        <v>167</v>
      </c>
      <c r="D50" t="s">
        <v>167</v>
      </c>
      <c r="E50" t="s">
        <v>168</v>
      </c>
      <c r="F50">
        <v>9500</v>
      </c>
      <c r="G50" t="s">
        <v>168</v>
      </c>
      <c r="H50">
        <v>9500</v>
      </c>
      <c r="I50" t="s">
        <v>209</v>
      </c>
    </row>
    <row r="51" spans="1:9" x14ac:dyDescent="0.2">
      <c r="A51" t="s">
        <v>208</v>
      </c>
      <c r="B51" t="str">
        <f t="shared" si="2"/>
        <v>PAY-HF-050</v>
      </c>
      <c r="C51" t="s">
        <v>169</v>
      </c>
      <c r="D51" t="s">
        <v>169</v>
      </c>
      <c r="E51" t="s">
        <v>170</v>
      </c>
      <c r="F51">
        <v>2000</v>
      </c>
      <c r="G51" t="s">
        <v>170</v>
      </c>
      <c r="H51">
        <v>2000</v>
      </c>
      <c r="I51" t="s">
        <v>209</v>
      </c>
    </row>
    <row r="52" spans="1:9" x14ac:dyDescent="0.2">
      <c r="A52" t="s">
        <v>208</v>
      </c>
      <c r="B52" t="str">
        <f t="shared" si="2"/>
        <v>PAY-HF-051</v>
      </c>
      <c r="C52" t="s">
        <v>171</v>
      </c>
      <c r="D52" t="s">
        <v>171</v>
      </c>
      <c r="E52" t="s">
        <v>172</v>
      </c>
      <c r="F52">
        <v>10000</v>
      </c>
      <c r="G52" t="s">
        <v>172</v>
      </c>
      <c r="H52">
        <v>10000</v>
      </c>
      <c r="I52" t="s">
        <v>209</v>
      </c>
    </row>
    <row r="53" spans="1:9" x14ac:dyDescent="0.2">
      <c r="A53" t="s">
        <v>208</v>
      </c>
      <c r="B53" t="str">
        <f t="shared" si="2"/>
        <v>PAY-HF-052</v>
      </c>
      <c r="C53" t="s">
        <v>173</v>
      </c>
      <c r="D53" t="s">
        <v>173</v>
      </c>
      <c r="E53" t="s">
        <v>174</v>
      </c>
      <c r="F53">
        <v>10000</v>
      </c>
      <c r="G53" t="s">
        <v>174</v>
      </c>
      <c r="H53">
        <v>10000</v>
      </c>
      <c r="I53" t="s">
        <v>209</v>
      </c>
    </row>
    <row r="54" spans="1:9" x14ac:dyDescent="0.2">
      <c r="A54" t="s">
        <v>208</v>
      </c>
      <c r="B54" t="str">
        <f t="shared" si="2"/>
        <v>PAY-HF-053</v>
      </c>
      <c r="C54" t="s">
        <v>175</v>
      </c>
      <c r="D54" t="s">
        <v>175</v>
      </c>
      <c r="E54" t="s">
        <v>176</v>
      </c>
      <c r="F54">
        <v>10000</v>
      </c>
      <c r="G54" t="s">
        <v>176</v>
      </c>
      <c r="H54">
        <v>10000</v>
      </c>
      <c r="I54" t="s">
        <v>209</v>
      </c>
    </row>
    <row r="55" spans="1:9" x14ac:dyDescent="0.2">
      <c r="A55" t="s">
        <v>208</v>
      </c>
      <c r="B55" t="str">
        <f t="shared" si="2"/>
        <v>PAY-HF-054</v>
      </c>
      <c r="C55" t="s">
        <v>177</v>
      </c>
      <c r="D55" t="s">
        <v>177</v>
      </c>
      <c r="E55" t="s">
        <v>166</v>
      </c>
      <c r="F55">
        <v>10000</v>
      </c>
      <c r="G55" t="s">
        <v>166</v>
      </c>
      <c r="H55">
        <v>10000</v>
      </c>
      <c r="I55" t="s">
        <v>209</v>
      </c>
    </row>
    <row r="56" spans="1:9" x14ac:dyDescent="0.2">
      <c r="A56" t="s">
        <v>208</v>
      </c>
      <c r="B56" t="str">
        <f t="shared" si="2"/>
        <v>PAY-HF-055</v>
      </c>
      <c r="C56" t="s">
        <v>178</v>
      </c>
      <c r="D56" t="s">
        <v>178</v>
      </c>
      <c r="E56" t="s">
        <v>170</v>
      </c>
      <c r="F56">
        <v>10000</v>
      </c>
      <c r="G56" t="s">
        <v>170</v>
      </c>
      <c r="H56">
        <v>10000</v>
      </c>
      <c r="I56" t="s">
        <v>209</v>
      </c>
    </row>
    <row r="57" spans="1:9" x14ac:dyDescent="0.2">
      <c r="A57" t="s">
        <v>208</v>
      </c>
      <c r="B57" t="str">
        <f t="shared" si="2"/>
        <v>PAY-HF-056</v>
      </c>
      <c r="C57" t="s">
        <v>179</v>
      </c>
      <c r="D57" t="s">
        <v>179</v>
      </c>
      <c r="E57" t="s">
        <v>180</v>
      </c>
      <c r="F57">
        <v>10000</v>
      </c>
      <c r="G57" t="s">
        <v>210</v>
      </c>
      <c r="H57">
        <v>10000</v>
      </c>
      <c r="I57" t="s">
        <v>209</v>
      </c>
    </row>
    <row r="58" spans="1:9" x14ac:dyDescent="0.2">
      <c r="A58" t="s">
        <v>208</v>
      </c>
      <c r="B58" t="str">
        <f t="shared" si="2"/>
        <v>PAY-HF-057</v>
      </c>
      <c r="C58" t="s">
        <v>181</v>
      </c>
      <c r="D58" t="s">
        <v>181</v>
      </c>
      <c r="E58" t="s">
        <v>166</v>
      </c>
      <c r="F58">
        <v>10000</v>
      </c>
      <c r="G58" t="s">
        <v>166</v>
      </c>
      <c r="H58">
        <v>10000</v>
      </c>
      <c r="I58" t="s">
        <v>209</v>
      </c>
    </row>
    <row r="59" spans="1:9" x14ac:dyDescent="0.2">
      <c r="A59" t="s">
        <v>211</v>
      </c>
      <c r="B59" t="str">
        <f t="shared" ref="B59:B66" si="3">"PAY-T-"&amp;TEXT(ROW()-1,"000")</f>
        <v>PAY-T-058</v>
      </c>
      <c r="C59" t="str">
        <f t="shared" ref="C59:C66" si="4">"TRIP-T-"&amp;TEXT(ROW()-1,"000")</f>
        <v>TRIP-T-058</v>
      </c>
      <c r="D59" t="s">
        <v>182</v>
      </c>
      <c r="E59" t="s">
        <v>183</v>
      </c>
      <c r="F59">
        <v>4000</v>
      </c>
      <c r="G59" t="s">
        <v>183</v>
      </c>
      <c r="H59">
        <v>4000</v>
      </c>
      <c r="I59" t="s">
        <v>205</v>
      </c>
    </row>
    <row r="60" spans="1:9" x14ac:dyDescent="0.2">
      <c r="A60" t="s">
        <v>211</v>
      </c>
      <c r="B60" t="str">
        <f t="shared" si="3"/>
        <v>PAY-T-059</v>
      </c>
      <c r="C60" t="str">
        <f t="shared" si="4"/>
        <v>TRIP-T-059</v>
      </c>
      <c r="D60" t="s">
        <v>184</v>
      </c>
      <c r="E60" t="s">
        <v>185</v>
      </c>
      <c r="F60">
        <v>4000</v>
      </c>
      <c r="G60" t="s">
        <v>185</v>
      </c>
      <c r="H60">
        <v>4000</v>
      </c>
      <c r="I60" t="s">
        <v>205</v>
      </c>
    </row>
    <row r="61" spans="1:9" x14ac:dyDescent="0.2">
      <c r="A61" t="s">
        <v>211</v>
      </c>
      <c r="B61" t="str">
        <f t="shared" si="3"/>
        <v>PAY-T-060</v>
      </c>
      <c r="C61" t="str">
        <f t="shared" si="4"/>
        <v>TRIP-T-060</v>
      </c>
      <c r="D61" t="s">
        <v>186</v>
      </c>
      <c r="E61" t="s">
        <v>187</v>
      </c>
      <c r="F61">
        <v>1000</v>
      </c>
      <c r="G61" t="s">
        <v>187</v>
      </c>
      <c r="H61">
        <v>1000</v>
      </c>
      <c r="I61" t="s">
        <v>205</v>
      </c>
    </row>
    <row r="62" spans="1:9" x14ac:dyDescent="0.2">
      <c r="A62" t="s">
        <v>211</v>
      </c>
      <c r="B62" t="str">
        <f t="shared" si="3"/>
        <v>PAY-T-061</v>
      </c>
      <c r="C62" t="str">
        <f t="shared" si="4"/>
        <v>TRIP-T-061</v>
      </c>
      <c r="D62" t="s">
        <v>188</v>
      </c>
      <c r="E62" t="s">
        <v>183</v>
      </c>
      <c r="F62">
        <v>4000</v>
      </c>
      <c r="G62" t="s">
        <v>183</v>
      </c>
      <c r="H62">
        <v>4000</v>
      </c>
      <c r="I62" t="s">
        <v>205</v>
      </c>
    </row>
    <row r="63" spans="1:9" x14ac:dyDescent="0.2">
      <c r="A63" t="s">
        <v>211</v>
      </c>
      <c r="B63" t="str">
        <f t="shared" si="3"/>
        <v>PAY-T-062</v>
      </c>
      <c r="C63" t="str">
        <f t="shared" si="4"/>
        <v>TRIP-T-062</v>
      </c>
      <c r="D63" t="s">
        <v>189</v>
      </c>
      <c r="E63" t="s">
        <v>185</v>
      </c>
      <c r="F63">
        <v>4000</v>
      </c>
      <c r="G63" t="s">
        <v>185</v>
      </c>
      <c r="H63">
        <v>4000</v>
      </c>
      <c r="I63" t="s">
        <v>205</v>
      </c>
    </row>
    <row r="64" spans="1:9" x14ac:dyDescent="0.2">
      <c r="A64" t="s">
        <v>211</v>
      </c>
      <c r="B64" t="str">
        <f t="shared" si="3"/>
        <v>PAY-T-063</v>
      </c>
      <c r="C64" t="str">
        <f t="shared" si="4"/>
        <v>TRIP-T-063</v>
      </c>
      <c r="D64" t="s">
        <v>190</v>
      </c>
      <c r="E64" t="s">
        <v>191</v>
      </c>
      <c r="F64">
        <v>4000</v>
      </c>
      <c r="G64" t="s">
        <v>191</v>
      </c>
      <c r="H64">
        <v>4000</v>
      </c>
      <c r="I64" t="s">
        <v>205</v>
      </c>
    </row>
    <row r="65" spans="1:9" x14ac:dyDescent="0.2">
      <c r="A65" t="s">
        <v>211</v>
      </c>
      <c r="B65" t="str">
        <f t="shared" si="3"/>
        <v>PAY-T-064</v>
      </c>
      <c r="C65" t="str">
        <f t="shared" si="4"/>
        <v>TRIP-T-064</v>
      </c>
      <c r="D65" t="s">
        <v>192</v>
      </c>
      <c r="E65" t="s">
        <v>193</v>
      </c>
      <c r="F65">
        <v>4000</v>
      </c>
      <c r="G65" t="s">
        <v>193</v>
      </c>
      <c r="H65">
        <v>4000</v>
      </c>
      <c r="I65" t="s">
        <v>205</v>
      </c>
    </row>
    <row r="66" spans="1:9" x14ac:dyDescent="0.2">
      <c r="A66" t="s">
        <v>211</v>
      </c>
      <c r="B66" t="str">
        <f t="shared" si="3"/>
        <v>PAY-T-065</v>
      </c>
      <c r="C66" t="str">
        <f t="shared" si="4"/>
        <v>TRIP-T-065</v>
      </c>
      <c r="D66" t="s">
        <v>194</v>
      </c>
      <c r="E66" t="s">
        <v>195</v>
      </c>
      <c r="F66">
        <v>4000</v>
      </c>
      <c r="H66">
        <v>4000</v>
      </c>
      <c r="I66" t="s">
        <v>205</v>
      </c>
    </row>
    <row r="67" spans="1:9" x14ac:dyDescent="0.2">
      <c r="A67" t="s">
        <v>212</v>
      </c>
      <c r="B67" t="s">
        <v>8</v>
      </c>
      <c r="C67" t="s">
        <v>9</v>
      </c>
      <c r="D67" t="s">
        <v>9</v>
      </c>
      <c r="E67" t="s">
        <v>10</v>
      </c>
      <c r="F67">
        <v>4000</v>
      </c>
      <c r="G67" t="s">
        <v>10</v>
      </c>
      <c r="H67">
        <v>4000</v>
      </c>
      <c r="I67" t="s">
        <v>209</v>
      </c>
    </row>
    <row r="68" spans="1:9" x14ac:dyDescent="0.2">
      <c r="A68" t="s">
        <v>212</v>
      </c>
      <c r="B68" t="s">
        <v>12</v>
      </c>
      <c r="C68" t="s">
        <v>13</v>
      </c>
      <c r="D68" t="s">
        <v>13</v>
      </c>
      <c r="E68" t="s">
        <v>14</v>
      </c>
      <c r="F68">
        <v>16800</v>
      </c>
      <c r="G68" t="s">
        <v>14</v>
      </c>
      <c r="H68">
        <v>16800</v>
      </c>
      <c r="I68" t="s">
        <v>209</v>
      </c>
    </row>
    <row r="69" spans="1:9" x14ac:dyDescent="0.2">
      <c r="A69" t="s">
        <v>212</v>
      </c>
      <c r="B69" t="s">
        <v>15</v>
      </c>
      <c r="C69" t="s">
        <v>16</v>
      </c>
      <c r="D69" t="s">
        <v>16</v>
      </c>
      <c r="E69" t="s">
        <v>14</v>
      </c>
      <c r="F69">
        <v>16800</v>
      </c>
      <c r="G69" t="s">
        <v>14</v>
      </c>
      <c r="H69">
        <v>16800</v>
      </c>
      <c r="I69" t="s">
        <v>209</v>
      </c>
    </row>
    <row r="70" spans="1:9" x14ac:dyDescent="0.2">
      <c r="A70" t="s">
        <v>212</v>
      </c>
      <c r="B70" t="s">
        <v>17</v>
      </c>
      <c r="C70" t="s">
        <v>18</v>
      </c>
      <c r="D70" t="s">
        <v>18</v>
      </c>
      <c r="E70" t="s">
        <v>19</v>
      </c>
      <c r="F70">
        <v>5400</v>
      </c>
      <c r="G70" t="s">
        <v>19</v>
      </c>
      <c r="H70">
        <v>5400</v>
      </c>
      <c r="I70" t="s">
        <v>209</v>
      </c>
    </row>
    <row r="71" spans="1:9" x14ac:dyDescent="0.2">
      <c r="A71" t="s">
        <v>212</v>
      </c>
      <c r="B71" t="s">
        <v>20</v>
      </c>
      <c r="C71" t="s">
        <v>21</v>
      </c>
      <c r="D71" t="s">
        <v>21</v>
      </c>
      <c r="E71" t="s">
        <v>14</v>
      </c>
      <c r="F71">
        <v>11200</v>
      </c>
      <c r="G71" t="s">
        <v>14</v>
      </c>
      <c r="H71">
        <v>11200</v>
      </c>
      <c r="I71" t="s">
        <v>209</v>
      </c>
    </row>
    <row r="72" spans="1:9" x14ac:dyDescent="0.2">
      <c r="A72" t="s">
        <v>212</v>
      </c>
      <c r="B72" t="s">
        <v>22</v>
      </c>
      <c r="C72" t="s">
        <v>23</v>
      </c>
      <c r="D72" t="s">
        <v>23</v>
      </c>
      <c r="E72" t="s">
        <v>14</v>
      </c>
      <c r="F72">
        <v>11200</v>
      </c>
      <c r="G72" t="s">
        <v>14</v>
      </c>
      <c r="H72">
        <v>11200</v>
      </c>
      <c r="I72" t="s">
        <v>209</v>
      </c>
    </row>
    <row r="73" spans="1:9" x14ac:dyDescent="0.2">
      <c r="A73" t="s">
        <v>212</v>
      </c>
      <c r="B73" t="s">
        <v>24</v>
      </c>
      <c r="C73" t="s">
        <v>25</v>
      </c>
      <c r="D73" t="s">
        <v>25</v>
      </c>
      <c r="E73" t="s">
        <v>26</v>
      </c>
      <c r="F73">
        <v>8100</v>
      </c>
      <c r="G73" t="s">
        <v>26</v>
      </c>
      <c r="H73">
        <v>8100</v>
      </c>
      <c r="I73" t="s">
        <v>209</v>
      </c>
    </row>
    <row r="74" spans="1:9" x14ac:dyDescent="0.2">
      <c r="A74" t="s">
        <v>212</v>
      </c>
      <c r="B74" t="s">
        <v>27</v>
      </c>
      <c r="C74" t="s">
        <v>213</v>
      </c>
      <c r="D74" t="s">
        <v>28</v>
      </c>
      <c r="E74" t="s">
        <v>26</v>
      </c>
      <c r="F74">
        <v>2500</v>
      </c>
      <c r="G74" t="s">
        <v>26</v>
      </c>
      <c r="H74">
        <v>2500</v>
      </c>
      <c r="I74" t="s">
        <v>205</v>
      </c>
    </row>
    <row r="75" spans="1:9" x14ac:dyDescent="0.2">
      <c r="A75" t="s">
        <v>212</v>
      </c>
      <c r="B75" t="s">
        <v>29</v>
      </c>
      <c r="C75" t="s">
        <v>214</v>
      </c>
      <c r="D75" t="s">
        <v>30</v>
      </c>
      <c r="E75" t="s">
        <v>31</v>
      </c>
      <c r="F75">
        <v>9000</v>
      </c>
      <c r="G75" t="s">
        <v>31</v>
      </c>
      <c r="H75">
        <v>9000</v>
      </c>
      <c r="I75" t="s">
        <v>205</v>
      </c>
    </row>
    <row r="76" spans="1:9" x14ac:dyDescent="0.2">
      <c r="A76" t="s">
        <v>212</v>
      </c>
      <c r="B76" t="s">
        <v>32</v>
      </c>
      <c r="C76" t="s">
        <v>28</v>
      </c>
      <c r="D76" t="s">
        <v>33</v>
      </c>
      <c r="E76" t="s">
        <v>31</v>
      </c>
      <c r="F76">
        <v>9000</v>
      </c>
      <c r="G76" t="s">
        <v>31</v>
      </c>
      <c r="H76">
        <v>9000</v>
      </c>
      <c r="I76" t="s">
        <v>205</v>
      </c>
    </row>
    <row r="77" spans="1:9" x14ac:dyDescent="0.2">
      <c r="A77" t="s">
        <v>212</v>
      </c>
      <c r="B77" t="s">
        <v>34</v>
      </c>
      <c r="C77" t="s">
        <v>215</v>
      </c>
      <c r="D77" t="s">
        <v>35</v>
      </c>
      <c r="E77" t="s">
        <v>31</v>
      </c>
      <c r="F77">
        <v>3000</v>
      </c>
      <c r="G77" t="s">
        <v>31</v>
      </c>
      <c r="H77">
        <v>3000</v>
      </c>
      <c r="I77" t="s">
        <v>205</v>
      </c>
    </row>
    <row r="78" spans="1:9" x14ac:dyDescent="0.2">
      <c r="A78" t="s">
        <v>212</v>
      </c>
      <c r="B78" t="s">
        <v>36</v>
      </c>
      <c r="C78" t="s">
        <v>30</v>
      </c>
      <c r="D78" t="s">
        <v>37</v>
      </c>
      <c r="E78" t="s">
        <v>31</v>
      </c>
      <c r="F78">
        <v>3000</v>
      </c>
      <c r="G78" t="s">
        <v>31</v>
      </c>
      <c r="H78">
        <v>3000</v>
      </c>
      <c r="I78" t="s">
        <v>205</v>
      </c>
    </row>
    <row r="79" spans="1:9" x14ac:dyDescent="0.2">
      <c r="A79" t="s">
        <v>212</v>
      </c>
      <c r="B79" t="s">
        <v>38</v>
      </c>
      <c r="C79" t="s">
        <v>33</v>
      </c>
      <c r="D79" t="s">
        <v>39</v>
      </c>
      <c r="E79" t="s">
        <v>31</v>
      </c>
      <c r="F79">
        <v>6000</v>
      </c>
      <c r="G79" t="s">
        <v>31</v>
      </c>
      <c r="H79">
        <v>6000</v>
      </c>
      <c r="I79" t="s">
        <v>205</v>
      </c>
    </row>
    <row r="80" spans="1:9" x14ac:dyDescent="0.2">
      <c r="A80" t="s">
        <v>212</v>
      </c>
      <c r="B80" t="s">
        <v>40</v>
      </c>
      <c r="C80" t="s">
        <v>216</v>
      </c>
      <c r="D80" t="s">
        <v>41</v>
      </c>
      <c r="E80" t="s">
        <v>42</v>
      </c>
      <c r="F80">
        <v>6000</v>
      </c>
      <c r="G80" t="s">
        <v>42</v>
      </c>
      <c r="H80">
        <v>6000</v>
      </c>
      <c r="I80" t="s">
        <v>205</v>
      </c>
    </row>
    <row r="81" spans="1:9" x14ac:dyDescent="0.2">
      <c r="A81" t="s">
        <v>212</v>
      </c>
      <c r="B81" t="s">
        <v>43</v>
      </c>
      <c r="C81" t="s">
        <v>35</v>
      </c>
      <c r="D81" t="s">
        <v>44</v>
      </c>
      <c r="E81" t="s">
        <v>42</v>
      </c>
      <c r="F81">
        <v>6000</v>
      </c>
      <c r="G81" t="s">
        <v>42</v>
      </c>
      <c r="H81">
        <v>6000</v>
      </c>
      <c r="I81" t="s">
        <v>205</v>
      </c>
    </row>
    <row r="82" spans="1:9" x14ac:dyDescent="0.2">
      <c r="A82" t="s">
        <v>212</v>
      </c>
      <c r="B82" t="s">
        <v>45</v>
      </c>
      <c r="C82" t="s">
        <v>37</v>
      </c>
      <c r="D82" t="s">
        <v>46</v>
      </c>
      <c r="E82" t="s">
        <v>31</v>
      </c>
      <c r="F82">
        <v>9000</v>
      </c>
      <c r="G82" t="s">
        <v>31</v>
      </c>
      <c r="H82">
        <v>9000</v>
      </c>
      <c r="I82" t="s">
        <v>205</v>
      </c>
    </row>
    <row r="83" spans="1:9" x14ac:dyDescent="0.2">
      <c r="A83" t="s">
        <v>212</v>
      </c>
      <c r="B83" t="s">
        <v>47</v>
      </c>
      <c r="C83" t="s">
        <v>39</v>
      </c>
      <c r="D83" t="s">
        <v>48</v>
      </c>
      <c r="E83" t="s">
        <v>31</v>
      </c>
      <c r="F83">
        <v>3000</v>
      </c>
      <c r="G83" t="s">
        <v>31</v>
      </c>
      <c r="H83">
        <v>3000</v>
      </c>
      <c r="I83" t="s">
        <v>205</v>
      </c>
    </row>
    <row r="84" spans="1:9" x14ac:dyDescent="0.2">
      <c r="A84" t="s">
        <v>212</v>
      </c>
      <c r="B84" t="s">
        <v>49</v>
      </c>
      <c r="C84" t="s">
        <v>41</v>
      </c>
      <c r="D84" t="s">
        <v>50</v>
      </c>
      <c r="E84" t="s">
        <v>42</v>
      </c>
      <c r="F84">
        <v>3000</v>
      </c>
      <c r="G84" t="s">
        <v>42</v>
      </c>
      <c r="H84">
        <v>3000</v>
      </c>
      <c r="I84" t="s">
        <v>205</v>
      </c>
    </row>
    <row r="85" spans="1:9" x14ac:dyDescent="0.2">
      <c r="A85" t="s">
        <v>212</v>
      </c>
      <c r="B85" t="s">
        <v>51</v>
      </c>
      <c r="C85" t="s">
        <v>44</v>
      </c>
      <c r="D85" t="s">
        <v>52</v>
      </c>
      <c r="E85" t="s">
        <v>42</v>
      </c>
      <c r="F85">
        <v>3000</v>
      </c>
      <c r="G85" t="s">
        <v>42</v>
      </c>
      <c r="H85">
        <v>3000</v>
      </c>
      <c r="I85" t="s">
        <v>205</v>
      </c>
    </row>
    <row r="86" spans="1:9" x14ac:dyDescent="0.2">
      <c r="A86" t="s">
        <v>212</v>
      </c>
      <c r="B86" t="s">
        <v>53</v>
      </c>
      <c r="C86" t="s">
        <v>46</v>
      </c>
      <c r="D86" t="s">
        <v>54</v>
      </c>
      <c r="E86" t="s">
        <v>31</v>
      </c>
      <c r="F86">
        <v>9000</v>
      </c>
      <c r="G86" t="s">
        <v>31</v>
      </c>
      <c r="H86">
        <v>9000</v>
      </c>
      <c r="I86" t="s">
        <v>205</v>
      </c>
    </row>
    <row r="87" spans="1:9" x14ac:dyDescent="0.2">
      <c r="A87" t="s">
        <v>212</v>
      </c>
      <c r="B87" t="s">
        <v>55</v>
      </c>
      <c r="C87" t="s">
        <v>48</v>
      </c>
      <c r="D87" t="s">
        <v>56</v>
      </c>
      <c r="E87" t="s">
        <v>31</v>
      </c>
      <c r="F87">
        <v>6000</v>
      </c>
      <c r="G87" t="s">
        <v>31</v>
      </c>
      <c r="H87">
        <v>6000</v>
      </c>
      <c r="I87" t="s">
        <v>205</v>
      </c>
    </row>
    <row r="88" spans="1:9" x14ac:dyDescent="0.2">
      <c r="A88" t="s">
        <v>212</v>
      </c>
      <c r="B88" t="s">
        <v>57</v>
      </c>
      <c r="C88" t="s">
        <v>217</v>
      </c>
      <c r="D88" t="s">
        <v>58</v>
      </c>
      <c r="E88" t="s">
        <v>42</v>
      </c>
      <c r="F88">
        <v>6000</v>
      </c>
      <c r="G88" t="s">
        <v>42</v>
      </c>
      <c r="H88">
        <v>6000</v>
      </c>
      <c r="I88" t="s">
        <v>205</v>
      </c>
    </row>
    <row r="89" spans="1:9" x14ac:dyDescent="0.2">
      <c r="A89" t="s">
        <v>212</v>
      </c>
      <c r="B89" t="s">
        <v>59</v>
      </c>
      <c r="C89" t="s">
        <v>50</v>
      </c>
      <c r="D89" t="s">
        <v>60</v>
      </c>
      <c r="E89" t="s">
        <v>42</v>
      </c>
      <c r="F89">
        <v>15000</v>
      </c>
      <c r="G89" t="s">
        <v>42</v>
      </c>
      <c r="H89">
        <v>15000</v>
      </c>
      <c r="I89" t="s">
        <v>205</v>
      </c>
    </row>
    <row r="90" spans="1:9" x14ac:dyDescent="0.2">
      <c r="A90" t="s">
        <v>212</v>
      </c>
      <c r="B90" t="s">
        <v>61</v>
      </c>
      <c r="C90" t="s">
        <v>52</v>
      </c>
      <c r="D90" t="s">
        <v>62</v>
      </c>
      <c r="E90" t="s">
        <v>42</v>
      </c>
      <c r="F90">
        <v>3000</v>
      </c>
      <c r="G90" t="s">
        <v>42</v>
      </c>
      <c r="H90">
        <v>3000</v>
      </c>
      <c r="I90" t="s">
        <v>205</v>
      </c>
    </row>
    <row r="91" spans="1:9" x14ac:dyDescent="0.2">
      <c r="A91" t="s">
        <v>212</v>
      </c>
      <c r="B91" t="s">
        <v>63</v>
      </c>
      <c r="C91" t="s">
        <v>54</v>
      </c>
      <c r="D91" t="s">
        <v>64</v>
      </c>
      <c r="E91" t="s">
        <v>31</v>
      </c>
      <c r="F91">
        <v>6000</v>
      </c>
      <c r="G91" t="s">
        <v>31</v>
      </c>
      <c r="H91">
        <v>6000</v>
      </c>
      <c r="I91" t="s">
        <v>205</v>
      </c>
    </row>
    <row r="92" spans="1:9" x14ac:dyDescent="0.2">
      <c r="A92" t="s">
        <v>212</v>
      </c>
      <c r="B92" t="s">
        <v>65</v>
      </c>
      <c r="C92" t="s">
        <v>56</v>
      </c>
      <c r="D92" t="s">
        <v>66</v>
      </c>
      <c r="E92" t="s">
        <v>31</v>
      </c>
      <c r="F92">
        <v>18000</v>
      </c>
      <c r="G92" t="s">
        <v>31</v>
      </c>
      <c r="H92">
        <v>18000</v>
      </c>
      <c r="I92" t="s">
        <v>205</v>
      </c>
    </row>
    <row r="93" spans="1:9" x14ac:dyDescent="0.2">
      <c r="A93" t="s">
        <v>212</v>
      </c>
      <c r="B93" t="s">
        <v>67</v>
      </c>
      <c r="C93" t="s">
        <v>58</v>
      </c>
      <c r="D93" t="s">
        <v>68</v>
      </c>
      <c r="E93" t="s">
        <v>31</v>
      </c>
      <c r="F93">
        <v>3000</v>
      </c>
      <c r="G93" t="s">
        <v>31</v>
      </c>
      <c r="H93">
        <v>3000</v>
      </c>
      <c r="I93" t="s">
        <v>205</v>
      </c>
    </row>
    <row r="94" spans="1:9" x14ac:dyDescent="0.2">
      <c r="A94" t="s">
        <v>212</v>
      </c>
      <c r="B94" t="s">
        <v>69</v>
      </c>
      <c r="C94" t="s">
        <v>60</v>
      </c>
      <c r="D94" t="s">
        <v>70</v>
      </c>
      <c r="E94" t="s">
        <v>71</v>
      </c>
      <c r="F94">
        <v>6400</v>
      </c>
      <c r="G94" t="s">
        <v>71</v>
      </c>
      <c r="H94">
        <v>6400</v>
      </c>
      <c r="I94" t="s">
        <v>205</v>
      </c>
    </row>
    <row r="95" spans="1:9" x14ac:dyDescent="0.2">
      <c r="A95" t="s">
        <v>212</v>
      </c>
      <c r="B95" t="s">
        <v>72</v>
      </c>
      <c r="C95" t="s">
        <v>62</v>
      </c>
      <c r="D95" t="s">
        <v>73</v>
      </c>
      <c r="E95" t="s">
        <v>71</v>
      </c>
      <c r="F95">
        <v>22400</v>
      </c>
      <c r="G95" t="s">
        <v>71</v>
      </c>
      <c r="H95">
        <v>22400</v>
      </c>
      <c r="I95" t="s">
        <v>205</v>
      </c>
    </row>
    <row r="96" spans="1:9" x14ac:dyDescent="0.2">
      <c r="A96" t="s">
        <v>212</v>
      </c>
      <c r="B96" t="s">
        <v>74</v>
      </c>
      <c r="C96" t="s">
        <v>64</v>
      </c>
      <c r="D96" t="s">
        <v>75</v>
      </c>
      <c r="E96" t="s">
        <v>31</v>
      </c>
      <c r="F96">
        <v>6000</v>
      </c>
      <c r="G96" t="s">
        <v>31</v>
      </c>
      <c r="H96">
        <v>6000</v>
      </c>
      <c r="I96" t="s">
        <v>205</v>
      </c>
    </row>
    <row r="97" spans="1:9" x14ac:dyDescent="0.2">
      <c r="A97" t="s">
        <v>212</v>
      </c>
      <c r="B97" t="s">
        <v>76</v>
      </c>
      <c r="C97" t="s">
        <v>66</v>
      </c>
      <c r="D97" t="s">
        <v>77</v>
      </c>
      <c r="E97" t="s">
        <v>19</v>
      </c>
      <c r="F97">
        <v>5600</v>
      </c>
      <c r="G97" t="s">
        <v>19</v>
      </c>
      <c r="H97">
        <v>5600</v>
      </c>
      <c r="I97" t="s">
        <v>205</v>
      </c>
    </row>
    <row r="98" spans="1:9" x14ac:dyDescent="0.2">
      <c r="A98" t="s">
        <v>212</v>
      </c>
      <c r="B98" t="s">
        <v>78</v>
      </c>
      <c r="C98" t="s">
        <v>68</v>
      </c>
      <c r="D98" t="s">
        <v>79</v>
      </c>
      <c r="E98" t="s">
        <v>71</v>
      </c>
      <c r="F98">
        <v>6400</v>
      </c>
      <c r="G98" t="s">
        <v>71</v>
      </c>
      <c r="H98">
        <v>6400</v>
      </c>
      <c r="I98" t="s">
        <v>205</v>
      </c>
    </row>
    <row r="99" spans="1:9" x14ac:dyDescent="0.2">
      <c r="A99" t="s">
        <v>212</v>
      </c>
      <c r="B99" t="s">
        <v>80</v>
      </c>
      <c r="C99" t="s">
        <v>70</v>
      </c>
      <c r="D99" t="s">
        <v>81</v>
      </c>
      <c r="E99" t="s">
        <v>31</v>
      </c>
      <c r="F99">
        <v>18000</v>
      </c>
      <c r="G99" t="s">
        <v>31</v>
      </c>
      <c r="H99">
        <v>18000</v>
      </c>
      <c r="I99" t="s">
        <v>205</v>
      </c>
    </row>
    <row r="100" spans="1:9" x14ac:dyDescent="0.2">
      <c r="A100" t="s">
        <v>212</v>
      </c>
      <c r="B100" t="s">
        <v>82</v>
      </c>
      <c r="C100" t="s">
        <v>73</v>
      </c>
      <c r="D100" t="s">
        <v>83</v>
      </c>
      <c r="E100" t="s">
        <v>19</v>
      </c>
      <c r="F100">
        <v>2800</v>
      </c>
      <c r="G100" t="s">
        <v>19</v>
      </c>
      <c r="H100">
        <v>2800</v>
      </c>
      <c r="I100" t="s">
        <v>205</v>
      </c>
    </row>
    <row r="101" spans="1:9" x14ac:dyDescent="0.2">
      <c r="A101" t="s">
        <v>212</v>
      </c>
      <c r="B101" t="s">
        <v>84</v>
      </c>
      <c r="C101" t="s">
        <v>75</v>
      </c>
      <c r="D101" t="s">
        <v>85</v>
      </c>
      <c r="E101" t="s">
        <v>86</v>
      </c>
      <c r="F101">
        <v>3000</v>
      </c>
      <c r="G101" t="s">
        <v>86</v>
      </c>
      <c r="H101">
        <v>3000</v>
      </c>
      <c r="I101" t="s">
        <v>205</v>
      </c>
    </row>
    <row r="102" spans="1:9" x14ac:dyDescent="0.2">
      <c r="A102" t="s">
        <v>212</v>
      </c>
      <c r="B102" t="s">
        <v>87</v>
      </c>
      <c r="C102" t="s">
        <v>77</v>
      </c>
      <c r="D102" t="s">
        <v>88</v>
      </c>
      <c r="E102" t="s">
        <v>31</v>
      </c>
      <c r="F102">
        <v>9000</v>
      </c>
      <c r="G102" t="s">
        <v>31</v>
      </c>
      <c r="H102">
        <v>9000</v>
      </c>
      <c r="I102" t="s">
        <v>205</v>
      </c>
    </row>
    <row r="103" spans="1:9" x14ac:dyDescent="0.2">
      <c r="A103" t="s">
        <v>212</v>
      </c>
      <c r="B103" t="s">
        <v>89</v>
      </c>
      <c r="C103" t="s">
        <v>79</v>
      </c>
      <c r="D103" t="s">
        <v>90</v>
      </c>
      <c r="E103" t="s">
        <v>31</v>
      </c>
      <c r="F103">
        <v>12000</v>
      </c>
      <c r="G103" t="s">
        <v>31</v>
      </c>
      <c r="H103">
        <v>12000</v>
      </c>
      <c r="I103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Hyva White Sand Payment</vt:lpstr>
      <vt:lpstr>Halfton White Sand</vt:lpstr>
      <vt:lpstr>Tractor</vt:lpstr>
      <vt:lpstr>Hyva Fly Ash Payment</vt:lpstr>
      <vt:lpstr>Import Mapping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Waghmare</dc:creator>
  <cp:lastModifiedBy>Sahil Waghmare</cp:lastModifiedBy>
  <dcterms:created xsi:type="dcterms:W3CDTF">2026-08-14T05:36:50Z</dcterms:created>
  <dcterms:modified xsi:type="dcterms:W3CDTF">2026-08-15T11:11:41Z</dcterms:modified>
</cp:coreProperties>
</file>