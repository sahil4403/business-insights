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4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5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6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7.xml" ContentType="application/vnd.openxmlformats-officedocument.drawing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drawings/drawing8.xml" ContentType="application/vnd.openxmlformats-officedocument.drawing+xml"/>
  <Override PartName="/xl/tables/table18.xml" ContentType="application/vnd.openxmlformats-officedocument.spreadsheetml.table+xml"/>
  <Override PartName="/xl/drawings/drawing9.xml" ContentType="application/vnd.openxmlformats-officedocument.drawing+xml"/>
  <Override PartName="/xl/tables/table19.xml" ContentType="application/vnd.openxmlformats-officedocument.spreadsheetml.table+xml"/>
  <Override PartName="/xl/drawings/drawing10.xml" ContentType="application/vnd.openxmlformats-officedocument.drawing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drawings/drawing11.xml" ContentType="application/vnd.openxmlformats-officedocument.drawing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12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hilwaghmare/Desktop/Data Transfer 2024 Raj Construction/"/>
    </mc:Choice>
  </mc:AlternateContent>
  <xr:revisionPtr revIDLastSave="0" documentId="13_ncr:1_{188ADADF-61A8-FB46-BE1A-835BAE7FD179}" xr6:coauthVersionLast="47" xr6:coauthVersionMax="47" xr10:uidLastSave="{00000000-0000-0000-0000-000000000000}"/>
  <bookViews>
    <workbookView xWindow="0" yWindow="780" windowWidth="36000" windowHeight="22600" activeTab="11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1" r:id="rId11"/>
    <sheet name="December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H145" i="1"/>
  <c r="E145" i="1"/>
  <c r="G124" i="1"/>
  <c r="I124" i="1" s="1"/>
  <c r="J124" i="1" s="1"/>
  <c r="G123" i="1"/>
  <c r="I123" i="1" s="1"/>
  <c r="J123" i="1" s="1"/>
  <c r="G126" i="1"/>
  <c r="I126" i="1" s="1"/>
  <c r="J126" i="1" s="1"/>
  <c r="G125" i="1"/>
  <c r="I125" i="1" s="1"/>
  <c r="J125" i="1" s="1"/>
  <c r="H71" i="2"/>
  <c r="E71" i="2"/>
  <c r="G63" i="2"/>
  <c r="I63" i="2" s="1"/>
  <c r="J63" i="2" s="1"/>
  <c r="G62" i="2"/>
  <c r="I62" i="2" s="1"/>
  <c r="J62" i="2" s="1"/>
  <c r="G61" i="2"/>
  <c r="I61" i="2" s="1"/>
  <c r="J61" i="2" s="1"/>
  <c r="G59" i="5"/>
  <c r="I59" i="5" s="1"/>
  <c r="J59" i="5" s="1"/>
  <c r="G58" i="5"/>
  <c r="I58" i="5" s="1"/>
  <c r="J58" i="5" s="1"/>
  <c r="G57" i="5"/>
  <c r="I57" i="5" s="1"/>
  <c r="J57" i="5" s="1"/>
  <c r="G56" i="5"/>
  <c r="I56" i="5" s="1"/>
  <c r="J56" i="5" s="1"/>
  <c r="G55" i="5"/>
  <c r="I55" i="5" s="1"/>
  <c r="J55" i="5" s="1"/>
  <c r="H40" i="7"/>
  <c r="E40" i="7"/>
  <c r="G32" i="7"/>
  <c r="I32" i="7" s="1"/>
  <c r="H31" i="10"/>
  <c r="I31" i="10"/>
  <c r="G31" i="10"/>
  <c r="E31" i="10"/>
  <c r="G28" i="10"/>
  <c r="I28" i="10" s="1"/>
  <c r="G24" i="10"/>
  <c r="I24" i="10" s="1"/>
  <c r="J24" i="10" s="1"/>
  <c r="G23" i="10"/>
  <c r="I23" i="10" s="1"/>
  <c r="J23" i="10" s="1"/>
  <c r="G20" i="11"/>
  <c r="I20" i="11" s="1"/>
  <c r="H83" i="11"/>
  <c r="E83" i="11"/>
  <c r="G78" i="11"/>
  <c r="I78" i="11" s="1"/>
  <c r="J78" i="11" s="1"/>
  <c r="G77" i="11"/>
  <c r="I77" i="11" s="1"/>
  <c r="H94" i="12"/>
  <c r="I94" i="12"/>
  <c r="G94" i="12"/>
  <c r="E94" i="12"/>
  <c r="G89" i="12"/>
  <c r="I89" i="12" s="1"/>
  <c r="J89" i="12" s="1"/>
  <c r="G88" i="12"/>
  <c r="I88" i="12" s="1"/>
  <c r="J88" i="12" s="1"/>
  <c r="G90" i="12"/>
  <c r="I90" i="12" s="1"/>
  <c r="J90" i="12" s="1"/>
  <c r="E55" i="12"/>
  <c r="G34" i="12"/>
  <c r="I34" i="12" s="1"/>
  <c r="J34" i="12" s="1"/>
  <c r="G29" i="12"/>
  <c r="I29" i="12" s="1"/>
  <c r="J29" i="12" s="1"/>
  <c r="G31" i="12"/>
  <c r="I31" i="12" s="1"/>
  <c r="J31" i="12" s="1"/>
  <c r="G27" i="12"/>
  <c r="I27" i="12" s="1"/>
  <c r="J27" i="12" s="1"/>
  <c r="I145" i="1" l="1"/>
  <c r="G145" i="1"/>
  <c r="I71" i="2"/>
  <c r="G71" i="2"/>
  <c r="G40" i="7"/>
  <c r="I40" i="7"/>
  <c r="J32" i="7"/>
  <c r="I83" i="11"/>
  <c r="J77" i="11"/>
  <c r="G83" i="11"/>
  <c r="F68" i="12"/>
  <c r="H68" i="12" s="1"/>
  <c r="I68" i="12" s="1"/>
  <c r="G25" i="12"/>
  <c r="I25" i="12" s="1"/>
  <c r="J25" i="12" s="1"/>
  <c r="G22" i="12" l="1"/>
  <c r="I22" i="12" s="1"/>
  <c r="J22" i="12" s="1"/>
  <c r="G23" i="12"/>
  <c r="I23" i="12" s="1"/>
  <c r="J23" i="12" s="1"/>
  <c r="F67" i="12"/>
  <c r="H67" i="12" s="1"/>
  <c r="I67" i="12" s="1"/>
  <c r="G19" i="12"/>
  <c r="I19" i="12" s="1"/>
  <c r="J19" i="12" s="1"/>
  <c r="G17" i="12"/>
  <c r="I17" i="12" s="1"/>
  <c r="J17" i="12" s="1"/>
  <c r="G16" i="12"/>
  <c r="F66" i="12"/>
  <c r="H66" i="12" s="1"/>
  <c r="I66" i="12" s="1"/>
  <c r="G13" i="12"/>
  <c r="I13" i="12" s="1"/>
  <c r="J13" i="12" s="1"/>
  <c r="G8" i="12"/>
  <c r="I8" i="12" s="1"/>
  <c r="G26" i="11"/>
  <c r="I26" i="11" s="1"/>
  <c r="J26" i="11" s="1"/>
  <c r="J8" i="12" l="1"/>
  <c r="G4" i="12"/>
  <c r="I4" i="12" s="1"/>
  <c r="J4" i="12" s="1"/>
  <c r="G6" i="12"/>
  <c r="I6" i="12" s="1"/>
  <c r="J6" i="12" s="1"/>
  <c r="F64" i="12"/>
  <c r="H64" i="12" s="1"/>
  <c r="I64" i="12" s="1"/>
  <c r="F65" i="12"/>
  <c r="H65" i="12" s="1"/>
  <c r="I65" i="12" s="1"/>
  <c r="G73" i="12"/>
  <c r="D73" i="12"/>
  <c r="J20" i="11"/>
  <c r="G24" i="11"/>
  <c r="I24" i="11" s="1"/>
  <c r="J24" i="11" s="1"/>
  <c r="G15" i="11"/>
  <c r="I15" i="11" s="1"/>
  <c r="G17" i="11"/>
  <c r="I17" i="11" s="1"/>
  <c r="J17" i="11" s="1"/>
  <c r="G18" i="11"/>
  <c r="I18" i="11" s="1"/>
  <c r="G11" i="11"/>
  <c r="I11" i="11" s="1"/>
  <c r="J11" i="11" s="1"/>
  <c r="G13" i="11"/>
  <c r="I13" i="11" s="1"/>
  <c r="J13" i="11" s="1"/>
  <c r="G10" i="11"/>
  <c r="I10" i="11" s="1"/>
  <c r="J10" i="11" s="1"/>
  <c r="G67" i="11"/>
  <c r="D67" i="11"/>
  <c r="I64" i="11"/>
  <c r="I62" i="11"/>
  <c r="I61" i="11"/>
  <c r="I59" i="11"/>
  <c r="F67" i="11"/>
  <c r="G9" i="11"/>
  <c r="I9" i="11" s="1"/>
  <c r="J9" i="11" s="1"/>
  <c r="G6" i="11"/>
  <c r="I6" i="11" s="1"/>
  <c r="J6" i="11" s="1"/>
  <c r="F73" i="12" l="1"/>
  <c r="H73" i="12"/>
  <c r="G7" i="10"/>
  <c r="I7" i="10" s="1"/>
  <c r="J7" i="10" s="1"/>
  <c r="G11" i="10"/>
  <c r="I11" i="10" s="1"/>
  <c r="H55" i="12"/>
  <c r="G33" i="12"/>
  <c r="I33" i="12" s="1"/>
  <c r="J33" i="12" s="1"/>
  <c r="G32" i="12"/>
  <c r="I32" i="12" s="1"/>
  <c r="J32" i="12" s="1"/>
  <c r="G30" i="12"/>
  <c r="I30" i="12" s="1"/>
  <c r="J30" i="12" s="1"/>
  <c r="G28" i="12"/>
  <c r="I28" i="12" s="1"/>
  <c r="J28" i="12" s="1"/>
  <c r="G26" i="12"/>
  <c r="I26" i="12" s="1"/>
  <c r="J26" i="12" s="1"/>
  <c r="G24" i="12"/>
  <c r="I24" i="12" s="1"/>
  <c r="J24" i="12" s="1"/>
  <c r="G21" i="12"/>
  <c r="I21" i="12" s="1"/>
  <c r="J21" i="12" s="1"/>
  <c r="G20" i="12"/>
  <c r="I20" i="12" s="1"/>
  <c r="J20" i="12" s="1"/>
  <c r="G18" i="12"/>
  <c r="I18" i="12" s="1"/>
  <c r="J18" i="12" s="1"/>
  <c r="I16" i="12"/>
  <c r="J16" i="12" s="1"/>
  <c r="G15" i="12"/>
  <c r="I15" i="12" s="1"/>
  <c r="J15" i="12" s="1"/>
  <c r="G14" i="12"/>
  <c r="I14" i="12" s="1"/>
  <c r="J14" i="12" s="1"/>
  <c r="G12" i="12"/>
  <c r="I12" i="12" s="1"/>
  <c r="J12" i="12" s="1"/>
  <c r="G11" i="12"/>
  <c r="I11" i="12" s="1"/>
  <c r="J11" i="12" s="1"/>
  <c r="G10" i="12"/>
  <c r="I10" i="12" s="1"/>
  <c r="J10" i="12" s="1"/>
  <c r="G9" i="12"/>
  <c r="I9" i="12" s="1"/>
  <c r="J9" i="12" s="1"/>
  <c r="G7" i="12"/>
  <c r="I7" i="12" s="1"/>
  <c r="J7" i="12" s="1"/>
  <c r="G5" i="12"/>
  <c r="I5" i="12" s="1"/>
  <c r="H47" i="11"/>
  <c r="E47" i="11"/>
  <c r="G29" i="11"/>
  <c r="I29" i="11" s="1"/>
  <c r="J29" i="11" s="1"/>
  <c r="G28" i="11"/>
  <c r="I28" i="11" s="1"/>
  <c r="J28" i="11" s="1"/>
  <c r="G27" i="11"/>
  <c r="I27" i="11" s="1"/>
  <c r="J27" i="11" s="1"/>
  <c r="G25" i="11"/>
  <c r="I25" i="11" s="1"/>
  <c r="J25" i="11" s="1"/>
  <c r="G23" i="11"/>
  <c r="I23" i="11" s="1"/>
  <c r="J23" i="11" s="1"/>
  <c r="G22" i="11"/>
  <c r="I22" i="11" s="1"/>
  <c r="J22" i="11" s="1"/>
  <c r="G21" i="11"/>
  <c r="I21" i="11" s="1"/>
  <c r="J21" i="11" s="1"/>
  <c r="G19" i="11"/>
  <c r="I19" i="11" s="1"/>
  <c r="J19" i="11" s="1"/>
  <c r="G16" i="11"/>
  <c r="I16" i="11" s="1"/>
  <c r="J16" i="11" s="1"/>
  <c r="G14" i="11"/>
  <c r="I14" i="11" s="1"/>
  <c r="J14" i="11" s="1"/>
  <c r="G12" i="11"/>
  <c r="I12" i="11" s="1"/>
  <c r="J12" i="11" s="1"/>
  <c r="G8" i="11"/>
  <c r="I8" i="11" s="1"/>
  <c r="J8" i="11" s="1"/>
  <c r="G7" i="11"/>
  <c r="I7" i="11" s="1"/>
  <c r="J7" i="11" s="1"/>
  <c r="G5" i="11"/>
  <c r="I5" i="11" s="1"/>
  <c r="J5" i="11" s="1"/>
  <c r="G4" i="11"/>
  <c r="I4" i="11" s="1"/>
  <c r="J4" i="11" s="1"/>
  <c r="G4" i="10"/>
  <c r="I4" i="10" s="1"/>
  <c r="J4" i="10" s="1"/>
  <c r="G5" i="10"/>
  <c r="I5" i="10" s="1"/>
  <c r="J5" i="10" s="1"/>
  <c r="G6" i="10"/>
  <c r="I6" i="10" s="1"/>
  <c r="J6" i="10" s="1"/>
  <c r="H14" i="10"/>
  <c r="E14" i="10"/>
  <c r="G5" i="6"/>
  <c r="I5" i="6" s="1"/>
  <c r="J5" i="6" s="1"/>
  <c r="F40" i="6"/>
  <c r="H40" i="6" s="1"/>
  <c r="I40" i="6" s="1"/>
  <c r="F42" i="6"/>
  <c r="H42" i="6" s="1"/>
  <c r="I42" i="6" s="1"/>
  <c r="F44" i="6"/>
  <c r="H44" i="6" s="1"/>
  <c r="I44" i="6" s="1"/>
  <c r="F46" i="6"/>
  <c r="H46" i="6" s="1"/>
  <c r="I46" i="6" s="1"/>
  <c r="F30" i="6"/>
  <c r="H30" i="6" s="1"/>
  <c r="I30" i="6" s="1"/>
  <c r="F34" i="6"/>
  <c r="H34" i="6" s="1"/>
  <c r="I34" i="6" s="1"/>
  <c r="F36" i="6"/>
  <c r="H36" i="6" s="1"/>
  <c r="I36" i="6" s="1"/>
  <c r="F38" i="6"/>
  <c r="H38" i="6" s="1"/>
  <c r="I38" i="6" s="1"/>
  <c r="F48" i="6"/>
  <c r="H48" i="6" s="1"/>
  <c r="I48" i="6" s="1"/>
  <c r="F50" i="6"/>
  <c r="H50" i="6" s="1"/>
  <c r="I50" i="6" s="1"/>
  <c r="G53" i="6"/>
  <c r="D53" i="6"/>
  <c r="F32" i="6"/>
  <c r="H32" i="6" s="1"/>
  <c r="I32" i="6" s="1"/>
  <c r="F29" i="6"/>
  <c r="H19" i="6"/>
  <c r="E19" i="6"/>
  <c r="G11" i="6"/>
  <c r="I11" i="6" s="1"/>
  <c r="J11" i="6" s="1"/>
  <c r="G10" i="6"/>
  <c r="I10" i="6" s="1"/>
  <c r="J10" i="6" s="1"/>
  <c r="G9" i="6"/>
  <c r="I9" i="6" s="1"/>
  <c r="J9" i="6" s="1"/>
  <c r="G8" i="6"/>
  <c r="I8" i="6" s="1"/>
  <c r="J8" i="6" s="1"/>
  <c r="G7" i="6"/>
  <c r="I7" i="6" s="1"/>
  <c r="J7" i="6" s="1"/>
  <c r="G6" i="6"/>
  <c r="I6" i="6" s="1"/>
  <c r="J6" i="6" s="1"/>
  <c r="G4" i="6"/>
  <c r="I4" i="6" s="1"/>
  <c r="G18" i="5"/>
  <c r="I18" i="5" s="1"/>
  <c r="J18" i="5" s="1"/>
  <c r="G15" i="5"/>
  <c r="I15" i="5" s="1"/>
  <c r="J15" i="5" s="1"/>
  <c r="G16" i="5"/>
  <c r="I16" i="5" s="1"/>
  <c r="J16" i="5" s="1"/>
  <c r="G5" i="5"/>
  <c r="I5" i="5" s="1"/>
  <c r="J5" i="5" s="1"/>
  <c r="G6" i="5"/>
  <c r="I6" i="5" s="1"/>
  <c r="J6" i="5" s="1"/>
  <c r="G7" i="5"/>
  <c r="I7" i="5" s="1"/>
  <c r="J7" i="5" s="1"/>
  <c r="G8" i="5"/>
  <c r="I8" i="5" s="1"/>
  <c r="J8" i="5" s="1"/>
  <c r="G10" i="5"/>
  <c r="I10" i="5" s="1"/>
  <c r="J10" i="5" s="1"/>
  <c r="G11" i="5"/>
  <c r="I11" i="5" s="1"/>
  <c r="J11" i="5" s="1"/>
  <c r="G9" i="5"/>
  <c r="I9" i="5" s="1"/>
  <c r="J9" i="5" s="1"/>
  <c r="G13" i="5"/>
  <c r="I13" i="5" s="1"/>
  <c r="J13" i="5" s="1"/>
  <c r="G12" i="5"/>
  <c r="I12" i="5" s="1"/>
  <c r="J12" i="5" s="1"/>
  <c r="G14" i="5"/>
  <c r="I14" i="5" s="1"/>
  <c r="J14" i="5" s="1"/>
  <c r="G17" i="5"/>
  <c r="I17" i="5" s="1"/>
  <c r="J17" i="5" s="1"/>
  <c r="G19" i="5"/>
  <c r="I19" i="5" s="1"/>
  <c r="J19" i="5" s="1"/>
  <c r="F41" i="5"/>
  <c r="H41" i="5" s="1"/>
  <c r="I41" i="5" s="1"/>
  <c r="G44" i="5"/>
  <c r="D44" i="5"/>
  <c r="F39" i="5"/>
  <c r="H29" i="5"/>
  <c r="E29" i="5"/>
  <c r="G4" i="5"/>
  <c r="I4" i="5" s="1"/>
  <c r="G21" i="4"/>
  <c r="D21" i="4"/>
  <c r="H8" i="4"/>
  <c r="E8" i="4"/>
  <c r="G5" i="4"/>
  <c r="I5" i="4" s="1"/>
  <c r="G5" i="3"/>
  <c r="I5" i="3" s="1"/>
  <c r="J5" i="3" s="1"/>
  <c r="G6" i="3"/>
  <c r="I6" i="3" s="1"/>
  <c r="J6" i="3" s="1"/>
  <c r="G7" i="3"/>
  <c r="I7" i="3" s="1"/>
  <c r="J7" i="3" s="1"/>
  <c r="G8" i="3"/>
  <c r="I8" i="3" s="1"/>
  <c r="J8" i="3" s="1"/>
  <c r="G9" i="3"/>
  <c r="I9" i="3" s="1"/>
  <c r="J9" i="3" s="1"/>
  <c r="G10" i="3"/>
  <c r="I10" i="3" s="1"/>
  <c r="J10" i="3" s="1"/>
  <c r="G11" i="3"/>
  <c r="G12" i="3"/>
  <c r="I12" i="3" s="1"/>
  <c r="J12" i="3" s="1"/>
  <c r="G33" i="3"/>
  <c r="D33" i="3"/>
  <c r="F30" i="3"/>
  <c r="F33" i="3" s="1"/>
  <c r="H20" i="3"/>
  <c r="E20" i="3"/>
  <c r="I11" i="3"/>
  <c r="J11" i="3" s="1"/>
  <c r="G4" i="3"/>
  <c r="I4" i="3" s="1"/>
  <c r="G16" i="2"/>
  <c r="I16" i="2" s="1"/>
  <c r="J16" i="2" s="1"/>
  <c r="G14" i="2"/>
  <c r="I14" i="2" s="1"/>
  <c r="J14" i="2" s="1"/>
  <c r="G12" i="2"/>
  <c r="I12" i="2" s="1"/>
  <c r="J12" i="2" s="1"/>
  <c r="G10" i="2"/>
  <c r="I10" i="2" s="1"/>
  <c r="J10" i="2" s="1"/>
  <c r="G8" i="2"/>
  <c r="I8" i="2" s="1"/>
  <c r="J8" i="2" s="1"/>
  <c r="G6" i="2"/>
  <c r="I6" i="2" s="1"/>
  <c r="J6" i="2" s="1"/>
  <c r="F42" i="2"/>
  <c r="H42" i="2" s="1"/>
  <c r="I42" i="2" s="1"/>
  <c r="F43" i="2"/>
  <c r="H43" i="2" s="1"/>
  <c r="I43" i="2" s="1"/>
  <c r="F44" i="2"/>
  <c r="H44" i="2" s="1"/>
  <c r="I44" i="2" s="1"/>
  <c r="F39" i="2"/>
  <c r="H39" i="2" s="1"/>
  <c r="I39" i="2" s="1"/>
  <c r="F35" i="2"/>
  <c r="H35" i="2" s="1"/>
  <c r="I35" i="2" s="1"/>
  <c r="F36" i="2"/>
  <c r="H36" i="2" s="1"/>
  <c r="I36" i="2" s="1"/>
  <c r="G5" i="2"/>
  <c r="I5" i="2" s="1"/>
  <c r="J5" i="2" s="1"/>
  <c r="G7" i="2"/>
  <c r="I7" i="2" s="1"/>
  <c r="J7" i="2" s="1"/>
  <c r="G9" i="2"/>
  <c r="I9" i="2" s="1"/>
  <c r="J9" i="2" s="1"/>
  <c r="G11" i="2"/>
  <c r="I11" i="2" s="1"/>
  <c r="J11" i="2" s="1"/>
  <c r="G13" i="2"/>
  <c r="I13" i="2" s="1"/>
  <c r="J13" i="2" s="1"/>
  <c r="G15" i="2"/>
  <c r="I15" i="2" s="1"/>
  <c r="J15" i="2" s="1"/>
  <c r="G49" i="2"/>
  <c r="D49" i="2"/>
  <c r="F46" i="2"/>
  <c r="H46" i="2" s="1"/>
  <c r="I46" i="2" s="1"/>
  <c r="F41" i="2"/>
  <c r="H41" i="2" s="1"/>
  <c r="I41" i="2" s="1"/>
  <c r="F38" i="2"/>
  <c r="H38" i="2" s="1"/>
  <c r="I38" i="2" s="1"/>
  <c r="F34" i="2"/>
  <c r="H24" i="2"/>
  <c r="E24" i="2"/>
  <c r="G4" i="2"/>
  <c r="I4" i="2" s="1"/>
  <c r="G45" i="1"/>
  <c r="I45" i="1" s="1"/>
  <c r="J45" i="1" s="1"/>
  <c r="G43" i="1"/>
  <c r="I43" i="1" s="1"/>
  <c r="J43" i="1" s="1"/>
  <c r="G44" i="1"/>
  <c r="I44" i="1" s="1"/>
  <c r="J44" i="1" s="1"/>
  <c r="G40" i="1"/>
  <c r="I40" i="1" s="1"/>
  <c r="J40" i="1" s="1"/>
  <c r="G42" i="1"/>
  <c r="I42" i="1" s="1"/>
  <c r="J42" i="1" s="1"/>
  <c r="G41" i="1"/>
  <c r="I41" i="1" s="1"/>
  <c r="J41" i="1" s="1"/>
  <c r="G36" i="1"/>
  <c r="I36" i="1" s="1"/>
  <c r="J36" i="1" s="1"/>
  <c r="G37" i="1"/>
  <c r="I37" i="1" s="1"/>
  <c r="J37" i="1" s="1"/>
  <c r="G39" i="1"/>
  <c r="I39" i="1" s="1"/>
  <c r="J39" i="1" s="1"/>
  <c r="G35" i="1"/>
  <c r="I35" i="1" s="1"/>
  <c r="J35" i="1" s="1"/>
  <c r="G33" i="1"/>
  <c r="I33" i="1" s="1"/>
  <c r="J33" i="1" s="1"/>
  <c r="G32" i="1"/>
  <c r="I32" i="1" s="1"/>
  <c r="J32" i="1" s="1"/>
  <c r="G27" i="1"/>
  <c r="I27" i="1" s="1"/>
  <c r="J27" i="1" s="1"/>
  <c r="G29" i="1"/>
  <c r="I29" i="1" s="1"/>
  <c r="J29" i="1" s="1"/>
  <c r="G26" i="1"/>
  <c r="I26" i="1" s="1"/>
  <c r="J26" i="1" s="1"/>
  <c r="G25" i="1"/>
  <c r="I25" i="1" s="1"/>
  <c r="J25" i="1" s="1"/>
  <c r="G23" i="1"/>
  <c r="I23" i="1" s="1"/>
  <c r="J23" i="1" s="1"/>
  <c r="G22" i="1"/>
  <c r="I22" i="1" s="1"/>
  <c r="J22" i="1" s="1"/>
  <c r="G24" i="1"/>
  <c r="I24" i="1" s="1"/>
  <c r="J24" i="1" s="1"/>
  <c r="G19" i="1"/>
  <c r="I19" i="1" s="1"/>
  <c r="J19" i="1" s="1"/>
  <c r="G17" i="1"/>
  <c r="I17" i="1" s="1"/>
  <c r="J17" i="1" s="1"/>
  <c r="G18" i="1"/>
  <c r="I18" i="1" s="1"/>
  <c r="J18" i="1" s="1"/>
  <c r="G13" i="1"/>
  <c r="I13" i="1" s="1"/>
  <c r="J13" i="1" s="1"/>
  <c r="G16" i="1"/>
  <c r="I16" i="1" s="1"/>
  <c r="J16" i="1" s="1"/>
  <c r="G14" i="1"/>
  <c r="I14" i="1" s="1"/>
  <c r="J14" i="1" s="1"/>
  <c r="G11" i="1"/>
  <c r="I11" i="1" s="1"/>
  <c r="J11" i="1" s="1"/>
  <c r="G6" i="1"/>
  <c r="I6" i="1" s="1"/>
  <c r="J6" i="1" s="1"/>
  <c r="G7" i="1"/>
  <c r="I7" i="1" s="1"/>
  <c r="J7" i="1" s="1"/>
  <c r="G9" i="1"/>
  <c r="I9" i="1" s="1"/>
  <c r="J9" i="1" s="1"/>
  <c r="I4" i="1"/>
  <c r="J4" i="1" s="1"/>
  <c r="F107" i="1"/>
  <c r="H107" i="1" s="1"/>
  <c r="I107" i="1" s="1"/>
  <c r="F108" i="1"/>
  <c r="H108" i="1" s="1"/>
  <c r="I108" i="1" s="1"/>
  <c r="F103" i="1"/>
  <c r="H103" i="1" s="1"/>
  <c r="I103" i="1" s="1"/>
  <c r="F104" i="1"/>
  <c r="H104" i="1" s="1"/>
  <c r="I104" i="1" s="1"/>
  <c r="F98" i="1"/>
  <c r="H98" i="1" s="1"/>
  <c r="I98" i="1" s="1"/>
  <c r="F88" i="1"/>
  <c r="H88" i="1" s="1"/>
  <c r="I88" i="1" s="1"/>
  <c r="F89" i="1"/>
  <c r="H89" i="1" s="1"/>
  <c r="I89" i="1" s="1"/>
  <c r="F85" i="1"/>
  <c r="H85" i="1" s="1"/>
  <c r="I85" i="1" s="1"/>
  <c r="F80" i="1"/>
  <c r="H80" i="1" s="1"/>
  <c r="I80" i="1" s="1"/>
  <c r="F74" i="1"/>
  <c r="H74" i="1" s="1"/>
  <c r="I74" i="1" s="1"/>
  <c r="F75" i="1"/>
  <c r="H75" i="1" s="1"/>
  <c r="I75" i="1" s="1"/>
  <c r="F76" i="1"/>
  <c r="H76" i="1" s="1"/>
  <c r="I76" i="1" s="1"/>
  <c r="F77" i="1"/>
  <c r="H77" i="1" s="1"/>
  <c r="I77" i="1" s="1"/>
  <c r="F79" i="1"/>
  <c r="H79" i="1" s="1"/>
  <c r="I79" i="1" s="1"/>
  <c r="F82" i="1"/>
  <c r="H82" i="1" s="1"/>
  <c r="I82" i="1" s="1"/>
  <c r="F84" i="1"/>
  <c r="H84" i="1" s="1"/>
  <c r="I84" i="1" s="1"/>
  <c r="F87" i="1"/>
  <c r="H87" i="1" s="1"/>
  <c r="I87" i="1" s="1"/>
  <c r="F91" i="1"/>
  <c r="H91" i="1" s="1"/>
  <c r="I91" i="1" s="1"/>
  <c r="F93" i="1"/>
  <c r="H93" i="1" s="1"/>
  <c r="I93" i="1" s="1"/>
  <c r="F95" i="1"/>
  <c r="H95" i="1" s="1"/>
  <c r="I95" i="1" s="1"/>
  <c r="F97" i="1"/>
  <c r="H97" i="1" s="1"/>
  <c r="I97" i="1" s="1"/>
  <c r="F100" i="1"/>
  <c r="H100" i="1" s="1"/>
  <c r="I100" i="1" s="1"/>
  <c r="F102" i="1"/>
  <c r="H102" i="1" s="1"/>
  <c r="I102" i="1" s="1"/>
  <c r="F106" i="1"/>
  <c r="H106" i="1" s="1"/>
  <c r="I106" i="1" s="1"/>
  <c r="H64" i="1"/>
  <c r="E64" i="1"/>
  <c r="G38" i="1"/>
  <c r="I38" i="1" s="1"/>
  <c r="J38" i="1" s="1"/>
  <c r="G34" i="1"/>
  <c r="I34" i="1" s="1"/>
  <c r="J34" i="1" s="1"/>
  <c r="G31" i="1"/>
  <c r="I31" i="1" s="1"/>
  <c r="J31" i="1" s="1"/>
  <c r="G30" i="1"/>
  <c r="I30" i="1" s="1"/>
  <c r="J30" i="1" s="1"/>
  <c r="G28" i="1"/>
  <c r="I28" i="1" s="1"/>
  <c r="J28" i="1" s="1"/>
  <c r="G21" i="1"/>
  <c r="I21" i="1" s="1"/>
  <c r="J21" i="1" s="1"/>
  <c r="G20" i="1"/>
  <c r="I20" i="1" s="1"/>
  <c r="J20" i="1" s="1"/>
  <c r="G15" i="1"/>
  <c r="I15" i="1" s="1"/>
  <c r="J15" i="1" s="1"/>
  <c r="G12" i="1"/>
  <c r="I12" i="1" s="1"/>
  <c r="J12" i="1" s="1"/>
  <c r="G10" i="1"/>
  <c r="I10" i="1" s="1"/>
  <c r="J10" i="1" s="1"/>
  <c r="G5" i="1"/>
  <c r="I5" i="1" s="1"/>
  <c r="J5" i="1" s="1"/>
  <c r="G8" i="1"/>
  <c r="I8" i="1" s="1"/>
  <c r="J8" i="1" s="1"/>
  <c r="D111" i="1"/>
  <c r="G8" i="9"/>
  <c r="I8" i="9" s="1"/>
  <c r="J8" i="9" s="1"/>
  <c r="G7" i="9"/>
  <c r="I7" i="9" s="1"/>
  <c r="J7" i="9" s="1"/>
  <c r="G6" i="9"/>
  <c r="I6" i="9" s="1"/>
  <c r="J6" i="9" s="1"/>
  <c r="J5" i="12" l="1"/>
  <c r="I55" i="12"/>
  <c r="H67" i="11"/>
  <c r="I58" i="11"/>
  <c r="G47" i="11"/>
  <c r="G55" i="12"/>
  <c r="G14" i="10"/>
  <c r="F53" i="6"/>
  <c r="H29" i="6"/>
  <c r="H53" i="6" s="1"/>
  <c r="I19" i="6"/>
  <c r="J4" i="6"/>
  <c r="G19" i="6"/>
  <c r="I29" i="5"/>
  <c r="G29" i="5"/>
  <c r="F44" i="5"/>
  <c r="J4" i="5"/>
  <c r="H39" i="5"/>
  <c r="H21" i="4"/>
  <c r="I18" i="4"/>
  <c r="I8" i="4"/>
  <c r="J5" i="4"/>
  <c r="G8" i="4"/>
  <c r="F21" i="4"/>
  <c r="J4" i="3"/>
  <c r="I20" i="3"/>
  <c r="G20" i="3"/>
  <c r="H30" i="3"/>
  <c r="G24" i="2"/>
  <c r="F49" i="2"/>
  <c r="J4" i="2"/>
  <c r="H34" i="2"/>
  <c r="F111" i="1"/>
  <c r="G111" i="1"/>
  <c r="G64" i="1"/>
  <c r="G5" i="9"/>
  <c r="I5" i="9" s="1"/>
  <c r="J5" i="9" s="1"/>
  <c r="H16" i="9"/>
  <c r="E16" i="9"/>
  <c r="G4" i="9"/>
  <c r="I4" i="9" s="1"/>
  <c r="G19" i="8"/>
  <c r="I19" i="8" s="1"/>
  <c r="J19" i="8" s="1"/>
  <c r="G20" i="8"/>
  <c r="I20" i="8" s="1"/>
  <c r="J20" i="8" s="1"/>
  <c r="G16" i="8"/>
  <c r="I16" i="8" s="1"/>
  <c r="J16" i="8" s="1"/>
  <c r="G17" i="8"/>
  <c r="I17" i="8" s="1"/>
  <c r="J17" i="8" s="1"/>
  <c r="G18" i="8"/>
  <c r="I18" i="8" s="1"/>
  <c r="J18" i="8" s="1"/>
  <c r="G4" i="8"/>
  <c r="I4" i="8" s="1"/>
  <c r="G5" i="8"/>
  <c r="I5" i="8" s="1"/>
  <c r="J5" i="8" s="1"/>
  <c r="G6" i="8"/>
  <c r="I6" i="8" s="1"/>
  <c r="J6" i="8" s="1"/>
  <c r="G8" i="8"/>
  <c r="I8" i="8" s="1"/>
  <c r="J8" i="8" s="1"/>
  <c r="G7" i="8"/>
  <c r="I7" i="8" s="1"/>
  <c r="J7" i="8" s="1"/>
  <c r="G9" i="8"/>
  <c r="I9" i="8" s="1"/>
  <c r="J9" i="8" s="1"/>
  <c r="G10" i="8"/>
  <c r="I10" i="8" s="1"/>
  <c r="J10" i="8" s="1"/>
  <c r="G11" i="8"/>
  <c r="I11" i="8" s="1"/>
  <c r="J11" i="8" s="1"/>
  <c r="J26" i="8"/>
  <c r="G12" i="8"/>
  <c r="I12" i="8" s="1"/>
  <c r="J12" i="8" s="1"/>
  <c r="G13" i="8"/>
  <c r="I13" i="8" s="1"/>
  <c r="J13" i="8" s="1"/>
  <c r="G14" i="8"/>
  <c r="I14" i="8" s="1"/>
  <c r="J14" i="8" s="1"/>
  <c r="G15" i="8"/>
  <c r="I15" i="8" s="1"/>
  <c r="J15" i="8" s="1"/>
  <c r="H38" i="8"/>
  <c r="E38" i="8"/>
  <c r="G5" i="7"/>
  <c r="I5" i="7" s="1"/>
  <c r="J5" i="7" s="1"/>
  <c r="G6" i="7"/>
  <c r="I6" i="7" s="1"/>
  <c r="J6" i="7" s="1"/>
  <c r="G7" i="7"/>
  <c r="I7" i="7" s="1"/>
  <c r="J7" i="7" s="1"/>
  <c r="G8" i="7"/>
  <c r="I8" i="7" s="1"/>
  <c r="J8" i="7" s="1"/>
  <c r="G9" i="7"/>
  <c r="I9" i="7" s="1"/>
  <c r="J9" i="7" s="1"/>
  <c r="G10" i="7"/>
  <c r="I10" i="7" s="1"/>
  <c r="J10" i="7" s="1"/>
  <c r="G11" i="7"/>
  <c r="I11" i="7" s="1"/>
  <c r="J11" i="7" s="1"/>
  <c r="G12" i="7"/>
  <c r="I12" i="7" s="1"/>
  <c r="J12" i="7" s="1"/>
  <c r="G13" i="7"/>
  <c r="I13" i="7" s="1"/>
  <c r="J13" i="7" s="1"/>
  <c r="G14" i="7"/>
  <c r="I14" i="7" s="1"/>
  <c r="J14" i="7" s="1"/>
  <c r="G15" i="7"/>
  <c r="I15" i="7" s="1"/>
  <c r="J15" i="7" s="1"/>
  <c r="G4" i="7"/>
  <c r="I4" i="7" s="1"/>
  <c r="J4" i="7" s="1"/>
  <c r="H24" i="7"/>
  <c r="E24" i="7"/>
  <c r="I47" i="11" l="1"/>
  <c r="I14" i="10"/>
  <c r="I29" i="6"/>
  <c r="H44" i="5"/>
  <c r="I39" i="5"/>
  <c r="H33" i="3"/>
  <c r="I30" i="3"/>
  <c r="I24" i="2"/>
  <c r="H49" i="2"/>
  <c r="I34" i="2"/>
  <c r="H111" i="1"/>
  <c r="I64" i="1"/>
  <c r="I16" i="9"/>
  <c r="J4" i="9"/>
  <c r="G16" i="9"/>
  <c r="I38" i="8"/>
  <c r="J4" i="8"/>
  <c r="G38" i="8"/>
  <c r="G24" i="7"/>
  <c r="I24" i="7"/>
</calcChain>
</file>

<file path=xl/sharedStrings.xml><?xml version="1.0" encoding="utf-8"?>
<sst xmlns="http://schemas.openxmlformats.org/spreadsheetml/2006/main" count="1188" uniqueCount="196">
  <si>
    <t>Date</t>
  </si>
  <si>
    <t>Balance</t>
  </si>
  <si>
    <t xml:space="preserve">Golu </t>
  </si>
  <si>
    <t>Loading</t>
  </si>
  <si>
    <t>Nitin Prasad</t>
  </si>
  <si>
    <t>Nitn Prasad</t>
  </si>
  <si>
    <t>Pathanpura</t>
  </si>
  <si>
    <t>Anshu</t>
  </si>
  <si>
    <t>Aashay</t>
  </si>
  <si>
    <t>Datada</t>
  </si>
  <si>
    <t>Shakil Pathan</t>
  </si>
  <si>
    <t>Manish Raykundliya</t>
  </si>
  <si>
    <t>Gaju Bhau</t>
  </si>
  <si>
    <t>Chetan</t>
  </si>
  <si>
    <t>Mada Colony</t>
  </si>
  <si>
    <t>Shubham Dada</t>
  </si>
  <si>
    <t>Morwa</t>
  </si>
  <si>
    <t>Patel</t>
  </si>
  <si>
    <t>MIDC</t>
  </si>
  <si>
    <t>Ambedkar Sabhagurah</t>
  </si>
  <si>
    <t>Balaji</t>
  </si>
  <si>
    <t>Kosara</t>
  </si>
  <si>
    <t>Kosara  Loading</t>
  </si>
  <si>
    <t>Kosara Loading</t>
  </si>
  <si>
    <t>Manish Uncle</t>
  </si>
  <si>
    <t>Tukum</t>
  </si>
  <si>
    <t>T-Point</t>
  </si>
  <si>
    <t>Golu</t>
  </si>
  <si>
    <t>Tadali</t>
  </si>
  <si>
    <t>Rishab Dupare</t>
  </si>
  <si>
    <t>ITI College</t>
  </si>
  <si>
    <t>ITI Collge</t>
  </si>
  <si>
    <t>Tadali T-Pointt</t>
  </si>
  <si>
    <t>Akshu Dada</t>
  </si>
  <si>
    <t>Datta Nagar</t>
  </si>
  <si>
    <t>Sailesh Choudhary</t>
  </si>
  <si>
    <t>Sharik</t>
  </si>
  <si>
    <t>Devada</t>
  </si>
  <si>
    <t>Vithal Bhau</t>
  </si>
  <si>
    <t>Thackery Wadi</t>
  </si>
  <si>
    <t>Nishu</t>
  </si>
  <si>
    <t>Tharkey Wadi</t>
  </si>
  <si>
    <t xml:space="preserve">Nilesh </t>
  </si>
  <si>
    <t>Ravi</t>
  </si>
  <si>
    <t>Nikkil</t>
  </si>
  <si>
    <t>Total Balance</t>
  </si>
  <si>
    <t>Vansh Nikose</t>
  </si>
  <si>
    <t>Rundawan / Bharran</t>
  </si>
  <si>
    <t>Pravin Singh ( Raj dad )</t>
  </si>
  <si>
    <t>Khutada / Bharran</t>
  </si>
  <si>
    <t>Atul Ukade</t>
  </si>
  <si>
    <t>Futada</t>
  </si>
  <si>
    <t>Ravi Wandhare</t>
  </si>
  <si>
    <t>Nilesh Raikundliya</t>
  </si>
  <si>
    <t>Ashok Lonare</t>
  </si>
  <si>
    <t>Nishu Amtkar</t>
  </si>
  <si>
    <t>Unkown</t>
  </si>
  <si>
    <t>Saliesh</t>
  </si>
  <si>
    <t>Manish R</t>
  </si>
  <si>
    <t>T-point</t>
  </si>
  <si>
    <t>Vinit Ramatake</t>
  </si>
  <si>
    <t>Rundawan</t>
  </si>
  <si>
    <t>Tulsi Nagar</t>
  </si>
  <si>
    <t>Raj Order</t>
  </si>
  <si>
    <t>Khadan</t>
  </si>
  <si>
    <t>Bazar Padoli</t>
  </si>
  <si>
    <t>Wadgaon</t>
  </si>
  <si>
    <t>Sammer</t>
  </si>
  <si>
    <t>Bharat Rone</t>
  </si>
  <si>
    <t>New Vidarbha</t>
  </si>
  <si>
    <t>Raj Sir</t>
  </si>
  <si>
    <t>Manish Raykhunde</t>
  </si>
  <si>
    <t>Anshu / Ravi</t>
  </si>
  <si>
    <t>Rajesh Tade</t>
  </si>
  <si>
    <t xml:space="preserve">Raj </t>
  </si>
  <si>
    <t>Padoli</t>
  </si>
  <si>
    <t xml:space="preserve">Ravi / Anshu2 </t>
  </si>
  <si>
    <t>Kale</t>
  </si>
  <si>
    <t>Preet Bhaiya</t>
  </si>
  <si>
    <t xml:space="preserve">Papa Order </t>
  </si>
  <si>
    <t>Manish Raykundhe</t>
  </si>
  <si>
    <t>Thakkar Tiles</t>
  </si>
  <si>
    <t>Mehul</t>
  </si>
  <si>
    <t xml:space="preserve">Pradip Chitade ( Raj Dad ) </t>
  </si>
  <si>
    <t xml:space="preserve">Narayana School </t>
  </si>
  <si>
    <t>Chips Wala</t>
  </si>
  <si>
    <t>Vishwanath</t>
  </si>
  <si>
    <t>Vineet Ramtake</t>
  </si>
  <si>
    <t>Kade</t>
  </si>
  <si>
    <t>Lalit Nimkar</t>
  </si>
  <si>
    <t>Near High Tech College</t>
  </si>
  <si>
    <t>SHRI RAJ CONSTRUCTION &amp; BUILDING MATERIAL SUPPLIERS</t>
  </si>
  <si>
    <t>Driver</t>
  </si>
  <si>
    <t>Client</t>
  </si>
  <si>
    <t xml:space="preserve">Destination </t>
  </si>
  <si>
    <t>Trips</t>
  </si>
  <si>
    <t>Rate /Trips</t>
  </si>
  <si>
    <t>Total Value</t>
  </si>
  <si>
    <t>Received</t>
  </si>
  <si>
    <t>Paid / Urgent / Pending</t>
  </si>
  <si>
    <t>Total Trips</t>
  </si>
  <si>
    <t>Total Recevied</t>
  </si>
  <si>
    <t>S U M M A R Y:-</t>
  </si>
  <si>
    <t>APRROVED BY:- _______________</t>
  </si>
  <si>
    <t>TRANSPORT HYVA  RAKAD | JULY 2025</t>
  </si>
  <si>
    <t>Ankush P</t>
  </si>
  <si>
    <t>Shena Nagar</t>
  </si>
  <si>
    <t>Car Washing ( Sadium)</t>
  </si>
  <si>
    <t xml:space="preserve">Mahendra Order </t>
  </si>
  <si>
    <t>Bhaaran 1</t>
  </si>
  <si>
    <t>Karan</t>
  </si>
  <si>
    <t>Yogesh Bhandare ( Raj Dad )</t>
  </si>
  <si>
    <t>Vichoda</t>
  </si>
  <si>
    <t>Amol</t>
  </si>
  <si>
    <t>Backside Narayana</t>
  </si>
  <si>
    <t>Ravi 2 / Gaju 2</t>
  </si>
  <si>
    <t>Ravi 1 / Gaju 3</t>
  </si>
  <si>
    <t>Gaju Bhau / Ravi</t>
  </si>
  <si>
    <t>Naresh kaka</t>
  </si>
  <si>
    <t>Chichpalli</t>
  </si>
  <si>
    <t>TRANSPORT HYVA  RAKAD | AUGUST 2025</t>
  </si>
  <si>
    <t>Near Ram Setu</t>
  </si>
  <si>
    <t>Unknown ( Raj )</t>
  </si>
  <si>
    <t>Nagada</t>
  </si>
  <si>
    <t>Rahim ( Raj )</t>
  </si>
  <si>
    <t>Sakarwahi Fhata</t>
  </si>
  <si>
    <t>Bappya Mama ( Raj )</t>
  </si>
  <si>
    <t>Gaju. Bhau</t>
  </si>
  <si>
    <t>Sachin ( Raj ). Halfton</t>
  </si>
  <si>
    <t>Raj Shifting To Rundawan</t>
  </si>
  <si>
    <t>vasanda</t>
  </si>
  <si>
    <t>Gaju Bhau / Vithal Bhau</t>
  </si>
  <si>
    <t>Naresh Kaka</t>
  </si>
  <si>
    <t>Ajaypur</t>
  </si>
  <si>
    <t>Mahendra ( Raj )</t>
  </si>
  <si>
    <t>Hari Thekedar</t>
  </si>
  <si>
    <t>Santosh</t>
  </si>
  <si>
    <t>Stock -  Ramp</t>
  </si>
  <si>
    <t xml:space="preserve">Lakhmapur </t>
  </si>
  <si>
    <t>Rishab</t>
  </si>
  <si>
    <t>Yogesh Bhandatkar</t>
  </si>
  <si>
    <t>TRANSPORT HYVA  RAKAD LOADING | JANUARY  2025</t>
  </si>
  <si>
    <t>TRANSPORT HYVA  RAKAD LOADING | JANUARY 2025</t>
  </si>
  <si>
    <t>TRANSPORT HYVA  RAKAD  | FEBRUARY  2025</t>
  </si>
  <si>
    <t>TRANSPORT HYVA  RAKAD LOADING | FEBRUARY 2025</t>
  </si>
  <si>
    <t>TRANSPORT HYVA  RAKAD  | MARCH  2025</t>
  </si>
  <si>
    <t>TRANSPORT HYVA  RAKAD LOADING | MARCH 2025</t>
  </si>
  <si>
    <t>TRANSPORT HYVA  RAKAD  | APRIL 2025</t>
  </si>
  <si>
    <t>TRANSPORT HYVA  RAKAD LOADING | APRIL 2025</t>
  </si>
  <si>
    <t>TRANSPORT HYVA  RAKAD LOADING | MAY  2025</t>
  </si>
  <si>
    <t>TRANSPORT HYVA  RAKAD  | MAY  2025</t>
  </si>
  <si>
    <t>Raj Farms</t>
  </si>
  <si>
    <t>TRANSPORT HYVA  RAKAD | SEPTEMBER 2025</t>
  </si>
  <si>
    <t>TRANSPORT HYVA  RAKAD | NOVEMBER 2025</t>
  </si>
  <si>
    <t>TRANSPORT HYVA  RAKAD | DECEMBER 2025</t>
  </si>
  <si>
    <t>TRANSPORT HYVA  RAKAD | OCTOBER 2025</t>
  </si>
  <si>
    <t>Ravi / Rishab Driver</t>
  </si>
  <si>
    <t>Raj</t>
  </si>
  <si>
    <t xml:space="preserve">Raj Farms Dumb </t>
  </si>
  <si>
    <t>National</t>
  </si>
  <si>
    <t>Near Hotel Al-Zam-Zam</t>
  </si>
  <si>
    <t>Human Nagar</t>
  </si>
  <si>
    <t>Sagar Ghorade ( Raj Dad ) + Machine</t>
  </si>
  <si>
    <t>Dump</t>
  </si>
  <si>
    <t>Near Ambedkar Sabhagraugh</t>
  </si>
  <si>
    <t>TRANSPORT HYVA  RAKAD LOADING | NOvember  2025</t>
  </si>
  <si>
    <t>Manish Raykunde</t>
  </si>
  <si>
    <t>Babupeth</t>
  </si>
  <si>
    <t xml:space="preserve">Aakash </t>
  </si>
  <si>
    <t>Yashwant Nagar ( Halfton )</t>
  </si>
  <si>
    <t>Dhanraj</t>
  </si>
  <si>
    <t>Saurabh Order</t>
  </si>
  <si>
    <t>Rashtrawadi</t>
  </si>
  <si>
    <t>Bappya Mama</t>
  </si>
  <si>
    <t>Rahim Bhaiya</t>
  </si>
  <si>
    <t xml:space="preserve">Kaale </t>
  </si>
  <si>
    <t xml:space="preserve">Kosara </t>
  </si>
  <si>
    <t>Krishna</t>
  </si>
  <si>
    <t>Madarsha</t>
  </si>
  <si>
    <t>Narayana Kakaji</t>
  </si>
  <si>
    <t>Backside Narayana School</t>
  </si>
  <si>
    <t>Hari Thekdar</t>
  </si>
  <si>
    <t>Khutada</t>
  </si>
  <si>
    <t>Vineet Ramteke</t>
  </si>
  <si>
    <t>Ravi 5/ Dhanraj 1</t>
  </si>
  <si>
    <t>Ravi / Dhanraj</t>
  </si>
  <si>
    <t xml:space="preserve">Balaji </t>
  </si>
  <si>
    <t>Ravi 2 / Dhanraj 4</t>
  </si>
  <si>
    <t>Lauji Nagar</t>
  </si>
  <si>
    <t>Dhanraj 2 / Ravi 1</t>
  </si>
  <si>
    <t>Ravi 3 / Dhanraj 2</t>
  </si>
  <si>
    <t>Ravi 4 / Dhanraj 3</t>
  </si>
  <si>
    <t>Chauhan</t>
  </si>
  <si>
    <t>Balaji Kaka</t>
  </si>
  <si>
    <t>Rahul Dada</t>
  </si>
  <si>
    <t>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</si>
</sst>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&quot;₹&quot;\ #,##0.00"/>
    <numFmt numFmtId="166" formatCode="&quot;₹&quot;#,##0.00"/>
  </numFmts>
  <fonts count="1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22"/>
      <color rgb="FFD4AF37"/>
      <name val="Calibri"/>
      <family val="2"/>
      <scheme val="minor"/>
    </font>
    <font>
      <b/>
      <i/>
      <sz val="10"/>
      <color rgb="FF7D1D3F"/>
      <name val="Georgia"/>
      <family val="1"/>
    </font>
    <font>
      <b/>
      <sz val="16"/>
      <color rgb="FFA05252"/>
      <name val="Calibri"/>
      <family val="2"/>
      <scheme val="minor"/>
    </font>
    <font>
      <b/>
      <i/>
      <u/>
      <sz val="16"/>
      <color rgb="FF7D1D3F"/>
      <name val="Calibri Light"/>
      <family val="2"/>
      <scheme val="major"/>
    </font>
    <font>
      <b/>
      <sz val="16"/>
      <color rgb="FF7D1D3F"/>
      <name val="Calibri"/>
      <family val="2"/>
      <scheme val="minor"/>
    </font>
    <font>
      <sz val="14"/>
      <color theme="1"/>
      <name val="Brush Script MT Italic"/>
    </font>
  </fonts>
  <fills count="6">
    <fill>
      <patternFill patternType="none"/>
    </fill>
    <fill>
      <patternFill patternType="gray125"/>
    </fill>
    <fill>
      <patternFill patternType="solid">
        <fgColor rgb="FF7D1D3F"/>
        <bgColor indexed="64"/>
      </patternFill>
    </fill>
    <fill>
      <patternFill patternType="solid">
        <fgColor rgb="FFF5F0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4AF3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D4AF37"/>
      </left>
      <right style="double">
        <color rgb="FFD4AF37"/>
      </right>
      <top/>
      <bottom/>
      <diagonal/>
    </border>
    <border>
      <left style="thin">
        <color rgb="FFA05252"/>
      </left>
      <right style="thin">
        <color rgb="FFA05252"/>
      </right>
      <top/>
      <bottom style="thin">
        <color rgb="FFA05252"/>
      </bottom>
      <diagonal/>
    </border>
    <border>
      <left style="thin">
        <color rgb="FFA05252"/>
      </left>
      <right style="thin">
        <color rgb="FFA05252"/>
      </right>
      <top style="thin">
        <color rgb="FFA05252"/>
      </top>
      <bottom style="thin">
        <color rgb="FFA052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164" fontId="1" fillId="0" borderId="1" xfId="0" applyNumberFormat="1" applyFont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4" fontId="3" fillId="2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6" fontId="3" fillId="2" borderId="3" xfId="0" applyNumberFormat="1" applyFont="1" applyFill="1" applyBorder="1" applyAlignment="1">
      <alignment horizontal="center" vertical="center"/>
    </xf>
    <xf numFmtId="0" fontId="4" fillId="0" borderId="4" xfId="0" applyFont="1" applyBorder="1"/>
    <xf numFmtId="0" fontId="7" fillId="4" borderId="5" xfId="0" applyFont="1" applyFill="1" applyBorder="1"/>
    <xf numFmtId="166" fontId="7" fillId="4" borderId="5" xfId="0" applyNumberFormat="1" applyFont="1" applyFill="1" applyBorder="1"/>
    <xf numFmtId="166" fontId="7" fillId="4" borderId="5" xfId="0" applyNumberFormat="1" applyFont="1" applyFill="1" applyBorder="1" applyAlignment="1">
      <alignment horizontal="left"/>
    </xf>
    <xf numFmtId="0" fontId="8" fillId="5" borderId="5" xfId="0" applyFont="1" applyFill="1" applyBorder="1"/>
    <xf numFmtId="0" fontId="9" fillId="5" borderId="5" xfId="0" applyFont="1" applyFill="1" applyBorder="1" applyAlignment="1">
      <alignment horizontal="center"/>
    </xf>
    <xf numFmtId="166" fontId="9" fillId="5" borderId="5" xfId="0" applyNumberFormat="1" applyFont="1" applyFill="1" applyBorder="1"/>
    <xf numFmtId="166" fontId="9" fillId="5" borderId="5" xfId="0" applyNumberFormat="1" applyFont="1" applyFill="1" applyBorder="1" applyAlignment="1">
      <alignment horizontal="left"/>
    </xf>
    <xf numFmtId="164" fontId="0" fillId="0" borderId="0" xfId="0" applyNumberFormat="1"/>
    <xf numFmtId="164" fontId="1" fillId="0" borderId="6" xfId="0" applyNumberFormat="1" applyFont="1" applyBorder="1"/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5" fontId="2" fillId="0" borderId="6" xfId="0" applyNumberFormat="1" applyFont="1" applyBorder="1" applyAlignment="1">
      <alignment horizontal="center"/>
    </xf>
    <xf numFmtId="0" fontId="0" fillId="0" borderId="6" xfId="0" applyBorder="1"/>
    <xf numFmtId="165" fontId="0" fillId="0" borderId="1" xfId="0" applyNumberFormat="1" applyBorder="1"/>
    <xf numFmtId="164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164" fontId="1" fillId="0" borderId="6" xfId="0" applyNumberFormat="1" applyFont="1" applyBorder="1" applyAlignment="1">
      <alignment horizontal="left"/>
    </xf>
    <xf numFmtId="165" fontId="2" fillId="0" borderId="1" xfId="0" applyNumberFormat="1" applyFont="1" applyBorder="1" applyAlignment="1">
      <alignment horizontal="left"/>
    </xf>
    <xf numFmtId="165" fontId="2" fillId="0" borderId="6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2" xfId="0" applyFont="1" applyBorder="1"/>
    <xf numFmtId="0" fontId="2" fillId="0" borderId="1" xfId="0" applyFont="1" applyBorder="1"/>
    <xf numFmtId="0" fontId="2" fillId="0" borderId="6" xfId="0" applyFont="1" applyBorder="1"/>
    <xf numFmtId="0" fontId="0" fillId="0" borderId="7" xfId="0" applyBorder="1"/>
    <xf numFmtId="165" fontId="0" fillId="0" borderId="6" xfId="0" applyNumberFormat="1" applyBorder="1"/>
    <xf numFmtId="0" fontId="0" fillId="0" borderId="2" xfId="0" applyBorder="1"/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/>
    </xf>
    <xf numFmtId="164" fontId="10" fillId="0" borderId="0" xfId="0" applyNumberFormat="1" applyFont="1" applyAlignment="1">
      <alignment horizontal="left"/>
    </xf>
  </cellXfs>
  <cellStyles count="1">
    <cellStyle name="Normal" xfId="0" builtinId="0"/>
  </cellStyles>
  <dxfs count="391"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-F800]dddd\,\ mmmm\ dd\,\ 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-F800]dddd\,\ mmmm\ dd\,\ 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-F800]dddd\,\ mmmm\ dd\,\ 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-F800]dddd\,\ mmmm\ dd\,\ 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-F800]dddd\,\ mmmm\ dd\,\ 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-F800]dddd\,\ mmmm\ dd\,\ 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-F800]dddd\,\ mmmm\ dd\,\ 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-F800]dddd\,\ mmmm\ dd\,\ 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-F800]dddd\,\ mmmm\ dd\,\ 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-F800]dddd\,\ mmmm\ dd\,\ 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-F800]dddd\,\ mmmm\ dd\,\ 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-F800]dddd\,\ mmmm\ dd\,\ 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-F800]dddd\,\ mmmm\ dd\,\ 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-F800]dddd\,\ mmmm\ dd\,\ 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-F800]dddd\,\ mmmm\ dd\,\ 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-F800]dddd\,\ mmmm\ dd\,\ 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-F800]dddd\,\ mmmm\ dd\,\ 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-F800]dddd\,\ mmmm\ dd\,\ 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-F800]dddd\,\ mmmm\ dd\,\ 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-F800]dddd\,\ mmmm\ dd\,\ 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-F800]dddd\,\ mmmm\ dd\,\ 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-F800]dddd\,\ mmmm\ dd\,\ 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-F800]dddd\,\ mmmm\ dd\,\ 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-F800]dddd\,\ mmmm\ dd\,\ 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-F800]dddd\,\ mmmm\ dd\,\ 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-F800]dddd\,\ mmmm\ dd\,\ 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-F800]dddd\,\ mmmm\ dd\,\ 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6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1319335</xdr:colOff>
      <xdr:row>110</xdr:row>
      <xdr:rowOff>209618</xdr:rowOff>
    </xdr:from>
    <xdr:to>
      <xdr:col>1</xdr:col>
      <xdr:colOff>110435</xdr:colOff>
      <xdr:row>111</xdr:row>
      <xdr:rowOff>569461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9D8F53-1151-C541-AD61-F9F4F85BB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63436" y1="51648" x2="63436" y2="51648"/>
                      <a14:backgroundMark x1="46257" y1="44615" x2="46257" y2="44615"/>
                      <a14:backgroundMark x1="46161" y1="44615" x2="46161" y2="44615"/>
                      <a14:backgroundMark x1="49424" y1="39780" x2="44818" y2="47473"/>
                      <a14:backgroundMark x1="55854" y1="78901" x2="53071" y2="82198"/>
                      <a14:backgroundMark x1="68426" y1="72308" x2="72361" y2="71209"/>
                      <a14:backgroundMark x1="31382" y1="55385" x2="25528" y2="61978"/>
                      <a14:backgroundMark x1="25528" y1="61978" x2="29559" y2="51209"/>
                      <a14:backgroundMark x1="29559" y1="51209" x2="33301" y2="50989"/>
                      <a14:backgroundMark x1="54511" y1="57363" x2="62668" y2="53187"/>
                      <a14:backgroundMark x1="62668" y1="53187" x2="56622" y2="58462"/>
                      <a14:backgroundMark x1="56622" y1="58462" x2="53455" y2="45495"/>
                      <a14:backgroundMark x1="53455" y1="45495" x2="63340" y2="40659"/>
                      <a14:backgroundMark x1="63340" y1="40659" x2="66315" y2="45934"/>
                      <a14:backgroundMark x1="38772" y1="68352" x2="34357" y2="68571"/>
                      <a14:backgroundMark x1="23129" y1="49231" x2="17274" y2="54945"/>
                      <a14:backgroundMark x1="17274" y1="54945" x2="17179" y2="60659"/>
                      <a14:backgroundMark x1="41459" y1="79121" x2="41459" y2="79121"/>
                      <a14:backgroundMark x1="40595" y1="79560" x2="41267" y2="780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9335" y="27078401"/>
          <a:ext cx="1110230" cy="624886"/>
        </a:xfrm>
        <a:prstGeom prst="rect">
          <a:avLst/>
        </a:prstGeom>
      </xdr:spPr>
    </xdr:pic>
    <xdr:clientData/>
  </xdr:twoCellAnchor>
  <xdr:twoCellAnchor editAs="oneCell">
    <xdr:from>
      <xdr:col>0</xdr:col>
      <xdr:colOff>1446696</xdr:colOff>
      <xdr:row>64</xdr:row>
      <xdr:rowOff>7427</xdr:rowOff>
    </xdr:from>
    <xdr:to>
      <xdr:col>1</xdr:col>
      <xdr:colOff>143566</xdr:colOff>
      <xdr:row>64</xdr:row>
      <xdr:rowOff>562246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19C502-1302-2445-AAB5-51A97AD12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63436" y1="51648" x2="63436" y2="51648"/>
                      <a14:backgroundMark x1="46257" y1="44615" x2="46257" y2="44615"/>
                      <a14:backgroundMark x1="46161" y1="44615" x2="46161" y2="44615"/>
                      <a14:backgroundMark x1="49424" y1="39780" x2="44818" y2="47473"/>
                      <a14:backgroundMark x1="55854" y1="78901" x2="53071" y2="82198"/>
                      <a14:backgroundMark x1="68426" y1="72308" x2="72361" y2="71209"/>
                      <a14:backgroundMark x1="31382" y1="55385" x2="25528" y2="61978"/>
                      <a14:backgroundMark x1="25528" y1="61978" x2="29559" y2="51209"/>
                      <a14:backgroundMark x1="29559" y1="51209" x2="33301" y2="50989"/>
                      <a14:backgroundMark x1="54511" y1="57363" x2="62668" y2="53187"/>
                      <a14:backgroundMark x1="62668" y1="53187" x2="56622" y2="58462"/>
                      <a14:backgroundMark x1="56622" y1="58462" x2="53455" y2="45495"/>
                      <a14:backgroundMark x1="53455" y1="45495" x2="63340" y2="40659"/>
                      <a14:backgroundMark x1="63340" y1="40659" x2="66315" y2="45934"/>
                      <a14:backgroundMark x1="38772" y1="68352" x2="34357" y2="68571"/>
                      <a14:backgroundMark x1="23129" y1="49231" x2="17274" y2="54945"/>
                      <a14:backgroundMark x1="17274" y1="54945" x2="17179" y2="60659"/>
                      <a14:backgroundMark x1="41459" y1="79121" x2="41459" y2="79121"/>
                      <a14:backgroundMark x1="40595" y1="79560" x2="41267" y2="780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6696" y="15567688"/>
          <a:ext cx="1016000" cy="5548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1319334</xdr:colOff>
      <xdr:row>48</xdr:row>
      <xdr:rowOff>209618</xdr:rowOff>
    </xdr:from>
    <xdr:to>
      <xdr:col>1</xdr:col>
      <xdr:colOff>423332</xdr:colOff>
      <xdr:row>49</xdr:row>
      <xdr:rowOff>698881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B32BF9-97D5-DD43-8819-CF7F7EE5C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63436" y1="51648" x2="63436" y2="51648"/>
                      <a14:backgroundMark x1="46257" y1="44615" x2="46257" y2="44615"/>
                      <a14:backgroundMark x1="46161" y1="44615" x2="46161" y2="44615"/>
                      <a14:backgroundMark x1="49424" y1="39780" x2="44818" y2="47473"/>
                      <a14:backgroundMark x1="55854" y1="78901" x2="53071" y2="82198"/>
                      <a14:backgroundMark x1="68426" y1="72308" x2="72361" y2="71209"/>
                      <a14:backgroundMark x1="31382" y1="55385" x2="25528" y2="61978"/>
                      <a14:backgroundMark x1="25528" y1="61978" x2="29559" y2="51209"/>
                      <a14:backgroundMark x1="29559" y1="51209" x2="33301" y2="50989"/>
                      <a14:backgroundMark x1="54511" y1="57363" x2="62668" y2="53187"/>
                      <a14:backgroundMark x1="62668" y1="53187" x2="56622" y2="58462"/>
                      <a14:backgroundMark x1="56622" y1="58462" x2="53455" y2="45495"/>
                      <a14:backgroundMark x1="53455" y1="45495" x2="63340" y2="40659"/>
                      <a14:backgroundMark x1="63340" y1="40659" x2="66315" y2="45934"/>
                      <a14:backgroundMark x1="38772" y1="68352" x2="34357" y2="68571"/>
                      <a14:backgroundMark x1="23129" y1="49231" x2="17274" y2="54945"/>
                      <a14:backgroundMark x1="17274" y1="54945" x2="17179" y2="60659"/>
                      <a14:backgroundMark x1="41459" y1="79121" x2="41459" y2="79121"/>
                      <a14:backgroundMark x1="40595" y1="79560" x2="41267" y2="780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9334" y="27907713"/>
          <a:ext cx="1568403" cy="761405"/>
        </a:xfrm>
        <a:prstGeom prst="rect">
          <a:avLst/>
        </a:prstGeom>
      </xdr:spPr>
    </xdr:pic>
    <xdr:clientData/>
  </xdr:twoCellAnchor>
  <xdr:twoCellAnchor editAs="oneCell">
    <xdr:from>
      <xdr:col>0</xdr:col>
      <xdr:colOff>1446696</xdr:colOff>
      <xdr:row>24</xdr:row>
      <xdr:rowOff>7427</xdr:rowOff>
    </xdr:from>
    <xdr:to>
      <xdr:col>1</xdr:col>
      <xdr:colOff>272143</xdr:colOff>
      <xdr:row>24</xdr:row>
      <xdr:rowOff>634818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713ED8-E48C-A24F-957B-5C8EC5F03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63436" y1="51648" x2="63436" y2="51648"/>
                      <a14:backgroundMark x1="46257" y1="44615" x2="46257" y2="44615"/>
                      <a14:backgroundMark x1="46161" y1="44615" x2="46161" y2="44615"/>
                      <a14:backgroundMark x1="49424" y1="39780" x2="44818" y2="47473"/>
                      <a14:backgroundMark x1="55854" y1="78901" x2="53071" y2="82198"/>
                      <a14:backgroundMark x1="68426" y1="72308" x2="72361" y2="71209"/>
                      <a14:backgroundMark x1="31382" y1="55385" x2="25528" y2="61978"/>
                      <a14:backgroundMark x1="25528" y1="61978" x2="29559" y2="51209"/>
                      <a14:backgroundMark x1="29559" y1="51209" x2="33301" y2="50989"/>
                      <a14:backgroundMark x1="54511" y1="57363" x2="62668" y2="53187"/>
                      <a14:backgroundMark x1="62668" y1="53187" x2="56622" y2="58462"/>
                      <a14:backgroundMark x1="56622" y1="58462" x2="53455" y2="45495"/>
                      <a14:backgroundMark x1="53455" y1="45495" x2="63340" y2="40659"/>
                      <a14:backgroundMark x1="63340" y1="40659" x2="66315" y2="45934"/>
                      <a14:backgroundMark x1="38772" y1="68352" x2="34357" y2="68571"/>
                      <a14:backgroundMark x1="23129" y1="49231" x2="17274" y2="54945"/>
                      <a14:backgroundMark x1="17274" y1="54945" x2="17179" y2="60659"/>
                      <a14:backgroundMark x1="41459" y1="79121" x2="41459" y2="79121"/>
                      <a14:backgroundMark x1="40595" y1="79560" x2="41267" y2="780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6696" y="21612546"/>
          <a:ext cx="1289852" cy="6273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1332034</xdr:colOff>
      <xdr:row>32</xdr:row>
      <xdr:rowOff>120718</xdr:rowOff>
    </xdr:from>
    <xdr:to>
      <xdr:col>1</xdr:col>
      <xdr:colOff>690032</xdr:colOff>
      <xdr:row>34</xdr:row>
      <xdr:rowOff>25781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546E61-C6D8-1845-8293-C8A261454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63436" y1="51648" x2="63436" y2="51648"/>
                      <a14:backgroundMark x1="46257" y1="44615" x2="46257" y2="44615"/>
                      <a14:backgroundMark x1="46161" y1="44615" x2="46161" y2="44615"/>
                      <a14:backgroundMark x1="49424" y1="39780" x2="44818" y2="47473"/>
                      <a14:backgroundMark x1="55854" y1="78901" x2="53071" y2="82198"/>
                      <a14:backgroundMark x1="68426" y1="72308" x2="72361" y2="71209"/>
                      <a14:backgroundMark x1="31382" y1="55385" x2="25528" y2="61978"/>
                      <a14:backgroundMark x1="25528" y1="61978" x2="29559" y2="51209"/>
                      <a14:backgroundMark x1="29559" y1="51209" x2="33301" y2="50989"/>
                      <a14:backgroundMark x1="54511" y1="57363" x2="62668" y2="53187"/>
                      <a14:backgroundMark x1="62668" y1="53187" x2="56622" y2="58462"/>
                      <a14:backgroundMark x1="56622" y1="58462" x2="53455" y2="45495"/>
                      <a14:backgroundMark x1="53455" y1="45495" x2="63340" y2="40659"/>
                      <a14:backgroundMark x1="63340" y1="40659" x2="66315" y2="45934"/>
                      <a14:backgroundMark x1="38772" y1="68352" x2="34357" y2="68571"/>
                      <a14:backgroundMark x1="23129" y1="49231" x2="17274" y2="54945"/>
                      <a14:backgroundMark x1="17274" y1="54945" x2="17179" y2="60659"/>
                      <a14:backgroundMark x1="41459" y1="79121" x2="41459" y2="79121"/>
                      <a14:backgroundMark x1="40595" y1="79560" x2="41267" y2="780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2034" y="17291118"/>
          <a:ext cx="1567798" cy="870263"/>
        </a:xfrm>
        <a:prstGeom prst="rect">
          <a:avLst/>
        </a:prstGeom>
      </xdr:spPr>
    </xdr:pic>
    <xdr:clientData/>
  </xdr:twoCellAnchor>
  <xdr:twoCellAnchor editAs="oneCell">
    <xdr:from>
      <xdr:col>0</xdr:col>
      <xdr:colOff>1484796</xdr:colOff>
      <xdr:row>19</xdr:row>
      <xdr:rowOff>185227</xdr:rowOff>
    </xdr:from>
    <xdr:to>
      <xdr:col>1</xdr:col>
      <xdr:colOff>564243</xdr:colOff>
      <xdr:row>20</xdr:row>
      <xdr:rowOff>609418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DD3B88-C806-1843-A319-1530E2345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63436" y1="51648" x2="63436" y2="51648"/>
                      <a14:backgroundMark x1="46257" y1="44615" x2="46257" y2="44615"/>
                      <a14:backgroundMark x1="46161" y1="44615" x2="46161" y2="44615"/>
                      <a14:backgroundMark x1="49424" y1="39780" x2="44818" y2="47473"/>
                      <a14:backgroundMark x1="55854" y1="78901" x2="53071" y2="82198"/>
                      <a14:backgroundMark x1="68426" y1="72308" x2="72361" y2="71209"/>
                      <a14:backgroundMark x1="31382" y1="55385" x2="25528" y2="61978"/>
                      <a14:backgroundMark x1="25528" y1="61978" x2="29559" y2="51209"/>
                      <a14:backgroundMark x1="29559" y1="51209" x2="33301" y2="50989"/>
                      <a14:backgroundMark x1="54511" y1="57363" x2="62668" y2="53187"/>
                      <a14:backgroundMark x1="62668" y1="53187" x2="56622" y2="58462"/>
                      <a14:backgroundMark x1="56622" y1="58462" x2="53455" y2="45495"/>
                      <a14:backgroundMark x1="53455" y1="45495" x2="63340" y2="40659"/>
                      <a14:backgroundMark x1="63340" y1="40659" x2="66315" y2="45934"/>
                      <a14:backgroundMark x1="38772" y1="68352" x2="34357" y2="68571"/>
                      <a14:backgroundMark x1="23129" y1="49231" x2="17274" y2="54945"/>
                      <a14:backgroundMark x1="17274" y1="54945" x2="17179" y2="60659"/>
                      <a14:backgroundMark x1="41459" y1="79121" x2="41459" y2="79121"/>
                      <a14:backgroundMark x1="40595" y1="79560" x2="41267" y2="780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4796" y="4782627"/>
          <a:ext cx="1289247" cy="69089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1332034</xdr:colOff>
      <xdr:row>20</xdr:row>
      <xdr:rowOff>120719</xdr:rowOff>
    </xdr:from>
    <xdr:to>
      <xdr:col>1</xdr:col>
      <xdr:colOff>815480</xdr:colOff>
      <xdr:row>22</xdr:row>
      <xdr:rowOff>63501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875A12-7CB9-D24F-A45A-1DA18DABB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63436" y1="51648" x2="63436" y2="51648"/>
                      <a14:backgroundMark x1="46257" y1="44615" x2="46257" y2="44615"/>
                      <a14:backgroundMark x1="46161" y1="44615" x2="46161" y2="44615"/>
                      <a14:backgroundMark x1="49424" y1="39780" x2="44818" y2="47473"/>
                      <a14:backgroundMark x1="55854" y1="78901" x2="53071" y2="82198"/>
                      <a14:backgroundMark x1="68426" y1="72308" x2="72361" y2="71209"/>
                      <a14:backgroundMark x1="31382" y1="55385" x2="25528" y2="61978"/>
                      <a14:backgroundMark x1="25528" y1="61978" x2="29559" y2="51209"/>
                      <a14:backgroundMark x1="29559" y1="51209" x2="33301" y2="50989"/>
                      <a14:backgroundMark x1="54511" y1="57363" x2="62668" y2="53187"/>
                      <a14:backgroundMark x1="62668" y1="53187" x2="56622" y2="58462"/>
                      <a14:backgroundMark x1="56622" y1="58462" x2="53455" y2="45495"/>
                      <a14:backgroundMark x1="53455" y1="45495" x2="63340" y2="40659"/>
                      <a14:backgroundMark x1="63340" y1="40659" x2="66315" y2="45934"/>
                      <a14:backgroundMark x1="38772" y1="68352" x2="34357" y2="68571"/>
                      <a14:backgroundMark x1="23129" y1="49231" x2="17274" y2="54945"/>
                      <a14:backgroundMark x1="17274" y1="54945" x2="17179" y2="60659"/>
                      <a14:backgroundMark x1="41459" y1="79121" x2="41459" y2="79121"/>
                      <a14:backgroundMark x1="40595" y1="79560" x2="41267" y2="780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2034" y="5175319"/>
          <a:ext cx="1350346" cy="869882"/>
        </a:xfrm>
        <a:prstGeom prst="rect">
          <a:avLst/>
        </a:prstGeom>
      </xdr:spPr>
    </xdr:pic>
    <xdr:clientData/>
  </xdr:twoCellAnchor>
  <xdr:twoCellAnchor editAs="oneCell">
    <xdr:from>
      <xdr:col>0</xdr:col>
      <xdr:colOff>1497496</xdr:colOff>
      <xdr:row>7</xdr:row>
      <xdr:rowOff>45527</xdr:rowOff>
    </xdr:from>
    <xdr:to>
      <xdr:col>1</xdr:col>
      <xdr:colOff>919843</xdr:colOff>
      <xdr:row>8</xdr:row>
      <xdr:rowOff>609418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F47747-955E-934F-87F8-69080FA3E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63436" y1="51648" x2="63436" y2="51648"/>
                      <a14:backgroundMark x1="46257" y1="44615" x2="46257" y2="44615"/>
                      <a14:backgroundMark x1="46161" y1="44615" x2="46161" y2="44615"/>
                      <a14:backgroundMark x1="49424" y1="39780" x2="44818" y2="47473"/>
                      <a14:backgroundMark x1="55854" y1="78901" x2="53071" y2="82198"/>
                      <a14:backgroundMark x1="68426" y1="72308" x2="72361" y2="71209"/>
                      <a14:backgroundMark x1="31382" y1="55385" x2="25528" y2="61978"/>
                      <a14:backgroundMark x1="25528" y1="61978" x2="29559" y2="51209"/>
                      <a14:backgroundMark x1="29559" y1="51209" x2="33301" y2="50989"/>
                      <a14:backgroundMark x1="54511" y1="57363" x2="62668" y2="53187"/>
                      <a14:backgroundMark x1="62668" y1="53187" x2="56622" y2="58462"/>
                      <a14:backgroundMark x1="56622" y1="58462" x2="53455" y2="45495"/>
                      <a14:backgroundMark x1="53455" y1="45495" x2="63340" y2="40659"/>
                      <a14:backgroundMark x1="63340" y1="40659" x2="66315" y2="45934"/>
                      <a14:backgroundMark x1="38772" y1="68352" x2="34357" y2="68571"/>
                      <a14:backgroundMark x1="23129" y1="49231" x2="17274" y2="54945"/>
                      <a14:backgroundMark x1="17274" y1="54945" x2="17179" y2="60659"/>
                      <a14:backgroundMark x1="41459" y1="79121" x2="41459" y2="79121"/>
                      <a14:backgroundMark x1="40595" y1="79560" x2="41267" y2="780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7496" y="1747327"/>
          <a:ext cx="1289247" cy="83059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1332035</xdr:colOff>
      <xdr:row>44</xdr:row>
      <xdr:rowOff>119786</xdr:rowOff>
    </xdr:from>
    <xdr:to>
      <xdr:col>1</xdr:col>
      <xdr:colOff>438728</xdr:colOff>
      <xdr:row>44</xdr:row>
      <xdr:rowOff>881297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145B3E-EFA8-0649-BCC7-A2A8C2548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63436" y1="51648" x2="63436" y2="51648"/>
                      <a14:backgroundMark x1="46257" y1="44615" x2="46257" y2="44615"/>
                      <a14:backgroundMark x1="46161" y1="44615" x2="46161" y2="44615"/>
                      <a14:backgroundMark x1="49424" y1="39780" x2="44818" y2="47473"/>
                      <a14:backgroundMark x1="55854" y1="78901" x2="53071" y2="82198"/>
                      <a14:backgroundMark x1="68426" y1="72308" x2="72361" y2="71209"/>
                      <a14:backgroundMark x1="31382" y1="55385" x2="25528" y2="61978"/>
                      <a14:backgroundMark x1="25528" y1="61978" x2="29559" y2="51209"/>
                      <a14:backgroundMark x1="29559" y1="51209" x2="33301" y2="50989"/>
                      <a14:backgroundMark x1="54511" y1="57363" x2="62668" y2="53187"/>
                      <a14:backgroundMark x1="62668" y1="53187" x2="56622" y2="58462"/>
                      <a14:backgroundMark x1="56622" y1="58462" x2="53455" y2="45495"/>
                      <a14:backgroundMark x1="53455" y1="45495" x2="63340" y2="40659"/>
                      <a14:backgroundMark x1="63340" y1="40659" x2="66315" y2="45934"/>
                      <a14:backgroundMark x1="38772" y1="68352" x2="34357" y2="68571"/>
                      <a14:backgroundMark x1="23129" y1="49231" x2="17274" y2="54945"/>
                      <a14:backgroundMark x1="17274" y1="54945" x2="17179" y2="60659"/>
                      <a14:backgroundMark x1="41459" y1="79121" x2="41459" y2="79121"/>
                      <a14:backgroundMark x1="40595" y1="79560" x2="41267" y2="780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2035" y="10706968"/>
          <a:ext cx="1161784" cy="761511"/>
        </a:xfrm>
        <a:prstGeom prst="rect">
          <a:avLst/>
        </a:prstGeom>
      </xdr:spPr>
    </xdr:pic>
    <xdr:clientData/>
  </xdr:twoCellAnchor>
  <xdr:twoCellAnchor editAs="oneCell">
    <xdr:from>
      <xdr:col>0</xdr:col>
      <xdr:colOff>1542523</xdr:colOff>
      <xdr:row>28</xdr:row>
      <xdr:rowOff>140387</xdr:rowOff>
    </xdr:from>
    <xdr:to>
      <xdr:col>1</xdr:col>
      <xdr:colOff>542636</xdr:colOff>
      <xdr:row>29</xdr:row>
      <xdr:rowOff>564391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5619C4-F51C-6F4C-AB81-B91BCD76C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63436" y1="51648" x2="63436" y2="51648"/>
                      <a14:backgroundMark x1="46257" y1="44615" x2="46257" y2="44615"/>
                      <a14:backgroundMark x1="46161" y1="44615" x2="46161" y2="44615"/>
                      <a14:backgroundMark x1="49424" y1="39780" x2="44818" y2="47473"/>
                      <a14:backgroundMark x1="55854" y1="78901" x2="53071" y2="82198"/>
                      <a14:backgroundMark x1="68426" y1="72308" x2="72361" y2="71209"/>
                      <a14:backgroundMark x1="31382" y1="55385" x2="25528" y2="61978"/>
                      <a14:backgroundMark x1="25528" y1="61978" x2="29559" y2="51209"/>
                      <a14:backgroundMark x1="29559" y1="51209" x2="33301" y2="50989"/>
                      <a14:backgroundMark x1="54511" y1="57363" x2="62668" y2="53187"/>
                      <a14:backgroundMark x1="62668" y1="53187" x2="56622" y2="58462"/>
                      <a14:backgroundMark x1="56622" y1="58462" x2="53455" y2="45495"/>
                      <a14:backgroundMark x1="53455" y1="45495" x2="63340" y2="40659"/>
                      <a14:backgroundMark x1="63340" y1="40659" x2="66315" y2="45934"/>
                      <a14:backgroundMark x1="38772" y1="68352" x2="34357" y2="68571"/>
                      <a14:backgroundMark x1="23129" y1="49231" x2="17274" y2="54945"/>
                      <a14:backgroundMark x1="17274" y1="54945" x2="17179" y2="60659"/>
                      <a14:backgroundMark x1="41459" y1="79121" x2="41459" y2="79121"/>
                      <a14:backgroundMark x1="40595" y1="79560" x2="41267" y2="780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2523" y="6952205"/>
          <a:ext cx="1055204" cy="6895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1514916</xdr:colOff>
      <xdr:row>53</xdr:row>
      <xdr:rowOff>221386</xdr:rowOff>
    </xdr:from>
    <xdr:to>
      <xdr:col>1</xdr:col>
      <xdr:colOff>550390</xdr:colOff>
      <xdr:row>53</xdr:row>
      <xdr:rowOff>843280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0D8B06-E963-2645-83AA-DBB9A6484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63436" y1="51648" x2="63436" y2="51648"/>
                      <a14:backgroundMark x1="46257" y1="44615" x2="46257" y2="44615"/>
                      <a14:backgroundMark x1="46161" y1="44615" x2="46161" y2="44615"/>
                      <a14:backgroundMark x1="49424" y1="39780" x2="44818" y2="47473"/>
                      <a14:backgroundMark x1="55854" y1="78901" x2="53071" y2="82198"/>
                      <a14:backgroundMark x1="68426" y1="72308" x2="72361" y2="71209"/>
                      <a14:backgroundMark x1="31382" y1="55385" x2="25528" y2="61978"/>
                      <a14:backgroundMark x1="25528" y1="61978" x2="29559" y2="51209"/>
                      <a14:backgroundMark x1="29559" y1="51209" x2="33301" y2="50989"/>
                      <a14:backgroundMark x1="54511" y1="57363" x2="62668" y2="53187"/>
                      <a14:backgroundMark x1="62668" y1="53187" x2="56622" y2="58462"/>
                      <a14:backgroundMark x1="56622" y1="58462" x2="53455" y2="45495"/>
                      <a14:backgroundMark x1="53455" y1="45495" x2="63340" y2="40659"/>
                      <a14:backgroundMark x1="63340" y1="40659" x2="66315" y2="45934"/>
                      <a14:backgroundMark x1="38772" y1="68352" x2="34357" y2="68571"/>
                      <a14:backgroundMark x1="23129" y1="49231" x2="17274" y2="54945"/>
                      <a14:backgroundMark x1="17274" y1="54945" x2="17179" y2="60659"/>
                      <a14:backgroundMark x1="41459" y1="79121" x2="41459" y2="79121"/>
                      <a14:backgroundMark x1="40595" y1="79560" x2="41267" y2="780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916" y="13327786"/>
          <a:ext cx="1118274" cy="621894"/>
        </a:xfrm>
        <a:prstGeom prst="rect">
          <a:avLst/>
        </a:prstGeom>
      </xdr:spPr>
    </xdr:pic>
    <xdr:clientData/>
  </xdr:twoCellAnchor>
  <xdr:twoCellAnchor editAs="oneCell">
    <xdr:from>
      <xdr:col>0</xdr:col>
      <xdr:colOff>1501883</xdr:colOff>
      <xdr:row>18</xdr:row>
      <xdr:rowOff>201347</xdr:rowOff>
    </xdr:from>
    <xdr:to>
      <xdr:col>1</xdr:col>
      <xdr:colOff>753450</xdr:colOff>
      <xdr:row>20</xdr:row>
      <xdr:rowOff>20320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90A42E-2899-1F46-892B-9989DA8D5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63436" y1="51648" x2="63436" y2="51648"/>
                      <a14:backgroundMark x1="46257" y1="44615" x2="46257" y2="44615"/>
                      <a14:backgroundMark x1="46161" y1="44615" x2="46161" y2="44615"/>
                      <a14:backgroundMark x1="49424" y1="39780" x2="44818" y2="47473"/>
                      <a14:backgroundMark x1="55854" y1="78901" x2="53071" y2="82198"/>
                      <a14:backgroundMark x1="68426" y1="72308" x2="72361" y2="71209"/>
                      <a14:backgroundMark x1="31382" y1="55385" x2="25528" y2="61978"/>
                      <a14:backgroundMark x1="25528" y1="61978" x2="29559" y2="51209"/>
                      <a14:backgroundMark x1="29559" y1="51209" x2="33301" y2="50989"/>
                      <a14:backgroundMark x1="54511" y1="57363" x2="62668" y2="53187"/>
                      <a14:backgroundMark x1="62668" y1="53187" x2="56622" y2="58462"/>
                      <a14:backgroundMark x1="56622" y1="58462" x2="53455" y2="45495"/>
                      <a14:backgroundMark x1="53455" y1="45495" x2="63340" y2="40659"/>
                      <a14:backgroundMark x1="63340" y1="40659" x2="66315" y2="45934"/>
                      <a14:backgroundMark x1="38772" y1="68352" x2="34357" y2="68571"/>
                      <a14:backgroundMark x1="23129" y1="49231" x2="17274" y2="54945"/>
                      <a14:backgroundMark x1="17274" y1="54945" x2="17179" y2="60659"/>
                      <a14:backgroundMark x1="41459" y1="79121" x2="41459" y2="79121"/>
                      <a14:backgroundMark x1="40595" y1="79560" x2="41267" y2="780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1883" y="4590467"/>
          <a:ext cx="1334367" cy="67241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1433637</xdr:colOff>
      <xdr:row>24</xdr:row>
      <xdr:rowOff>12700</xdr:rowOff>
    </xdr:from>
    <xdr:to>
      <xdr:col>1</xdr:col>
      <xdr:colOff>330200</xdr:colOff>
      <xdr:row>24</xdr:row>
      <xdr:rowOff>502095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EF53D5-FDAD-294C-A60B-B795DA5A4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63436" y1="51648" x2="63436" y2="51648"/>
                      <a14:backgroundMark x1="46257" y1="44615" x2="46257" y2="44615"/>
                      <a14:backgroundMark x1="46161" y1="44615" x2="46161" y2="44615"/>
                      <a14:backgroundMark x1="49424" y1="39780" x2="44818" y2="47473"/>
                      <a14:backgroundMark x1="55854" y1="78901" x2="53071" y2="82198"/>
                      <a14:backgroundMark x1="68426" y1="72308" x2="72361" y2="71209"/>
                      <a14:backgroundMark x1="31382" y1="55385" x2="25528" y2="61978"/>
                      <a14:backgroundMark x1="25528" y1="61978" x2="29559" y2="51209"/>
                      <a14:backgroundMark x1="29559" y1="51209" x2="33301" y2="50989"/>
                      <a14:backgroundMark x1="54511" y1="57363" x2="62668" y2="53187"/>
                      <a14:backgroundMark x1="62668" y1="53187" x2="56622" y2="58462"/>
                      <a14:backgroundMark x1="56622" y1="58462" x2="53455" y2="45495"/>
                      <a14:backgroundMark x1="53455" y1="45495" x2="63340" y2="40659"/>
                      <a14:backgroundMark x1="63340" y1="40659" x2="66315" y2="45934"/>
                      <a14:backgroundMark x1="38772" y1="68352" x2="34357" y2="68571"/>
                      <a14:backgroundMark x1="23129" y1="49231" x2="17274" y2="54945"/>
                      <a14:backgroundMark x1="17274" y1="54945" x2="17179" y2="60659"/>
                      <a14:backgroundMark x1="41459" y1="79121" x2="41459" y2="79121"/>
                      <a14:backgroundMark x1="40595" y1="79560" x2="41267" y2="780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3637" y="4876800"/>
          <a:ext cx="979363" cy="48939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1573337</xdr:colOff>
      <xdr:row>37</xdr:row>
      <xdr:rowOff>161821</xdr:rowOff>
    </xdr:from>
    <xdr:to>
      <xdr:col>1</xdr:col>
      <xdr:colOff>254000</xdr:colOff>
      <xdr:row>39</xdr:row>
      <xdr:rowOff>70295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7D5A82-8C78-0146-BEEA-861A0A59A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63436" y1="51648" x2="63436" y2="51648"/>
                      <a14:backgroundMark x1="46257" y1="44615" x2="46257" y2="44615"/>
                      <a14:backgroundMark x1="46161" y1="44615" x2="46161" y2="44615"/>
                      <a14:backgroundMark x1="49424" y1="39780" x2="44818" y2="47473"/>
                      <a14:backgroundMark x1="55854" y1="78901" x2="53071" y2="82198"/>
                      <a14:backgroundMark x1="68426" y1="72308" x2="72361" y2="71209"/>
                      <a14:backgroundMark x1="31382" y1="55385" x2="25528" y2="61978"/>
                      <a14:backgroundMark x1="25528" y1="61978" x2="29559" y2="51209"/>
                      <a14:backgroundMark x1="29559" y1="51209" x2="33301" y2="50989"/>
                      <a14:backgroundMark x1="54511" y1="57363" x2="62668" y2="53187"/>
                      <a14:backgroundMark x1="62668" y1="53187" x2="56622" y2="58462"/>
                      <a14:backgroundMark x1="56622" y1="58462" x2="53455" y2="45495"/>
                      <a14:backgroundMark x1="53455" y1="45495" x2="63340" y2="40659"/>
                      <a14:backgroundMark x1="63340" y1="40659" x2="66315" y2="45934"/>
                      <a14:backgroundMark x1="38772" y1="68352" x2="34357" y2="68571"/>
                      <a14:backgroundMark x1="23129" y1="49231" x2="17274" y2="54945"/>
                      <a14:backgroundMark x1="17274" y1="54945" x2="17179" y2="60659"/>
                      <a14:backgroundMark x1="41459" y1="79121" x2="41459" y2="79121"/>
                      <a14:backgroundMark x1="40595" y1="79560" x2="41267" y2="780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3337" y="6930921"/>
          <a:ext cx="941263" cy="77207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1560637</xdr:colOff>
      <xdr:row>15</xdr:row>
      <xdr:rowOff>152399</xdr:rowOff>
    </xdr:from>
    <xdr:to>
      <xdr:col>1</xdr:col>
      <xdr:colOff>177800</xdr:colOff>
      <xdr:row>17</xdr:row>
      <xdr:rowOff>19494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7B86EA-F589-0A4A-9AF8-ABA35ED47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63436" y1="51648" x2="63436" y2="51648"/>
                      <a14:backgroundMark x1="46257" y1="44615" x2="46257" y2="44615"/>
                      <a14:backgroundMark x1="46161" y1="44615" x2="46161" y2="44615"/>
                      <a14:backgroundMark x1="49424" y1="39780" x2="44818" y2="47473"/>
                      <a14:backgroundMark x1="55854" y1="78901" x2="53071" y2="82198"/>
                      <a14:backgroundMark x1="68426" y1="72308" x2="72361" y2="71209"/>
                      <a14:backgroundMark x1="31382" y1="55385" x2="25528" y2="61978"/>
                      <a14:backgroundMark x1="25528" y1="61978" x2="29559" y2="51209"/>
                      <a14:backgroundMark x1="29559" y1="51209" x2="33301" y2="50989"/>
                      <a14:backgroundMark x1="54511" y1="57363" x2="62668" y2="53187"/>
                      <a14:backgroundMark x1="62668" y1="53187" x2="56622" y2="58462"/>
                      <a14:backgroundMark x1="56622" y1="58462" x2="53455" y2="45495"/>
                      <a14:backgroundMark x1="53455" y1="45495" x2="63340" y2="40659"/>
                      <a14:backgroundMark x1="63340" y1="40659" x2="66315" y2="45934"/>
                      <a14:backgroundMark x1="38772" y1="68352" x2="34357" y2="68571"/>
                      <a14:backgroundMark x1="23129" y1="49231" x2="17274" y2="54945"/>
                      <a14:backgroundMark x1="17274" y1="54945" x2="17179" y2="60659"/>
                      <a14:backgroundMark x1="41459" y1="79121" x2="41459" y2="79121"/>
                      <a14:backgroundMark x1="40595" y1="79560" x2="41267" y2="780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0637" y="3301999"/>
          <a:ext cx="1182563" cy="83229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1408237</xdr:colOff>
      <xdr:row>13</xdr:row>
      <xdr:rowOff>126999</xdr:rowOff>
    </xdr:from>
    <xdr:to>
      <xdr:col>1</xdr:col>
      <xdr:colOff>267138</xdr:colOff>
      <xdr:row>15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AFF5A9-2ED5-3044-9CB2-215CE1555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63436" y1="51648" x2="63436" y2="51648"/>
                      <a14:backgroundMark x1="46257" y1="44615" x2="46257" y2="44615"/>
                      <a14:backgroundMark x1="46161" y1="44615" x2="46161" y2="44615"/>
                      <a14:backgroundMark x1="49424" y1="39780" x2="44818" y2="47473"/>
                      <a14:backgroundMark x1="55854" y1="78901" x2="53071" y2="82198"/>
                      <a14:backgroundMark x1="68426" y1="72308" x2="72361" y2="71209"/>
                      <a14:backgroundMark x1="31382" y1="55385" x2="25528" y2="61978"/>
                      <a14:backgroundMark x1="25528" y1="61978" x2="29559" y2="51209"/>
                      <a14:backgroundMark x1="29559" y1="51209" x2="33301" y2="50989"/>
                      <a14:backgroundMark x1="54511" y1="57363" x2="62668" y2="53187"/>
                      <a14:backgroundMark x1="62668" y1="53187" x2="56622" y2="58462"/>
                      <a14:backgroundMark x1="56622" y1="58462" x2="53455" y2="45495"/>
                      <a14:backgroundMark x1="53455" y1="45495" x2="63340" y2="40659"/>
                      <a14:backgroundMark x1="63340" y1="40659" x2="66315" y2="45934"/>
                      <a14:backgroundMark x1="38772" y1="68352" x2="34357" y2="68571"/>
                      <a14:backgroundMark x1="23129" y1="49231" x2="17274" y2="54945"/>
                      <a14:backgroundMark x1="17274" y1="54945" x2="17179" y2="60659"/>
                      <a14:backgroundMark x1="41459" y1="79121" x2="41459" y2="79121"/>
                      <a14:backgroundMark x1="40595" y1="79560" x2="41267" y2="780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8237" y="9067799"/>
          <a:ext cx="1424301" cy="81280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1255837</xdr:colOff>
      <xdr:row>45</xdr:row>
      <xdr:rowOff>228599</xdr:rowOff>
    </xdr:from>
    <xdr:to>
      <xdr:col>1</xdr:col>
      <xdr:colOff>805</xdr:colOff>
      <xdr:row>48</xdr:row>
      <xdr:rowOff>34734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A93D90-0D0B-ED44-A068-371DB8F00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63436" y1="51648" x2="63436" y2="51648"/>
                      <a14:backgroundMark x1="46257" y1="44615" x2="46257" y2="44615"/>
                      <a14:backgroundMark x1="46161" y1="44615" x2="46161" y2="44615"/>
                      <a14:backgroundMark x1="49424" y1="39780" x2="44818" y2="47473"/>
                      <a14:backgroundMark x1="55854" y1="78901" x2="53071" y2="82198"/>
                      <a14:backgroundMark x1="68426" y1="72308" x2="72361" y2="71209"/>
                      <a14:backgroundMark x1="31382" y1="55385" x2="25528" y2="61978"/>
                      <a14:backgroundMark x1="25528" y1="61978" x2="29559" y2="51209"/>
                      <a14:backgroundMark x1="29559" y1="51209" x2="33301" y2="50989"/>
                      <a14:backgroundMark x1="54511" y1="57363" x2="62668" y2="53187"/>
                      <a14:backgroundMark x1="62668" y1="53187" x2="56622" y2="58462"/>
                      <a14:backgroundMark x1="56622" y1="58462" x2="53455" y2="45495"/>
                      <a14:backgroundMark x1="53455" y1="45495" x2="63340" y2="40659"/>
                      <a14:backgroundMark x1="63340" y1="40659" x2="66315" y2="45934"/>
                      <a14:backgroundMark x1="38772" y1="68352" x2="34357" y2="68571"/>
                      <a14:backgroundMark x1="23129" y1="49231" x2="17274" y2="54945"/>
                      <a14:backgroundMark x1="17274" y1="54945" x2="17179" y2="60659"/>
                      <a14:backgroundMark x1="41459" y1="79121" x2="41459" y2="79121"/>
                      <a14:backgroundMark x1="40595" y1="79560" x2="41267" y2="780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5837" y="11074399"/>
          <a:ext cx="1182563" cy="974535"/>
        </a:xfrm>
        <a:prstGeom prst="rect">
          <a:avLst/>
        </a:prstGeom>
      </xdr:spPr>
    </xdr:pic>
    <xdr:clientData/>
  </xdr:twoCellAnchor>
  <xdr:twoCellAnchor editAs="oneCell">
    <xdr:from>
      <xdr:col>0</xdr:col>
      <xdr:colOff>1426016</xdr:colOff>
      <xdr:row>66</xdr:row>
      <xdr:rowOff>180746</xdr:rowOff>
    </xdr:from>
    <xdr:to>
      <xdr:col>0</xdr:col>
      <xdr:colOff>2246596</xdr:colOff>
      <xdr:row>68</xdr:row>
      <xdr:rowOff>12701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CB0A73-BCCF-074A-8816-C1CE57FD6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63436" y1="51648" x2="63436" y2="51648"/>
                      <a14:backgroundMark x1="46257" y1="44615" x2="46257" y2="44615"/>
                      <a14:backgroundMark x1="46161" y1="44615" x2="46161" y2="44615"/>
                      <a14:backgroundMark x1="49424" y1="39780" x2="44818" y2="47473"/>
                      <a14:backgroundMark x1="55854" y1="78901" x2="53071" y2="82198"/>
                      <a14:backgroundMark x1="68426" y1="72308" x2="72361" y2="71209"/>
                      <a14:backgroundMark x1="31382" y1="55385" x2="25528" y2="61978"/>
                      <a14:backgroundMark x1="25528" y1="61978" x2="29559" y2="51209"/>
                      <a14:backgroundMark x1="29559" y1="51209" x2="33301" y2="50989"/>
                      <a14:backgroundMark x1="54511" y1="57363" x2="62668" y2="53187"/>
                      <a14:backgroundMark x1="62668" y1="53187" x2="56622" y2="58462"/>
                      <a14:backgroundMark x1="56622" y1="58462" x2="53455" y2="45495"/>
                      <a14:backgroundMark x1="53455" y1="45495" x2="63340" y2="40659"/>
                      <a14:backgroundMark x1="63340" y1="40659" x2="66315" y2="45934"/>
                      <a14:backgroundMark x1="38772" y1="68352" x2="34357" y2="68571"/>
                      <a14:backgroundMark x1="23129" y1="49231" x2="17274" y2="54945"/>
                      <a14:backgroundMark x1="17274" y1="54945" x2="17179" y2="60659"/>
                      <a14:backgroundMark x1="41459" y1="79121" x2="41459" y2="79121"/>
                      <a14:backgroundMark x1="40595" y1="79560" x2="41267" y2="780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6016" y="7079386"/>
          <a:ext cx="1115855" cy="65491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1370137</xdr:colOff>
      <xdr:row>54</xdr:row>
      <xdr:rowOff>205983</xdr:rowOff>
    </xdr:from>
    <xdr:to>
      <xdr:col>1</xdr:col>
      <xdr:colOff>203200</xdr:colOff>
      <xdr:row>55</xdr:row>
      <xdr:rowOff>629094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35A845-9A4E-F048-A975-B71E58ED5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63436" y1="51648" x2="63436" y2="51648"/>
                      <a14:backgroundMark x1="46257" y1="44615" x2="46257" y2="44615"/>
                      <a14:backgroundMark x1="46161" y1="44615" x2="46161" y2="44615"/>
                      <a14:backgroundMark x1="49424" y1="39780" x2="44818" y2="47473"/>
                      <a14:backgroundMark x1="55854" y1="78901" x2="53071" y2="82198"/>
                      <a14:backgroundMark x1="68426" y1="72308" x2="72361" y2="71209"/>
                      <a14:backgroundMark x1="31382" y1="55385" x2="25528" y2="61978"/>
                      <a14:backgroundMark x1="25528" y1="61978" x2="29559" y2="51209"/>
                      <a14:backgroundMark x1="29559" y1="51209" x2="33301" y2="50989"/>
                      <a14:backgroundMark x1="54511" y1="57363" x2="62668" y2="53187"/>
                      <a14:backgroundMark x1="62668" y1="53187" x2="56622" y2="58462"/>
                      <a14:backgroundMark x1="56622" y1="58462" x2="53455" y2="45495"/>
                      <a14:backgroundMark x1="53455" y1="45495" x2="63340" y2="40659"/>
                      <a14:backgroundMark x1="63340" y1="40659" x2="66315" y2="45934"/>
                      <a14:backgroundMark x1="38772" y1="68352" x2="34357" y2="68571"/>
                      <a14:backgroundMark x1="23129" y1="49231" x2="17274" y2="54945"/>
                      <a14:backgroundMark x1="17274" y1="54945" x2="17179" y2="60659"/>
                      <a14:backgroundMark x1="41459" y1="79121" x2="41459" y2="79121"/>
                      <a14:backgroundMark x1="40595" y1="79560" x2="41267" y2="780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0137" y="9388083"/>
          <a:ext cx="1334963" cy="689811"/>
        </a:xfrm>
        <a:prstGeom prst="rect">
          <a:avLst/>
        </a:prstGeom>
      </xdr:spPr>
    </xdr:pic>
    <xdr:clientData/>
  </xdr:twoCellAnchor>
  <xdr:twoCellAnchor editAs="oneCell">
    <xdr:from>
      <xdr:col>0</xdr:col>
      <xdr:colOff>1426016</xdr:colOff>
      <xdr:row>72</xdr:row>
      <xdr:rowOff>180746</xdr:rowOff>
    </xdr:from>
    <xdr:to>
      <xdr:col>1</xdr:col>
      <xdr:colOff>39971</xdr:colOff>
      <xdr:row>76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5D0B6B-DF5D-984F-A7DD-851B67F6A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63436" y1="51648" x2="63436" y2="51648"/>
                      <a14:backgroundMark x1="46257" y1="44615" x2="46257" y2="44615"/>
                      <a14:backgroundMark x1="46161" y1="44615" x2="46161" y2="44615"/>
                      <a14:backgroundMark x1="49424" y1="39780" x2="44818" y2="47473"/>
                      <a14:backgroundMark x1="55854" y1="78901" x2="53071" y2="82198"/>
                      <a14:backgroundMark x1="68426" y1="72308" x2="72361" y2="71209"/>
                      <a14:backgroundMark x1="31382" y1="55385" x2="25528" y2="61978"/>
                      <a14:backgroundMark x1="25528" y1="61978" x2="29559" y2="51209"/>
                      <a14:backgroundMark x1="29559" y1="51209" x2="33301" y2="50989"/>
                      <a14:backgroundMark x1="54511" y1="57363" x2="62668" y2="53187"/>
                      <a14:backgroundMark x1="62668" y1="53187" x2="56622" y2="58462"/>
                      <a14:backgroundMark x1="56622" y1="58462" x2="53455" y2="45495"/>
                      <a14:backgroundMark x1="53455" y1="45495" x2="63340" y2="40659"/>
                      <a14:backgroundMark x1="63340" y1="40659" x2="66315" y2="45934"/>
                      <a14:backgroundMark x1="38772" y1="68352" x2="34357" y2="68571"/>
                      <a14:backgroundMark x1="23129" y1="49231" x2="17274" y2="54945"/>
                      <a14:backgroundMark x1="17274" y1="54945" x2="17179" y2="60659"/>
                      <a14:backgroundMark x1="41459" y1="79121" x2="41459" y2="79121"/>
                      <a14:backgroundMark x1="40595" y1="79560" x2="41267" y2="780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6016" y="6937146"/>
          <a:ext cx="1115855" cy="657455"/>
        </a:xfrm>
        <a:prstGeom prst="rect">
          <a:avLst/>
        </a:prstGeom>
      </xdr:spPr>
    </xdr:pic>
    <xdr:clientData/>
  </xdr:twoCellAnchor>
  <xdr:oneCellAnchor>
    <xdr:from>
      <xdr:col>0</xdr:col>
      <xdr:colOff>1370137</xdr:colOff>
      <xdr:row>93</xdr:row>
      <xdr:rowOff>205983</xdr:rowOff>
    </xdr:from>
    <xdr:ext cx="1334963" cy="689811"/>
    <xdr:pic>
      <xdr:nvPicPr>
        <xdr:cNvPr id="4" name="Picture 3">
          <a:extLst>
            <a:ext uri="{FF2B5EF4-FFF2-40B4-BE49-F238E27FC236}">
              <a16:creationId xmlns:a16="http://schemas.microsoft.com/office/drawing/2014/main" id="{4CBF1F13-7807-A54C-B888-8DFF2C210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backgroundMark x1="63436" y1="51648" x2="63436" y2="51648"/>
                      <a14:backgroundMark x1="46257" y1="44615" x2="46257" y2="44615"/>
                      <a14:backgroundMark x1="46161" y1="44615" x2="46161" y2="44615"/>
                      <a14:backgroundMark x1="49424" y1="39780" x2="44818" y2="47473"/>
                      <a14:backgroundMark x1="55854" y1="78901" x2="53071" y2="82198"/>
                      <a14:backgroundMark x1="68426" y1="72308" x2="72361" y2="71209"/>
                      <a14:backgroundMark x1="31382" y1="55385" x2="25528" y2="61978"/>
                      <a14:backgroundMark x1="25528" y1="61978" x2="29559" y2="51209"/>
                      <a14:backgroundMark x1="29559" y1="51209" x2="33301" y2="50989"/>
                      <a14:backgroundMark x1="54511" y1="57363" x2="62668" y2="53187"/>
                      <a14:backgroundMark x1="62668" y1="53187" x2="56622" y2="58462"/>
                      <a14:backgroundMark x1="56622" y1="58462" x2="53455" y2="45495"/>
                      <a14:backgroundMark x1="53455" y1="45495" x2="63340" y2="40659"/>
                      <a14:backgroundMark x1="63340" y1="40659" x2="66315" y2="45934"/>
                      <a14:backgroundMark x1="38772" y1="68352" x2="34357" y2="68571"/>
                      <a14:backgroundMark x1="23129" y1="49231" x2="17274" y2="54945"/>
                      <a14:backgroundMark x1="17274" y1="54945" x2="17179" y2="60659"/>
                      <a14:backgroundMark x1="41459" y1="79121" x2="41459" y2="79121"/>
                      <a14:backgroundMark x1="40595" y1="79560" x2="41267" y2="7802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0137" y="13248883"/>
          <a:ext cx="1334963" cy="689811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397DC9F-6130-6447-89CA-34A74EA432DF}" name="Table1356" displayName="Table1356" ref="A3:J62" totalsRowShown="0" headerRowDxfId="390" dataDxfId="389" tableBorderDxfId="388">
  <autoFilter ref="A3:J62" xr:uid="{1397DC9F-6130-6447-89CA-34A74EA432DF}"/>
  <sortState xmlns:xlrd2="http://schemas.microsoft.com/office/spreadsheetml/2017/richdata2" ref="A4:J62">
    <sortCondition ref="A3:A62"/>
  </sortState>
  <tableColumns count="10">
    <tableColumn id="1" xr3:uid="{9239966D-8A8E-FE4B-8A19-00056CED55FE}" name="Date" dataDxfId="387"/>
    <tableColumn id="2" xr3:uid="{47D3D750-25AA-B149-BC74-5FF22BD680A2}" name="Driver" dataDxfId="386"/>
    <tableColumn id="3" xr3:uid="{E88E5BA9-16B5-444F-A885-E7150C649387}" name="Client" dataDxfId="385"/>
    <tableColumn id="4" xr3:uid="{C4C84227-6658-9646-A6EC-02B5FC26FD8F}" name="Destination " dataDxfId="384"/>
    <tableColumn id="5" xr3:uid="{487F4F6D-66D3-AC49-95DA-A21328A91CA5}" name="Trips" dataDxfId="383"/>
    <tableColumn id="6" xr3:uid="{DE374542-D2EF-264A-BD1E-087E50C9688F}" name="Rate /Trips" dataDxfId="382"/>
    <tableColumn id="7" xr3:uid="{6391B029-B131-B848-A594-041CDE260EAF}" name="Total Value" dataDxfId="381">
      <calculatedColumnFormula>Table1356[[#This Row],[Rate /Trips]]*Table1356[[#This Row],[Trips]]</calculatedColumnFormula>
    </tableColumn>
    <tableColumn id="8" xr3:uid="{C1A9DD8D-9889-3841-A092-20488BA1348C}" name="Received" dataDxfId="380"/>
    <tableColumn id="9" xr3:uid="{08D63CF9-47CC-2A4D-B481-79B2DFF03A3B}" name="Balance" dataDxfId="379">
      <calculatedColumnFormula>Table1356[[#This Row],[Total Value]]-Table1356[[#This Row],[Received]]</calculatedColumnFormula>
    </tableColumn>
    <tableColumn id="10" xr3:uid="{81F0CB59-78E4-754C-A238-D8A888E4ACD9}" name="Paid / Urgent / Pending" dataDxfId="37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422B92-AF06-9B44-9209-3444CF73C399}" name="Table135" displayName="Table135" ref="A72:I109" totalsRowShown="0" headerRowDxfId="377" dataDxfId="376" tableBorderDxfId="375">
  <autoFilter ref="A72:I109" xr:uid="{64422B92-AF06-9B44-9209-3444CF73C399}"/>
  <tableColumns count="9">
    <tableColumn id="1" xr3:uid="{85DEB4EE-C055-9C4F-A5B3-ECD0612BFDE6}" name="Date" dataDxfId="374"/>
    <tableColumn id="3" xr3:uid="{FCA14ECE-6230-FE40-8ADA-AED7D2879952}" name="Client" dataDxfId="373"/>
    <tableColumn id="4" xr3:uid="{E452D491-7C15-D948-85E0-681010EE1DA2}" name="Destination " dataDxfId="372"/>
    <tableColumn id="5" xr3:uid="{7A3D99CD-63E2-6444-9129-C4F9C172842C}" name="Trips" dataDxfId="371"/>
    <tableColumn id="6" xr3:uid="{3F30CCF3-C079-8349-9B93-A949EEB347F4}" name="Rate /Trips" dataDxfId="370"/>
    <tableColumn id="7" xr3:uid="{A4F8762A-218A-6B45-8A52-AC54152681D5}" name="Total Value" dataDxfId="369">
      <calculatedColumnFormula>Table135[[#This Row],[Rate /Trips]]*Table135[[#This Row],[Trips]]</calculatedColumnFormula>
    </tableColumn>
    <tableColumn id="8" xr3:uid="{2E8D3488-5791-6F43-A95D-D0F2E7B88C2F}" name="Received" dataDxfId="368"/>
    <tableColumn id="9" xr3:uid="{1B7383F2-DAB2-CB43-A0D0-A89AD54D72AB}" name="Balance" dataDxfId="367">
      <calculatedColumnFormula>Table135[[#This Row],[Total Value]]-Table135[[#This Row],[Received]]</calculatedColumnFormula>
    </tableColumn>
    <tableColumn id="10" xr3:uid="{BC990208-D18F-EE47-AC43-029FEEF5CC73}" name="Paid / Urgent / Pending" dataDxfId="366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A53C519-9B4D-3540-AC77-C6A830629F69}" name="Table135629" displayName="Table135629" ref="A122:J143" totalsRowShown="0" headerRowDxfId="365" dataDxfId="364" tableBorderDxfId="363">
  <autoFilter ref="A122:J143" xr:uid="{AA53C519-9B4D-3540-AC77-C6A830629F69}"/>
  <sortState xmlns:xlrd2="http://schemas.microsoft.com/office/spreadsheetml/2017/richdata2" ref="A123:J143">
    <sortCondition ref="C122:C143"/>
  </sortState>
  <tableColumns count="10">
    <tableColumn id="1" xr3:uid="{2DF2294D-1B2D-FC4B-8E54-AEE0C0BC2ABC}" name="Date" dataDxfId="362"/>
    <tableColumn id="2" xr3:uid="{40BBADDB-A3B9-DC4C-B0AB-FF51BC55D580}" name="Driver" dataDxfId="361"/>
    <tableColumn id="3" xr3:uid="{8B39081B-583F-2946-8551-28660F26B250}" name="Client" dataDxfId="360"/>
    <tableColumn id="4" xr3:uid="{CC0252F6-825A-0E48-8BE5-1F7A34C3F264}" name="Destination " dataDxfId="359"/>
    <tableColumn id="5" xr3:uid="{DC86862F-A434-A54B-861F-D39B31AC14DE}" name="Trips" dataDxfId="358"/>
    <tableColumn id="6" xr3:uid="{E10A4995-A046-7D48-8329-5F2976BE10A9}" name="Rate /Trips" dataDxfId="357"/>
    <tableColumn id="7" xr3:uid="{0A278304-8297-CB42-83C4-E05CB04D7FF4}" name="Total Value" dataDxfId="356">
      <calculatedColumnFormula>Table135629[[#This Row],[Rate /Trips]]*Table135629[[#This Row],[Trips]]</calculatedColumnFormula>
    </tableColumn>
    <tableColumn id="8" xr3:uid="{4385F7A3-6A98-2F43-9222-934335F066D1}" name="Received" dataDxfId="355"/>
    <tableColumn id="9" xr3:uid="{284EFBC3-9707-5340-8AAB-40227A2F2A61}" name="Balance" dataDxfId="354">
      <calculatedColumnFormula>Table135629[[#This Row],[Total Value]]-Table135629[[#This Row],[Received]]</calculatedColumnFormula>
    </tableColumn>
    <tableColumn id="10" xr3:uid="{FE8FD7C0-08BE-D947-B600-E775412AC3AA}" name="Paid / Urgent / Pending" dataDxfId="353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7B74C49-BEAB-8A46-AFBD-E8015096B3BC}" name="Table13567" displayName="Table13567" ref="A3:J22" totalsRowShown="0" headerRowDxfId="352" dataDxfId="351" tableBorderDxfId="350">
  <autoFilter ref="A3:J22" xr:uid="{07B74C49-BEAB-8A46-AFBD-E8015096B3BC}"/>
  <sortState xmlns:xlrd2="http://schemas.microsoft.com/office/spreadsheetml/2017/richdata2" ref="A4:J22">
    <sortCondition ref="A3:A22"/>
  </sortState>
  <tableColumns count="10">
    <tableColumn id="1" xr3:uid="{A0D407F0-309A-984C-8C91-78D8CF2F9DC5}" name="Date" dataDxfId="349"/>
    <tableColumn id="2" xr3:uid="{B72E154D-9DB6-7946-A7DE-674F3EACF2A4}" name="Driver" dataDxfId="348"/>
    <tableColumn id="3" xr3:uid="{B8D0C6C2-3E28-C64E-9DC3-5A060D09B6DC}" name="Client" dataDxfId="347"/>
    <tableColumn id="4" xr3:uid="{DF0AA904-FEF6-4343-8239-4B2CEE241C66}" name="Destination " dataDxfId="346"/>
    <tableColumn id="5" xr3:uid="{5DE2C9C3-BD12-C94B-A6FC-0AAFB795D4BF}" name="Trips" dataDxfId="345"/>
    <tableColumn id="6" xr3:uid="{9359161D-CCD5-A74D-A5F1-C0936805DB4C}" name="Rate /Trips" dataDxfId="344"/>
    <tableColumn id="7" xr3:uid="{B6DFA40C-65A4-A04A-BC77-530A71C5416A}" name="Total Value" dataDxfId="343">
      <calculatedColumnFormula>Table13567[[#This Row],[Rate /Trips]]*Table13567[[#This Row],[Trips]]</calculatedColumnFormula>
    </tableColumn>
    <tableColumn id="8" xr3:uid="{C8D002DE-2900-1F41-9065-39698743E1CD}" name="Received" dataDxfId="342"/>
    <tableColumn id="9" xr3:uid="{0A596DB1-D326-D744-8D01-BA0C0CF7DE0B}" name="Balance" dataDxfId="341">
      <calculatedColumnFormula>Table13567[[#This Row],[Total Value]]-Table13567[[#This Row],[Received]]</calculatedColumnFormula>
    </tableColumn>
    <tableColumn id="10" xr3:uid="{3F898B0C-B121-224E-BA96-7EF8AF738307}" name="Paid / Urgent / Pending" dataDxfId="340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10A517B-A7BD-084B-99F6-6CCECA77CDCD}" name="Table1358" displayName="Table1358" ref="A32:I47" totalsRowShown="0" headerRowDxfId="339" dataDxfId="338" tableBorderDxfId="337">
  <autoFilter ref="A32:I47" xr:uid="{B10A517B-A7BD-084B-99F6-6CCECA77CDCD}"/>
  <tableColumns count="9">
    <tableColumn id="1" xr3:uid="{05E4BD36-4BCA-1C4E-B1A2-C50E7144C396}" name="Date" dataDxfId="336"/>
    <tableColumn id="3" xr3:uid="{90C073A0-3935-0D42-8C89-8F47CEE1169E}" name="Client" dataDxfId="335"/>
    <tableColumn id="4" xr3:uid="{F87FAD35-AE29-5341-80C1-AD1105A3754D}" name="Destination " dataDxfId="334"/>
    <tableColumn id="5" xr3:uid="{AB51F2C4-3E3B-7247-851D-750E9444B399}" name="Trips" dataDxfId="333"/>
    <tableColumn id="6" xr3:uid="{9DCA4191-AC05-F64C-84FA-0EA2E8102582}" name="Rate /Trips" dataDxfId="332"/>
    <tableColumn id="7" xr3:uid="{3F44C5AA-4E72-9B44-8201-E35071225B2F}" name="Total Value" dataDxfId="331">
      <calculatedColumnFormula>Table1358[[#This Row],[Rate /Trips]]*Table1358[[#This Row],[Trips]]</calculatedColumnFormula>
    </tableColumn>
    <tableColumn id="8" xr3:uid="{AB717D66-EB3F-4D4B-841F-213AA1C13C37}" name="Received" dataDxfId="330"/>
    <tableColumn id="9" xr3:uid="{AC73FD18-371D-304D-8246-E35ABF497FAF}" name="Balance" dataDxfId="329">
      <calculatedColumnFormula>Table1358[[#This Row],[Total Value]]-Table1358[[#This Row],[Received]]</calculatedColumnFormula>
    </tableColumn>
    <tableColumn id="10" xr3:uid="{D8DEA644-B5FB-3F43-9D40-3386851E79D1}" name="Paid / Urgent / Pending" dataDxfId="328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017BAEB-223C-5441-BDCF-80205162F556}" name="Table1356728" displayName="Table1356728" ref="A60:J69" totalsRowShown="0" headerRowDxfId="327" dataDxfId="326" tableBorderDxfId="325">
  <autoFilter ref="A60:J69" xr:uid="{7017BAEB-223C-5441-BDCF-80205162F556}"/>
  <sortState xmlns:xlrd2="http://schemas.microsoft.com/office/spreadsheetml/2017/richdata2" ref="A61:J69">
    <sortCondition ref="C60:C69"/>
  </sortState>
  <tableColumns count="10">
    <tableColumn id="1" xr3:uid="{5CF5EFE0-902A-9B4E-BD51-6549ABDC8EEE}" name="Date" dataDxfId="324"/>
    <tableColumn id="2" xr3:uid="{526DFCEA-4B4F-F244-B870-8C1568B6B191}" name="Driver" dataDxfId="323"/>
    <tableColumn id="3" xr3:uid="{D049431F-8CC4-7B41-81EA-71F46B47E9AE}" name="Client" dataDxfId="322"/>
    <tableColumn id="4" xr3:uid="{E5E2BB00-8B53-EF43-8848-38239FEA664B}" name="Destination " dataDxfId="321"/>
    <tableColumn id="5" xr3:uid="{741420B3-F109-AF42-A4AA-F5DD84A7D381}" name="Trips" dataDxfId="320"/>
    <tableColumn id="6" xr3:uid="{EBA13404-581B-6041-AC35-0D843B6A2C5B}" name="Rate /Trips" dataDxfId="319"/>
    <tableColumn id="7" xr3:uid="{D02DD0B0-4FF9-DC49-A585-B6DEFB701103}" name="Total Value" dataDxfId="318">
      <calculatedColumnFormula>Table1356728[[#This Row],[Rate /Trips]]*Table1356728[[#This Row],[Trips]]</calculatedColumnFormula>
    </tableColumn>
    <tableColumn id="8" xr3:uid="{330E6BE4-42CE-1B4D-B3CC-5F2CFBF51AAE}" name="Received" dataDxfId="317"/>
    <tableColumn id="9" xr3:uid="{E996A0A9-D3F1-BF4E-AB63-CB8A5FC61034}" name="Balance" dataDxfId="316">
      <calculatedColumnFormula>Table1356728[[#This Row],[Total Value]]-Table1356728[[#This Row],[Received]]</calculatedColumnFormula>
    </tableColumn>
    <tableColumn id="10" xr3:uid="{992F7A73-EBEC-8F4E-B6A7-47B2028993B6}" name="Paid / Urgent / Pending" dataDxfId="315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9BB94B1-7210-B041-A3AF-216965229744}" name="Table135679" displayName="Table135679" ref="A3:J18" totalsRowShown="0" headerRowDxfId="314" dataDxfId="313" tableBorderDxfId="312">
  <autoFilter ref="A3:J18" xr:uid="{B9BB94B1-7210-B041-A3AF-216965229744}"/>
  <sortState xmlns:xlrd2="http://schemas.microsoft.com/office/spreadsheetml/2017/richdata2" ref="A4:J18">
    <sortCondition ref="A3:A18"/>
  </sortState>
  <tableColumns count="10">
    <tableColumn id="1" xr3:uid="{60F6E631-CA27-A14B-920B-02B0CE41F3B2}" name="Date" dataDxfId="311"/>
    <tableColumn id="2" xr3:uid="{7B706EA2-540C-5D40-A0D1-EAB5A4B73354}" name="Driver" dataDxfId="310"/>
    <tableColumn id="3" xr3:uid="{0D5314E5-B40F-2643-8FE8-B23CEC2B45B1}" name="Client" dataDxfId="309"/>
    <tableColumn id="4" xr3:uid="{778ED382-8B61-3545-845B-BB47EE9CB6DA}" name="Destination " dataDxfId="308"/>
    <tableColumn id="5" xr3:uid="{C189AF16-F2EC-7140-8558-1FAE18DBB6BF}" name="Trips" dataDxfId="307"/>
    <tableColumn id="6" xr3:uid="{F51F4C95-45BF-EC43-896B-28C23C0C606A}" name="Rate /Trips" dataDxfId="306"/>
    <tableColumn id="7" xr3:uid="{5D1C83E0-DD72-E946-810D-D59B3889C58A}" name="Total Value" dataDxfId="305">
      <calculatedColumnFormula>Table135679[[#This Row],[Rate /Trips]]*Table135679[[#This Row],[Trips]]</calculatedColumnFormula>
    </tableColumn>
    <tableColumn id="8" xr3:uid="{EC6B9BA4-4672-BD4A-813D-2541DAB3EAD1}" name="Received" dataDxfId="304"/>
    <tableColumn id="9" xr3:uid="{02A3766F-0108-9946-A58B-EDCD0B910A43}" name="Balance" dataDxfId="303">
      <calculatedColumnFormula>Table135679[[#This Row],[Total Value]]-Table135679[[#This Row],[Received]]</calculatedColumnFormula>
    </tableColumn>
    <tableColumn id="10" xr3:uid="{3D985C53-EDBC-DF4B-B0F7-BDEBDB5DB3D5}" name="Paid / Urgent / Pending" dataDxfId="302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DCC2C63-B322-9249-B080-CAE2BC14A4C0}" name="Table135810" displayName="Table135810" ref="A28:I31" totalsRowShown="0" headerRowDxfId="301" dataDxfId="300" tableBorderDxfId="299">
  <autoFilter ref="A28:I31" xr:uid="{7DCC2C63-B322-9249-B080-CAE2BC14A4C0}"/>
  <tableColumns count="9">
    <tableColumn id="1" xr3:uid="{5BB96C23-C6B6-D046-A677-DCFFCF29B222}" name="Date" dataDxfId="298"/>
    <tableColumn id="3" xr3:uid="{2343E387-BD7E-DA42-B5E7-BDC67A8C5F50}" name="Client" dataDxfId="297"/>
    <tableColumn id="4" xr3:uid="{BC15D171-B531-9947-8F7A-0412FD039FB3}" name="Destination " dataDxfId="296"/>
    <tableColumn id="5" xr3:uid="{7E8600BF-FD7B-F946-A448-4640A8C7758C}" name="Trips" dataDxfId="295"/>
    <tableColumn id="6" xr3:uid="{089640B4-569B-A144-A462-A753B3F48FD9}" name="Rate /Trips" dataDxfId="294"/>
    <tableColumn id="7" xr3:uid="{842ECD98-9F1E-5946-966D-C3B60DC02571}" name="Total Value" dataDxfId="293">
      <calculatedColumnFormula>Table135810[[#This Row],[Rate /Trips]]*Table135810[[#This Row],[Trips]]</calculatedColumnFormula>
    </tableColumn>
    <tableColumn id="8" xr3:uid="{BDB7746E-72C5-4E48-B0AF-4FE54F540772}" name="Received" dataDxfId="292"/>
    <tableColumn id="9" xr3:uid="{10DF0217-78F6-A44B-B832-E1C2C7842255}" name="Balance" dataDxfId="291">
      <calculatedColumnFormula>Table135810[[#This Row],[Total Value]]-Table135810[[#This Row],[Received]]</calculatedColumnFormula>
    </tableColumn>
    <tableColumn id="10" xr3:uid="{6E85628A-B82E-C049-A843-8C43B3F6C6C4}" name="Paid / Urgent / Pending" dataDxfId="290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B5A9D7C-0212-7545-A242-7348400800F1}" name="Table13567911" displayName="Table13567911" ref="A3:J6" totalsRowShown="0" headerRowDxfId="289" dataDxfId="288" tableBorderDxfId="287">
  <autoFilter ref="A3:J6" xr:uid="{8B5A9D7C-0212-7545-A242-7348400800F1}"/>
  <tableColumns count="10">
    <tableColumn id="1" xr3:uid="{CF305FDE-1A2F-A148-A00A-53B19A00E123}" name="Date" dataDxfId="286"/>
    <tableColumn id="2" xr3:uid="{886CFC4B-BD11-D54A-9038-F81949D14EE0}" name="Driver" dataDxfId="285"/>
    <tableColumn id="3" xr3:uid="{05CA70DF-5625-4C42-AF2A-CF2984109C07}" name="Client" dataDxfId="284"/>
    <tableColumn id="4" xr3:uid="{8EAC497B-305F-AB4F-A685-00A966A5D4EC}" name="Destination " dataDxfId="283"/>
    <tableColumn id="5" xr3:uid="{6872F6E5-B2C4-3742-B81E-74EAC472910B}" name="Trips" dataDxfId="282"/>
    <tableColumn id="6" xr3:uid="{3372DDF2-8F63-A148-A92F-5017D19C7F3C}" name="Rate /Trips" dataDxfId="281"/>
    <tableColumn id="7" xr3:uid="{2CF85C0F-79CC-F04B-B11D-E1E71079295E}" name="Total Value" dataDxfId="280">
      <calculatedColumnFormula>Table13567911[[#This Row],[Rate /Trips]]*Table13567911[[#This Row],[Trips]]</calculatedColumnFormula>
    </tableColumn>
    <tableColumn id="8" xr3:uid="{CA51679E-301D-DE4E-88BB-D5E54F1ABEA9}" name="Received" dataDxfId="279"/>
    <tableColumn id="9" xr3:uid="{2D7E7787-780E-AA4F-83AE-235F4477E263}" name="Balance" dataDxfId="278">
      <calculatedColumnFormula>Table13567911[[#This Row],[Total Value]]-Table13567911[[#This Row],[Received]]</calculatedColumnFormula>
    </tableColumn>
    <tableColumn id="10" xr3:uid="{9980CD01-33D5-C64A-8A26-A97DBCCF3A6B}" name="Paid / Urgent / Pending" dataDxfId="277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0AD0628-C748-F64E-9375-5F3EA32CC5DB}" name="Table13581012" displayName="Table13581012" ref="A16:I19" totalsRowShown="0" headerRowDxfId="276" dataDxfId="275" tableBorderDxfId="274">
  <autoFilter ref="A16:I19" xr:uid="{40AD0628-C748-F64E-9375-5F3EA32CC5DB}"/>
  <tableColumns count="9">
    <tableColumn id="1" xr3:uid="{E5F5DDDF-1EB7-8343-9DDE-752EE1EF9E69}" name="Date" dataDxfId="273"/>
    <tableColumn id="3" xr3:uid="{6AA98E08-942B-E84D-B30C-751820DACF47}" name="Client" dataDxfId="272"/>
    <tableColumn id="4" xr3:uid="{4AE8E55E-F298-5D47-96DC-BDDEBD691D64}" name="Destination " dataDxfId="271"/>
    <tableColumn id="5" xr3:uid="{83EAFCA7-4D88-594D-B7B8-7A5BD729CB98}" name="Trips" dataDxfId="270"/>
    <tableColumn id="6" xr3:uid="{35FE1866-3441-1B46-9975-74104855EEEB}" name="Rate /Trips" dataDxfId="269"/>
    <tableColumn id="7" xr3:uid="{9BC621AD-B71A-2C4B-87F6-0822B309D041}" name="Total Value" dataDxfId="268">
      <calculatedColumnFormula>Table13581012[[#This Row],[Rate /Trips]]*Table13581012[[#This Row],[Trips]]</calculatedColumnFormula>
    </tableColumn>
    <tableColumn id="8" xr3:uid="{849BAA4E-3E87-C846-B048-795B36EE2C92}" name="Received" dataDxfId="267"/>
    <tableColumn id="9" xr3:uid="{648816DE-D07F-6C42-89B8-E62CFB324042}" name="Balance" dataDxfId="266">
      <calculatedColumnFormula>Table13581012[[#This Row],[Total Value]]-Table13581012[[#This Row],[Received]]</calculatedColumnFormula>
    </tableColumn>
    <tableColumn id="10" xr3:uid="{84BEB815-9B4D-AC49-AEED-1E5F879210AA}" name="Paid / Urgent / Pending" dataDxfId="265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F71340B-5846-844F-AD06-7800FDD3C66C}" name="Table13567913" displayName="Table13567913" ref="A3:J27" totalsRowShown="0" headerRowDxfId="264" dataDxfId="263" tableBorderDxfId="262">
  <autoFilter ref="A3:J27" xr:uid="{EF71340B-5846-844F-AD06-7800FDD3C66C}"/>
  <sortState xmlns:xlrd2="http://schemas.microsoft.com/office/spreadsheetml/2017/richdata2" ref="A4:J27">
    <sortCondition ref="A3:A27"/>
  </sortState>
  <tableColumns count="10">
    <tableColumn id="1" xr3:uid="{1D8812C6-662A-3142-920A-7140A87312F3}" name="Date" dataDxfId="261"/>
    <tableColumn id="2" xr3:uid="{D9E5BE7E-6EE2-7E4D-B6C9-C15786C88C7D}" name="Driver" dataDxfId="260"/>
    <tableColumn id="3" xr3:uid="{5287BC18-8953-E145-A75B-2940AB8C0F66}" name="Client" dataDxfId="259"/>
    <tableColumn id="4" xr3:uid="{D9DCE3FD-D27B-D146-8EA1-4CCEB608E133}" name="Destination " dataDxfId="258"/>
    <tableColumn id="5" xr3:uid="{90E4F100-A697-C64B-8A09-589544F4AE89}" name="Trips" dataDxfId="257"/>
    <tableColumn id="6" xr3:uid="{5910C2BA-4226-1347-A65A-723E05F7E362}" name="Rate /Trips" dataDxfId="256"/>
    <tableColumn id="7" xr3:uid="{5950B4A9-B7CF-4E4C-95A1-17851C65312C}" name="Total Value" dataDxfId="255">
      <calculatedColumnFormula>Table13567913[[#This Row],[Rate /Trips]]*Table13567913[[#This Row],[Trips]]</calculatedColumnFormula>
    </tableColumn>
    <tableColumn id="8" xr3:uid="{06F9EB01-69C9-B341-B656-A4054DDA933B}" name="Received" dataDxfId="254"/>
    <tableColumn id="9" xr3:uid="{FA2000A1-7283-CD4C-81C7-AC051FD893F1}" name="Balance" dataDxfId="253">
      <calculatedColumnFormula>Table13567913[[#This Row],[Total Value]]-Table13567913[[#This Row],[Received]]</calculatedColumnFormula>
    </tableColumn>
    <tableColumn id="10" xr3:uid="{7FCF0893-352A-EE40-A4E8-A4169A23C41A}" name="Paid / Urgent / Pending" dataDxfId="252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484409A-45FD-7E4B-B353-59E5831F75C0}" name="Table13581014" displayName="Table13581014" ref="A37:I42" totalsRowShown="0" headerRowDxfId="251" dataDxfId="250" tableBorderDxfId="249">
  <autoFilter ref="A37:I42" xr:uid="{9484409A-45FD-7E4B-B353-59E5831F75C0}"/>
  <tableColumns count="9">
    <tableColumn id="1" xr3:uid="{36DDBF81-C12D-8943-9D5E-6C32FD42792B}" name="Date" dataDxfId="248"/>
    <tableColumn id="3" xr3:uid="{8593137A-4928-B14B-8679-DD4648C2AB1C}" name="Client" dataDxfId="247"/>
    <tableColumn id="4" xr3:uid="{DCDA50CA-C841-3B40-A2EC-D4E0764FB891}" name="Destination " dataDxfId="246"/>
    <tableColumn id="5" xr3:uid="{D2D08605-E895-464B-A0DA-E672F4895468}" name="Trips" dataDxfId="245"/>
    <tableColumn id="6" xr3:uid="{9A7FC452-DB1A-2E4D-9FF7-5E1409408727}" name="Rate /Trips" dataDxfId="244"/>
    <tableColumn id="7" xr3:uid="{C90C55A5-886B-3B45-B758-9386A7173E0A}" name="Total Value" dataDxfId="243">
      <calculatedColumnFormula>Table13581014[[#This Row],[Rate /Trips]]*Table13581014[[#This Row],[Trips]]</calculatedColumnFormula>
    </tableColumn>
    <tableColumn id="8" xr3:uid="{5827F98E-6F82-7C49-AC1C-D51E051134CA}" name="Received" dataDxfId="242"/>
    <tableColumn id="9" xr3:uid="{B8181F2A-D1F5-744F-A907-EE6EFF5DD943}" name="Balance" dataDxfId="241">
      <calculatedColumnFormula>Table13581014[[#This Row],[Total Value]]-Table13581014[[#This Row],[Received]]</calculatedColumnFormula>
    </tableColumn>
    <tableColumn id="10" xr3:uid="{087F7D52-3F11-1842-8C16-82271CA8F8ED}" name="Paid / Urgent / Pending" dataDxfId="240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8560068A-CA0D-B646-AD4E-B7A1D2E9A772}" name="Table1356791327" displayName="Table1356791327" ref="A54:J66" totalsRowShown="0" headerRowDxfId="239" dataDxfId="238" tableBorderDxfId="237">
  <autoFilter ref="A54:J66" xr:uid="{8560068A-CA0D-B646-AD4E-B7A1D2E9A772}"/>
  <sortState xmlns:xlrd2="http://schemas.microsoft.com/office/spreadsheetml/2017/richdata2" ref="A55:J66">
    <sortCondition ref="C54:C66"/>
  </sortState>
  <tableColumns count="10">
    <tableColumn id="1" xr3:uid="{CF7A3110-803A-0A41-BFB3-3A2A7173E0D6}" name="Date" dataDxfId="236"/>
    <tableColumn id="2" xr3:uid="{9065C7D9-783F-8047-AE85-D55EA90C93B6}" name="Driver" dataDxfId="235"/>
    <tableColumn id="3" xr3:uid="{00C722CA-1291-C046-A4F5-464BEC3152EC}" name="Client" dataDxfId="234"/>
    <tableColumn id="4" xr3:uid="{FAA86940-BC80-B942-B642-63A01EAAACD0}" name="Destination " dataDxfId="233"/>
    <tableColumn id="5" xr3:uid="{417BE7D8-2F3B-8A49-8F8E-BFF8FBC6CAF4}" name="Trips" dataDxfId="232"/>
    <tableColumn id="6" xr3:uid="{0D73818B-0431-CE4A-9EF5-3D57466F5799}" name="Rate /Trips" dataDxfId="231"/>
    <tableColumn id="7" xr3:uid="{FBC07EDA-2F1A-5A45-AF03-2012810E1909}" name="Total Value" dataDxfId="230">
      <calculatedColumnFormula>Table1356791327[[#This Row],[Rate /Trips]]*Table1356791327[[#This Row],[Trips]]</calculatedColumnFormula>
    </tableColumn>
    <tableColumn id="8" xr3:uid="{38F6F74F-9DA0-4D40-BB89-278B96828180}" name="Received" dataDxfId="229"/>
    <tableColumn id="9" xr3:uid="{A8BC472F-6FF0-3945-8433-A483DEAB36D7}" name="Balance" dataDxfId="228">
      <calculatedColumnFormula>Table1356791327[[#This Row],[Total Value]]-Table1356791327[[#This Row],[Received]]</calculatedColumnFormula>
    </tableColumn>
    <tableColumn id="10" xr3:uid="{17BA048C-95B6-4F40-92B3-35FF098EDA21}" name="Paid / Urgent / Pending" dataDxfId="227"/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2712017-EE9C-1944-9898-E8A3C7A58796}" name="Table1356791315" displayName="Table1356791315" ref="A3:J17" totalsRowShown="0" headerRowDxfId="226" dataDxfId="225" tableBorderDxfId="224">
  <autoFilter ref="A3:J17" xr:uid="{52712017-EE9C-1944-9898-E8A3C7A58796}"/>
  <sortState xmlns:xlrd2="http://schemas.microsoft.com/office/spreadsheetml/2017/richdata2" ref="A4:J17">
    <sortCondition ref="A3:A17"/>
  </sortState>
  <tableColumns count="10">
    <tableColumn id="1" xr3:uid="{2B504461-8DA5-3847-B268-B4C7AA9497E9}" name="Date" dataDxfId="223"/>
    <tableColumn id="2" xr3:uid="{51C4350D-6E8F-524A-962F-2AADA146D863}" name="Driver" dataDxfId="222"/>
    <tableColumn id="3" xr3:uid="{77F58CE8-7A20-1742-957C-CEB193423039}" name="Client" dataDxfId="221"/>
    <tableColumn id="4" xr3:uid="{FF5EDEE4-72CD-424B-8F28-E5823D7B9E3C}" name="Destination " dataDxfId="220"/>
    <tableColumn id="5" xr3:uid="{58315E40-F4DE-1043-8332-59BC0B2553C7}" name="Trips" dataDxfId="219"/>
    <tableColumn id="6" xr3:uid="{4F58E24C-CF71-6D41-A874-6BA267534C2A}" name="Rate /Trips" dataDxfId="218"/>
    <tableColumn id="7" xr3:uid="{4D7E45D5-426B-BA49-91D5-0D8FF2DFF335}" name="Total Value" dataDxfId="217">
      <calculatedColumnFormula>Table1356791315[[#This Row],[Rate /Trips]]*Table1356791315[[#This Row],[Trips]]</calculatedColumnFormula>
    </tableColumn>
    <tableColumn id="8" xr3:uid="{B8C4381D-C6D7-8D48-908E-370C77025A1A}" name="Received" dataDxfId="216"/>
    <tableColumn id="9" xr3:uid="{7204275C-88A0-F449-ABC3-D4B5A6993E82}" name="Balance" dataDxfId="215">
      <calculatedColumnFormula>Table1356791315[[#This Row],[Total Value]]-Table1356791315[[#This Row],[Received]]</calculatedColumnFormula>
    </tableColumn>
    <tableColumn id="10" xr3:uid="{964051D8-F287-DC40-8673-5FBEAAE493D3}" name="Paid / Urgent / Pending" dataDxfId="214"/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91906A6-08DD-754C-9BDF-33F643228CD1}" name="Table1358101416" displayName="Table1358101416" ref="A27:I51" totalsRowShown="0" headerRowDxfId="213" dataDxfId="212" tableBorderDxfId="211">
  <autoFilter ref="A27:I51" xr:uid="{591906A6-08DD-754C-9BDF-33F643228CD1}"/>
  <tableColumns count="9">
    <tableColumn id="1" xr3:uid="{33040904-7BB1-0E4D-9DE1-FDB9E8AD0946}" name="Date" dataDxfId="210"/>
    <tableColumn id="3" xr3:uid="{23F7EFB9-E17B-B845-9FF3-7F8DCDFA896D}" name="Client" dataDxfId="209"/>
    <tableColumn id="4" xr3:uid="{6B684ECB-C86F-164D-9222-AF9B6FFD52A9}" name="Destination " dataDxfId="208"/>
    <tableColumn id="5" xr3:uid="{9B0C321E-A5CD-3C4F-8E27-822C3E9765E6}" name="Trips" dataDxfId="207"/>
    <tableColumn id="6" xr3:uid="{D9D735AE-4AAC-6F4A-9842-51C2AF8D9977}" name="Rate /Trips" dataDxfId="206"/>
    <tableColumn id="7" xr3:uid="{43CF1A8C-89D6-5247-A22B-700CF8C4E193}" name="Total Value" dataDxfId="205">
      <calculatedColumnFormula>Table1358101416[[#This Row],[Rate /Trips]]*Table1358101416[[#This Row],[Trips]]</calculatedColumnFormula>
    </tableColumn>
    <tableColumn id="8" xr3:uid="{2E3ED673-C967-FD43-9679-96D835FE2E8D}" name="Received" dataDxfId="204"/>
    <tableColumn id="9" xr3:uid="{47C0CC36-55C5-1A4F-8016-DC0217397113}" name="Balance" dataDxfId="203">
      <calculatedColumnFormula>Table1358101416[[#This Row],[Total Value]]-Table1358101416[[#This Row],[Received]]</calculatedColumnFormula>
    </tableColumn>
    <tableColumn id="10" xr3:uid="{1315C51B-B7C0-A64D-9DE3-D6A7AF7F27F8}" name="Paid / Urgent / Pending" dataDxfId="202"/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441B95-93FD-3845-9447-C97370789901}" name="Table1" displayName="Table1" ref="A3:J22" totalsRowShown="0" headerRowDxfId="201" dataDxfId="200" tableBorderDxfId="199">
  <autoFilter ref="A3:J22" xr:uid="{A6441B95-93FD-3845-9447-C97370789901}"/>
  <sortState xmlns:xlrd2="http://schemas.microsoft.com/office/spreadsheetml/2017/richdata2" ref="A4:J22">
    <sortCondition ref="A3:A22"/>
  </sortState>
  <tableColumns count="10">
    <tableColumn id="1" xr3:uid="{C9768978-3066-464F-8C7C-2A3B394871EA}" name="Date" dataDxfId="198"/>
    <tableColumn id="2" xr3:uid="{852AD520-E175-5A45-8462-141FA268981A}" name="Driver" dataDxfId="197"/>
    <tableColumn id="3" xr3:uid="{65C39F1D-9881-E240-8426-75319B7F2446}" name="Client" dataDxfId="196"/>
    <tableColumn id="4" xr3:uid="{25EE755E-3B75-7740-9187-947863E3C3B9}" name="Destination " dataDxfId="195"/>
    <tableColumn id="5" xr3:uid="{255C85A5-627B-A448-A20B-60F40C87C837}" name="Trips" dataDxfId="194"/>
    <tableColumn id="6" xr3:uid="{5AC81851-93F7-A345-9D5B-F854A98C88E2}" name="Rate /Trips" dataDxfId="193"/>
    <tableColumn id="7" xr3:uid="{F582B4AD-5112-BC4F-A558-7B42B09479A7}" name="Total Value" dataDxfId="192"/>
    <tableColumn id="8" xr3:uid="{FB06CC07-7C4E-A84C-B1C1-5AAD07BA4128}" name="Received" dataDxfId="191"/>
    <tableColumn id="9" xr3:uid="{7989C532-33BE-E744-A5F9-21AE7610A9F5}" name="Balance" dataDxfId="190"/>
    <tableColumn id="10" xr3:uid="{83C9E5D0-D8C6-6048-BCB6-0FE88838AF7F}" name="Paid / Urgent / Pending" dataDxfId="189"/>
  </tableColumns>
  <tableStyleInfo name="TableStyleLight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652B286-C475-C14A-8117-F141A4F9C0BF}" name="Table126" displayName="Table126" ref="A31:J38" totalsRowShown="0" headerRowDxfId="188" dataDxfId="187" tableBorderDxfId="186">
  <autoFilter ref="A31:J38" xr:uid="{2652B286-C475-C14A-8117-F141A4F9C0BF}"/>
  <sortState xmlns:xlrd2="http://schemas.microsoft.com/office/spreadsheetml/2017/richdata2" ref="A32:J38">
    <sortCondition ref="C31:C38"/>
  </sortState>
  <tableColumns count="10">
    <tableColumn id="1" xr3:uid="{A9C678A2-878C-DE45-A4C5-AE25D00FC770}" name="Date" dataDxfId="185"/>
    <tableColumn id="2" xr3:uid="{0D0ED462-6137-DF44-9675-5E7714E7E924}" name="Driver" dataDxfId="184"/>
    <tableColumn id="3" xr3:uid="{AD2F3F24-549C-0C48-AC44-DBB8A8F3C96D}" name="Client" dataDxfId="183"/>
    <tableColumn id="4" xr3:uid="{81B979F8-A57D-0246-822E-D34EE895BC79}" name="Destination " dataDxfId="182"/>
    <tableColumn id="5" xr3:uid="{94023002-709A-EF4D-A796-F8D49B7C9259}" name="Trips" dataDxfId="181"/>
    <tableColumn id="6" xr3:uid="{B25CBE26-1579-4C49-A796-6A33B46EDC40}" name="Rate /Trips" dataDxfId="180"/>
    <tableColumn id="7" xr3:uid="{1E2062CA-3CF9-3947-82F7-F37FAE255477}" name="Total Value" dataDxfId="179"/>
    <tableColumn id="8" xr3:uid="{4F02A59F-C851-8442-B3F6-E9E6807F9EEF}" name="Received" dataDxfId="178"/>
    <tableColumn id="9" xr3:uid="{897ABBDF-862C-4241-BB0E-B04086E38A70}" name="Balance" dataDxfId="177"/>
    <tableColumn id="10" xr3:uid="{10C9C910-1034-7E49-A4D4-F09BA8CE5E52}" name="Paid / Urgent / Pending" dataDxfId="176"/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9CDC78-3FD8-B044-8C95-0D5A9DD73037}" name="Table13" displayName="Table13" ref="A3:J36" totalsRowShown="0" headerRowDxfId="175" dataDxfId="174" tableBorderDxfId="173">
  <autoFilter ref="A3:J36" xr:uid="{989CDC78-3FD8-B044-8C95-0D5A9DD73037}"/>
  <sortState xmlns:xlrd2="http://schemas.microsoft.com/office/spreadsheetml/2017/richdata2" ref="A4:J36">
    <sortCondition ref="A3:A36"/>
  </sortState>
  <tableColumns count="10">
    <tableColumn id="1" xr3:uid="{48B76A73-0F28-6942-AEE3-E3E8F2D962D3}" name="Date" dataDxfId="172"/>
    <tableColumn id="2" xr3:uid="{15541BF5-A28E-2646-949D-26B5EC83ABE4}" name="Driver" dataDxfId="171"/>
    <tableColumn id="3" xr3:uid="{A4F5A379-163A-444A-A3BA-4C7C3325B102}" name="Client" dataDxfId="170"/>
    <tableColumn id="4" xr3:uid="{A6A7790C-8D28-AD40-9B58-1C4CF9A9886A}" name="Destination " dataDxfId="169"/>
    <tableColumn id="5" xr3:uid="{8E3EC0D8-4D31-7043-A15D-C124B265A983}" name="Trips" dataDxfId="168"/>
    <tableColumn id="6" xr3:uid="{12FA0ACF-DB4A-FD46-A7EE-7A02B30A1098}" name="Rate /Trips" dataDxfId="167"/>
    <tableColumn id="7" xr3:uid="{F7B49877-D2BF-EB4B-AF97-408F2535D405}" name="Total Value" dataDxfId="166">
      <calculatedColumnFormula>Table13[[#This Row],[Rate /Trips]]*Table13[[#This Row],[Trips]]</calculatedColumnFormula>
    </tableColumn>
    <tableColumn id="8" xr3:uid="{8C26510A-4589-CA48-ACA5-10F980C9C6D7}" name="Received" dataDxfId="165"/>
    <tableColumn id="9" xr3:uid="{1FD96439-4A70-F542-9808-05C3D375386D}" name="Balance" dataDxfId="164">
      <calculatedColumnFormula>Table13[[#This Row],[Total Value]]-Table13[[#This Row],[Received]]</calculatedColumnFormula>
    </tableColumn>
    <tableColumn id="10" xr3:uid="{1A19C33B-8E55-B14A-AB14-BDCE653384AB}" name="Paid / Urgent / Pending" dataDxfId="163"/>
  </tableColumns>
  <tableStyleInfo name="TableStyleLight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633B2E-E754-7E4A-AAA5-FFCFAB14D0CE}" name="Table134" displayName="Table134" ref="A3:J14" totalsRowShown="0" headerRowDxfId="162" dataDxfId="161" tableBorderDxfId="160">
  <autoFilter ref="A3:J14" xr:uid="{99633B2E-E754-7E4A-AAA5-FFCFAB14D0CE}"/>
  <sortState xmlns:xlrd2="http://schemas.microsoft.com/office/spreadsheetml/2017/richdata2" ref="A4:J14">
    <sortCondition ref="A3:A14"/>
  </sortState>
  <tableColumns count="10">
    <tableColumn id="1" xr3:uid="{986EF770-63A9-454E-9928-1C5B44CA2705}" name="Date" dataDxfId="159"/>
    <tableColumn id="2" xr3:uid="{4764D12F-FE65-0E4A-9B18-7C557633C8F5}" name="Driver" dataDxfId="158"/>
    <tableColumn id="3" xr3:uid="{58A79F15-6097-D940-9248-58685374CDDC}" name="Client" dataDxfId="157"/>
    <tableColumn id="4" xr3:uid="{9C4A2F30-A2C6-B945-9F67-35CEFC5B58C8}" name="Destination " dataDxfId="156"/>
    <tableColumn id="5" xr3:uid="{4A3935E1-F878-6749-BB22-7CD4DD21C96E}" name="Trips" dataDxfId="155"/>
    <tableColumn id="6" xr3:uid="{7D609AFC-D7A0-C347-A98A-5FD55B9261B7}" name="Rate /Trips" dataDxfId="154"/>
    <tableColumn id="7" xr3:uid="{1092A480-A825-284B-8E5D-DA48305DC6D6}" name="Total Value" dataDxfId="153">
      <calculatedColumnFormula>Table134[[#This Row],[Rate /Trips]]*Table134[[#This Row],[Trips]]</calculatedColumnFormula>
    </tableColumn>
    <tableColumn id="8" xr3:uid="{359958EE-A7AA-8A44-B979-CB98D84CE440}" name="Received" dataDxfId="152"/>
    <tableColumn id="9" xr3:uid="{C7F1FE07-707A-D741-B85F-228312CD174C}" name="Balance" dataDxfId="151">
      <calculatedColumnFormula>Table134[[#This Row],[Total Value]]-Table134[[#This Row],[Received]]</calculatedColumnFormula>
    </tableColumn>
    <tableColumn id="10" xr3:uid="{BE7882DF-CBBF-3F4F-9E96-EBCC630BE6E1}" name="Paid / Urgent / Pending" dataDxfId="150"/>
  </tableColumns>
  <tableStyleInfo name="TableStyleLight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18FBD8E-104D-F144-9AF8-3917657D4C2A}" name="Table13417" displayName="Table13417" ref="A3:J12" totalsRowShown="0" headerRowDxfId="149" dataDxfId="148" tableBorderDxfId="147">
  <autoFilter ref="A3:J12" xr:uid="{918FBD8E-104D-F144-9AF8-3917657D4C2A}"/>
  <sortState xmlns:xlrd2="http://schemas.microsoft.com/office/spreadsheetml/2017/richdata2" ref="A4:J12">
    <sortCondition ref="A3:A12"/>
  </sortState>
  <tableColumns count="10">
    <tableColumn id="1" xr3:uid="{4836BA8C-D20A-B74E-86A5-2D0F2D1E7709}" name="Date" dataDxfId="146"/>
    <tableColumn id="2" xr3:uid="{CD94B3D8-AC31-A447-A9EC-DDC9427E526F}" name="Driver" dataDxfId="145"/>
    <tableColumn id="3" xr3:uid="{10375495-9438-4C4F-99EF-F26AEF485EEF}" name="Client" dataDxfId="144"/>
    <tableColumn id="4" xr3:uid="{B978EF89-3770-D945-8F08-19B37E6317D8}" name="Destination " dataDxfId="143"/>
    <tableColumn id="5" xr3:uid="{66B8A164-10DB-D94B-BDCE-3D7FAC4BF066}" name="Trips" dataDxfId="142"/>
    <tableColumn id="6" xr3:uid="{3FB31924-E90B-F643-A15A-04B6BEE60AE0}" name="Rate /Trips" dataDxfId="141"/>
    <tableColumn id="7" xr3:uid="{B848947B-DDEA-DF41-BDBF-7C7BF7AC3F79}" name="Total Value" dataDxfId="140">
      <calculatedColumnFormula>Table13417[[#This Row],[Rate /Trips]]*Table13417[[#This Row],[Trips]]</calculatedColumnFormula>
    </tableColumn>
    <tableColumn id="8" xr3:uid="{F8CEDA49-76DC-5F4D-A70B-B1FAB89F6E8A}" name="Received" dataDxfId="139"/>
    <tableColumn id="9" xr3:uid="{B4BE7C38-6274-7744-83B6-19C306548F61}" name="Balance" dataDxfId="138">
      <calculatedColumnFormula>Table13417[[#This Row],[Total Value]]-Table13417[[#This Row],[Received]]</calculatedColumnFormula>
    </tableColumn>
    <tableColumn id="10" xr3:uid="{601AB2B1-D6DF-0344-82AF-E8268A6EC74A}" name="Paid / Urgent / Pending" dataDxfId="137"/>
  </tableColumns>
  <tableStyleInfo name="TableStyleLight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FD0CF9B-4419-224C-91C4-DB4B6B2A554E}" name="Table1341724" displayName="Table1341724" ref="A22:J29" totalsRowShown="0" headerRowDxfId="136" dataDxfId="135" tableBorderDxfId="134">
  <autoFilter ref="A22:J29" xr:uid="{FFD0CF9B-4419-224C-91C4-DB4B6B2A554E}"/>
  <sortState xmlns:xlrd2="http://schemas.microsoft.com/office/spreadsheetml/2017/richdata2" ref="A23:J29">
    <sortCondition ref="C22:C29"/>
  </sortState>
  <tableColumns count="10">
    <tableColumn id="1" xr3:uid="{9EBE620D-8437-7C4F-A383-93AA3056F272}" name="Date" dataDxfId="133"/>
    <tableColumn id="2" xr3:uid="{AA8DA1B4-9B69-AA40-9327-CB40730E0CD0}" name="Driver" dataDxfId="132"/>
    <tableColumn id="3" xr3:uid="{D1031891-0BF5-0E4A-A1E1-DA3C48CBBDFF}" name="Client" dataDxfId="131"/>
    <tableColumn id="4" xr3:uid="{5433A179-96C2-F144-A7D7-9510A99C6CC3}" name="Destination " dataDxfId="130"/>
    <tableColumn id="5" xr3:uid="{356627C6-E6C0-E848-BE9F-65E8AB74E93E}" name="Trips" dataDxfId="129"/>
    <tableColumn id="6" xr3:uid="{C653A5C0-C78D-6747-8611-40B5EDD6CD79}" name="Rate /Trips" dataDxfId="128"/>
    <tableColumn id="7" xr3:uid="{BC84A7F3-DD44-FA46-A19D-14007F4505F3}" name="Total Value" dataDxfId="127">
      <calculatedColumnFormula>Table1341724[[#This Row],[Rate /Trips]]*Table1341724[[#This Row],[Trips]]</calculatedColumnFormula>
    </tableColumn>
    <tableColumn id="8" xr3:uid="{9558A74E-1AF7-AB48-969B-AAA43C6AA6BE}" name="Received" dataDxfId="126"/>
    <tableColumn id="9" xr3:uid="{32806329-C926-1A48-AA8C-AC2507CF17C9}" name="Balance" dataDxfId="125">
      <calculatedColumnFormula>Table1341724[[#This Row],[Total Value]]-Table1341724[[#This Row],[Received]]</calculatedColumnFormula>
    </tableColumn>
    <tableColumn id="10" xr3:uid="{88DF27A1-8E6C-E941-89AC-6FF20DA8E142}" name="Paid / Urgent / Pending" dataDxfId="124"/>
  </tableColumns>
  <tableStyleInfo name="TableStyleLight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7E5E60C-42EA-264A-B746-9708657CD2EA}" name="Table1341720" displayName="Table1341720" ref="A3:J45" totalsRowShown="0" headerRowDxfId="123" dataDxfId="122" tableBorderDxfId="121">
  <autoFilter ref="A3:J45" xr:uid="{E7E5E60C-42EA-264A-B746-9708657CD2EA}"/>
  <sortState xmlns:xlrd2="http://schemas.microsoft.com/office/spreadsheetml/2017/richdata2" ref="A4:J45">
    <sortCondition ref="A3:A45"/>
  </sortState>
  <tableColumns count="10">
    <tableColumn id="1" xr3:uid="{DA3BD033-D86D-2A45-B64A-4490ACA5015D}" name="Date" dataDxfId="120"/>
    <tableColumn id="2" xr3:uid="{887E4C45-3EEA-E24D-95CE-C04D3F24EC4E}" name="Driver" dataDxfId="119"/>
    <tableColumn id="3" xr3:uid="{A9CC0552-117F-3041-B7E9-7EB4D9652C43}" name="Client" dataDxfId="118"/>
    <tableColumn id="4" xr3:uid="{F6719AC5-EAC8-CE42-AEFB-62FC6D251F98}" name="Destination " dataDxfId="117"/>
    <tableColumn id="5" xr3:uid="{138FB234-9FD2-9D4B-89BB-60456DFE242E}" name="Trips" dataDxfId="116"/>
    <tableColumn id="6" xr3:uid="{6AF89362-BEF2-3D4B-8EB8-4C2BF3B55432}" name="Rate /Trips" dataDxfId="115"/>
    <tableColumn id="7" xr3:uid="{3E198A96-3606-3844-A3EB-9DB0269252DA}" name="Total Value" dataDxfId="114">
      <calculatedColumnFormula>Table1341720[[#This Row],[Rate /Trips]]*Table1341720[[#This Row],[Trips]]</calculatedColumnFormula>
    </tableColumn>
    <tableColumn id="8" xr3:uid="{D966B5C2-E1FB-9343-9ACA-65403FE35392}" name="Received" dataDxfId="113"/>
    <tableColumn id="9" xr3:uid="{32F0CC4A-3180-134E-AA13-265EB5F32A5D}" name="Balance" dataDxfId="112">
      <calculatedColumnFormula>Table1341720[[#This Row],[Total Value]]-Table1341720[[#This Row],[Received]]</calculatedColumnFormula>
    </tableColumn>
    <tableColumn id="10" xr3:uid="{7D3554BB-FB6E-B947-835F-F6377CCDE885}" name="Paid / Urgent / Pending" dataDxfId="111"/>
  </tableColumns>
  <tableStyleInfo name="TableStyleLight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6D05B8A-CB40-E741-B5CA-06ED03B72551}" name="Table135810141618" displayName="Table135810141618" ref="A56:I65" totalsRowShown="0" headerRowDxfId="110" dataDxfId="109" tableBorderDxfId="108">
  <autoFilter ref="A56:I65" xr:uid="{66D05B8A-CB40-E741-B5CA-06ED03B72551}"/>
  <tableColumns count="9">
    <tableColumn id="1" xr3:uid="{2B6ACC3D-A448-2A4C-B483-BFBE5644C9FA}" name="Date" dataDxfId="107"/>
    <tableColumn id="3" xr3:uid="{420DACBB-C5E6-5141-8C71-87BC41A94A5B}" name="Client" dataDxfId="106"/>
    <tableColumn id="4" xr3:uid="{55431583-A12B-C243-8A5D-5F5BA743129B}" name="Destination " dataDxfId="105"/>
    <tableColumn id="5" xr3:uid="{B8D9F9A1-A441-F54B-BBC6-14FD0B05AE22}" name="Trips" dataDxfId="104"/>
    <tableColumn id="6" xr3:uid="{C3370A68-049A-6441-A964-2BEAC0AC2396}" name="Rate /Trips" dataDxfId="103"/>
    <tableColumn id="7" xr3:uid="{3D8FD344-F87B-2342-8048-D68AE9110DB4}" name="Total Value" dataDxfId="102">
      <calculatedColumnFormula>Table135810141618[[#This Row],[Rate /Trips]]*Table135810141618[[#This Row],[Trips]]</calculatedColumnFormula>
    </tableColumn>
    <tableColumn id="8" xr3:uid="{5BAA7F17-4698-9E45-9118-47B81C85C16F}" name="Received" dataDxfId="101"/>
    <tableColumn id="9" xr3:uid="{69B5CAF2-096B-8442-9AC9-94D8F875812C}" name="Balance" dataDxfId="100">
      <calculatedColumnFormula>Table135810141618[[#This Row],[Total Value]]-Table135810141618[[#This Row],[Received]]</calculatedColumnFormula>
    </tableColumn>
    <tableColumn id="10" xr3:uid="{BACC4DA7-F7AE-EE4D-8D58-2700CB95A3B0}" name="Paid / Urgent / Pending" dataDxfId="99"/>
  </tableColumns>
  <tableStyleInfo name="TableStyleLight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0DAD3A2-EB26-674E-8648-05B2EB781E1E}" name="Table134172023" displayName="Table134172023" ref="A76:J81" totalsRowShown="0" headerRowDxfId="98" dataDxfId="97" tableBorderDxfId="96">
  <autoFilter ref="A76:J81" xr:uid="{40DAD3A2-EB26-674E-8648-05B2EB781E1E}"/>
  <sortState xmlns:xlrd2="http://schemas.microsoft.com/office/spreadsheetml/2017/richdata2" ref="A77:J81">
    <sortCondition ref="C76:C81"/>
  </sortState>
  <tableColumns count="10">
    <tableColumn id="1" xr3:uid="{FF42255A-EA06-2149-B1B8-89A6B1B39441}" name="Date" dataDxfId="95"/>
    <tableColumn id="2" xr3:uid="{281EE97F-3427-8440-B64B-04EC43471F79}" name="Driver" dataDxfId="94"/>
    <tableColumn id="3" xr3:uid="{E11A8C4B-F17F-2244-AFE7-94151D5943C8}" name="Client" dataDxfId="93"/>
    <tableColumn id="4" xr3:uid="{79F2F96E-017B-D24C-B565-C39622F4B23C}" name="Destination " dataDxfId="92"/>
    <tableColumn id="5" xr3:uid="{EFC366E0-5A35-4A43-8DA4-C295F447D694}" name="Trips" dataDxfId="91"/>
    <tableColumn id="6" xr3:uid="{6A7A127B-EBA2-7A45-9959-48572D85E491}" name="Rate /Trips" dataDxfId="90"/>
    <tableColumn id="7" xr3:uid="{37A86C4A-A1F5-4740-8054-2A5FE3356873}" name="Total Value" dataDxfId="89">
      <calculatedColumnFormula>Table134172023[[#This Row],[Rate /Trips]]*Table134172023[[#This Row],[Trips]]</calculatedColumnFormula>
    </tableColumn>
    <tableColumn id="8" xr3:uid="{39BB5104-58D5-9E4E-A764-730920F925A1}" name="Received" dataDxfId="88"/>
    <tableColumn id="9" xr3:uid="{52A2E8B5-DE26-1945-BD10-8F4B3ABADB6C}" name="Balance" dataDxfId="87">
      <calculatedColumnFormula>Table134172023[[#This Row],[Total Value]]-Table134172023[[#This Row],[Received]]</calculatedColumnFormula>
    </tableColumn>
    <tableColumn id="10" xr3:uid="{BB38003F-46A0-B84E-83AA-6CAE07396E22}" name="Paid / Urgent / Pending" dataDxfId="86"/>
  </tableColumns>
  <tableStyleInfo name="TableStyleLight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5B72F76-8F02-E74A-870B-AE1D5726E56C}" name="Table1341721" displayName="Table1341721" ref="A3:J53" totalsRowShown="0" headerRowDxfId="85" dataDxfId="84" tableBorderDxfId="83">
  <autoFilter ref="A3:J53" xr:uid="{25B72F76-8F02-E74A-870B-AE1D5726E56C}"/>
  <sortState xmlns:xlrd2="http://schemas.microsoft.com/office/spreadsheetml/2017/richdata2" ref="A4:J53">
    <sortCondition ref="A3:A53"/>
  </sortState>
  <tableColumns count="10">
    <tableColumn id="1" xr3:uid="{D9694762-E300-1E44-818D-77C3A6FBFE6C}" name="Date" dataDxfId="82"/>
    <tableColumn id="2" xr3:uid="{FA6B8117-5D35-6143-8CC8-CF94E8A3D8A0}" name="Driver" dataDxfId="81"/>
    <tableColumn id="3" xr3:uid="{DD12D3CA-C5E2-D145-8203-72370128D1D6}" name="Client" dataDxfId="80"/>
    <tableColumn id="4" xr3:uid="{095E6032-FDC1-6844-8424-7F10DC13ABDA}" name="Destination " dataDxfId="79"/>
    <tableColumn id="5" xr3:uid="{D7E40EBD-19A0-EF46-AEB0-9A239196E1C3}" name="Trips" dataDxfId="78"/>
    <tableColumn id="6" xr3:uid="{18E8EEB7-760E-9A4A-AD95-C08BF9717C82}" name="Rate /Trips" dataDxfId="77"/>
    <tableColumn id="7" xr3:uid="{AAA9475A-59AC-AE41-884B-CDB23144348A}" name="Total Value" dataDxfId="76">
      <calculatedColumnFormula>Table1341721[[#This Row],[Rate /Trips]]*Table1341721[[#This Row],[Trips]]</calculatedColumnFormula>
    </tableColumn>
    <tableColumn id="8" xr3:uid="{38952121-1D5C-7743-8D1C-87ADA2879F0B}" name="Received" dataDxfId="75"/>
    <tableColumn id="9" xr3:uid="{EE95ED7D-6410-9842-B9DA-A76C9BA1BF63}" name="Balance" dataDxfId="74">
      <calculatedColumnFormula>Table1341721[[#This Row],[Total Value]]-Table1341721[[#This Row],[Received]]</calculatedColumnFormula>
    </tableColumn>
    <tableColumn id="10" xr3:uid="{CCDE0A55-90A0-674F-A960-DA57149EF4BF}" name="Paid / Urgent / Pending" dataDxfId="73"/>
  </tableColumns>
  <tableStyleInfo name="TableStyleLight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9D98728-8F01-684B-A44B-6B9C7E5C6DD2}" name="Table13581014161819" displayName="Table13581014161819" ref="A62:I71" totalsRowShown="0" headerRowDxfId="72" dataDxfId="71" tableBorderDxfId="70">
  <autoFilter ref="A62:I71" xr:uid="{69D98728-8F01-684B-A44B-6B9C7E5C6DD2}"/>
  <tableColumns count="9">
    <tableColumn id="1" xr3:uid="{F1256530-A7F0-2A49-A375-F81D9FF408AD}" name="Date" dataDxfId="69"/>
    <tableColumn id="3" xr3:uid="{D88523B1-320A-8E47-B49A-3A5A9B54542F}" name="Client" dataDxfId="68"/>
    <tableColumn id="4" xr3:uid="{994F4032-50A0-D143-96F7-1DF7A20DEC79}" name="Destination " dataDxfId="67"/>
    <tableColumn id="5" xr3:uid="{E340E33A-6AF6-7E4C-B96B-ED827DF0E08C}" name="Trips" dataDxfId="66"/>
    <tableColumn id="6" xr3:uid="{C495311B-263A-654F-809E-386CC86CE921}" name="Rate /Trips" dataDxfId="65"/>
    <tableColumn id="7" xr3:uid="{41DC5424-5F9B-FB42-B27A-68ABA03ABB3E}" name="Total Value" dataDxfId="64">
      <calculatedColumnFormula>Table13581014161819[[#This Row],[Rate /Trips]]*Table13581014161819[[#This Row],[Trips]]</calculatedColumnFormula>
    </tableColumn>
    <tableColumn id="8" xr3:uid="{D3B9FC56-CAC8-8B41-8621-BACA484B11C4}" name="Received" dataDxfId="63"/>
    <tableColumn id="9" xr3:uid="{A92FBB97-9EFB-574F-B24E-76A158AE631C}" name="Balance" dataDxfId="62">
      <calculatedColumnFormula>Table13581014161819[[#This Row],[Total Value]]-Table13581014161819[[#This Row],[Received]]</calculatedColumnFormula>
    </tableColumn>
    <tableColumn id="10" xr3:uid="{3F58B77F-C423-824B-B3DD-2C54D4476334}" name="Paid / Urgent / Pending" dataDxfId="61"/>
  </tableColumns>
  <tableStyleInfo name="TableStyleLight8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773AC51-60C0-F648-B97D-70748DC0ED95}" name="Table134172122" displayName="Table134172122" ref="A87:J92" totalsRowShown="0" headerRowDxfId="60" dataDxfId="59" tableBorderDxfId="58">
  <autoFilter ref="A87:J92" xr:uid="{1773AC51-60C0-F648-B97D-70748DC0ED95}"/>
  <sortState xmlns:xlrd2="http://schemas.microsoft.com/office/spreadsheetml/2017/richdata2" ref="A88:J92">
    <sortCondition ref="C87:C92"/>
  </sortState>
  <tableColumns count="10">
    <tableColumn id="1" xr3:uid="{F4874CAC-E1A0-B940-AE9F-BD13F3C5A0ED}" name="Date" dataDxfId="57"/>
    <tableColumn id="2" xr3:uid="{FC7D9693-F713-914A-82AA-3B83A3AF841D}" name="Driver" dataDxfId="56"/>
    <tableColumn id="3" xr3:uid="{217D8ED3-95B0-9E42-8228-F10FB7522DD6}" name="Client" dataDxfId="55"/>
    <tableColumn id="4" xr3:uid="{2428ABCE-196C-9042-98CC-8866490DA94F}" name="Destination " dataDxfId="54"/>
    <tableColumn id="5" xr3:uid="{707668C5-F1A7-8A4F-AD16-81EF5EE73C0C}" name="Trips" dataDxfId="53"/>
    <tableColumn id="6" xr3:uid="{A446AE2B-2838-C044-8821-F5EFC41A1046}" name="Rate /Trips" dataDxfId="52"/>
    <tableColumn id="7" xr3:uid="{F9081D54-FB64-894F-A125-0FDF455331D7}" name="Total Value" dataDxfId="51">
      <calculatedColumnFormula>Table134172122[[#This Row],[Rate /Trips]]*Table134172122[[#This Row],[Trips]]</calculatedColumnFormula>
    </tableColumn>
    <tableColumn id="8" xr3:uid="{1FA073DA-7A4E-2D47-A6B7-C92FD00A3EC7}" name="Received" dataDxfId="50"/>
    <tableColumn id="9" xr3:uid="{E95911A5-4154-7343-9B88-AA08E2322E64}" name="Balance" dataDxfId="49">
      <calculatedColumnFormula>Table134172122[[#This Row],[Total Value]]-Table134172122[[#This Row],[Received]]</calculatedColumnFormula>
    </tableColumn>
    <tableColumn id="10" xr3:uid="{670C1556-6308-AB4B-950D-4625F9726AEB}" name="Paid / Urgent / Pending" dataDxfId="4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drawing" Target="../drawings/drawing5.xml"/><Relationship Id="rId4" Type="http://schemas.openxmlformats.org/officeDocument/2006/relationships/table" Target="../tables/table1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drawing" Target="../drawings/drawing11.xml"/><Relationship Id="rId4" Type="http://schemas.openxmlformats.org/officeDocument/2006/relationships/table" Target="../tables/table2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drawing" Target="../drawings/drawing12.xml"/><Relationship Id="rId4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45"/>
  <sheetViews>
    <sheetView zoomScale="114" zoomScaleNormal="115" workbookViewId="0">
      <selection activeCell="D23" sqref="D23"/>
    </sheetView>
  </sheetViews>
  <sheetFormatPr baseColWidth="10" defaultColWidth="8.83203125" defaultRowHeight="15"/>
  <cols>
    <col min="1" max="1" width="30.5" bestFit="1" customWidth="1"/>
    <col min="2" max="3" width="20" bestFit="1" customWidth="1"/>
    <col min="4" max="4" width="22.83203125" bestFit="1" customWidth="1"/>
    <col min="5" max="5" width="15.33203125" bestFit="1" customWidth="1"/>
    <col min="6" max="6" width="14.83203125" bestFit="1" customWidth="1"/>
    <col min="7" max="7" width="17" bestFit="1" customWidth="1"/>
    <col min="8" max="8" width="18" bestFit="1" customWidth="1"/>
    <col min="9" max="9" width="31.33203125" bestFit="1" customWidth="1"/>
    <col min="10" max="10" width="35.1640625" bestFit="1" customWidth="1"/>
    <col min="11" max="13" width="11.5" bestFit="1" customWidth="1"/>
  </cols>
  <sheetData>
    <row r="1" spans="1:10" ht="29">
      <c r="A1" s="38" t="s">
        <v>91</v>
      </c>
      <c r="B1" s="38"/>
      <c r="C1" s="38"/>
      <c r="D1" s="38"/>
      <c r="E1" s="38"/>
      <c r="F1" s="38"/>
      <c r="G1" s="38"/>
      <c r="H1" s="38"/>
      <c r="I1" s="38"/>
      <c r="J1" s="38"/>
    </row>
    <row r="2" spans="1:10">
      <c r="A2" s="39" t="s">
        <v>141</v>
      </c>
      <c r="B2" s="39"/>
      <c r="C2" s="39"/>
      <c r="D2" s="39"/>
      <c r="E2" s="39"/>
      <c r="F2" s="39"/>
      <c r="G2" s="39"/>
      <c r="H2" s="39"/>
      <c r="I2" s="39"/>
      <c r="J2" s="39"/>
    </row>
    <row r="3" spans="1:10" ht="16">
      <c r="A3" s="6" t="s">
        <v>0</v>
      </c>
      <c r="B3" s="7" t="s">
        <v>92</v>
      </c>
      <c r="C3" s="7" t="s">
        <v>93</v>
      </c>
      <c r="D3" s="7" t="s">
        <v>94</v>
      </c>
      <c r="E3" s="7" t="s">
        <v>95</v>
      </c>
      <c r="F3" s="8" t="s">
        <v>96</v>
      </c>
      <c r="G3" s="8" t="s">
        <v>97</v>
      </c>
      <c r="H3" s="8" t="s">
        <v>98</v>
      </c>
      <c r="I3" s="8" t="s">
        <v>1</v>
      </c>
      <c r="J3" s="8" t="s">
        <v>99</v>
      </c>
    </row>
    <row r="4" spans="1:10" ht="15" customHeight="1">
      <c r="A4" s="24">
        <v>45660</v>
      </c>
      <c r="B4" s="25" t="s">
        <v>43</v>
      </c>
      <c r="C4" s="25" t="s">
        <v>4</v>
      </c>
      <c r="D4" s="25" t="s">
        <v>6</v>
      </c>
      <c r="E4" s="4">
        <v>1</v>
      </c>
      <c r="F4" s="28">
        <v>4000</v>
      </c>
      <c r="G4" s="28">
        <f>Table1356[[#This Row],[Rate /Trips]]*Table1356[[#This Row],[Trips]]</f>
        <v>4000</v>
      </c>
      <c r="H4" s="28">
        <v>4000</v>
      </c>
      <c r="I4" s="28">
        <f>Table1356[[#This Row],[Total Value]]-Table1356[[#This Row],[Received]]</f>
        <v>0</v>
      </c>
      <c r="J4" s="1" t="str">
        <f t="shared" ref="J4:J45" si="0">IF(I4&gt;10000,"🚨 URGENT: "&amp;C4&amp;" owes ₹"&amp;I4,IF(I4&gt;5000,"⚠️ WARNING: "&amp;C4&amp;" - ₹"&amp;I4&amp;" due",IF(I4&gt;0,"ℹ️ "&amp;C4&amp;" - ₹"&amp;I4&amp;" pending","✅ Paid")))</f>
        <v>✅ Paid</v>
      </c>
    </row>
    <row r="5" spans="1:10" ht="19">
      <c r="A5" s="24">
        <v>45666</v>
      </c>
      <c r="B5" s="30" t="s">
        <v>12</v>
      </c>
      <c r="C5" s="25" t="s">
        <v>8</v>
      </c>
      <c r="D5" s="25" t="s">
        <v>9</v>
      </c>
      <c r="E5" s="4">
        <v>6</v>
      </c>
      <c r="F5" s="28">
        <v>2800</v>
      </c>
      <c r="G5" s="28">
        <f>Table1356[[#This Row],[Rate /Trips]]*Table1356[[#This Row],[Trips]]</f>
        <v>16800</v>
      </c>
      <c r="H5" s="28">
        <v>16800</v>
      </c>
      <c r="I5" s="28">
        <f>Table1356[[#This Row],[Total Value]]-Table1356[[#This Row],[Received]]</f>
        <v>0</v>
      </c>
      <c r="J5" s="1" t="str">
        <f t="shared" si="0"/>
        <v>✅ Paid</v>
      </c>
    </row>
    <row r="6" spans="1:10" ht="19">
      <c r="A6" s="24">
        <v>45666</v>
      </c>
      <c r="B6" s="30" t="s">
        <v>7</v>
      </c>
      <c r="C6" s="25" t="s">
        <v>8</v>
      </c>
      <c r="D6" s="25" t="s">
        <v>9</v>
      </c>
      <c r="E6" s="4">
        <v>6</v>
      </c>
      <c r="F6" s="28">
        <v>2800</v>
      </c>
      <c r="G6" s="28">
        <f>Table1356[[#This Row],[Rate /Trips]]*Table1356[[#This Row],[Trips]]</f>
        <v>16800</v>
      </c>
      <c r="H6" s="28">
        <v>16800</v>
      </c>
      <c r="I6" s="28">
        <f>Table1356[[#This Row],[Total Value]]-Table1356[[#This Row],[Received]]</f>
        <v>0</v>
      </c>
      <c r="J6" s="1" t="str">
        <f t="shared" si="0"/>
        <v>✅ Paid</v>
      </c>
    </row>
    <row r="7" spans="1:10" ht="19">
      <c r="A7" s="24">
        <v>45666</v>
      </c>
      <c r="B7" s="25" t="s">
        <v>7</v>
      </c>
      <c r="C7" s="25" t="s">
        <v>13</v>
      </c>
      <c r="D7" s="25" t="s">
        <v>14</v>
      </c>
      <c r="E7" s="4">
        <v>2</v>
      </c>
      <c r="F7" s="28">
        <v>2700</v>
      </c>
      <c r="G7" s="28">
        <f>Table1356[[#This Row],[Rate /Trips]]*Table1356[[#This Row],[Trips]]</f>
        <v>5400</v>
      </c>
      <c r="H7" s="28">
        <v>5400</v>
      </c>
      <c r="I7" s="28">
        <f>Table1356[[#This Row],[Total Value]]-Table1356[[#This Row],[Received]]</f>
        <v>0</v>
      </c>
      <c r="J7" s="1" t="str">
        <f t="shared" si="0"/>
        <v>✅ Paid</v>
      </c>
    </row>
    <row r="8" spans="1:10" ht="19">
      <c r="A8" s="24">
        <v>45667</v>
      </c>
      <c r="B8" s="25" t="s">
        <v>7</v>
      </c>
      <c r="C8" s="25" t="s">
        <v>8</v>
      </c>
      <c r="D8" s="25" t="s">
        <v>9</v>
      </c>
      <c r="E8" s="4">
        <v>4</v>
      </c>
      <c r="F8" s="28">
        <v>2800</v>
      </c>
      <c r="G8" s="28">
        <f>Table1356[[#This Row],[Rate /Trips]]*Table1356[[#This Row],[Trips]]</f>
        <v>11200</v>
      </c>
      <c r="H8" s="28">
        <v>11200</v>
      </c>
      <c r="I8" s="28">
        <f>Table1356[[#This Row],[Total Value]]-Table1356[[#This Row],[Received]]</f>
        <v>0</v>
      </c>
      <c r="J8" s="1" t="str">
        <f t="shared" si="0"/>
        <v>✅ Paid</v>
      </c>
    </row>
    <row r="9" spans="1:10" ht="19">
      <c r="A9" s="24">
        <v>45667</v>
      </c>
      <c r="B9" s="30" t="s">
        <v>12</v>
      </c>
      <c r="C9" s="25" t="s">
        <v>8</v>
      </c>
      <c r="D9" s="25" t="s">
        <v>9</v>
      </c>
      <c r="E9" s="4">
        <v>4</v>
      </c>
      <c r="F9" s="28">
        <v>2800</v>
      </c>
      <c r="G9" s="28">
        <f>Table1356[[#This Row],[Rate /Trips]]*Table1356[[#This Row],[Trips]]</f>
        <v>11200</v>
      </c>
      <c r="H9" s="28">
        <v>11200</v>
      </c>
      <c r="I9" s="28">
        <f>Table1356[[#This Row],[Total Value]]-Table1356[[#This Row],[Received]]</f>
        <v>0</v>
      </c>
      <c r="J9" s="1" t="str">
        <f t="shared" si="0"/>
        <v>✅ Paid</v>
      </c>
    </row>
    <row r="10" spans="1:10" ht="19">
      <c r="A10" s="24">
        <v>45667</v>
      </c>
      <c r="B10" s="25" t="s">
        <v>12</v>
      </c>
      <c r="C10" s="25" t="s">
        <v>15</v>
      </c>
      <c r="D10" s="25" t="s">
        <v>16</v>
      </c>
      <c r="E10" s="4">
        <v>3</v>
      </c>
      <c r="F10" s="28">
        <v>2700</v>
      </c>
      <c r="G10" s="28">
        <f>Table1356[[#This Row],[Rate /Trips]]*Table1356[[#This Row],[Trips]]</f>
        <v>8100</v>
      </c>
      <c r="H10" s="28">
        <v>8100</v>
      </c>
      <c r="I10" s="28">
        <f>Table1356[[#This Row],[Total Value]]-Table1356[[#This Row],[Received]]</f>
        <v>0</v>
      </c>
      <c r="J10" s="1" t="str">
        <f t="shared" si="0"/>
        <v>✅ Paid</v>
      </c>
    </row>
    <row r="11" spans="1:10" ht="19">
      <c r="A11" s="24">
        <v>45667</v>
      </c>
      <c r="B11" s="25" t="s">
        <v>7</v>
      </c>
      <c r="C11" s="25" t="s">
        <v>15</v>
      </c>
      <c r="D11" s="25" t="s">
        <v>16</v>
      </c>
      <c r="E11" s="4">
        <v>1</v>
      </c>
      <c r="F11" s="28">
        <v>2700</v>
      </c>
      <c r="G11" s="28">
        <f>Table1356[[#This Row],[Rate /Trips]]*Table1356[[#This Row],[Trips]]</f>
        <v>2700</v>
      </c>
      <c r="H11" s="28"/>
      <c r="I11" s="28">
        <f>Table1356[[#This Row],[Total Value]]-Table1356[[#This Row],[Received]]</f>
        <v>2700</v>
      </c>
      <c r="J11" s="1" t="str">
        <f t="shared" si="0"/>
        <v>ℹ️ Shubham Dada - ₹2700 pending</v>
      </c>
    </row>
    <row r="12" spans="1:10" ht="19">
      <c r="A12" s="24">
        <v>45669</v>
      </c>
      <c r="B12" s="25" t="s">
        <v>7</v>
      </c>
      <c r="C12" s="25" t="s">
        <v>15</v>
      </c>
      <c r="D12" s="25" t="s">
        <v>9</v>
      </c>
      <c r="E12" s="4">
        <v>2</v>
      </c>
      <c r="F12" s="28">
        <v>2500</v>
      </c>
      <c r="G12" s="28">
        <f>Table1356[[#This Row],[Rate /Trips]]*Table1356[[#This Row],[Trips]]</f>
        <v>5000</v>
      </c>
      <c r="H12" s="28"/>
      <c r="I12" s="28">
        <f>Table1356[[#This Row],[Total Value]]-Table1356[[#This Row],[Received]]</f>
        <v>5000</v>
      </c>
      <c r="J12" s="1" t="str">
        <f t="shared" si="0"/>
        <v>ℹ️ Shubham Dada - ₹5000 pending</v>
      </c>
    </row>
    <row r="13" spans="1:10" ht="19">
      <c r="A13" s="24">
        <v>45672</v>
      </c>
      <c r="B13" s="30" t="s">
        <v>7</v>
      </c>
      <c r="C13" s="25" t="s">
        <v>15</v>
      </c>
      <c r="D13" s="25" t="s">
        <v>19</v>
      </c>
      <c r="E13" s="4">
        <v>1</v>
      </c>
      <c r="F13" s="28">
        <v>2500</v>
      </c>
      <c r="G13" s="28">
        <f>Table1356[[#This Row],[Rate /Trips]]*Table1356[[#This Row],[Trips]]</f>
        <v>2500</v>
      </c>
      <c r="H13" s="28">
        <v>2500</v>
      </c>
      <c r="I13" s="28">
        <f>Table1356[[#This Row],[Total Value]]-Table1356[[#This Row],[Received]]</f>
        <v>0</v>
      </c>
      <c r="J13" s="1" t="str">
        <f t="shared" si="0"/>
        <v>✅ Paid</v>
      </c>
    </row>
    <row r="14" spans="1:10" ht="19">
      <c r="A14" s="24">
        <v>45672</v>
      </c>
      <c r="B14" s="25" t="s">
        <v>12</v>
      </c>
      <c r="C14" s="25" t="s">
        <v>20</v>
      </c>
      <c r="D14" s="25" t="s">
        <v>21</v>
      </c>
      <c r="E14" s="4">
        <v>1</v>
      </c>
      <c r="F14" s="28">
        <v>2500</v>
      </c>
      <c r="G14" s="28">
        <f>Table1356[[#This Row],[Rate /Trips]]*Table1356[[#This Row],[Trips]]</f>
        <v>2500</v>
      </c>
      <c r="H14" s="28"/>
      <c r="I14" s="28">
        <f>Table1356[[#This Row],[Total Value]]-Table1356[[#This Row],[Received]]</f>
        <v>2500</v>
      </c>
      <c r="J14" s="1" t="str">
        <f t="shared" si="0"/>
        <v>ℹ️ Balaji - ₹2500 pending</v>
      </c>
    </row>
    <row r="15" spans="1:10" ht="19">
      <c r="A15" s="24">
        <v>45672</v>
      </c>
      <c r="B15" s="25" t="s">
        <v>7</v>
      </c>
      <c r="C15" s="25" t="s">
        <v>17</v>
      </c>
      <c r="D15" s="25" t="s">
        <v>18</v>
      </c>
      <c r="E15" s="4">
        <v>3</v>
      </c>
      <c r="F15" s="28">
        <v>3000</v>
      </c>
      <c r="G15" s="28">
        <f>Table1356[[#This Row],[Rate /Trips]]*Table1356[[#This Row],[Trips]]</f>
        <v>9000</v>
      </c>
      <c r="H15" s="28">
        <v>9000</v>
      </c>
      <c r="I15" s="28">
        <f>Table1356[[#This Row],[Total Value]]-Table1356[[#This Row],[Received]]</f>
        <v>0</v>
      </c>
      <c r="J15" s="1" t="str">
        <f t="shared" si="0"/>
        <v>✅ Paid</v>
      </c>
    </row>
    <row r="16" spans="1:10" ht="19">
      <c r="A16" s="24">
        <v>45672</v>
      </c>
      <c r="B16" s="30" t="s">
        <v>12</v>
      </c>
      <c r="C16" s="25" t="s">
        <v>17</v>
      </c>
      <c r="D16" s="25" t="s">
        <v>18</v>
      </c>
      <c r="E16" s="4">
        <v>3</v>
      </c>
      <c r="F16" s="28">
        <v>3000</v>
      </c>
      <c r="G16" s="28">
        <f>Table1356[[#This Row],[Rate /Trips]]*Table1356[[#This Row],[Trips]]</f>
        <v>9000</v>
      </c>
      <c r="H16" s="28">
        <v>9000</v>
      </c>
      <c r="I16" s="28">
        <f>Table1356[[#This Row],[Total Value]]-Table1356[[#This Row],[Received]]</f>
        <v>0</v>
      </c>
      <c r="J16" s="1" t="str">
        <f t="shared" si="0"/>
        <v>✅ Paid</v>
      </c>
    </row>
    <row r="17" spans="1:10" ht="19">
      <c r="A17" s="24">
        <v>45673</v>
      </c>
      <c r="B17" s="30" t="s">
        <v>12</v>
      </c>
      <c r="C17" s="25" t="s">
        <v>27</v>
      </c>
      <c r="D17" s="25" t="s">
        <v>21</v>
      </c>
      <c r="E17" s="4">
        <v>1</v>
      </c>
      <c r="F17" s="28">
        <v>2500</v>
      </c>
      <c r="G17" s="28">
        <f>F17*E17</f>
        <v>2500</v>
      </c>
      <c r="H17" s="28"/>
      <c r="I17" s="28">
        <f>Table1356[[#This Row],[Total Value]]-Table1356[[#This Row],[Received]]</f>
        <v>2500</v>
      </c>
      <c r="J17" s="1" t="str">
        <f t="shared" si="0"/>
        <v>ℹ️ Golu - ₹2500 pending</v>
      </c>
    </row>
    <row r="18" spans="1:10" ht="19">
      <c r="A18" s="24">
        <v>45673</v>
      </c>
      <c r="B18" s="30" t="s">
        <v>12</v>
      </c>
      <c r="C18" s="25" t="s">
        <v>17</v>
      </c>
      <c r="D18" s="25" t="s">
        <v>26</v>
      </c>
      <c r="E18" s="4">
        <v>1</v>
      </c>
      <c r="F18" s="28">
        <v>3000</v>
      </c>
      <c r="G18" s="28">
        <f>F18*E18</f>
        <v>3000</v>
      </c>
      <c r="H18" s="28">
        <v>3000</v>
      </c>
      <c r="I18" s="28">
        <f>Table1356[[#This Row],[Total Value]]-Table1356[[#This Row],[Received]]</f>
        <v>0</v>
      </c>
      <c r="J18" s="1" t="str">
        <f t="shared" si="0"/>
        <v>✅ Paid</v>
      </c>
    </row>
    <row r="19" spans="1:10" ht="19">
      <c r="A19" s="24">
        <v>45673</v>
      </c>
      <c r="B19" s="25" t="s">
        <v>7</v>
      </c>
      <c r="C19" s="25" t="s">
        <v>17</v>
      </c>
      <c r="D19" s="25" t="s">
        <v>26</v>
      </c>
      <c r="E19" s="4">
        <v>1</v>
      </c>
      <c r="F19" s="28">
        <v>3000</v>
      </c>
      <c r="G19" s="28">
        <f>F19*E19</f>
        <v>3000</v>
      </c>
      <c r="H19" s="29">
        <v>3000</v>
      </c>
      <c r="I19" s="28">
        <f>Table1356[[#This Row],[Total Value]]-Table1356[[#This Row],[Received]]</f>
        <v>0</v>
      </c>
      <c r="J19" s="1" t="str">
        <f t="shared" si="0"/>
        <v>✅ Paid</v>
      </c>
    </row>
    <row r="20" spans="1:10" ht="19">
      <c r="A20" s="24">
        <v>45675</v>
      </c>
      <c r="B20" s="25" t="s">
        <v>7</v>
      </c>
      <c r="C20" s="25" t="s">
        <v>17</v>
      </c>
      <c r="D20" s="25" t="s">
        <v>28</v>
      </c>
      <c r="E20" s="4">
        <v>2</v>
      </c>
      <c r="F20" s="28">
        <v>3000</v>
      </c>
      <c r="G20" s="28">
        <f>Table1356[[#This Row],[Rate /Trips]]*Table1356[[#This Row],[Trips]]</f>
        <v>6000</v>
      </c>
      <c r="H20" s="29">
        <v>6000</v>
      </c>
      <c r="I20" s="28">
        <f>Table1356[[#This Row],[Total Value]]-Table1356[[#This Row],[Received]]</f>
        <v>0</v>
      </c>
      <c r="J20" s="1" t="str">
        <f t="shared" si="0"/>
        <v>✅ Paid</v>
      </c>
    </row>
    <row r="21" spans="1:10" ht="19">
      <c r="A21" s="24">
        <v>45677</v>
      </c>
      <c r="B21" s="25" t="s">
        <v>7</v>
      </c>
      <c r="C21" s="25" t="s">
        <v>29</v>
      </c>
      <c r="D21" s="25" t="s">
        <v>30</v>
      </c>
      <c r="E21" s="4">
        <v>2</v>
      </c>
      <c r="F21" s="28">
        <v>3000</v>
      </c>
      <c r="G21" s="28">
        <f>Table1356[[#This Row],[Rate /Trips]]*Table1356[[#This Row],[Trips]]</f>
        <v>6000</v>
      </c>
      <c r="H21" s="29">
        <v>6000</v>
      </c>
      <c r="I21" s="28">
        <f>Table1356[[#This Row],[Total Value]]-Table1356[[#This Row],[Received]]</f>
        <v>0</v>
      </c>
      <c r="J21" s="1" t="str">
        <f t="shared" si="0"/>
        <v>✅ Paid</v>
      </c>
    </row>
    <row r="22" spans="1:10" ht="19">
      <c r="A22" s="24">
        <v>45677</v>
      </c>
      <c r="B22" s="25" t="s">
        <v>12</v>
      </c>
      <c r="C22" s="25" t="s">
        <v>29</v>
      </c>
      <c r="D22" s="25" t="s">
        <v>31</v>
      </c>
      <c r="E22" s="4">
        <v>2</v>
      </c>
      <c r="F22" s="28">
        <v>3000</v>
      </c>
      <c r="G22" s="28">
        <f>Table1356[[#This Row],[Rate /Trips]]*Table1356[[#This Row],[Trips]]</f>
        <v>6000</v>
      </c>
      <c r="H22" s="29">
        <v>6000</v>
      </c>
      <c r="I22" s="28">
        <f>Table1356[[#This Row],[Total Value]]-Table1356[[#This Row],[Received]]</f>
        <v>0</v>
      </c>
      <c r="J22" s="1" t="str">
        <f t="shared" si="0"/>
        <v>✅ Paid</v>
      </c>
    </row>
    <row r="23" spans="1:10" ht="19">
      <c r="A23" s="24">
        <v>45677</v>
      </c>
      <c r="B23" s="31" t="s">
        <v>7</v>
      </c>
      <c r="C23" s="26" t="s">
        <v>17</v>
      </c>
      <c r="D23" s="26" t="s">
        <v>28</v>
      </c>
      <c r="E23" s="20">
        <v>3</v>
      </c>
      <c r="F23" s="29">
        <v>3000</v>
      </c>
      <c r="G23" s="28">
        <f>Table1356[[#This Row],[Rate /Trips]]*Table1356[[#This Row],[Trips]]</f>
        <v>9000</v>
      </c>
      <c r="H23" s="29">
        <v>9000</v>
      </c>
      <c r="I23" s="28">
        <f>Table1356[[#This Row],[Total Value]]-Table1356[[#This Row],[Received]]</f>
        <v>0</v>
      </c>
      <c r="J23" s="1" t="str">
        <f t="shared" si="0"/>
        <v>✅ Paid</v>
      </c>
    </row>
    <row r="24" spans="1:10" ht="19">
      <c r="A24" s="24">
        <v>45677</v>
      </c>
      <c r="B24" s="25" t="s">
        <v>12</v>
      </c>
      <c r="C24" s="25" t="s">
        <v>17</v>
      </c>
      <c r="D24" s="25" t="s">
        <v>32</v>
      </c>
      <c r="E24" s="4">
        <v>1</v>
      </c>
      <c r="F24" s="28">
        <v>3000</v>
      </c>
      <c r="G24" s="28">
        <f>Table1356[[#This Row],[Rate /Trips]]*Table1356[[#This Row],[Trips]]</f>
        <v>3000</v>
      </c>
      <c r="H24" s="29">
        <v>3000</v>
      </c>
      <c r="I24" s="28">
        <f>Table1356[[#This Row],[Total Value]]-Table1356[[#This Row],[Received]]</f>
        <v>0</v>
      </c>
      <c r="J24" s="1" t="str">
        <f t="shared" si="0"/>
        <v>✅ Paid</v>
      </c>
    </row>
    <row r="25" spans="1:10" ht="19">
      <c r="A25" s="24">
        <v>45678</v>
      </c>
      <c r="B25" s="25" t="s">
        <v>12</v>
      </c>
      <c r="C25" s="25" t="s">
        <v>33</v>
      </c>
      <c r="D25" s="25" t="s">
        <v>34</v>
      </c>
      <c r="E25" s="4">
        <v>3</v>
      </c>
      <c r="F25" s="28">
        <v>0</v>
      </c>
      <c r="G25" s="28">
        <f>Table1356[[#This Row],[Rate /Trips]]*Table1356[[#This Row],[Trips]]</f>
        <v>0</v>
      </c>
      <c r="H25" s="29"/>
      <c r="I25" s="28">
        <f>Table1356[[#This Row],[Total Value]]-Table1356[[#This Row],[Received]]</f>
        <v>0</v>
      </c>
      <c r="J25" s="1" t="str">
        <f t="shared" si="0"/>
        <v>✅ Paid</v>
      </c>
    </row>
    <row r="26" spans="1:10" ht="19">
      <c r="A26" s="24">
        <v>45678</v>
      </c>
      <c r="B26" s="25" t="s">
        <v>12</v>
      </c>
      <c r="C26" s="25" t="s">
        <v>29</v>
      </c>
      <c r="D26" s="25" t="s">
        <v>30</v>
      </c>
      <c r="E26" s="4">
        <v>1</v>
      </c>
      <c r="F26" s="28">
        <v>3000</v>
      </c>
      <c r="G26" s="28">
        <f>Table1356[[#This Row],[Rate /Trips]]*Table1356[[#This Row],[Trips]]</f>
        <v>3000</v>
      </c>
      <c r="H26" s="29">
        <v>3000</v>
      </c>
      <c r="I26" s="28">
        <f>Table1356[[#This Row],[Total Value]]-Table1356[[#This Row],[Received]]</f>
        <v>0</v>
      </c>
      <c r="J26" s="1" t="str">
        <f t="shared" si="0"/>
        <v>✅ Paid</v>
      </c>
    </row>
    <row r="27" spans="1:10" ht="19">
      <c r="A27" s="24">
        <v>45678</v>
      </c>
      <c r="B27" s="31" t="s">
        <v>7</v>
      </c>
      <c r="C27" s="26" t="s">
        <v>29</v>
      </c>
      <c r="D27" s="26" t="s">
        <v>31</v>
      </c>
      <c r="E27" s="20">
        <v>1</v>
      </c>
      <c r="F27" s="29">
        <v>3000</v>
      </c>
      <c r="G27" s="28">
        <f>Table1356[[#This Row],[Rate /Trips]]*Table1356[[#This Row],[Trips]]</f>
        <v>3000</v>
      </c>
      <c r="H27" s="29">
        <v>3000</v>
      </c>
      <c r="I27" s="28">
        <f>Table1356[[#This Row],[Total Value]]-Table1356[[#This Row],[Received]]</f>
        <v>0</v>
      </c>
      <c r="J27" s="1" t="str">
        <f t="shared" si="0"/>
        <v>✅ Paid</v>
      </c>
    </row>
    <row r="28" spans="1:10" ht="19">
      <c r="A28" s="24">
        <v>45678</v>
      </c>
      <c r="B28" s="25" t="s">
        <v>7</v>
      </c>
      <c r="C28" s="25" t="s">
        <v>17</v>
      </c>
      <c r="D28" s="25" t="s">
        <v>26</v>
      </c>
      <c r="E28" s="4">
        <v>3</v>
      </c>
      <c r="F28" s="28">
        <v>3000</v>
      </c>
      <c r="G28" s="28">
        <f>Table1356[[#This Row],[Rate /Trips]]*Table1356[[#This Row],[Trips]]</f>
        <v>9000</v>
      </c>
      <c r="H28" s="29">
        <v>9000</v>
      </c>
      <c r="I28" s="28">
        <f>Table1356[[#This Row],[Total Value]]-Table1356[[#This Row],[Received]]</f>
        <v>0</v>
      </c>
      <c r="J28" s="1" t="str">
        <f t="shared" si="0"/>
        <v>✅ Paid</v>
      </c>
    </row>
    <row r="29" spans="1:10" ht="19">
      <c r="A29" s="24">
        <v>45678</v>
      </c>
      <c r="B29" s="31" t="s">
        <v>12</v>
      </c>
      <c r="C29" s="26" t="s">
        <v>17</v>
      </c>
      <c r="D29" s="26" t="s">
        <v>26</v>
      </c>
      <c r="E29" s="20">
        <v>2</v>
      </c>
      <c r="F29" s="29">
        <v>3000</v>
      </c>
      <c r="G29" s="28">
        <f>Table1356[[#This Row],[Rate /Trips]]*Table1356[[#This Row],[Trips]]</f>
        <v>6000</v>
      </c>
      <c r="H29" s="29">
        <v>6000</v>
      </c>
      <c r="I29" s="28">
        <f>Table1356[[#This Row],[Total Value]]-Table1356[[#This Row],[Received]]</f>
        <v>0</v>
      </c>
      <c r="J29" s="1" t="str">
        <f t="shared" si="0"/>
        <v>✅ Paid</v>
      </c>
    </row>
    <row r="30" spans="1:10" ht="19">
      <c r="A30" s="24">
        <v>45679</v>
      </c>
      <c r="B30" s="25" t="s">
        <v>12</v>
      </c>
      <c r="C30" s="25" t="s">
        <v>29</v>
      </c>
      <c r="D30" s="25" t="s">
        <v>30</v>
      </c>
      <c r="E30" s="4">
        <v>2</v>
      </c>
      <c r="F30" s="28">
        <v>3000</v>
      </c>
      <c r="G30" s="28">
        <f>Table1356[[#This Row],[Rate /Trips]]*Table1356[[#This Row],[Trips]]</f>
        <v>6000</v>
      </c>
      <c r="H30" s="29">
        <v>6000</v>
      </c>
      <c r="I30" s="28">
        <f>Table1356[[#This Row],[Total Value]]-Table1356[[#This Row],[Received]]</f>
        <v>0</v>
      </c>
      <c r="J30" s="1" t="str">
        <f t="shared" si="0"/>
        <v>✅ Paid</v>
      </c>
    </row>
    <row r="31" spans="1:10" ht="19">
      <c r="A31" s="24">
        <v>45681</v>
      </c>
      <c r="B31" s="25" t="s">
        <v>7</v>
      </c>
      <c r="C31" s="25" t="s">
        <v>29</v>
      </c>
      <c r="D31" s="25" t="s">
        <v>30</v>
      </c>
      <c r="E31" s="4">
        <v>5</v>
      </c>
      <c r="F31" s="28">
        <v>3000</v>
      </c>
      <c r="G31" s="28">
        <f>Table1356[[#This Row],[Rate /Trips]]*Table1356[[#This Row],[Trips]]</f>
        <v>15000</v>
      </c>
      <c r="H31" s="29">
        <v>15000</v>
      </c>
      <c r="I31" s="28">
        <f>Table1356[[#This Row],[Total Value]]-Table1356[[#This Row],[Received]]</f>
        <v>0</v>
      </c>
      <c r="J31" s="1" t="str">
        <f t="shared" si="0"/>
        <v>✅ Paid</v>
      </c>
    </row>
    <row r="32" spans="1:10" ht="19">
      <c r="A32" s="24">
        <v>45681</v>
      </c>
      <c r="B32" s="25" t="s">
        <v>12</v>
      </c>
      <c r="C32" s="25" t="s">
        <v>29</v>
      </c>
      <c r="D32" s="25" t="s">
        <v>30</v>
      </c>
      <c r="E32" s="4">
        <v>1</v>
      </c>
      <c r="F32" s="28">
        <v>3000</v>
      </c>
      <c r="G32" s="28">
        <f>Table1356[[#This Row],[Rate /Trips]]*Table1356[[#This Row],[Trips]]</f>
        <v>3000</v>
      </c>
      <c r="H32" s="29">
        <v>3000</v>
      </c>
      <c r="I32" s="28">
        <f>Table1356[[#This Row],[Total Value]]-Table1356[[#This Row],[Received]]</f>
        <v>0</v>
      </c>
      <c r="J32" s="1" t="str">
        <f t="shared" si="0"/>
        <v>✅ Paid</v>
      </c>
    </row>
    <row r="33" spans="1:10" ht="19">
      <c r="A33" s="24">
        <v>45681</v>
      </c>
      <c r="B33" s="25" t="s">
        <v>12</v>
      </c>
      <c r="C33" s="25" t="s">
        <v>17</v>
      </c>
      <c r="D33" s="25" t="s">
        <v>18</v>
      </c>
      <c r="E33" s="4">
        <v>2</v>
      </c>
      <c r="F33" s="28">
        <v>3000</v>
      </c>
      <c r="G33" s="28">
        <f>Table1356[[#This Row],[Rate /Trips]]*Table1356[[#This Row],[Trips]]</f>
        <v>6000</v>
      </c>
      <c r="H33" s="29">
        <v>6000</v>
      </c>
      <c r="I33" s="28">
        <f>Table1356[[#This Row],[Total Value]]-Table1356[[#This Row],[Received]]</f>
        <v>0</v>
      </c>
      <c r="J33" s="1" t="str">
        <f t="shared" si="0"/>
        <v>✅ Paid</v>
      </c>
    </row>
    <row r="34" spans="1:10" ht="19">
      <c r="A34" s="24">
        <v>45685</v>
      </c>
      <c r="B34" s="31" t="s">
        <v>12</v>
      </c>
      <c r="C34" s="26" t="s">
        <v>17</v>
      </c>
      <c r="D34" s="26" t="s">
        <v>18</v>
      </c>
      <c r="E34" s="20">
        <v>6</v>
      </c>
      <c r="F34" s="29">
        <v>3000</v>
      </c>
      <c r="G34" s="28">
        <f>Table1356[[#This Row],[Rate /Trips]]*Table1356[[#This Row],[Trips]]</f>
        <v>18000</v>
      </c>
      <c r="H34" s="29">
        <v>18000</v>
      </c>
      <c r="I34" s="28">
        <f>Table1356[[#This Row],[Total Value]]-Table1356[[#This Row],[Received]]</f>
        <v>0</v>
      </c>
      <c r="J34" s="1" t="str">
        <f t="shared" si="0"/>
        <v>✅ Paid</v>
      </c>
    </row>
    <row r="35" spans="1:10" ht="19">
      <c r="A35" s="24">
        <v>45685</v>
      </c>
      <c r="B35" s="25" t="s">
        <v>7</v>
      </c>
      <c r="C35" s="25" t="s">
        <v>17</v>
      </c>
      <c r="D35" s="25" t="s">
        <v>18</v>
      </c>
      <c r="E35" s="4">
        <v>1</v>
      </c>
      <c r="F35" s="28">
        <v>3000</v>
      </c>
      <c r="G35" s="28">
        <f>Table1356[[#This Row],[Rate /Trips]]*Table1356[[#This Row],[Trips]]</f>
        <v>3000</v>
      </c>
      <c r="H35" s="29">
        <v>3000</v>
      </c>
      <c r="I35" s="28">
        <f>Table1356[[#This Row],[Total Value]]-Table1356[[#This Row],[Received]]</f>
        <v>0</v>
      </c>
      <c r="J35" s="1" t="str">
        <f t="shared" si="0"/>
        <v>✅ Paid</v>
      </c>
    </row>
    <row r="36" spans="1:10" ht="19">
      <c r="A36" s="24">
        <v>45686</v>
      </c>
      <c r="B36" s="25" t="s">
        <v>7</v>
      </c>
      <c r="C36" s="25" t="s">
        <v>36</v>
      </c>
      <c r="D36" s="25" t="s">
        <v>37</v>
      </c>
      <c r="E36" s="4">
        <v>2</v>
      </c>
      <c r="F36" s="28">
        <v>3200</v>
      </c>
      <c r="G36" s="28">
        <f>Table1356[[#This Row],[Rate /Trips]]*Table1356[[#This Row],[Trips]]</f>
        <v>6400</v>
      </c>
      <c r="H36" s="29">
        <v>6400</v>
      </c>
      <c r="I36" s="28">
        <f>Table1356[[#This Row],[Total Value]]-Table1356[[#This Row],[Received]]</f>
        <v>0</v>
      </c>
      <c r="J36" s="1" t="str">
        <f t="shared" si="0"/>
        <v>✅ Paid</v>
      </c>
    </row>
    <row r="37" spans="1:10" ht="19">
      <c r="A37" s="24">
        <v>45686</v>
      </c>
      <c r="B37" s="25" t="s">
        <v>195</v>
      </c>
      <c r="C37" s="25" t="s">
        <v>36</v>
      </c>
      <c r="D37" s="25" t="s">
        <v>37</v>
      </c>
      <c r="E37" s="4">
        <v>7</v>
      </c>
      <c r="F37" s="28">
        <v>3200</v>
      </c>
      <c r="G37" s="28">
        <f>Table1356[[#This Row],[Rate /Trips]]*Table1356[[#This Row],[Trips]]</f>
        <v>22400</v>
      </c>
      <c r="H37" s="29">
        <v>22400</v>
      </c>
      <c r="I37" s="28">
        <f>Table1356[[#This Row],[Total Value]]-Table1356[[#This Row],[Received]]</f>
        <v>0</v>
      </c>
      <c r="J37" s="1" t="str">
        <f t="shared" si="0"/>
        <v>✅ Paid</v>
      </c>
    </row>
    <row r="38" spans="1:10" ht="19">
      <c r="A38" s="24">
        <v>45686</v>
      </c>
      <c r="B38" s="25" t="s">
        <v>12</v>
      </c>
      <c r="C38" s="25" t="s">
        <v>17</v>
      </c>
      <c r="D38" s="25" t="s">
        <v>18</v>
      </c>
      <c r="E38" s="4">
        <v>2</v>
      </c>
      <c r="F38" s="28">
        <v>3000</v>
      </c>
      <c r="G38" s="28">
        <f>Table1356[[#This Row],[Rate /Trips]]*Table1356[[#This Row],[Trips]]</f>
        <v>6000</v>
      </c>
      <c r="H38" s="29">
        <v>6000</v>
      </c>
      <c r="I38" s="28">
        <f>Table1356[[#This Row],[Total Value]]-Table1356[[#This Row],[Received]]</f>
        <v>0</v>
      </c>
      <c r="J38" s="1" t="str">
        <f t="shared" si="0"/>
        <v>✅ Paid</v>
      </c>
    </row>
    <row r="39" spans="1:10" ht="19">
      <c r="A39" s="24">
        <v>45686</v>
      </c>
      <c r="B39" s="25" t="s">
        <v>38</v>
      </c>
      <c r="C39" s="25" t="s">
        <v>13</v>
      </c>
      <c r="D39" s="25" t="s">
        <v>39</v>
      </c>
      <c r="E39" s="4">
        <v>2</v>
      </c>
      <c r="F39" s="28">
        <v>2800</v>
      </c>
      <c r="G39" s="28">
        <f>Table1356[[#This Row],[Rate /Trips]]*Table1356[[#This Row],[Trips]]</f>
        <v>5600</v>
      </c>
      <c r="H39" s="29">
        <v>5600</v>
      </c>
      <c r="I39" s="28">
        <f>Table1356[[#This Row],[Total Value]]-Table1356[[#This Row],[Received]]</f>
        <v>0</v>
      </c>
      <c r="J39" s="1" t="str">
        <f t="shared" si="0"/>
        <v>✅ Paid</v>
      </c>
    </row>
    <row r="40" spans="1:10" ht="19">
      <c r="A40" s="24">
        <v>45687</v>
      </c>
      <c r="B40" s="31" t="s">
        <v>38</v>
      </c>
      <c r="C40" s="26" t="s">
        <v>36</v>
      </c>
      <c r="D40" s="26" t="s">
        <v>37</v>
      </c>
      <c r="E40" s="20">
        <v>2</v>
      </c>
      <c r="F40" s="29">
        <v>3200</v>
      </c>
      <c r="G40" s="28">
        <f t="shared" ref="G40:G45" si="1">F40*E40</f>
        <v>6400</v>
      </c>
      <c r="H40" s="29">
        <v>6400</v>
      </c>
      <c r="I40" s="28">
        <f>Table1356[[#This Row],[Total Value]]-Table1356[[#This Row],[Received]]</f>
        <v>0</v>
      </c>
      <c r="J40" s="1" t="str">
        <f t="shared" si="0"/>
        <v>✅ Paid</v>
      </c>
    </row>
    <row r="41" spans="1:10" ht="19">
      <c r="A41" s="24">
        <v>45687</v>
      </c>
      <c r="B41" s="25" t="s">
        <v>7</v>
      </c>
      <c r="C41" s="25" t="s">
        <v>17</v>
      </c>
      <c r="D41" s="25" t="s">
        <v>26</v>
      </c>
      <c r="E41" s="4">
        <v>6</v>
      </c>
      <c r="F41" s="28">
        <v>3000</v>
      </c>
      <c r="G41" s="28">
        <f t="shared" si="1"/>
        <v>18000</v>
      </c>
      <c r="H41" s="29">
        <v>18000</v>
      </c>
      <c r="I41" s="28">
        <f>Table1356[[#This Row],[Total Value]]-Table1356[[#This Row],[Received]]</f>
        <v>0</v>
      </c>
      <c r="J41" s="1" t="str">
        <f t="shared" si="0"/>
        <v>✅ Paid</v>
      </c>
    </row>
    <row r="42" spans="1:10" ht="19">
      <c r="A42" s="24">
        <v>45687</v>
      </c>
      <c r="B42" s="31" t="s">
        <v>43</v>
      </c>
      <c r="C42" s="26" t="s">
        <v>13</v>
      </c>
      <c r="D42" s="26" t="s">
        <v>41</v>
      </c>
      <c r="E42" s="20">
        <v>1</v>
      </c>
      <c r="F42" s="29">
        <v>2800</v>
      </c>
      <c r="G42" s="28">
        <f t="shared" si="1"/>
        <v>2800</v>
      </c>
      <c r="H42" s="29">
        <v>2800</v>
      </c>
      <c r="I42" s="28">
        <f>Table1356[[#This Row],[Total Value]]-Table1356[[#This Row],[Received]]</f>
        <v>0</v>
      </c>
      <c r="J42" s="1" t="str">
        <f t="shared" si="0"/>
        <v>✅ Paid</v>
      </c>
    </row>
    <row r="43" spans="1:10" ht="19">
      <c r="A43" s="24">
        <v>45688</v>
      </c>
      <c r="B43" s="25" t="s">
        <v>43</v>
      </c>
      <c r="C43" s="25" t="s">
        <v>44</v>
      </c>
      <c r="D43" s="25" t="s">
        <v>21</v>
      </c>
      <c r="E43" s="4">
        <v>1</v>
      </c>
      <c r="F43" s="28">
        <v>3000</v>
      </c>
      <c r="G43" s="28">
        <f t="shared" si="1"/>
        <v>3000</v>
      </c>
      <c r="H43" s="29">
        <v>3000</v>
      </c>
      <c r="I43" s="28">
        <f>Table1356[[#This Row],[Total Value]]-Table1356[[#This Row],[Received]]</f>
        <v>0</v>
      </c>
      <c r="J43" s="1" t="str">
        <f t="shared" si="0"/>
        <v>✅ Paid</v>
      </c>
    </row>
    <row r="44" spans="1:10" ht="19">
      <c r="A44" s="24">
        <v>45688</v>
      </c>
      <c r="B44" s="25" t="s">
        <v>7</v>
      </c>
      <c r="C44" s="25" t="s">
        <v>17</v>
      </c>
      <c r="D44" s="25" t="s">
        <v>18</v>
      </c>
      <c r="E44" s="4">
        <v>3</v>
      </c>
      <c r="F44" s="28">
        <v>3000</v>
      </c>
      <c r="G44" s="28">
        <f t="shared" si="1"/>
        <v>9000</v>
      </c>
      <c r="H44" s="29">
        <v>9000</v>
      </c>
      <c r="I44" s="28">
        <f>Table1356[[#This Row],[Total Value]]-Table1356[[#This Row],[Received]]</f>
        <v>0</v>
      </c>
      <c r="J44" s="1" t="str">
        <f t="shared" si="0"/>
        <v>✅ Paid</v>
      </c>
    </row>
    <row r="45" spans="1:10" ht="19">
      <c r="A45" s="24">
        <v>45688</v>
      </c>
      <c r="B45" s="25" t="s">
        <v>43</v>
      </c>
      <c r="C45" s="25" t="s">
        <v>17</v>
      </c>
      <c r="D45" s="25" t="s">
        <v>18</v>
      </c>
      <c r="E45" s="4">
        <v>4</v>
      </c>
      <c r="F45" s="28">
        <v>3000</v>
      </c>
      <c r="G45" s="28">
        <f t="shared" si="1"/>
        <v>12000</v>
      </c>
      <c r="H45" s="29">
        <v>12000</v>
      </c>
      <c r="I45" s="28">
        <f>Table1356[[#This Row],[Total Value]]-Table1356[[#This Row],[Received]]</f>
        <v>0</v>
      </c>
      <c r="J45" s="1" t="str">
        <f t="shared" si="0"/>
        <v>✅ Paid</v>
      </c>
    </row>
    <row r="46" spans="1:10" ht="19" customHeight="1">
      <c r="A46" s="1"/>
      <c r="B46" s="35"/>
      <c r="C46" s="22"/>
      <c r="D46" s="22"/>
      <c r="E46" s="22"/>
      <c r="F46" s="22"/>
      <c r="G46" s="23"/>
      <c r="H46" s="22"/>
      <c r="I46" s="23"/>
      <c r="J46" s="1"/>
    </row>
    <row r="47" spans="1:10" ht="19">
      <c r="A47" s="24"/>
      <c r="B47" s="25"/>
      <c r="C47" s="25"/>
      <c r="D47" s="25"/>
      <c r="E47" s="4"/>
      <c r="F47" s="28"/>
      <c r="G47" s="28"/>
      <c r="H47" s="29"/>
      <c r="I47" s="28"/>
      <c r="J47" s="1"/>
    </row>
    <row r="48" spans="1:10" ht="19">
      <c r="A48" s="24"/>
      <c r="B48" s="25"/>
      <c r="C48" s="25"/>
      <c r="D48" s="25"/>
      <c r="E48" s="4"/>
      <c r="F48" s="28"/>
      <c r="G48" s="28"/>
      <c r="H48" s="29"/>
      <c r="I48" s="28"/>
      <c r="J48" s="1"/>
    </row>
    <row r="49" spans="1:10" ht="19">
      <c r="A49" s="24"/>
      <c r="B49" s="31"/>
      <c r="C49" s="26"/>
      <c r="D49" s="26"/>
      <c r="E49" s="20"/>
      <c r="F49" s="29"/>
      <c r="G49" s="28"/>
      <c r="H49" s="29"/>
      <c r="I49" s="28"/>
      <c r="J49" s="1"/>
    </row>
    <row r="50" spans="1:10" ht="19">
      <c r="A50" s="24"/>
      <c r="B50" s="25"/>
      <c r="C50" s="25"/>
      <c r="D50" s="25"/>
      <c r="E50" s="4"/>
      <c r="F50" s="28"/>
      <c r="G50" s="28"/>
      <c r="H50" s="29"/>
      <c r="I50" s="28"/>
      <c r="J50" s="1"/>
    </row>
    <row r="51" spans="1:10" ht="19">
      <c r="A51" s="24"/>
      <c r="B51" s="25"/>
      <c r="C51" s="25"/>
      <c r="D51" s="25"/>
      <c r="E51" s="4"/>
      <c r="F51" s="28"/>
      <c r="G51" s="28"/>
      <c r="H51" s="29"/>
      <c r="I51" s="28"/>
      <c r="J51" s="1"/>
    </row>
    <row r="52" spans="1:10" ht="19">
      <c r="A52" s="24"/>
      <c r="B52" s="25"/>
      <c r="C52" s="25"/>
      <c r="D52" s="25"/>
      <c r="E52" s="4"/>
      <c r="F52" s="28"/>
      <c r="G52" s="28"/>
      <c r="H52" s="29"/>
      <c r="I52" s="28"/>
      <c r="J52" s="1"/>
    </row>
    <row r="53" spans="1:10" ht="19">
      <c r="A53" s="24"/>
      <c r="B53" s="25"/>
      <c r="C53" s="25"/>
      <c r="D53" s="25"/>
      <c r="E53" s="4"/>
      <c r="F53" s="28"/>
      <c r="G53" s="28"/>
      <c r="H53" s="29"/>
      <c r="I53" s="28"/>
      <c r="J53" s="1"/>
    </row>
    <row r="54" spans="1:10" ht="19">
      <c r="A54" s="24"/>
      <c r="B54" s="31"/>
      <c r="C54" s="26"/>
      <c r="D54" s="26"/>
      <c r="E54" s="20"/>
      <c r="F54" s="29"/>
      <c r="G54" s="28"/>
      <c r="H54" s="29"/>
      <c r="I54" s="28"/>
      <c r="J54" s="1"/>
    </row>
    <row r="55" spans="1:10" ht="19">
      <c r="A55" s="24"/>
      <c r="B55" s="25"/>
      <c r="C55" s="25"/>
      <c r="D55" s="25"/>
      <c r="E55" s="4"/>
      <c r="F55" s="28"/>
      <c r="G55" s="28"/>
      <c r="H55" s="29"/>
      <c r="I55" s="28"/>
      <c r="J55" s="1"/>
    </row>
    <row r="56" spans="1:10" ht="19">
      <c r="A56" s="24"/>
      <c r="B56" s="25"/>
      <c r="C56" s="25"/>
      <c r="D56" s="25"/>
      <c r="E56" s="4"/>
      <c r="F56" s="28"/>
      <c r="G56" s="28"/>
      <c r="H56" s="29"/>
      <c r="I56" s="28"/>
      <c r="J56" s="1"/>
    </row>
    <row r="57" spans="1:10" ht="19">
      <c r="A57" s="24"/>
      <c r="B57" s="25"/>
      <c r="C57" s="25"/>
      <c r="D57" s="25"/>
      <c r="E57" s="4"/>
      <c r="F57" s="28"/>
      <c r="G57" s="28"/>
      <c r="H57" s="29"/>
      <c r="I57" s="28"/>
      <c r="J57" s="1"/>
    </row>
    <row r="58" spans="1:10" ht="19">
      <c r="A58" s="24"/>
      <c r="B58" s="31"/>
      <c r="C58" s="26"/>
      <c r="D58" s="26"/>
      <c r="E58" s="20"/>
      <c r="F58" s="29"/>
      <c r="G58" s="28"/>
      <c r="H58" s="29"/>
      <c r="I58" s="28"/>
      <c r="J58" s="1"/>
    </row>
    <row r="59" spans="1:10" ht="19">
      <c r="A59" s="24"/>
      <c r="B59" s="25"/>
      <c r="C59" s="25"/>
      <c r="D59" s="25"/>
      <c r="E59" s="4"/>
      <c r="F59" s="28"/>
      <c r="G59" s="28"/>
      <c r="H59" s="29"/>
      <c r="I59" s="28"/>
      <c r="J59" s="1"/>
    </row>
    <row r="60" spans="1:10" ht="19">
      <c r="A60" s="24"/>
      <c r="B60" s="25"/>
      <c r="C60" s="25"/>
      <c r="D60" s="25"/>
      <c r="E60" s="4"/>
      <c r="F60" s="28"/>
      <c r="G60" s="28"/>
      <c r="H60" s="29"/>
      <c r="I60" s="29"/>
      <c r="J60" s="1"/>
    </row>
    <row r="61" spans="1:10" ht="19">
      <c r="A61" s="24"/>
      <c r="B61" s="25"/>
      <c r="C61" s="25"/>
      <c r="D61" s="25"/>
      <c r="E61" s="4"/>
      <c r="F61" s="28"/>
      <c r="G61" s="28"/>
      <c r="H61" s="29"/>
      <c r="I61" s="29"/>
      <c r="J61" s="1"/>
    </row>
    <row r="62" spans="1:10" ht="19">
      <c r="A62" s="27"/>
      <c r="B62" s="31"/>
      <c r="C62" s="26"/>
      <c r="D62" s="26"/>
      <c r="E62" s="20"/>
      <c r="F62" s="21"/>
      <c r="G62" s="21"/>
      <c r="H62" s="21"/>
      <c r="I62" s="21"/>
      <c r="J62" s="22"/>
    </row>
    <row r="63" spans="1:10" ht="21">
      <c r="D63" s="9"/>
      <c r="E63" s="10" t="s">
        <v>100</v>
      </c>
      <c r="F63" s="11"/>
      <c r="G63" s="12" t="s">
        <v>97</v>
      </c>
      <c r="H63" s="12" t="s">
        <v>101</v>
      </c>
      <c r="I63" s="12" t="s">
        <v>45</v>
      </c>
    </row>
    <row r="64" spans="1:10" ht="21">
      <c r="D64" s="13" t="s">
        <v>102</v>
      </c>
      <c r="E64" s="14">
        <f>SUM(E5:E62)</f>
        <v>106</v>
      </c>
      <c r="F64" s="15"/>
      <c r="G64" s="16">
        <f>SUM(G5:G62)</f>
        <v>302300</v>
      </c>
      <c r="H64" s="16">
        <f>SUM(H5:H62)</f>
        <v>289600</v>
      </c>
      <c r="I64" s="16">
        <f>SUM(I5:I62)</f>
        <v>12700</v>
      </c>
    </row>
    <row r="65" spans="1:9" ht="48" customHeight="1">
      <c r="A65" s="40" t="s">
        <v>103</v>
      </c>
      <c r="B65" s="40"/>
      <c r="C65" s="40"/>
      <c r="D65" s="17"/>
      <c r="E65" s="17"/>
      <c r="F65" s="17"/>
      <c r="G65" s="17"/>
      <c r="H65" s="17"/>
      <c r="I65" s="17"/>
    </row>
    <row r="70" spans="1:9" ht="29">
      <c r="A70" s="38" t="s">
        <v>91</v>
      </c>
      <c r="B70" s="38"/>
      <c r="C70" s="38"/>
      <c r="D70" s="38"/>
      <c r="E70" s="38"/>
      <c r="F70" s="38"/>
      <c r="G70" s="38"/>
      <c r="H70" s="38"/>
      <c r="I70" s="38"/>
    </row>
    <row r="71" spans="1:9">
      <c r="A71" s="39" t="s">
        <v>142</v>
      </c>
      <c r="B71" s="39"/>
      <c r="C71" s="39"/>
      <c r="D71" s="39"/>
      <c r="E71" s="39"/>
      <c r="F71" s="39"/>
      <c r="G71" s="39"/>
      <c r="H71" s="39"/>
      <c r="I71" s="39"/>
    </row>
    <row r="72" spans="1:9" ht="16">
      <c r="A72" s="6" t="s">
        <v>0</v>
      </c>
      <c r="B72" s="7" t="s">
        <v>93</v>
      </c>
      <c r="C72" s="7" t="s">
        <v>94</v>
      </c>
      <c r="D72" s="7" t="s">
        <v>95</v>
      </c>
      <c r="E72" s="8" t="s">
        <v>96</v>
      </c>
      <c r="F72" s="8" t="s">
        <v>97</v>
      </c>
      <c r="G72" s="8" t="s">
        <v>98</v>
      </c>
      <c r="H72" s="8" t="s">
        <v>1</v>
      </c>
      <c r="I72" s="8" t="s">
        <v>99</v>
      </c>
    </row>
    <row r="73" spans="1:9">
      <c r="A73" s="1"/>
      <c r="B73" s="1"/>
      <c r="C73" s="1"/>
      <c r="D73" s="1"/>
      <c r="E73" s="1"/>
      <c r="F73" s="23"/>
      <c r="G73" s="1"/>
      <c r="H73" s="23"/>
      <c r="I73" s="1"/>
    </row>
    <row r="74" spans="1:9" ht="19">
      <c r="A74" s="24">
        <v>45660</v>
      </c>
      <c r="B74" s="25" t="s">
        <v>2</v>
      </c>
      <c r="C74" s="25" t="s">
        <v>3</v>
      </c>
      <c r="D74" s="4">
        <v>2</v>
      </c>
      <c r="E74" s="28">
        <v>500</v>
      </c>
      <c r="F74" s="28">
        <f>Table135[[#This Row],[Rate /Trips]]*Table135[[#This Row],[Trips]]</f>
        <v>1000</v>
      </c>
      <c r="G74" s="28"/>
      <c r="H74" s="28">
        <f>Table135[[#This Row],[Total Value]]-Table135[[#This Row],[Received]]</f>
        <v>1000</v>
      </c>
      <c r="I74" s="1" t="str">
        <f t="shared" ref="I74:I108" si="2">IF(H74&gt;10000,"🚨 URGENT: "&amp;B74&amp;" owes ₹"&amp;H74,IF(H74&gt;5000,"⚠️ WARNING: "&amp;B74&amp;" - ₹"&amp;H74&amp;" due",IF(H74&gt;0,"ℹ️ "&amp;B74&amp;" - ₹"&amp;H74&amp;" pending","✅ Paid")))</f>
        <v>ℹ️ Golu  - ₹1000 pending</v>
      </c>
    </row>
    <row r="75" spans="1:9" ht="19">
      <c r="A75" s="24">
        <v>45660</v>
      </c>
      <c r="B75" s="25" t="s">
        <v>4</v>
      </c>
      <c r="C75" s="25" t="s">
        <v>3</v>
      </c>
      <c r="D75" s="4">
        <v>2</v>
      </c>
      <c r="E75" s="28">
        <v>500</v>
      </c>
      <c r="F75" s="28">
        <f>Table135[[#This Row],[Rate /Trips]]*Table135[[#This Row],[Trips]]</f>
        <v>1000</v>
      </c>
      <c r="G75" s="28">
        <v>1000</v>
      </c>
      <c r="H75" s="28">
        <f>Table135[[#This Row],[Total Value]]-Table135[[#This Row],[Received]]</f>
        <v>0</v>
      </c>
      <c r="I75" s="1" t="str">
        <f t="shared" si="2"/>
        <v>✅ Paid</v>
      </c>
    </row>
    <row r="76" spans="1:9" ht="19">
      <c r="A76" s="24">
        <v>45660</v>
      </c>
      <c r="B76" s="25" t="s">
        <v>5</v>
      </c>
      <c r="C76" s="25" t="s">
        <v>3</v>
      </c>
      <c r="D76" s="4">
        <v>2</v>
      </c>
      <c r="E76" s="28">
        <v>500</v>
      </c>
      <c r="F76" s="28">
        <f>Table135[[#This Row],[Rate /Trips]]*Table135[[#This Row],[Trips]]</f>
        <v>1000</v>
      </c>
      <c r="G76" s="28">
        <v>1000</v>
      </c>
      <c r="H76" s="28">
        <f>Table135[[#This Row],[Total Value]]-Table135[[#This Row],[Received]]</f>
        <v>0</v>
      </c>
      <c r="I76" s="1" t="str">
        <f t="shared" si="2"/>
        <v>✅ Paid</v>
      </c>
    </row>
    <row r="77" spans="1:9" ht="19">
      <c r="A77" s="24">
        <v>45660</v>
      </c>
      <c r="B77" s="25" t="s">
        <v>2</v>
      </c>
      <c r="C77" s="25" t="s">
        <v>3</v>
      </c>
      <c r="D77" s="4">
        <v>2</v>
      </c>
      <c r="E77" s="28">
        <v>500</v>
      </c>
      <c r="F77" s="28">
        <f>Table135[[#This Row],[Rate /Trips]]*Table135[[#This Row],[Trips]]</f>
        <v>1000</v>
      </c>
      <c r="G77" s="28"/>
      <c r="H77" s="28">
        <f>Table135[[#This Row],[Total Value]]-Table135[[#This Row],[Received]]</f>
        <v>1000</v>
      </c>
      <c r="I77" s="1" t="str">
        <f t="shared" si="2"/>
        <v>ℹ️ Golu  - ₹1000 pending</v>
      </c>
    </row>
    <row r="78" spans="1:9" ht="19">
      <c r="A78" s="24"/>
      <c r="B78" s="25"/>
      <c r="C78" s="25"/>
      <c r="D78" s="4"/>
      <c r="E78" s="28"/>
      <c r="F78" s="28"/>
      <c r="G78" s="28"/>
      <c r="H78" s="28"/>
      <c r="I78" s="1"/>
    </row>
    <row r="79" spans="1:9" ht="19">
      <c r="A79" s="24">
        <v>45665</v>
      </c>
      <c r="B79" s="25" t="s">
        <v>10</v>
      </c>
      <c r="C79" s="25" t="s">
        <v>3</v>
      </c>
      <c r="D79" s="4">
        <v>1</v>
      </c>
      <c r="E79" s="28">
        <v>500</v>
      </c>
      <c r="F79" s="28">
        <f>Table135[[#This Row],[Rate /Trips]]*Table135[[#This Row],[Trips]]</f>
        <v>500</v>
      </c>
      <c r="G79" s="28">
        <v>500</v>
      </c>
      <c r="H79" s="28">
        <f>Table135[[#This Row],[Total Value]]-Table135[[#This Row],[Received]]</f>
        <v>0</v>
      </c>
      <c r="I79" s="1" t="str">
        <f t="shared" si="2"/>
        <v>✅ Paid</v>
      </c>
    </row>
    <row r="80" spans="1:9" ht="19">
      <c r="A80" s="24">
        <v>45665</v>
      </c>
      <c r="B80" s="25" t="s">
        <v>11</v>
      </c>
      <c r="C80" s="25" t="s">
        <v>3</v>
      </c>
      <c r="D80" s="4">
        <v>1</v>
      </c>
      <c r="E80" s="28">
        <v>500</v>
      </c>
      <c r="F80" s="28">
        <f>Table135[[#This Row],[Rate /Trips]]*Table135[[#This Row],[Trips]]</f>
        <v>500</v>
      </c>
      <c r="G80" s="28">
        <v>500</v>
      </c>
      <c r="H80" s="28">
        <f>Table135[[#This Row],[Total Value]]-Table135[[#This Row],[Received]]</f>
        <v>0</v>
      </c>
      <c r="I80" s="1" t="str">
        <f t="shared" si="2"/>
        <v>✅ Paid</v>
      </c>
    </row>
    <row r="81" spans="1:9" ht="19">
      <c r="A81" s="24"/>
      <c r="B81" s="25"/>
      <c r="C81" s="25"/>
      <c r="D81" s="4"/>
      <c r="E81" s="28"/>
      <c r="F81" s="28"/>
      <c r="G81" s="28"/>
      <c r="H81" s="28"/>
      <c r="I81" s="1"/>
    </row>
    <row r="82" spans="1:9" ht="19">
      <c r="A82" s="24">
        <v>45668</v>
      </c>
      <c r="B82" s="25" t="s">
        <v>4</v>
      </c>
      <c r="C82" s="25" t="s">
        <v>3</v>
      </c>
      <c r="D82" s="4">
        <v>2</v>
      </c>
      <c r="E82" s="28">
        <v>500</v>
      </c>
      <c r="F82" s="28">
        <f>Table135[[#This Row],[Rate /Trips]]*Table135[[#This Row],[Trips]]</f>
        <v>1000</v>
      </c>
      <c r="G82" s="28">
        <v>1000</v>
      </c>
      <c r="H82" s="28">
        <f>Table135[[#This Row],[Total Value]]-Table135[[#This Row],[Received]]</f>
        <v>0</v>
      </c>
      <c r="I82" s="1" t="str">
        <f t="shared" si="2"/>
        <v>✅ Paid</v>
      </c>
    </row>
    <row r="83" spans="1:9" ht="19">
      <c r="A83" s="24"/>
      <c r="B83" s="25"/>
      <c r="C83" s="25"/>
      <c r="D83" s="4"/>
      <c r="E83" s="28"/>
      <c r="F83" s="28"/>
      <c r="G83" s="28"/>
      <c r="H83" s="28"/>
      <c r="I83" s="1"/>
    </row>
    <row r="84" spans="1:9" ht="19">
      <c r="A84" s="24">
        <v>45672</v>
      </c>
      <c r="B84" s="25" t="s">
        <v>4</v>
      </c>
      <c r="C84" s="25" t="s">
        <v>3</v>
      </c>
      <c r="D84" s="4">
        <v>3</v>
      </c>
      <c r="E84" s="28">
        <v>500</v>
      </c>
      <c r="F84" s="28">
        <f>Table135[[#This Row],[Rate /Trips]]*Table135[[#This Row],[Trips]]</f>
        <v>1500</v>
      </c>
      <c r="G84" s="29">
        <v>1500</v>
      </c>
      <c r="H84" s="28">
        <f>Table135[[#This Row],[Total Value]]-Table135[[#This Row],[Received]]</f>
        <v>0</v>
      </c>
      <c r="I84" s="1" t="str">
        <f t="shared" si="2"/>
        <v>✅ Paid</v>
      </c>
    </row>
    <row r="85" spans="1:9" ht="19">
      <c r="A85" s="24">
        <v>45672</v>
      </c>
      <c r="B85" s="25" t="s">
        <v>20</v>
      </c>
      <c r="C85" s="25" t="s">
        <v>22</v>
      </c>
      <c r="D85" s="4">
        <v>1</v>
      </c>
      <c r="E85" s="28">
        <v>800</v>
      </c>
      <c r="F85" s="28">
        <f>Table135[[#This Row],[Rate /Trips]]*Table135[[#This Row],[Trips]]</f>
        <v>800</v>
      </c>
      <c r="G85" s="29"/>
      <c r="H85" s="28">
        <f>Table135[[#This Row],[Total Value]]-Table135[[#This Row],[Received]]</f>
        <v>800</v>
      </c>
      <c r="I85" s="1" t="str">
        <f t="shared" si="2"/>
        <v>ℹ️ Balaji - ₹800 pending</v>
      </c>
    </row>
    <row r="86" spans="1:9" ht="19">
      <c r="A86" s="24"/>
      <c r="B86" s="26"/>
      <c r="C86" s="26"/>
      <c r="D86" s="20"/>
      <c r="E86" s="29"/>
      <c r="F86" s="28"/>
      <c r="G86" s="29"/>
      <c r="H86" s="28"/>
      <c r="I86" s="1"/>
    </row>
    <row r="87" spans="1:9" ht="19">
      <c r="A87" s="24">
        <v>45673</v>
      </c>
      <c r="B87" s="25" t="s">
        <v>20</v>
      </c>
      <c r="C87" s="25" t="s">
        <v>23</v>
      </c>
      <c r="D87" s="4">
        <v>1</v>
      </c>
      <c r="E87" s="28">
        <v>800</v>
      </c>
      <c r="F87" s="28">
        <f>Table135[[#This Row],[Rate /Trips]]*Table135[[#This Row],[Trips]]</f>
        <v>800</v>
      </c>
      <c r="G87" s="29"/>
      <c r="H87" s="28">
        <f>Table135[[#This Row],[Total Value]]-Table135[[#This Row],[Received]]</f>
        <v>800</v>
      </c>
      <c r="I87" s="1" t="str">
        <f t="shared" si="2"/>
        <v>ℹ️ Balaji - ₹800 pending</v>
      </c>
    </row>
    <row r="88" spans="1:9" ht="19">
      <c r="A88" s="24">
        <v>45673</v>
      </c>
      <c r="B88" s="25" t="s">
        <v>4</v>
      </c>
      <c r="C88" s="25" t="s">
        <v>3</v>
      </c>
      <c r="D88" s="4">
        <v>1</v>
      </c>
      <c r="E88" s="28">
        <v>500</v>
      </c>
      <c r="F88" s="28">
        <f>Table135[[#This Row],[Rate /Trips]]*Table135[[#This Row],[Trips]]</f>
        <v>500</v>
      </c>
      <c r="G88" s="29">
        <v>500</v>
      </c>
      <c r="H88" s="28">
        <f>Table135[[#This Row],[Total Value]]-Table135[[#This Row],[Received]]</f>
        <v>0</v>
      </c>
      <c r="I88" s="1" t="str">
        <f t="shared" si="2"/>
        <v>✅ Paid</v>
      </c>
    </row>
    <row r="89" spans="1:9" ht="19">
      <c r="A89" s="24">
        <v>45673</v>
      </c>
      <c r="B89" s="25" t="s">
        <v>24</v>
      </c>
      <c r="C89" s="25" t="s">
        <v>25</v>
      </c>
      <c r="D89" s="4">
        <v>1</v>
      </c>
      <c r="E89" s="28">
        <v>500</v>
      </c>
      <c r="F89" s="28">
        <f>Table135[[#This Row],[Rate /Trips]]*Table135[[#This Row],[Trips]]</f>
        <v>500</v>
      </c>
      <c r="G89" s="29"/>
      <c r="H89" s="28">
        <f>Table135[[#This Row],[Total Value]]-Table135[[#This Row],[Received]]</f>
        <v>500</v>
      </c>
      <c r="I89" s="1" t="str">
        <f t="shared" si="2"/>
        <v>ℹ️ Manish Uncle - ₹500 pending</v>
      </c>
    </row>
    <row r="90" spans="1:9" ht="19">
      <c r="A90" s="24"/>
      <c r="B90" s="26"/>
      <c r="C90" s="26"/>
      <c r="D90" s="20"/>
      <c r="E90" s="29"/>
      <c r="F90" s="28"/>
      <c r="G90" s="29"/>
      <c r="H90" s="28"/>
      <c r="I90" s="1"/>
    </row>
    <row r="91" spans="1:9" ht="19">
      <c r="A91" s="24">
        <v>45677</v>
      </c>
      <c r="B91" s="25" t="s">
        <v>4</v>
      </c>
      <c r="C91" s="25" t="s">
        <v>3</v>
      </c>
      <c r="D91" s="4">
        <v>1</v>
      </c>
      <c r="E91" s="28">
        <v>500</v>
      </c>
      <c r="F91" s="28">
        <f>Table135[[#This Row],[Rate /Trips]]*Table135[[#This Row],[Trips]]</f>
        <v>500</v>
      </c>
      <c r="G91" s="29">
        <v>500</v>
      </c>
      <c r="H91" s="28">
        <f>Table135[[#This Row],[Total Value]]-Table135[[#This Row],[Received]]</f>
        <v>0</v>
      </c>
      <c r="I91" s="1" t="str">
        <f t="shared" si="2"/>
        <v>✅ Paid</v>
      </c>
    </row>
    <row r="92" spans="1:9" ht="19">
      <c r="A92" s="24"/>
      <c r="B92" s="26"/>
      <c r="C92" s="26"/>
      <c r="D92" s="20"/>
      <c r="E92" s="29"/>
      <c r="F92" s="28"/>
      <c r="G92" s="29"/>
      <c r="H92" s="28"/>
      <c r="I92" s="1"/>
    </row>
    <row r="93" spans="1:9" ht="19">
      <c r="A93" s="24">
        <v>45681</v>
      </c>
      <c r="B93" s="25" t="s">
        <v>4</v>
      </c>
      <c r="C93" s="25" t="s">
        <v>3</v>
      </c>
      <c r="D93" s="4">
        <v>2</v>
      </c>
      <c r="E93" s="28">
        <v>500</v>
      </c>
      <c r="F93" s="28">
        <f>Table135[[#This Row],[Rate /Trips]]*Table135[[#This Row],[Trips]]</f>
        <v>1000</v>
      </c>
      <c r="G93" s="29">
        <v>1000</v>
      </c>
      <c r="H93" s="28">
        <f>Table135[[#This Row],[Total Value]]-Table135[[#This Row],[Received]]</f>
        <v>0</v>
      </c>
      <c r="I93" s="1" t="str">
        <f t="shared" si="2"/>
        <v>✅ Paid</v>
      </c>
    </row>
    <row r="94" spans="1:9" ht="19">
      <c r="A94" s="24"/>
      <c r="B94" s="26"/>
      <c r="C94" s="26"/>
      <c r="D94" s="20"/>
      <c r="E94" s="29"/>
      <c r="F94" s="28"/>
      <c r="G94" s="29"/>
      <c r="H94" s="28"/>
      <c r="I94" s="1"/>
    </row>
    <row r="95" spans="1:9" ht="19">
      <c r="A95" s="24">
        <v>45684</v>
      </c>
      <c r="B95" s="25" t="s">
        <v>4</v>
      </c>
      <c r="C95" s="25" t="s">
        <v>3</v>
      </c>
      <c r="D95" s="4">
        <v>2</v>
      </c>
      <c r="E95" s="28">
        <v>500</v>
      </c>
      <c r="F95" s="28">
        <f>Table135[[#This Row],[Rate /Trips]]*Table135[[#This Row],[Trips]]</f>
        <v>1000</v>
      </c>
      <c r="G95" s="29">
        <v>1000</v>
      </c>
      <c r="H95" s="28">
        <f>Table135[[#This Row],[Total Value]]-Table135[[#This Row],[Received]]</f>
        <v>0</v>
      </c>
      <c r="I95" s="1" t="str">
        <f t="shared" si="2"/>
        <v>✅ Paid</v>
      </c>
    </row>
    <row r="96" spans="1:9" ht="19">
      <c r="A96" s="24"/>
      <c r="B96" s="26"/>
      <c r="C96" s="26"/>
      <c r="D96" s="20"/>
      <c r="E96" s="29"/>
      <c r="F96" s="28"/>
      <c r="G96" s="29"/>
      <c r="H96" s="28"/>
      <c r="I96" s="1"/>
    </row>
    <row r="97" spans="1:9" ht="19">
      <c r="A97" s="24">
        <v>45685</v>
      </c>
      <c r="B97" s="25" t="s">
        <v>35</v>
      </c>
      <c r="C97" s="25" t="s">
        <v>3</v>
      </c>
      <c r="D97" s="4">
        <v>2</v>
      </c>
      <c r="E97" s="28">
        <v>500</v>
      </c>
      <c r="F97" s="28">
        <f>Table135[[#This Row],[Rate /Trips]]*Table135[[#This Row],[Trips]]</f>
        <v>1000</v>
      </c>
      <c r="G97" s="29"/>
      <c r="H97" s="28">
        <f>Table135[[#This Row],[Total Value]]-Table135[[#This Row],[Received]]</f>
        <v>1000</v>
      </c>
      <c r="I97" s="1" t="str">
        <f t="shared" si="2"/>
        <v>ℹ️ Sailesh Choudhary - ₹1000 pending</v>
      </c>
    </row>
    <row r="98" spans="1:9" ht="19">
      <c r="A98" s="24">
        <v>45685</v>
      </c>
      <c r="B98" s="25" t="s">
        <v>4</v>
      </c>
      <c r="C98" s="25" t="s">
        <v>3</v>
      </c>
      <c r="D98" s="4">
        <v>2</v>
      </c>
      <c r="E98" s="28">
        <v>500</v>
      </c>
      <c r="F98" s="28">
        <f>Table135[[#This Row],[Rate /Trips]]*Table135[[#This Row],[Trips]]</f>
        <v>1000</v>
      </c>
      <c r="G98" s="29">
        <v>1000</v>
      </c>
      <c r="H98" s="28">
        <f>Table135[[#This Row],[Total Value]]-Table135[[#This Row],[Received]]</f>
        <v>0</v>
      </c>
      <c r="I98" s="1" t="str">
        <f t="shared" si="2"/>
        <v>✅ Paid</v>
      </c>
    </row>
    <row r="99" spans="1:9" ht="19">
      <c r="A99" s="24"/>
      <c r="B99" s="26"/>
      <c r="C99" s="26"/>
      <c r="D99" s="20"/>
      <c r="E99" s="29"/>
      <c r="F99" s="28"/>
      <c r="G99" s="29"/>
      <c r="H99" s="28"/>
      <c r="I99" s="1"/>
    </row>
    <row r="100" spans="1:9" ht="19">
      <c r="A100" s="24">
        <v>45686</v>
      </c>
      <c r="B100" s="25" t="s">
        <v>35</v>
      </c>
      <c r="C100" s="25" t="s">
        <v>3</v>
      </c>
      <c r="D100" s="4">
        <v>4</v>
      </c>
      <c r="E100" s="28">
        <v>500</v>
      </c>
      <c r="F100" s="28">
        <f>Table135[[#This Row],[Rate /Trips]]*Table135[[#This Row],[Trips]]</f>
        <v>2000</v>
      </c>
      <c r="G100" s="29"/>
      <c r="H100" s="28">
        <f>Table135[[#This Row],[Total Value]]-Table135[[#This Row],[Received]]</f>
        <v>2000</v>
      </c>
      <c r="I100" s="1" t="str">
        <f t="shared" si="2"/>
        <v>ℹ️ Sailesh Choudhary - ₹2000 pending</v>
      </c>
    </row>
    <row r="101" spans="1:9" ht="19">
      <c r="A101" s="24"/>
      <c r="B101" s="26"/>
      <c r="C101" s="26"/>
      <c r="D101" s="20"/>
      <c r="E101" s="29"/>
      <c r="F101" s="28"/>
      <c r="G101" s="29"/>
      <c r="H101" s="28"/>
      <c r="I101" s="1"/>
    </row>
    <row r="102" spans="1:9" ht="19">
      <c r="A102" s="24">
        <v>45687</v>
      </c>
      <c r="B102" s="25" t="s">
        <v>35</v>
      </c>
      <c r="C102" s="25" t="s">
        <v>3</v>
      </c>
      <c r="D102" s="4">
        <v>2</v>
      </c>
      <c r="E102" s="28">
        <v>500</v>
      </c>
      <c r="F102" s="28">
        <f>Table135[[#This Row],[Rate /Trips]]*Table135[[#This Row],[Trips]]</f>
        <v>1000</v>
      </c>
      <c r="G102" s="29"/>
      <c r="H102" s="28">
        <f>Table135[[#This Row],[Total Value]]-Table135[[#This Row],[Received]]</f>
        <v>1000</v>
      </c>
      <c r="I102" s="1" t="str">
        <f t="shared" si="2"/>
        <v>ℹ️ Sailesh Choudhary - ₹1000 pending</v>
      </c>
    </row>
    <row r="103" spans="1:9" ht="19">
      <c r="A103" s="24">
        <v>45687</v>
      </c>
      <c r="B103" s="25" t="s">
        <v>4</v>
      </c>
      <c r="C103" s="25" t="s">
        <v>3</v>
      </c>
      <c r="D103" s="4">
        <v>2</v>
      </c>
      <c r="E103" s="28">
        <v>500</v>
      </c>
      <c r="F103" s="28">
        <f>Table135[[#This Row],[Rate /Trips]]*Table135[[#This Row],[Trips]]</f>
        <v>1000</v>
      </c>
      <c r="G103" s="29">
        <v>1000</v>
      </c>
      <c r="H103" s="28">
        <f>Table135[[#This Row],[Total Value]]-Table135[[#This Row],[Received]]</f>
        <v>0</v>
      </c>
      <c r="I103" s="1" t="str">
        <f t="shared" si="2"/>
        <v>✅ Paid</v>
      </c>
    </row>
    <row r="104" spans="1:9" ht="19">
      <c r="A104" s="24">
        <v>45687</v>
      </c>
      <c r="B104" s="25" t="s">
        <v>40</v>
      </c>
      <c r="C104" s="25" t="s">
        <v>3</v>
      </c>
      <c r="D104" s="4">
        <v>2</v>
      </c>
      <c r="E104" s="28">
        <v>500</v>
      </c>
      <c r="F104" s="28">
        <f>Table135[[#This Row],[Rate /Trips]]*Table135[[#This Row],[Trips]]</f>
        <v>1000</v>
      </c>
      <c r="G104" s="29">
        <v>1000</v>
      </c>
      <c r="H104" s="28">
        <f>Table135[[#This Row],[Total Value]]-Table135[[#This Row],[Received]]</f>
        <v>0</v>
      </c>
      <c r="I104" s="1" t="str">
        <f t="shared" si="2"/>
        <v>✅ Paid</v>
      </c>
    </row>
    <row r="105" spans="1:9" ht="19">
      <c r="A105" s="24"/>
      <c r="B105" s="26"/>
      <c r="C105" s="26"/>
      <c r="D105" s="20"/>
      <c r="E105" s="29"/>
      <c r="F105" s="28"/>
      <c r="G105" s="29"/>
      <c r="H105" s="28"/>
      <c r="I105" s="1"/>
    </row>
    <row r="106" spans="1:9" ht="19">
      <c r="A106" s="24">
        <v>45688</v>
      </c>
      <c r="B106" s="25" t="s">
        <v>4</v>
      </c>
      <c r="C106" s="25" t="s">
        <v>3</v>
      </c>
      <c r="D106" s="4">
        <v>2</v>
      </c>
      <c r="E106" s="28">
        <v>500</v>
      </c>
      <c r="F106" s="28">
        <f>Table135[[#This Row],[Rate /Trips]]*Table135[[#This Row],[Trips]]</f>
        <v>1000</v>
      </c>
      <c r="G106" s="29">
        <v>1000</v>
      </c>
      <c r="H106" s="28">
        <f>Table135[[#This Row],[Total Value]]-Table135[[#This Row],[Received]]</f>
        <v>0</v>
      </c>
      <c r="I106" s="1" t="str">
        <f t="shared" si="2"/>
        <v>✅ Paid</v>
      </c>
    </row>
    <row r="107" spans="1:9" ht="19">
      <c r="A107" s="24">
        <v>45688</v>
      </c>
      <c r="B107" s="25" t="s">
        <v>35</v>
      </c>
      <c r="C107" s="25" t="s">
        <v>3</v>
      </c>
      <c r="D107" s="4">
        <v>1</v>
      </c>
      <c r="E107" s="28">
        <v>500</v>
      </c>
      <c r="F107" s="29">
        <f>Table135[[#This Row],[Rate /Trips]]*Table135[[#This Row],[Trips]]</f>
        <v>500</v>
      </c>
      <c r="G107" s="29"/>
      <c r="H107" s="29">
        <f>Table135[[#This Row],[Total Value]]-Table135[[#This Row],[Received]]</f>
        <v>500</v>
      </c>
      <c r="I107" s="1" t="str">
        <f t="shared" si="2"/>
        <v>ℹ️ Sailesh Choudhary - ₹500 pending</v>
      </c>
    </row>
    <row r="108" spans="1:9" ht="19">
      <c r="A108" s="24">
        <v>45688</v>
      </c>
      <c r="B108" s="25" t="s">
        <v>42</v>
      </c>
      <c r="C108" s="25" t="s">
        <v>3</v>
      </c>
      <c r="D108" s="4">
        <v>1</v>
      </c>
      <c r="E108" s="28">
        <v>600</v>
      </c>
      <c r="F108" s="29">
        <f>Table135[[#This Row],[Rate /Trips]]*Table135[[#This Row],[Trips]]</f>
        <v>600</v>
      </c>
      <c r="G108" s="29"/>
      <c r="H108" s="29">
        <f>Table135[[#This Row],[Total Value]]-Table135[[#This Row],[Received]]</f>
        <v>600</v>
      </c>
      <c r="I108" s="1" t="str">
        <f t="shared" si="2"/>
        <v>ℹ️ Nilesh  - ₹600 pending</v>
      </c>
    </row>
    <row r="109" spans="1:9" ht="19">
      <c r="A109" s="27"/>
      <c r="B109" s="26"/>
      <c r="C109" s="26"/>
      <c r="D109" s="20"/>
      <c r="E109" s="21"/>
      <c r="F109" s="21"/>
      <c r="G109" s="21"/>
      <c r="H109" s="21"/>
      <c r="I109" s="22"/>
    </row>
    <row r="110" spans="1:9" ht="21">
      <c r="C110" s="9"/>
      <c r="D110" s="10" t="s">
        <v>100</v>
      </c>
      <c r="F110" s="12" t="s">
        <v>97</v>
      </c>
      <c r="G110" s="12" t="s">
        <v>101</v>
      </c>
      <c r="H110" s="12" t="s">
        <v>45</v>
      </c>
    </row>
    <row r="111" spans="1:9" ht="21">
      <c r="C111" s="13" t="s">
        <v>102</v>
      </c>
      <c r="D111" s="14">
        <f>SUM(D74:D109)</f>
        <v>42</v>
      </c>
      <c r="F111" s="16">
        <f>SUM(F74:F109)</f>
        <v>21700</v>
      </c>
      <c r="G111" s="16">
        <f>SUM(G74:G109)</f>
        <v>12500</v>
      </c>
      <c r="H111" s="16">
        <f>SUM(H74:H109)</f>
        <v>9200</v>
      </c>
    </row>
    <row r="112" spans="1:9" ht="46" customHeight="1">
      <c r="A112" s="40" t="s">
        <v>103</v>
      </c>
      <c r="B112" s="40"/>
      <c r="C112" s="40"/>
      <c r="D112" s="17"/>
      <c r="E112" s="17"/>
      <c r="F112" s="17"/>
      <c r="G112" s="17"/>
      <c r="H112" s="17"/>
      <c r="I112" s="17"/>
    </row>
    <row r="120" spans="1:10" ht="29">
      <c r="A120" s="38" t="s">
        <v>91</v>
      </c>
      <c r="B120" s="38"/>
      <c r="C120" s="38"/>
      <c r="D120" s="38"/>
      <c r="E120" s="38"/>
      <c r="F120" s="38"/>
      <c r="G120" s="38"/>
      <c r="H120" s="38"/>
      <c r="I120" s="38"/>
      <c r="J120" s="38"/>
    </row>
    <row r="121" spans="1:10">
      <c r="A121" s="39" t="s">
        <v>141</v>
      </c>
      <c r="B121" s="39"/>
      <c r="C121" s="39"/>
      <c r="D121" s="39"/>
      <c r="E121" s="39"/>
      <c r="F121" s="39"/>
      <c r="G121" s="39"/>
      <c r="H121" s="39"/>
      <c r="I121" s="39"/>
      <c r="J121" s="39"/>
    </row>
    <row r="122" spans="1:10" ht="16">
      <c r="A122" s="6" t="s">
        <v>0</v>
      </c>
      <c r="B122" s="7" t="s">
        <v>92</v>
      </c>
      <c r="C122" s="7" t="s">
        <v>93</v>
      </c>
      <c r="D122" s="7" t="s">
        <v>94</v>
      </c>
      <c r="E122" s="7" t="s">
        <v>95</v>
      </c>
      <c r="F122" s="8" t="s">
        <v>96</v>
      </c>
      <c r="G122" s="8" t="s">
        <v>97</v>
      </c>
      <c r="H122" s="8" t="s">
        <v>98</v>
      </c>
      <c r="I122" s="8" t="s">
        <v>1</v>
      </c>
      <c r="J122" s="8" t="s">
        <v>99</v>
      </c>
    </row>
    <row r="123" spans="1:10" ht="19">
      <c r="A123" s="24">
        <v>45672</v>
      </c>
      <c r="B123" s="30" t="s">
        <v>12</v>
      </c>
      <c r="C123" s="25" t="s">
        <v>20</v>
      </c>
      <c r="D123" s="25" t="s">
        <v>21</v>
      </c>
      <c r="E123" s="4">
        <v>1</v>
      </c>
      <c r="F123" s="28">
        <v>2500</v>
      </c>
      <c r="G123" s="28">
        <f>Table135629[[#This Row],[Rate /Trips]]*Table135629[[#This Row],[Trips]]</f>
        <v>2500</v>
      </c>
      <c r="H123" s="28"/>
      <c r="I123" s="28">
        <f>Table135629[[#This Row],[Total Value]]-Table135629[[#This Row],[Received]]</f>
        <v>2500</v>
      </c>
      <c r="J123" s="1" t="str">
        <f>IF(I123&gt;10000,"🚨 URGENT: "&amp;C123&amp;" owes ₹"&amp;I123,IF(I123&gt;5000,"⚠️ WARNING: "&amp;C123&amp;" - ₹"&amp;I123&amp;" due",IF(I123&gt;0,"ℹ️ "&amp;C123&amp;" - ₹"&amp;I123&amp;" pending","✅ Paid")))</f>
        <v>ℹ️ Balaji - ₹2500 pending</v>
      </c>
    </row>
    <row r="124" spans="1:10" ht="19">
      <c r="A124" s="24">
        <v>45673</v>
      </c>
      <c r="B124" s="30" t="s">
        <v>12</v>
      </c>
      <c r="C124" s="25" t="s">
        <v>27</v>
      </c>
      <c r="D124" s="25" t="s">
        <v>21</v>
      </c>
      <c r="E124" s="4">
        <v>1</v>
      </c>
      <c r="F124" s="28">
        <v>2500</v>
      </c>
      <c r="G124" s="28">
        <f>F124*E124</f>
        <v>2500</v>
      </c>
      <c r="H124" s="28"/>
      <c r="I124" s="28">
        <f>Table135629[[#This Row],[Total Value]]-Table135629[[#This Row],[Received]]</f>
        <v>2500</v>
      </c>
      <c r="J124" s="1" t="str">
        <f>IF(I124&gt;10000,"🚨 URGENT: "&amp;C124&amp;" owes ₹"&amp;I124,IF(I124&gt;5000,"⚠️ WARNING: "&amp;C124&amp;" - ₹"&amp;I124&amp;" due",IF(I124&gt;0,"ℹ️ "&amp;C124&amp;" - ₹"&amp;I124&amp;" pending","✅ Paid")))</f>
        <v>ℹ️ Golu - ₹2500 pending</v>
      </c>
    </row>
    <row r="125" spans="1:10" ht="19">
      <c r="A125" s="24">
        <v>45667</v>
      </c>
      <c r="B125" s="25" t="s">
        <v>7</v>
      </c>
      <c r="C125" s="25" t="s">
        <v>15</v>
      </c>
      <c r="D125" s="25" t="s">
        <v>16</v>
      </c>
      <c r="E125" s="4">
        <v>1</v>
      </c>
      <c r="F125" s="28">
        <v>2700</v>
      </c>
      <c r="G125" s="28">
        <f>Table135629[[#This Row],[Rate /Trips]]*Table135629[[#This Row],[Trips]]</f>
        <v>2700</v>
      </c>
      <c r="H125" s="29"/>
      <c r="I125" s="28">
        <f>Table135629[[#This Row],[Total Value]]-Table135629[[#This Row],[Received]]</f>
        <v>2700</v>
      </c>
      <c r="J125" s="1" t="str">
        <f>IF(I125&gt;10000,"🚨 URGENT: "&amp;C125&amp;" owes ₹"&amp;I125,IF(I125&gt;5000,"⚠️ WARNING: "&amp;C125&amp;" - ₹"&amp;I125&amp;" due",IF(I125&gt;0,"ℹ️ "&amp;C125&amp;" - ₹"&amp;I125&amp;" pending","✅ Paid")))</f>
        <v>ℹ️ Shubham Dada - ₹2700 pending</v>
      </c>
    </row>
    <row r="126" spans="1:10" ht="19">
      <c r="A126" s="24">
        <v>45669</v>
      </c>
      <c r="B126" s="25" t="s">
        <v>7</v>
      </c>
      <c r="C126" s="25" t="s">
        <v>15</v>
      </c>
      <c r="D126" s="25" t="s">
        <v>9</v>
      </c>
      <c r="E126" s="4">
        <v>2</v>
      </c>
      <c r="F126" s="28">
        <v>2500</v>
      </c>
      <c r="G126" s="28">
        <f>Table135629[[#This Row],[Rate /Trips]]*Table135629[[#This Row],[Trips]]</f>
        <v>5000</v>
      </c>
      <c r="H126" s="29"/>
      <c r="I126" s="28">
        <f>Table135629[[#This Row],[Total Value]]-Table135629[[#This Row],[Received]]</f>
        <v>5000</v>
      </c>
      <c r="J126" s="1" t="str">
        <f>IF(I126&gt;10000,"🚨 URGENT: "&amp;C126&amp;" owes ₹"&amp;I126,IF(I126&gt;5000,"⚠️ WARNING: "&amp;C126&amp;" - ₹"&amp;I126&amp;" due",IF(I126&gt;0,"ℹ️ "&amp;C126&amp;" - ₹"&amp;I126&amp;" pending","✅ Paid")))</f>
        <v>ℹ️ Shubham Dada - ₹5000 pending</v>
      </c>
    </row>
    <row r="127" spans="1:10" ht="19" customHeight="1">
      <c r="A127" s="1"/>
      <c r="B127" s="35"/>
      <c r="C127" s="22"/>
      <c r="D127" s="22"/>
      <c r="E127" s="22"/>
      <c r="F127" s="22"/>
      <c r="G127" s="23"/>
      <c r="H127" s="22"/>
      <c r="I127" s="23"/>
      <c r="J127" s="1"/>
    </row>
    <row r="128" spans="1:10" ht="19">
      <c r="A128" s="24"/>
      <c r="B128" s="25"/>
      <c r="C128" s="25"/>
      <c r="D128" s="25"/>
      <c r="E128" s="4"/>
      <c r="F128" s="28"/>
      <c r="G128" s="28"/>
      <c r="H128" s="29"/>
      <c r="I128" s="28"/>
      <c r="J128" s="1"/>
    </row>
    <row r="129" spans="1:10" ht="19">
      <c r="A129" s="24"/>
      <c r="B129" s="25"/>
      <c r="C129" s="25"/>
      <c r="D129" s="25"/>
      <c r="E129" s="4"/>
      <c r="F129" s="28"/>
      <c r="G129" s="28"/>
      <c r="H129" s="29"/>
      <c r="I129" s="28"/>
      <c r="J129" s="1"/>
    </row>
    <row r="130" spans="1:10" ht="19">
      <c r="A130" s="24"/>
      <c r="B130" s="31"/>
      <c r="C130" s="26"/>
      <c r="D130" s="26"/>
      <c r="E130" s="20"/>
      <c r="F130" s="29"/>
      <c r="G130" s="28"/>
      <c r="H130" s="29"/>
      <c r="I130" s="28"/>
      <c r="J130" s="1"/>
    </row>
    <row r="131" spans="1:10" ht="19">
      <c r="A131" s="24"/>
      <c r="B131" s="25"/>
      <c r="C131" s="25"/>
      <c r="D131" s="25"/>
      <c r="E131" s="4"/>
      <c r="F131" s="28"/>
      <c r="G131" s="28"/>
      <c r="H131" s="29"/>
      <c r="I131" s="28"/>
      <c r="J131" s="1"/>
    </row>
    <row r="132" spans="1:10" ht="19">
      <c r="A132" s="24"/>
      <c r="B132" s="25"/>
      <c r="C132" s="25"/>
      <c r="D132" s="25"/>
      <c r="E132" s="4"/>
      <c r="F132" s="28"/>
      <c r="G132" s="28"/>
      <c r="H132" s="29"/>
      <c r="I132" s="28"/>
      <c r="J132" s="1"/>
    </row>
    <row r="133" spans="1:10" ht="19">
      <c r="A133" s="24"/>
      <c r="B133" s="25"/>
      <c r="C133" s="25"/>
      <c r="D133" s="25"/>
      <c r="E133" s="4"/>
      <c r="F133" s="28"/>
      <c r="G133" s="28"/>
      <c r="H133" s="29"/>
      <c r="I133" s="28"/>
      <c r="J133" s="1"/>
    </row>
    <row r="134" spans="1:10" ht="19">
      <c r="A134" s="24"/>
      <c r="B134" s="25"/>
      <c r="C134" s="25"/>
      <c r="D134" s="25"/>
      <c r="E134" s="4"/>
      <c r="F134" s="28"/>
      <c r="G134" s="28"/>
      <c r="H134" s="29"/>
      <c r="I134" s="28"/>
      <c r="J134" s="1"/>
    </row>
    <row r="135" spans="1:10" ht="19">
      <c r="A135" s="24"/>
      <c r="B135" s="31"/>
      <c r="C135" s="26"/>
      <c r="D135" s="26"/>
      <c r="E135" s="20"/>
      <c r="F135" s="29"/>
      <c r="G135" s="28"/>
      <c r="H135" s="29"/>
      <c r="I135" s="28"/>
      <c r="J135" s="1"/>
    </row>
    <row r="136" spans="1:10" ht="19">
      <c r="A136" s="24"/>
      <c r="B136" s="25"/>
      <c r="C136" s="25"/>
      <c r="D136" s="25"/>
      <c r="E136" s="4"/>
      <c r="F136" s="28"/>
      <c r="G136" s="28"/>
      <c r="H136" s="29"/>
      <c r="I136" s="28"/>
      <c r="J136" s="1"/>
    </row>
    <row r="137" spans="1:10" ht="19">
      <c r="A137" s="24"/>
      <c r="B137" s="25"/>
      <c r="C137" s="25"/>
      <c r="D137" s="25"/>
      <c r="E137" s="4"/>
      <c r="F137" s="28"/>
      <c r="G137" s="28"/>
      <c r="H137" s="29"/>
      <c r="I137" s="28"/>
      <c r="J137" s="1"/>
    </row>
    <row r="138" spans="1:10" ht="19">
      <c r="A138" s="24"/>
      <c r="B138" s="25"/>
      <c r="C138" s="25"/>
      <c r="D138" s="25"/>
      <c r="E138" s="4"/>
      <c r="F138" s="28"/>
      <c r="G138" s="28"/>
      <c r="H138" s="29"/>
      <c r="I138" s="28"/>
      <c r="J138" s="1"/>
    </row>
    <row r="139" spans="1:10" ht="19">
      <c r="A139" s="24"/>
      <c r="B139" s="31"/>
      <c r="C139" s="26"/>
      <c r="D139" s="26"/>
      <c r="E139" s="20"/>
      <c r="F139" s="29"/>
      <c r="G139" s="28"/>
      <c r="H139" s="29"/>
      <c r="I139" s="28"/>
      <c r="J139" s="1"/>
    </row>
    <row r="140" spans="1:10" ht="19">
      <c r="A140" s="24"/>
      <c r="B140" s="25"/>
      <c r="C140" s="25"/>
      <c r="D140" s="25"/>
      <c r="E140" s="4"/>
      <c r="F140" s="28"/>
      <c r="G140" s="28"/>
      <c r="H140" s="29"/>
      <c r="I140" s="28"/>
      <c r="J140" s="1"/>
    </row>
    <row r="141" spans="1:10" ht="19">
      <c r="A141" s="24"/>
      <c r="B141" s="25"/>
      <c r="C141" s="25"/>
      <c r="D141" s="25"/>
      <c r="E141" s="4"/>
      <c r="F141" s="28"/>
      <c r="G141" s="28"/>
      <c r="H141" s="29"/>
      <c r="I141" s="29"/>
      <c r="J141" s="1"/>
    </row>
    <row r="142" spans="1:10" ht="19">
      <c r="A142" s="24"/>
      <c r="B142" s="25"/>
      <c r="C142" s="25"/>
      <c r="D142" s="25"/>
      <c r="E142" s="4"/>
      <c r="F142" s="28"/>
      <c r="G142" s="28"/>
      <c r="H142" s="29"/>
      <c r="I142" s="29"/>
      <c r="J142" s="1"/>
    </row>
    <row r="143" spans="1:10" ht="19">
      <c r="A143" s="27"/>
      <c r="B143" s="31"/>
      <c r="C143" s="26"/>
      <c r="D143" s="26"/>
      <c r="E143" s="20"/>
      <c r="F143" s="21"/>
      <c r="G143" s="21"/>
      <c r="H143" s="21"/>
      <c r="I143" s="21"/>
      <c r="J143" s="22"/>
    </row>
    <row r="144" spans="1:10" ht="21">
      <c r="D144" s="9"/>
      <c r="E144" s="10" t="s">
        <v>100</v>
      </c>
      <c r="F144" s="11"/>
      <c r="G144" s="12" t="s">
        <v>97</v>
      </c>
      <c r="H144" s="12" t="s">
        <v>101</v>
      </c>
      <c r="I144" s="12" t="s">
        <v>45</v>
      </c>
    </row>
    <row r="145" spans="4:9" ht="21">
      <c r="D145" s="13" t="s">
        <v>102</v>
      </c>
      <c r="E145" s="14">
        <f>SUM(E123:E143)</f>
        <v>5</v>
      </c>
      <c r="F145" s="15"/>
      <c r="G145" s="16">
        <f>SUM(G123:G143)</f>
        <v>12700</v>
      </c>
      <c r="H145" s="16">
        <f>SUM(H123:H143)</f>
        <v>0</v>
      </c>
      <c r="I145" s="16">
        <f>SUM(I123:I143)</f>
        <v>12700</v>
      </c>
    </row>
  </sheetData>
  <mergeCells count="8">
    <mergeCell ref="A120:J120"/>
    <mergeCell ref="A121:J121"/>
    <mergeCell ref="A112:C112"/>
    <mergeCell ref="A1:J1"/>
    <mergeCell ref="A2:J2"/>
    <mergeCell ref="A65:C65"/>
    <mergeCell ref="A70:I70"/>
    <mergeCell ref="A71:I71"/>
  </mergeCells>
  <conditionalFormatting sqref="J5:J61 I74:I108 J123:J142">
    <cfRule type="containsText" dxfId="47" priority="9" operator="containsText" text="✅">
      <formula>NOT(ISERROR(SEARCH("✅",I5)))</formula>
    </cfRule>
    <cfRule type="containsText" dxfId="46" priority="10" operator="containsText" text="ℹ️">
      <formula>NOT(ISERROR(SEARCH("ℹ️",I5)))</formula>
    </cfRule>
    <cfRule type="containsText" dxfId="45" priority="11" operator="containsText" text="⚠️">
      <formula>NOT(ISERROR(SEARCH("⚠️",I5)))</formula>
    </cfRule>
    <cfRule type="containsText" dxfId="44" priority="12" operator="containsText" text="🚨">
      <formula>NOT(ISERROR(SEARCH("🚨",I5)))</formula>
    </cfRule>
  </conditionalFormatting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56C02-3D82-4244-9225-38327D72E59E}">
  <sheetPr codeName="Sheet2"/>
  <dimension ref="A1:J71"/>
  <sheetViews>
    <sheetView zoomScale="113" zoomScaleNormal="70" workbookViewId="0">
      <selection activeCell="A4" sqref="A4:I16"/>
    </sheetView>
  </sheetViews>
  <sheetFormatPr baseColWidth="10" defaultColWidth="8.83203125" defaultRowHeight="15"/>
  <cols>
    <col min="1" max="1" width="32.33203125" bestFit="1" customWidth="1"/>
    <col min="2" max="2" width="22" bestFit="1" customWidth="1"/>
    <col min="3" max="3" width="27" bestFit="1" customWidth="1"/>
    <col min="4" max="4" width="24.5" bestFit="1" customWidth="1"/>
    <col min="5" max="5" width="16.1640625" bestFit="1" customWidth="1"/>
    <col min="6" max="7" width="20.33203125" bestFit="1" customWidth="1"/>
    <col min="8" max="8" width="20.1640625" bestFit="1" customWidth="1"/>
    <col min="9" max="9" width="38.1640625" customWidth="1"/>
    <col min="10" max="10" width="38.33203125" customWidth="1"/>
  </cols>
  <sheetData>
    <row r="1" spans="1:10" ht="29">
      <c r="A1" s="38" t="s">
        <v>91</v>
      </c>
      <c r="B1" s="38"/>
      <c r="C1" s="38"/>
      <c r="D1" s="38"/>
      <c r="E1" s="38"/>
      <c r="F1" s="38"/>
      <c r="G1" s="38"/>
      <c r="H1" s="38"/>
      <c r="I1" s="38"/>
      <c r="J1" s="38"/>
    </row>
    <row r="2" spans="1:10">
      <c r="A2" s="39" t="s">
        <v>143</v>
      </c>
      <c r="B2" s="39"/>
      <c r="C2" s="39"/>
      <c r="D2" s="39"/>
      <c r="E2" s="39"/>
      <c r="F2" s="39"/>
      <c r="G2" s="39"/>
      <c r="H2" s="39"/>
      <c r="I2" s="39"/>
      <c r="J2" s="39"/>
    </row>
    <row r="3" spans="1:10" ht="16">
      <c r="A3" s="6" t="s">
        <v>0</v>
      </c>
      <c r="B3" s="7" t="s">
        <v>92</v>
      </c>
      <c r="C3" s="7" t="s">
        <v>93</v>
      </c>
      <c r="D3" s="7" t="s">
        <v>94</v>
      </c>
      <c r="E3" s="7" t="s">
        <v>95</v>
      </c>
      <c r="F3" s="8" t="s">
        <v>96</v>
      </c>
      <c r="G3" s="8" t="s">
        <v>97</v>
      </c>
      <c r="H3" s="8" t="s">
        <v>98</v>
      </c>
      <c r="I3" s="8" t="s">
        <v>1</v>
      </c>
      <c r="J3" s="8" t="s">
        <v>99</v>
      </c>
    </row>
    <row r="4" spans="1:10" ht="15" customHeight="1">
      <c r="A4" s="24">
        <v>45689</v>
      </c>
      <c r="B4" s="4" t="s">
        <v>12</v>
      </c>
      <c r="C4" s="4" t="s">
        <v>17</v>
      </c>
      <c r="D4" s="4" t="s">
        <v>18</v>
      </c>
      <c r="E4" s="4">
        <v>2</v>
      </c>
      <c r="F4" s="5">
        <v>3000</v>
      </c>
      <c r="G4" s="28">
        <f>Table13567[[#This Row],[Rate /Trips]]*Table13567[[#This Row],[Trips]]</f>
        <v>6000</v>
      </c>
      <c r="H4" s="28">
        <v>6000</v>
      </c>
      <c r="I4" s="28">
        <f>Table13567[[#This Row],[Total Value]]-Table13567[[#This Row],[Received]]</f>
        <v>0</v>
      </c>
      <c r="J4" s="1" t="str">
        <f>IF(I4&gt;10000,"🚨 URGENT: "&amp;C4&amp;" owes ₹"&amp;I4,IF(I4&gt;5000,"⚠️ WARNING: "&amp;C4&amp;" - ₹"&amp;I4&amp;" due",IF(I4&gt;0,"ℹ️ "&amp;C4&amp;" - ₹"&amp;I4&amp;" pending","✅ Paid")))</f>
        <v>✅ Paid</v>
      </c>
    </row>
    <row r="5" spans="1:10" ht="19">
      <c r="A5" s="24">
        <v>45689</v>
      </c>
      <c r="B5" s="3" t="s">
        <v>43</v>
      </c>
      <c r="C5" s="4" t="s">
        <v>17</v>
      </c>
      <c r="D5" s="4" t="s">
        <v>18</v>
      </c>
      <c r="E5" s="4">
        <v>4</v>
      </c>
      <c r="F5" s="5">
        <v>3000</v>
      </c>
      <c r="G5" s="28">
        <f>Table13567[[#This Row],[Rate /Trips]]*Table13567[[#This Row],[Trips]]</f>
        <v>12000</v>
      </c>
      <c r="H5" s="28">
        <v>12000</v>
      </c>
      <c r="I5" s="28">
        <f>Table13567[[#This Row],[Total Value]]-Table13567[[#This Row],[Received]]</f>
        <v>0</v>
      </c>
      <c r="J5" s="1" t="str">
        <f>IF(I5&gt;10000,"🚨 URGENT: "&amp;C5&amp;" owes ₹"&amp;I5,IF(I5&gt;5000,"⚠️ WARNING: "&amp;C5&amp;" - ₹"&amp;I5&amp;" due",IF(I5&gt;0,"ℹ️ "&amp;C5&amp;" - ₹"&amp;I5&amp;" pending","✅ Paid")))</f>
        <v>✅ Paid</v>
      </c>
    </row>
    <row r="6" spans="1:10" ht="19">
      <c r="A6" s="24">
        <v>45689</v>
      </c>
      <c r="B6" s="3" t="s">
        <v>12</v>
      </c>
      <c r="C6" s="4" t="s">
        <v>48</v>
      </c>
      <c r="D6" s="4" t="s">
        <v>49</v>
      </c>
      <c r="E6" s="4">
        <v>1</v>
      </c>
      <c r="F6" s="5">
        <v>5000</v>
      </c>
      <c r="G6" s="28">
        <f>Table13567[[#This Row],[Rate /Trips]]*Table13567[[#This Row],[Trips]]</f>
        <v>5000</v>
      </c>
      <c r="H6" s="28"/>
      <c r="I6" s="28">
        <f>Table13567[[#This Row],[Total Value]]-Table13567[[#This Row],[Received]]</f>
        <v>5000</v>
      </c>
      <c r="J6" s="1" t="str">
        <f>IF(I6&gt;10000,"🚨 URGENT: "&amp;C6&amp;" owes ₹"&amp;I6,IF(I6&gt;5000,"⚠️ WARNING: "&amp;C6&amp;" - ₹"&amp;I6&amp;" due",IF(I6&gt;0,"ℹ️ "&amp;C6&amp;" - ₹"&amp;I6&amp;" pending","✅ Paid")))</f>
        <v>ℹ️ Pravin Singh ( Raj dad ) - ₹5000 pending</v>
      </c>
    </row>
    <row r="7" spans="1:10" ht="19">
      <c r="A7" s="24">
        <v>45689</v>
      </c>
      <c r="B7" s="3" t="s">
        <v>43</v>
      </c>
      <c r="C7" s="4" t="s">
        <v>48</v>
      </c>
      <c r="D7" s="4" t="s">
        <v>49</v>
      </c>
      <c r="E7" s="4">
        <v>1</v>
      </c>
      <c r="F7" s="5">
        <v>5000</v>
      </c>
      <c r="G7" s="28">
        <f>Table13567[[#This Row],[Rate /Trips]]*Table13567[[#This Row],[Trips]]</f>
        <v>5000</v>
      </c>
      <c r="H7" s="28"/>
      <c r="I7" s="28">
        <f>Table13567[[#This Row],[Total Value]]-Table13567[[#This Row],[Received]]</f>
        <v>5000</v>
      </c>
      <c r="J7" s="1" t="str">
        <f>IF(I7&gt;10000,"🚨 URGENT: "&amp;C7&amp;" owes ₹"&amp;I7,IF(I7&gt;5000,"⚠️ WARNING: "&amp;C7&amp;" - ₹"&amp;I7&amp;" due",IF(I7&gt;0,"ℹ️ "&amp;C7&amp;" - ₹"&amp;I7&amp;" pending","✅ Paid")))</f>
        <v>ℹ️ Pravin Singh ( Raj dad ) - ₹5000 pending</v>
      </c>
    </row>
    <row r="8" spans="1:10" ht="19">
      <c r="A8" s="24">
        <v>45689</v>
      </c>
      <c r="B8" s="3" t="s">
        <v>12</v>
      </c>
      <c r="C8" s="4" t="s">
        <v>46</v>
      </c>
      <c r="D8" s="4" t="s">
        <v>47</v>
      </c>
      <c r="E8" s="4">
        <v>1</v>
      </c>
      <c r="F8" s="5">
        <v>6000</v>
      </c>
      <c r="G8" s="28">
        <f>Table13567[[#This Row],[Rate /Trips]]*Table13567[[#This Row],[Trips]]</f>
        <v>6000</v>
      </c>
      <c r="H8" s="28">
        <v>6000</v>
      </c>
      <c r="I8" s="28">
        <f>Table13567[[#This Row],[Total Value]]-Table13567[[#This Row],[Received]]</f>
        <v>0</v>
      </c>
      <c r="J8" s="1" t="str">
        <f>IF(I8&gt;10000,"🚨 URGENT: "&amp;C8&amp;" owes ₹"&amp;I8,IF(I8&gt;5000,"⚠️ WARNING: "&amp;C8&amp;" - ₹"&amp;I8&amp;" due",IF(I8&gt;0,"ℹ️ "&amp;C8&amp;" - ₹"&amp;I8&amp;" pending","✅ Paid")))</f>
        <v>✅ Paid</v>
      </c>
    </row>
    <row r="9" spans="1:10" ht="19">
      <c r="A9" s="24">
        <v>45690</v>
      </c>
      <c r="B9" s="3" t="s">
        <v>43</v>
      </c>
      <c r="C9" s="4" t="s">
        <v>17</v>
      </c>
      <c r="D9" s="4" t="s">
        <v>18</v>
      </c>
      <c r="E9" s="4">
        <v>3</v>
      </c>
      <c r="F9" s="5">
        <v>3000</v>
      </c>
      <c r="G9" s="28">
        <f>Table13567[[#This Row],[Rate /Trips]]*Table13567[[#This Row],[Trips]]</f>
        <v>9000</v>
      </c>
      <c r="H9" s="28">
        <v>9000</v>
      </c>
      <c r="I9" s="28">
        <f>Table13567[[#This Row],[Total Value]]-Table13567[[#This Row],[Received]]</f>
        <v>0</v>
      </c>
      <c r="J9" s="1" t="str">
        <f>IF(I9&gt;10000,"🚨 URGENT: "&amp;C9&amp;" owes ₹"&amp;I9,IF(I9&gt;5000,"⚠️ WARNING: "&amp;C9&amp;" - ₹"&amp;I9&amp;" due",IF(I9&gt;0,"ℹ️ "&amp;C9&amp;" - ₹"&amp;I9&amp;" pending","✅ Paid")))</f>
        <v>✅ Paid</v>
      </c>
    </row>
    <row r="10" spans="1:10" ht="19">
      <c r="A10" s="24">
        <v>45690</v>
      </c>
      <c r="B10" s="3" t="s">
        <v>7</v>
      </c>
      <c r="C10" s="4" t="s">
        <v>17</v>
      </c>
      <c r="D10" s="4" t="s">
        <v>18</v>
      </c>
      <c r="E10" s="4">
        <v>1</v>
      </c>
      <c r="F10" s="5">
        <v>3000</v>
      </c>
      <c r="G10" s="28">
        <f>Table13567[[#This Row],[Rate /Trips]]*Table13567[[#This Row],[Trips]]</f>
        <v>3000</v>
      </c>
      <c r="H10" s="28">
        <v>3000</v>
      </c>
      <c r="I10" s="28">
        <f>Table13567[[#This Row],[Total Value]]-Table13567[[#This Row],[Received]]</f>
        <v>0</v>
      </c>
      <c r="J10" s="1" t="str">
        <f>IF(I10&gt;10000,"🚨 URGENT: "&amp;C10&amp;" owes ₹"&amp;I10,IF(I10&gt;5000,"⚠️ WARNING: "&amp;C10&amp;" - ₹"&amp;I10&amp;" due",IF(I10&gt;0,"ℹ️ "&amp;C10&amp;" - ₹"&amp;I10&amp;" pending","✅ Paid")))</f>
        <v>✅ Paid</v>
      </c>
    </row>
    <row r="11" spans="1:10" ht="19">
      <c r="A11" s="24">
        <v>45691</v>
      </c>
      <c r="B11" s="3" t="s">
        <v>7</v>
      </c>
      <c r="C11" s="4" t="s">
        <v>17</v>
      </c>
      <c r="D11" s="4" t="s">
        <v>26</v>
      </c>
      <c r="E11" s="4">
        <v>3</v>
      </c>
      <c r="F11" s="5">
        <v>3000</v>
      </c>
      <c r="G11" s="28">
        <f>Table13567[[#This Row],[Rate /Trips]]*Table13567[[#This Row],[Trips]]</f>
        <v>9000</v>
      </c>
      <c r="H11" s="28">
        <v>9000</v>
      </c>
      <c r="I11" s="28">
        <f>Table13567[[#This Row],[Total Value]]-Table13567[[#This Row],[Received]]</f>
        <v>0</v>
      </c>
      <c r="J11" s="1" t="str">
        <f>IF(I11&gt;10000,"🚨 URGENT: "&amp;C11&amp;" owes ₹"&amp;I11,IF(I11&gt;5000,"⚠️ WARNING: "&amp;C11&amp;" - ₹"&amp;I11&amp;" due",IF(I11&gt;0,"ℹ️ "&amp;C11&amp;" - ₹"&amp;I11&amp;" pending","✅ Paid")))</f>
        <v>✅ Paid</v>
      </c>
    </row>
    <row r="12" spans="1:10" ht="19">
      <c r="A12" s="24">
        <v>45691</v>
      </c>
      <c r="B12" s="3" t="s">
        <v>43</v>
      </c>
      <c r="C12" s="4" t="s">
        <v>17</v>
      </c>
      <c r="D12" s="4" t="s">
        <v>26</v>
      </c>
      <c r="E12" s="4">
        <v>3</v>
      </c>
      <c r="F12" s="5">
        <v>3000</v>
      </c>
      <c r="G12" s="28">
        <f>Table13567[[#This Row],[Rate /Trips]]*Table13567[[#This Row],[Trips]]</f>
        <v>9000</v>
      </c>
      <c r="H12" s="28">
        <v>9000</v>
      </c>
      <c r="I12" s="28">
        <f>Table13567[[#This Row],[Total Value]]-Table13567[[#This Row],[Received]]</f>
        <v>0</v>
      </c>
      <c r="J12" s="1" t="str">
        <f>IF(I12&gt;10000,"🚨 URGENT: "&amp;C12&amp;" owes ₹"&amp;I12,IF(I12&gt;5000,"⚠️ WARNING: "&amp;C12&amp;" - ₹"&amp;I12&amp;" due",IF(I12&gt;0,"ℹ️ "&amp;C12&amp;" - ₹"&amp;I12&amp;" pending","✅ Paid")))</f>
        <v>✅ Paid</v>
      </c>
    </row>
    <row r="13" spans="1:10" ht="19">
      <c r="A13" s="24">
        <v>45692</v>
      </c>
      <c r="B13" s="3" t="s">
        <v>7</v>
      </c>
      <c r="C13" s="4" t="s">
        <v>17</v>
      </c>
      <c r="D13" s="4" t="s">
        <v>26</v>
      </c>
      <c r="E13" s="4">
        <v>2</v>
      </c>
      <c r="F13" s="5">
        <v>3000</v>
      </c>
      <c r="G13" s="28">
        <f>Table13567[[#This Row],[Rate /Trips]]*Table13567[[#This Row],[Trips]]</f>
        <v>6000</v>
      </c>
      <c r="H13" s="28">
        <v>6000</v>
      </c>
      <c r="I13" s="28">
        <f>Table13567[[#This Row],[Total Value]]-Table13567[[#This Row],[Received]]</f>
        <v>0</v>
      </c>
      <c r="J13" s="1" t="str">
        <f>IF(I13&gt;10000,"🚨 URGENT: "&amp;C13&amp;" owes ₹"&amp;I13,IF(I13&gt;5000,"⚠️ WARNING: "&amp;C13&amp;" - ₹"&amp;I13&amp;" due",IF(I13&gt;0,"ℹ️ "&amp;C13&amp;" - ₹"&amp;I13&amp;" pending","✅ Paid")))</f>
        <v>✅ Paid</v>
      </c>
    </row>
    <row r="14" spans="1:10" ht="19">
      <c r="A14" s="24">
        <v>45692</v>
      </c>
      <c r="B14" s="3" t="s">
        <v>43</v>
      </c>
      <c r="C14" s="4" t="s">
        <v>17</v>
      </c>
      <c r="D14" s="4" t="s">
        <v>26</v>
      </c>
      <c r="E14" s="4">
        <v>1</v>
      </c>
      <c r="F14" s="5">
        <v>3000</v>
      </c>
      <c r="G14" s="28">
        <f>Table13567[[#This Row],[Rate /Trips]]*Table13567[[#This Row],[Trips]]</f>
        <v>3000</v>
      </c>
      <c r="H14" s="28">
        <v>3000</v>
      </c>
      <c r="I14" s="28">
        <f>Table13567[[#This Row],[Total Value]]-Table13567[[#This Row],[Received]]</f>
        <v>0</v>
      </c>
      <c r="J14" s="1" t="str">
        <f>IF(I14&gt;10000,"🚨 URGENT: "&amp;C14&amp;" owes ₹"&amp;I14,IF(I14&gt;5000,"⚠️ WARNING: "&amp;C14&amp;" - ₹"&amp;I14&amp;" due",IF(I14&gt;0,"ℹ️ "&amp;C14&amp;" - ₹"&amp;I14&amp;" pending","✅ Paid")))</f>
        <v>✅ Paid</v>
      </c>
    </row>
    <row r="15" spans="1:10" ht="19">
      <c r="A15" s="24">
        <v>45697</v>
      </c>
      <c r="B15" s="3" t="s">
        <v>43</v>
      </c>
      <c r="C15" s="4" t="s">
        <v>50</v>
      </c>
      <c r="D15" s="4" t="s">
        <v>51</v>
      </c>
      <c r="E15" s="4">
        <v>1</v>
      </c>
      <c r="F15" s="5">
        <v>3000</v>
      </c>
      <c r="G15" s="28">
        <f>Table13567[[#This Row],[Rate /Trips]]*Table13567[[#This Row],[Trips]]</f>
        <v>3000</v>
      </c>
      <c r="H15" s="28">
        <v>3000</v>
      </c>
      <c r="I15" s="28">
        <f>Table13567[[#This Row],[Total Value]]-Table13567[[#This Row],[Received]]</f>
        <v>0</v>
      </c>
      <c r="J15" s="1" t="str">
        <f>IF(I15&gt;10000,"🚨 URGENT: "&amp;C15&amp;" owes ₹"&amp;I15,IF(I15&gt;5000,"⚠️ WARNING: "&amp;C15&amp;" - ₹"&amp;I15&amp;" due",IF(I15&gt;0,"ℹ️ "&amp;C15&amp;" - ₹"&amp;I15&amp;" pending","✅ Paid")))</f>
        <v>✅ Paid</v>
      </c>
    </row>
    <row r="16" spans="1:10" ht="19">
      <c r="A16" s="24">
        <v>45697</v>
      </c>
      <c r="B16" s="4" t="s">
        <v>43</v>
      </c>
      <c r="C16" s="4" t="s">
        <v>52</v>
      </c>
      <c r="D16" s="4" t="s">
        <v>21</v>
      </c>
      <c r="E16" s="4">
        <v>1</v>
      </c>
      <c r="F16" s="5">
        <v>2500</v>
      </c>
      <c r="G16" s="28">
        <f>Table13567[[#This Row],[Rate /Trips]]*Table13567[[#This Row],[Trips]]</f>
        <v>2500</v>
      </c>
      <c r="H16" s="28"/>
      <c r="I16" s="28">
        <f>Table13567[[#This Row],[Total Value]]-Table13567[[#This Row],[Received]]</f>
        <v>2500</v>
      </c>
      <c r="J16" s="1" t="str">
        <f>IF(I16&gt;10000,"🚨 URGENT: "&amp;C16&amp;" owes ₹"&amp;I16,IF(I16&gt;5000,"⚠️ WARNING: "&amp;C16&amp;" - ₹"&amp;I16&amp;" due",IF(I16&gt;0,"ℹ️ "&amp;C16&amp;" - ₹"&amp;I16&amp;" pending","✅ Paid")))</f>
        <v>ℹ️ Ravi Wandhare - ₹2500 pending</v>
      </c>
    </row>
    <row r="17" spans="1:10" ht="19" customHeight="1">
      <c r="A17" s="1"/>
      <c r="B17" s="37"/>
      <c r="C17" s="1"/>
      <c r="D17" s="1"/>
      <c r="E17" s="1"/>
      <c r="F17" s="1"/>
      <c r="G17" s="23"/>
      <c r="H17" s="1"/>
      <c r="I17" s="23"/>
      <c r="J17" s="1"/>
    </row>
    <row r="18" spans="1:10" ht="19">
      <c r="A18" s="24"/>
      <c r="B18" s="30"/>
      <c r="C18" s="25"/>
      <c r="D18" s="25"/>
      <c r="E18" s="4"/>
      <c r="F18" s="28"/>
      <c r="G18" s="28"/>
      <c r="H18" s="28"/>
      <c r="I18" s="28"/>
      <c r="J18" s="1"/>
    </row>
    <row r="19" spans="1:10" ht="19">
      <c r="A19" s="24"/>
      <c r="B19" s="30"/>
      <c r="C19" s="25"/>
      <c r="D19" s="25"/>
      <c r="E19" s="4"/>
      <c r="F19" s="28"/>
      <c r="G19" s="28"/>
      <c r="H19" s="28"/>
      <c r="I19" s="28"/>
      <c r="J19" s="1"/>
    </row>
    <row r="20" spans="1:10" ht="19">
      <c r="A20" s="24"/>
      <c r="B20" s="30"/>
      <c r="C20" s="25"/>
      <c r="D20" s="25"/>
      <c r="E20" s="4"/>
      <c r="F20" s="28"/>
      <c r="G20" s="28"/>
      <c r="H20" s="28"/>
      <c r="I20" s="28"/>
      <c r="J20" s="1"/>
    </row>
    <row r="21" spans="1:10" ht="19">
      <c r="A21" s="24"/>
      <c r="B21" s="30"/>
      <c r="C21" s="25"/>
      <c r="D21" s="25"/>
      <c r="E21" s="4"/>
      <c r="F21" s="28"/>
      <c r="G21" s="28"/>
      <c r="H21" s="28"/>
      <c r="I21" s="28"/>
      <c r="J21" s="1"/>
    </row>
    <row r="22" spans="1:10" ht="19">
      <c r="A22" s="27"/>
      <c r="B22" s="31"/>
      <c r="C22" s="26"/>
      <c r="D22" s="26"/>
      <c r="E22" s="20"/>
      <c r="F22" s="21"/>
      <c r="G22" s="21"/>
      <c r="H22" s="21"/>
      <c r="I22" s="21"/>
      <c r="J22" s="22"/>
    </row>
    <row r="23" spans="1:10" ht="21">
      <c r="D23" s="9"/>
      <c r="E23" s="10" t="s">
        <v>100</v>
      </c>
      <c r="F23" s="11"/>
      <c r="G23" s="12" t="s">
        <v>97</v>
      </c>
      <c r="H23" s="12" t="s">
        <v>101</v>
      </c>
      <c r="I23" s="12" t="s">
        <v>45</v>
      </c>
    </row>
    <row r="24" spans="1:10" ht="21">
      <c r="D24" s="13" t="s">
        <v>102</v>
      </c>
      <c r="E24" s="14">
        <f>SUM(E5:E22)</f>
        <v>22</v>
      </c>
      <c r="F24" s="15"/>
      <c r="G24" s="16">
        <f>SUM(G5:G22)</f>
        <v>72500</v>
      </c>
      <c r="H24" s="16">
        <f>SUM(H5:H22)</f>
        <v>60000</v>
      </c>
      <c r="I24" s="16">
        <f>SUM(I5:I22)</f>
        <v>12500</v>
      </c>
    </row>
    <row r="25" spans="1:10" ht="55" customHeight="1">
      <c r="A25" s="40" t="s">
        <v>103</v>
      </c>
      <c r="B25" s="40"/>
      <c r="C25" s="40"/>
      <c r="D25" s="17"/>
      <c r="E25" s="17"/>
      <c r="F25" s="17"/>
      <c r="G25" s="17"/>
      <c r="H25" s="17"/>
      <c r="I25" s="17"/>
    </row>
    <row r="30" spans="1:10" ht="29">
      <c r="A30" s="38" t="s">
        <v>91</v>
      </c>
      <c r="B30" s="38"/>
      <c r="C30" s="38"/>
      <c r="D30" s="38"/>
      <c r="E30" s="38"/>
      <c r="F30" s="38"/>
      <c r="G30" s="38"/>
      <c r="H30" s="38"/>
      <c r="I30" s="38"/>
    </row>
    <row r="31" spans="1:10">
      <c r="A31" s="39" t="s">
        <v>144</v>
      </c>
      <c r="B31" s="39"/>
      <c r="C31" s="39"/>
      <c r="D31" s="39"/>
      <c r="E31" s="39"/>
      <c r="F31" s="39"/>
      <c r="G31" s="39"/>
      <c r="H31" s="39"/>
      <c r="I31" s="39"/>
    </row>
    <row r="32" spans="1:10" ht="16">
      <c r="A32" s="6" t="s">
        <v>0</v>
      </c>
      <c r="B32" s="7" t="s">
        <v>93</v>
      </c>
      <c r="C32" s="7" t="s">
        <v>94</v>
      </c>
      <c r="D32" s="7" t="s">
        <v>95</v>
      </c>
      <c r="E32" s="8" t="s">
        <v>96</v>
      </c>
      <c r="F32" s="8" t="s">
        <v>97</v>
      </c>
      <c r="G32" s="8" t="s">
        <v>98</v>
      </c>
      <c r="H32" s="8" t="s">
        <v>1</v>
      </c>
      <c r="I32" s="8" t="s">
        <v>99</v>
      </c>
    </row>
    <row r="33" spans="1:9">
      <c r="A33" s="1"/>
      <c r="B33" s="1"/>
      <c r="C33" s="1"/>
      <c r="D33" s="1"/>
      <c r="E33" s="1"/>
      <c r="F33" s="23"/>
      <c r="G33" s="1"/>
      <c r="H33" s="23"/>
      <c r="I33" s="1"/>
    </row>
    <row r="34" spans="1:9" ht="19">
      <c r="A34" s="24">
        <v>45689</v>
      </c>
      <c r="B34" s="4" t="s">
        <v>53</v>
      </c>
      <c r="C34" s="4" t="s">
        <v>3</v>
      </c>
      <c r="D34" s="4">
        <v>2</v>
      </c>
      <c r="E34" s="5">
        <v>600</v>
      </c>
      <c r="F34" s="28">
        <f>Table1358[[#This Row],[Rate /Trips]]*Table1358[[#This Row],[Trips]]</f>
        <v>1200</v>
      </c>
      <c r="G34" s="28">
        <v>1200</v>
      </c>
      <c r="H34" s="28">
        <f>Table1358[[#This Row],[Total Value]]-Table1358[[#This Row],[Received]]</f>
        <v>0</v>
      </c>
      <c r="I34" s="1" t="str">
        <f t="shared" ref="I34:I46" si="0">IF(H34&gt;10000,"🚨 URGENT: "&amp;B34&amp;" owes ₹"&amp;H34,IF(H34&gt;5000,"⚠️ WARNING: "&amp;B34&amp;" - ₹"&amp;H34&amp;" due",IF(H34&gt;0,"ℹ️ "&amp;B34&amp;" - ₹"&amp;H34&amp;" pending","✅ Paid")))</f>
        <v>✅ Paid</v>
      </c>
    </row>
    <row r="35" spans="1:9" ht="19">
      <c r="A35" s="24">
        <v>45689</v>
      </c>
      <c r="B35" s="4" t="s">
        <v>10</v>
      </c>
      <c r="C35" s="4" t="s">
        <v>3</v>
      </c>
      <c r="D35" s="4">
        <v>4</v>
      </c>
      <c r="E35" s="5">
        <v>600</v>
      </c>
      <c r="F35" s="28">
        <f>Table1358[[#This Row],[Rate /Trips]]*Table1358[[#This Row],[Trips]]</f>
        <v>2400</v>
      </c>
      <c r="G35" s="28"/>
      <c r="H35" s="28">
        <f>Table1358[[#This Row],[Total Value]]-Table1358[[#This Row],[Received]]</f>
        <v>2400</v>
      </c>
      <c r="I35" s="1" t="str">
        <f t="shared" si="0"/>
        <v>ℹ️ Shakil Pathan - ₹2400 pending</v>
      </c>
    </row>
    <row r="36" spans="1:9" ht="19">
      <c r="A36" s="24">
        <v>45689</v>
      </c>
      <c r="B36" s="4" t="s">
        <v>35</v>
      </c>
      <c r="C36" s="4" t="s">
        <v>3</v>
      </c>
      <c r="D36" s="4">
        <v>2</v>
      </c>
      <c r="E36" s="5">
        <v>600</v>
      </c>
      <c r="F36" s="28">
        <f>Table1358[[#This Row],[Rate /Trips]]*Table1358[[#This Row],[Trips]]</f>
        <v>1200</v>
      </c>
      <c r="G36" s="28"/>
      <c r="H36" s="28">
        <f>Table1358[[#This Row],[Total Value]]-Table1358[[#This Row],[Received]]</f>
        <v>1200</v>
      </c>
      <c r="I36" s="1" t="str">
        <f t="shared" si="0"/>
        <v>ℹ️ Sailesh Choudhary - ₹1200 pending</v>
      </c>
    </row>
    <row r="37" spans="1:9" ht="19">
      <c r="A37" s="24"/>
      <c r="B37" s="25"/>
      <c r="C37" s="25"/>
      <c r="D37" s="4"/>
      <c r="E37" s="28"/>
      <c r="F37" s="28"/>
      <c r="G37" s="28"/>
      <c r="H37" s="28"/>
      <c r="I37" s="1"/>
    </row>
    <row r="38" spans="1:9" ht="19">
      <c r="A38" s="24">
        <v>45690</v>
      </c>
      <c r="B38" s="4" t="s">
        <v>35</v>
      </c>
      <c r="C38" s="4" t="s">
        <v>3</v>
      </c>
      <c r="D38" s="4">
        <v>2</v>
      </c>
      <c r="E38" s="5">
        <v>600</v>
      </c>
      <c r="F38" s="28">
        <f>Table1358[[#This Row],[Rate /Trips]]*Table1358[[#This Row],[Trips]]</f>
        <v>1200</v>
      </c>
      <c r="G38" s="28"/>
      <c r="H38" s="28">
        <f>Table1358[[#This Row],[Total Value]]-Table1358[[#This Row],[Received]]</f>
        <v>1200</v>
      </c>
      <c r="I38" s="1" t="str">
        <f t="shared" si="0"/>
        <v>ℹ️ Sailesh Choudhary - ₹1200 pending</v>
      </c>
    </row>
    <row r="39" spans="1:9" ht="19">
      <c r="A39" s="24">
        <v>45690</v>
      </c>
      <c r="B39" s="4" t="s">
        <v>4</v>
      </c>
      <c r="C39" s="4" t="s">
        <v>3</v>
      </c>
      <c r="D39" s="4">
        <v>1</v>
      </c>
      <c r="E39" s="5">
        <v>600</v>
      </c>
      <c r="F39" s="28">
        <f>Table1358[[#This Row],[Rate /Trips]]*Table1358[[#This Row],[Trips]]</f>
        <v>600</v>
      </c>
      <c r="G39" s="28">
        <v>600</v>
      </c>
      <c r="H39" s="28">
        <f>Table1358[[#This Row],[Total Value]]-Table1358[[#This Row],[Received]]</f>
        <v>0</v>
      </c>
      <c r="I39" s="1" t="str">
        <f t="shared" si="0"/>
        <v>✅ Paid</v>
      </c>
    </row>
    <row r="40" spans="1:9" ht="19">
      <c r="A40" s="24"/>
      <c r="B40" s="25"/>
      <c r="C40" s="25"/>
      <c r="D40" s="4"/>
      <c r="E40" s="28"/>
      <c r="F40" s="28"/>
      <c r="G40" s="28"/>
      <c r="H40" s="28"/>
      <c r="I40" s="1"/>
    </row>
    <row r="41" spans="1:9" ht="19">
      <c r="A41" s="24">
        <v>45691</v>
      </c>
      <c r="B41" s="4" t="s">
        <v>54</v>
      </c>
      <c r="C41" s="4" t="s">
        <v>3</v>
      </c>
      <c r="D41" s="4">
        <v>1</v>
      </c>
      <c r="E41" s="5">
        <v>600</v>
      </c>
      <c r="F41" s="28">
        <f>Table1358[[#This Row],[Rate /Trips]]*Table1358[[#This Row],[Trips]]</f>
        <v>600</v>
      </c>
      <c r="G41" s="28">
        <v>600</v>
      </c>
      <c r="H41" s="28">
        <f>Table1358[[#This Row],[Total Value]]-Table1358[[#This Row],[Received]]</f>
        <v>0</v>
      </c>
      <c r="I41" s="1" t="str">
        <f t="shared" si="0"/>
        <v>✅ Paid</v>
      </c>
    </row>
    <row r="42" spans="1:9" ht="19">
      <c r="A42" s="24">
        <v>45691</v>
      </c>
      <c r="B42" s="4" t="s">
        <v>55</v>
      </c>
      <c r="C42" s="4" t="s">
        <v>3</v>
      </c>
      <c r="D42" s="4">
        <v>2</v>
      </c>
      <c r="E42" s="5">
        <v>600</v>
      </c>
      <c r="F42" s="28">
        <f>Table1358[[#This Row],[Rate /Trips]]*Table1358[[#This Row],[Trips]]</f>
        <v>1200</v>
      </c>
      <c r="G42" s="28">
        <v>1200</v>
      </c>
      <c r="H42" s="28">
        <f>Table1358[[#This Row],[Total Value]]-Table1358[[#This Row],[Received]]</f>
        <v>0</v>
      </c>
      <c r="I42" s="1" t="str">
        <f t="shared" si="0"/>
        <v>✅ Paid</v>
      </c>
    </row>
    <row r="43" spans="1:9" ht="19">
      <c r="A43" s="24">
        <v>45691</v>
      </c>
      <c r="B43" s="4" t="s">
        <v>56</v>
      </c>
      <c r="C43" s="4" t="s">
        <v>3</v>
      </c>
      <c r="D43" s="4">
        <v>1</v>
      </c>
      <c r="E43" s="5">
        <v>600</v>
      </c>
      <c r="F43" s="28">
        <f>Table1358[[#This Row],[Rate /Trips]]*Table1358[[#This Row],[Trips]]</f>
        <v>600</v>
      </c>
      <c r="G43" s="28">
        <v>600</v>
      </c>
      <c r="H43" s="28">
        <f>Table1358[[#This Row],[Total Value]]-Table1358[[#This Row],[Received]]</f>
        <v>0</v>
      </c>
      <c r="I43" s="1" t="str">
        <f t="shared" si="0"/>
        <v>✅ Paid</v>
      </c>
    </row>
    <row r="44" spans="1:9" ht="19">
      <c r="A44" s="24">
        <v>45691</v>
      </c>
      <c r="B44" s="4" t="s">
        <v>57</v>
      </c>
      <c r="C44" s="4" t="s">
        <v>3</v>
      </c>
      <c r="D44" s="4">
        <v>1</v>
      </c>
      <c r="E44" s="5">
        <v>600</v>
      </c>
      <c r="F44" s="28">
        <f>Table1358[[#This Row],[Rate /Trips]]*Table1358[[#This Row],[Trips]]</f>
        <v>600</v>
      </c>
      <c r="G44" s="28"/>
      <c r="H44" s="28">
        <f>Table1358[[#This Row],[Total Value]]-Table1358[[#This Row],[Received]]</f>
        <v>600</v>
      </c>
      <c r="I44" s="1" t="str">
        <f t="shared" si="0"/>
        <v>ℹ️ Saliesh - ₹600 pending</v>
      </c>
    </row>
    <row r="45" spans="1:9" ht="19">
      <c r="A45" s="24"/>
      <c r="B45" s="25"/>
      <c r="C45" s="25"/>
      <c r="D45" s="4"/>
      <c r="E45" s="28"/>
      <c r="F45" s="28"/>
      <c r="G45" s="28"/>
      <c r="H45" s="28"/>
      <c r="I45" s="1"/>
    </row>
    <row r="46" spans="1:9" ht="19">
      <c r="A46" s="24">
        <v>45692</v>
      </c>
      <c r="B46" s="4" t="s">
        <v>58</v>
      </c>
      <c r="C46" s="4" t="s">
        <v>3</v>
      </c>
      <c r="D46" s="4">
        <v>1</v>
      </c>
      <c r="E46" s="5">
        <v>600</v>
      </c>
      <c r="F46" s="28">
        <f>Table1358[[#This Row],[Rate /Trips]]*Table1358[[#This Row],[Trips]]</f>
        <v>600</v>
      </c>
      <c r="G46" s="28"/>
      <c r="H46" s="28">
        <f>Table1358[[#This Row],[Total Value]]-Table1358[[#This Row],[Received]]</f>
        <v>600</v>
      </c>
      <c r="I46" s="1" t="str">
        <f t="shared" si="0"/>
        <v>ℹ️ Manish R - ₹600 pending</v>
      </c>
    </row>
    <row r="47" spans="1:9" ht="19">
      <c r="A47" s="24"/>
      <c r="B47" s="4"/>
      <c r="C47" s="4"/>
      <c r="D47" s="4"/>
      <c r="E47" s="5"/>
      <c r="F47" s="28"/>
      <c r="G47" s="28"/>
      <c r="H47" s="28"/>
      <c r="I47" s="1"/>
    </row>
    <row r="48" spans="1:9" ht="21">
      <c r="C48" s="9"/>
      <c r="D48" s="10" t="s">
        <v>100</v>
      </c>
      <c r="F48" s="12" t="s">
        <v>97</v>
      </c>
      <c r="G48" s="12" t="s">
        <v>101</v>
      </c>
      <c r="H48" s="12" t="s">
        <v>45</v>
      </c>
    </row>
    <row r="49" spans="1:10" ht="21">
      <c r="C49" s="13" t="s">
        <v>102</v>
      </c>
      <c r="D49" s="14">
        <f>SUM(D34:D47)</f>
        <v>17</v>
      </c>
      <c r="F49" s="16">
        <f>SUM(F34:F47)</f>
        <v>10200</v>
      </c>
      <c r="G49" s="16">
        <f>SUM(G34:G47)</f>
        <v>4200</v>
      </c>
      <c r="H49" s="16">
        <f>SUM(H34:H47)</f>
        <v>6000</v>
      </c>
    </row>
    <row r="50" spans="1:10" ht="56" customHeight="1">
      <c r="A50" s="40" t="s">
        <v>103</v>
      </c>
      <c r="B50" s="40"/>
      <c r="C50" s="40"/>
      <c r="D50" s="17"/>
      <c r="E50" s="17"/>
      <c r="F50" s="17"/>
      <c r="G50" s="17"/>
      <c r="H50" s="17"/>
      <c r="I50" s="17"/>
    </row>
    <row r="58" spans="1:10" ht="29">
      <c r="A58" s="38" t="s">
        <v>91</v>
      </c>
      <c r="B58" s="38"/>
      <c r="C58" s="38"/>
      <c r="D58" s="38"/>
      <c r="E58" s="38"/>
      <c r="F58" s="38"/>
      <c r="G58" s="38"/>
      <c r="H58" s="38"/>
      <c r="I58" s="38"/>
      <c r="J58" s="38"/>
    </row>
    <row r="59" spans="1:10">
      <c r="A59" s="39" t="s">
        <v>143</v>
      </c>
      <c r="B59" s="39"/>
      <c r="C59" s="39"/>
      <c r="D59" s="39"/>
      <c r="E59" s="39"/>
      <c r="F59" s="39"/>
      <c r="G59" s="39"/>
      <c r="H59" s="39"/>
      <c r="I59" s="39"/>
      <c r="J59" s="39"/>
    </row>
    <row r="60" spans="1:10" ht="16">
      <c r="A60" s="6" t="s">
        <v>0</v>
      </c>
      <c r="B60" s="7" t="s">
        <v>92</v>
      </c>
      <c r="C60" s="7" t="s">
        <v>93</v>
      </c>
      <c r="D60" s="7" t="s">
        <v>94</v>
      </c>
      <c r="E60" s="7" t="s">
        <v>95</v>
      </c>
      <c r="F60" s="8" t="s">
        <v>96</v>
      </c>
      <c r="G60" s="8" t="s">
        <v>97</v>
      </c>
      <c r="H60" s="8" t="s">
        <v>98</v>
      </c>
      <c r="I60" s="8" t="s">
        <v>1</v>
      </c>
      <c r="J60" s="8" t="s">
        <v>99</v>
      </c>
    </row>
    <row r="61" spans="1:10" ht="19">
      <c r="A61" s="24">
        <v>45689</v>
      </c>
      <c r="B61" s="3" t="s">
        <v>12</v>
      </c>
      <c r="C61" s="4" t="s">
        <v>48</v>
      </c>
      <c r="D61" s="4" t="s">
        <v>49</v>
      </c>
      <c r="E61" s="4">
        <v>1</v>
      </c>
      <c r="F61" s="5">
        <v>5000</v>
      </c>
      <c r="G61" s="28">
        <f>Table1356728[[#This Row],[Rate /Trips]]*Table1356728[[#This Row],[Trips]]</f>
        <v>5000</v>
      </c>
      <c r="H61" s="28"/>
      <c r="I61" s="28">
        <f>Table1356728[[#This Row],[Total Value]]-Table1356728[[#This Row],[Received]]</f>
        <v>5000</v>
      </c>
      <c r="J61" s="1" t="str">
        <f>IF(I61&gt;10000,"🚨 URGENT: "&amp;C61&amp;" owes ₹"&amp;I61,IF(I61&gt;5000,"⚠️ WARNING: "&amp;C61&amp;" - ₹"&amp;I61&amp;" due",IF(I61&gt;0,"ℹ️ "&amp;C61&amp;" - ₹"&amp;I61&amp;" pending","✅ Paid")))</f>
        <v>ℹ️ Pravin Singh ( Raj dad ) - ₹5000 pending</v>
      </c>
    </row>
    <row r="62" spans="1:10" ht="19">
      <c r="A62" s="24">
        <v>45689</v>
      </c>
      <c r="B62" s="3" t="s">
        <v>43</v>
      </c>
      <c r="C62" s="4" t="s">
        <v>48</v>
      </c>
      <c r="D62" s="4" t="s">
        <v>49</v>
      </c>
      <c r="E62" s="4">
        <v>1</v>
      </c>
      <c r="F62" s="5">
        <v>5000</v>
      </c>
      <c r="G62" s="28">
        <f>Table1356728[[#This Row],[Rate /Trips]]*Table1356728[[#This Row],[Trips]]</f>
        <v>5000</v>
      </c>
      <c r="H62" s="28"/>
      <c r="I62" s="28">
        <f>Table1356728[[#This Row],[Total Value]]-Table1356728[[#This Row],[Received]]</f>
        <v>5000</v>
      </c>
      <c r="J62" s="1" t="str">
        <f>IF(I62&gt;10000,"🚨 URGENT: "&amp;C62&amp;" owes ₹"&amp;I62,IF(I62&gt;5000,"⚠️ WARNING: "&amp;C62&amp;" - ₹"&amp;I62&amp;" due",IF(I62&gt;0,"ℹ️ "&amp;C62&amp;" - ₹"&amp;I62&amp;" pending","✅ Paid")))</f>
        <v>ℹ️ Pravin Singh ( Raj dad ) - ₹5000 pending</v>
      </c>
    </row>
    <row r="63" spans="1:10" ht="19">
      <c r="A63" s="24">
        <v>45697</v>
      </c>
      <c r="B63" s="3" t="s">
        <v>43</v>
      </c>
      <c r="C63" s="4" t="s">
        <v>52</v>
      </c>
      <c r="D63" s="4" t="s">
        <v>21</v>
      </c>
      <c r="E63" s="4">
        <v>1</v>
      </c>
      <c r="F63" s="5">
        <v>2500</v>
      </c>
      <c r="G63" s="28">
        <f>Table1356728[[#This Row],[Rate /Trips]]*Table1356728[[#This Row],[Trips]]</f>
        <v>2500</v>
      </c>
      <c r="H63" s="28"/>
      <c r="I63" s="28">
        <f>Table1356728[[#This Row],[Total Value]]-Table1356728[[#This Row],[Received]]</f>
        <v>2500</v>
      </c>
      <c r="J63" s="1" t="str">
        <f>IF(I63&gt;10000,"🚨 URGENT: "&amp;C63&amp;" owes ₹"&amp;I63,IF(I63&gt;5000,"⚠️ WARNING: "&amp;C63&amp;" - ₹"&amp;I63&amp;" due",IF(I63&gt;0,"ℹ️ "&amp;C63&amp;" - ₹"&amp;I63&amp;" pending","✅ Paid")))</f>
        <v>ℹ️ Ravi Wandhare - ₹2500 pending</v>
      </c>
    </row>
    <row r="64" spans="1:10" ht="19" customHeight="1">
      <c r="A64" s="1"/>
      <c r="B64" s="37"/>
      <c r="C64" s="1"/>
      <c r="D64" s="1"/>
      <c r="E64" s="1"/>
      <c r="F64" s="1"/>
      <c r="G64" s="23"/>
      <c r="H64" s="1"/>
      <c r="I64" s="23"/>
      <c r="J64" s="1"/>
    </row>
    <row r="65" spans="1:10" ht="19">
      <c r="A65" s="24"/>
      <c r="B65" s="30"/>
      <c r="C65" s="25"/>
      <c r="D65" s="25"/>
      <c r="E65" s="4"/>
      <c r="F65" s="28"/>
      <c r="G65" s="28"/>
      <c r="H65" s="28"/>
      <c r="I65" s="28"/>
      <c r="J65" s="1"/>
    </row>
    <row r="66" spans="1:10" ht="19">
      <c r="A66" s="24"/>
      <c r="B66" s="30"/>
      <c r="C66" s="25"/>
      <c r="D66" s="25"/>
      <c r="E66" s="4"/>
      <c r="F66" s="28"/>
      <c r="G66" s="28"/>
      <c r="H66" s="28"/>
      <c r="I66" s="28"/>
      <c r="J66" s="1"/>
    </row>
    <row r="67" spans="1:10" ht="19">
      <c r="A67" s="24"/>
      <c r="B67" s="30"/>
      <c r="C67" s="25"/>
      <c r="D67" s="25"/>
      <c r="E67" s="4"/>
      <c r="F67" s="28"/>
      <c r="G67" s="28"/>
      <c r="H67" s="28"/>
      <c r="I67" s="28"/>
      <c r="J67" s="1"/>
    </row>
    <row r="68" spans="1:10" ht="19">
      <c r="A68" s="24"/>
      <c r="B68" s="30"/>
      <c r="C68" s="25"/>
      <c r="D68" s="25"/>
      <c r="E68" s="4"/>
      <c r="F68" s="28"/>
      <c r="G68" s="28"/>
      <c r="H68" s="28"/>
      <c r="I68" s="28"/>
      <c r="J68" s="1"/>
    </row>
    <row r="69" spans="1:10" ht="19">
      <c r="A69" s="27"/>
      <c r="B69" s="31"/>
      <c r="C69" s="26"/>
      <c r="D69" s="26"/>
      <c r="E69" s="20"/>
      <c r="F69" s="21"/>
      <c r="G69" s="21"/>
      <c r="H69" s="21"/>
      <c r="I69" s="21"/>
      <c r="J69" s="22"/>
    </row>
    <row r="70" spans="1:10" ht="21">
      <c r="D70" s="9"/>
      <c r="E70" s="10" t="s">
        <v>100</v>
      </c>
      <c r="F70" s="11"/>
      <c r="G70" s="12" t="s">
        <v>97</v>
      </c>
      <c r="H70" s="12" t="s">
        <v>101</v>
      </c>
      <c r="I70" s="12" t="s">
        <v>45</v>
      </c>
    </row>
    <row r="71" spans="1:10" ht="21">
      <c r="D71" s="13" t="s">
        <v>102</v>
      </c>
      <c r="E71" s="14">
        <f>SUM(E61:E69)</f>
        <v>3</v>
      </c>
      <c r="F71" s="15"/>
      <c r="G71" s="16">
        <f>SUM(G61:G69)</f>
        <v>12500</v>
      </c>
      <c r="H71" s="16">
        <f>SUM(H61:H69)</f>
        <v>0</v>
      </c>
      <c r="I71" s="16">
        <f>SUM(I61:I69)</f>
        <v>12500</v>
      </c>
    </row>
  </sheetData>
  <mergeCells count="8">
    <mergeCell ref="A1:J1"/>
    <mergeCell ref="A2:J2"/>
    <mergeCell ref="A25:C25"/>
    <mergeCell ref="A58:J58"/>
    <mergeCell ref="A59:J59"/>
    <mergeCell ref="A30:I30"/>
    <mergeCell ref="A31:I31"/>
    <mergeCell ref="A50:C50"/>
  </mergeCells>
  <conditionalFormatting sqref="J5:J21 I34:I47 J61:J68">
    <cfRule type="containsText" dxfId="43" priority="5" operator="containsText" text="✅">
      <formula>NOT(ISERROR(SEARCH("✅",I5)))</formula>
    </cfRule>
    <cfRule type="containsText" dxfId="42" priority="6" operator="containsText" text="ℹ️">
      <formula>NOT(ISERROR(SEARCH("ℹ️",I5)))</formula>
    </cfRule>
    <cfRule type="containsText" dxfId="41" priority="7" operator="containsText" text="⚠️">
      <formula>NOT(ISERROR(SEARCH("⚠️",I5)))</formula>
    </cfRule>
    <cfRule type="containsText" dxfId="40" priority="8" operator="containsText" text="🚨">
      <formula>NOT(ISERROR(SEARCH("🚨",I5)))</formula>
    </cfRule>
  </conditionalFormatting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26A6E-159D-4AD7-B041-B5561B9E50A4}">
  <sheetPr codeName="Sheet3"/>
  <dimension ref="A1:J34"/>
  <sheetViews>
    <sheetView workbookViewId="0">
      <selection activeCell="A4" sqref="A4:I12"/>
    </sheetView>
  </sheetViews>
  <sheetFormatPr baseColWidth="10" defaultColWidth="8.83203125" defaultRowHeight="15"/>
  <cols>
    <col min="1" max="1" width="29" bestFit="1" customWidth="1"/>
    <col min="2" max="2" width="22" bestFit="1" customWidth="1"/>
    <col min="3" max="3" width="27" bestFit="1" customWidth="1"/>
    <col min="4" max="4" width="24.5" bestFit="1" customWidth="1"/>
    <col min="5" max="5" width="16.1640625" bestFit="1" customWidth="1"/>
    <col min="6" max="7" width="20.33203125" bestFit="1" customWidth="1"/>
    <col min="8" max="9" width="20.1640625" bestFit="1" customWidth="1"/>
    <col min="10" max="10" width="34.33203125" bestFit="1" customWidth="1"/>
  </cols>
  <sheetData>
    <row r="1" spans="1:10" ht="29">
      <c r="A1" s="38" t="s">
        <v>91</v>
      </c>
      <c r="B1" s="38"/>
      <c r="C1" s="38"/>
      <c r="D1" s="38"/>
      <c r="E1" s="38"/>
      <c r="F1" s="38"/>
      <c r="G1" s="38"/>
      <c r="H1" s="38"/>
      <c r="I1" s="38"/>
      <c r="J1" s="38"/>
    </row>
    <row r="2" spans="1:10">
      <c r="A2" s="39" t="s">
        <v>145</v>
      </c>
      <c r="B2" s="39"/>
      <c r="C2" s="39"/>
      <c r="D2" s="39"/>
      <c r="E2" s="39"/>
      <c r="F2" s="39"/>
      <c r="G2" s="39"/>
      <c r="H2" s="39"/>
      <c r="I2" s="39"/>
      <c r="J2" s="39"/>
    </row>
    <row r="3" spans="1:10" ht="16">
      <c r="A3" s="6" t="s">
        <v>0</v>
      </c>
      <c r="B3" s="7" t="s">
        <v>92</v>
      </c>
      <c r="C3" s="7" t="s">
        <v>93</v>
      </c>
      <c r="D3" s="7" t="s">
        <v>94</v>
      </c>
      <c r="E3" s="7" t="s">
        <v>95</v>
      </c>
      <c r="F3" s="8" t="s">
        <v>96</v>
      </c>
      <c r="G3" s="8" t="s">
        <v>97</v>
      </c>
      <c r="H3" s="8" t="s">
        <v>98</v>
      </c>
      <c r="I3" s="8" t="s">
        <v>1</v>
      </c>
      <c r="J3" s="8" t="s">
        <v>99</v>
      </c>
    </row>
    <row r="4" spans="1:10" ht="15" customHeight="1">
      <c r="A4" s="24">
        <v>45718</v>
      </c>
      <c r="B4" s="33" t="s">
        <v>43</v>
      </c>
      <c r="C4" s="33" t="s">
        <v>17</v>
      </c>
      <c r="D4" s="33" t="s">
        <v>18</v>
      </c>
      <c r="E4" s="4">
        <v>1</v>
      </c>
      <c r="F4" s="28">
        <v>3000</v>
      </c>
      <c r="G4" s="28">
        <f>Table135679[[#This Row],[Rate /Trips]]*Table135679[[#This Row],[Trips]]</f>
        <v>3000</v>
      </c>
      <c r="H4" s="28">
        <v>3000</v>
      </c>
      <c r="I4" s="28">
        <f>Table135679[[#This Row],[Total Value]]-Table135679[[#This Row],[Received]]</f>
        <v>0</v>
      </c>
      <c r="J4" s="1" t="str">
        <f>IF(I4&gt;10000,"🚨 URGENT: "&amp;C4&amp;" owes ₹"&amp;I4,IF(I4&gt;5000,"⚠️ WARNING: "&amp;C4&amp;" - ₹"&amp;I4&amp;" due",IF(I4&gt;0,"ℹ️ "&amp;C4&amp;" - ₹"&amp;I4&amp;" pending","✅ Paid")))</f>
        <v>✅ Paid</v>
      </c>
    </row>
    <row r="5" spans="1:10" ht="19">
      <c r="A5" s="24">
        <v>45719</v>
      </c>
      <c r="B5" s="32" t="s">
        <v>43</v>
      </c>
      <c r="C5" s="33" t="s">
        <v>17</v>
      </c>
      <c r="D5" s="33" t="s">
        <v>18</v>
      </c>
      <c r="E5" s="4">
        <v>1</v>
      </c>
      <c r="F5" s="28">
        <v>3000</v>
      </c>
      <c r="G5" s="28">
        <f>Table135679[[#This Row],[Rate /Trips]]*Table135679[[#This Row],[Trips]]</f>
        <v>3000</v>
      </c>
      <c r="H5" s="28">
        <v>3000</v>
      </c>
      <c r="I5" s="28">
        <f>Table135679[[#This Row],[Total Value]]-Table135679[[#This Row],[Received]]</f>
        <v>0</v>
      </c>
      <c r="J5" s="1" t="str">
        <f>IF(I5&gt;10000,"🚨 URGENT: "&amp;C5&amp;" owes ₹"&amp;I5,IF(I5&gt;5000,"⚠️ WARNING: "&amp;C5&amp;" - ₹"&amp;I5&amp;" due",IF(I5&gt;0,"ℹ️ "&amp;C5&amp;" - ₹"&amp;I5&amp;" pending","✅ Paid")))</f>
        <v>✅ Paid</v>
      </c>
    </row>
    <row r="6" spans="1:10" ht="19">
      <c r="A6" s="24">
        <v>45719</v>
      </c>
      <c r="B6" s="32" t="s">
        <v>43</v>
      </c>
      <c r="C6" s="33" t="s">
        <v>17</v>
      </c>
      <c r="D6" s="33" t="s">
        <v>59</v>
      </c>
      <c r="E6" s="4">
        <v>1</v>
      </c>
      <c r="F6" s="28">
        <v>3000</v>
      </c>
      <c r="G6" s="28">
        <f>Table135679[[#This Row],[Rate /Trips]]*Table135679[[#This Row],[Trips]]</f>
        <v>3000</v>
      </c>
      <c r="H6" s="28">
        <v>3000</v>
      </c>
      <c r="I6" s="28">
        <f>Table135679[[#This Row],[Total Value]]-Table135679[[#This Row],[Received]]</f>
        <v>0</v>
      </c>
      <c r="J6" s="1" t="str">
        <f>IF(I6&gt;10000,"🚨 URGENT: "&amp;C6&amp;" owes ₹"&amp;I6,IF(I6&gt;5000,"⚠️ WARNING: "&amp;C6&amp;" - ₹"&amp;I6&amp;" due",IF(I6&gt;0,"ℹ️ "&amp;C6&amp;" - ₹"&amp;I6&amp;" pending","✅ Paid")))</f>
        <v>✅ Paid</v>
      </c>
    </row>
    <row r="7" spans="1:10" ht="19">
      <c r="A7" s="24">
        <v>45719</v>
      </c>
      <c r="B7" s="32" t="s">
        <v>7</v>
      </c>
      <c r="C7" s="33" t="s">
        <v>17</v>
      </c>
      <c r="D7" s="33" t="s">
        <v>26</v>
      </c>
      <c r="E7" s="4">
        <v>2</v>
      </c>
      <c r="F7" s="28">
        <v>3000</v>
      </c>
      <c r="G7" s="28">
        <f>Table135679[[#This Row],[Rate /Trips]]*Table135679[[#This Row],[Trips]]</f>
        <v>6000</v>
      </c>
      <c r="H7" s="28">
        <v>6000</v>
      </c>
      <c r="I7" s="28">
        <f>Table135679[[#This Row],[Total Value]]-Table135679[[#This Row],[Received]]</f>
        <v>0</v>
      </c>
      <c r="J7" s="1" t="str">
        <f>IF(I7&gt;10000,"🚨 URGENT: "&amp;C7&amp;" owes ₹"&amp;I7,IF(I7&gt;5000,"⚠️ WARNING: "&amp;C7&amp;" - ₹"&amp;I7&amp;" due",IF(I7&gt;0,"ℹ️ "&amp;C7&amp;" - ₹"&amp;I7&amp;" pending","✅ Paid")))</f>
        <v>✅ Paid</v>
      </c>
    </row>
    <row r="8" spans="1:10" ht="19">
      <c r="A8" s="24">
        <v>45732</v>
      </c>
      <c r="B8" s="32" t="s">
        <v>12</v>
      </c>
      <c r="C8" s="33" t="s">
        <v>60</v>
      </c>
      <c r="D8" s="33" t="s">
        <v>61</v>
      </c>
      <c r="E8" s="4">
        <v>2</v>
      </c>
      <c r="F8" s="28">
        <v>3200</v>
      </c>
      <c r="G8" s="28">
        <f>Table135679[[#This Row],[Rate /Trips]]*Table135679[[#This Row],[Trips]]</f>
        <v>6400</v>
      </c>
      <c r="H8" s="28">
        <v>6400</v>
      </c>
      <c r="I8" s="28">
        <f>Table135679[[#This Row],[Total Value]]-Table135679[[#This Row],[Received]]</f>
        <v>0</v>
      </c>
      <c r="J8" s="1" t="str">
        <f>IF(I8&gt;10000,"🚨 URGENT: "&amp;C8&amp;" owes ₹"&amp;I8,IF(I8&gt;5000,"⚠️ WARNING: "&amp;C8&amp;" - ₹"&amp;I8&amp;" due",IF(I8&gt;0,"ℹ️ "&amp;C8&amp;" - ₹"&amp;I8&amp;" pending","✅ Paid")))</f>
        <v>✅ Paid</v>
      </c>
    </row>
    <row r="9" spans="1:10" ht="19">
      <c r="A9" s="24">
        <v>45732</v>
      </c>
      <c r="B9" s="32" t="s">
        <v>12</v>
      </c>
      <c r="C9" s="33" t="s">
        <v>63</v>
      </c>
      <c r="D9" s="33" t="s">
        <v>62</v>
      </c>
      <c r="E9" s="4">
        <v>1</v>
      </c>
      <c r="F9" s="28">
        <v>3300</v>
      </c>
      <c r="G9" s="28">
        <f>Table135679[[#This Row],[Rate /Trips]]*Table135679[[#This Row],[Trips]]</f>
        <v>3300</v>
      </c>
      <c r="H9" s="28">
        <v>3300</v>
      </c>
      <c r="I9" s="28">
        <f>Table135679[[#This Row],[Total Value]]-Table135679[[#This Row],[Received]]</f>
        <v>0</v>
      </c>
      <c r="J9" s="1" t="str">
        <f>IF(I9&gt;10000,"🚨 URGENT: "&amp;C9&amp;" owes ₹"&amp;I9,IF(I9&gt;5000,"⚠️ WARNING: "&amp;C9&amp;" - ₹"&amp;I9&amp;" due",IF(I9&gt;0,"ℹ️ "&amp;C9&amp;" - ₹"&amp;I9&amp;" pending","✅ Paid")))</f>
        <v>✅ Paid</v>
      </c>
    </row>
    <row r="10" spans="1:10" ht="19">
      <c r="A10" s="24">
        <v>45733</v>
      </c>
      <c r="B10" s="32" t="s">
        <v>7</v>
      </c>
      <c r="C10" s="33" t="s">
        <v>60</v>
      </c>
      <c r="D10" s="33" t="s">
        <v>61</v>
      </c>
      <c r="E10" s="4">
        <v>6</v>
      </c>
      <c r="F10" s="28">
        <v>3200</v>
      </c>
      <c r="G10" s="28">
        <f>Table135679[[#This Row],[Rate /Trips]]*Table135679[[#This Row],[Trips]]</f>
        <v>19200</v>
      </c>
      <c r="H10" s="28">
        <v>19200</v>
      </c>
      <c r="I10" s="28">
        <f>Table135679[[#This Row],[Total Value]]-Table135679[[#This Row],[Received]]</f>
        <v>0</v>
      </c>
      <c r="J10" s="1" t="str">
        <f>IF(I10&gt;10000,"🚨 URGENT: "&amp;C10&amp;" owes ₹"&amp;I10,IF(I10&gt;5000,"⚠️ WARNING: "&amp;C10&amp;" - ₹"&amp;I10&amp;" due",IF(I10&gt;0,"ℹ️ "&amp;C10&amp;" - ₹"&amp;I10&amp;" pending","✅ Paid")))</f>
        <v>✅ Paid</v>
      </c>
    </row>
    <row r="11" spans="1:10" ht="19">
      <c r="A11" s="24">
        <v>45734</v>
      </c>
      <c r="B11" s="32" t="s">
        <v>7</v>
      </c>
      <c r="C11" s="33" t="s">
        <v>60</v>
      </c>
      <c r="D11" s="33" t="s">
        <v>61</v>
      </c>
      <c r="E11" s="4">
        <v>3</v>
      </c>
      <c r="F11" s="28">
        <v>3200</v>
      </c>
      <c r="G11" s="28">
        <f>Table135679[[#This Row],[Rate /Trips]]*Table135679[[#This Row],[Trips]]</f>
        <v>9600</v>
      </c>
      <c r="H11" s="28">
        <v>9600</v>
      </c>
      <c r="I11" s="28">
        <f>Table135679[[#This Row],[Total Value]]-Table135679[[#This Row],[Received]]</f>
        <v>0</v>
      </c>
      <c r="J11" s="1" t="str">
        <f>IF(I11&gt;10000,"🚨 URGENT: "&amp;C11&amp;" owes ₹"&amp;I11,IF(I11&gt;5000,"⚠️ WARNING: "&amp;C11&amp;" - ₹"&amp;I11&amp;" due",IF(I11&gt;0,"ℹ️ "&amp;C11&amp;" - ₹"&amp;I11&amp;" pending","✅ Paid")))</f>
        <v>✅ Paid</v>
      </c>
    </row>
    <row r="12" spans="1:10" ht="19">
      <c r="A12" s="24">
        <v>45734</v>
      </c>
      <c r="B12" s="32" t="s">
        <v>7</v>
      </c>
      <c r="C12" s="33" t="s">
        <v>63</v>
      </c>
      <c r="D12" s="33" t="s">
        <v>62</v>
      </c>
      <c r="E12" s="4">
        <v>2</v>
      </c>
      <c r="F12" s="28">
        <v>3200</v>
      </c>
      <c r="G12" s="28">
        <f>Table135679[[#This Row],[Rate /Trips]]*Table135679[[#This Row],[Trips]]</f>
        <v>6400</v>
      </c>
      <c r="H12" s="28">
        <v>6400</v>
      </c>
      <c r="I12" s="28">
        <f>Table135679[[#This Row],[Total Value]]-Table135679[[#This Row],[Received]]</f>
        <v>0</v>
      </c>
      <c r="J12" s="1" t="str">
        <f>IF(I12&gt;10000,"🚨 URGENT: "&amp;C12&amp;" owes ₹"&amp;I12,IF(I12&gt;5000,"⚠️ WARNING: "&amp;C12&amp;" - ₹"&amp;I12&amp;" due",IF(I12&gt;0,"ℹ️ "&amp;C12&amp;" - ₹"&amp;I12&amp;" pending","✅ Paid")))</f>
        <v>✅ Paid</v>
      </c>
    </row>
    <row r="13" spans="1:10" ht="19" customHeight="1">
      <c r="A13" s="1"/>
      <c r="B13" s="37"/>
      <c r="C13" s="1"/>
      <c r="D13" s="1"/>
      <c r="E13" s="1"/>
      <c r="F13" s="1"/>
      <c r="G13" s="23"/>
      <c r="H13" s="1"/>
      <c r="I13" s="23"/>
      <c r="J13" s="1"/>
    </row>
    <row r="14" spans="1:10" ht="19">
      <c r="A14" s="24"/>
      <c r="B14" s="32"/>
      <c r="C14" s="33"/>
      <c r="D14" s="33"/>
      <c r="E14" s="4"/>
      <c r="F14" s="28"/>
      <c r="G14" s="28"/>
      <c r="H14" s="28"/>
      <c r="I14" s="28"/>
      <c r="J14" s="1"/>
    </row>
    <row r="15" spans="1:10" ht="19">
      <c r="A15" s="24"/>
      <c r="B15" s="32"/>
      <c r="C15" s="33"/>
      <c r="D15" s="33"/>
      <c r="E15" s="4"/>
      <c r="F15" s="28"/>
      <c r="G15" s="28"/>
      <c r="H15" s="28"/>
      <c r="I15" s="28"/>
      <c r="J15" s="1"/>
    </row>
    <row r="16" spans="1:10" ht="19">
      <c r="A16" s="24"/>
      <c r="B16" s="32"/>
      <c r="C16" s="33"/>
      <c r="D16" s="33"/>
      <c r="E16" s="4"/>
      <c r="F16" s="28"/>
      <c r="G16" s="28"/>
      <c r="H16" s="28"/>
      <c r="I16" s="28"/>
      <c r="J16" s="1"/>
    </row>
    <row r="17" spans="1:10" ht="19">
      <c r="A17" s="24"/>
      <c r="B17" s="32"/>
      <c r="C17" s="33"/>
      <c r="D17" s="33"/>
      <c r="E17" s="4"/>
      <c r="F17" s="28"/>
      <c r="G17" s="28"/>
      <c r="H17" s="28"/>
      <c r="I17" s="28"/>
      <c r="J17" s="1"/>
    </row>
    <row r="18" spans="1:10" ht="19">
      <c r="A18" s="24"/>
      <c r="B18" s="32"/>
      <c r="C18" s="33"/>
      <c r="D18" s="33"/>
      <c r="E18" s="4"/>
      <c r="F18" s="28"/>
      <c r="G18" s="28"/>
      <c r="H18" s="28"/>
      <c r="I18" s="28"/>
      <c r="J18" s="1"/>
    </row>
    <row r="19" spans="1:10" ht="21">
      <c r="D19" s="9"/>
      <c r="E19" s="10" t="s">
        <v>100</v>
      </c>
      <c r="F19" s="11"/>
      <c r="G19" s="12" t="s">
        <v>97</v>
      </c>
      <c r="H19" s="12" t="s">
        <v>101</v>
      </c>
      <c r="I19" s="12" t="s">
        <v>45</v>
      </c>
    </row>
    <row r="20" spans="1:10" ht="21">
      <c r="D20" s="13" t="s">
        <v>102</v>
      </c>
      <c r="E20" s="14">
        <f>SUM(E5:E18)</f>
        <v>18</v>
      </c>
      <c r="F20" s="15"/>
      <c r="G20" s="16">
        <f>SUM(G5:G18)</f>
        <v>56900</v>
      </c>
      <c r="H20" s="16">
        <f>SUM(H5:H18)</f>
        <v>56900</v>
      </c>
      <c r="I20" s="16">
        <f>SUM(I5:I18)</f>
        <v>0</v>
      </c>
    </row>
    <row r="21" spans="1:10" ht="49" customHeight="1">
      <c r="A21" s="40" t="s">
        <v>103</v>
      </c>
      <c r="B21" s="40"/>
      <c r="C21" s="40"/>
      <c r="D21" s="17"/>
      <c r="E21" s="17"/>
      <c r="F21" s="17"/>
      <c r="G21" s="17"/>
      <c r="H21" s="17"/>
      <c r="I21" s="17"/>
    </row>
    <row r="26" spans="1:10" ht="29">
      <c r="A26" s="38" t="s">
        <v>91</v>
      </c>
      <c r="B26" s="38"/>
      <c r="C26" s="38"/>
      <c r="D26" s="38"/>
      <c r="E26" s="38"/>
      <c r="F26" s="38"/>
      <c r="G26" s="38"/>
      <c r="H26" s="38"/>
      <c r="I26" s="38"/>
    </row>
    <row r="27" spans="1:10">
      <c r="A27" s="39" t="s">
        <v>146</v>
      </c>
      <c r="B27" s="39"/>
      <c r="C27" s="39"/>
      <c r="D27" s="39"/>
      <c r="E27" s="39"/>
      <c r="F27" s="39"/>
      <c r="G27" s="39"/>
      <c r="H27" s="39"/>
      <c r="I27" s="39"/>
    </row>
    <row r="28" spans="1:10" ht="16">
      <c r="A28" s="6" t="s">
        <v>0</v>
      </c>
      <c r="B28" s="7" t="s">
        <v>93</v>
      </c>
      <c r="C28" s="7" t="s">
        <v>94</v>
      </c>
      <c r="D28" s="7" t="s">
        <v>95</v>
      </c>
      <c r="E28" s="8" t="s">
        <v>96</v>
      </c>
      <c r="F28" s="8" t="s">
        <v>97</v>
      </c>
      <c r="G28" s="8" t="s">
        <v>98</v>
      </c>
      <c r="H28" s="8" t="s">
        <v>1</v>
      </c>
      <c r="I28" s="8" t="s">
        <v>99</v>
      </c>
    </row>
    <row r="29" spans="1:10">
      <c r="A29" s="1"/>
      <c r="B29" s="1"/>
      <c r="C29" s="1"/>
      <c r="D29" s="1"/>
      <c r="E29" s="1"/>
      <c r="F29" s="23"/>
      <c r="G29" s="1"/>
      <c r="H29" s="23"/>
      <c r="I29" s="1"/>
    </row>
    <row r="30" spans="1:10" ht="19">
      <c r="A30" s="24">
        <v>45742</v>
      </c>
      <c r="B30" s="4" t="s">
        <v>10</v>
      </c>
      <c r="C30" s="4" t="s">
        <v>64</v>
      </c>
      <c r="D30" s="4">
        <v>2</v>
      </c>
      <c r="E30" s="5">
        <v>600</v>
      </c>
      <c r="F30" s="28">
        <f>Table135810[[#This Row],[Rate /Trips]]*Table135810[[#This Row],[Trips]]</f>
        <v>1200</v>
      </c>
      <c r="G30" s="28">
        <v>1200</v>
      </c>
      <c r="H30" s="28">
        <f>Table135810[[#This Row],[Total Value]]-Table135810[[#This Row],[Received]]</f>
        <v>0</v>
      </c>
      <c r="I30" s="1" t="str">
        <f t="shared" ref="I30" si="0">IF(H30&gt;10000,"🚨 URGENT: "&amp;B30&amp;" owes ₹"&amp;H30,IF(H30&gt;5000,"⚠️ WARNING: "&amp;B30&amp;" - ₹"&amp;H30&amp;" due",IF(H30&gt;0,"ℹ️ "&amp;B30&amp;" - ₹"&amp;H30&amp;" pending","✅ Paid")))</f>
        <v>✅ Paid</v>
      </c>
    </row>
    <row r="31" spans="1:10" ht="19">
      <c r="A31" s="24"/>
      <c r="B31" s="4"/>
      <c r="C31" s="4"/>
      <c r="D31" s="4"/>
      <c r="E31" s="5"/>
      <c r="F31" s="28"/>
      <c r="G31" s="28"/>
      <c r="H31" s="28"/>
      <c r="I31" s="1"/>
    </row>
    <row r="32" spans="1:10" ht="21">
      <c r="C32" s="9"/>
      <c r="D32" s="10" t="s">
        <v>100</v>
      </c>
      <c r="F32" s="12" t="s">
        <v>97</v>
      </c>
      <c r="G32" s="12" t="s">
        <v>101</v>
      </c>
      <c r="H32" s="12" t="s">
        <v>45</v>
      </c>
    </row>
    <row r="33" spans="1:9" ht="21">
      <c r="C33" s="13" t="s">
        <v>102</v>
      </c>
      <c r="D33" s="14">
        <f>SUM(D30:D31)</f>
        <v>2</v>
      </c>
      <c r="F33" s="16">
        <f>SUM(F30:F31)</f>
        <v>1200</v>
      </c>
      <c r="G33" s="16">
        <f>SUM(G30:G31)</f>
        <v>1200</v>
      </c>
      <c r="H33" s="16">
        <f>SUM(H30:H31)</f>
        <v>0</v>
      </c>
    </row>
    <row r="34" spans="1:9" ht="55" customHeight="1">
      <c r="A34" s="40" t="s">
        <v>103</v>
      </c>
      <c r="B34" s="40"/>
      <c r="C34" s="40"/>
      <c r="D34" s="17"/>
      <c r="E34" s="17"/>
      <c r="F34" s="17"/>
      <c r="G34" s="17"/>
      <c r="H34" s="17"/>
      <c r="I34" s="17"/>
    </row>
  </sheetData>
  <mergeCells count="6">
    <mergeCell ref="A26:I26"/>
    <mergeCell ref="A27:I27"/>
    <mergeCell ref="A34:C34"/>
    <mergeCell ref="A1:J1"/>
    <mergeCell ref="A2:J2"/>
    <mergeCell ref="A21:C21"/>
  </mergeCells>
  <conditionalFormatting sqref="J5:J18 I30:I31">
    <cfRule type="containsText" dxfId="39" priority="1" operator="containsText" text="✅">
      <formula>NOT(ISERROR(SEARCH("✅",I5)))</formula>
    </cfRule>
    <cfRule type="containsText" dxfId="38" priority="2" operator="containsText" text="ℹ️">
      <formula>NOT(ISERROR(SEARCH("ℹ️",I5)))</formula>
    </cfRule>
    <cfRule type="containsText" dxfId="37" priority="3" operator="containsText" text="⚠️">
      <formula>NOT(ISERROR(SEARCH("⚠️",I5)))</formula>
    </cfRule>
    <cfRule type="containsText" dxfId="36" priority="4" operator="containsText" text="🚨">
      <formula>NOT(ISERROR(SEARCH("🚨",I5)))</formula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F42F3-3DB2-4AEF-82BD-417BEE974250}">
  <sheetPr codeName="Sheet4"/>
  <dimension ref="A1:J22"/>
  <sheetViews>
    <sheetView workbookViewId="0">
      <selection activeCell="A5" sqref="A5:I5"/>
    </sheetView>
  </sheetViews>
  <sheetFormatPr baseColWidth="10" defaultColWidth="8.83203125" defaultRowHeight="15"/>
  <cols>
    <col min="1" max="1" width="24.5" bestFit="1" customWidth="1"/>
    <col min="2" max="2" width="15.83203125" bestFit="1" customWidth="1"/>
    <col min="3" max="3" width="19.83203125" bestFit="1" customWidth="1"/>
    <col min="4" max="4" width="14.83203125" bestFit="1" customWidth="1"/>
    <col min="5" max="5" width="14.33203125" bestFit="1" customWidth="1"/>
    <col min="6" max="6" width="16.1640625" bestFit="1" customWidth="1"/>
    <col min="7" max="7" width="20.33203125" bestFit="1" customWidth="1"/>
    <col min="8" max="8" width="14.83203125" bestFit="1" customWidth="1"/>
    <col min="9" max="9" width="20.1640625" bestFit="1" customWidth="1"/>
    <col min="10" max="10" width="34" bestFit="1" customWidth="1"/>
  </cols>
  <sheetData>
    <row r="1" spans="1:10" ht="29">
      <c r="A1" s="38" t="s">
        <v>91</v>
      </c>
      <c r="B1" s="38"/>
      <c r="C1" s="38"/>
      <c r="D1" s="38"/>
      <c r="E1" s="38"/>
      <c r="F1" s="38"/>
      <c r="G1" s="38"/>
      <c r="H1" s="38"/>
      <c r="I1" s="38"/>
      <c r="J1" s="38"/>
    </row>
    <row r="2" spans="1:10">
      <c r="A2" s="39" t="s">
        <v>147</v>
      </c>
      <c r="B2" s="39"/>
      <c r="C2" s="39"/>
      <c r="D2" s="39"/>
      <c r="E2" s="39"/>
      <c r="F2" s="39"/>
      <c r="G2" s="39"/>
      <c r="H2" s="39"/>
      <c r="I2" s="39"/>
      <c r="J2" s="39"/>
    </row>
    <row r="3" spans="1:10" ht="16">
      <c r="A3" s="6" t="s">
        <v>0</v>
      </c>
      <c r="B3" s="7" t="s">
        <v>92</v>
      </c>
      <c r="C3" s="7" t="s">
        <v>93</v>
      </c>
      <c r="D3" s="7" t="s">
        <v>94</v>
      </c>
      <c r="E3" s="7" t="s">
        <v>95</v>
      </c>
      <c r="F3" s="8" t="s">
        <v>96</v>
      </c>
      <c r="G3" s="8" t="s">
        <v>97</v>
      </c>
      <c r="H3" s="8" t="s">
        <v>98</v>
      </c>
      <c r="I3" s="8" t="s">
        <v>1</v>
      </c>
      <c r="J3" s="8" t="s">
        <v>99</v>
      </c>
    </row>
    <row r="4" spans="1:10">
      <c r="A4" s="1"/>
      <c r="B4" s="1"/>
      <c r="C4" s="1"/>
      <c r="D4" s="1"/>
      <c r="E4" s="1"/>
      <c r="F4" s="1"/>
      <c r="G4" s="23"/>
      <c r="H4" s="1"/>
      <c r="I4" s="23"/>
      <c r="J4" s="1"/>
    </row>
    <row r="5" spans="1:10" ht="19">
      <c r="A5" s="24">
        <v>45771</v>
      </c>
      <c r="B5" s="3" t="s">
        <v>43</v>
      </c>
      <c r="C5" s="4"/>
      <c r="D5" s="4" t="s">
        <v>65</v>
      </c>
      <c r="E5" s="4">
        <v>1</v>
      </c>
      <c r="F5" s="5">
        <v>3500</v>
      </c>
      <c r="G5" s="28">
        <f>Table13567911[[#This Row],[Rate /Trips]]*Table13567911[[#This Row],[Trips]]</f>
        <v>3500</v>
      </c>
      <c r="H5" s="28">
        <v>3500</v>
      </c>
      <c r="I5" s="28">
        <f>Table13567911[[#This Row],[Total Value]]-Table13567911[[#This Row],[Received]]</f>
        <v>0</v>
      </c>
      <c r="J5" s="1" t="str">
        <f t="shared" ref="J5" si="0">IF(I5&gt;10000,"🚨 URGENT: "&amp;C5&amp;" owes ₹"&amp;I5,IF(I5&gt;5000,"⚠️ WARNING: "&amp;C5&amp;" - ₹"&amp;I5&amp;" due",IF(I5&gt;0,"ℹ️ "&amp;C5&amp;" - ₹"&amp;I5&amp;" pending","✅ Paid")))</f>
        <v>✅ Paid</v>
      </c>
    </row>
    <row r="6" spans="1:10" ht="19">
      <c r="A6" s="24"/>
      <c r="B6" s="32"/>
      <c r="C6" s="33"/>
      <c r="D6" s="33"/>
      <c r="E6" s="4"/>
      <c r="F6" s="28"/>
      <c r="G6" s="28"/>
      <c r="H6" s="28"/>
      <c r="I6" s="28"/>
      <c r="J6" s="1"/>
    </row>
    <row r="7" spans="1:10" ht="21">
      <c r="D7" s="9"/>
      <c r="E7" s="10" t="s">
        <v>100</v>
      </c>
      <c r="F7" s="11"/>
      <c r="G7" s="12" t="s">
        <v>97</v>
      </c>
      <c r="H7" s="12" t="s">
        <v>101</v>
      </c>
      <c r="I7" s="12" t="s">
        <v>45</v>
      </c>
    </row>
    <row r="8" spans="1:10" ht="21">
      <c r="D8" s="13" t="s">
        <v>102</v>
      </c>
      <c r="E8" s="14">
        <f>SUM(E5:E6)</f>
        <v>1</v>
      </c>
      <c r="F8" s="15"/>
      <c r="G8" s="16">
        <f>SUM(G5:G6)</f>
        <v>3500</v>
      </c>
      <c r="H8" s="16">
        <f>SUM(H5:H6)</f>
        <v>3500</v>
      </c>
      <c r="I8" s="16">
        <f>SUM(I5:I6)</f>
        <v>0</v>
      </c>
    </row>
    <row r="9" spans="1:10" ht="49" customHeight="1">
      <c r="A9" s="40" t="s">
        <v>103</v>
      </c>
      <c r="B9" s="40"/>
      <c r="C9" s="40"/>
      <c r="D9" s="17"/>
      <c r="E9" s="17"/>
      <c r="F9" s="17"/>
      <c r="G9" s="17"/>
      <c r="H9" s="17"/>
      <c r="I9" s="17"/>
    </row>
    <row r="14" spans="1:10" ht="29">
      <c r="A14" s="38" t="s">
        <v>91</v>
      </c>
      <c r="B14" s="38"/>
      <c r="C14" s="38"/>
      <c r="D14" s="38"/>
      <c r="E14" s="38"/>
      <c r="F14" s="38"/>
      <c r="G14" s="38"/>
      <c r="H14" s="38"/>
      <c r="I14" s="38"/>
    </row>
    <row r="15" spans="1:10">
      <c r="A15" s="39" t="s">
        <v>148</v>
      </c>
      <c r="B15" s="39"/>
      <c r="C15" s="39"/>
      <c r="D15" s="39"/>
      <c r="E15" s="39"/>
      <c r="F15" s="39"/>
      <c r="G15" s="39"/>
      <c r="H15" s="39"/>
      <c r="I15" s="39"/>
    </row>
    <row r="16" spans="1:10" ht="16">
      <c r="A16" s="6" t="s">
        <v>0</v>
      </c>
      <c r="B16" s="7" t="s">
        <v>93</v>
      </c>
      <c r="C16" s="7" t="s">
        <v>94</v>
      </c>
      <c r="D16" s="7" t="s">
        <v>95</v>
      </c>
      <c r="E16" s="8" t="s">
        <v>96</v>
      </c>
      <c r="F16" s="8" t="s">
        <v>97</v>
      </c>
      <c r="G16" s="8" t="s">
        <v>98</v>
      </c>
      <c r="H16" s="8" t="s">
        <v>1</v>
      </c>
      <c r="I16" s="8" t="s">
        <v>99</v>
      </c>
    </row>
    <row r="17" spans="1:9">
      <c r="A17" s="1"/>
      <c r="B17" s="1"/>
      <c r="C17" s="1"/>
      <c r="D17" s="1"/>
      <c r="E17" s="1"/>
      <c r="F17" s="23"/>
      <c r="G17" s="1"/>
      <c r="H17" s="23"/>
      <c r="I17" s="1"/>
    </row>
    <row r="18" spans="1:9" ht="19">
      <c r="A18" s="24"/>
      <c r="B18" s="4"/>
      <c r="C18" s="4"/>
      <c r="D18" s="4"/>
      <c r="E18" s="5"/>
      <c r="F18" s="28"/>
      <c r="G18" s="28"/>
      <c r="H18" s="28"/>
      <c r="I18" s="1" t="str">
        <f t="shared" ref="I18" si="1">IF(H18&gt;10000,"🚨 URGENT: "&amp;B18&amp;" owes ₹"&amp;H18,IF(H18&gt;5000,"⚠️ WARNING: "&amp;B18&amp;" - ₹"&amp;H18&amp;" due",IF(H18&gt;0,"ℹ️ "&amp;B18&amp;" - ₹"&amp;H18&amp;" pending","✅ Paid")))</f>
        <v>✅ Paid</v>
      </c>
    </row>
    <row r="19" spans="1:9" ht="19">
      <c r="A19" s="24"/>
      <c r="B19" s="4"/>
      <c r="C19" s="4"/>
      <c r="D19" s="4"/>
      <c r="E19" s="5"/>
      <c r="F19" s="28"/>
      <c r="G19" s="28"/>
      <c r="H19" s="28"/>
      <c r="I19" s="1"/>
    </row>
    <row r="20" spans="1:9" ht="21">
      <c r="C20" s="9"/>
      <c r="D20" s="10" t="s">
        <v>100</v>
      </c>
      <c r="F20" s="12" t="s">
        <v>97</v>
      </c>
      <c r="G20" s="12" t="s">
        <v>101</v>
      </c>
      <c r="H20" s="12" t="s">
        <v>45</v>
      </c>
    </row>
    <row r="21" spans="1:9" ht="21">
      <c r="C21" s="13" t="s">
        <v>102</v>
      </c>
      <c r="D21" s="14">
        <f>SUM(D18:D19)</f>
        <v>0</v>
      </c>
      <c r="F21" s="16">
        <f>SUM(F18:F19)</f>
        <v>0</v>
      </c>
      <c r="G21" s="16">
        <f>SUM(G18:G19)</f>
        <v>0</v>
      </c>
      <c r="H21" s="16">
        <f>SUM(H18:H19)</f>
        <v>0</v>
      </c>
    </row>
    <row r="22" spans="1:9" ht="52" customHeight="1">
      <c r="A22" s="40" t="s">
        <v>103</v>
      </c>
      <c r="B22" s="40"/>
      <c r="C22" s="40"/>
      <c r="D22" s="17"/>
      <c r="E22" s="17"/>
      <c r="F22" s="17"/>
      <c r="G22" s="17"/>
      <c r="H22" s="17"/>
      <c r="I22" s="17"/>
    </row>
  </sheetData>
  <mergeCells count="6">
    <mergeCell ref="A15:I15"/>
    <mergeCell ref="A22:C22"/>
    <mergeCell ref="A1:J1"/>
    <mergeCell ref="A2:J2"/>
    <mergeCell ref="A9:C9"/>
    <mergeCell ref="A14:I14"/>
  </mergeCells>
  <conditionalFormatting sqref="J5:J6 I18:I19">
    <cfRule type="containsText" dxfId="35" priority="1" operator="containsText" text="✅">
      <formula>NOT(ISERROR(SEARCH("✅",I5)))</formula>
    </cfRule>
    <cfRule type="containsText" dxfId="34" priority="2" operator="containsText" text="ℹ️">
      <formula>NOT(ISERROR(SEARCH("ℹ️",I5)))</formula>
    </cfRule>
    <cfRule type="containsText" dxfId="33" priority="3" operator="containsText" text="⚠️">
      <formula>NOT(ISERROR(SEARCH("⚠️",I5)))</formula>
    </cfRule>
    <cfRule type="containsText" dxfId="32" priority="4" operator="containsText" text="🚨">
      <formula>NOT(ISERROR(SEARCH("🚨",I5)))</formula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652EA-B997-4142-A7B1-2867EA5EF429}">
  <sheetPr codeName="Sheet5"/>
  <dimension ref="A1:J67"/>
  <sheetViews>
    <sheetView workbookViewId="0">
      <selection activeCell="A4" sqref="A4:I19"/>
    </sheetView>
  </sheetViews>
  <sheetFormatPr baseColWidth="10" defaultColWidth="8.83203125" defaultRowHeight="15"/>
  <cols>
    <col min="1" max="1" width="27" bestFit="1" customWidth="1"/>
    <col min="2" max="2" width="22.6640625" bestFit="1" customWidth="1"/>
    <col min="3" max="3" width="30.6640625" bestFit="1" customWidth="1"/>
    <col min="4" max="4" width="17" bestFit="1" customWidth="1"/>
    <col min="5" max="5" width="29.5" bestFit="1" customWidth="1"/>
    <col min="6" max="6" width="16.1640625" bestFit="1" customWidth="1"/>
    <col min="7" max="7" width="20.33203125" bestFit="1" customWidth="1"/>
    <col min="8" max="8" width="14.83203125" bestFit="1" customWidth="1"/>
    <col min="9" max="9" width="20.1640625" bestFit="1" customWidth="1"/>
    <col min="10" max="10" width="34" bestFit="1" customWidth="1"/>
  </cols>
  <sheetData>
    <row r="1" spans="1:10" ht="29">
      <c r="A1" s="38" t="s">
        <v>91</v>
      </c>
      <c r="B1" s="38"/>
      <c r="C1" s="38"/>
      <c r="D1" s="38"/>
      <c r="E1" s="38"/>
      <c r="F1" s="38"/>
      <c r="G1" s="38"/>
      <c r="H1" s="38"/>
      <c r="I1" s="38"/>
      <c r="J1" s="38"/>
    </row>
    <row r="2" spans="1:10">
      <c r="A2" s="39" t="s">
        <v>150</v>
      </c>
      <c r="B2" s="39"/>
      <c r="C2" s="39"/>
      <c r="D2" s="39"/>
      <c r="E2" s="39"/>
      <c r="F2" s="39"/>
      <c r="G2" s="39"/>
      <c r="H2" s="39"/>
      <c r="I2" s="39"/>
      <c r="J2" s="39"/>
    </row>
    <row r="3" spans="1:10" ht="16">
      <c r="A3" s="6" t="s">
        <v>0</v>
      </c>
      <c r="B3" s="7" t="s">
        <v>92</v>
      </c>
      <c r="C3" s="7" t="s">
        <v>93</v>
      </c>
      <c r="D3" s="7" t="s">
        <v>94</v>
      </c>
      <c r="E3" s="7" t="s">
        <v>95</v>
      </c>
      <c r="F3" s="8" t="s">
        <v>96</v>
      </c>
      <c r="G3" s="8" t="s">
        <v>97</v>
      </c>
      <c r="H3" s="8" t="s">
        <v>98</v>
      </c>
      <c r="I3" s="8" t="s">
        <v>1</v>
      </c>
      <c r="J3" s="8" t="s">
        <v>99</v>
      </c>
    </row>
    <row r="4" spans="1:10" ht="15" customHeight="1">
      <c r="A4" s="24">
        <v>45779</v>
      </c>
      <c r="B4" s="25" t="s">
        <v>43</v>
      </c>
      <c r="C4" s="25" t="s">
        <v>4</v>
      </c>
      <c r="D4" s="25" t="s">
        <v>66</v>
      </c>
      <c r="E4" s="4">
        <v>2</v>
      </c>
      <c r="F4" s="28">
        <v>3000</v>
      </c>
      <c r="G4" s="28">
        <f>Table13567913[[#This Row],[Rate /Trips]]*Table13567913[[#This Row],[Trips]]</f>
        <v>6000</v>
      </c>
      <c r="H4" s="28">
        <v>6000</v>
      </c>
      <c r="I4" s="28">
        <f>Table13567913[[#This Row],[Total Value]]-Table13567913[[#This Row],[Received]]</f>
        <v>0</v>
      </c>
      <c r="J4" s="1" t="str">
        <f>IF(I4&gt;10000,"🚨 URGENT: "&amp;C4&amp;" owes ₹"&amp;I4,IF(I4&gt;5000,"⚠️ WARNING: "&amp;C4&amp;" - ₹"&amp;I4&amp;" due",IF(I4&gt;0,"ℹ️ "&amp;C4&amp;" - ₹"&amp;I4&amp;" pending","✅ Paid")))</f>
        <v>✅ Paid</v>
      </c>
    </row>
    <row r="5" spans="1:10" ht="19">
      <c r="A5" s="24">
        <v>45780</v>
      </c>
      <c r="B5" s="30" t="s">
        <v>43</v>
      </c>
      <c r="C5" s="25" t="s">
        <v>68</v>
      </c>
      <c r="D5" s="25" t="s">
        <v>9</v>
      </c>
      <c r="E5" s="4">
        <v>2</v>
      </c>
      <c r="F5" s="28">
        <v>3000</v>
      </c>
      <c r="G5" s="28">
        <f>Table13567913[[#This Row],[Rate /Trips]]*Table13567913[[#This Row],[Trips]]</f>
        <v>6000</v>
      </c>
      <c r="H5" s="28">
        <v>6000</v>
      </c>
      <c r="I5" s="28">
        <f>Table13567913[[#This Row],[Total Value]]-Table13567913[[#This Row],[Received]]</f>
        <v>0</v>
      </c>
      <c r="J5" s="1" t="str">
        <f>IF(I5&gt;10000,"🚨 URGENT: "&amp;C5&amp;" owes ₹"&amp;I5,IF(I5&gt;5000,"⚠️ WARNING: "&amp;C5&amp;" - ₹"&amp;I5&amp;" due",IF(I5&gt;0,"ℹ️ "&amp;C5&amp;" - ₹"&amp;I5&amp;" pending","✅ Paid")))</f>
        <v>✅ Paid</v>
      </c>
    </row>
    <row r="6" spans="1:10" ht="19">
      <c r="A6" s="24">
        <v>45780</v>
      </c>
      <c r="B6" s="30" t="s">
        <v>43</v>
      </c>
      <c r="C6" s="25" t="s">
        <v>67</v>
      </c>
      <c r="D6" s="25" t="s">
        <v>25</v>
      </c>
      <c r="E6" s="4">
        <v>1</v>
      </c>
      <c r="F6" s="28">
        <v>4000</v>
      </c>
      <c r="G6" s="28">
        <f>Table13567913[[#This Row],[Rate /Trips]]*Table13567913[[#This Row],[Trips]]</f>
        <v>4000</v>
      </c>
      <c r="H6" s="28">
        <v>4000</v>
      </c>
      <c r="I6" s="28">
        <f>Table13567913[[#This Row],[Total Value]]-Table13567913[[#This Row],[Received]]</f>
        <v>0</v>
      </c>
      <c r="J6" s="1" t="str">
        <f>IF(I6&gt;10000,"🚨 URGENT: "&amp;C6&amp;" owes ₹"&amp;I6,IF(I6&gt;5000,"⚠️ WARNING: "&amp;C6&amp;" - ₹"&amp;I6&amp;" due",IF(I6&gt;0,"ℹ️ "&amp;C6&amp;" - ₹"&amp;I6&amp;" pending","✅ Paid")))</f>
        <v>✅ Paid</v>
      </c>
    </row>
    <row r="7" spans="1:10" ht="19">
      <c r="A7" s="24">
        <v>45786</v>
      </c>
      <c r="B7" s="30" t="s">
        <v>7</v>
      </c>
      <c r="C7" s="25" t="s">
        <v>68</v>
      </c>
      <c r="D7" s="25" t="s">
        <v>9</v>
      </c>
      <c r="E7" s="4">
        <v>2</v>
      </c>
      <c r="F7" s="28">
        <v>3000</v>
      </c>
      <c r="G7" s="28">
        <f>Table13567913[[#This Row],[Rate /Trips]]*Table13567913[[#This Row],[Trips]]</f>
        <v>6000</v>
      </c>
      <c r="H7" s="28">
        <v>6000</v>
      </c>
      <c r="I7" s="28">
        <f>Table13567913[[#This Row],[Total Value]]-Table13567913[[#This Row],[Received]]</f>
        <v>0</v>
      </c>
      <c r="J7" s="1" t="str">
        <f>IF(I7&gt;10000,"🚨 URGENT: "&amp;C7&amp;" owes ₹"&amp;I7,IF(I7&gt;5000,"⚠️ WARNING: "&amp;C7&amp;" - ₹"&amp;I7&amp;" due",IF(I7&gt;0,"ℹ️ "&amp;C7&amp;" - ₹"&amp;I7&amp;" pending","✅ Paid")))</f>
        <v>✅ Paid</v>
      </c>
    </row>
    <row r="8" spans="1:10" ht="19">
      <c r="A8" s="24">
        <v>45786</v>
      </c>
      <c r="B8" s="30" t="s">
        <v>43</v>
      </c>
      <c r="C8" s="25" t="s">
        <v>68</v>
      </c>
      <c r="D8" s="25" t="s">
        <v>9</v>
      </c>
      <c r="E8" s="4">
        <v>1</v>
      </c>
      <c r="F8" s="28">
        <v>3000</v>
      </c>
      <c r="G8" s="28">
        <f>Table13567913[[#This Row],[Rate /Trips]]*Table13567913[[#This Row],[Trips]]</f>
        <v>3000</v>
      </c>
      <c r="H8" s="28">
        <v>3000</v>
      </c>
      <c r="I8" s="28">
        <f>Table13567913[[#This Row],[Total Value]]-Table13567913[[#This Row],[Received]]</f>
        <v>0</v>
      </c>
      <c r="J8" s="1" t="str">
        <f>IF(I8&gt;10000,"🚨 URGENT: "&amp;C8&amp;" owes ₹"&amp;I8,IF(I8&gt;5000,"⚠️ WARNING: "&amp;C8&amp;" - ₹"&amp;I8&amp;" due",IF(I8&gt;0,"ℹ️ "&amp;C8&amp;" - ₹"&amp;I8&amp;" pending","✅ Paid")))</f>
        <v>✅ Paid</v>
      </c>
    </row>
    <row r="9" spans="1:10" ht="19">
      <c r="A9" s="24">
        <v>45786</v>
      </c>
      <c r="B9" s="30" t="s">
        <v>7</v>
      </c>
      <c r="C9" s="25" t="s">
        <v>4</v>
      </c>
      <c r="D9" s="25" t="s">
        <v>21</v>
      </c>
      <c r="E9" s="4">
        <v>1</v>
      </c>
      <c r="F9" s="28">
        <v>3000</v>
      </c>
      <c r="G9" s="28">
        <f>Table13567913[[#This Row],[Rate /Trips]]*Table13567913[[#This Row],[Trips]]</f>
        <v>3000</v>
      </c>
      <c r="H9" s="28">
        <v>3000</v>
      </c>
      <c r="I9" s="28">
        <f>Table13567913[[#This Row],[Total Value]]-Table13567913[[#This Row],[Received]]</f>
        <v>0</v>
      </c>
      <c r="J9" s="1" t="str">
        <f>IF(I9&gt;10000,"🚨 URGENT: "&amp;C9&amp;" owes ₹"&amp;I9,IF(I9&gt;5000,"⚠️ WARNING: "&amp;C9&amp;" - ₹"&amp;I9&amp;" due",IF(I9&gt;0,"ℹ️ "&amp;C9&amp;" - ₹"&amp;I9&amp;" pending","✅ Paid")))</f>
        <v>✅ Paid</v>
      </c>
    </row>
    <row r="10" spans="1:10" ht="19">
      <c r="A10" s="24">
        <v>45786</v>
      </c>
      <c r="B10" s="30" t="s">
        <v>7</v>
      </c>
      <c r="C10" s="25" t="s">
        <v>70</v>
      </c>
      <c r="D10" s="25" t="s">
        <v>69</v>
      </c>
      <c r="E10" s="4">
        <v>3</v>
      </c>
      <c r="F10" s="28">
        <v>3500</v>
      </c>
      <c r="G10" s="28">
        <f>Table13567913[[#This Row],[Rate /Trips]]*Table13567913[[#This Row],[Trips]]</f>
        <v>10500</v>
      </c>
      <c r="H10" s="28">
        <v>10500</v>
      </c>
      <c r="I10" s="28">
        <f>Table13567913[[#This Row],[Total Value]]-Table13567913[[#This Row],[Received]]</f>
        <v>0</v>
      </c>
      <c r="J10" s="1" t="str">
        <f>IF(I10&gt;10000,"🚨 URGENT: "&amp;C10&amp;" owes ₹"&amp;I10,IF(I10&gt;5000,"⚠️ WARNING: "&amp;C10&amp;" - ₹"&amp;I10&amp;" due",IF(I10&gt;0,"ℹ️ "&amp;C10&amp;" - ₹"&amp;I10&amp;" pending","✅ Paid")))</f>
        <v>✅ Paid</v>
      </c>
    </row>
    <row r="11" spans="1:10" ht="19">
      <c r="A11" s="24">
        <v>45786</v>
      </c>
      <c r="B11" s="30" t="s">
        <v>43</v>
      </c>
      <c r="C11" s="25" t="s">
        <v>70</v>
      </c>
      <c r="D11" s="25" t="s">
        <v>69</v>
      </c>
      <c r="E11" s="4">
        <v>1</v>
      </c>
      <c r="F11" s="28">
        <v>3500</v>
      </c>
      <c r="G11" s="28">
        <f>Table13567913[[#This Row],[Rate /Trips]]*Table13567913[[#This Row],[Trips]]</f>
        <v>3500</v>
      </c>
      <c r="H11" s="28">
        <v>3500</v>
      </c>
      <c r="I11" s="28">
        <f>Table13567913[[#This Row],[Total Value]]-Table13567913[[#This Row],[Received]]</f>
        <v>0</v>
      </c>
      <c r="J11" s="1" t="str">
        <f>IF(I11&gt;10000,"🚨 URGENT: "&amp;C11&amp;" owes ₹"&amp;I11,IF(I11&gt;5000,"⚠️ WARNING: "&amp;C11&amp;" - ₹"&amp;I11&amp;" due",IF(I11&gt;0,"ℹ️ "&amp;C11&amp;" - ₹"&amp;I11&amp;" pending","✅ Paid")))</f>
        <v>✅ Paid</v>
      </c>
    </row>
    <row r="12" spans="1:10" ht="19">
      <c r="A12" s="24">
        <v>45798</v>
      </c>
      <c r="B12" s="30" t="s">
        <v>72</v>
      </c>
      <c r="C12" s="25" t="s">
        <v>74</v>
      </c>
      <c r="D12" s="25" t="s">
        <v>69</v>
      </c>
      <c r="E12" s="4">
        <v>2</v>
      </c>
      <c r="F12" s="28">
        <v>3500</v>
      </c>
      <c r="G12" s="28">
        <f>Table13567913[[#This Row],[Rate /Trips]]*Table13567913[[#This Row],[Trips]]</f>
        <v>7000</v>
      </c>
      <c r="H12" s="28">
        <v>7000</v>
      </c>
      <c r="I12" s="28">
        <f>Table13567913[[#This Row],[Total Value]]-Table13567913[[#This Row],[Received]]</f>
        <v>0</v>
      </c>
      <c r="J12" s="1" t="str">
        <f>IF(I12&gt;10000,"🚨 URGENT: "&amp;C12&amp;" owes ₹"&amp;I12,IF(I12&gt;5000,"⚠️ WARNING: "&amp;C12&amp;" - ₹"&amp;I12&amp;" due",IF(I12&gt;0,"ℹ️ "&amp;C12&amp;" - ₹"&amp;I12&amp;" pending","✅ Paid")))</f>
        <v>✅ Paid</v>
      </c>
    </row>
    <row r="13" spans="1:10" ht="19">
      <c r="A13" s="24">
        <v>45798</v>
      </c>
      <c r="B13" s="30" t="s">
        <v>72</v>
      </c>
      <c r="C13" s="25" t="s">
        <v>73</v>
      </c>
      <c r="D13" s="25" t="s">
        <v>21</v>
      </c>
      <c r="E13" s="4">
        <v>2</v>
      </c>
      <c r="F13" s="28">
        <v>3000</v>
      </c>
      <c r="G13" s="28">
        <f>Table13567913[[#This Row],[Rate /Trips]]*Table13567913[[#This Row],[Trips]]</f>
        <v>6000</v>
      </c>
      <c r="H13" s="28">
        <v>6000</v>
      </c>
      <c r="I13" s="28">
        <f>Table13567913[[#This Row],[Total Value]]-Table13567913[[#This Row],[Received]]</f>
        <v>0</v>
      </c>
      <c r="J13" s="1" t="str">
        <f>IF(I13&gt;10000,"🚨 URGENT: "&amp;C13&amp;" owes ₹"&amp;I13,IF(I13&gt;5000,"⚠️ WARNING: "&amp;C13&amp;" - ₹"&amp;I13&amp;" due",IF(I13&gt;0,"ℹ️ "&amp;C13&amp;" - ₹"&amp;I13&amp;" pending","✅ Paid")))</f>
        <v>✅ Paid</v>
      </c>
    </row>
    <row r="14" spans="1:10" ht="19">
      <c r="A14" s="24">
        <v>45805</v>
      </c>
      <c r="B14" s="30" t="s">
        <v>7</v>
      </c>
      <c r="C14" s="25" t="s">
        <v>79</v>
      </c>
      <c r="D14" s="25" t="s">
        <v>75</v>
      </c>
      <c r="E14" s="4">
        <v>1</v>
      </c>
      <c r="F14" s="28">
        <v>3000</v>
      </c>
      <c r="G14" s="28">
        <f>Table13567913[[#This Row],[Rate /Trips]]*Table13567913[[#This Row],[Trips]]</f>
        <v>3000</v>
      </c>
      <c r="H14" s="28">
        <v>3000</v>
      </c>
      <c r="I14" s="28">
        <f>Table13567913[[#This Row],[Total Value]]-Table13567913[[#This Row],[Received]]</f>
        <v>0</v>
      </c>
      <c r="J14" s="1" t="str">
        <f>IF(I14&gt;10000,"🚨 URGENT: "&amp;C14&amp;" owes ₹"&amp;I14,IF(I14&gt;5000,"⚠️ WARNING: "&amp;C14&amp;" - ₹"&amp;I14&amp;" due",IF(I14&gt;0,"ℹ️ "&amp;C14&amp;" - ₹"&amp;I14&amp;" pending","✅ Paid")))</f>
        <v>✅ Paid</v>
      </c>
    </row>
    <row r="15" spans="1:10" ht="19">
      <c r="A15" s="24">
        <v>45806</v>
      </c>
      <c r="B15" s="30" t="s">
        <v>43</v>
      </c>
      <c r="C15" s="25" t="s">
        <v>77</v>
      </c>
      <c r="D15" s="25" t="s">
        <v>21</v>
      </c>
      <c r="E15" s="4">
        <v>4</v>
      </c>
      <c r="F15" s="28">
        <v>3000</v>
      </c>
      <c r="G15" s="28">
        <f>Table13567913[[#This Row],[Rate /Trips]]*Table13567913[[#This Row],[Trips]]</f>
        <v>12000</v>
      </c>
      <c r="H15" s="28">
        <v>12000</v>
      </c>
      <c r="I15" s="28">
        <f>Table13567913[[#This Row],[Total Value]]-Table13567913[[#This Row],[Received]]</f>
        <v>0</v>
      </c>
      <c r="J15" s="1" t="str">
        <f>IF(I15&gt;10000,"🚨 URGENT: "&amp;C15&amp;" owes ₹"&amp;I15,IF(I15&gt;5000,"⚠️ WARNING: "&amp;C15&amp;" - ₹"&amp;I15&amp;" due",IF(I15&gt;0,"ℹ️ "&amp;C15&amp;" - ₹"&amp;I15&amp;" pending","✅ Paid")))</f>
        <v>✅ Paid</v>
      </c>
    </row>
    <row r="16" spans="1:10" ht="19">
      <c r="A16" s="24">
        <v>45806</v>
      </c>
      <c r="B16" s="30" t="s">
        <v>43</v>
      </c>
      <c r="C16" s="25" t="s">
        <v>78</v>
      </c>
      <c r="D16" s="25" t="s">
        <v>75</v>
      </c>
      <c r="E16" s="4">
        <v>3</v>
      </c>
      <c r="F16" s="28">
        <v>2800</v>
      </c>
      <c r="G16" s="28">
        <f>Table13567913[[#This Row],[Rate /Trips]]*Table13567913[[#This Row],[Trips]]</f>
        <v>8400</v>
      </c>
      <c r="H16" s="28">
        <v>8400</v>
      </c>
      <c r="I16" s="28">
        <f>Table13567913[[#This Row],[Total Value]]-Table13567913[[#This Row],[Received]]</f>
        <v>0</v>
      </c>
      <c r="J16" s="1" t="str">
        <f>IF(I16&gt;10000,"🚨 URGENT: "&amp;C16&amp;" owes ₹"&amp;I16,IF(I16&gt;5000,"⚠️ WARNING: "&amp;C16&amp;" - ₹"&amp;I16&amp;" due",IF(I16&gt;0,"ℹ️ "&amp;C16&amp;" - ₹"&amp;I16&amp;" pending","✅ Paid")))</f>
        <v>✅ Paid</v>
      </c>
    </row>
    <row r="17" spans="1:10" ht="19">
      <c r="A17" s="24">
        <v>45806</v>
      </c>
      <c r="B17" s="30" t="s">
        <v>76</v>
      </c>
      <c r="C17" s="25" t="s">
        <v>70</v>
      </c>
      <c r="D17" s="25" t="s">
        <v>69</v>
      </c>
      <c r="E17" s="4">
        <v>4</v>
      </c>
      <c r="F17" s="28">
        <v>3500</v>
      </c>
      <c r="G17" s="28">
        <f>Table13567913[[#This Row],[Rate /Trips]]*Table13567913[[#This Row],[Trips]]</f>
        <v>14000</v>
      </c>
      <c r="H17" s="28">
        <v>14000</v>
      </c>
      <c r="I17" s="28">
        <f>Table13567913[[#This Row],[Total Value]]-Table13567913[[#This Row],[Received]]</f>
        <v>0</v>
      </c>
      <c r="J17" s="1" t="str">
        <f>IF(I17&gt;10000,"🚨 URGENT: "&amp;C17&amp;" owes ₹"&amp;I17,IF(I17&gt;5000,"⚠️ WARNING: "&amp;C17&amp;" - ₹"&amp;I17&amp;" due",IF(I17&gt;0,"ℹ️ "&amp;C17&amp;" - ₹"&amp;I17&amp;" pending","✅ Paid")))</f>
        <v>✅ Paid</v>
      </c>
    </row>
    <row r="18" spans="1:10" ht="19">
      <c r="A18" s="24">
        <v>45808</v>
      </c>
      <c r="B18" s="30" t="s">
        <v>7</v>
      </c>
      <c r="C18" s="25" t="s">
        <v>83</v>
      </c>
      <c r="D18" s="25" t="s">
        <v>21</v>
      </c>
      <c r="E18" s="4">
        <v>1</v>
      </c>
      <c r="F18" s="28">
        <v>3000</v>
      </c>
      <c r="G18" s="28">
        <f>Table13567913[[#This Row],[Rate /Trips]]*Table13567913[[#This Row],[Trips]]</f>
        <v>3000</v>
      </c>
      <c r="H18" s="28"/>
      <c r="I18" s="28">
        <f>Table13567913[[#This Row],[Total Value]]-Table13567913[[#This Row],[Received]]</f>
        <v>3000</v>
      </c>
      <c r="J18" s="1" t="str">
        <f>IF(I18&gt;10000,"🚨 URGENT: "&amp;C18&amp;" owes ₹"&amp;I18,IF(I18&gt;5000,"⚠️ WARNING: "&amp;C18&amp;" - ₹"&amp;I18&amp;" due",IF(I18&gt;0,"ℹ️ "&amp;C18&amp;" - ₹"&amp;I18&amp;" pending","✅ Paid")))</f>
        <v>ℹ️ Pradip Chitade ( Raj Dad )  - ₹3000 pending</v>
      </c>
    </row>
    <row r="19" spans="1:10" ht="19">
      <c r="A19" s="24">
        <v>45808</v>
      </c>
      <c r="B19" s="30" t="s">
        <v>43</v>
      </c>
      <c r="C19" s="25" t="s">
        <v>78</v>
      </c>
      <c r="D19" s="25" t="s">
        <v>75</v>
      </c>
      <c r="E19" s="4">
        <v>5</v>
      </c>
      <c r="F19" s="28">
        <v>2800</v>
      </c>
      <c r="G19" s="28">
        <f>Table13567913[[#This Row],[Rate /Trips]]*Table13567913[[#This Row],[Trips]]</f>
        <v>14000</v>
      </c>
      <c r="H19" s="28">
        <v>14000</v>
      </c>
      <c r="I19" s="28">
        <f>Table13567913[[#This Row],[Total Value]]-Table13567913[[#This Row],[Received]]</f>
        <v>0</v>
      </c>
      <c r="J19" s="1" t="str">
        <f>IF(I19&gt;10000,"🚨 URGENT: "&amp;C19&amp;" owes ₹"&amp;I19,IF(I19&gt;5000,"⚠️ WARNING: "&amp;C19&amp;" - ₹"&amp;I19&amp;" due",IF(I19&gt;0,"ℹ️ "&amp;C19&amp;" - ₹"&amp;I19&amp;" pending","✅ Paid")))</f>
        <v>✅ Paid</v>
      </c>
    </row>
    <row r="20" spans="1:10" ht="19" customHeight="1">
      <c r="A20" s="1"/>
      <c r="B20" s="37"/>
      <c r="C20" s="1"/>
      <c r="D20" s="1"/>
      <c r="E20" s="1"/>
      <c r="F20" s="1"/>
      <c r="G20" s="23"/>
      <c r="H20" s="1"/>
      <c r="I20" s="23"/>
      <c r="J20" s="1"/>
    </row>
    <row r="21" spans="1:10" ht="19">
      <c r="A21" s="24"/>
      <c r="B21" s="30"/>
      <c r="C21" s="25"/>
      <c r="D21" s="25"/>
      <c r="E21" s="4"/>
      <c r="F21" s="28"/>
      <c r="G21" s="28"/>
      <c r="H21" s="28"/>
      <c r="I21" s="28"/>
      <c r="J21" s="1"/>
    </row>
    <row r="22" spans="1:10" ht="19">
      <c r="A22" s="24"/>
      <c r="B22" s="30"/>
      <c r="C22" s="25"/>
      <c r="D22" s="25"/>
      <c r="E22" s="4"/>
      <c r="F22" s="28"/>
      <c r="G22" s="28"/>
      <c r="H22" s="28"/>
      <c r="I22" s="28"/>
      <c r="J22" s="1"/>
    </row>
    <row r="23" spans="1:10" ht="19">
      <c r="A23" s="24"/>
      <c r="B23" s="30"/>
      <c r="C23" s="25"/>
      <c r="D23" s="25"/>
      <c r="E23" s="4"/>
      <c r="F23" s="28"/>
      <c r="G23" s="28"/>
      <c r="H23" s="28"/>
      <c r="I23" s="28"/>
      <c r="J23" s="1"/>
    </row>
    <row r="24" spans="1:10" ht="19">
      <c r="A24" s="24"/>
      <c r="B24" s="30"/>
      <c r="C24" s="25"/>
      <c r="D24" s="25"/>
      <c r="E24" s="4"/>
      <c r="F24" s="28"/>
      <c r="G24" s="28"/>
      <c r="H24" s="28"/>
      <c r="I24" s="28"/>
      <c r="J24" s="1"/>
    </row>
    <row r="25" spans="1:10" ht="19">
      <c r="A25" s="24"/>
      <c r="B25" s="30"/>
      <c r="C25" s="25"/>
      <c r="D25" s="25"/>
      <c r="E25" s="4"/>
      <c r="F25" s="28"/>
      <c r="G25" s="28"/>
      <c r="H25" s="28"/>
      <c r="I25" s="28"/>
      <c r="J25" s="1"/>
    </row>
    <row r="26" spans="1:10" ht="19">
      <c r="A26" s="24"/>
      <c r="B26" s="30"/>
      <c r="C26" s="25"/>
      <c r="D26" s="25"/>
      <c r="E26" s="4"/>
      <c r="F26" s="28"/>
      <c r="G26" s="28"/>
      <c r="H26" s="28"/>
      <c r="I26" s="28"/>
      <c r="J26" s="1"/>
    </row>
    <row r="27" spans="1:10" ht="19">
      <c r="A27" s="24"/>
      <c r="B27" s="32"/>
      <c r="C27" s="33"/>
      <c r="D27" s="33"/>
      <c r="E27" s="4"/>
      <c r="F27" s="28"/>
      <c r="G27" s="28"/>
      <c r="H27" s="28"/>
      <c r="I27" s="28"/>
      <c r="J27" s="1"/>
    </row>
    <row r="28" spans="1:10" ht="21">
      <c r="D28" s="9"/>
      <c r="E28" s="10" t="s">
        <v>100</v>
      </c>
      <c r="F28" s="11"/>
      <c r="G28" s="12" t="s">
        <v>97</v>
      </c>
      <c r="H28" s="12" t="s">
        <v>101</v>
      </c>
      <c r="I28" s="12" t="s">
        <v>45</v>
      </c>
    </row>
    <row r="29" spans="1:10" ht="21">
      <c r="D29" s="13" t="s">
        <v>102</v>
      </c>
      <c r="E29" s="14">
        <f>SUM(E5:E27)</f>
        <v>33</v>
      </c>
      <c r="F29" s="15"/>
      <c r="G29" s="16">
        <f>SUM(G5:G27)</f>
        <v>103400</v>
      </c>
      <c r="H29" s="16">
        <f>SUM(H5:H27)</f>
        <v>100400</v>
      </c>
      <c r="I29" s="16">
        <f>SUM(I5:I27)</f>
        <v>3000</v>
      </c>
    </row>
    <row r="30" spans="1:10" ht="46" customHeight="1">
      <c r="A30" s="40" t="s">
        <v>103</v>
      </c>
      <c r="B30" s="40"/>
      <c r="C30" s="40"/>
      <c r="D30" s="17"/>
      <c r="E30" s="17"/>
      <c r="F30" s="17"/>
      <c r="G30" s="17"/>
      <c r="H30" s="17"/>
      <c r="I30" s="17"/>
    </row>
    <row r="35" spans="1:9" ht="29">
      <c r="A35" s="38" t="s">
        <v>91</v>
      </c>
      <c r="B35" s="38"/>
      <c r="C35" s="38"/>
      <c r="D35" s="38"/>
      <c r="E35" s="38"/>
      <c r="F35" s="38"/>
      <c r="G35" s="38"/>
      <c r="H35" s="38"/>
      <c r="I35" s="38"/>
    </row>
    <row r="36" spans="1:9">
      <c r="A36" s="39" t="s">
        <v>149</v>
      </c>
      <c r="B36" s="39"/>
      <c r="C36" s="39"/>
      <c r="D36" s="39"/>
      <c r="E36" s="39"/>
      <c r="F36" s="39"/>
      <c r="G36" s="39"/>
      <c r="H36" s="39"/>
      <c r="I36" s="39"/>
    </row>
    <row r="37" spans="1:9" ht="16">
      <c r="A37" s="6" t="s">
        <v>0</v>
      </c>
      <c r="B37" s="7" t="s">
        <v>93</v>
      </c>
      <c r="C37" s="7" t="s">
        <v>94</v>
      </c>
      <c r="D37" s="7" t="s">
        <v>95</v>
      </c>
      <c r="E37" s="8" t="s">
        <v>96</v>
      </c>
      <c r="F37" s="8" t="s">
        <v>97</v>
      </c>
      <c r="G37" s="8" t="s">
        <v>98</v>
      </c>
      <c r="H37" s="8" t="s">
        <v>1</v>
      </c>
      <c r="I37" s="8" t="s">
        <v>99</v>
      </c>
    </row>
    <row r="38" spans="1:9">
      <c r="A38" s="1"/>
      <c r="B38" s="1"/>
      <c r="C38" s="1"/>
      <c r="D38" s="1"/>
      <c r="E38" s="1"/>
      <c r="F38" s="23"/>
      <c r="G38" s="1"/>
      <c r="H38" s="23"/>
      <c r="I38" s="1"/>
    </row>
    <row r="39" spans="1:9" ht="19">
      <c r="A39" s="24">
        <v>45791</v>
      </c>
      <c r="B39" s="25" t="s">
        <v>71</v>
      </c>
      <c r="C39" s="25" t="s">
        <v>64</v>
      </c>
      <c r="D39" s="4">
        <v>1</v>
      </c>
      <c r="E39" s="28">
        <v>1000</v>
      </c>
      <c r="F39" s="28">
        <f>Table13581014[[#This Row],[Rate /Trips]]*Table13581014[[#This Row],[Trips]]</f>
        <v>1000</v>
      </c>
      <c r="G39" s="28">
        <v>1000</v>
      </c>
      <c r="H39" s="28">
        <f>Table13581014[[#This Row],[Total Value]]-Table13581014[[#This Row],[Received]]</f>
        <v>0</v>
      </c>
      <c r="I39" s="1" t="str">
        <f t="shared" ref="I39:I41" si="0">IF(H39&gt;10000,"🚨 URGENT: "&amp;B39&amp;" owes ₹"&amp;H39,IF(H39&gt;5000,"⚠️ WARNING: "&amp;B39&amp;" - ₹"&amp;H39&amp;" due",IF(H39&gt;0,"ℹ️ "&amp;B39&amp;" - ₹"&amp;H39&amp;" pending","✅ Paid")))</f>
        <v>✅ Paid</v>
      </c>
    </row>
    <row r="40" spans="1:9" ht="19">
      <c r="A40" s="24"/>
      <c r="B40" s="25"/>
      <c r="C40" s="25"/>
      <c r="D40" s="4"/>
      <c r="E40" s="28"/>
      <c r="F40" s="28"/>
      <c r="G40" s="28"/>
      <c r="H40" s="28"/>
      <c r="I40" s="1"/>
    </row>
    <row r="41" spans="1:9" ht="19">
      <c r="A41" s="24">
        <v>45798</v>
      </c>
      <c r="B41" s="25" t="s">
        <v>71</v>
      </c>
      <c r="C41" s="25" t="s">
        <v>64</v>
      </c>
      <c r="D41" s="4">
        <v>1</v>
      </c>
      <c r="E41" s="28">
        <v>1000</v>
      </c>
      <c r="F41" s="28">
        <f>Table13581014[[#This Row],[Rate /Trips]]*Table13581014[[#This Row],[Trips]]</f>
        <v>1000</v>
      </c>
      <c r="G41" s="28">
        <v>1000</v>
      </c>
      <c r="H41" s="28">
        <f>Table13581014[[#This Row],[Total Value]]-Table13581014[[#This Row],[Received]]</f>
        <v>0</v>
      </c>
      <c r="I41" s="1" t="str">
        <f t="shared" si="0"/>
        <v>✅ Paid</v>
      </c>
    </row>
    <row r="42" spans="1:9" ht="19">
      <c r="A42" s="24"/>
      <c r="B42" s="4"/>
      <c r="C42" s="4"/>
      <c r="D42" s="4"/>
      <c r="E42" s="5"/>
      <c r="F42" s="28"/>
      <c r="G42" s="28"/>
      <c r="H42" s="28"/>
      <c r="I42" s="1"/>
    </row>
    <row r="43" spans="1:9" ht="21">
      <c r="C43" s="9"/>
      <c r="D43" s="10" t="s">
        <v>100</v>
      </c>
      <c r="F43" s="12" t="s">
        <v>97</v>
      </c>
      <c r="G43" s="12" t="s">
        <v>101</v>
      </c>
      <c r="H43" s="12" t="s">
        <v>45</v>
      </c>
    </row>
    <row r="44" spans="1:9" ht="21">
      <c r="C44" s="13" t="s">
        <v>102</v>
      </c>
      <c r="D44" s="14">
        <f>SUM(D39:D42)</f>
        <v>2</v>
      </c>
      <c r="F44" s="16">
        <f>SUM(F39:F42)</f>
        <v>2000</v>
      </c>
      <c r="G44" s="16">
        <f>SUM(G39:G42)</f>
        <v>2000</v>
      </c>
      <c r="H44" s="16">
        <f>SUM(H39:H42)</f>
        <v>0</v>
      </c>
    </row>
    <row r="45" spans="1:9" ht="70" customHeight="1">
      <c r="A45" s="40" t="s">
        <v>103</v>
      </c>
      <c r="B45" s="40"/>
      <c r="C45" s="40"/>
      <c r="D45" s="17"/>
      <c r="E45" s="17"/>
      <c r="F45" s="17"/>
      <c r="G45" s="17"/>
      <c r="H45" s="17"/>
      <c r="I45" s="17"/>
    </row>
    <row r="52" spans="1:10" ht="29">
      <c r="A52" s="38" t="s">
        <v>91</v>
      </c>
      <c r="B52" s="38"/>
      <c r="C52" s="38"/>
      <c r="D52" s="38"/>
      <c r="E52" s="38"/>
      <c r="F52" s="38"/>
      <c r="G52" s="38"/>
      <c r="H52" s="38"/>
      <c r="I52" s="38"/>
      <c r="J52" s="38"/>
    </row>
    <row r="53" spans="1:10">
      <c r="A53" s="39" t="s">
        <v>150</v>
      </c>
      <c r="B53" s="39"/>
      <c r="C53" s="39"/>
      <c r="D53" s="39"/>
      <c r="E53" s="39"/>
      <c r="F53" s="39"/>
      <c r="G53" s="39"/>
      <c r="H53" s="39"/>
      <c r="I53" s="39"/>
      <c r="J53" s="39"/>
    </row>
    <row r="54" spans="1:10" ht="16">
      <c r="A54" s="6" t="s">
        <v>0</v>
      </c>
      <c r="B54" s="7" t="s">
        <v>92</v>
      </c>
      <c r="C54" s="7" t="s">
        <v>93</v>
      </c>
      <c r="D54" s="7" t="s">
        <v>94</v>
      </c>
      <c r="E54" s="7" t="s">
        <v>95</v>
      </c>
      <c r="F54" s="8" t="s">
        <v>96</v>
      </c>
      <c r="G54" s="8" t="s">
        <v>97</v>
      </c>
      <c r="H54" s="8" t="s">
        <v>98</v>
      </c>
      <c r="I54" s="8" t="s">
        <v>1</v>
      </c>
      <c r="J54" s="8" t="s">
        <v>99</v>
      </c>
    </row>
    <row r="55" spans="1:10" ht="15" customHeight="1">
      <c r="A55" s="24">
        <v>45780</v>
      </c>
      <c r="B55" s="25" t="s">
        <v>43</v>
      </c>
      <c r="C55" s="25" t="s">
        <v>68</v>
      </c>
      <c r="D55" s="25" t="s">
        <v>9</v>
      </c>
      <c r="E55" s="4">
        <v>2</v>
      </c>
      <c r="F55" s="28">
        <v>3000</v>
      </c>
      <c r="G55" s="28">
        <f>Table1356791327[[#This Row],[Rate /Trips]]*Table1356791327[[#This Row],[Trips]]</f>
        <v>6000</v>
      </c>
      <c r="H55" s="28"/>
      <c r="I55" s="28">
        <f>Table1356791327[[#This Row],[Total Value]]-Table1356791327[[#This Row],[Received]]</f>
        <v>6000</v>
      </c>
      <c r="J55" s="1" t="str">
        <f>IF(I55&gt;10000,"🚨 URGENT: "&amp;C55&amp;" owes ₹"&amp;I55,IF(I55&gt;5000,"⚠️ WARNING: "&amp;C55&amp;" - ₹"&amp;I55&amp;" due",IF(I55&gt;0,"ℹ️ "&amp;C55&amp;" - ₹"&amp;I55&amp;" pending","✅ Paid")))</f>
        <v>⚠️ WARNING: Bharat Rone - ₹6000 due</v>
      </c>
    </row>
    <row r="56" spans="1:10" ht="19">
      <c r="A56" s="24">
        <v>45786</v>
      </c>
      <c r="B56" s="30" t="s">
        <v>7</v>
      </c>
      <c r="C56" s="25" t="s">
        <v>68</v>
      </c>
      <c r="D56" s="25" t="s">
        <v>9</v>
      </c>
      <c r="E56" s="4">
        <v>2</v>
      </c>
      <c r="F56" s="28">
        <v>3000</v>
      </c>
      <c r="G56" s="28">
        <f>Table1356791327[[#This Row],[Rate /Trips]]*Table1356791327[[#This Row],[Trips]]</f>
        <v>6000</v>
      </c>
      <c r="H56" s="28"/>
      <c r="I56" s="28">
        <f>Table1356791327[[#This Row],[Total Value]]-Table1356791327[[#This Row],[Received]]</f>
        <v>6000</v>
      </c>
      <c r="J56" s="1" t="str">
        <f>IF(I56&gt;10000,"🚨 URGENT: "&amp;C56&amp;" owes ₹"&amp;I56,IF(I56&gt;5000,"⚠️ WARNING: "&amp;C56&amp;" - ₹"&amp;I56&amp;" due",IF(I56&gt;0,"ℹ️ "&amp;C56&amp;" - ₹"&amp;I56&amp;" pending","✅ Paid")))</f>
        <v>⚠️ WARNING: Bharat Rone - ₹6000 due</v>
      </c>
    </row>
    <row r="57" spans="1:10" ht="19">
      <c r="A57" s="24">
        <v>45786</v>
      </c>
      <c r="B57" s="30" t="s">
        <v>43</v>
      </c>
      <c r="C57" s="25" t="s">
        <v>68</v>
      </c>
      <c r="D57" s="25" t="s">
        <v>9</v>
      </c>
      <c r="E57" s="4">
        <v>1</v>
      </c>
      <c r="F57" s="28">
        <v>3000</v>
      </c>
      <c r="G57" s="28">
        <f>Table1356791327[[#This Row],[Rate /Trips]]*Table1356791327[[#This Row],[Trips]]</f>
        <v>3000</v>
      </c>
      <c r="H57" s="28"/>
      <c r="I57" s="28">
        <f>Table1356791327[[#This Row],[Total Value]]-Table1356791327[[#This Row],[Received]]</f>
        <v>3000</v>
      </c>
      <c r="J57" s="1" t="str">
        <f>IF(I57&gt;10000,"🚨 URGENT: "&amp;C57&amp;" owes ₹"&amp;I57,IF(I57&gt;5000,"⚠️ WARNING: "&amp;C57&amp;" - ₹"&amp;I57&amp;" due",IF(I57&gt;0,"ℹ️ "&amp;C57&amp;" - ₹"&amp;I57&amp;" pending","✅ Paid")))</f>
        <v>ℹ️ Bharat Rone - ₹3000 pending</v>
      </c>
    </row>
    <row r="58" spans="1:10" ht="19">
      <c r="A58" s="24">
        <v>45805</v>
      </c>
      <c r="B58" s="30" t="s">
        <v>7</v>
      </c>
      <c r="C58" s="25" t="s">
        <v>79</v>
      </c>
      <c r="D58" s="25" t="s">
        <v>75</v>
      </c>
      <c r="E58" s="4">
        <v>1</v>
      </c>
      <c r="F58" s="28">
        <v>3000</v>
      </c>
      <c r="G58" s="28">
        <f>Table1356791327[[#This Row],[Rate /Trips]]*Table1356791327[[#This Row],[Trips]]</f>
        <v>3000</v>
      </c>
      <c r="H58" s="28"/>
      <c r="I58" s="28">
        <f>Table1356791327[[#This Row],[Total Value]]-Table1356791327[[#This Row],[Received]]</f>
        <v>3000</v>
      </c>
      <c r="J58" s="1" t="str">
        <f>IF(I58&gt;10000,"🚨 URGENT: "&amp;C58&amp;" owes ₹"&amp;I58,IF(I58&gt;5000,"⚠️ WARNING: "&amp;C58&amp;" - ₹"&amp;I58&amp;" due",IF(I58&gt;0,"ℹ️ "&amp;C58&amp;" - ₹"&amp;I58&amp;" pending","✅ Paid")))</f>
        <v>ℹ️ Papa Order  - ₹3000 pending</v>
      </c>
    </row>
    <row r="59" spans="1:10" ht="19">
      <c r="A59" s="24">
        <v>45808</v>
      </c>
      <c r="B59" s="30" t="s">
        <v>7</v>
      </c>
      <c r="C59" s="25" t="s">
        <v>83</v>
      </c>
      <c r="D59" s="25" t="s">
        <v>21</v>
      </c>
      <c r="E59" s="4">
        <v>1</v>
      </c>
      <c r="F59" s="28">
        <v>3000</v>
      </c>
      <c r="G59" s="28">
        <f>Table1356791327[[#This Row],[Rate /Trips]]*Table1356791327[[#This Row],[Trips]]</f>
        <v>3000</v>
      </c>
      <c r="H59" s="28"/>
      <c r="I59" s="28">
        <f>Table1356791327[[#This Row],[Total Value]]-Table1356791327[[#This Row],[Received]]</f>
        <v>3000</v>
      </c>
      <c r="J59" s="1" t="str">
        <f>IF(I59&gt;10000,"🚨 URGENT: "&amp;C59&amp;" owes ₹"&amp;I59,IF(I59&gt;5000,"⚠️ WARNING: "&amp;C59&amp;" - ₹"&amp;I59&amp;" due",IF(I59&gt;0,"ℹ️ "&amp;C59&amp;" - ₹"&amp;I59&amp;" pending","✅ Paid")))</f>
        <v>ℹ️ Pradip Chitade ( Raj Dad )  - ₹3000 pending</v>
      </c>
    </row>
    <row r="60" spans="1:10" ht="19">
      <c r="A60" s="24"/>
      <c r="B60" s="30"/>
      <c r="C60" s="25"/>
      <c r="D60" s="25"/>
      <c r="E60" s="4"/>
      <c r="F60" s="28"/>
      <c r="G60" s="28"/>
      <c r="H60" s="28"/>
      <c r="I60" s="28"/>
      <c r="J60" s="1"/>
    </row>
    <row r="61" spans="1:10" ht="19">
      <c r="A61" s="24"/>
      <c r="B61" s="30"/>
      <c r="C61" s="25"/>
      <c r="D61" s="25"/>
      <c r="E61" s="4"/>
      <c r="F61" s="28"/>
      <c r="G61" s="28"/>
      <c r="H61" s="28"/>
      <c r="I61" s="28"/>
      <c r="J61" s="1"/>
    </row>
    <row r="62" spans="1:10" ht="19">
      <c r="A62" s="24"/>
      <c r="B62" s="30"/>
      <c r="C62" s="25"/>
      <c r="D62" s="25"/>
      <c r="E62" s="4"/>
      <c r="F62" s="28"/>
      <c r="G62" s="28"/>
      <c r="H62" s="28"/>
      <c r="I62" s="28"/>
      <c r="J62" s="1"/>
    </row>
    <row r="63" spans="1:10" ht="19">
      <c r="A63" s="24"/>
      <c r="B63" s="30"/>
      <c r="C63" s="25"/>
      <c r="D63" s="25"/>
      <c r="E63" s="4"/>
      <c r="F63" s="28"/>
      <c r="G63" s="28"/>
      <c r="H63" s="28"/>
      <c r="I63" s="28"/>
      <c r="J63" s="1"/>
    </row>
    <row r="64" spans="1:10" ht="19">
      <c r="A64" s="24"/>
      <c r="B64" s="30"/>
      <c r="C64" s="25"/>
      <c r="D64" s="25"/>
      <c r="E64" s="4"/>
      <c r="F64" s="28"/>
      <c r="G64" s="28"/>
      <c r="H64" s="28"/>
      <c r="I64" s="28"/>
      <c r="J64" s="1"/>
    </row>
    <row r="65" spans="1:10" ht="19">
      <c r="A65" s="24"/>
      <c r="B65" s="30"/>
      <c r="C65" s="25"/>
      <c r="D65" s="25"/>
      <c r="E65" s="4"/>
      <c r="F65" s="28"/>
      <c r="G65" s="28"/>
      <c r="H65" s="28"/>
      <c r="I65" s="28"/>
      <c r="J65" s="1"/>
    </row>
    <row r="66" spans="1:10" ht="19">
      <c r="A66" s="24"/>
      <c r="B66" s="32"/>
      <c r="C66" s="33"/>
      <c r="D66" s="33"/>
      <c r="E66" s="4"/>
      <c r="F66" s="28"/>
      <c r="G66" s="28"/>
      <c r="H66" s="28"/>
      <c r="I66" s="28"/>
      <c r="J66" s="1"/>
    </row>
    <row r="67" spans="1:10" ht="21">
      <c r="D67" s="9"/>
      <c r="E67" s="10" t="s">
        <v>100</v>
      </c>
      <c r="F67" s="11"/>
      <c r="G67" s="12" t="s">
        <v>97</v>
      </c>
      <c r="H67" s="12" t="s">
        <v>101</v>
      </c>
      <c r="I67" s="12" t="s">
        <v>45</v>
      </c>
    </row>
  </sheetData>
  <mergeCells count="8">
    <mergeCell ref="A1:J1"/>
    <mergeCell ref="A2:J2"/>
    <mergeCell ref="A30:C30"/>
    <mergeCell ref="A52:J52"/>
    <mergeCell ref="A53:J53"/>
    <mergeCell ref="A35:I35"/>
    <mergeCell ref="A36:I36"/>
    <mergeCell ref="A45:C45"/>
  </mergeCells>
  <conditionalFormatting sqref="J5:J27 I39:I42 J56:J66">
    <cfRule type="containsText" dxfId="31" priority="5" operator="containsText" text="✅">
      <formula>NOT(ISERROR(SEARCH("✅",I5)))</formula>
    </cfRule>
    <cfRule type="containsText" dxfId="30" priority="6" operator="containsText" text="ℹ️">
      <formula>NOT(ISERROR(SEARCH("ℹ️",I5)))</formula>
    </cfRule>
    <cfRule type="containsText" dxfId="29" priority="7" operator="containsText" text="⚠️">
      <formula>NOT(ISERROR(SEARCH("⚠️",I5)))</formula>
    </cfRule>
    <cfRule type="containsText" dxfId="28" priority="8" operator="containsText" text="🚨">
      <formula>NOT(ISERROR(SEARCH("🚨",I5)))</formula>
    </cfRule>
  </conditionalFormatting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A0776-8409-344B-B40D-B932B3845A8F}">
  <sheetPr codeName="Sheet6"/>
  <dimension ref="A1:J54"/>
  <sheetViews>
    <sheetView zoomScale="125" workbookViewId="0">
      <selection activeCell="A4" sqref="A4:I11"/>
    </sheetView>
  </sheetViews>
  <sheetFormatPr baseColWidth="10" defaultColWidth="8.83203125" defaultRowHeight="15"/>
  <cols>
    <col min="1" max="1" width="27.33203125" bestFit="1" customWidth="1"/>
    <col min="2" max="2" width="22.6640625" bestFit="1" customWidth="1"/>
    <col min="3" max="3" width="19.83203125" bestFit="1" customWidth="1"/>
    <col min="4" max="4" width="26.83203125" bestFit="1" customWidth="1"/>
    <col min="5" max="5" width="29.5" bestFit="1" customWidth="1"/>
    <col min="6" max="7" width="20.33203125" bestFit="1" customWidth="1"/>
    <col min="8" max="8" width="20.1640625" bestFit="1" customWidth="1"/>
    <col min="9" max="9" width="25.6640625" bestFit="1" customWidth="1"/>
    <col min="10" max="10" width="37.1640625" bestFit="1" customWidth="1"/>
  </cols>
  <sheetData>
    <row r="1" spans="1:10" ht="29">
      <c r="A1" s="38" t="s">
        <v>91</v>
      </c>
      <c r="B1" s="38"/>
      <c r="C1" s="38"/>
      <c r="D1" s="38"/>
      <c r="E1" s="38"/>
      <c r="F1" s="38"/>
      <c r="G1" s="38"/>
      <c r="H1" s="38"/>
      <c r="I1" s="38"/>
      <c r="J1" s="38"/>
    </row>
    <row r="2" spans="1:10">
      <c r="A2" s="39" t="s">
        <v>145</v>
      </c>
      <c r="B2" s="39"/>
      <c r="C2" s="39"/>
      <c r="D2" s="39"/>
      <c r="E2" s="39"/>
      <c r="F2" s="39"/>
      <c r="G2" s="39"/>
      <c r="H2" s="39"/>
      <c r="I2" s="39"/>
      <c r="J2" s="39"/>
    </row>
    <row r="3" spans="1:10" ht="16">
      <c r="A3" s="6" t="s">
        <v>0</v>
      </c>
      <c r="B3" s="7" t="s">
        <v>92</v>
      </c>
      <c r="C3" s="7" t="s">
        <v>93</v>
      </c>
      <c r="D3" s="7" t="s">
        <v>94</v>
      </c>
      <c r="E3" s="7" t="s">
        <v>95</v>
      </c>
      <c r="F3" s="8" t="s">
        <v>96</v>
      </c>
      <c r="G3" s="8" t="s">
        <v>97</v>
      </c>
      <c r="H3" s="8" t="s">
        <v>98</v>
      </c>
      <c r="I3" s="8" t="s">
        <v>1</v>
      </c>
      <c r="J3" s="8" t="s">
        <v>99</v>
      </c>
    </row>
    <row r="4" spans="1:10" ht="15" customHeight="1">
      <c r="A4" s="24">
        <v>45809</v>
      </c>
      <c r="B4" s="25" t="s">
        <v>43</v>
      </c>
      <c r="C4" s="25" t="s">
        <v>85</v>
      </c>
      <c r="D4" s="25" t="s">
        <v>16</v>
      </c>
      <c r="E4" s="4">
        <v>1</v>
      </c>
      <c r="F4" s="28">
        <v>3000</v>
      </c>
      <c r="G4" s="28">
        <f>Table1356791315[[#This Row],[Rate /Trips]]*Table1356791315[[#This Row],[Trips]]</f>
        <v>3000</v>
      </c>
      <c r="H4" s="28">
        <v>3000</v>
      </c>
      <c r="I4" s="28">
        <f>Table1356791315[[#This Row],[Total Value]]-Table1356791315[[#This Row],[Received]]</f>
        <v>0</v>
      </c>
      <c r="J4" s="1" t="str">
        <f>IF(I4&gt;10000,"🚨 URGENT: "&amp;C4&amp;" owes ₹"&amp;I4,IF(I4&gt;5000,"⚠️ WARNING: "&amp;C4&amp;" - ₹"&amp;I4&amp;" due",IF(I4&gt;0,"ℹ️ "&amp;C4&amp;" - ₹"&amp;I4&amp;" pending","✅ Paid")))</f>
        <v>✅ Paid</v>
      </c>
    </row>
    <row r="5" spans="1:10" ht="19">
      <c r="A5" s="24">
        <v>45809</v>
      </c>
      <c r="B5" s="30" t="s">
        <v>7</v>
      </c>
      <c r="C5" s="25" t="s">
        <v>82</v>
      </c>
      <c r="D5" s="25" t="s">
        <v>81</v>
      </c>
      <c r="E5" s="4">
        <v>1</v>
      </c>
      <c r="F5" s="28">
        <v>3000</v>
      </c>
      <c r="G5" s="28">
        <f>Table1356791315[[#This Row],[Rate /Trips]]*Table1356791315[[#This Row],[Trips]]</f>
        <v>3000</v>
      </c>
      <c r="H5" s="28">
        <v>3000</v>
      </c>
      <c r="I5" s="28">
        <f>Table1356791315[[#This Row],[Total Value]]-Table1356791315[[#This Row],[Received]]</f>
        <v>0</v>
      </c>
      <c r="J5" s="1" t="str">
        <f>IF(I5&gt;10000,"🚨 URGENT: "&amp;C5&amp;" owes ₹"&amp;I5,IF(I5&gt;5000,"⚠️ WARNING: "&amp;C5&amp;" - ₹"&amp;I5&amp;" due",IF(I5&gt;0,"ℹ️ "&amp;C5&amp;" - ₹"&amp;I5&amp;" pending","✅ Paid")))</f>
        <v>✅ Paid</v>
      </c>
    </row>
    <row r="6" spans="1:10" ht="19">
      <c r="A6" s="24">
        <v>45812</v>
      </c>
      <c r="B6" s="30" t="s">
        <v>43</v>
      </c>
      <c r="C6" s="25" t="s">
        <v>63</v>
      </c>
      <c r="D6" s="25" t="s">
        <v>84</v>
      </c>
      <c r="E6" s="4">
        <v>1</v>
      </c>
      <c r="F6" s="28">
        <v>3500</v>
      </c>
      <c r="G6" s="28">
        <f>Table1356791315[[#This Row],[Rate /Trips]]*Table1356791315[[#This Row],[Trips]]</f>
        <v>3500</v>
      </c>
      <c r="H6" s="28">
        <v>3500</v>
      </c>
      <c r="I6" s="28">
        <f>Table1356791315[[#This Row],[Total Value]]-Table1356791315[[#This Row],[Received]]</f>
        <v>0</v>
      </c>
      <c r="J6" s="1" t="str">
        <f>IF(I6&gt;10000,"🚨 URGENT: "&amp;C6&amp;" owes ₹"&amp;I6,IF(I6&gt;5000,"⚠️ WARNING: "&amp;C6&amp;" - ₹"&amp;I6&amp;" due",IF(I6&gt;0,"ℹ️ "&amp;C6&amp;" - ₹"&amp;I6&amp;" pending","✅ Paid")))</f>
        <v>✅ Paid</v>
      </c>
    </row>
    <row r="7" spans="1:10" ht="19">
      <c r="A7" s="24">
        <v>45815</v>
      </c>
      <c r="B7" s="30" t="s">
        <v>43</v>
      </c>
      <c r="C7" s="25" t="s">
        <v>82</v>
      </c>
      <c r="D7" s="25" t="s">
        <v>81</v>
      </c>
      <c r="E7" s="4">
        <v>1</v>
      </c>
      <c r="F7" s="28">
        <v>3000</v>
      </c>
      <c r="G7" s="28">
        <f>Table1356791315[[#This Row],[Rate /Trips]]*Table1356791315[[#This Row],[Trips]]</f>
        <v>3000</v>
      </c>
      <c r="H7" s="28">
        <v>3000</v>
      </c>
      <c r="I7" s="28">
        <f>Table1356791315[[#This Row],[Total Value]]-Table1356791315[[#This Row],[Received]]</f>
        <v>0</v>
      </c>
      <c r="J7" s="1" t="str">
        <f>IF(I7&gt;10000,"🚨 URGENT: "&amp;C7&amp;" owes ₹"&amp;I7,IF(I7&gt;5000,"⚠️ WARNING: "&amp;C7&amp;" - ₹"&amp;I7&amp;" due",IF(I7&gt;0,"ℹ️ "&amp;C7&amp;" - ₹"&amp;I7&amp;" pending","✅ Paid")))</f>
        <v>✅ Paid</v>
      </c>
    </row>
    <row r="8" spans="1:10" ht="19">
      <c r="A8" s="24">
        <v>45826</v>
      </c>
      <c r="B8" s="30"/>
      <c r="C8" s="25" t="s">
        <v>87</v>
      </c>
      <c r="D8" s="25" t="s">
        <v>61</v>
      </c>
      <c r="E8" s="4">
        <v>1</v>
      </c>
      <c r="F8" s="28">
        <v>3000</v>
      </c>
      <c r="G8" s="28">
        <f>Table1356791315[[#This Row],[Rate /Trips]]*Table1356791315[[#This Row],[Trips]]</f>
        <v>3000</v>
      </c>
      <c r="H8" s="28">
        <v>3000</v>
      </c>
      <c r="I8" s="28">
        <f>Table1356791315[[#This Row],[Total Value]]-Table1356791315[[#This Row],[Received]]</f>
        <v>0</v>
      </c>
      <c r="J8" s="1" t="str">
        <f>IF(I8&gt;10000,"🚨 URGENT: "&amp;C8&amp;" owes ₹"&amp;I8,IF(I8&gt;5000,"⚠️ WARNING: "&amp;C8&amp;" - ₹"&amp;I8&amp;" due",IF(I8&gt;0,"ℹ️ "&amp;C8&amp;" - ₹"&amp;I8&amp;" pending","✅ Paid")))</f>
        <v>✅ Paid</v>
      </c>
    </row>
    <row r="9" spans="1:10" ht="19">
      <c r="A9" s="24">
        <v>45826</v>
      </c>
      <c r="B9" s="30"/>
      <c r="C9" s="25" t="s">
        <v>82</v>
      </c>
      <c r="D9" s="25" t="s">
        <v>81</v>
      </c>
      <c r="E9" s="4">
        <v>2</v>
      </c>
      <c r="F9" s="28">
        <v>3000</v>
      </c>
      <c r="G9" s="28">
        <f>Table1356791315[[#This Row],[Rate /Trips]]*Table1356791315[[#This Row],[Trips]]</f>
        <v>6000</v>
      </c>
      <c r="H9" s="28">
        <v>6000</v>
      </c>
      <c r="I9" s="28">
        <f>Table1356791315[[#This Row],[Total Value]]-Table1356791315[[#This Row],[Received]]</f>
        <v>0</v>
      </c>
      <c r="J9" s="1" t="str">
        <f>IF(I9&gt;10000,"🚨 URGENT: "&amp;C9&amp;" owes ₹"&amp;I9,IF(I9&gt;5000,"⚠️ WARNING: "&amp;C9&amp;" - ₹"&amp;I9&amp;" due",IF(I9&gt;0,"ℹ️ "&amp;C9&amp;" - ₹"&amp;I9&amp;" pending","✅ Paid")))</f>
        <v>✅ Paid</v>
      </c>
    </row>
    <row r="10" spans="1:10" ht="19">
      <c r="A10" s="24">
        <v>45826</v>
      </c>
      <c r="B10" s="30"/>
      <c r="C10" s="25" t="s">
        <v>88</v>
      </c>
      <c r="D10" s="25" t="s">
        <v>21</v>
      </c>
      <c r="E10" s="4">
        <v>1</v>
      </c>
      <c r="F10" s="28">
        <v>4000</v>
      </c>
      <c r="G10" s="28">
        <f>Table1356791315[[#This Row],[Rate /Trips]]*Table1356791315[[#This Row],[Trips]]</f>
        <v>4000</v>
      </c>
      <c r="H10" s="28">
        <v>4000</v>
      </c>
      <c r="I10" s="28">
        <f>Table1356791315[[#This Row],[Total Value]]-Table1356791315[[#This Row],[Received]]</f>
        <v>0</v>
      </c>
      <c r="J10" s="1" t="str">
        <f>IF(I10&gt;10000,"🚨 URGENT: "&amp;C10&amp;" owes ₹"&amp;I10,IF(I10&gt;5000,"⚠️ WARNING: "&amp;C10&amp;" - ₹"&amp;I10&amp;" due",IF(I10&gt;0,"ℹ️ "&amp;C10&amp;" - ₹"&amp;I10&amp;" pending","✅ Paid")))</f>
        <v>✅ Paid</v>
      </c>
    </row>
    <row r="11" spans="1:10" ht="19">
      <c r="A11" s="24">
        <v>45835</v>
      </c>
      <c r="B11" s="30" t="s">
        <v>43</v>
      </c>
      <c r="C11" s="25" t="s">
        <v>89</v>
      </c>
      <c r="D11" s="25" t="s">
        <v>90</v>
      </c>
      <c r="E11" s="4">
        <v>1</v>
      </c>
      <c r="F11" s="28">
        <v>3700</v>
      </c>
      <c r="G11" s="28">
        <f>Table1356791315[[#This Row],[Rate /Trips]]*Table1356791315[[#This Row],[Trips]]</f>
        <v>3700</v>
      </c>
      <c r="H11" s="28">
        <v>3700</v>
      </c>
      <c r="I11" s="28">
        <f>Table1356791315[[#This Row],[Total Value]]-Table1356791315[[#This Row],[Received]]</f>
        <v>0</v>
      </c>
      <c r="J11" s="1" t="str">
        <f>IF(I11&gt;10000,"🚨 URGENT: "&amp;C11&amp;" owes ₹"&amp;I11,IF(I11&gt;5000,"⚠️ WARNING: "&amp;C11&amp;" - ₹"&amp;I11&amp;" due",IF(I11&gt;0,"ℹ️ "&amp;C11&amp;" - ₹"&amp;I11&amp;" pending","✅ Paid")))</f>
        <v>✅ Paid</v>
      </c>
    </row>
    <row r="12" spans="1:10" ht="19" customHeight="1">
      <c r="A12" s="1"/>
      <c r="B12" s="37"/>
      <c r="C12" s="1"/>
      <c r="D12" s="1"/>
      <c r="E12" s="1"/>
      <c r="F12" s="1"/>
      <c r="G12" s="23"/>
      <c r="H12" s="1"/>
      <c r="I12" s="23"/>
      <c r="J12" s="1"/>
    </row>
    <row r="13" spans="1:10" ht="19">
      <c r="A13" s="24"/>
      <c r="B13" s="30"/>
      <c r="C13" s="25"/>
      <c r="D13" s="25"/>
      <c r="E13" s="4"/>
      <c r="F13" s="28"/>
      <c r="G13" s="28"/>
      <c r="H13" s="28"/>
      <c r="I13" s="28"/>
      <c r="J13" s="1"/>
    </row>
    <row r="14" spans="1:10" ht="19">
      <c r="A14" s="24"/>
      <c r="B14" s="30"/>
      <c r="C14" s="25"/>
      <c r="D14" s="25"/>
      <c r="E14" s="4"/>
      <c r="F14" s="28"/>
      <c r="G14" s="28"/>
      <c r="H14" s="28"/>
      <c r="I14" s="28"/>
      <c r="J14" s="1"/>
    </row>
    <row r="15" spans="1:10" ht="19">
      <c r="A15" s="24"/>
      <c r="B15" s="30"/>
      <c r="C15" s="25"/>
      <c r="D15" s="25"/>
      <c r="E15" s="4"/>
      <c r="F15" s="28"/>
      <c r="G15" s="28"/>
      <c r="H15" s="28"/>
      <c r="I15" s="28"/>
      <c r="J15" s="1"/>
    </row>
    <row r="16" spans="1:10" ht="19">
      <c r="A16" s="24"/>
      <c r="B16" s="30"/>
      <c r="C16" s="25"/>
      <c r="D16" s="25"/>
      <c r="E16" s="4"/>
      <c r="F16" s="28"/>
      <c r="G16" s="28"/>
      <c r="H16" s="28"/>
      <c r="I16" s="28"/>
      <c r="J16" s="1"/>
    </row>
    <row r="17" spans="1:10" ht="19">
      <c r="A17" s="24"/>
      <c r="B17" s="30"/>
      <c r="C17" s="25"/>
      <c r="D17" s="25"/>
      <c r="E17" s="4"/>
      <c r="F17" s="28"/>
      <c r="G17" s="28"/>
      <c r="H17" s="28"/>
      <c r="I17" s="28"/>
      <c r="J17" s="1"/>
    </row>
    <row r="18" spans="1:10" ht="21">
      <c r="D18" s="9"/>
      <c r="E18" s="10" t="s">
        <v>100</v>
      </c>
      <c r="F18" s="11"/>
      <c r="G18" s="12" t="s">
        <v>97</v>
      </c>
      <c r="H18" s="12" t="s">
        <v>101</v>
      </c>
      <c r="I18" s="12" t="s">
        <v>45</v>
      </c>
    </row>
    <row r="19" spans="1:10" ht="21">
      <c r="D19" s="13" t="s">
        <v>102</v>
      </c>
      <c r="E19" s="14">
        <f>SUM(E5:E17)</f>
        <v>8</v>
      </c>
      <c r="F19" s="15"/>
      <c r="G19" s="16">
        <f>SUM(G5:G17)</f>
        <v>26200</v>
      </c>
      <c r="H19" s="16">
        <f>SUM(H5:H17)</f>
        <v>26200</v>
      </c>
      <c r="I19" s="16">
        <f>SUM(I5:I17)</f>
        <v>0</v>
      </c>
    </row>
    <row r="20" spans="1:10" ht="46" customHeight="1">
      <c r="A20" s="40" t="s">
        <v>103</v>
      </c>
      <c r="B20" s="40"/>
      <c r="C20" s="40"/>
      <c r="D20" s="17"/>
      <c r="E20" s="17"/>
      <c r="F20" s="17"/>
      <c r="G20" s="17"/>
      <c r="H20" s="17"/>
      <c r="I20" s="17"/>
    </row>
    <row r="25" spans="1:10" ht="29">
      <c r="A25" s="38" t="s">
        <v>91</v>
      </c>
      <c r="B25" s="38"/>
      <c r="C25" s="38"/>
      <c r="D25" s="38"/>
      <c r="E25" s="38"/>
      <c r="F25" s="38"/>
      <c r="G25" s="38"/>
      <c r="H25" s="38"/>
      <c r="I25" s="38"/>
    </row>
    <row r="26" spans="1:10">
      <c r="A26" s="39" t="s">
        <v>149</v>
      </c>
      <c r="B26" s="39"/>
      <c r="C26" s="39"/>
      <c r="D26" s="39"/>
      <c r="E26" s="39"/>
      <c r="F26" s="39"/>
      <c r="G26" s="39"/>
      <c r="H26" s="39"/>
      <c r="I26" s="39"/>
    </row>
    <row r="27" spans="1:10" ht="16">
      <c r="A27" s="6" t="s">
        <v>0</v>
      </c>
      <c r="B27" s="7" t="s">
        <v>93</v>
      </c>
      <c r="C27" s="7" t="s">
        <v>94</v>
      </c>
      <c r="D27" s="7" t="s">
        <v>95</v>
      </c>
      <c r="E27" s="8" t="s">
        <v>96</v>
      </c>
      <c r="F27" s="8" t="s">
        <v>97</v>
      </c>
      <c r="G27" s="8" t="s">
        <v>98</v>
      </c>
      <c r="H27" s="8" t="s">
        <v>1</v>
      </c>
      <c r="I27" s="8" t="s">
        <v>99</v>
      </c>
    </row>
    <row r="28" spans="1:10">
      <c r="A28" s="1"/>
      <c r="B28" s="1"/>
      <c r="C28" s="1"/>
      <c r="D28" s="1"/>
      <c r="E28" s="1"/>
      <c r="F28" s="23"/>
      <c r="G28" s="1"/>
      <c r="H28" s="23"/>
      <c r="I28" s="1"/>
    </row>
    <row r="29" spans="1:10" ht="19">
      <c r="A29" s="24">
        <v>45809</v>
      </c>
      <c r="B29" s="25" t="s">
        <v>80</v>
      </c>
      <c r="C29" s="25" t="s">
        <v>64</v>
      </c>
      <c r="D29" s="4">
        <v>2</v>
      </c>
      <c r="E29" s="28">
        <v>1000</v>
      </c>
      <c r="F29" s="28">
        <f>Table1358101416[[#This Row],[Rate /Trips]]*Table1358101416[[#This Row],[Trips]]</f>
        <v>2000</v>
      </c>
      <c r="G29" s="28">
        <v>2000</v>
      </c>
      <c r="H29" s="28">
        <f>Table1358101416[[#This Row],[Total Value]]-Table1358101416[[#This Row],[Received]]</f>
        <v>0</v>
      </c>
      <c r="I29" s="1" t="str">
        <f t="shared" ref="I29:I50" si="0">IF(H29&gt;10000,"🚨 URGENT: "&amp;B29&amp;" owes ₹"&amp;H29,IF(H29&gt;5000,"⚠️ WARNING: "&amp;B29&amp;" - ₹"&amp;H29&amp;" due",IF(H29&gt;0,"ℹ️ "&amp;B29&amp;" - ₹"&amp;H29&amp;" pending","✅ Paid")))</f>
        <v>✅ Paid</v>
      </c>
    </row>
    <row r="30" spans="1:10" ht="19">
      <c r="A30" s="24">
        <v>45809</v>
      </c>
      <c r="B30" s="25" t="s">
        <v>27</v>
      </c>
      <c r="C30" s="25" t="s">
        <v>64</v>
      </c>
      <c r="D30" s="4">
        <v>1</v>
      </c>
      <c r="E30" s="28">
        <v>700</v>
      </c>
      <c r="F30" s="28">
        <f>Table1358101416[[#This Row],[Rate /Trips]]*Table1358101416[[#This Row],[Trips]]</f>
        <v>700</v>
      </c>
      <c r="G30" s="28"/>
      <c r="H30" s="28">
        <f>Table1358101416[[#This Row],[Total Value]]-Table1358101416[[#This Row],[Received]]</f>
        <v>700</v>
      </c>
      <c r="I30" s="1" t="str">
        <f t="shared" si="0"/>
        <v>ℹ️ Golu - ₹700 pending</v>
      </c>
    </row>
    <row r="31" spans="1:10" ht="19">
      <c r="A31" s="24"/>
      <c r="B31" s="25"/>
      <c r="C31" s="25"/>
      <c r="D31" s="4"/>
      <c r="E31" s="28"/>
      <c r="F31" s="28"/>
      <c r="G31" s="28"/>
      <c r="H31" s="28"/>
      <c r="I31" s="1"/>
    </row>
    <row r="32" spans="1:10" ht="19">
      <c r="A32" s="24">
        <v>45810</v>
      </c>
      <c r="B32" s="25" t="s">
        <v>80</v>
      </c>
      <c r="C32" s="25" t="s">
        <v>64</v>
      </c>
      <c r="D32" s="4">
        <v>2</v>
      </c>
      <c r="E32" s="28">
        <v>1000</v>
      </c>
      <c r="F32" s="28">
        <f>Table1358101416[[#This Row],[Rate /Trips]]*Table1358101416[[#This Row],[Trips]]</f>
        <v>2000</v>
      </c>
      <c r="G32" s="28">
        <v>2000</v>
      </c>
      <c r="H32" s="28">
        <f>Table1358101416[[#This Row],[Total Value]]-Table1358101416[[#This Row],[Received]]</f>
        <v>0</v>
      </c>
      <c r="I32" s="1" t="str">
        <f t="shared" si="0"/>
        <v>✅ Paid</v>
      </c>
    </row>
    <row r="33" spans="1:9" ht="19">
      <c r="A33" s="24"/>
      <c r="B33" s="25"/>
      <c r="C33" s="25"/>
      <c r="D33" s="4"/>
      <c r="E33" s="28"/>
      <c r="F33" s="28"/>
      <c r="G33" s="28"/>
      <c r="H33" s="28"/>
      <c r="I33" s="1"/>
    </row>
    <row r="34" spans="1:9" ht="19">
      <c r="A34" s="24">
        <v>45821</v>
      </c>
      <c r="B34" s="25" t="s">
        <v>86</v>
      </c>
      <c r="C34" s="25" t="s">
        <v>64</v>
      </c>
      <c r="D34" s="4">
        <v>6</v>
      </c>
      <c r="E34" s="28">
        <v>1000</v>
      </c>
      <c r="F34" s="28">
        <f>Table1358101416[[#This Row],[Rate /Trips]]*Table1358101416[[#This Row],[Trips]]</f>
        <v>6000</v>
      </c>
      <c r="G34" s="28">
        <v>6000</v>
      </c>
      <c r="H34" s="28">
        <f>Table1358101416[[#This Row],[Total Value]]-Table1358101416[[#This Row],[Received]]</f>
        <v>0</v>
      </c>
      <c r="I34" s="1" t="str">
        <f t="shared" si="0"/>
        <v>✅ Paid</v>
      </c>
    </row>
    <row r="35" spans="1:9" ht="19">
      <c r="A35" s="24"/>
      <c r="B35" s="25"/>
      <c r="C35" s="25"/>
      <c r="D35" s="4"/>
      <c r="E35" s="28"/>
      <c r="F35" s="28"/>
      <c r="G35" s="28"/>
      <c r="H35" s="28"/>
      <c r="I35" s="1"/>
    </row>
    <row r="36" spans="1:9" ht="19">
      <c r="A36" s="24">
        <v>45822</v>
      </c>
      <c r="B36" s="25" t="s">
        <v>86</v>
      </c>
      <c r="C36" s="25" t="s">
        <v>64</v>
      </c>
      <c r="D36" s="4">
        <v>3</v>
      </c>
      <c r="E36" s="28">
        <v>1000</v>
      </c>
      <c r="F36" s="28">
        <f>Table1358101416[[#This Row],[Rate /Trips]]*Table1358101416[[#This Row],[Trips]]</f>
        <v>3000</v>
      </c>
      <c r="G36" s="28">
        <v>3000</v>
      </c>
      <c r="H36" s="28">
        <f>Table1358101416[[#This Row],[Total Value]]-Table1358101416[[#This Row],[Received]]</f>
        <v>0</v>
      </c>
      <c r="I36" s="1" t="str">
        <f t="shared" si="0"/>
        <v>✅ Paid</v>
      </c>
    </row>
    <row r="37" spans="1:9" ht="19">
      <c r="A37" s="24"/>
      <c r="B37" s="25"/>
      <c r="C37" s="25"/>
      <c r="D37" s="4"/>
      <c r="E37" s="28"/>
      <c r="F37" s="28"/>
      <c r="G37" s="28"/>
      <c r="H37" s="28"/>
      <c r="I37" s="1"/>
    </row>
    <row r="38" spans="1:9" ht="19">
      <c r="A38" s="24">
        <v>45823</v>
      </c>
      <c r="B38" s="25" t="s">
        <v>86</v>
      </c>
      <c r="C38" s="25" t="s">
        <v>64</v>
      </c>
      <c r="D38" s="4">
        <v>3</v>
      </c>
      <c r="E38" s="28">
        <v>1000</v>
      </c>
      <c r="F38" s="28">
        <f>Table1358101416[[#This Row],[Rate /Trips]]*Table1358101416[[#This Row],[Trips]]</f>
        <v>3000</v>
      </c>
      <c r="G38" s="28">
        <v>3000</v>
      </c>
      <c r="H38" s="28">
        <f>Table1358101416[[#This Row],[Total Value]]-Table1358101416[[#This Row],[Received]]</f>
        <v>0</v>
      </c>
      <c r="I38" s="1" t="str">
        <f t="shared" si="0"/>
        <v>✅ Paid</v>
      </c>
    </row>
    <row r="39" spans="1:9" ht="19">
      <c r="A39" s="24"/>
      <c r="B39" s="25"/>
      <c r="C39" s="25"/>
      <c r="D39" s="4"/>
      <c r="E39" s="28"/>
      <c r="F39" s="28"/>
      <c r="G39" s="28"/>
      <c r="H39" s="28"/>
      <c r="I39" s="1"/>
    </row>
    <row r="40" spans="1:9" ht="19">
      <c r="A40" s="24">
        <v>45824</v>
      </c>
      <c r="B40" s="25" t="s">
        <v>86</v>
      </c>
      <c r="C40" s="25" t="s">
        <v>64</v>
      </c>
      <c r="D40" s="4">
        <v>4</v>
      </c>
      <c r="E40" s="28">
        <v>1000</v>
      </c>
      <c r="F40" s="28">
        <f>Table1358101416[[#This Row],[Rate /Trips]]*Table1358101416[[#This Row],[Trips]]</f>
        <v>4000</v>
      </c>
      <c r="G40" s="28">
        <v>4000</v>
      </c>
      <c r="H40" s="28">
        <f>Table1358101416[[#This Row],[Total Value]]-Table1358101416[[#This Row],[Received]]</f>
        <v>0</v>
      </c>
      <c r="I40" s="1" t="str">
        <f t="shared" si="0"/>
        <v>✅ Paid</v>
      </c>
    </row>
    <row r="41" spans="1:9" ht="19">
      <c r="A41" s="24"/>
      <c r="B41" s="25"/>
      <c r="C41" s="25"/>
      <c r="D41" s="4"/>
      <c r="E41" s="28"/>
      <c r="F41" s="28"/>
      <c r="G41" s="28"/>
      <c r="H41" s="28"/>
      <c r="I41" s="1"/>
    </row>
    <row r="42" spans="1:9" ht="19">
      <c r="A42" s="24">
        <v>45826</v>
      </c>
      <c r="B42" s="25" t="s">
        <v>86</v>
      </c>
      <c r="C42" s="25" t="s">
        <v>64</v>
      </c>
      <c r="D42" s="4">
        <v>2</v>
      </c>
      <c r="E42" s="28">
        <v>1000</v>
      </c>
      <c r="F42" s="28">
        <f>Table1358101416[[#This Row],[Rate /Trips]]*Table1358101416[[#This Row],[Trips]]</f>
        <v>2000</v>
      </c>
      <c r="G42" s="28">
        <v>2000</v>
      </c>
      <c r="H42" s="28">
        <f>Table1358101416[[#This Row],[Total Value]]-Table1358101416[[#This Row],[Received]]</f>
        <v>0</v>
      </c>
      <c r="I42" s="1" t="str">
        <f t="shared" si="0"/>
        <v>✅ Paid</v>
      </c>
    </row>
    <row r="43" spans="1:9" ht="19">
      <c r="A43" s="24"/>
      <c r="B43" s="25"/>
      <c r="C43" s="25"/>
      <c r="D43" s="4"/>
      <c r="E43" s="28"/>
      <c r="F43" s="28"/>
      <c r="G43" s="28"/>
      <c r="H43" s="28"/>
      <c r="I43" s="1"/>
    </row>
    <row r="44" spans="1:9" ht="19">
      <c r="A44" s="24">
        <v>45827</v>
      </c>
      <c r="B44" s="25" t="s">
        <v>86</v>
      </c>
      <c r="C44" s="25" t="s">
        <v>64</v>
      </c>
      <c r="D44" s="4">
        <v>6</v>
      </c>
      <c r="E44" s="28">
        <v>1000</v>
      </c>
      <c r="F44" s="28">
        <f>Table1358101416[[#This Row],[Rate /Trips]]*Table1358101416[[#This Row],[Trips]]</f>
        <v>6000</v>
      </c>
      <c r="G44" s="28">
        <v>6000</v>
      </c>
      <c r="H44" s="28">
        <f>Table1358101416[[#This Row],[Total Value]]-Table1358101416[[#This Row],[Received]]</f>
        <v>0</v>
      </c>
      <c r="I44" s="1" t="str">
        <f t="shared" si="0"/>
        <v>✅ Paid</v>
      </c>
    </row>
    <row r="45" spans="1:9" ht="19">
      <c r="A45" s="24"/>
      <c r="B45" s="25"/>
      <c r="C45" s="25"/>
      <c r="D45" s="4"/>
      <c r="E45" s="28"/>
      <c r="F45" s="28"/>
      <c r="G45" s="28"/>
      <c r="H45" s="28"/>
      <c r="I45" s="1"/>
    </row>
    <row r="46" spans="1:9" ht="19">
      <c r="A46" s="24">
        <v>45828</v>
      </c>
      <c r="B46" s="25" t="s">
        <v>86</v>
      </c>
      <c r="C46" s="25" t="s">
        <v>64</v>
      </c>
      <c r="D46" s="4">
        <v>4</v>
      </c>
      <c r="E46" s="28">
        <v>1000</v>
      </c>
      <c r="F46" s="28">
        <f>Table1358101416[[#This Row],[Rate /Trips]]*Table1358101416[[#This Row],[Trips]]</f>
        <v>4000</v>
      </c>
      <c r="G46" s="28">
        <v>4000</v>
      </c>
      <c r="H46" s="28">
        <f>Table1358101416[[#This Row],[Total Value]]-Table1358101416[[#This Row],[Received]]</f>
        <v>0</v>
      </c>
      <c r="I46" s="1" t="str">
        <f t="shared" si="0"/>
        <v>✅ Paid</v>
      </c>
    </row>
    <row r="47" spans="1:9" ht="19">
      <c r="A47" s="24"/>
      <c r="B47" s="25"/>
      <c r="C47" s="25"/>
      <c r="D47" s="4"/>
      <c r="E47" s="28"/>
      <c r="F47" s="28"/>
      <c r="G47" s="28"/>
      <c r="H47" s="28"/>
      <c r="I47" s="1"/>
    </row>
    <row r="48" spans="1:9" ht="19">
      <c r="A48" s="24">
        <v>45835</v>
      </c>
      <c r="B48" s="25" t="s">
        <v>86</v>
      </c>
      <c r="C48" s="25" t="s">
        <v>64</v>
      </c>
      <c r="D48" s="4">
        <v>2</v>
      </c>
      <c r="E48" s="28">
        <v>1000</v>
      </c>
      <c r="F48" s="28">
        <f>Table1358101416[[#This Row],[Rate /Trips]]*Table1358101416[[#This Row],[Trips]]</f>
        <v>2000</v>
      </c>
      <c r="G48" s="28">
        <v>2000</v>
      </c>
      <c r="H48" s="28">
        <f>Table1358101416[[#This Row],[Total Value]]-Table1358101416[[#This Row],[Received]]</f>
        <v>0</v>
      </c>
      <c r="I48" s="1" t="str">
        <f t="shared" si="0"/>
        <v>✅ Paid</v>
      </c>
    </row>
    <row r="49" spans="1:9" ht="19">
      <c r="A49" s="24"/>
      <c r="B49" s="25"/>
      <c r="C49" s="25"/>
      <c r="D49" s="4"/>
      <c r="E49" s="28"/>
      <c r="F49" s="28"/>
      <c r="G49" s="28"/>
      <c r="H49" s="28"/>
      <c r="I49" s="1"/>
    </row>
    <row r="50" spans="1:9" ht="19">
      <c r="A50" s="24">
        <v>45838</v>
      </c>
      <c r="B50" s="25" t="s">
        <v>86</v>
      </c>
      <c r="C50" s="25" t="s">
        <v>64</v>
      </c>
      <c r="D50" s="4">
        <v>1</v>
      </c>
      <c r="E50" s="28">
        <v>1000</v>
      </c>
      <c r="F50" s="28">
        <f>Table1358101416[[#This Row],[Rate /Trips]]*Table1358101416[[#This Row],[Trips]]</f>
        <v>1000</v>
      </c>
      <c r="G50" s="28">
        <v>1000</v>
      </c>
      <c r="H50" s="28">
        <f>Table1358101416[[#This Row],[Total Value]]-Table1358101416[[#This Row],[Received]]</f>
        <v>0</v>
      </c>
      <c r="I50" s="1" t="str">
        <f t="shared" si="0"/>
        <v>✅ Paid</v>
      </c>
    </row>
    <row r="51" spans="1:9" ht="19">
      <c r="A51" s="24"/>
      <c r="B51" s="4"/>
      <c r="C51" s="4"/>
      <c r="D51" s="4"/>
      <c r="E51" s="28"/>
      <c r="F51" s="28"/>
      <c r="G51" s="28"/>
      <c r="H51" s="28"/>
      <c r="I51" s="1"/>
    </row>
    <row r="52" spans="1:9" ht="21">
      <c r="C52" s="9"/>
      <c r="D52" s="10" t="s">
        <v>100</v>
      </c>
      <c r="F52" s="12" t="s">
        <v>97</v>
      </c>
      <c r="G52" s="12" t="s">
        <v>101</v>
      </c>
      <c r="H52" s="12" t="s">
        <v>45</v>
      </c>
    </row>
    <row r="53" spans="1:9" ht="21">
      <c r="C53" s="13" t="s">
        <v>102</v>
      </c>
      <c r="D53" s="14">
        <f>SUM(D29:D51)</f>
        <v>36</v>
      </c>
      <c r="F53" s="16">
        <f>SUM(F29:F51)</f>
        <v>35700</v>
      </c>
      <c r="G53" s="16">
        <f>SUM(G29:G51)</f>
        <v>35000</v>
      </c>
      <c r="H53" s="16">
        <f>SUM(H29:H51)</f>
        <v>700</v>
      </c>
    </row>
    <row r="54" spans="1:9" ht="70" customHeight="1">
      <c r="A54" s="40" t="s">
        <v>103</v>
      </c>
      <c r="B54" s="40"/>
      <c r="C54" s="40"/>
      <c r="D54" s="17"/>
      <c r="E54" s="17"/>
      <c r="F54" s="17"/>
      <c r="G54" s="17"/>
      <c r="H54" s="17"/>
      <c r="I54" s="17"/>
    </row>
  </sheetData>
  <mergeCells count="6">
    <mergeCell ref="A25:I25"/>
    <mergeCell ref="A26:I26"/>
    <mergeCell ref="A54:C54"/>
    <mergeCell ref="A1:J1"/>
    <mergeCell ref="A2:J2"/>
    <mergeCell ref="A20:C20"/>
  </mergeCells>
  <conditionalFormatting sqref="J5:J17 I29:I51">
    <cfRule type="containsText" dxfId="27" priority="1" operator="containsText" text="✅">
      <formula>NOT(ISERROR(SEARCH("✅",I5)))</formula>
    </cfRule>
    <cfRule type="containsText" dxfId="26" priority="2" operator="containsText" text="ℹ️">
      <formula>NOT(ISERROR(SEARCH("ℹ️",I5)))</formula>
    </cfRule>
    <cfRule type="containsText" dxfId="25" priority="3" operator="containsText" text="⚠️">
      <formula>NOT(ISERROR(SEARCH("⚠️",I5)))</formula>
    </cfRule>
    <cfRule type="containsText" dxfId="24" priority="4" operator="containsText" text="🚨">
      <formula>NOT(ISERROR(SEARCH("🚨",I5)))</formula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DEAB8-6192-5242-948A-E70395217E09}">
  <dimension ref="A1:J40"/>
  <sheetViews>
    <sheetView zoomScale="111" workbookViewId="0">
      <selection activeCell="A4" sqref="A4:I15"/>
    </sheetView>
  </sheetViews>
  <sheetFormatPr baseColWidth="10" defaultColWidth="11.5" defaultRowHeight="15"/>
  <cols>
    <col min="1" max="1" width="27.33203125" bestFit="1" customWidth="1"/>
    <col min="2" max="2" width="16.83203125" bestFit="1" customWidth="1"/>
    <col min="3" max="3" width="32.83203125" bestFit="1" customWidth="1"/>
    <col min="4" max="4" width="26.6640625" bestFit="1" customWidth="1"/>
    <col min="5" max="5" width="12.1640625" bestFit="1" customWidth="1"/>
    <col min="6" max="6" width="13.6640625" bestFit="1" customWidth="1"/>
    <col min="7" max="7" width="17" bestFit="1" customWidth="1"/>
    <col min="8" max="8" width="21.5" customWidth="1"/>
    <col min="9" max="9" width="16.83203125" bestFit="1" customWidth="1"/>
    <col min="10" max="10" width="44" bestFit="1" customWidth="1"/>
  </cols>
  <sheetData>
    <row r="1" spans="1:10" ht="29">
      <c r="A1" s="38" t="s">
        <v>91</v>
      </c>
      <c r="B1" s="38"/>
      <c r="C1" s="38"/>
      <c r="D1" s="38"/>
      <c r="E1" s="38"/>
      <c r="F1" s="38"/>
      <c r="G1" s="38"/>
      <c r="H1" s="38"/>
      <c r="I1" s="38"/>
      <c r="J1" s="38"/>
    </row>
    <row r="2" spans="1:10">
      <c r="A2" s="39" t="s">
        <v>104</v>
      </c>
      <c r="B2" s="39"/>
      <c r="C2" s="39"/>
      <c r="D2" s="39"/>
      <c r="E2" s="39"/>
      <c r="F2" s="39"/>
      <c r="G2" s="39"/>
      <c r="H2" s="39"/>
      <c r="I2" s="39"/>
      <c r="J2" s="39"/>
    </row>
    <row r="3" spans="1:10" ht="16">
      <c r="A3" s="6" t="s">
        <v>0</v>
      </c>
      <c r="B3" s="7" t="s">
        <v>92</v>
      </c>
      <c r="C3" s="7" t="s">
        <v>93</v>
      </c>
      <c r="D3" s="7" t="s">
        <v>94</v>
      </c>
      <c r="E3" s="7" t="s">
        <v>95</v>
      </c>
      <c r="F3" s="8" t="s">
        <v>96</v>
      </c>
      <c r="G3" s="8" t="s">
        <v>97</v>
      </c>
      <c r="H3" s="8" t="s">
        <v>98</v>
      </c>
      <c r="I3" s="8" t="s">
        <v>1</v>
      </c>
      <c r="J3" s="8" t="s">
        <v>99</v>
      </c>
    </row>
    <row r="4" spans="1:10" ht="15" customHeight="1">
      <c r="A4" s="24">
        <v>45840</v>
      </c>
      <c r="B4" s="25" t="s">
        <v>43</v>
      </c>
      <c r="C4" s="25" t="s">
        <v>110</v>
      </c>
      <c r="D4" s="25" t="s">
        <v>9</v>
      </c>
      <c r="E4" s="4">
        <v>1</v>
      </c>
      <c r="F4" s="28">
        <v>3500</v>
      </c>
      <c r="G4" s="28">
        <f>Table1[[#This Row],[Rate /Trips]]*Table1[[#This Row],[Trips]]</f>
        <v>3500</v>
      </c>
      <c r="H4" s="28"/>
      <c r="I4" s="28">
        <f>Table1[[#This Row],[Total Value]]-H4</f>
        <v>3500</v>
      </c>
      <c r="J4" s="1" t="str">
        <f>IF(I4&gt;10000,"🚨 URGENT: "&amp;C4&amp;" owes ₹"&amp;I4,IF(I4&gt;5000,"⚠️ WARNING: "&amp;C4&amp;" - ₹"&amp;I4&amp;" due",IF(I4&gt;0,"ℹ️ "&amp;C4&amp;" - ₹"&amp;I4&amp;" pending","✅ Paid")))</f>
        <v>ℹ️ Karan - ₹3500 pending</v>
      </c>
    </row>
    <row r="5" spans="1:10" ht="19">
      <c r="A5" s="24">
        <v>45840</v>
      </c>
      <c r="B5" s="30" t="s">
        <v>43</v>
      </c>
      <c r="C5" s="25" t="s">
        <v>87</v>
      </c>
      <c r="D5" s="25" t="s">
        <v>61</v>
      </c>
      <c r="E5" s="4">
        <v>2</v>
      </c>
      <c r="F5" s="28">
        <v>3500</v>
      </c>
      <c r="G5" s="28">
        <f>Table1[[#This Row],[Rate /Trips]]*Table1[[#This Row],[Trips]]</f>
        <v>7000</v>
      </c>
      <c r="H5" s="28">
        <v>7000</v>
      </c>
      <c r="I5" s="28">
        <f>Table1[[#This Row],[Total Value]]-H5</f>
        <v>0</v>
      </c>
      <c r="J5" s="1" t="str">
        <f>IF(I5&gt;10000,"🚨 URGENT: "&amp;C5&amp;" owes ₹"&amp;I5,IF(I5&gt;5000,"⚠️ WARNING: "&amp;C5&amp;" - ₹"&amp;I5&amp;" due",IF(I5&gt;0,"ℹ️ "&amp;C5&amp;" - ₹"&amp;I5&amp;" pending","✅ Paid")))</f>
        <v>✅ Paid</v>
      </c>
    </row>
    <row r="6" spans="1:10" ht="19">
      <c r="A6" s="24">
        <v>45842</v>
      </c>
      <c r="B6" s="30" t="s">
        <v>12</v>
      </c>
      <c r="C6" s="25" t="s">
        <v>105</v>
      </c>
      <c r="D6" s="25" t="s">
        <v>106</v>
      </c>
      <c r="E6" s="4">
        <v>2</v>
      </c>
      <c r="F6" s="28">
        <v>4000</v>
      </c>
      <c r="G6" s="28">
        <f>Table1[[#This Row],[Rate /Trips]]*Table1[[#This Row],[Trips]]</f>
        <v>8000</v>
      </c>
      <c r="H6" s="28">
        <v>8000</v>
      </c>
      <c r="I6" s="28">
        <f>Table1[[#This Row],[Total Value]]-H6</f>
        <v>0</v>
      </c>
      <c r="J6" s="1" t="str">
        <f>IF(I6&gt;10000,"🚨 URGENT: "&amp;C6&amp;" owes ₹"&amp;I6,IF(I6&gt;5000,"⚠️ WARNING: "&amp;C6&amp;" - ₹"&amp;I6&amp;" due",IF(I6&gt;0,"ℹ️ "&amp;C6&amp;" - ₹"&amp;I6&amp;" pending","✅ Paid")))</f>
        <v>✅ Paid</v>
      </c>
    </row>
    <row r="7" spans="1:10" ht="19">
      <c r="A7" s="24">
        <v>45842</v>
      </c>
      <c r="B7" s="30" t="s">
        <v>43</v>
      </c>
      <c r="C7" s="25" t="s">
        <v>108</v>
      </c>
      <c r="D7" s="25" t="s">
        <v>107</v>
      </c>
      <c r="E7" s="4">
        <v>3</v>
      </c>
      <c r="F7" s="28">
        <v>3833</v>
      </c>
      <c r="G7" s="28">
        <f>Table1[[#This Row],[Rate /Trips]]*Table1[[#This Row],[Trips]]</f>
        <v>11499</v>
      </c>
      <c r="H7" s="28">
        <v>11499</v>
      </c>
      <c r="I7" s="28">
        <f>Table1[[#This Row],[Total Value]]-H7</f>
        <v>0</v>
      </c>
      <c r="J7" s="1" t="str">
        <f>IF(I7&gt;10000,"🚨 URGENT: "&amp;C7&amp;" owes ₹"&amp;I7,IF(I7&gt;5000,"⚠️ WARNING: "&amp;C7&amp;" - ₹"&amp;I7&amp;" due",IF(I7&gt;0,"ℹ️ "&amp;C7&amp;" - ₹"&amp;I7&amp;" pending","✅ Paid")))</f>
        <v>✅ Paid</v>
      </c>
    </row>
    <row r="8" spans="1:10" ht="19">
      <c r="A8" s="24">
        <v>45842</v>
      </c>
      <c r="B8" s="30" t="s">
        <v>12</v>
      </c>
      <c r="C8" s="25" t="s">
        <v>151</v>
      </c>
      <c r="D8" s="25" t="s">
        <v>109</v>
      </c>
      <c r="E8" s="4">
        <v>1</v>
      </c>
      <c r="F8" s="28">
        <v>0</v>
      </c>
      <c r="G8" s="28">
        <f>Table1[[#This Row],[Rate /Trips]]*Table1[[#This Row],[Trips]]</f>
        <v>0</v>
      </c>
      <c r="H8" s="28"/>
      <c r="I8" s="28">
        <f>Table1[[#This Row],[Total Value]]-H8</f>
        <v>0</v>
      </c>
      <c r="J8" s="1" t="str">
        <f>IF(I8&gt;10000,"🚨 URGENT: "&amp;C8&amp;" owes ₹"&amp;I8,IF(I8&gt;5000,"⚠️ WARNING: "&amp;C8&amp;" - ₹"&amp;I8&amp;" due",IF(I8&gt;0,"ℹ️ "&amp;C8&amp;" - ₹"&amp;I8&amp;" pending","✅ Paid")))</f>
        <v>✅ Paid</v>
      </c>
    </row>
    <row r="9" spans="1:10" ht="19">
      <c r="A9" s="24">
        <v>45842</v>
      </c>
      <c r="B9" s="25" t="s">
        <v>43</v>
      </c>
      <c r="C9" s="25" t="s">
        <v>151</v>
      </c>
      <c r="D9" s="25" t="s">
        <v>109</v>
      </c>
      <c r="E9" s="4">
        <v>1</v>
      </c>
      <c r="F9" s="28">
        <v>0</v>
      </c>
      <c r="G9" s="28">
        <f>Table1[[#This Row],[Rate /Trips]]*Table1[[#This Row],[Trips]]</f>
        <v>0</v>
      </c>
      <c r="H9" s="28"/>
      <c r="I9" s="28">
        <f>Table1[[#This Row],[Total Value]]-H9</f>
        <v>0</v>
      </c>
      <c r="J9" s="1" t="str">
        <f>IF(I9&gt;10000,"🚨 URGENT: "&amp;C9&amp;" owes ₹"&amp;I9,IF(I9&gt;5000,"⚠️ WARNING: "&amp;C9&amp;" - ₹"&amp;I9&amp;" due",IF(I9&gt;0,"ℹ️ "&amp;C9&amp;" - ₹"&amp;I9&amp;" pending","✅ Paid")))</f>
        <v>✅ Paid</v>
      </c>
    </row>
    <row r="10" spans="1:10" ht="19">
      <c r="A10" s="24">
        <v>45852</v>
      </c>
      <c r="B10" s="30" t="s">
        <v>12</v>
      </c>
      <c r="C10" s="25" t="s">
        <v>111</v>
      </c>
      <c r="D10" s="25" t="s">
        <v>112</v>
      </c>
      <c r="E10" s="4">
        <v>2</v>
      </c>
      <c r="F10" s="28">
        <v>3000</v>
      </c>
      <c r="G10" s="28">
        <f>Table1[[#This Row],[Rate /Trips]]*Table1[[#This Row],[Trips]]</f>
        <v>6000</v>
      </c>
      <c r="H10" s="28">
        <v>6000</v>
      </c>
      <c r="I10" s="28">
        <f>Table1[[#This Row],[Total Value]]-H10</f>
        <v>0</v>
      </c>
      <c r="J10" s="1" t="str">
        <f>IF(I10&gt;10000,"🚨 URGENT: "&amp;C10&amp;" owes ₹"&amp;I10,IF(I10&gt;5000,"⚠️ WARNING: "&amp;C10&amp;" - ₹"&amp;I10&amp;" due",IF(I10&gt;0,"ℹ️ "&amp;C10&amp;" - ₹"&amp;I10&amp;" pending","✅ Paid")))</f>
        <v>✅ Paid</v>
      </c>
    </row>
    <row r="11" spans="1:10" ht="19">
      <c r="A11" s="24">
        <v>45853</v>
      </c>
      <c r="B11" s="30" t="s">
        <v>12</v>
      </c>
      <c r="C11" s="25" t="s">
        <v>135</v>
      </c>
      <c r="D11" s="25" t="s">
        <v>62</v>
      </c>
      <c r="E11" s="4">
        <v>3</v>
      </c>
      <c r="F11" s="28">
        <v>4000</v>
      </c>
      <c r="G11" s="28">
        <f>Table1[[#This Row],[Rate /Trips]]*Table1[[#This Row],[Trips]]</f>
        <v>12000</v>
      </c>
      <c r="H11" s="28">
        <v>12000</v>
      </c>
      <c r="I11" s="28">
        <f>Table1[[#This Row],[Total Value]]-H11</f>
        <v>0</v>
      </c>
      <c r="J11" s="1" t="str">
        <f>IF(I11&gt;10000,"🚨 URGENT: "&amp;C11&amp;" owes ₹"&amp;I11,IF(I11&gt;5000,"⚠️ WARNING: "&amp;C11&amp;" - ₹"&amp;I11&amp;" due",IF(I11&gt;0,"ℹ️ "&amp;C11&amp;" - ₹"&amp;I11&amp;" pending","✅ Paid")))</f>
        <v>✅ Paid</v>
      </c>
    </row>
    <row r="12" spans="1:10" ht="19">
      <c r="A12" s="24">
        <v>45853</v>
      </c>
      <c r="B12" s="30" t="s">
        <v>12</v>
      </c>
      <c r="C12" s="25" t="s">
        <v>111</v>
      </c>
      <c r="D12" s="25" t="s">
        <v>112</v>
      </c>
      <c r="E12" s="4">
        <v>1</v>
      </c>
      <c r="F12" s="28">
        <v>3000</v>
      </c>
      <c r="G12" s="28">
        <f>Table1[[#This Row],[Rate /Trips]]*Table1[[#This Row],[Trips]]</f>
        <v>3000</v>
      </c>
      <c r="H12" s="28">
        <v>3000</v>
      </c>
      <c r="I12" s="28">
        <f>Table1[[#This Row],[Total Value]]-H12</f>
        <v>0</v>
      </c>
      <c r="J12" s="1" t="str">
        <f>IF(I12&gt;10000,"🚨 URGENT: "&amp;C12&amp;" owes ₹"&amp;I12,IF(I12&gt;5000,"⚠️ WARNING: "&amp;C12&amp;" - ₹"&amp;I12&amp;" due",IF(I12&gt;0,"ℹ️ "&amp;C12&amp;" - ₹"&amp;I12&amp;" pending","✅ Paid")))</f>
        <v>✅ Paid</v>
      </c>
    </row>
    <row r="13" spans="1:10" ht="19">
      <c r="A13" s="24">
        <v>45854</v>
      </c>
      <c r="B13" s="30" t="s">
        <v>115</v>
      </c>
      <c r="C13" s="25" t="s">
        <v>113</v>
      </c>
      <c r="D13" s="25" t="s">
        <v>114</v>
      </c>
      <c r="E13" s="4">
        <v>4</v>
      </c>
      <c r="F13" s="28">
        <v>4500</v>
      </c>
      <c r="G13" s="28">
        <f>Table1[[#This Row],[Rate /Trips]]*Table1[[#This Row],[Trips]]</f>
        <v>18000</v>
      </c>
      <c r="H13" s="28">
        <v>18000</v>
      </c>
      <c r="I13" s="28">
        <f>Table1[[#This Row],[Total Value]]-H13</f>
        <v>0</v>
      </c>
      <c r="J13" s="1" t="str">
        <f>IF(I13&gt;10000,"🚨 URGENT: "&amp;C13&amp;" owes ₹"&amp;I13,IF(I13&gt;5000,"⚠️ WARNING: "&amp;C13&amp;" - ₹"&amp;I13&amp;" due",IF(I13&gt;0,"ℹ️ "&amp;C13&amp;" - ₹"&amp;I13&amp;" pending","✅ Paid")))</f>
        <v>✅ Paid</v>
      </c>
    </row>
    <row r="14" spans="1:10" ht="19">
      <c r="A14" s="24">
        <v>45854</v>
      </c>
      <c r="B14" s="30" t="s">
        <v>116</v>
      </c>
      <c r="C14" s="25" t="s">
        <v>111</v>
      </c>
      <c r="D14" s="25" t="s">
        <v>112</v>
      </c>
      <c r="E14" s="4">
        <v>4</v>
      </c>
      <c r="F14" s="28">
        <v>3000</v>
      </c>
      <c r="G14" s="28">
        <f>Table1[[#This Row],[Rate /Trips]]*Table1[[#This Row],[Trips]]</f>
        <v>12000</v>
      </c>
      <c r="H14" s="28">
        <v>12000</v>
      </c>
      <c r="I14" s="28">
        <f>Table1[[#This Row],[Total Value]]-H14</f>
        <v>0</v>
      </c>
      <c r="J14" s="1" t="str">
        <f>IF(I14&gt;10000,"🚨 URGENT: "&amp;C14&amp;" owes ₹"&amp;I14,IF(I14&gt;5000,"⚠️ WARNING: "&amp;C14&amp;" - ₹"&amp;I14&amp;" due",IF(I14&gt;0,"ℹ️ "&amp;C14&amp;" - ₹"&amp;I14&amp;" pending","✅ Paid")))</f>
        <v>✅ Paid</v>
      </c>
    </row>
    <row r="15" spans="1:10" ht="19">
      <c r="A15" s="24">
        <v>45855</v>
      </c>
      <c r="B15" s="30" t="s">
        <v>117</v>
      </c>
      <c r="C15" s="25" t="s">
        <v>118</v>
      </c>
      <c r="D15" s="25" t="s">
        <v>119</v>
      </c>
      <c r="E15" s="4">
        <v>2</v>
      </c>
      <c r="F15" s="28">
        <v>8000</v>
      </c>
      <c r="G15" s="28">
        <f>Table1[[#This Row],[Rate /Trips]]*Table1[[#This Row],[Trips]]</f>
        <v>16000</v>
      </c>
      <c r="H15" s="28">
        <v>16000</v>
      </c>
      <c r="I15" s="28">
        <f>Table1[[#This Row],[Total Value]]-H15</f>
        <v>0</v>
      </c>
      <c r="J15" s="1" t="str">
        <f>IF(I15&gt;10000,"🚨 URGENT: "&amp;C15&amp;" owes ₹"&amp;I15,IF(I15&gt;5000,"⚠️ WARNING: "&amp;C15&amp;" - ₹"&amp;I15&amp;" due",IF(I15&gt;0,"ℹ️ "&amp;C15&amp;" - ₹"&amp;I15&amp;" pending","✅ Paid")))</f>
        <v>✅ Paid</v>
      </c>
    </row>
    <row r="16" spans="1:10" ht="19" customHeight="1">
      <c r="A16" s="1"/>
      <c r="B16" s="37"/>
      <c r="C16" s="1"/>
      <c r="D16" s="1"/>
      <c r="E16" s="1"/>
      <c r="F16" s="1"/>
      <c r="G16" s="1"/>
      <c r="H16" s="1"/>
      <c r="I16" s="1"/>
      <c r="J16" s="1"/>
    </row>
    <row r="17" spans="1:10" ht="19">
      <c r="A17" s="24"/>
      <c r="B17" s="30"/>
      <c r="C17" s="25"/>
      <c r="D17" s="25"/>
      <c r="E17" s="4"/>
      <c r="F17" s="28"/>
      <c r="G17" s="28"/>
      <c r="H17" s="28"/>
      <c r="I17" s="28"/>
      <c r="J17" s="1"/>
    </row>
    <row r="18" spans="1:10" ht="19">
      <c r="A18" s="27"/>
      <c r="B18" s="31"/>
      <c r="C18" s="26"/>
      <c r="D18" s="26"/>
      <c r="E18" s="20"/>
      <c r="F18" s="29"/>
      <c r="G18" s="28"/>
      <c r="H18" s="29"/>
      <c r="I18" s="28"/>
      <c r="J18" s="1"/>
    </row>
    <row r="19" spans="1:10" ht="19">
      <c r="A19" s="27"/>
      <c r="B19" s="31"/>
      <c r="C19" s="25"/>
      <c r="D19" s="25"/>
      <c r="E19" s="4"/>
      <c r="F19" s="29"/>
      <c r="G19" s="28"/>
      <c r="H19" s="29"/>
      <c r="I19" s="28"/>
      <c r="J19" s="1"/>
    </row>
    <row r="20" spans="1:10" ht="19">
      <c r="A20" s="27"/>
      <c r="B20" s="31"/>
      <c r="C20" s="26"/>
      <c r="D20" s="26"/>
      <c r="E20" s="20"/>
      <c r="F20" s="29"/>
      <c r="G20" s="28"/>
      <c r="H20" s="29"/>
      <c r="I20" s="28"/>
      <c r="J20" s="1"/>
    </row>
    <row r="21" spans="1:10" ht="19">
      <c r="A21" s="27"/>
      <c r="B21" s="31"/>
      <c r="C21" s="26"/>
      <c r="D21" s="26"/>
      <c r="E21" s="20"/>
      <c r="F21" s="29"/>
      <c r="G21" s="28"/>
      <c r="H21" s="29"/>
      <c r="I21" s="28"/>
      <c r="J21" s="1"/>
    </row>
    <row r="22" spans="1:10" ht="19">
      <c r="A22" s="18"/>
      <c r="B22" s="19"/>
      <c r="C22" s="20"/>
      <c r="D22" s="20"/>
      <c r="E22" s="20"/>
      <c r="F22" s="21"/>
      <c r="G22" s="21"/>
      <c r="H22" s="21"/>
      <c r="I22" s="21"/>
      <c r="J22" s="22"/>
    </row>
    <row r="23" spans="1:10" ht="21">
      <c r="D23" s="9"/>
      <c r="E23" s="10" t="s">
        <v>100</v>
      </c>
      <c r="F23" s="11"/>
      <c r="G23" s="12" t="s">
        <v>97</v>
      </c>
      <c r="H23" s="12" t="s">
        <v>101</v>
      </c>
      <c r="I23" s="12" t="s">
        <v>45</v>
      </c>
    </row>
    <row r="24" spans="1:10" ht="25" customHeight="1">
      <c r="D24" s="13" t="s">
        <v>102</v>
      </c>
      <c r="E24" s="14">
        <f>SUM(E5:E22)</f>
        <v>25</v>
      </c>
      <c r="F24" s="15"/>
      <c r="G24" s="16">
        <f>SUM(G5:G22)</f>
        <v>93499</v>
      </c>
      <c r="H24" s="16">
        <f>SUM(H5:H22)</f>
        <v>93499</v>
      </c>
      <c r="I24" s="16">
        <f>SUM(I5:I22)</f>
        <v>0</v>
      </c>
    </row>
    <row r="25" spans="1:10" ht="43" customHeight="1">
      <c r="A25" s="40" t="s">
        <v>103</v>
      </c>
      <c r="B25" s="40"/>
      <c r="C25" s="40"/>
      <c r="D25" s="17"/>
      <c r="E25" s="17"/>
      <c r="F25" s="17"/>
      <c r="G25" s="17"/>
      <c r="H25" s="17"/>
      <c r="I25" s="17"/>
    </row>
    <row r="29" spans="1:10" ht="29">
      <c r="A29" s="38" t="s">
        <v>91</v>
      </c>
      <c r="B29" s="38"/>
      <c r="C29" s="38"/>
      <c r="D29" s="38"/>
      <c r="E29" s="38"/>
      <c r="F29" s="38"/>
      <c r="G29" s="38"/>
      <c r="H29" s="38"/>
      <c r="I29" s="38"/>
      <c r="J29" s="38"/>
    </row>
    <row r="30" spans="1:10">
      <c r="A30" s="39" t="s">
        <v>104</v>
      </c>
      <c r="B30" s="39"/>
      <c r="C30" s="39"/>
      <c r="D30" s="39"/>
      <c r="E30" s="39"/>
      <c r="F30" s="39"/>
      <c r="G30" s="39"/>
      <c r="H30" s="39"/>
      <c r="I30" s="39"/>
      <c r="J30" s="39"/>
    </row>
    <row r="31" spans="1:10" ht="16">
      <c r="A31" s="6" t="s">
        <v>0</v>
      </c>
      <c r="B31" s="7" t="s">
        <v>92</v>
      </c>
      <c r="C31" s="7" t="s">
        <v>93</v>
      </c>
      <c r="D31" s="7" t="s">
        <v>94</v>
      </c>
      <c r="E31" s="7" t="s">
        <v>95</v>
      </c>
      <c r="F31" s="8" t="s">
        <v>96</v>
      </c>
      <c r="G31" s="8" t="s">
        <v>97</v>
      </c>
      <c r="H31" s="8" t="s">
        <v>98</v>
      </c>
      <c r="I31" s="8" t="s">
        <v>1</v>
      </c>
      <c r="J31" s="8" t="s">
        <v>99</v>
      </c>
    </row>
    <row r="32" spans="1:10" ht="19">
      <c r="A32" s="24">
        <v>45840</v>
      </c>
      <c r="B32" s="30" t="s">
        <v>43</v>
      </c>
      <c r="C32" s="25" t="s">
        <v>110</v>
      </c>
      <c r="D32" s="25" t="s">
        <v>9</v>
      </c>
      <c r="E32" s="4">
        <v>1</v>
      </c>
      <c r="F32" s="28">
        <v>3500</v>
      </c>
      <c r="G32" s="28">
        <f>Table126[[#This Row],[Rate /Trips]]*Table126[[#This Row],[Trips]]</f>
        <v>3500</v>
      </c>
      <c r="H32" s="28"/>
      <c r="I32" s="28">
        <f>Table126[[#This Row],[Total Value]]-H32</f>
        <v>3500</v>
      </c>
      <c r="J32" s="1" t="str">
        <f>IF(I32&gt;10000,"🚨 URGENT: "&amp;C32&amp;" owes ₹"&amp;I32,IF(I32&gt;5000,"⚠️ WARNING: "&amp;C32&amp;" - ₹"&amp;I32&amp;" due",IF(I32&gt;0,"ℹ️ "&amp;C32&amp;" - ₹"&amp;I32&amp;" pending","✅ Paid")))</f>
        <v>ℹ️ Karan - ₹3500 pending</v>
      </c>
    </row>
    <row r="33" spans="1:10" ht="19">
      <c r="A33" s="24"/>
      <c r="B33" s="30"/>
      <c r="C33" s="25"/>
      <c r="D33" s="25"/>
      <c r="E33" s="4"/>
      <c r="F33" s="28"/>
      <c r="G33" s="28"/>
      <c r="H33" s="28"/>
      <c r="I33" s="28"/>
      <c r="J33" s="1"/>
    </row>
    <row r="34" spans="1:10" ht="19">
      <c r="A34" s="27"/>
      <c r="B34" s="31"/>
      <c r="C34" s="26"/>
      <c r="D34" s="26"/>
      <c r="E34" s="20"/>
      <c r="F34" s="29"/>
      <c r="G34" s="28"/>
      <c r="H34" s="29"/>
      <c r="I34" s="28"/>
      <c r="J34" s="1"/>
    </row>
    <row r="35" spans="1:10" ht="19">
      <c r="A35" s="27"/>
      <c r="B35" s="31"/>
      <c r="C35" s="25"/>
      <c r="D35" s="25"/>
      <c r="E35" s="4"/>
      <c r="F35" s="29"/>
      <c r="G35" s="28"/>
      <c r="H35" s="29"/>
      <c r="I35" s="28"/>
      <c r="J35" s="1"/>
    </row>
    <row r="36" spans="1:10" ht="19">
      <c r="A36" s="27"/>
      <c r="B36" s="31"/>
      <c r="C36" s="26"/>
      <c r="D36" s="26"/>
      <c r="E36" s="20"/>
      <c r="F36" s="29"/>
      <c r="G36" s="28"/>
      <c r="H36" s="29"/>
      <c r="I36" s="28"/>
      <c r="J36" s="1"/>
    </row>
    <row r="37" spans="1:10" ht="19">
      <c r="A37" s="27"/>
      <c r="B37" s="31"/>
      <c r="C37" s="26"/>
      <c r="D37" s="26"/>
      <c r="E37" s="20"/>
      <c r="F37" s="29"/>
      <c r="G37" s="28"/>
      <c r="H37" s="29"/>
      <c r="I37" s="28"/>
      <c r="J37" s="1"/>
    </row>
    <row r="38" spans="1:10" ht="19">
      <c r="A38" s="18"/>
      <c r="B38" s="19"/>
      <c r="C38" s="20"/>
      <c r="D38" s="20"/>
      <c r="E38" s="20"/>
      <c r="F38" s="21"/>
      <c r="G38" s="21"/>
      <c r="H38" s="21"/>
      <c r="I38" s="21"/>
      <c r="J38" s="22"/>
    </row>
    <row r="39" spans="1:10" ht="21">
      <c r="D39" s="9"/>
      <c r="E39" s="10" t="s">
        <v>100</v>
      </c>
      <c r="F39" s="11"/>
      <c r="G39" s="12" t="s">
        <v>97</v>
      </c>
      <c r="H39" s="12" t="s">
        <v>101</v>
      </c>
      <c r="I39" s="12" t="s">
        <v>45</v>
      </c>
    </row>
    <row r="40" spans="1:10" ht="21">
      <c r="D40" s="13" t="s">
        <v>102</v>
      </c>
      <c r="E40" s="14">
        <f>SUM(E32:E38)</f>
        <v>1</v>
      </c>
      <c r="F40" s="15"/>
      <c r="G40" s="16">
        <f>SUM(G32:G38)</f>
        <v>3500</v>
      </c>
      <c r="H40" s="16">
        <f>SUM(H32:H38)</f>
        <v>0</v>
      </c>
      <c r="I40" s="16">
        <f>SUM(I32:I38)</f>
        <v>3500</v>
      </c>
    </row>
  </sheetData>
  <mergeCells count="5">
    <mergeCell ref="A1:J1"/>
    <mergeCell ref="A2:J2"/>
    <mergeCell ref="A25:C25"/>
    <mergeCell ref="A29:J29"/>
    <mergeCell ref="A30:J30"/>
  </mergeCells>
  <conditionalFormatting sqref="J5:J21 J32:J37">
    <cfRule type="containsText" dxfId="23" priority="5" operator="containsText" text="✅">
      <formula>NOT(ISERROR(SEARCH("✅",J5)))</formula>
    </cfRule>
    <cfRule type="containsText" dxfId="22" priority="6" operator="containsText" text="ℹ️">
      <formula>NOT(ISERROR(SEARCH("ℹ️",J5)))</formula>
    </cfRule>
    <cfRule type="containsText" dxfId="21" priority="7" operator="containsText" text="⚠️">
      <formula>NOT(ISERROR(SEARCH("⚠️",J5)))</formula>
    </cfRule>
    <cfRule type="containsText" dxfId="20" priority="8" operator="containsText" text="🚨">
      <formula>NOT(ISERROR(SEARCH("🚨",J5)))</formula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4909F-4C41-634B-8C95-EE3F77E1E02A}">
  <dimension ref="A1:J39"/>
  <sheetViews>
    <sheetView workbookViewId="0">
      <selection activeCell="A4" sqref="A4:I20"/>
    </sheetView>
  </sheetViews>
  <sheetFormatPr baseColWidth="10" defaultColWidth="11.5" defaultRowHeight="15"/>
  <cols>
    <col min="1" max="1" width="29.6640625" bestFit="1" customWidth="1"/>
    <col min="2" max="2" width="27.6640625" bestFit="1" customWidth="1"/>
    <col min="3" max="3" width="32.83203125" bestFit="1" customWidth="1"/>
    <col min="4" max="4" width="26.6640625" bestFit="1" customWidth="1"/>
    <col min="5" max="5" width="12.1640625" bestFit="1" customWidth="1"/>
    <col min="6" max="6" width="13.6640625" bestFit="1" customWidth="1"/>
    <col min="7" max="7" width="17" bestFit="1" customWidth="1"/>
    <col min="8" max="8" width="21.5" customWidth="1"/>
    <col min="9" max="9" width="24.83203125" customWidth="1"/>
    <col min="10" max="10" width="50.83203125" bestFit="1" customWidth="1"/>
  </cols>
  <sheetData>
    <row r="1" spans="1:10" ht="29">
      <c r="A1" s="38" t="s">
        <v>91</v>
      </c>
      <c r="B1" s="38"/>
      <c r="C1" s="38"/>
      <c r="D1" s="38"/>
      <c r="E1" s="38"/>
      <c r="F1" s="38"/>
      <c r="G1" s="38"/>
      <c r="H1" s="38"/>
      <c r="I1" s="38"/>
      <c r="J1" s="38"/>
    </row>
    <row r="2" spans="1:10">
      <c r="A2" s="39" t="s">
        <v>120</v>
      </c>
      <c r="B2" s="39"/>
      <c r="C2" s="39"/>
      <c r="D2" s="39"/>
      <c r="E2" s="39"/>
      <c r="F2" s="39"/>
      <c r="G2" s="39"/>
      <c r="H2" s="39"/>
      <c r="I2" s="39"/>
      <c r="J2" s="39"/>
    </row>
    <row r="3" spans="1:10" ht="16">
      <c r="A3" s="6" t="s">
        <v>0</v>
      </c>
      <c r="B3" s="7" t="s">
        <v>92</v>
      </c>
      <c r="C3" s="7" t="s">
        <v>93</v>
      </c>
      <c r="D3" s="7" t="s">
        <v>94</v>
      </c>
      <c r="E3" s="7" t="s">
        <v>95</v>
      </c>
      <c r="F3" s="8" t="s">
        <v>96</v>
      </c>
      <c r="G3" s="8" t="s">
        <v>97</v>
      </c>
      <c r="H3" s="8" t="s">
        <v>98</v>
      </c>
      <c r="I3" s="8" t="s">
        <v>1</v>
      </c>
      <c r="J3" s="8" t="s">
        <v>99</v>
      </c>
    </row>
    <row r="4" spans="1:10" ht="15" customHeight="1">
      <c r="A4" s="24">
        <v>45870</v>
      </c>
      <c r="B4" s="25" t="s">
        <v>7</v>
      </c>
      <c r="C4" s="25" t="s">
        <v>4</v>
      </c>
      <c r="D4" s="25" t="s">
        <v>121</v>
      </c>
      <c r="E4" s="4">
        <v>1</v>
      </c>
      <c r="F4" s="28">
        <v>4000</v>
      </c>
      <c r="G4" s="28">
        <f>Table13[[#This Row],[Rate /Trips]]*Table13[[#This Row],[Trips]]</f>
        <v>4000</v>
      </c>
      <c r="H4" s="28">
        <v>4000</v>
      </c>
      <c r="I4" s="28">
        <f>Table13[[#This Row],[Total Value]]-Table13[[#This Row],[Received]]</f>
        <v>0</v>
      </c>
      <c r="J4" s="1" t="str">
        <f>IF(I4&gt;10000,"🚨 URGENT: "&amp;C4&amp;" owes ₹"&amp;I4,IF(I4&gt;5000,"⚠️ WARNING: "&amp;C4&amp;" - ₹"&amp;I4&amp;" due",IF(I4&gt;0,"ℹ️ "&amp;C4&amp;" - ₹"&amp;I4&amp;" pending","✅ Paid")))</f>
        <v>✅ Paid</v>
      </c>
    </row>
    <row r="5" spans="1:10" ht="19">
      <c r="A5" s="24">
        <v>45870</v>
      </c>
      <c r="B5" s="30" t="s">
        <v>7</v>
      </c>
      <c r="C5" s="25" t="s">
        <v>111</v>
      </c>
      <c r="D5" s="25" t="s">
        <v>112</v>
      </c>
      <c r="E5" s="4">
        <v>2</v>
      </c>
      <c r="F5" s="28">
        <v>3000</v>
      </c>
      <c r="G5" s="28">
        <f>Table13[[#This Row],[Rate /Trips]]*Table13[[#This Row],[Trips]]</f>
        <v>6000</v>
      </c>
      <c r="H5" s="28">
        <v>6000</v>
      </c>
      <c r="I5" s="28">
        <f>Table13[[#This Row],[Total Value]]-Table13[[#This Row],[Received]]</f>
        <v>0</v>
      </c>
      <c r="J5" s="1" t="str">
        <f>IF(I5&gt;10000,"🚨 URGENT: "&amp;C5&amp;" owes ₹"&amp;I5,IF(I5&gt;5000,"⚠️ WARNING: "&amp;C5&amp;" - ₹"&amp;I5&amp;" due",IF(I5&gt;0,"ℹ️ "&amp;C5&amp;" - ₹"&amp;I5&amp;" pending","✅ Paid")))</f>
        <v>✅ Paid</v>
      </c>
    </row>
    <row r="6" spans="1:10" ht="19">
      <c r="A6" s="24">
        <v>45871</v>
      </c>
      <c r="B6" s="30" t="s">
        <v>7</v>
      </c>
      <c r="C6" s="25" t="s">
        <v>122</v>
      </c>
      <c r="D6" s="25" t="s">
        <v>123</v>
      </c>
      <c r="E6" s="4">
        <v>1</v>
      </c>
      <c r="F6" s="28">
        <v>5500</v>
      </c>
      <c r="G6" s="28">
        <f>Table13[[#This Row],[Rate /Trips]]*Table13[[#This Row],[Trips]]</f>
        <v>5500</v>
      </c>
      <c r="H6" s="28">
        <v>5500</v>
      </c>
      <c r="I6" s="28">
        <f>Table13[[#This Row],[Total Value]]-Table13[[#This Row],[Received]]</f>
        <v>0</v>
      </c>
      <c r="J6" s="1" t="str">
        <f>IF(I6&gt;10000,"🚨 URGENT: "&amp;C6&amp;" owes ₹"&amp;I6,IF(I6&gt;5000,"⚠️ WARNING: "&amp;C6&amp;" - ₹"&amp;I6&amp;" due",IF(I6&gt;0,"ℹ️ "&amp;C6&amp;" - ₹"&amp;I6&amp;" pending","✅ Paid")))</f>
        <v>✅ Paid</v>
      </c>
    </row>
    <row r="7" spans="1:10" ht="19">
      <c r="A7" s="24">
        <v>45872</v>
      </c>
      <c r="B7" s="30" t="s">
        <v>7</v>
      </c>
      <c r="C7" s="25" t="s">
        <v>126</v>
      </c>
      <c r="D7" s="25" t="s">
        <v>18</v>
      </c>
      <c r="E7" s="4">
        <v>1</v>
      </c>
      <c r="F7" s="28">
        <v>3500</v>
      </c>
      <c r="G7" s="28">
        <f>Table13[[#This Row],[Rate /Trips]]*Table13[[#This Row],[Trips]]</f>
        <v>3500</v>
      </c>
      <c r="H7" s="28">
        <v>3500</v>
      </c>
      <c r="I7" s="28">
        <f>Table13[[#This Row],[Total Value]]-Table13[[#This Row],[Received]]</f>
        <v>0</v>
      </c>
      <c r="J7" s="1" t="str">
        <f>IF(I7&gt;10000,"🚨 URGENT: "&amp;C7&amp;" owes ₹"&amp;I7,IF(I7&gt;5000,"⚠️ WARNING: "&amp;C7&amp;" - ₹"&amp;I7&amp;" due",IF(I7&gt;0,"ℹ️ "&amp;C7&amp;" - ₹"&amp;I7&amp;" pending","✅ Paid")))</f>
        <v>✅ Paid</v>
      </c>
    </row>
    <row r="8" spans="1:10" ht="19">
      <c r="A8" s="24">
        <v>45872</v>
      </c>
      <c r="B8" s="30" t="s">
        <v>7</v>
      </c>
      <c r="C8" s="25" t="s">
        <v>124</v>
      </c>
      <c r="D8" s="25" t="s">
        <v>125</v>
      </c>
      <c r="E8" s="4">
        <v>1</v>
      </c>
      <c r="F8" s="28">
        <v>4000</v>
      </c>
      <c r="G8" s="28">
        <f>Table13[[#This Row],[Rate /Trips]]*Table13[[#This Row],[Trips]]</f>
        <v>4000</v>
      </c>
      <c r="H8" s="28">
        <v>4000</v>
      </c>
      <c r="I8" s="28">
        <f>Table13[[#This Row],[Total Value]]-Table13[[#This Row],[Received]]</f>
        <v>0</v>
      </c>
      <c r="J8" s="1" t="str">
        <f>IF(I8&gt;10000,"🚨 URGENT: "&amp;C8&amp;" owes ₹"&amp;I8,IF(I8&gt;5000,"⚠️ WARNING: "&amp;C8&amp;" - ₹"&amp;I8&amp;" due",IF(I8&gt;0,"ℹ️ "&amp;C8&amp;" - ₹"&amp;I8&amp;" pending","✅ Paid")))</f>
        <v>✅ Paid</v>
      </c>
    </row>
    <row r="9" spans="1:10" ht="19">
      <c r="A9" s="24">
        <v>45874</v>
      </c>
      <c r="B9" s="25" t="s">
        <v>127</v>
      </c>
      <c r="C9" s="25" t="s">
        <v>126</v>
      </c>
      <c r="D9" s="25" t="s">
        <v>18</v>
      </c>
      <c r="E9" s="4">
        <v>2</v>
      </c>
      <c r="F9" s="28">
        <v>3500</v>
      </c>
      <c r="G9" s="28">
        <f>Table13[[#This Row],[Rate /Trips]]*Table13[[#This Row],[Trips]]</f>
        <v>7000</v>
      </c>
      <c r="H9" s="28">
        <v>7000</v>
      </c>
      <c r="I9" s="28">
        <f>Table13[[#This Row],[Total Value]]-Table13[[#This Row],[Received]]</f>
        <v>0</v>
      </c>
      <c r="J9" s="1" t="str">
        <f>IF(I9&gt;10000,"🚨 URGENT: "&amp;C9&amp;" owes ₹"&amp;I9,IF(I9&gt;5000,"⚠️ WARNING: "&amp;C9&amp;" - ₹"&amp;I9&amp;" due",IF(I9&gt;0,"ℹ️ "&amp;C9&amp;" - ₹"&amp;I9&amp;" pending","✅ Paid")))</f>
        <v>✅ Paid</v>
      </c>
    </row>
    <row r="10" spans="1:10" ht="19">
      <c r="A10" s="24">
        <v>45877</v>
      </c>
      <c r="B10" s="30" t="s">
        <v>12</v>
      </c>
      <c r="C10" s="25" t="s">
        <v>124</v>
      </c>
      <c r="D10" s="25" t="s">
        <v>28</v>
      </c>
      <c r="E10" s="4">
        <v>1</v>
      </c>
      <c r="F10" s="28">
        <v>4000</v>
      </c>
      <c r="G10" s="28">
        <f>Table13[[#This Row],[Rate /Trips]]*Table13[[#This Row],[Trips]]</f>
        <v>4000</v>
      </c>
      <c r="H10" s="28">
        <v>4000</v>
      </c>
      <c r="I10" s="28">
        <f>Table13[[#This Row],[Total Value]]-Table13[[#This Row],[Received]]</f>
        <v>0</v>
      </c>
      <c r="J10" s="1" t="str">
        <f>IF(I10&gt;10000,"🚨 URGENT: "&amp;C10&amp;" owes ₹"&amp;I10,IF(I10&gt;5000,"⚠️ WARNING: "&amp;C10&amp;" - ₹"&amp;I10&amp;" due",IF(I10&gt;0,"ℹ️ "&amp;C10&amp;" - ₹"&amp;I10&amp;" pending","✅ Paid")))</f>
        <v>✅ Paid</v>
      </c>
    </row>
    <row r="11" spans="1:10" ht="19">
      <c r="A11" s="24">
        <v>45877</v>
      </c>
      <c r="B11" s="30" t="s">
        <v>12</v>
      </c>
      <c r="C11" s="25" t="s">
        <v>128</v>
      </c>
      <c r="D11" s="25" t="s">
        <v>61</v>
      </c>
      <c r="E11" s="4">
        <v>2</v>
      </c>
      <c r="F11" s="28">
        <v>1500</v>
      </c>
      <c r="G11" s="28">
        <f>Table13[[#This Row],[Rate /Trips]]*Table13[[#This Row],[Trips]]</f>
        <v>3000</v>
      </c>
      <c r="H11" s="28">
        <v>3000</v>
      </c>
      <c r="I11" s="28">
        <f>Table13[[#This Row],[Total Value]]-Table13[[#This Row],[Received]]</f>
        <v>0</v>
      </c>
      <c r="J11" s="1" t="str">
        <f>IF(I11&gt;10000,"🚨 URGENT: "&amp;C11&amp;" owes ₹"&amp;I11,IF(I11&gt;5000,"⚠️ WARNING: "&amp;C11&amp;" - ₹"&amp;I11&amp;" due",IF(I11&gt;0,"ℹ️ "&amp;C11&amp;" - ₹"&amp;I11&amp;" pending","✅ Paid")))</f>
        <v>✅ Paid</v>
      </c>
    </row>
    <row r="12" spans="1:10" ht="19">
      <c r="A12" s="24">
        <v>45879</v>
      </c>
      <c r="B12" s="30" t="s">
        <v>12</v>
      </c>
      <c r="C12" s="25" t="s">
        <v>129</v>
      </c>
      <c r="D12" s="25" t="s">
        <v>61</v>
      </c>
      <c r="E12" s="4">
        <v>6</v>
      </c>
      <c r="F12" s="28"/>
      <c r="G12" s="28">
        <f>Table13[[#This Row],[Rate /Trips]]*Table13[[#This Row],[Trips]]</f>
        <v>0</v>
      </c>
      <c r="H12" s="28"/>
      <c r="I12" s="28">
        <f>Table13[[#This Row],[Total Value]]-Table13[[#This Row],[Received]]</f>
        <v>0</v>
      </c>
      <c r="J12" s="1" t="str">
        <f>IF(I12&gt;10000,"🚨 URGENT: "&amp;C12&amp;" owes ₹"&amp;I12,IF(I12&gt;5000,"⚠️ WARNING: "&amp;C12&amp;" - ₹"&amp;I12&amp;" due",IF(I12&gt;0,"ℹ️ "&amp;C12&amp;" - ₹"&amp;I12&amp;" pending","✅ Paid")))</f>
        <v>✅ Paid</v>
      </c>
    </row>
    <row r="13" spans="1:10" ht="19">
      <c r="A13" s="24">
        <v>45880</v>
      </c>
      <c r="B13" s="30" t="s">
        <v>12</v>
      </c>
      <c r="C13" s="25" t="s">
        <v>129</v>
      </c>
      <c r="D13" s="25" t="s">
        <v>61</v>
      </c>
      <c r="E13" s="4">
        <v>3</v>
      </c>
      <c r="F13" s="28"/>
      <c r="G13" s="28">
        <f>Table13[[#This Row],[Rate /Trips]]*Table13[[#This Row],[Trips]]</f>
        <v>0</v>
      </c>
      <c r="H13" s="28"/>
      <c r="I13" s="28">
        <f>Table13[[#This Row],[Total Value]]-Table13[[#This Row],[Received]]</f>
        <v>0</v>
      </c>
      <c r="J13" s="1" t="str">
        <f>IF(I13&gt;10000,"🚨 URGENT: "&amp;C13&amp;" owes ₹"&amp;I13,IF(I13&gt;5000,"⚠️ WARNING: "&amp;C13&amp;" - ₹"&amp;I13&amp;" due",IF(I13&gt;0,"ℹ️ "&amp;C13&amp;" - ₹"&amp;I13&amp;" pending","✅ Paid")))</f>
        <v>✅ Paid</v>
      </c>
    </row>
    <row r="14" spans="1:10" ht="19">
      <c r="A14" s="24">
        <v>45881</v>
      </c>
      <c r="B14" s="30" t="s">
        <v>12</v>
      </c>
      <c r="C14" s="25" t="s">
        <v>130</v>
      </c>
      <c r="D14" s="25" t="s">
        <v>112</v>
      </c>
      <c r="E14" s="4">
        <v>4</v>
      </c>
      <c r="F14" s="28">
        <v>3000</v>
      </c>
      <c r="G14" s="28">
        <f>Table13[[#This Row],[Rate /Trips]]*Table13[[#This Row],[Trips]]</f>
        <v>12000</v>
      </c>
      <c r="H14" s="28">
        <v>12000</v>
      </c>
      <c r="I14" s="28">
        <f>Table13[[#This Row],[Total Value]]-Table13[[#This Row],[Received]]</f>
        <v>0</v>
      </c>
      <c r="J14" s="1" t="str">
        <f>IF(I14&gt;10000,"🚨 URGENT: "&amp;C14&amp;" owes ₹"&amp;I14,IF(I14&gt;5000,"⚠️ WARNING: "&amp;C14&amp;" - ₹"&amp;I14&amp;" due",IF(I14&gt;0,"ℹ️ "&amp;C14&amp;" - ₹"&amp;I14&amp;" pending","✅ Paid")))</f>
        <v>✅ Paid</v>
      </c>
    </row>
    <row r="15" spans="1:10" ht="19">
      <c r="A15" s="24">
        <v>45887</v>
      </c>
      <c r="B15" s="30" t="s">
        <v>131</v>
      </c>
      <c r="C15" s="25" t="s">
        <v>132</v>
      </c>
      <c r="D15" s="25" t="s">
        <v>133</v>
      </c>
      <c r="E15" s="4">
        <v>2</v>
      </c>
      <c r="F15" s="28">
        <v>7500</v>
      </c>
      <c r="G15" s="28">
        <f>Table13[[#This Row],[Rate /Trips]]*Table13[[#This Row],[Trips]]</f>
        <v>15000</v>
      </c>
      <c r="H15" s="28">
        <v>15000</v>
      </c>
      <c r="I15" s="28">
        <f>Table13[[#This Row],[Total Value]]-Table13[[#This Row],[Received]]</f>
        <v>0</v>
      </c>
      <c r="J15" s="1" t="str">
        <f>IF(I15&gt;10000,"🚨 URGENT: "&amp;C15&amp;" owes ₹"&amp;I15,IF(I15&gt;5000,"⚠️ WARNING: "&amp;C15&amp;" - ₹"&amp;I15&amp;" due",IF(I15&gt;0,"ℹ️ "&amp;C15&amp;" - ₹"&amp;I15&amp;" pending","✅ Paid")))</f>
        <v>✅ Paid</v>
      </c>
    </row>
    <row r="16" spans="1:10" ht="19">
      <c r="A16" s="24">
        <v>45889</v>
      </c>
      <c r="B16" s="30" t="s">
        <v>12</v>
      </c>
      <c r="C16" s="25" t="s">
        <v>134</v>
      </c>
      <c r="D16" s="25" t="s">
        <v>37</v>
      </c>
      <c r="E16" s="4">
        <v>3</v>
      </c>
      <c r="F16" s="28">
        <v>4000</v>
      </c>
      <c r="G16" s="28">
        <f>Table13[[#This Row],[Rate /Trips]]*Table13[[#This Row],[Trips]]</f>
        <v>12000</v>
      </c>
      <c r="H16" s="28">
        <v>12000</v>
      </c>
      <c r="I16" s="28">
        <f>Table13[[#This Row],[Total Value]]-Table13[[#This Row],[Received]]</f>
        <v>0</v>
      </c>
      <c r="J16" s="1" t="str">
        <f>IF(I16&gt;10000,"🚨 URGENT: "&amp;C16&amp;" owes ₹"&amp;I16,IF(I16&gt;5000,"⚠️ WARNING: "&amp;C16&amp;" - ₹"&amp;I16&amp;" due",IF(I16&gt;0,"ℹ️ "&amp;C16&amp;" - ₹"&amp;I16&amp;" pending","✅ Paid")))</f>
        <v>✅ Paid</v>
      </c>
    </row>
    <row r="17" spans="1:10" ht="19">
      <c r="A17" s="24">
        <v>45890</v>
      </c>
      <c r="B17" s="30" t="s">
        <v>12</v>
      </c>
      <c r="C17" s="25" t="s">
        <v>134</v>
      </c>
      <c r="D17" s="25" t="s">
        <v>37</v>
      </c>
      <c r="E17" s="4">
        <v>4</v>
      </c>
      <c r="F17" s="28">
        <v>4000</v>
      </c>
      <c r="G17" s="28">
        <f>Table13[[#This Row],[Rate /Trips]]*Table13[[#This Row],[Trips]]</f>
        <v>16000</v>
      </c>
      <c r="H17" s="28">
        <v>16000</v>
      </c>
      <c r="I17" s="28">
        <f>Table13[[#This Row],[Total Value]]-Table13[[#This Row],[Received]]</f>
        <v>0</v>
      </c>
      <c r="J17" s="1" t="str">
        <f>IF(I17&gt;10000,"🚨 URGENT: "&amp;C17&amp;" owes ₹"&amp;I17,IF(I17&gt;5000,"⚠️ WARNING: "&amp;C17&amp;" - ₹"&amp;I17&amp;" due",IF(I17&gt;0,"ℹ️ "&amp;C17&amp;" - ₹"&amp;I17&amp;" pending","✅ Paid")))</f>
        <v>✅ Paid</v>
      </c>
    </row>
    <row r="18" spans="1:10" ht="19">
      <c r="A18" s="24">
        <v>45891</v>
      </c>
      <c r="B18" s="30" t="s">
        <v>12</v>
      </c>
      <c r="C18" s="25" t="s">
        <v>134</v>
      </c>
      <c r="D18" s="25" t="s">
        <v>37</v>
      </c>
      <c r="E18" s="4">
        <v>5</v>
      </c>
      <c r="F18" s="28">
        <v>4000</v>
      </c>
      <c r="G18" s="28">
        <f>Table13[[#This Row],[Rate /Trips]]*Table13[[#This Row],[Trips]]</f>
        <v>20000</v>
      </c>
      <c r="H18" s="28">
        <v>20000</v>
      </c>
      <c r="I18" s="28">
        <f>Table13[[#This Row],[Total Value]]-Table13[[#This Row],[Received]]</f>
        <v>0</v>
      </c>
      <c r="J18" s="1" t="str">
        <f>IF(I18&gt;10000,"🚨 URGENT: "&amp;C18&amp;" owes ₹"&amp;I18,IF(I18&gt;5000,"⚠️ WARNING: "&amp;C18&amp;" - ₹"&amp;I18&amp;" due",IF(I18&gt;0,"ℹ️ "&amp;C18&amp;" - ₹"&amp;I18&amp;" pending","✅ Paid")))</f>
        <v>✅ Paid</v>
      </c>
    </row>
    <row r="19" spans="1:10" ht="19">
      <c r="A19" s="27">
        <v>45891</v>
      </c>
      <c r="B19" s="31" t="s">
        <v>12</v>
      </c>
      <c r="C19" s="26" t="s">
        <v>134</v>
      </c>
      <c r="D19" s="26" t="s">
        <v>37</v>
      </c>
      <c r="E19" s="20">
        <v>4</v>
      </c>
      <c r="F19" s="29">
        <v>4000</v>
      </c>
      <c r="G19" s="28">
        <f>Table13[[#This Row],[Rate /Trips]]*Table13[[#This Row],[Trips]]</f>
        <v>16000</v>
      </c>
      <c r="H19" s="29">
        <v>16000</v>
      </c>
      <c r="I19" s="28">
        <f>Table13[[#This Row],[Total Value]]-Table13[[#This Row],[Received]]</f>
        <v>0</v>
      </c>
      <c r="J19" s="1" t="str">
        <f>IF(I19&gt;10000,"🚨 URGENT: "&amp;C19&amp;" owes ₹"&amp;I19,IF(I19&gt;5000,"⚠️ WARNING: "&amp;C19&amp;" - ₹"&amp;I19&amp;" due",IF(I19&gt;0,"ℹ️ "&amp;C19&amp;" - ₹"&amp;I19&amp;" pending","✅ Paid")))</f>
        <v>✅ Paid</v>
      </c>
    </row>
    <row r="20" spans="1:10" ht="19">
      <c r="A20" s="27">
        <v>45899</v>
      </c>
      <c r="B20" s="30" t="s">
        <v>12</v>
      </c>
      <c r="C20" s="25" t="s">
        <v>134</v>
      </c>
      <c r="D20" s="25" t="s">
        <v>37</v>
      </c>
      <c r="E20" s="4">
        <v>2</v>
      </c>
      <c r="F20" s="29">
        <v>4000</v>
      </c>
      <c r="G20" s="28">
        <f>Table13[[#This Row],[Rate /Trips]]*Table13[[#This Row],[Trips]]</f>
        <v>8000</v>
      </c>
      <c r="H20" s="29">
        <v>8000</v>
      </c>
      <c r="I20" s="28">
        <f>Table13[[#This Row],[Total Value]]-Table13[[#This Row],[Received]]</f>
        <v>0</v>
      </c>
      <c r="J20" s="1" t="str">
        <f>IF(I20&gt;10000,"🚨 URGENT: "&amp;C20&amp;" owes ₹"&amp;I20,IF(I20&gt;5000,"⚠️ WARNING: "&amp;C20&amp;" - ₹"&amp;I20&amp;" due",IF(I20&gt;0,"ℹ️ "&amp;C20&amp;" - ₹"&amp;I20&amp;" pending","✅ Paid")))</f>
        <v>✅ Paid</v>
      </c>
    </row>
    <row r="21" spans="1:10" ht="19" customHeight="1">
      <c r="A21" s="22"/>
      <c r="B21" s="35"/>
      <c r="C21" s="22"/>
      <c r="D21" s="22"/>
      <c r="E21" s="22"/>
      <c r="F21" s="22"/>
      <c r="G21" s="23"/>
      <c r="H21" s="22"/>
      <c r="I21" s="23"/>
      <c r="J21" s="1"/>
    </row>
    <row r="22" spans="1:10" ht="19">
      <c r="A22" s="27"/>
      <c r="B22" s="31"/>
      <c r="C22" s="26"/>
      <c r="D22" s="26"/>
      <c r="E22" s="20"/>
      <c r="F22" s="29"/>
      <c r="G22" s="28"/>
      <c r="H22" s="29"/>
      <c r="I22" s="28"/>
      <c r="J22" s="1"/>
    </row>
    <row r="23" spans="1:10" ht="19">
      <c r="A23" s="27"/>
      <c r="B23" s="31"/>
      <c r="C23" s="26"/>
      <c r="D23" s="26"/>
      <c r="E23" s="20"/>
      <c r="F23" s="29"/>
      <c r="G23" s="29"/>
      <c r="H23" s="29"/>
      <c r="I23" s="29"/>
      <c r="J23" s="1"/>
    </row>
    <row r="24" spans="1:10" ht="19">
      <c r="A24" s="27"/>
      <c r="B24" s="31"/>
      <c r="C24" s="26"/>
      <c r="D24" s="26"/>
      <c r="E24" s="20"/>
      <c r="F24" s="29"/>
      <c r="G24" s="29"/>
      <c r="H24" s="29"/>
      <c r="I24" s="29"/>
      <c r="J24" s="1"/>
    </row>
    <row r="25" spans="1:10" ht="19">
      <c r="A25" s="27"/>
      <c r="B25" s="31"/>
      <c r="C25" s="26"/>
      <c r="D25" s="26"/>
      <c r="E25" s="20"/>
      <c r="F25" s="29"/>
      <c r="G25" s="29"/>
      <c r="H25" s="29"/>
      <c r="I25" s="29"/>
      <c r="J25" s="1"/>
    </row>
    <row r="26" spans="1:10" ht="19">
      <c r="A26" s="27"/>
      <c r="B26" s="31"/>
      <c r="C26" s="26"/>
      <c r="D26" s="26"/>
      <c r="E26" s="20"/>
      <c r="F26" s="29"/>
      <c r="G26" s="29"/>
      <c r="H26" s="29"/>
      <c r="I26" s="29"/>
      <c r="J26" s="1" t="str">
        <f>IF(I26&gt;10000,"🚨 URGENT: "&amp;C26&amp;" owes ₹"&amp;I26,IF(I26&gt;5000,"⚠️ WARNING: "&amp;C26&amp;" - ₹"&amp;I26&amp;" due",IF(I26&gt;0,"ℹ️ "&amp;C26&amp;" - ₹"&amp;I26&amp;" pending","✅ Paid")))</f>
        <v>✅ Paid</v>
      </c>
    </row>
    <row r="27" spans="1:10" ht="19">
      <c r="A27" s="27"/>
      <c r="B27" s="31"/>
      <c r="C27" s="26"/>
      <c r="D27" s="26"/>
      <c r="E27" s="20"/>
      <c r="F27" s="29"/>
      <c r="G27" s="29"/>
      <c r="H27" s="29"/>
      <c r="I27" s="29"/>
      <c r="J27" s="1"/>
    </row>
    <row r="28" spans="1:10" ht="19">
      <c r="A28" s="27"/>
      <c r="B28" s="31"/>
      <c r="C28" s="26"/>
      <c r="D28" s="26"/>
      <c r="E28" s="20"/>
      <c r="F28" s="29"/>
      <c r="G28" s="29"/>
      <c r="H28" s="29"/>
      <c r="I28" s="29"/>
      <c r="J28" s="1"/>
    </row>
    <row r="29" spans="1:10" ht="19">
      <c r="A29" s="27"/>
      <c r="B29" s="31"/>
      <c r="C29" s="26"/>
      <c r="D29" s="26"/>
      <c r="E29" s="20"/>
      <c r="F29" s="29"/>
      <c r="G29" s="29"/>
      <c r="H29" s="29"/>
      <c r="I29" s="29"/>
      <c r="J29" s="1"/>
    </row>
    <row r="30" spans="1:10" ht="19">
      <c r="A30" s="27"/>
      <c r="B30" s="31"/>
      <c r="C30" s="26"/>
      <c r="D30" s="26"/>
      <c r="E30" s="20"/>
      <c r="F30" s="29"/>
      <c r="G30" s="29"/>
      <c r="H30" s="29"/>
      <c r="I30" s="29"/>
      <c r="J30" s="1"/>
    </row>
    <row r="31" spans="1:10" ht="19">
      <c r="A31" s="27"/>
      <c r="B31" s="31"/>
      <c r="C31" s="26"/>
      <c r="D31" s="26"/>
      <c r="E31" s="20"/>
      <c r="F31" s="29"/>
      <c r="G31" s="29"/>
      <c r="H31" s="29"/>
      <c r="I31" s="29"/>
      <c r="J31" s="1"/>
    </row>
    <row r="32" spans="1:10" ht="19">
      <c r="A32" s="27"/>
      <c r="B32" s="31"/>
      <c r="C32" s="26"/>
      <c r="D32" s="26"/>
      <c r="E32" s="20"/>
      <c r="F32" s="29"/>
      <c r="G32" s="29"/>
      <c r="H32" s="29"/>
      <c r="I32" s="29"/>
      <c r="J32" s="1"/>
    </row>
    <row r="33" spans="1:10" ht="19">
      <c r="A33" s="27"/>
      <c r="B33" s="31"/>
      <c r="C33" s="26"/>
      <c r="D33" s="26"/>
      <c r="E33" s="20"/>
      <c r="F33" s="29"/>
      <c r="G33" s="29"/>
      <c r="H33" s="29"/>
      <c r="I33" s="29"/>
      <c r="J33" s="1"/>
    </row>
    <row r="34" spans="1:10" ht="19">
      <c r="A34" s="27"/>
      <c r="B34" s="31"/>
      <c r="C34" s="26"/>
      <c r="D34" s="26"/>
      <c r="E34" s="20"/>
      <c r="F34" s="29"/>
      <c r="G34" s="29"/>
      <c r="H34" s="29"/>
      <c r="I34" s="29"/>
      <c r="J34" s="1"/>
    </row>
    <row r="35" spans="1:10" ht="19">
      <c r="A35" s="27"/>
      <c r="B35" s="31"/>
      <c r="C35" s="26"/>
      <c r="D35" s="26"/>
      <c r="E35" s="20"/>
      <c r="F35" s="29"/>
      <c r="G35" s="29"/>
      <c r="H35" s="29"/>
      <c r="I35" s="29"/>
      <c r="J35" s="22"/>
    </row>
    <row r="36" spans="1:10" ht="19">
      <c r="A36" s="18"/>
      <c r="B36" s="19"/>
      <c r="C36" s="20"/>
      <c r="D36" s="20"/>
      <c r="E36" s="20"/>
      <c r="F36" s="21"/>
      <c r="G36" s="21"/>
      <c r="H36" s="21"/>
      <c r="I36" s="21"/>
      <c r="J36" s="22"/>
    </row>
    <row r="37" spans="1:10" ht="21">
      <c r="D37" s="9"/>
      <c r="E37" s="10" t="s">
        <v>100</v>
      </c>
      <c r="F37" s="11"/>
      <c r="G37" s="12" t="s">
        <v>97</v>
      </c>
      <c r="H37" s="12" t="s">
        <v>101</v>
      </c>
      <c r="I37" s="12" t="s">
        <v>45</v>
      </c>
    </row>
    <row r="38" spans="1:10" ht="25" customHeight="1">
      <c r="D38" s="13" t="s">
        <v>102</v>
      </c>
      <c r="E38" s="14">
        <f>SUM(E5:E36)</f>
        <v>43</v>
      </c>
      <c r="F38" s="15"/>
      <c r="G38" s="16">
        <f>SUM(G5:G36)</f>
        <v>132000</v>
      </c>
      <c r="H38" s="16">
        <f t="shared" ref="H38:I38" si="0">SUM(H5:H36)</f>
        <v>132000</v>
      </c>
      <c r="I38" s="16">
        <f t="shared" si="0"/>
        <v>0</v>
      </c>
    </row>
    <row r="39" spans="1:10" ht="43" customHeight="1">
      <c r="A39" s="40" t="s">
        <v>103</v>
      </c>
      <c r="B39" s="40"/>
      <c r="C39" s="40"/>
      <c r="D39" s="17"/>
      <c r="E39" s="17"/>
      <c r="F39" s="17"/>
      <c r="G39" s="17"/>
      <c r="H39" s="17"/>
      <c r="I39" s="17"/>
    </row>
  </sheetData>
  <mergeCells count="3">
    <mergeCell ref="A1:J1"/>
    <mergeCell ref="A2:J2"/>
    <mergeCell ref="A39:C39"/>
  </mergeCells>
  <conditionalFormatting sqref="J5:J34">
    <cfRule type="containsText" dxfId="19" priority="5" operator="containsText" text="✅">
      <formula>NOT(ISERROR(SEARCH("✅",J5)))</formula>
    </cfRule>
    <cfRule type="containsText" dxfId="18" priority="6" operator="containsText" text="ℹ️">
      <formula>NOT(ISERROR(SEARCH("ℹ️",J5)))</formula>
    </cfRule>
    <cfRule type="containsText" dxfId="17" priority="7" operator="containsText" text="⚠️">
      <formula>NOT(ISERROR(SEARCH("⚠️",J5)))</formula>
    </cfRule>
    <cfRule type="containsText" dxfId="16" priority="8" operator="containsText" text="🚨">
      <formula>NOT(ISERROR(SEARCH("🚨",J5)))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A59D3-9D61-8E44-A1B5-001FEEC2D931}">
  <dimension ref="A1:J17"/>
  <sheetViews>
    <sheetView workbookViewId="0">
      <selection activeCell="A4" sqref="A4:I8"/>
    </sheetView>
  </sheetViews>
  <sheetFormatPr baseColWidth="10" defaultColWidth="11.5" defaultRowHeight="15"/>
  <cols>
    <col min="1" max="1" width="33.6640625" bestFit="1" customWidth="1"/>
    <col min="2" max="2" width="23.83203125" bestFit="1" customWidth="1"/>
    <col min="3" max="3" width="28.1640625" bestFit="1" customWidth="1"/>
    <col min="4" max="4" width="19.6640625" bestFit="1" customWidth="1"/>
    <col min="5" max="5" width="13.1640625" bestFit="1" customWidth="1"/>
    <col min="6" max="6" width="15.33203125" bestFit="1" customWidth="1"/>
    <col min="7" max="7" width="15.5" bestFit="1" customWidth="1"/>
    <col min="8" max="8" width="18" bestFit="1" customWidth="1"/>
    <col min="9" max="9" width="16.6640625" bestFit="1" customWidth="1"/>
    <col min="10" max="10" width="34.5" bestFit="1" customWidth="1"/>
  </cols>
  <sheetData>
    <row r="1" spans="1:10" ht="29">
      <c r="A1" s="38" t="s">
        <v>91</v>
      </c>
      <c r="B1" s="38"/>
      <c r="C1" s="38"/>
      <c r="D1" s="38"/>
      <c r="E1" s="38"/>
      <c r="F1" s="38"/>
      <c r="G1" s="38"/>
      <c r="H1" s="38"/>
      <c r="I1" s="38"/>
      <c r="J1" s="38"/>
    </row>
    <row r="2" spans="1:10">
      <c r="A2" s="39" t="s">
        <v>152</v>
      </c>
      <c r="B2" s="39"/>
      <c r="C2" s="39"/>
      <c r="D2" s="39"/>
      <c r="E2" s="39"/>
      <c r="F2" s="39"/>
      <c r="G2" s="39"/>
      <c r="H2" s="39"/>
      <c r="I2" s="39"/>
      <c r="J2" s="39"/>
    </row>
    <row r="3" spans="1:10" ht="16">
      <c r="A3" s="6" t="s">
        <v>0</v>
      </c>
      <c r="B3" s="7" t="s">
        <v>92</v>
      </c>
      <c r="C3" s="7" t="s">
        <v>93</v>
      </c>
      <c r="D3" s="7" t="s">
        <v>94</v>
      </c>
      <c r="E3" s="7" t="s">
        <v>95</v>
      </c>
      <c r="F3" s="8" t="s">
        <v>96</v>
      </c>
      <c r="G3" s="8" t="s">
        <v>97</v>
      </c>
      <c r="H3" s="8" t="s">
        <v>98</v>
      </c>
      <c r="I3" s="8" t="s">
        <v>1</v>
      </c>
      <c r="J3" s="8" t="s">
        <v>99</v>
      </c>
    </row>
    <row r="4" spans="1:10" ht="15" customHeight="1">
      <c r="A4" s="2">
        <v>45908</v>
      </c>
      <c r="B4" s="4" t="s">
        <v>12</v>
      </c>
      <c r="C4" s="4" t="s">
        <v>134</v>
      </c>
      <c r="D4" s="4" t="s">
        <v>37</v>
      </c>
      <c r="E4" s="4">
        <v>2</v>
      </c>
      <c r="F4" s="5">
        <v>4000</v>
      </c>
      <c r="G4" s="5">
        <f>Table134[[#This Row],[Rate /Trips]]*Table134[[#This Row],[Trips]]</f>
        <v>8000</v>
      </c>
      <c r="H4" s="5">
        <v>8000</v>
      </c>
      <c r="I4" s="5">
        <f>Table134[[#This Row],[Total Value]]-Table134[[#This Row],[Received]]</f>
        <v>0</v>
      </c>
      <c r="J4" s="1" t="str">
        <f>IF(I4&gt;10000,"🚨 URGENT: "&amp;C4&amp;" owes ₹"&amp;I4,IF(I4&gt;5000,"⚠️ WARNING: "&amp;C4&amp;" - ₹"&amp;I4&amp;" due",IF(I4&gt;0,"ℹ️ "&amp;C4&amp;" - ₹"&amp;I4&amp;" pending","✅ Paid")))</f>
        <v>✅ Paid</v>
      </c>
    </row>
    <row r="5" spans="1:10" ht="19">
      <c r="A5" s="2">
        <v>45910</v>
      </c>
      <c r="B5" s="3" t="s">
        <v>136</v>
      </c>
      <c r="C5" s="20" t="s">
        <v>134</v>
      </c>
      <c r="D5" s="20" t="s">
        <v>37</v>
      </c>
      <c r="E5" s="4">
        <v>4</v>
      </c>
      <c r="F5" s="5">
        <v>4000</v>
      </c>
      <c r="G5" s="5">
        <f>Table134[[#This Row],[Rate /Trips]]*Table134[[#This Row],[Trips]]</f>
        <v>16000</v>
      </c>
      <c r="H5" s="5">
        <v>16000</v>
      </c>
      <c r="I5" s="5">
        <f>Table134[[#This Row],[Total Value]]-Table134[[#This Row],[Received]]</f>
        <v>0</v>
      </c>
      <c r="J5" s="1" t="str">
        <f>IF(I5&gt;10000,"🚨 URGENT: "&amp;C5&amp;" owes ₹"&amp;I5,IF(I5&gt;5000,"⚠️ WARNING: "&amp;C5&amp;" - ₹"&amp;I5&amp;" due",IF(I5&gt;0,"ℹ️ "&amp;C5&amp;" - ₹"&amp;I5&amp;" pending","✅ Paid")))</f>
        <v>✅ Paid</v>
      </c>
    </row>
    <row r="6" spans="1:10" ht="19">
      <c r="A6" s="2">
        <v>45911</v>
      </c>
      <c r="B6" s="3" t="s">
        <v>12</v>
      </c>
      <c r="C6" s="4" t="s">
        <v>134</v>
      </c>
      <c r="D6" s="4" t="s">
        <v>37</v>
      </c>
      <c r="E6" s="4">
        <v>1</v>
      </c>
      <c r="F6" s="5">
        <v>4000</v>
      </c>
      <c r="G6" s="5">
        <f>Table134[[#This Row],[Rate /Trips]]*Table134[[#This Row],[Trips]]</f>
        <v>4000</v>
      </c>
      <c r="H6" s="5">
        <v>4000</v>
      </c>
      <c r="I6" s="5">
        <f>Table134[[#This Row],[Total Value]]-Table134[[#This Row],[Received]]</f>
        <v>0</v>
      </c>
      <c r="J6" s="1" t="str">
        <f>IF(I6&gt;10000,"🚨 URGENT: "&amp;C6&amp;" owes ₹"&amp;I6,IF(I6&gt;5000,"⚠️ WARNING: "&amp;C6&amp;" - ₹"&amp;I6&amp;" due",IF(I6&gt;0,"ℹ️ "&amp;C6&amp;" - ₹"&amp;I6&amp;" pending","✅ Paid")))</f>
        <v>✅ Paid</v>
      </c>
    </row>
    <row r="7" spans="1:10" ht="19">
      <c r="A7" s="2">
        <v>45924</v>
      </c>
      <c r="B7" s="3" t="s">
        <v>43</v>
      </c>
      <c r="C7" s="20" t="s">
        <v>137</v>
      </c>
      <c r="D7" s="20" t="s">
        <v>138</v>
      </c>
      <c r="E7" s="4">
        <v>1</v>
      </c>
      <c r="F7" s="5">
        <v>0</v>
      </c>
      <c r="G7" s="5">
        <f>Table134[[#This Row],[Rate /Trips]]*Table134[[#This Row],[Trips]]</f>
        <v>0</v>
      </c>
      <c r="H7" s="5"/>
      <c r="I7" s="5">
        <f>Table134[[#This Row],[Total Value]]-Table134[[#This Row],[Received]]</f>
        <v>0</v>
      </c>
      <c r="J7" s="1" t="str">
        <f>IF(I7&gt;10000,"🚨 URGENT: "&amp;C7&amp;" owes ₹"&amp;I7,IF(I7&gt;5000,"⚠️ WARNING: "&amp;C7&amp;" - ₹"&amp;I7&amp;" due",IF(I7&gt;0,"ℹ️ "&amp;C7&amp;" - ₹"&amp;I7&amp;" pending","✅ Paid")))</f>
        <v>✅ Paid</v>
      </c>
    </row>
    <row r="8" spans="1:10" ht="19">
      <c r="A8" s="2">
        <v>45926</v>
      </c>
      <c r="B8" s="3" t="s">
        <v>139</v>
      </c>
      <c r="C8" s="4" t="s">
        <v>140</v>
      </c>
      <c r="D8" s="4" t="s">
        <v>56</v>
      </c>
      <c r="E8" s="4">
        <v>2</v>
      </c>
      <c r="F8" s="5">
        <v>4100</v>
      </c>
      <c r="G8" s="5">
        <f>Table134[[#This Row],[Rate /Trips]]*Table134[[#This Row],[Trips]]</f>
        <v>8200</v>
      </c>
      <c r="H8" s="5">
        <v>8200</v>
      </c>
      <c r="I8" s="5">
        <f>Table134[[#This Row],[Total Value]]-Table134[[#This Row],[Received]]</f>
        <v>0</v>
      </c>
      <c r="J8" s="1" t="str">
        <f>IF(I8&gt;10000,"🚨 URGENT: "&amp;C8&amp;" owes ₹"&amp;I8,IF(I8&gt;5000,"⚠️ WARNING: "&amp;C8&amp;" - ₹"&amp;I8&amp;" due",IF(I8&gt;0,"ℹ️ "&amp;C8&amp;" - ₹"&amp;I8&amp;" pending","✅ Paid")))</f>
        <v>✅ Paid</v>
      </c>
    </row>
    <row r="9" spans="1:10" ht="19" customHeight="1">
      <c r="A9" s="1"/>
      <c r="B9" s="37"/>
      <c r="C9" s="22"/>
      <c r="D9" s="22"/>
      <c r="E9" s="1"/>
      <c r="F9" s="1"/>
      <c r="G9" s="23"/>
      <c r="H9" s="1"/>
      <c r="I9" s="23"/>
      <c r="J9" s="1"/>
    </row>
    <row r="10" spans="1:10" ht="19">
      <c r="A10" s="2"/>
      <c r="B10" s="3"/>
      <c r="C10" s="4"/>
      <c r="D10" s="4"/>
      <c r="E10" s="4"/>
      <c r="F10" s="5"/>
      <c r="G10" s="5"/>
      <c r="H10" s="5"/>
      <c r="I10" s="5"/>
      <c r="J10" s="1"/>
    </row>
    <row r="11" spans="1:10" ht="19">
      <c r="A11" s="18"/>
      <c r="B11" s="19"/>
      <c r="C11" s="20"/>
      <c r="D11" s="20"/>
      <c r="E11" s="20"/>
      <c r="F11" s="21"/>
      <c r="G11" s="21"/>
      <c r="H11" s="21"/>
      <c r="I11" s="21"/>
      <c r="J11" s="1"/>
    </row>
    <row r="12" spans="1:10" ht="19">
      <c r="A12" s="18"/>
      <c r="B12" s="19"/>
      <c r="C12" s="20"/>
      <c r="D12" s="20"/>
      <c r="E12" s="20"/>
      <c r="F12" s="21"/>
      <c r="G12" s="21"/>
      <c r="H12" s="21"/>
      <c r="I12" s="21"/>
      <c r="J12" s="1"/>
    </row>
    <row r="13" spans="1:10" ht="19">
      <c r="A13" s="18"/>
      <c r="B13" s="19"/>
      <c r="C13" s="20"/>
      <c r="D13" s="20"/>
      <c r="E13" s="20"/>
      <c r="F13" s="21"/>
      <c r="G13" s="21"/>
      <c r="H13" s="21"/>
      <c r="I13" s="21"/>
      <c r="J13" s="1"/>
    </row>
    <row r="14" spans="1:10" ht="19">
      <c r="A14" s="18"/>
      <c r="B14" s="19"/>
      <c r="C14" s="20"/>
      <c r="D14" s="20"/>
      <c r="E14" s="20"/>
      <c r="F14" s="21"/>
      <c r="G14" s="21"/>
      <c r="H14" s="21"/>
      <c r="I14" s="21"/>
      <c r="J14" s="22"/>
    </row>
    <row r="15" spans="1:10" ht="21">
      <c r="D15" s="9"/>
      <c r="E15" s="10" t="s">
        <v>100</v>
      </c>
      <c r="F15" s="11"/>
      <c r="G15" s="12" t="s">
        <v>97</v>
      </c>
      <c r="H15" s="12" t="s">
        <v>101</v>
      </c>
      <c r="I15" s="12" t="s">
        <v>45</v>
      </c>
    </row>
    <row r="16" spans="1:10" ht="21">
      <c r="D16" s="13" t="s">
        <v>102</v>
      </c>
      <c r="E16" s="14">
        <f>SUM(E5:E14)</f>
        <v>8</v>
      </c>
      <c r="F16" s="15"/>
      <c r="G16" s="16">
        <f>SUM(G5:G14)</f>
        <v>28200</v>
      </c>
      <c r="H16" s="16">
        <f>SUM(H5:H14)</f>
        <v>28200</v>
      </c>
      <c r="I16" s="16">
        <f>SUM(I5:I14)</f>
        <v>0</v>
      </c>
    </row>
    <row r="17" spans="1:9" ht="55" customHeight="1">
      <c r="A17" s="40" t="s">
        <v>103</v>
      </c>
      <c r="B17" s="40"/>
      <c r="C17" s="40"/>
      <c r="D17" s="17"/>
      <c r="E17" s="17"/>
      <c r="F17" s="17"/>
      <c r="G17" s="17"/>
      <c r="H17" s="17"/>
      <c r="I17" s="17"/>
    </row>
  </sheetData>
  <mergeCells count="3">
    <mergeCell ref="A1:J1"/>
    <mergeCell ref="A2:J2"/>
    <mergeCell ref="A17:C17"/>
  </mergeCells>
  <conditionalFormatting sqref="J5:J13">
    <cfRule type="containsText" dxfId="15" priority="1" operator="containsText" text="✅">
      <formula>NOT(ISERROR(SEARCH("✅",J5)))</formula>
    </cfRule>
    <cfRule type="containsText" dxfId="14" priority="2" operator="containsText" text="ℹ️">
      <formula>NOT(ISERROR(SEARCH("ℹ️",J5)))</formula>
    </cfRule>
    <cfRule type="containsText" dxfId="13" priority="3" operator="containsText" text="⚠️">
      <formula>NOT(ISERROR(SEARCH("⚠️",J5)))</formula>
    </cfRule>
    <cfRule type="containsText" dxfId="12" priority="4" operator="containsText" text="🚨">
      <formula>NOT(ISERROR(SEARCH("🚨",J5)))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87589-5684-9645-9CF3-07F9505D1C68}">
  <dimension ref="A1:J31"/>
  <sheetViews>
    <sheetView workbookViewId="0">
      <selection activeCell="A4" sqref="A4:I7"/>
    </sheetView>
  </sheetViews>
  <sheetFormatPr baseColWidth="10" defaultColWidth="11.5" defaultRowHeight="15"/>
  <cols>
    <col min="1" max="1" width="33.6640625" bestFit="1" customWidth="1"/>
    <col min="2" max="2" width="19.6640625" bestFit="1" customWidth="1"/>
    <col min="3" max="3" width="32.83203125" bestFit="1" customWidth="1"/>
    <col min="4" max="4" width="23.5" bestFit="1" customWidth="1"/>
    <col min="5" max="5" width="13.1640625" bestFit="1" customWidth="1"/>
    <col min="6" max="6" width="15.33203125" bestFit="1" customWidth="1"/>
    <col min="7" max="7" width="15.5" bestFit="1" customWidth="1"/>
    <col min="8" max="8" width="18" bestFit="1" customWidth="1"/>
    <col min="9" max="9" width="16.6640625" bestFit="1" customWidth="1"/>
    <col min="10" max="10" width="38.33203125" bestFit="1" customWidth="1"/>
  </cols>
  <sheetData>
    <row r="1" spans="1:10" ht="29">
      <c r="A1" s="38" t="s">
        <v>91</v>
      </c>
      <c r="B1" s="38"/>
      <c r="C1" s="38"/>
      <c r="D1" s="38"/>
      <c r="E1" s="38"/>
      <c r="F1" s="38"/>
      <c r="G1" s="38"/>
      <c r="H1" s="38"/>
      <c r="I1" s="38"/>
      <c r="J1" s="38"/>
    </row>
    <row r="2" spans="1:10">
      <c r="A2" s="39" t="s">
        <v>155</v>
      </c>
      <c r="B2" s="39"/>
      <c r="C2" s="39"/>
      <c r="D2" s="39"/>
      <c r="E2" s="39"/>
      <c r="F2" s="39"/>
      <c r="G2" s="39"/>
      <c r="H2" s="39"/>
      <c r="I2" s="39"/>
      <c r="J2" s="39"/>
    </row>
    <row r="3" spans="1:10" ht="16">
      <c r="A3" s="6" t="s">
        <v>0</v>
      </c>
      <c r="B3" s="7" t="s">
        <v>92</v>
      </c>
      <c r="C3" s="7" t="s">
        <v>93</v>
      </c>
      <c r="D3" s="7" t="s">
        <v>94</v>
      </c>
      <c r="E3" s="7" t="s">
        <v>95</v>
      </c>
      <c r="F3" s="8" t="s">
        <v>96</v>
      </c>
      <c r="G3" s="8" t="s">
        <v>97</v>
      </c>
      <c r="H3" s="8" t="s">
        <v>98</v>
      </c>
      <c r="I3" s="8" t="s">
        <v>1</v>
      </c>
      <c r="J3" s="8" t="s">
        <v>99</v>
      </c>
    </row>
    <row r="4" spans="1:10" ht="15" customHeight="1">
      <c r="A4" s="24">
        <v>45937</v>
      </c>
      <c r="B4" s="25" t="s">
        <v>156</v>
      </c>
      <c r="C4" s="25" t="s">
        <v>157</v>
      </c>
      <c r="D4" s="25" t="s">
        <v>158</v>
      </c>
      <c r="E4" s="4">
        <v>12</v>
      </c>
      <c r="F4" s="28">
        <v>0</v>
      </c>
      <c r="G4" s="28">
        <f>Table13417[[#This Row],[Rate /Trips]]*Table13417[[#This Row],[Trips]]</f>
        <v>0</v>
      </c>
      <c r="H4" s="28"/>
      <c r="I4" s="28">
        <f>Table13417[[#This Row],[Total Value]]-Table13417[[#This Row],[Received]]</f>
        <v>0</v>
      </c>
      <c r="J4" s="1" t="str">
        <f>IF(I4&gt;10000,"🚨 URGENT: "&amp;C4&amp;" owes ₹"&amp;I4,IF(I4&gt;5000,"⚠️ WARNING: "&amp;C4&amp;" - ₹"&amp;I4&amp;" due",IF(I4&gt;0,"ℹ️ "&amp;C4&amp;" - ₹"&amp;I4&amp;" pending","✅ Paid")))</f>
        <v>✅ Paid</v>
      </c>
    </row>
    <row r="5" spans="1:10" ht="19">
      <c r="A5" s="24">
        <v>45940</v>
      </c>
      <c r="B5" s="31" t="s">
        <v>43</v>
      </c>
      <c r="C5" s="26" t="s">
        <v>159</v>
      </c>
      <c r="D5" s="26" t="s">
        <v>160</v>
      </c>
      <c r="E5" s="20">
        <v>2</v>
      </c>
      <c r="F5" s="29">
        <v>3500</v>
      </c>
      <c r="G5" s="28">
        <f>Table13417[[#This Row],[Rate /Trips]]*Table13417[[#This Row],[Trips]]</f>
        <v>7000</v>
      </c>
      <c r="H5" s="29"/>
      <c r="I5" s="28">
        <f>Table13417[[#This Row],[Total Value]]-Table13417[[#This Row],[Received]]</f>
        <v>7000</v>
      </c>
      <c r="J5" s="1" t="str">
        <f>IF(I5&gt;10000,"🚨 URGENT: "&amp;C5&amp;" owes ₹"&amp;I5,IF(I5&gt;5000,"⚠️ WARNING: "&amp;C5&amp;" - ₹"&amp;I5&amp;" due",IF(I5&gt;0,"ℹ️ "&amp;C5&amp;" - ₹"&amp;I5&amp;" pending","✅ Paid")))</f>
        <v>⚠️ WARNING: National - ₹7000 due</v>
      </c>
    </row>
    <row r="6" spans="1:10" ht="19">
      <c r="A6" s="24">
        <v>45945</v>
      </c>
      <c r="B6" s="31" t="s">
        <v>43</v>
      </c>
      <c r="C6" s="26" t="s">
        <v>159</v>
      </c>
      <c r="D6" s="26" t="s">
        <v>160</v>
      </c>
      <c r="E6" s="20">
        <v>1</v>
      </c>
      <c r="F6" s="29">
        <v>3500</v>
      </c>
      <c r="G6" s="28">
        <f>Table13417[[#This Row],[Rate /Trips]]*Table13417[[#This Row],[Trips]]</f>
        <v>3500</v>
      </c>
      <c r="H6" s="29"/>
      <c r="I6" s="28">
        <f>Table13417[[#This Row],[Total Value]]-Table13417[[#This Row],[Received]]</f>
        <v>3500</v>
      </c>
      <c r="J6" s="1" t="str">
        <f>IF(I6&gt;10000,"🚨 URGENT: "&amp;C6&amp;" owes ₹"&amp;I6,IF(I6&gt;5000,"⚠️ WARNING: "&amp;C6&amp;" - ₹"&amp;I6&amp;" due",IF(I6&gt;0,"ℹ️ "&amp;C6&amp;" - ₹"&amp;I6&amp;" pending","✅ Paid")))</f>
        <v>ℹ️ National - ₹3500 pending</v>
      </c>
    </row>
    <row r="7" spans="1:10" ht="19">
      <c r="A7" s="24">
        <v>45945</v>
      </c>
      <c r="B7" s="31" t="s">
        <v>43</v>
      </c>
      <c r="C7" s="26" t="s">
        <v>111</v>
      </c>
      <c r="D7" s="26" t="s">
        <v>112</v>
      </c>
      <c r="E7" s="20">
        <v>1</v>
      </c>
      <c r="F7" s="29">
        <v>2500</v>
      </c>
      <c r="G7" s="28">
        <f>Table13417[[#This Row],[Rate /Trips]]*Table13417[[#This Row],[Trips]]</f>
        <v>2500</v>
      </c>
      <c r="H7" s="29">
        <v>2500</v>
      </c>
      <c r="I7" s="28">
        <f>Table13417[[#This Row],[Total Value]]-Table13417[[#This Row],[Received]]</f>
        <v>0</v>
      </c>
      <c r="J7" s="1" t="str">
        <f>IF(I7&gt;10000,"🚨 URGENT: "&amp;C7&amp;" owes ₹"&amp;I7,IF(I7&gt;5000,"⚠️ WARNING: "&amp;C7&amp;" - ₹"&amp;I7&amp;" due",IF(I7&gt;0,"ℹ️ "&amp;C7&amp;" - ₹"&amp;I7&amp;" pending","✅ Paid")))</f>
        <v>✅ Paid</v>
      </c>
    </row>
    <row r="8" spans="1:10" ht="19" customHeight="1">
      <c r="A8" s="1"/>
      <c r="B8" s="35"/>
      <c r="C8" s="22"/>
      <c r="D8" s="22"/>
      <c r="E8" s="22"/>
      <c r="F8" s="22"/>
      <c r="G8" s="36"/>
      <c r="H8" s="22"/>
      <c r="I8" s="36"/>
      <c r="J8" s="1"/>
    </row>
    <row r="9" spans="1:10" ht="19">
      <c r="A9" s="24"/>
      <c r="B9" s="31"/>
      <c r="C9" s="26"/>
      <c r="D9" s="26"/>
      <c r="E9" s="20"/>
      <c r="F9" s="29"/>
      <c r="G9" s="29"/>
      <c r="H9" s="29"/>
      <c r="I9" s="29"/>
      <c r="J9" s="1"/>
    </row>
    <row r="10" spans="1:10" ht="19">
      <c r="A10" s="24"/>
      <c r="B10" s="31"/>
      <c r="C10" s="25"/>
      <c r="D10" s="26"/>
      <c r="E10" s="20"/>
      <c r="F10" s="29"/>
      <c r="G10" s="29"/>
      <c r="H10" s="29"/>
      <c r="I10" s="29"/>
      <c r="J10" s="1"/>
    </row>
    <row r="11" spans="1:10" ht="19">
      <c r="A11" s="24"/>
      <c r="B11" s="31"/>
      <c r="C11" s="26"/>
      <c r="D11" s="26"/>
      <c r="E11" s="20"/>
      <c r="F11" s="29"/>
      <c r="G11" s="29">
        <f>Table13417[[#This Row],[Rate /Trips]]*Table13417[[#This Row],[Trips]]</f>
        <v>0</v>
      </c>
      <c r="H11" s="29"/>
      <c r="I11" s="29">
        <f>Table13417[[#This Row],[Total Value]]-Table13417[[#This Row],[Received]]</f>
        <v>0</v>
      </c>
      <c r="J11" s="1"/>
    </row>
    <row r="12" spans="1:10" ht="19">
      <c r="A12" s="18"/>
      <c r="B12" s="19"/>
      <c r="C12" s="20"/>
      <c r="D12" s="20"/>
      <c r="E12" s="20"/>
      <c r="F12" s="21"/>
      <c r="G12" s="21"/>
      <c r="H12" s="21"/>
      <c r="I12" s="21"/>
      <c r="J12" s="22"/>
    </row>
    <row r="13" spans="1:10" ht="21">
      <c r="D13" s="9"/>
      <c r="E13" s="10" t="s">
        <v>100</v>
      </c>
      <c r="F13" s="11"/>
      <c r="G13" s="12" t="s">
        <v>97</v>
      </c>
      <c r="H13" s="12" t="s">
        <v>101</v>
      </c>
      <c r="I13" s="12" t="s">
        <v>45</v>
      </c>
    </row>
    <row r="14" spans="1:10" ht="21">
      <c r="D14" s="13" t="s">
        <v>102</v>
      </c>
      <c r="E14" s="14">
        <f>SUM(E5:E12)</f>
        <v>4</v>
      </c>
      <c r="F14" s="15"/>
      <c r="G14" s="16">
        <f>SUM(G5:G12)</f>
        <v>13000</v>
      </c>
      <c r="H14" s="16">
        <f>SUM(H5:H12)</f>
        <v>2500</v>
      </c>
      <c r="I14" s="16">
        <f>SUM(I5:I12)</f>
        <v>10500</v>
      </c>
    </row>
    <row r="15" spans="1:10" ht="53" customHeight="1">
      <c r="A15" s="40" t="s">
        <v>103</v>
      </c>
      <c r="B15" s="40"/>
      <c r="C15" s="40"/>
      <c r="D15" s="17"/>
      <c r="E15" s="17"/>
      <c r="F15" s="17"/>
      <c r="G15" s="17"/>
      <c r="H15" s="17"/>
      <c r="I15" s="17"/>
    </row>
    <row r="20" spans="1:10" ht="29">
      <c r="A20" s="38" t="s">
        <v>91</v>
      </c>
      <c r="B20" s="38"/>
      <c r="C20" s="38"/>
      <c r="D20" s="38"/>
      <c r="E20" s="38"/>
      <c r="F20" s="38"/>
      <c r="G20" s="38"/>
      <c r="H20" s="38"/>
      <c r="I20" s="38"/>
      <c r="J20" s="38"/>
    </row>
    <row r="21" spans="1:10">
      <c r="A21" s="39" t="s">
        <v>155</v>
      </c>
      <c r="B21" s="39"/>
      <c r="C21" s="39"/>
      <c r="D21" s="39"/>
      <c r="E21" s="39"/>
      <c r="F21" s="39"/>
      <c r="G21" s="39"/>
      <c r="H21" s="39"/>
      <c r="I21" s="39"/>
      <c r="J21" s="39"/>
    </row>
    <row r="22" spans="1:10" ht="16">
      <c r="A22" s="6" t="s">
        <v>0</v>
      </c>
      <c r="B22" s="7" t="s">
        <v>92</v>
      </c>
      <c r="C22" s="7" t="s">
        <v>93</v>
      </c>
      <c r="D22" s="7" t="s">
        <v>94</v>
      </c>
      <c r="E22" s="7" t="s">
        <v>95</v>
      </c>
      <c r="F22" s="8" t="s">
        <v>96</v>
      </c>
      <c r="G22" s="8" t="s">
        <v>97</v>
      </c>
      <c r="H22" s="8" t="s">
        <v>98</v>
      </c>
      <c r="I22" s="8" t="s">
        <v>1</v>
      </c>
      <c r="J22" s="8" t="s">
        <v>99</v>
      </c>
    </row>
    <row r="23" spans="1:10" ht="15" customHeight="1">
      <c r="A23" s="24">
        <v>45940</v>
      </c>
      <c r="B23" s="25" t="s">
        <v>43</v>
      </c>
      <c r="C23" s="25" t="s">
        <v>159</v>
      </c>
      <c r="D23" s="25" t="s">
        <v>160</v>
      </c>
      <c r="E23" s="4">
        <v>2</v>
      </c>
      <c r="F23" s="28">
        <v>3500</v>
      </c>
      <c r="G23" s="28">
        <f>Table1341724[[#This Row],[Rate /Trips]]*Table1341724[[#This Row],[Trips]]</f>
        <v>7000</v>
      </c>
      <c r="H23" s="28"/>
      <c r="I23" s="28">
        <f>Table1341724[[#This Row],[Total Value]]-Table1341724[[#This Row],[Received]]</f>
        <v>7000</v>
      </c>
      <c r="J23" s="1" t="str">
        <f>IF(I23&gt;10000,"🚨 URGENT: "&amp;C23&amp;" owes ₹"&amp;I23,IF(I23&gt;5000,"⚠️ WARNING: "&amp;C23&amp;" - ₹"&amp;I23&amp;" due",IF(I23&gt;0,"ℹ️ "&amp;C23&amp;" - ₹"&amp;I23&amp;" pending","✅ Paid")))</f>
        <v>⚠️ WARNING: National - ₹7000 due</v>
      </c>
    </row>
    <row r="24" spans="1:10" ht="19">
      <c r="A24" s="24">
        <v>45945</v>
      </c>
      <c r="B24" s="31" t="s">
        <v>43</v>
      </c>
      <c r="C24" s="26" t="s">
        <v>159</v>
      </c>
      <c r="D24" s="26" t="s">
        <v>160</v>
      </c>
      <c r="E24" s="20">
        <v>1</v>
      </c>
      <c r="F24" s="29">
        <v>3500</v>
      </c>
      <c r="G24" s="28">
        <f>Table1341724[[#This Row],[Rate /Trips]]*Table1341724[[#This Row],[Trips]]</f>
        <v>3500</v>
      </c>
      <c r="H24" s="29"/>
      <c r="I24" s="28">
        <f>Table1341724[[#This Row],[Total Value]]-Table1341724[[#This Row],[Received]]</f>
        <v>3500</v>
      </c>
      <c r="J24" s="1" t="str">
        <f>IF(I24&gt;10000,"🚨 URGENT: "&amp;C24&amp;" owes ₹"&amp;I24,IF(I24&gt;5000,"⚠️ WARNING: "&amp;C24&amp;" - ₹"&amp;I24&amp;" due",IF(I24&gt;0,"ℹ️ "&amp;C24&amp;" - ₹"&amp;I24&amp;" pending","✅ Paid")))</f>
        <v>ℹ️ National - ₹3500 pending</v>
      </c>
    </row>
    <row r="25" spans="1:10" ht="19" customHeight="1">
      <c r="A25" s="1"/>
      <c r="B25" s="35"/>
      <c r="C25" s="22"/>
      <c r="D25" s="22"/>
      <c r="E25" s="22"/>
      <c r="F25" s="22"/>
      <c r="G25" s="36"/>
      <c r="H25" s="22"/>
      <c r="I25" s="36"/>
      <c r="J25" s="1"/>
    </row>
    <row r="26" spans="1:10" ht="19">
      <c r="A26" s="24"/>
      <c r="B26" s="31"/>
      <c r="C26" s="26"/>
      <c r="D26" s="26"/>
      <c r="E26" s="20"/>
      <c r="F26" s="29"/>
      <c r="G26" s="29"/>
      <c r="H26" s="29"/>
      <c r="I26" s="29"/>
      <c r="J26" s="1"/>
    </row>
    <row r="27" spans="1:10" ht="19">
      <c r="A27" s="24"/>
      <c r="B27" s="31"/>
      <c r="C27" s="25"/>
      <c r="D27" s="26"/>
      <c r="E27" s="20"/>
      <c r="F27" s="29"/>
      <c r="G27" s="29"/>
      <c r="H27" s="29"/>
      <c r="I27" s="29"/>
      <c r="J27" s="1"/>
    </row>
    <row r="28" spans="1:10" ht="19">
      <c r="A28" s="24"/>
      <c r="B28" s="31"/>
      <c r="C28" s="26"/>
      <c r="D28" s="26"/>
      <c r="E28" s="20"/>
      <c r="F28" s="29"/>
      <c r="G28" s="29">
        <f>Table1341724[[#This Row],[Rate /Trips]]*Table1341724[[#This Row],[Trips]]</f>
        <v>0</v>
      </c>
      <c r="H28" s="29"/>
      <c r="I28" s="29">
        <f>Table1341724[[#This Row],[Total Value]]-Table1341724[[#This Row],[Received]]</f>
        <v>0</v>
      </c>
      <c r="J28" s="1"/>
    </row>
    <row r="29" spans="1:10" ht="19">
      <c r="A29" s="18"/>
      <c r="B29" s="19"/>
      <c r="C29" s="20"/>
      <c r="D29" s="20"/>
      <c r="E29" s="20"/>
      <c r="F29" s="21"/>
      <c r="G29" s="21"/>
      <c r="H29" s="21"/>
      <c r="I29" s="21"/>
      <c r="J29" s="22"/>
    </row>
    <row r="30" spans="1:10" ht="21">
      <c r="D30" s="9"/>
      <c r="E30" s="10" t="s">
        <v>100</v>
      </c>
      <c r="F30" s="11"/>
      <c r="G30" s="12" t="s">
        <v>97</v>
      </c>
      <c r="H30" s="12" t="s">
        <v>101</v>
      </c>
      <c r="I30" s="12" t="s">
        <v>45</v>
      </c>
    </row>
    <row r="31" spans="1:10" ht="21">
      <c r="D31" s="13" t="s">
        <v>102</v>
      </c>
      <c r="E31" s="14">
        <f>SUM(E23:E29)</f>
        <v>3</v>
      </c>
      <c r="F31" s="15"/>
      <c r="G31" s="16">
        <f>SUM(G23:G29)</f>
        <v>10500</v>
      </c>
      <c r="H31" s="16">
        <f t="shared" ref="H31:I31" si="0">SUM(H23:H29)</f>
        <v>0</v>
      </c>
      <c r="I31" s="16">
        <f t="shared" si="0"/>
        <v>10500</v>
      </c>
    </row>
  </sheetData>
  <mergeCells count="5">
    <mergeCell ref="A1:J1"/>
    <mergeCell ref="A2:J2"/>
    <mergeCell ref="A15:C15"/>
    <mergeCell ref="A20:J20"/>
    <mergeCell ref="A21:J21"/>
  </mergeCells>
  <conditionalFormatting sqref="J5:J11 J24:J28">
    <cfRule type="containsText" dxfId="11" priority="5" operator="containsText" text="✅">
      <formula>NOT(ISERROR(SEARCH("✅",J5)))</formula>
    </cfRule>
    <cfRule type="containsText" dxfId="10" priority="6" operator="containsText" text="ℹ️">
      <formula>NOT(ISERROR(SEARCH("ℹ️",J5)))</formula>
    </cfRule>
    <cfRule type="containsText" dxfId="9" priority="7" operator="containsText" text="⚠️">
      <formula>NOT(ISERROR(SEARCH("⚠️",J5)))</formula>
    </cfRule>
    <cfRule type="containsText" dxfId="8" priority="8" operator="containsText" text="🚨">
      <formula>NOT(ISERROR(SEARCH("🚨",J5)))</formula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7121F-2DAB-214E-A84B-97E27F697953}">
  <dimension ref="A1:J83"/>
  <sheetViews>
    <sheetView zoomScale="142" workbookViewId="0">
      <selection activeCell="A4" sqref="A4:I29"/>
    </sheetView>
  </sheetViews>
  <sheetFormatPr baseColWidth="10" defaultColWidth="11.5" defaultRowHeight="15"/>
  <cols>
    <col min="1" max="1" width="33.6640625" bestFit="1" customWidth="1"/>
    <col min="2" max="2" width="17.83203125" bestFit="1" customWidth="1"/>
    <col min="3" max="3" width="41" customWidth="1"/>
    <col min="4" max="4" width="34.5" bestFit="1" customWidth="1"/>
    <col min="5" max="5" width="15.33203125" bestFit="1" customWidth="1"/>
    <col min="6" max="6" width="13.5" bestFit="1" customWidth="1"/>
    <col min="7" max="7" width="15.83203125" bestFit="1" customWidth="1"/>
    <col min="8" max="8" width="18" bestFit="1" customWidth="1"/>
    <col min="9" max="9" width="13.33203125" bestFit="1" customWidth="1"/>
    <col min="10" max="10" width="44.83203125" bestFit="1" customWidth="1"/>
    <col min="12" max="12" width="11" bestFit="1" customWidth="1"/>
  </cols>
  <sheetData>
    <row r="1" spans="1:10" ht="29">
      <c r="A1" s="38" t="s">
        <v>91</v>
      </c>
      <c r="B1" s="38"/>
      <c r="C1" s="38"/>
      <c r="D1" s="38"/>
      <c r="E1" s="38"/>
      <c r="F1" s="38"/>
      <c r="G1" s="38"/>
      <c r="H1" s="38"/>
      <c r="I1" s="38"/>
      <c r="J1" s="38"/>
    </row>
    <row r="2" spans="1:10">
      <c r="A2" s="39" t="s">
        <v>153</v>
      </c>
      <c r="B2" s="39"/>
      <c r="C2" s="39"/>
      <c r="D2" s="39"/>
      <c r="E2" s="39"/>
      <c r="F2" s="39"/>
      <c r="G2" s="39"/>
      <c r="H2" s="39"/>
      <c r="I2" s="39"/>
      <c r="J2" s="39"/>
    </row>
    <row r="3" spans="1:10" ht="16">
      <c r="A3" s="6" t="s">
        <v>0</v>
      </c>
      <c r="B3" s="7" t="s">
        <v>92</v>
      </c>
      <c r="C3" s="7" t="s">
        <v>93</v>
      </c>
      <c r="D3" s="7" t="s">
        <v>94</v>
      </c>
      <c r="E3" s="7" t="s">
        <v>95</v>
      </c>
      <c r="F3" s="8" t="s">
        <v>96</v>
      </c>
      <c r="G3" s="8" t="s">
        <v>97</v>
      </c>
      <c r="H3" s="8" t="s">
        <v>98</v>
      </c>
      <c r="I3" s="8" t="s">
        <v>1</v>
      </c>
      <c r="J3" s="8" t="s">
        <v>99</v>
      </c>
    </row>
    <row r="4" spans="1:10" ht="15" customHeight="1">
      <c r="A4" s="24">
        <v>45969</v>
      </c>
      <c r="B4" s="25" t="s">
        <v>43</v>
      </c>
      <c r="C4" s="33" t="s">
        <v>162</v>
      </c>
      <c r="D4" s="33" t="s">
        <v>161</v>
      </c>
      <c r="E4" s="4">
        <v>1</v>
      </c>
      <c r="F4" s="28">
        <v>4500</v>
      </c>
      <c r="G4" s="28">
        <f>Table1341720[[#This Row],[Rate /Trips]]*Table1341720[[#This Row],[Trips]]</f>
        <v>4500</v>
      </c>
      <c r="H4" s="28">
        <v>4500</v>
      </c>
      <c r="I4" s="28">
        <f>Table1341720[[#This Row],[Total Value]]-Table1341720[[#This Row],[Received]]</f>
        <v>0</v>
      </c>
      <c r="J4" s="1" t="str">
        <f>IF(I4&gt;10000,"🚨 URGENT: "&amp;C4&amp;" owes ₹"&amp;I4,IF(I4&gt;5000,"⚠️ WARNING: "&amp;C4&amp;" - ₹"&amp;I4&amp;" due",IF(I4&gt;0,"ℹ️ "&amp;C4&amp;" - ₹"&amp;I4&amp;" pending","✅ Paid")))</f>
        <v>✅ Paid</v>
      </c>
    </row>
    <row r="5" spans="1:10" ht="19">
      <c r="A5" s="24">
        <v>45971</v>
      </c>
      <c r="B5" s="31" t="s">
        <v>43</v>
      </c>
      <c r="C5" s="34" t="s">
        <v>163</v>
      </c>
      <c r="D5" s="34" t="s">
        <v>164</v>
      </c>
      <c r="E5" s="20">
        <v>1</v>
      </c>
      <c r="F5" s="29">
        <v>3000</v>
      </c>
      <c r="G5" s="28">
        <f>Table1341720[[#This Row],[Rate /Trips]]*Table1341720[[#This Row],[Trips]]</f>
        <v>3000</v>
      </c>
      <c r="H5" s="29">
        <v>3000</v>
      </c>
      <c r="I5" s="28">
        <f>Table1341720[[#This Row],[Total Value]]-Table1341720[[#This Row],[Received]]</f>
        <v>0</v>
      </c>
      <c r="J5" s="1" t="str">
        <f>IF(I5&gt;10000,"🚨 URGENT: "&amp;C5&amp;" owes ₹"&amp;I5,IF(I5&gt;5000,"⚠️ WARNING: "&amp;C5&amp;" - ₹"&amp;I5&amp;" due",IF(I5&gt;0,"ℹ️ "&amp;C5&amp;" - ₹"&amp;I5&amp;" pending","✅ Paid")))</f>
        <v>✅ Paid</v>
      </c>
    </row>
    <row r="6" spans="1:10" ht="19">
      <c r="A6" s="24">
        <v>45973</v>
      </c>
      <c r="B6" s="31" t="s">
        <v>43</v>
      </c>
      <c r="C6" s="34" t="s">
        <v>163</v>
      </c>
      <c r="D6" s="34" t="s">
        <v>164</v>
      </c>
      <c r="E6" s="20">
        <v>1</v>
      </c>
      <c r="F6" s="29">
        <v>3000</v>
      </c>
      <c r="G6" s="28">
        <f>Table1341720[[#This Row],[Rate /Trips]]*Table1341720[[#This Row],[Trips]]</f>
        <v>3000</v>
      </c>
      <c r="H6" s="29">
        <v>3000</v>
      </c>
      <c r="I6" s="28">
        <f>Table1341720[[#This Row],[Total Value]]-Table1341720[[#This Row],[Received]]</f>
        <v>0</v>
      </c>
      <c r="J6" s="1" t="str">
        <f>IF(I6&gt;10000,"🚨 URGENT: "&amp;C6&amp;" owes ₹"&amp;I6,IF(I6&gt;5000,"⚠️ WARNING: "&amp;C6&amp;" - ₹"&amp;I6&amp;" due",IF(I6&gt;0,"ℹ️ "&amp;C6&amp;" - ₹"&amp;I6&amp;" pending","✅ Paid")))</f>
        <v>✅ Paid</v>
      </c>
    </row>
    <row r="7" spans="1:10" ht="19">
      <c r="A7" s="24">
        <v>45973</v>
      </c>
      <c r="B7" s="31" t="s">
        <v>43</v>
      </c>
      <c r="C7" s="34" t="s">
        <v>134</v>
      </c>
      <c r="D7" s="34" t="s">
        <v>37</v>
      </c>
      <c r="E7" s="20">
        <v>1</v>
      </c>
      <c r="F7" s="29">
        <v>3000</v>
      </c>
      <c r="G7" s="28">
        <f>Table1341720[[#This Row],[Rate /Trips]]*Table1341720[[#This Row],[Trips]]</f>
        <v>3000</v>
      </c>
      <c r="H7" s="29">
        <v>3000</v>
      </c>
      <c r="I7" s="28">
        <f>Table1341720[[#This Row],[Total Value]]-Table1341720[[#This Row],[Received]]</f>
        <v>0</v>
      </c>
      <c r="J7" s="1" t="str">
        <f>IF(I7&gt;10000,"🚨 URGENT: "&amp;C7&amp;" owes ₹"&amp;I7,IF(I7&gt;5000,"⚠️ WARNING: "&amp;C7&amp;" - ₹"&amp;I7&amp;" due",IF(I7&gt;0,"ℹ️ "&amp;C7&amp;" - ₹"&amp;I7&amp;" pending","✅ Paid")))</f>
        <v>✅ Paid</v>
      </c>
    </row>
    <row r="8" spans="1:10" ht="19">
      <c r="A8" s="24">
        <v>45974</v>
      </c>
      <c r="B8" s="31" t="s">
        <v>43</v>
      </c>
      <c r="C8" s="34" t="s">
        <v>134</v>
      </c>
      <c r="D8" s="34" t="s">
        <v>37</v>
      </c>
      <c r="E8" s="20">
        <v>2</v>
      </c>
      <c r="F8" s="29">
        <v>3000</v>
      </c>
      <c r="G8" s="29">
        <f>Table1341720[[#This Row],[Rate /Trips]]*Table1341720[[#This Row],[Trips]]</f>
        <v>6000</v>
      </c>
      <c r="H8" s="29">
        <v>6000</v>
      </c>
      <c r="I8" s="29">
        <f>Table1341720[[#This Row],[Total Value]]-Table1341720[[#This Row],[Received]]</f>
        <v>0</v>
      </c>
      <c r="J8" s="1" t="str">
        <f>IF(I8&gt;10000,"🚨 URGENT: "&amp;C8&amp;" owes ₹"&amp;I8,IF(I8&gt;5000,"⚠️ WARNING: "&amp;C8&amp;" - ₹"&amp;I8&amp;" due",IF(I8&gt;0,"ℹ️ "&amp;C8&amp;" - ₹"&amp;I8&amp;" pending","✅ Paid")))</f>
        <v>✅ Paid</v>
      </c>
    </row>
    <row r="9" spans="1:10" ht="19">
      <c r="A9" s="24">
        <v>45974</v>
      </c>
      <c r="B9" s="31" t="s">
        <v>43</v>
      </c>
      <c r="C9" s="34" t="s">
        <v>174</v>
      </c>
      <c r="D9" s="34" t="s">
        <v>75</v>
      </c>
      <c r="E9" s="20">
        <v>2</v>
      </c>
      <c r="F9" s="29">
        <v>3000</v>
      </c>
      <c r="G9" s="29">
        <f>Table1341720[[#This Row],[Rate /Trips]]*Table1341720[[#This Row],[Trips]]</f>
        <v>6000</v>
      </c>
      <c r="H9" s="29">
        <v>6000</v>
      </c>
      <c r="I9" s="29">
        <f>Table1341720[[#This Row],[Total Value]]-Table1341720[[#This Row],[Received]]</f>
        <v>0</v>
      </c>
      <c r="J9" s="1" t="str">
        <f>IF(I9&gt;10000,"🚨 URGENT: "&amp;C9&amp;" owes ₹"&amp;I9,IF(I9&gt;5000,"⚠️ WARNING: "&amp;C9&amp;" - ₹"&amp;I9&amp;" due",IF(I9&gt;0,"ℹ️ "&amp;C9&amp;" - ₹"&amp;I9&amp;" pending","✅ Paid")))</f>
        <v>✅ Paid</v>
      </c>
    </row>
    <row r="10" spans="1:10" ht="19">
      <c r="A10" s="24">
        <v>45975</v>
      </c>
      <c r="B10" s="31" t="s">
        <v>43</v>
      </c>
      <c r="C10" s="34" t="s">
        <v>173</v>
      </c>
      <c r="D10" s="34" t="s">
        <v>167</v>
      </c>
      <c r="E10" s="20">
        <v>1</v>
      </c>
      <c r="F10" s="29">
        <v>6500</v>
      </c>
      <c r="G10" s="29">
        <f>Table1341720[[#This Row],[Rate /Trips]]*Table1341720[[#This Row],[Trips]]</f>
        <v>6500</v>
      </c>
      <c r="H10" s="29">
        <v>6500</v>
      </c>
      <c r="I10" s="29">
        <f>Table1341720[[#This Row],[Total Value]]-Table1341720[[#This Row],[Received]]</f>
        <v>0</v>
      </c>
      <c r="J10" s="1" t="str">
        <f>IF(I10&gt;10000,"🚨 URGENT: "&amp;C10&amp;" owes ₹"&amp;I10,IF(I10&gt;5000,"⚠️ WARNING: "&amp;C10&amp;" - ₹"&amp;I10&amp;" due",IF(I10&gt;0,"ℹ️ "&amp;C10&amp;" - ₹"&amp;I10&amp;" pending","✅ Paid")))</f>
        <v>✅ Paid</v>
      </c>
    </row>
    <row r="11" spans="1:10" ht="19">
      <c r="A11" s="24">
        <v>45975</v>
      </c>
      <c r="B11" s="31" t="s">
        <v>170</v>
      </c>
      <c r="C11" s="34" t="s">
        <v>134</v>
      </c>
      <c r="D11" s="34" t="s">
        <v>37</v>
      </c>
      <c r="E11" s="20">
        <v>1</v>
      </c>
      <c r="F11" s="29">
        <v>3000</v>
      </c>
      <c r="G11" s="29">
        <f>Table1341720[[#This Row],[Rate /Trips]]*Table1341720[[#This Row],[Trips]]</f>
        <v>3000</v>
      </c>
      <c r="H11" s="29">
        <v>3000</v>
      </c>
      <c r="I11" s="29">
        <f>Table1341720[[#This Row],[Total Value]]-Table1341720[[#This Row],[Received]]</f>
        <v>0</v>
      </c>
      <c r="J11" s="1" t="str">
        <f>IF(I11&gt;10000,"🚨 URGENT: "&amp;C11&amp;" owes ₹"&amp;I11,IF(I11&gt;5000,"⚠️ WARNING: "&amp;C11&amp;" - ₹"&amp;I11&amp;" due",IF(I11&gt;0,"ℹ️ "&amp;C11&amp;" - ₹"&amp;I11&amp;" pending","✅ Paid")))</f>
        <v>✅ Paid</v>
      </c>
    </row>
    <row r="12" spans="1:10" ht="19">
      <c r="A12" s="24">
        <v>45975</v>
      </c>
      <c r="B12" s="31" t="s">
        <v>43</v>
      </c>
      <c r="C12" s="34" t="s">
        <v>174</v>
      </c>
      <c r="D12" s="34" t="s">
        <v>75</v>
      </c>
      <c r="E12" s="20">
        <v>3</v>
      </c>
      <c r="F12" s="29">
        <v>3000</v>
      </c>
      <c r="G12" s="29">
        <f>Table1341720[[#This Row],[Rate /Trips]]*Table1341720[[#This Row],[Trips]]</f>
        <v>9000</v>
      </c>
      <c r="H12" s="29">
        <v>9000</v>
      </c>
      <c r="I12" s="29">
        <f>Table1341720[[#This Row],[Total Value]]-Table1341720[[#This Row],[Received]]</f>
        <v>0</v>
      </c>
      <c r="J12" s="1" t="str">
        <f>IF(I12&gt;10000,"🚨 URGENT: "&amp;C12&amp;" owes ₹"&amp;I12,IF(I12&gt;5000,"⚠️ WARNING: "&amp;C12&amp;" - ₹"&amp;I12&amp;" due",IF(I12&gt;0,"ℹ️ "&amp;C12&amp;" - ₹"&amp;I12&amp;" pending","✅ Paid")))</f>
        <v>✅ Paid</v>
      </c>
    </row>
    <row r="13" spans="1:10" ht="19">
      <c r="A13" s="24">
        <v>45975</v>
      </c>
      <c r="B13" s="31" t="s">
        <v>170</v>
      </c>
      <c r="C13" s="34" t="s">
        <v>171</v>
      </c>
      <c r="D13" s="34" t="s">
        <v>172</v>
      </c>
      <c r="E13" s="20">
        <v>1</v>
      </c>
      <c r="F13" s="29">
        <v>3000</v>
      </c>
      <c r="G13" s="29">
        <f>Table1341720[[#This Row],[Rate /Trips]]*Table1341720[[#This Row],[Trips]]</f>
        <v>3000</v>
      </c>
      <c r="H13" s="29"/>
      <c r="I13" s="29">
        <f>Table1341720[[#This Row],[Total Value]]-Table1341720[[#This Row],[Received]]</f>
        <v>3000</v>
      </c>
      <c r="J13" s="1" t="str">
        <f>IF(I13&gt;10000,"🚨 URGENT: "&amp;C13&amp;" owes ₹"&amp;I13,IF(I13&gt;5000,"⚠️ WARNING: "&amp;C13&amp;" - ₹"&amp;I13&amp;" due",IF(I13&gt;0,"ℹ️ "&amp;C13&amp;" - ₹"&amp;I13&amp;" pending","✅ Paid")))</f>
        <v>ℹ️ Saurabh Order - ₹3000 pending</v>
      </c>
    </row>
    <row r="14" spans="1:10" ht="19">
      <c r="A14" s="24">
        <v>45976</v>
      </c>
      <c r="B14" s="31" t="s">
        <v>43</v>
      </c>
      <c r="C14" s="34" t="s">
        <v>168</v>
      </c>
      <c r="D14" s="34" t="s">
        <v>169</v>
      </c>
      <c r="E14" s="20">
        <v>2</v>
      </c>
      <c r="F14" s="29">
        <v>1800</v>
      </c>
      <c r="G14" s="29">
        <f>Table1341720[[#This Row],[Rate /Trips]]*Table1341720[[#This Row],[Trips]]</f>
        <v>3600</v>
      </c>
      <c r="H14" s="29">
        <v>3600</v>
      </c>
      <c r="I14" s="29">
        <f>Table1341720[[#This Row],[Total Value]]-Table1341720[[#This Row],[Received]]</f>
        <v>0</v>
      </c>
      <c r="J14" s="1" t="str">
        <f>IF(I14&gt;10000,"🚨 URGENT: "&amp;C14&amp;" owes ₹"&amp;I14,IF(I14&gt;5000,"⚠️ WARNING: "&amp;C14&amp;" - ₹"&amp;I14&amp;" due",IF(I14&gt;0,"ℹ️ "&amp;C14&amp;" - ₹"&amp;I14&amp;" pending","✅ Paid")))</f>
        <v>✅ Paid</v>
      </c>
    </row>
    <row r="15" spans="1:10" ht="19">
      <c r="A15" s="24">
        <v>45976</v>
      </c>
      <c r="B15" s="31" t="s">
        <v>43</v>
      </c>
      <c r="C15" s="34" t="s">
        <v>134</v>
      </c>
      <c r="D15" s="34" t="s">
        <v>37</v>
      </c>
      <c r="E15" s="20">
        <v>1</v>
      </c>
      <c r="F15" s="29">
        <v>3000</v>
      </c>
      <c r="G15" s="29">
        <f>Table1341720[[#This Row],[Rate /Trips]]*Table1341720[[#This Row],[Trips]]</f>
        <v>3000</v>
      </c>
      <c r="H15" s="29">
        <v>3000</v>
      </c>
      <c r="I15" s="29">
        <f>Table1341720[[#This Row],[Total Value]]-Table1341720[[#This Row],[Received]]</f>
        <v>0</v>
      </c>
      <c r="J15" s="1"/>
    </row>
    <row r="16" spans="1:10" ht="19">
      <c r="A16" s="24">
        <v>45977</v>
      </c>
      <c r="B16" s="31" t="s">
        <v>170</v>
      </c>
      <c r="C16" s="34" t="s">
        <v>175</v>
      </c>
      <c r="D16" s="34" t="s">
        <v>176</v>
      </c>
      <c r="E16" s="20">
        <v>1</v>
      </c>
      <c r="F16" s="29">
        <v>3000</v>
      </c>
      <c r="G16" s="29">
        <f>Table1341720[[#This Row],[Rate /Trips]]*Table1341720[[#This Row],[Trips]]</f>
        <v>3000</v>
      </c>
      <c r="H16" s="29">
        <v>3000</v>
      </c>
      <c r="I16" s="29">
        <f>Table1341720[[#This Row],[Total Value]]-Table1341720[[#This Row],[Received]]</f>
        <v>0</v>
      </c>
      <c r="J16" s="1" t="str">
        <f>IF(I16&gt;10000,"🚨 URGENT: "&amp;C16&amp;" owes ₹"&amp;I16,IF(I16&gt;5000,"⚠️ WARNING: "&amp;C16&amp;" - ₹"&amp;I16&amp;" due",IF(I16&gt;0,"ℹ️ "&amp;C16&amp;" - ₹"&amp;I16&amp;" pending","✅ Paid")))</f>
        <v>✅ Paid</v>
      </c>
    </row>
    <row r="17" spans="1:10" ht="19">
      <c r="A17" s="24">
        <v>45977</v>
      </c>
      <c r="B17" s="31" t="s">
        <v>170</v>
      </c>
      <c r="C17" s="34" t="s">
        <v>177</v>
      </c>
      <c r="D17" s="34" t="s">
        <v>178</v>
      </c>
      <c r="E17" s="20">
        <v>1</v>
      </c>
      <c r="F17" s="29">
        <v>3500</v>
      </c>
      <c r="G17" s="29">
        <f>Table1341720[[#This Row],[Rate /Trips]]*Table1341720[[#This Row],[Trips]]</f>
        <v>3500</v>
      </c>
      <c r="H17" s="29">
        <v>3500</v>
      </c>
      <c r="I17" s="29">
        <f>Table1341720[[#This Row],[Total Value]]-Table1341720[[#This Row],[Received]]</f>
        <v>0</v>
      </c>
      <c r="J17" s="1" t="str">
        <f>IF(I17&gt;10000,"🚨 URGENT: "&amp;C17&amp;" owes ₹"&amp;I17,IF(I17&gt;5000,"⚠️ WARNING: "&amp;C17&amp;" - ₹"&amp;I17&amp;" due",IF(I17&gt;0,"ℹ️ "&amp;C17&amp;" - ₹"&amp;I17&amp;" pending","✅ Paid")))</f>
        <v>✅ Paid</v>
      </c>
    </row>
    <row r="18" spans="1:10" ht="19">
      <c r="A18" s="24">
        <v>45977</v>
      </c>
      <c r="B18" s="31" t="s">
        <v>170</v>
      </c>
      <c r="C18" s="34" t="s">
        <v>134</v>
      </c>
      <c r="D18" s="34" t="s">
        <v>37</v>
      </c>
      <c r="E18" s="20">
        <v>1</v>
      </c>
      <c r="F18" s="29">
        <v>3000</v>
      </c>
      <c r="G18" s="29">
        <f>Table1341720[[#This Row],[Rate /Trips]]*Table1341720[[#This Row],[Trips]]</f>
        <v>3000</v>
      </c>
      <c r="H18" s="29">
        <v>3000</v>
      </c>
      <c r="I18" s="29">
        <f>Table1341720[[#This Row],[Total Value]]-Table1341720[[#This Row],[Received]]</f>
        <v>0</v>
      </c>
      <c r="J18" s="1"/>
    </row>
    <row r="19" spans="1:10" ht="19">
      <c r="A19" s="24">
        <v>45980</v>
      </c>
      <c r="B19" s="31" t="s">
        <v>43</v>
      </c>
      <c r="C19" s="34" t="s">
        <v>177</v>
      </c>
      <c r="D19" s="34" t="s">
        <v>178</v>
      </c>
      <c r="E19" s="20">
        <v>3</v>
      </c>
      <c r="F19" s="29">
        <v>3500</v>
      </c>
      <c r="G19" s="29">
        <f>Table1341720[[#This Row],[Rate /Trips]]*Table1341720[[#This Row],[Trips]]</f>
        <v>10500</v>
      </c>
      <c r="H19" s="29">
        <v>10500</v>
      </c>
      <c r="I19" s="29">
        <f>Table1341720[[#This Row],[Total Value]]-Table1341720[[#This Row],[Received]]</f>
        <v>0</v>
      </c>
      <c r="J19" s="1" t="str">
        <f>IF(I19&gt;10000,"🚨 URGENT: "&amp;C19&amp;" owes ₹"&amp;I19,IF(I19&gt;5000,"⚠️ WARNING: "&amp;C19&amp;" - ₹"&amp;I19&amp;" due",IF(I19&gt;0,"ℹ️ "&amp;C19&amp;" - ₹"&amp;I19&amp;" pending","✅ Paid")))</f>
        <v>✅ Paid</v>
      </c>
    </row>
    <row r="20" spans="1:10" ht="19">
      <c r="A20" s="24">
        <v>45980</v>
      </c>
      <c r="B20" s="31" t="s">
        <v>43</v>
      </c>
      <c r="C20" s="34" t="s">
        <v>179</v>
      </c>
      <c r="D20" s="34" t="s">
        <v>180</v>
      </c>
      <c r="E20" s="20">
        <v>1</v>
      </c>
      <c r="F20" s="29">
        <v>4000</v>
      </c>
      <c r="G20" s="29">
        <f>Table1341720[[#This Row],[Rate /Trips]]*Table1341720[[#This Row],[Trips]]</f>
        <v>4000</v>
      </c>
      <c r="H20" s="29">
        <v>4000</v>
      </c>
      <c r="I20" s="29">
        <f>Table1341720[[#This Row],[Total Value]]-Table1341720[[#This Row],[Received]]</f>
        <v>0</v>
      </c>
      <c r="J20" s="1" t="str">
        <f>IF(I20&gt;10000,"🚨 URGENT: "&amp;C20&amp;" owes ₹"&amp;I20,IF(I20&gt;5000,"⚠️ WARNING: "&amp;C20&amp;" - ₹"&amp;I20&amp;" due",IF(I20&gt;0,"ℹ️ "&amp;C20&amp;" - ₹"&amp;I20&amp;" pending","✅ Paid")))</f>
        <v>✅ Paid</v>
      </c>
    </row>
    <row r="21" spans="1:10" ht="19">
      <c r="A21" s="24">
        <v>45981</v>
      </c>
      <c r="B21" s="31" t="s">
        <v>43</v>
      </c>
      <c r="C21" s="34" t="s">
        <v>177</v>
      </c>
      <c r="D21" s="34" t="s">
        <v>178</v>
      </c>
      <c r="E21" s="20">
        <v>6</v>
      </c>
      <c r="F21" s="29">
        <v>3500</v>
      </c>
      <c r="G21" s="29">
        <f>Table1341720[[#This Row],[Rate /Trips]]*Table1341720[[#This Row],[Trips]]</f>
        <v>21000</v>
      </c>
      <c r="H21" s="29">
        <v>21000</v>
      </c>
      <c r="I21" s="29">
        <f>Table1341720[[#This Row],[Total Value]]-Table1341720[[#This Row],[Received]]</f>
        <v>0</v>
      </c>
      <c r="J21" s="1" t="str">
        <f>IF(I21&gt;10000,"🚨 URGENT: "&amp;C21&amp;" owes ₹"&amp;I21,IF(I21&gt;5000,"⚠️ WARNING: "&amp;C21&amp;" - ₹"&amp;I21&amp;" due",IF(I21&gt;0,"ℹ️ "&amp;C21&amp;" - ₹"&amp;I21&amp;" pending","✅ Paid")))</f>
        <v>✅ Paid</v>
      </c>
    </row>
    <row r="22" spans="1:10" ht="19">
      <c r="A22" s="24">
        <v>45982</v>
      </c>
      <c r="B22" s="31" t="s">
        <v>43</v>
      </c>
      <c r="C22" s="34" t="s">
        <v>177</v>
      </c>
      <c r="D22" s="34" t="s">
        <v>178</v>
      </c>
      <c r="E22" s="20">
        <v>8</v>
      </c>
      <c r="F22" s="29">
        <v>3500</v>
      </c>
      <c r="G22" s="29">
        <f>Table1341720[[#This Row],[Rate /Trips]]*Table1341720[[#This Row],[Trips]]</f>
        <v>28000</v>
      </c>
      <c r="H22" s="29">
        <v>28000</v>
      </c>
      <c r="I22" s="29">
        <f>Table1341720[[#This Row],[Total Value]]-Table1341720[[#This Row],[Received]]</f>
        <v>0</v>
      </c>
      <c r="J22" s="1" t="str">
        <f>IF(I22&gt;10000,"🚨 URGENT: "&amp;C22&amp;" owes ₹"&amp;I22,IF(I22&gt;5000,"⚠️ WARNING: "&amp;C22&amp;" - ₹"&amp;I22&amp;" due",IF(I22&gt;0,"ℹ️ "&amp;C22&amp;" - ₹"&amp;I22&amp;" pending","✅ Paid")))</f>
        <v>✅ Paid</v>
      </c>
    </row>
    <row r="23" spans="1:10" ht="19">
      <c r="A23" s="24">
        <v>45983</v>
      </c>
      <c r="B23" s="31" t="s">
        <v>43</v>
      </c>
      <c r="C23" s="34" t="s">
        <v>177</v>
      </c>
      <c r="D23" s="34" t="s">
        <v>178</v>
      </c>
      <c r="E23" s="20">
        <v>7</v>
      </c>
      <c r="F23" s="29">
        <v>3500</v>
      </c>
      <c r="G23" s="29">
        <f>Table1341720[[#This Row],[Rate /Trips]]*Table1341720[[#This Row],[Trips]]</f>
        <v>24500</v>
      </c>
      <c r="H23" s="29">
        <v>24500</v>
      </c>
      <c r="I23" s="29">
        <f>Table1341720[[#This Row],[Total Value]]-Table1341720[[#This Row],[Received]]</f>
        <v>0</v>
      </c>
      <c r="J23" s="1" t="str">
        <f>IF(I23&gt;10000,"🚨 URGENT: "&amp;C23&amp;" owes ₹"&amp;I23,IF(I23&gt;5000,"⚠️ WARNING: "&amp;C23&amp;" - ₹"&amp;I23&amp;" due",IF(I23&gt;0,"ℹ️ "&amp;C23&amp;" - ₹"&amp;I23&amp;" pending","✅ Paid")))</f>
        <v>✅ Paid</v>
      </c>
    </row>
    <row r="24" spans="1:10" ht="19">
      <c r="A24" s="24">
        <v>45983</v>
      </c>
      <c r="B24" s="31" t="s">
        <v>43</v>
      </c>
      <c r="C24" s="34" t="s">
        <v>174</v>
      </c>
      <c r="D24" s="34" t="s">
        <v>75</v>
      </c>
      <c r="E24" s="20">
        <v>1</v>
      </c>
      <c r="F24" s="29">
        <v>3000</v>
      </c>
      <c r="G24" s="29">
        <f>Table1341720[[#This Row],[Rate /Trips]]*Table1341720[[#This Row],[Trips]]</f>
        <v>3000</v>
      </c>
      <c r="H24" s="29">
        <v>3000</v>
      </c>
      <c r="I24" s="29">
        <f>Table1341720[[#This Row],[Total Value]]-Table1341720[[#This Row],[Received]]</f>
        <v>0</v>
      </c>
      <c r="J24" s="1" t="str">
        <f>IF(I24&gt;10000,"🚨 URGENT: "&amp;C24&amp;" owes ₹"&amp;I24,IF(I24&gt;5000,"⚠️ WARNING: "&amp;C24&amp;" - ₹"&amp;I24&amp;" due",IF(I24&gt;0,"ℹ️ "&amp;C24&amp;" - ₹"&amp;I24&amp;" pending","✅ Paid")))</f>
        <v>✅ Paid</v>
      </c>
    </row>
    <row r="25" spans="1:10" ht="19">
      <c r="A25" s="24">
        <v>45984</v>
      </c>
      <c r="B25" s="31" t="s">
        <v>43</v>
      </c>
      <c r="C25" s="34" t="s">
        <v>177</v>
      </c>
      <c r="D25" s="34" t="s">
        <v>178</v>
      </c>
      <c r="E25" s="20">
        <v>8</v>
      </c>
      <c r="F25" s="29">
        <v>3500</v>
      </c>
      <c r="G25" s="29">
        <f>Table1341720[[#This Row],[Rate /Trips]]*Table1341720[[#This Row],[Trips]]</f>
        <v>28000</v>
      </c>
      <c r="H25" s="29">
        <v>28000</v>
      </c>
      <c r="I25" s="29">
        <f>Table1341720[[#This Row],[Total Value]]-Table1341720[[#This Row],[Received]]</f>
        <v>0</v>
      </c>
      <c r="J25" s="1" t="str">
        <f>IF(I25&gt;10000,"🚨 URGENT: "&amp;C25&amp;" owes ₹"&amp;I25,IF(I25&gt;5000,"⚠️ WARNING: "&amp;C25&amp;" - ₹"&amp;I25&amp;" due",IF(I25&gt;0,"ℹ️ "&amp;C25&amp;" - ₹"&amp;I25&amp;" pending","✅ Paid")))</f>
        <v>✅ Paid</v>
      </c>
    </row>
    <row r="26" spans="1:10" ht="19">
      <c r="A26" s="24">
        <v>45984</v>
      </c>
      <c r="B26" s="31" t="s">
        <v>43</v>
      </c>
      <c r="C26" s="34" t="s">
        <v>134</v>
      </c>
      <c r="D26" s="34" t="s">
        <v>37</v>
      </c>
      <c r="E26" s="20">
        <v>3</v>
      </c>
      <c r="F26" s="29">
        <v>3000</v>
      </c>
      <c r="G26" s="29">
        <f>Table1341720[[#This Row],[Rate /Trips]]*Table1341720[[#This Row],[Trips]]</f>
        <v>9000</v>
      </c>
      <c r="H26" s="29">
        <v>9000</v>
      </c>
      <c r="I26" s="29">
        <f>Table1341720[[#This Row],[Total Value]]-Table1341720[[#This Row],[Received]]</f>
        <v>0</v>
      </c>
      <c r="J26" s="1" t="str">
        <f>IF(I26&gt;10000,"🚨 URGENT: "&amp;C26&amp;" owes ₹"&amp;I26,IF(I26&gt;5000,"⚠️ WARNING: "&amp;C26&amp;" - ₹"&amp;I26&amp;" due",IF(I26&gt;0,"ℹ️ "&amp;C26&amp;" - ₹"&amp;I26&amp;" pending","✅ Paid")))</f>
        <v>✅ Paid</v>
      </c>
    </row>
    <row r="27" spans="1:10" ht="19">
      <c r="A27" s="24">
        <v>45985</v>
      </c>
      <c r="B27" s="31" t="s">
        <v>43</v>
      </c>
      <c r="C27" s="34" t="s">
        <v>177</v>
      </c>
      <c r="D27" s="34" t="s">
        <v>178</v>
      </c>
      <c r="E27" s="20">
        <v>5</v>
      </c>
      <c r="F27" s="29">
        <v>3500</v>
      </c>
      <c r="G27" s="29">
        <f>Table1341720[[#This Row],[Rate /Trips]]*Table1341720[[#This Row],[Trips]]</f>
        <v>17500</v>
      </c>
      <c r="H27" s="29">
        <v>17500</v>
      </c>
      <c r="I27" s="29">
        <f>Table1341720[[#This Row],[Total Value]]-Table1341720[[#This Row],[Received]]</f>
        <v>0</v>
      </c>
      <c r="J27" s="1" t="str">
        <f>IF(I27&gt;10000,"🚨 URGENT: "&amp;C27&amp;" owes ₹"&amp;I27,IF(I27&gt;5000,"⚠️ WARNING: "&amp;C27&amp;" - ₹"&amp;I27&amp;" due",IF(I27&gt;0,"ℹ️ "&amp;C27&amp;" - ₹"&amp;I27&amp;" pending","✅ Paid")))</f>
        <v>✅ Paid</v>
      </c>
    </row>
    <row r="28" spans="1:10" ht="19">
      <c r="A28" s="24">
        <v>45986</v>
      </c>
      <c r="B28" s="31" t="s">
        <v>43</v>
      </c>
      <c r="C28" s="34" t="s">
        <v>134</v>
      </c>
      <c r="D28" s="34" t="s">
        <v>37</v>
      </c>
      <c r="E28" s="20">
        <v>3</v>
      </c>
      <c r="F28" s="29">
        <v>3000</v>
      </c>
      <c r="G28" s="29">
        <f>Table1341720[[#This Row],[Rate /Trips]]*Table1341720[[#This Row],[Trips]]</f>
        <v>9000</v>
      </c>
      <c r="H28" s="29">
        <v>9000</v>
      </c>
      <c r="I28" s="29">
        <f>Table1341720[[#This Row],[Total Value]]-Table1341720[[#This Row],[Received]]</f>
        <v>0</v>
      </c>
      <c r="J28" s="1" t="str">
        <f>IF(I28&gt;10000,"🚨 URGENT: "&amp;C28&amp;" owes ₹"&amp;I28,IF(I28&gt;5000,"⚠️ WARNING: "&amp;C28&amp;" - ₹"&amp;I28&amp;" due",IF(I28&gt;0,"ℹ️ "&amp;C28&amp;" - ₹"&amp;I28&amp;" pending","✅ Paid")))</f>
        <v>✅ Paid</v>
      </c>
    </row>
    <row r="29" spans="1:10" ht="19">
      <c r="A29" s="24">
        <v>45987</v>
      </c>
      <c r="B29" s="31" t="s">
        <v>43</v>
      </c>
      <c r="C29" s="34" t="s">
        <v>181</v>
      </c>
      <c r="D29" s="34" t="s">
        <v>182</v>
      </c>
      <c r="E29" s="20">
        <v>3</v>
      </c>
      <c r="F29" s="29">
        <v>3500</v>
      </c>
      <c r="G29" s="29">
        <f>Table1341720[[#This Row],[Rate /Trips]]*Table1341720[[#This Row],[Trips]]</f>
        <v>10500</v>
      </c>
      <c r="H29" s="29">
        <v>10500</v>
      </c>
      <c r="I29" s="29">
        <f>Table1341720[[#This Row],[Total Value]]-Table1341720[[#This Row],[Received]]</f>
        <v>0</v>
      </c>
      <c r="J29" s="1" t="str">
        <f>IF(I29&gt;10000,"🚨 URGENT: "&amp;C29&amp;" owes ₹"&amp;I29,IF(I29&gt;5000,"⚠️ WARNING: "&amp;C29&amp;" - ₹"&amp;I29&amp;" due",IF(I29&gt;0,"ℹ️ "&amp;C29&amp;" - ₹"&amp;I29&amp;" pending","✅ Paid")))</f>
        <v>✅ Paid</v>
      </c>
    </row>
    <row r="30" spans="1:10" ht="19" customHeight="1">
      <c r="A30" s="1"/>
      <c r="B30" s="35"/>
      <c r="C30" s="22"/>
      <c r="D30" s="22"/>
      <c r="E30" s="22"/>
      <c r="F30" s="22"/>
      <c r="G30" s="36"/>
      <c r="H30" s="22"/>
      <c r="I30" s="36"/>
      <c r="J30" s="1"/>
    </row>
    <row r="31" spans="1:10" ht="19">
      <c r="A31" s="24"/>
      <c r="B31" s="31"/>
      <c r="C31" s="34"/>
      <c r="D31" s="34"/>
      <c r="E31" s="20"/>
      <c r="F31" s="29"/>
      <c r="G31" s="29"/>
      <c r="H31" s="29"/>
      <c r="I31" s="29"/>
      <c r="J31" s="1"/>
    </row>
    <row r="32" spans="1:10" ht="19">
      <c r="A32" s="24"/>
      <c r="B32" s="31"/>
      <c r="C32" s="34"/>
      <c r="D32" s="34"/>
      <c r="E32" s="20"/>
      <c r="F32" s="29"/>
      <c r="G32" s="29"/>
      <c r="H32" s="29"/>
      <c r="I32" s="29"/>
      <c r="J32" s="1"/>
    </row>
    <row r="33" spans="1:10" ht="19">
      <c r="A33" s="24"/>
      <c r="B33" s="31"/>
      <c r="C33" s="34"/>
      <c r="D33" s="34"/>
      <c r="E33" s="20"/>
      <c r="F33" s="29"/>
      <c r="G33" s="29"/>
      <c r="H33" s="29"/>
      <c r="I33" s="29"/>
      <c r="J33" s="1"/>
    </row>
    <row r="34" spans="1:10" ht="19">
      <c r="A34" s="24"/>
      <c r="B34" s="31"/>
      <c r="C34" s="34"/>
      <c r="D34" s="34"/>
      <c r="E34" s="20"/>
      <c r="F34" s="29"/>
      <c r="G34" s="29"/>
      <c r="H34" s="29"/>
      <c r="I34" s="29"/>
      <c r="J34" s="1"/>
    </row>
    <row r="35" spans="1:10" ht="19">
      <c r="A35" s="24"/>
      <c r="B35" s="31"/>
      <c r="C35" s="34"/>
      <c r="D35" s="34"/>
      <c r="E35" s="20"/>
      <c r="F35" s="29"/>
      <c r="G35" s="29"/>
      <c r="H35" s="29"/>
      <c r="I35" s="29"/>
      <c r="J35" s="1"/>
    </row>
    <row r="36" spans="1:10" ht="19">
      <c r="A36" s="24"/>
      <c r="B36" s="31"/>
      <c r="C36" s="34"/>
      <c r="D36" s="34"/>
      <c r="E36" s="20"/>
      <c r="F36" s="29"/>
      <c r="G36" s="29"/>
      <c r="H36" s="29"/>
      <c r="I36" s="29"/>
      <c r="J36" s="1"/>
    </row>
    <row r="37" spans="1:10" ht="19">
      <c r="A37" s="24"/>
      <c r="B37" s="31"/>
      <c r="C37" s="34"/>
      <c r="D37" s="34"/>
      <c r="E37" s="20"/>
      <c r="F37" s="29"/>
      <c r="G37" s="29"/>
      <c r="H37" s="29"/>
      <c r="I37" s="29"/>
      <c r="J37" s="1"/>
    </row>
    <row r="38" spans="1:10" ht="19">
      <c r="A38" s="24"/>
      <c r="B38" s="31"/>
      <c r="C38" s="34"/>
      <c r="D38" s="34"/>
      <c r="E38" s="20"/>
      <c r="F38" s="29"/>
      <c r="G38" s="29"/>
      <c r="H38" s="29"/>
      <c r="I38" s="29"/>
      <c r="J38" s="1"/>
    </row>
    <row r="39" spans="1:10" ht="19">
      <c r="A39" s="24"/>
      <c r="B39" s="31"/>
      <c r="C39" s="34"/>
      <c r="D39" s="34"/>
      <c r="E39" s="20"/>
      <c r="F39" s="29"/>
      <c r="G39" s="29"/>
      <c r="H39" s="29"/>
      <c r="I39" s="29"/>
      <c r="J39" s="1"/>
    </row>
    <row r="40" spans="1:10" ht="19">
      <c r="A40" s="24"/>
      <c r="B40" s="31"/>
      <c r="C40" s="34"/>
      <c r="D40" s="34"/>
      <c r="E40" s="20"/>
      <c r="F40" s="29"/>
      <c r="G40" s="29"/>
      <c r="H40" s="29"/>
      <c r="I40" s="29"/>
      <c r="J40" s="1"/>
    </row>
    <row r="41" spans="1:10" ht="19">
      <c r="A41" s="24"/>
      <c r="B41" s="31"/>
      <c r="C41" s="34"/>
      <c r="D41" s="34"/>
      <c r="E41" s="20"/>
      <c r="F41" s="29"/>
      <c r="G41" s="29"/>
      <c r="H41" s="29"/>
      <c r="I41" s="29"/>
      <c r="J41" s="1"/>
    </row>
    <row r="42" spans="1:10" ht="19">
      <c r="A42" s="24"/>
      <c r="B42" s="31"/>
      <c r="C42" s="34"/>
      <c r="D42" s="34"/>
      <c r="E42" s="20"/>
      <c r="F42" s="29"/>
      <c r="G42" s="29"/>
      <c r="H42" s="29"/>
      <c r="I42" s="29"/>
      <c r="J42" s="1"/>
    </row>
    <row r="43" spans="1:10" ht="19">
      <c r="A43" s="24"/>
      <c r="B43" s="31"/>
      <c r="C43" s="34"/>
      <c r="D43" s="34"/>
      <c r="E43" s="20"/>
      <c r="F43" s="29"/>
      <c r="G43" s="29"/>
      <c r="H43" s="29"/>
      <c r="I43" s="29"/>
      <c r="J43" s="1"/>
    </row>
    <row r="44" spans="1:10" ht="19">
      <c r="A44" s="24"/>
      <c r="B44" s="31"/>
      <c r="C44" s="34"/>
      <c r="D44" s="34"/>
      <c r="E44" s="20"/>
      <c r="F44" s="29"/>
      <c r="G44" s="29"/>
      <c r="H44" s="29"/>
      <c r="I44" s="29"/>
      <c r="J44" s="1"/>
    </row>
    <row r="45" spans="1:10" ht="19">
      <c r="A45" s="24"/>
      <c r="B45" s="31"/>
      <c r="C45" s="34"/>
      <c r="D45" s="34"/>
      <c r="E45" s="20"/>
      <c r="F45" s="29"/>
      <c r="G45" s="29"/>
      <c r="H45" s="29"/>
      <c r="I45" s="29"/>
      <c r="J45" s="1"/>
    </row>
    <row r="46" spans="1:10" ht="21">
      <c r="D46" s="9"/>
      <c r="E46" s="10" t="s">
        <v>100</v>
      </c>
      <c r="F46" s="11"/>
      <c r="G46" s="12" t="s">
        <v>97</v>
      </c>
      <c r="H46" s="12" t="s">
        <v>101</v>
      </c>
      <c r="I46" s="12" t="s">
        <v>45</v>
      </c>
    </row>
    <row r="47" spans="1:10" ht="21">
      <c r="D47" s="13" t="s">
        <v>102</v>
      </c>
      <c r="E47" s="14">
        <f>SUM(E5:E45)</f>
        <v>67</v>
      </c>
      <c r="F47" s="15"/>
      <c r="G47" s="16">
        <f>SUM(G5:G45)</f>
        <v>223600</v>
      </c>
      <c r="H47" s="16">
        <f>SUM(H5:H45)</f>
        <v>220600</v>
      </c>
      <c r="I47" s="16">
        <f>SUM(I5:I45)</f>
        <v>3000</v>
      </c>
    </row>
    <row r="48" spans="1:10" ht="50" customHeight="1">
      <c r="A48" s="40" t="s">
        <v>103</v>
      </c>
      <c r="B48" s="40"/>
      <c r="C48" s="40"/>
      <c r="D48" s="17"/>
      <c r="E48" s="17"/>
      <c r="F48" s="17"/>
      <c r="G48" s="17"/>
      <c r="H48" s="17"/>
      <c r="I48" s="17"/>
    </row>
    <row r="54" spans="1:9" ht="29">
      <c r="A54" s="38" t="s">
        <v>91</v>
      </c>
      <c r="B54" s="38"/>
      <c r="C54" s="38"/>
      <c r="D54" s="38"/>
      <c r="E54" s="38"/>
      <c r="F54" s="38"/>
      <c r="G54" s="38"/>
      <c r="H54" s="38"/>
      <c r="I54" s="38"/>
    </row>
    <row r="55" spans="1:9">
      <c r="A55" s="39" t="s">
        <v>165</v>
      </c>
      <c r="B55" s="39"/>
      <c r="C55" s="39"/>
      <c r="D55" s="39"/>
      <c r="E55" s="39"/>
      <c r="F55" s="39"/>
      <c r="G55" s="39"/>
      <c r="H55" s="39"/>
      <c r="I55" s="39"/>
    </row>
    <row r="56" spans="1:9" ht="16">
      <c r="A56" s="6" t="s">
        <v>0</v>
      </c>
      <c r="B56" s="7" t="s">
        <v>93</v>
      </c>
      <c r="C56" s="7" t="s">
        <v>94</v>
      </c>
      <c r="D56" s="7" t="s">
        <v>95</v>
      </c>
      <c r="E56" s="8" t="s">
        <v>96</v>
      </c>
      <c r="F56" s="8" t="s">
        <v>97</v>
      </c>
      <c r="G56" s="8" t="s">
        <v>98</v>
      </c>
      <c r="H56" s="8" t="s">
        <v>1</v>
      </c>
      <c r="I56" s="8" t="s">
        <v>99</v>
      </c>
    </row>
    <row r="57" spans="1:9">
      <c r="A57" s="1"/>
      <c r="B57" s="1"/>
      <c r="C57" s="1"/>
      <c r="D57" s="1"/>
      <c r="E57" s="1"/>
      <c r="F57" s="23"/>
      <c r="G57" s="1"/>
      <c r="H57" s="23"/>
      <c r="I57" s="1"/>
    </row>
    <row r="58" spans="1:9" ht="19">
      <c r="A58" s="24">
        <v>45972</v>
      </c>
      <c r="B58" s="25" t="s">
        <v>166</v>
      </c>
      <c r="C58" s="25" t="s">
        <v>64</v>
      </c>
      <c r="D58" s="4">
        <v>1</v>
      </c>
      <c r="E58" s="28">
        <v>600</v>
      </c>
      <c r="F58" s="28"/>
      <c r="G58" s="28"/>
      <c r="H58" s="28"/>
      <c r="I58" s="1" t="str">
        <f t="shared" ref="I58:I64" si="0">IF(H58&gt;10000,"🚨 URGENT: "&amp;B58&amp;" owes ₹"&amp;H58,IF(H58&gt;5000,"⚠️ WARNING: "&amp;B58&amp;" - ₹"&amp;H58&amp;" due",IF(H58&gt;0,"ℹ️ "&amp;B58&amp;" - ₹"&amp;H58&amp;" pending","✅ Paid")))</f>
        <v>✅ Paid</v>
      </c>
    </row>
    <row r="59" spans="1:9" ht="19">
      <c r="A59" s="24"/>
      <c r="B59" s="25"/>
      <c r="C59" s="25"/>
      <c r="D59" s="4"/>
      <c r="E59" s="28"/>
      <c r="F59" s="28"/>
      <c r="G59" s="28"/>
      <c r="H59" s="28"/>
      <c r="I59" s="1" t="str">
        <f t="shared" si="0"/>
        <v>✅ Paid</v>
      </c>
    </row>
    <row r="60" spans="1:9" ht="19">
      <c r="A60" s="24"/>
      <c r="B60" s="25"/>
      <c r="C60" s="25"/>
      <c r="D60" s="4"/>
      <c r="E60" s="28"/>
      <c r="F60" s="28"/>
      <c r="G60" s="28"/>
      <c r="H60" s="28"/>
      <c r="I60" s="1"/>
    </row>
    <row r="61" spans="1:9" ht="19">
      <c r="A61" s="24"/>
      <c r="B61" s="25"/>
      <c r="C61" s="25"/>
      <c r="D61" s="4"/>
      <c r="E61" s="28"/>
      <c r="F61" s="28"/>
      <c r="G61" s="28"/>
      <c r="H61" s="28"/>
      <c r="I61" s="1" t="str">
        <f t="shared" si="0"/>
        <v>✅ Paid</v>
      </c>
    </row>
    <row r="62" spans="1:9" ht="19">
      <c r="A62" s="24"/>
      <c r="B62" s="25"/>
      <c r="C62" s="25"/>
      <c r="D62" s="4"/>
      <c r="E62" s="28"/>
      <c r="F62" s="28"/>
      <c r="G62" s="28"/>
      <c r="H62" s="28"/>
      <c r="I62" s="1" t="str">
        <f t="shared" si="0"/>
        <v>✅ Paid</v>
      </c>
    </row>
    <row r="63" spans="1:9" ht="19">
      <c r="A63" s="24"/>
      <c r="B63" s="25"/>
      <c r="C63" s="25"/>
      <c r="D63" s="4"/>
      <c r="E63" s="28"/>
      <c r="F63" s="28"/>
      <c r="G63" s="28"/>
      <c r="H63" s="28"/>
      <c r="I63" s="1"/>
    </row>
    <row r="64" spans="1:9" ht="19">
      <c r="A64" s="24"/>
      <c r="B64" s="25"/>
      <c r="C64" s="25"/>
      <c r="D64" s="4"/>
      <c r="E64" s="28"/>
      <c r="F64" s="28"/>
      <c r="G64" s="28"/>
      <c r="H64" s="28"/>
      <c r="I64" s="1" t="str">
        <f t="shared" si="0"/>
        <v>✅ Paid</v>
      </c>
    </row>
    <row r="65" spans="1:10" ht="19">
      <c r="A65" s="24"/>
      <c r="B65" s="4"/>
      <c r="C65" s="4"/>
      <c r="D65" s="4"/>
      <c r="E65" s="28"/>
      <c r="F65" s="28"/>
      <c r="G65" s="28"/>
      <c r="H65" s="28"/>
      <c r="I65" s="1"/>
    </row>
    <row r="66" spans="1:10" ht="21">
      <c r="C66" s="9"/>
      <c r="D66" s="10" t="s">
        <v>100</v>
      </c>
      <c r="F66" s="12" t="s">
        <v>97</v>
      </c>
      <c r="G66" s="12" t="s">
        <v>101</v>
      </c>
      <c r="H66" s="12" t="s">
        <v>45</v>
      </c>
    </row>
    <row r="67" spans="1:10" ht="21">
      <c r="C67" s="13" t="s">
        <v>102</v>
      </c>
      <c r="D67" s="14">
        <f>SUM(D58:D65)</f>
        <v>1</v>
      </c>
      <c r="F67" s="16">
        <f>SUM(F58:F65)</f>
        <v>0</v>
      </c>
      <c r="G67" s="16">
        <f>SUM(G58:G65)</f>
        <v>0</v>
      </c>
      <c r="H67" s="16">
        <f>SUM(H58:H65)</f>
        <v>0</v>
      </c>
    </row>
    <row r="68" spans="1:10" ht="44" customHeight="1">
      <c r="A68" s="40" t="s">
        <v>103</v>
      </c>
      <c r="B68" s="40"/>
      <c r="C68" s="40"/>
      <c r="D68" s="17"/>
      <c r="E68" s="17"/>
      <c r="F68" s="17"/>
      <c r="G68" s="17"/>
      <c r="H68" s="17"/>
      <c r="I68" s="17"/>
    </row>
    <row r="74" spans="1:10" ht="29">
      <c r="A74" s="38" t="s">
        <v>91</v>
      </c>
      <c r="B74" s="38"/>
      <c r="C74" s="38"/>
      <c r="D74" s="38"/>
      <c r="E74" s="38"/>
      <c r="F74" s="38"/>
      <c r="G74" s="38"/>
      <c r="H74" s="38"/>
      <c r="I74" s="38"/>
      <c r="J74" s="38"/>
    </row>
    <row r="75" spans="1:10">
      <c r="A75" s="39" t="s">
        <v>153</v>
      </c>
      <c r="B75" s="39"/>
      <c r="C75" s="39"/>
      <c r="D75" s="39"/>
      <c r="E75" s="39"/>
      <c r="F75" s="39"/>
      <c r="G75" s="39"/>
      <c r="H75" s="39"/>
      <c r="I75" s="39"/>
      <c r="J75" s="39"/>
    </row>
    <row r="76" spans="1:10" ht="16">
      <c r="A76" s="6" t="s">
        <v>0</v>
      </c>
      <c r="B76" s="7" t="s">
        <v>92</v>
      </c>
      <c r="C76" s="7" t="s">
        <v>93</v>
      </c>
      <c r="D76" s="7" t="s">
        <v>94</v>
      </c>
      <c r="E76" s="7" t="s">
        <v>95</v>
      </c>
      <c r="F76" s="8" t="s">
        <v>96</v>
      </c>
      <c r="G76" s="8" t="s">
        <v>97</v>
      </c>
      <c r="H76" s="8" t="s">
        <v>98</v>
      </c>
      <c r="I76" s="8" t="s">
        <v>1</v>
      </c>
      <c r="J76" s="8" t="s">
        <v>99</v>
      </c>
    </row>
    <row r="77" spans="1:10" ht="19">
      <c r="A77" s="24">
        <v>45969</v>
      </c>
      <c r="B77" s="31" t="s">
        <v>43</v>
      </c>
      <c r="C77" s="34" t="s">
        <v>162</v>
      </c>
      <c r="D77" s="34" t="s">
        <v>161</v>
      </c>
      <c r="E77" s="20">
        <v>1</v>
      </c>
      <c r="F77" s="29">
        <v>4500</v>
      </c>
      <c r="G77" s="29">
        <f>Table134172023[[#This Row],[Rate /Trips]]*Table134172023[[#This Row],[Trips]]</f>
        <v>4500</v>
      </c>
      <c r="H77" s="29"/>
      <c r="I77" s="29">
        <f>Table134172023[[#This Row],[Total Value]]-Table134172023[[#This Row],[Received]]</f>
        <v>4500</v>
      </c>
      <c r="J77" s="1" t="str">
        <f>IF(I77&gt;10000,"🚨 URGENT: "&amp;C77&amp;" owes ₹"&amp;I77,IF(I77&gt;5000,"⚠️ WARNING: "&amp;C77&amp;" - ₹"&amp;I77&amp;" due",IF(I77&gt;0,"ℹ️ "&amp;C77&amp;" - ₹"&amp;I77&amp;" pending","✅ Paid")))</f>
        <v>ℹ️ Sagar Ghorade ( Raj Dad ) + Machine - ₹4500 pending</v>
      </c>
    </row>
    <row r="78" spans="1:10" ht="19">
      <c r="A78" s="24">
        <v>45975</v>
      </c>
      <c r="B78" s="31" t="s">
        <v>170</v>
      </c>
      <c r="C78" s="34" t="s">
        <v>171</v>
      </c>
      <c r="D78" s="34" t="s">
        <v>172</v>
      </c>
      <c r="E78" s="20">
        <v>1</v>
      </c>
      <c r="F78" s="29">
        <v>3000</v>
      </c>
      <c r="G78" s="29">
        <f>Table134172023[[#This Row],[Rate /Trips]]*Table134172023[[#This Row],[Trips]]</f>
        <v>3000</v>
      </c>
      <c r="H78" s="29"/>
      <c r="I78" s="29">
        <f>Table134172023[[#This Row],[Total Value]]-Table134172023[[#This Row],[Received]]</f>
        <v>3000</v>
      </c>
      <c r="J78" s="1" t="str">
        <f>IF(I78&gt;10000,"🚨 URGENT: "&amp;C78&amp;" owes ₹"&amp;I78,IF(I78&gt;5000,"⚠️ WARNING: "&amp;C78&amp;" - ₹"&amp;I78&amp;" due",IF(I78&gt;0,"ℹ️ "&amp;C78&amp;" - ₹"&amp;I78&amp;" pending","✅ Paid")))</f>
        <v>ℹ️ Saurabh Order - ₹3000 pending</v>
      </c>
    </row>
    <row r="79" spans="1:10" ht="19" customHeight="1">
      <c r="A79" s="1"/>
      <c r="B79" s="35"/>
      <c r="C79" s="22"/>
      <c r="D79" s="22"/>
      <c r="E79" s="22"/>
      <c r="F79" s="22"/>
      <c r="G79" s="36"/>
      <c r="H79" s="22"/>
      <c r="I79" s="36"/>
      <c r="J79" s="1"/>
    </row>
    <row r="80" spans="1:10" ht="19">
      <c r="A80" s="24"/>
      <c r="B80" s="31"/>
      <c r="C80" s="34"/>
      <c r="D80" s="34"/>
      <c r="E80" s="20"/>
      <c r="F80" s="29"/>
      <c r="G80" s="29"/>
      <c r="H80" s="29"/>
      <c r="I80" s="29"/>
      <c r="J80" s="1"/>
    </row>
    <row r="81" spans="1:10" ht="19">
      <c r="A81" s="24"/>
      <c r="B81" s="31"/>
      <c r="C81" s="34"/>
      <c r="D81" s="34"/>
      <c r="E81" s="20"/>
      <c r="F81" s="29"/>
      <c r="G81" s="29"/>
      <c r="H81" s="29"/>
      <c r="I81" s="29"/>
      <c r="J81" s="1"/>
    </row>
    <row r="82" spans="1:10" ht="21">
      <c r="D82" s="9"/>
      <c r="E82" s="10" t="s">
        <v>100</v>
      </c>
      <c r="F82" s="11"/>
      <c r="G82" s="12" t="s">
        <v>97</v>
      </c>
      <c r="H82" s="12" t="s">
        <v>101</v>
      </c>
      <c r="I82" s="12" t="s">
        <v>45</v>
      </c>
    </row>
    <row r="83" spans="1:10" ht="21">
      <c r="D83" s="13" t="s">
        <v>102</v>
      </c>
      <c r="E83" s="14">
        <f>SUM(E77:E81)</f>
        <v>2</v>
      </c>
      <c r="F83" s="15"/>
      <c r="G83" s="16">
        <f>SUM(G77:G81)</f>
        <v>7500</v>
      </c>
      <c r="H83" s="16">
        <f>SUM(H77:H81)</f>
        <v>0</v>
      </c>
      <c r="I83" s="16">
        <f>SUM(I77:I81)</f>
        <v>7500</v>
      </c>
    </row>
  </sheetData>
  <mergeCells count="8">
    <mergeCell ref="A74:J74"/>
    <mergeCell ref="A75:J75"/>
    <mergeCell ref="A68:C68"/>
    <mergeCell ref="A1:J1"/>
    <mergeCell ref="A2:J2"/>
    <mergeCell ref="A48:C48"/>
    <mergeCell ref="A54:I54"/>
    <mergeCell ref="A55:I55"/>
  </mergeCells>
  <conditionalFormatting sqref="J5:J45 I58:I65 J77:J81">
    <cfRule type="containsText" dxfId="7" priority="9" operator="containsText" text="✅">
      <formula>NOT(ISERROR(SEARCH("✅",I5)))</formula>
    </cfRule>
    <cfRule type="containsText" dxfId="6" priority="10" operator="containsText" text="ℹ️">
      <formula>NOT(ISERROR(SEARCH("ℹ️",I5)))</formula>
    </cfRule>
    <cfRule type="containsText" dxfId="5" priority="11" operator="containsText" text="⚠️">
      <formula>NOT(ISERROR(SEARCH("⚠️",I5)))</formula>
    </cfRule>
    <cfRule type="containsText" dxfId="4" priority="12" operator="containsText" text="🚨">
      <formula>NOT(ISERROR(SEARCH("🚨",I5)))</formula>
    </cfRule>
  </conditionalFormatting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478A6-27A9-C244-A462-CF8A018C270A}">
  <dimension ref="A1:J94"/>
  <sheetViews>
    <sheetView tabSelected="1" zoomScale="125" workbookViewId="0">
      <selection activeCell="A4" sqref="A4:I34"/>
    </sheetView>
  </sheetViews>
  <sheetFormatPr baseColWidth="10" defaultColWidth="11.5" defaultRowHeight="15"/>
  <cols>
    <col min="1" max="1" width="32.83203125" bestFit="1" customWidth="1"/>
    <col min="2" max="2" width="18.1640625" bestFit="1" customWidth="1"/>
    <col min="3" max="4" width="19.6640625" bestFit="1" customWidth="1"/>
    <col min="5" max="5" width="15.33203125" bestFit="1" customWidth="1"/>
    <col min="6" max="6" width="15.5" bestFit="1" customWidth="1"/>
    <col min="7" max="8" width="18" bestFit="1" customWidth="1"/>
    <col min="9" max="9" width="30.1640625" bestFit="1" customWidth="1"/>
    <col min="10" max="10" width="35" bestFit="1" customWidth="1"/>
  </cols>
  <sheetData>
    <row r="1" spans="1:10" ht="29">
      <c r="A1" s="38" t="s">
        <v>91</v>
      </c>
      <c r="B1" s="38"/>
      <c r="C1" s="38"/>
      <c r="D1" s="38"/>
      <c r="E1" s="38"/>
      <c r="F1" s="38"/>
      <c r="G1" s="38"/>
      <c r="H1" s="38"/>
      <c r="I1" s="38"/>
      <c r="J1" s="38"/>
    </row>
    <row r="2" spans="1:10">
      <c r="A2" s="39" t="s">
        <v>154</v>
      </c>
      <c r="B2" s="39"/>
      <c r="C2" s="39"/>
      <c r="D2" s="39"/>
      <c r="E2" s="39"/>
      <c r="F2" s="39"/>
      <c r="G2" s="39"/>
      <c r="H2" s="39"/>
      <c r="I2" s="39"/>
      <c r="J2" s="39"/>
    </row>
    <row r="3" spans="1:10" ht="16">
      <c r="A3" s="6" t="s">
        <v>0</v>
      </c>
      <c r="B3" s="7" t="s">
        <v>92</v>
      </c>
      <c r="C3" s="7" t="s">
        <v>93</v>
      </c>
      <c r="D3" s="7" t="s">
        <v>94</v>
      </c>
      <c r="E3" s="7" t="s">
        <v>95</v>
      </c>
      <c r="F3" s="8" t="s">
        <v>96</v>
      </c>
      <c r="G3" s="8" t="s">
        <v>97</v>
      </c>
      <c r="H3" s="8" t="s">
        <v>98</v>
      </c>
      <c r="I3" s="8" t="s">
        <v>1</v>
      </c>
      <c r="J3" s="8" t="s">
        <v>99</v>
      </c>
    </row>
    <row r="4" spans="1:10" ht="15" customHeight="1">
      <c r="A4" s="24">
        <v>45994</v>
      </c>
      <c r="B4" s="25" t="s">
        <v>43</v>
      </c>
      <c r="C4" s="25" t="s">
        <v>135</v>
      </c>
      <c r="D4" s="25" t="s">
        <v>182</v>
      </c>
      <c r="E4" s="4">
        <v>1</v>
      </c>
      <c r="F4" s="28">
        <v>3500</v>
      </c>
      <c r="G4" s="28">
        <f>Table1341721[[#This Row],[Rate /Trips]]*Table1341721[[#This Row],[Trips]]</f>
        <v>3500</v>
      </c>
      <c r="H4" s="28">
        <v>3500</v>
      </c>
      <c r="I4" s="28">
        <f>Table1341721[[#This Row],[Total Value]]-Table1341721[[#This Row],[Received]]</f>
        <v>0</v>
      </c>
      <c r="J4" s="1" t="str">
        <f>IF(I4&gt;10000,"🚨 URGENT: "&amp;C4&amp;" owes ₹"&amp;I4,IF(I4&gt;5000,"⚠️ WARNING: "&amp;C4&amp;" - ₹"&amp;I4&amp;" due",IF(I4&gt;0,"ℹ️ "&amp;C4&amp;" - ₹"&amp;I4&amp;" pending","✅ Paid")))</f>
        <v>✅ Paid</v>
      </c>
    </row>
    <row r="5" spans="1:10" ht="19">
      <c r="A5" s="24">
        <v>45994</v>
      </c>
      <c r="B5" s="30" t="s">
        <v>43</v>
      </c>
      <c r="C5" s="26" t="s">
        <v>134</v>
      </c>
      <c r="D5" s="26" t="s">
        <v>37</v>
      </c>
      <c r="E5" s="4">
        <v>2</v>
      </c>
      <c r="F5" s="28">
        <v>3000</v>
      </c>
      <c r="G5" s="28">
        <f>Table1341721[[#This Row],[Rate /Trips]]*Table1341721[[#This Row],[Trips]]</f>
        <v>6000</v>
      </c>
      <c r="H5" s="28">
        <v>6000</v>
      </c>
      <c r="I5" s="28">
        <f>Table1341721[[#This Row],[Total Value]]-Table1341721[[#This Row],[Received]]</f>
        <v>0</v>
      </c>
      <c r="J5" s="1" t="str">
        <f>IF(I5&gt;10000,"🚨 URGENT: "&amp;C5&amp;" owes ₹"&amp;I5,IF(I5&gt;5000,"⚠️ WARNING: "&amp;C5&amp;" - ₹"&amp;I5&amp;" due",IF(I5&gt;0,"ℹ️ "&amp;C5&amp;" - ₹"&amp;I5&amp;" pending","✅ Paid")))</f>
        <v>✅ Paid</v>
      </c>
    </row>
    <row r="6" spans="1:10" ht="19">
      <c r="A6" s="24">
        <v>45994</v>
      </c>
      <c r="B6" s="30" t="s">
        <v>43</v>
      </c>
      <c r="C6" s="26" t="s">
        <v>183</v>
      </c>
      <c r="D6" s="26" t="s">
        <v>61</v>
      </c>
      <c r="E6" s="4">
        <v>1</v>
      </c>
      <c r="F6" s="28">
        <v>3500</v>
      </c>
      <c r="G6" s="28">
        <f>Table1341721[[#This Row],[Rate /Trips]]*Table1341721[[#This Row],[Trips]]</f>
        <v>3500</v>
      </c>
      <c r="H6" s="28"/>
      <c r="I6" s="28">
        <f>Table1341721[[#This Row],[Total Value]]-Table1341721[[#This Row],[Received]]</f>
        <v>3500</v>
      </c>
      <c r="J6" s="1" t="str">
        <f>IF(I6&gt;10000,"🚨 URGENT: "&amp;C6&amp;" owes ₹"&amp;I6,IF(I6&gt;5000,"⚠️ WARNING: "&amp;C6&amp;" - ₹"&amp;I6&amp;" due",IF(I6&gt;0,"ℹ️ "&amp;C6&amp;" - ₹"&amp;I6&amp;" pending","✅ Paid")))</f>
        <v>ℹ️ Vineet Ramteke - ₹3500 pending</v>
      </c>
    </row>
    <row r="7" spans="1:10" ht="19">
      <c r="A7" s="24">
        <v>45995</v>
      </c>
      <c r="B7" s="30" t="s">
        <v>43</v>
      </c>
      <c r="C7" s="26" t="s">
        <v>135</v>
      </c>
      <c r="D7" s="26" t="s">
        <v>182</v>
      </c>
      <c r="E7" s="4">
        <v>1</v>
      </c>
      <c r="F7" s="28">
        <v>3500</v>
      </c>
      <c r="G7" s="28">
        <f>Table1341721[[#This Row],[Rate /Trips]]*Table1341721[[#This Row],[Trips]]</f>
        <v>3500</v>
      </c>
      <c r="H7" s="28">
        <v>3500</v>
      </c>
      <c r="I7" s="28">
        <f>Table1341721[[#This Row],[Total Value]]-Table1341721[[#This Row],[Received]]</f>
        <v>0</v>
      </c>
      <c r="J7" s="1" t="str">
        <f>IF(I7&gt;10000,"🚨 URGENT: "&amp;C7&amp;" owes ₹"&amp;I7,IF(I7&gt;5000,"⚠️ WARNING: "&amp;C7&amp;" - ₹"&amp;I7&amp;" due",IF(I7&gt;0,"ℹ️ "&amp;C7&amp;" - ₹"&amp;I7&amp;" pending","✅ Paid")))</f>
        <v>✅ Paid</v>
      </c>
    </row>
    <row r="8" spans="1:10" ht="19">
      <c r="A8" s="24">
        <v>45997</v>
      </c>
      <c r="B8" s="30" t="s">
        <v>43</v>
      </c>
      <c r="C8" s="34" t="s">
        <v>177</v>
      </c>
      <c r="D8" s="34" t="s">
        <v>178</v>
      </c>
      <c r="E8" s="4">
        <v>1</v>
      </c>
      <c r="F8" s="28">
        <v>3500</v>
      </c>
      <c r="G8" s="28">
        <f>Table1341721[[#This Row],[Rate /Trips]]*Table1341721[[#This Row],[Trips]]</f>
        <v>3500</v>
      </c>
      <c r="H8" s="28">
        <v>3500</v>
      </c>
      <c r="I8" s="28">
        <f>Table1341721[[#This Row],[Total Value]]-Table1341721[[#This Row],[Received]]</f>
        <v>0</v>
      </c>
      <c r="J8" s="1" t="str">
        <f>IF(I8&gt;10000,"🚨 URGENT: "&amp;C8&amp;" owes ₹"&amp;I8,IF(I8&gt;5000,"⚠️ WARNING: "&amp;C8&amp;" - ₹"&amp;I8&amp;" due",IF(I8&gt;0,"ℹ️ "&amp;C8&amp;" - ₹"&amp;I8&amp;" pending","✅ Paid")))</f>
        <v>✅ Paid</v>
      </c>
    </row>
    <row r="9" spans="1:10" ht="19">
      <c r="A9" s="24">
        <v>45997</v>
      </c>
      <c r="B9" s="30" t="s">
        <v>43</v>
      </c>
      <c r="C9" s="26" t="s">
        <v>134</v>
      </c>
      <c r="D9" s="26" t="s">
        <v>37</v>
      </c>
      <c r="E9" s="4">
        <v>1</v>
      </c>
      <c r="F9" s="28">
        <v>3000</v>
      </c>
      <c r="G9" s="28">
        <f>Table1341721[[#This Row],[Rate /Trips]]*Table1341721[[#This Row],[Trips]]</f>
        <v>3000</v>
      </c>
      <c r="H9" s="28">
        <v>3000</v>
      </c>
      <c r="I9" s="28">
        <f>Table1341721[[#This Row],[Total Value]]-Table1341721[[#This Row],[Received]]</f>
        <v>0</v>
      </c>
      <c r="J9" s="1" t="str">
        <f>IF(I9&gt;10000,"🚨 URGENT: "&amp;C9&amp;" owes ₹"&amp;I9,IF(I9&gt;5000,"⚠️ WARNING: "&amp;C9&amp;" - ₹"&amp;I9&amp;" due",IF(I9&gt;0,"ℹ️ "&amp;C9&amp;" - ₹"&amp;I9&amp;" pending","✅ Paid")))</f>
        <v>✅ Paid</v>
      </c>
    </row>
    <row r="10" spans="1:10" ht="19">
      <c r="A10" s="24">
        <v>45998</v>
      </c>
      <c r="B10" s="30" t="s">
        <v>43</v>
      </c>
      <c r="C10" s="26" t="s">
        <v>134</v>
      </c>
      <c r="D10" s="26" t="s">
        <v>37</v>
      </c>
      <c r="E10" s="4">
        <v>2</v>
      </c>
      <c r="F10" s="28">
        <v>3000</v>
      </c>
      <c r="G10" s="28">
        <f>Table1341721[[#This Row],[Rate /Trips]]*Table1341721[[#This Row],[Trips]]</f>
        <v>6000</v>
      </c>
      <c r="H10" s="28">
        <v>6000</v>
      </c>
      <c r="I10" s="28">
        <f>Table1341721[[#This Row],[Total Value]]-Table1341721[[#This Row],[Received]]</f>
        <v>0</v>
      </c>
      <c r="J10" s="1" t="str">
        <f>IF(I10&gt;10000,"🚨 URGENT: "&amp;C10&amp;" owes ₹"&amp;I10,IF(I10&gt;5000,"⚠️ WARNING: "&amp;C10&amp;" - ₹"&amp;I10&amp;" due",IF(I10&gt;0,"ℹ️ "&amp;C10&amp;" - ₹"&amp;I10&amp;" pending","✅ Paid")))</f>
        <v>✅ Paid</v>
      </c>
    </row>
    <row r="11" spans="1:10" ht="19">
      <c r="A11" s="24">
        <v>46006</v>
      </c>
      <c r="B11" s="30" t="s">
        <v>43</v>
      </c>
      <c r="C11" s="26" t="s">
        <v>134</v>
      </c>
      <c r="D11" s="26" t="s">
        <v>37</v>
      </c>
      <c r="E11" s="4">
        <v>5</v>
      </c>
      <c r="F11" s="28">
        <v>3000</v>
      </c>
      <c r="G11" s="28">
        <f>Table1341721[[#This Row],[Rate /Trips]]*Table1341721[[#This Row],[Trips]]</f>
        <v>15000</v>
      </c>
      <c r="H11" s="28">
        <v>15000</v>
      </c>
      <c r="I11" s="28">
        <f>Table1341721[[#This Row],[Total Value]]-Table1341721[[#This Row],[Received]]</f>
        <v>0</v>
      </c>
      <c r="J11" s="1" t="str">
        <f>IF(I11&gt;10000,"🚨 URGENT: "&amp;C11&amp;" owes ₹"&amp;I11,IF(I11&gt;5000,"⚠️ WARNING: "&amp;C11&amp;" - ₹"&amp;I11&amp;" due",IF(I11&gt;0,"ℹ️ "&amp;C11&amp;" - ₹"&amp;I11&amp;" pending","✅ Paid")))</f>
        <v>✅ Paid</v>
      </c>
    </row>
    <row r="12" spans="1:10" ht="19">
      <c r="A12" s="24">
        <v>46007</v>
      </c>
      <c r="B12" s="30" t="s">
        <v>43</v>
      </c>
      <c r="C12" s="26" t="s">
        <v>134</v>
      </c>
      <c r="D12" s="26" t="s">
        <v>37</v>
      </c>
      <c r="E12" s="4">
        <v>2</v>
      </c>
      <c r="F12" s="29">
        <v>3000</v>
      </c>
      <c r="G12" s="28">
        <f>Table1341721[[#This Row],[Rate /Trips]]*Table1341721[[#This Row],[Trips]]</f>
        <v>6000</v>
      </c>
      <c r="H12" s="29">
        <v>6000</v>
      </c>
      <c r="I12" s="28">
        <f>Table1341721[[#This Row],[Total Value]]-Table1341721[[#This Row],[Received]]</f>
        <v>0</v>
      </c>
      <c r="J12" s="1" t="str">
        <f>IF(I12&gt;10000,"🚨 URGENT: "&amp;C12&amp;" owes ₹"&amp;I12,IF(I12&gt;5000,"⚠️ WARNING: "&amp;C12&amp;" - ₹"&amp;I12&amp;" due",IF(I12&gt;0,"ℹ️ "&amp;C12&amp;" - ₹"&amp;I12&amp;" pending","✅ Paid")))</f>
        <v>✅ Paid</v>
      </c>
    </row>
    <row r="13" spans="1:10" ht="19">
      <c r="A13" s="24">
        <v>46008</v>
      </c>
      <c r="B13" s="30" t="s">
        <v>43</v>
      </c>
      <c r="C13" s="34" t="s">
        <v>177</v>
      </c>
      <c r="D13" s="34" t="s">
        <v>178</v>
      </c>
      <c r="E13" s="4">
        <v>2</v>
      </c>
      <c r="F13" s="29">
        <v>3500</v>
      </c>
      <c r="G13" s="28">
        <f>Table1341721[[#This Row],[Rate /Trips]]*Table1341721[[#This Row],[Trips]]</f>
        <v>7000</v>
      </c>
      <c r="H13" s="29">
        <v>7000</v>
      </c>
      <c r="I13" s="28">
        <f>Table1341721[[#This Row],[Total Value]]-Table1341721[[#This Row],[Received]]</f>
        <v>0</v>
      </c>
      <c r="J13" s="1" t="str">
        <f>IF(I13&gt;10000,"🚨 URGENT: "&amp;C13&amp;" owes ₹"&amp;I13,IF(I13&gt;5000,"⚠️ WARNING: "&amp;C13&amp;" - ₹"&amp;I13&amp;" due",IF(I13&gt;0,"ℹ️ "&amp;C13&amp;" - ₹"&amp;I13&amp;" pending","✅ Paid")))</f>
        <v>✅ Paid</v>
      </c>
    </row>
    <row r="14" spans="1:10" ht="19">
      <c r="A14" s="24">
        <v>46008</v>
      </c>
      <c r="B14" s="30" t="s">
        <v>43</v>
      </c>
      <c r="C14" s="26" t="s">
        <v>134</v>
      </c>
      <c r="D14" s="26" t="s">
        <v>37</v>
      </c>
      <c r="E14" s="4">
        <v>4</v>
      </c>
      <c r="F14" s="29">
        <v>3000</v>
      </c>
      <c r="G14" s="28">
        <f>Table1341721[[#This Row],[Rate /Trips]]*Table1341721[[#This Row],[Trips]]</f>
        <v>12000</v>
      </c>
      <c r="H14" s="29">
        <v>12000</v>
      </c>
      <c r="I14" s="28">
        <f>Table1341721[[#This Row],[Total Value]]-Table1341721[[#This Row],[Received]]</f>
        <v>0</v>
      </c>
      <c r="J14" s="1" t="str">
        <f>IF(I14&gt;10000,"🚨 URGENT: "&amp;C14&amp;" owes ₹"&amp;I14,IF(I14&gt;5000,"⚠️ WARNING: "&amp;C14&amp;" - ₹"&amp;I14&amp;" due",IF(I14&gt;0,"ℹ️ "&amp;C14&amp;" - ₹"&amp;I14&amp;" pending","✅ Paid")))</f>
        <v>✅ Paid</v>
      </c>
    </row>
    <row r="15" spans="1:10" ht="19">
      <c r="A15" s="24">
        <v>46009</v>
      </c>
      <c r="B15" s="30" t="s">
        <v>43</v>
      </c>
      <c r="C15" s="26" t="s">
        <v>134</v>
      </c>
      <c r="D15" s="26" t="s">
        <v>37</v>
      </c>
      <c r="E15" s="4">
        <v>1</v>
      </c>
      <c r="F15" s="29">
        <v>3000</v>
      </c>
      <c r="G15" s="29">
        <f>Table1341721[[#This Row],[Rate /Trips]]*Table1341721[[#This Row],[Trips]]</f>
        <v>3000</v>
      </c>
      <c r="H15" s="29">
        <v>3000</v>
      </c>
      <c r="I15" s="29">
        <f>Table1341721[[#This Row],[Total Value]]-Table1341721[[#This Row],[Received]]</f>
        <v>0</v>
      </c>
      <c r="J15" s="1" t="str">
        <f>IF(I15&gt;10000,"🚨 URGENT: "&amp;C15&amp;" owes ₹"&amp;I15,IF(I15&gt;5000,"⚠️ WARNING: "&amp;C15&amp;" - ₹"&amp;I15&amp;" due",IF(I15&gt;0,"ℹ️ "&amp;C15&amp;" - ₹"&amp;I15&amp;" pending","✅ Paid")))</f>
        <v>✅ Paid</v>
      </c>
    </row>
    <row r="16" spans="1:10" ht="19">
      <c r="A16" s="24">
        <v>46012</v>
      </c>
      <c r="B16" s="30" t="s">
        <v>43</v>
      </c>
      <c r="C16" s="26" t="s">
        <v>134</v>
      </c>
      <c r="D16" s="26" t="s">
        <v>37</v>
      </c>
      <c r="E16" s="4">
        <v>1</v>
      </c>
      <c r="F16" s="29">
        <v>3000</v>
      </c>
      <c r="G16" s="29">
        <f>Table1341721[[#This Row],[Rate /Trips]]*Table1341721[[#This Row],[Trips]]</f>
        <v>3000</v>
      </c>
      <c r="H16" s="29">
        <v>3000</v>
      </c>
      <c r="I16" s="29">
        <f>Table1341721[[#This Row],[Total Value]]-Table1341721[[#This Row],[Received]]</f>
        <v>0</v>
      </c>
      <c r="J16" s="1" t="str">
        <f>IF(I16&gt;10000,"🚨 URGENT: "&amp;C16&amp;" owes ₹"&amp;I16,IF(I16&gt;5000,"⚠️ WARNING: "&amp;C16&amp;" - ₹"&amp;I16&amp;" due",IF(I16&gt;0,"ℹ️ "&amp;C16&amp;" - ₹"&amp;I16&amp;" pending","✅ Paid")))</f>
        <v>✅ Paid</v>
      </c>
    </row>
    <row r="17" spans="1:10" ht="19">
      <c r="A17" s="24">
        <v>46012</v>
      </c>
      <c r="B17" s="30" t="s">
        <v>170</v>
      </c>
      <c r="C17" s="26" t="s">
        <v>134</v>
      </c>
      <c r="D17" s="26" t="s">
        <v>37</v>
      </c>
      <c r="E17" s="20">
        <v>2</v>
      </c>
      <c r="F17" s="29">
        <v>3000</v>
      </c>
      <c r="G17" s="29">
        <f>Table1341721[[#This Row],[Rate /Trips]]*Table1341721[[#This Row],[Trips]]</f>
        <v>6000</v>
      </c>
      <c r="H17" s="29">
        <v>6000</v>
      </c>
      <c r="I17" s="29">
        <f>Table1341721[[#This Row],[Total Value]]-Table1341721[[#This Row],[Received]]</f>
        <v>0</v>
      </c>
      <c r="J17" s="1" t="str">
        <f>IF(I17&gt;10000,"🚨 URGENT: "&amp;C17&amp;" owes ₹"&amp;I17,IF(I17&gt;5000,"⚠️ WARNING: "&amp;C17&amp;" - ₹"&amp;I17&amp;" due",IF(I17&gt;0,"ℹ️ "&amp;C17&amp;" - ₹"&amp;I17&amp;" pending","✅ Paid")))</f>
        <v>✅ Paid</v>
      </c>
    </row>
    <row r="18" spans="1:10" ht="19">
      <c r="A18" s="24">
        <v>46013</v>
      </c>
      <c r="B18" s="30" t="s">
        <v>43</v>
      </c>
      <c r="C18" s="26" t="s">
        <v>134</v>
      </c>
      <c r="D18" s="26" t="s">
        <v>37</v>
      </c>
      <c r="E18" s="20">
        <v>3</v>
      </c>
      <c r="F18" s="29">
        <v>3000</v>
      </c>
      <c r="G18" s="29">
        <f>Table1341721[[#This Row],[Rate /Trips]]*Table1341721[[#This Row],[Trips]]</f>
        <v>9000</v>
      </c>
      <c r="H18" s="29">
        <v>9000</v>
      </c>
      <c r="I18" s="29">
        <f>Table1341721[[#This Row],[Total Value]]-Table1341721[[#This Row],[Received]]</f>
        <v>0</v>
      </c>
      <c r="J18" s="1" t="str">
        <f>IF(I18&gt;10000,"🚨 URGENT: "&amp;C18&amp;" owes ₹"&amp;I18,IF(I18&gt;5000,"⚠️ WARNING: "&amp;C18&amp;" - ₹"&amp;I18&amp;" due",IF(I18&gt;0,"ℹ️ "&amp;C18&amp;" - ₹"&amp;I18&amp;" pending","✅ Paid")))</f>
        <v>✅ Paid</v>
      </c>
    </row>
    <row r="19" spans="1:10" ht="19">
      <c r="A19" s="24">
        <v>46013</v>
      </c>
      <c r="B19" s="31" t="s">
        <v>170</v>
      </c>
      <c r="C19" s="26" t="s">
        <v>134</v>
      </c>
      <c r="D19" s="26" t="s">
        <v>37</v>
      </c>
      <c r="E19" s="20">
        <v>3</v>
      </c>
      <c r="F19" s="29">
        <v>3000</v>
      </c>
      <c r="G19" s="29">
        <f>Table1341721[[#This Row],[Rate /Trips]]*Table1341721[[#This Row],[Trips]]</f>
        <v>9000</v>
      </c>
      <c r="H19" s="29">
        <v>9000</v>
      </c>
      <c r="I19" s="29">
        <f>Table1341721[[#This Row],[Total Value]]-Table1341721[[#This Row],[Received]]</f>
        <v>0</v>
      </c>
      <c r="J19" s="1" t="str">
        <f>IF(I19&gt;10000,"🚨 URGENT: "&amp;C19&amp;" owes ₹"&amp;I19,IF(I19&gt;5000,"⚠️ WARNING: "&amp;C19&amp;" - ₹"&amp;I19&amp;" due",IF(I19&gt;0,"ℹ️ "&amp;C19&amp;" - ₹"&amp;I19&amp;" pending","✅ Paid")))</f>
        <v>✅ Paid</v>
      </c>
    </row>
    <row r="20" spans="1:10" ht="19">
      <c r="A20" s="24">
        <v>46015</v>
      </c>
      <c r="B20" s="30" t="s">
        <v>184</v>
      </c>
      <c r="C20" s="26" t="s">
        <v>134</v>
      </c>
      <c r="D20" s="26" t="s">
        <v>37</v>
      </c>
      <c r="E20" s="20">
        <v>6</v>
      </c>
      <c r="F20" s="29">
        <v>3000</v>
      </c>
      <c r="G20" s="29">
        <f>Table1341721[[#This Row],[Rate /Trips]]*Table1341721[[#This Row],[Trips]]</f>
        <v>18000</v>
      </c>
      <c r="H20" s="29">
        <v>18000</v>
      </c>
      <c r="I20" s="29">
        <f>Table1341721[[#This Row],[Total Value]]-Table1341721[[#This Row],[Received]]</f>
        <v>0</v>
      </c>
      <c r="J20" s="1" t="str">
        <f>IF(I20&gt;10000,"🚨 URGENT: "&amp;C20&amp;" owes ₹"&amp;I20,IF(I20&gt;5000,"⚠️ WARNING: "&amp;C20&amp;" - ₹"&amp;I20&amp;" due",IF(I20&gt;0,"ℹ️ "&amp;C20&amp;" - ₹"&amp;I20&amp;" pending","✅ Paid")))</f>
        <v>✅ Paid</v>
      </c>
    </row>
    <row r="21" spans="1:10" ht="19">
      <c r="A21" s="24">
        <v>46016</v>
      </c>
      <c r="B21" s="30" t="s">
        <v>184</v>
      </c>
      <c r="C21" s="26" t="s">
        <v>134</v>
      </c>
      <c r="D21" s="26" t="s">
        <v>37</v>
      </c>
      <c r="E21" s="4">
        <v>6</v>
      </c>
      <c r="F21" s="29">
        <v>3000</v>
      </c>
      <c r="G21" s="29">
        <f>Table1341721[[#This Row],[Rate /Trips]]*Table1341721[[#This Row],[Trips]]</f>
        <v>18000</v>
      </c>
      <c r="H21" s="29">
        <v>18000</v>
      </c>
      <c r="I21" s="29">
        <f>Table1341721[[#This Row],[Total Value]]-Table1341721[[#This Row],[Received]]</f>
        <v>0</v>
      </c>
      <c r="J21" s="1" t="str">
        <f>IF(I21&gt;10000,"🚨 URGENT: "&amp;C21&amp;" owes ₹"&amp;I21,IF(I21&gt;5000,"⚠️ WARNING: "&amp;C21&amp;" - ₹"&amp;I21&amp;" due",IF(I21&gt;0,"ℹ️ "&amp;C21&amp;" - ₹"&amp;I21&amp;" pending","✅ Paid")))</f>
        <v>✅ Paid</v>
      </c>
    </row>
    <row r="22" spans="1:10" ht="19">
      <c r="A22" s="24">
        <v>46017</v>
      </c>
      <c r="B22" s="31" t="s">
        <v>185</v>
      </c>
      <c r="C22" s="26" t="s">
        <v>186</v>
      </c>
      <c r="D22" s="26" t="s">
        <v>21</v>
      </c>
      <c r="E22" s="20">
        <v>2</v>
      </c>
      <c r="F22" s="29">
        <v>3500</v>
      </c>
      <c r="G22" s="29">
        <f>Table1341721[[#This Row],[Rate /Trips]]*Table1341721[[#This Row],[Trips]]</f>
        <v>7000</v>
      </c>
      <c r="H22" s="29">
        <v>7000</v>
      </c>
      <c r="I22" s="29">
        <f>Table1341721[[#This Row],[Total Value]]-Table1341721[[#This Row],[Received]]</f>
        <v>0</v>
      </c>
      <c r="J22" s="1" t="str">
        <f>IF(I22&gt;10000,"🚨 URGENT: "&amp;C22&amp;" owes ₹"&amp;I22,IF(I22&gt;5000,"⚠️ WARNING: "&amp;C22&amp;" - ₹"&amp;I22&amp;" due",IF(I22&gt;0,"ℹ️ "&amp;C22&amp;" - ₹"&amp;I22&amp;" pending","✅ Paid")))</f>
        <v>✅ Paid</v>
      </c>
    </row>
    <row r="23" spans="1:10" ht="19">
      <c r="A23" s="24">
        <v>46017</v>
      </c>
      <c r="B23" s="31" t="s">
        <v>187</v>
      </c>
      <c r="C23" s="26" t="s">
        <v>135</v>
      </c>
      <c r="D23" s="26" t="s">
        <v>188</v>
      </c>
      <c r="E23" s="20">
        <v>6</v>
      </c>
      <c r="F23" s="29">
        <v>3500</v>
      </c>
      <c r="G23" s="29">
        <f>Table1341721[[#This Row],[Rate /Trips]]*Table1341721[[#This Row],[Trips]]</f>
        <v>21000</v>
      </c>
      <c r="H23" s="29">
        <v>21000</v>
      </c>
      <c r="I23" s="29">
        <f>Table1341721[[#This Row],[Total Value]]-Table1341721[[#This Row],[Received]]</f>
        <v>0</v>
      </c>
      <c r="J23" s="1" t="str">
        <f>IF(I23&gt;10000,"🚨 URGENT: "&amp;C23&amp;" owes ₹"&amp;I23,IF(I23&gt;5000,"⚠️ WARNING: "&amp;C23&amp;" - ₹"&amp;I23&amp;" due",IF(I23&gt;0,"ℹ️ "&amp;C23&amp;" - ₹"&amp;I23&amp;" pending","✅ Paid")))</f>
        <v>✅ Paid</v>
      </c>
    </row>
    <row r="24" spans="1:10" ht="19">
      <c r="A24" s="24">
        <v>46017</v>
      </c>
      <c r="B24" s="31" t="s">
        <v>43</v>
      </c>
      <c r="C24" s="34" t="s">
        <v>177</v>
      </c>
      <c r="D24" s="34" t="s">
        <v>178</v>
      </c>
      <c r="E24" s="20">
        <v>2</v>
      </c>
      <c r="F24" s="29">
        <v>3500</v>
      </c>
      <c r="G24" s="29">
        <f>Table1341721[[#This Row],[Rate /Trips]]*Table1341721[[#This Row],[Trips]]</f>
        <v>7000</v>
      </c>
      <c r="H24" s="29">
        <v>7000</v>
      </c>
      <c r="I24" s="29">
        <f>Table1341721[[#This Row],[Total Value]]-Table1341721[[#This Row],[Received]]</f>
        <v>0</v>
      </c>
      <c r="J24" s="1" t="str">
        <f>IF(I24&gt;10000,"🚨 URGENT: "&amp;C24&amp;" owes ₹"&amp;I24,IF(I24&gt;5000,"⚠️ WARNING: "&amp;C24&amp;" - ₹"&amp;I24&amp;" due",IF(I24&gt;0,"ℹ️ "&amp;C24&amp;" - ₹"&amp;I24&amp;" pending","✅ Paid")))</f>
        <v>✅ Paid</v>
      </c>
    </row>
    <row r="25" spans="1:10" ht="19">
      <c r="A25" s="24">
        <v>46018</v>
      </c>
      <c r="B25" s="31" t="s">
        <v>189</v>
      </c>
      <c r="C25" s="26" t="s">
        <v>135</v>
      </c>
      <c r="D25" s="26" t="s">
        <v>188</v>
      </c>
      <c r="E25" s="20">
        <v>3</v>
      </c>
      <c r="F25" s="29">
        <v>3500</v>
      </c>
      <c r="G25" s="29">
        <f>Table1341721[[#This Row],[Rate /Trips]]*Table1341721[[#This Row],[Trips]]</f>
        <v>10500</v>
      </c>
      <c r="H25" s="29">
        <v>10500</v>
      </c>
      <c r="I25" s="29">
        <f>Table1341721[[#This Row],[Total Value]]-Table1341721[[#This Row],[Received]]</f>
        <v>0</v>
      </c>
      <c r="J25" s="1" t="str">
        <f>IF(I25&gt;10000,"🚨 URGENT: "&amp;C25&amp;" owes ₹"&amp;I25,IF(I25&gt;5000,"⚠️ WARNING: "&amp;C25&amp;" - ₹"&amp;I25&amp;" due",IF(I25&gt;0,"ℹ️ "&amp;C25&amp;" - ₹"&amp;I25&amp;" pending","✅ Paid")))</f>
        <v>✅ Paid</v>
      </c>
    </row>
    <row r="26" spans="1:10" ht="19">
      <c r="A26" s="24">
        <v>46018</v>
      </c>
      <c r="B26" s="31" t="s">
        <v>190</v>
      </c>
      <c r="C26" s="26" t="s">
        <v>134</v>
      </c>
      <c r="D26" s="26" t="s">
        <v>37</v>
      </c>
      <c r="E26" s="20">
        <v>5</v>
      </c>
      <c r="F26" s="29">
        <v>3000</v>
      </c>
      <c r="G26" s="29">
        <f>Table1341721[[#This Row],[Rate /Trips]]*Table1341721[[#This Row],[Trips]]</f>
        <v>15000</v>
      </c>
      <c r="H26" s="29">
        <v>15000</v>
      </c>
      <c r="I26" s="29">
        <f>Table1341721[[#This Row],[Total Value]]-Table1341721[[#This Row],[Received]]</f>
        <v>0</v>
      </c>
      <c r="J26" s="1" t="str">
        <f>IF(I26&gt;10000,"🚨 URGENT: "&amp;C26&amp;" owes ₹"&amp;I26,IF(I26&gt;5000,"⚠️ WARNING: "&amp;C26&amp;" - ₹"&amp;I26&amp;" due",IF(I26&gt;0,"ℹ️ "&amp;C26&amp;" - ₹"&amp;I26&amp;" pending","✅ Paid")))</f>
        <v>✅ Paid</v>
      </c>
    </row>
    <row r="27" spans="1:10" ht="19">
      <c r="A27" s="24">
        <v>46019</v>
      </c>
      <c r="B27" s="31" t="s">
        <v>170</v>
      </c>
      <c r="C27" s="26" t="s">
        <v>192</v>
      </c>
      <c r="D27" s="26" t="s">
        <v>21</v>
      </c>
      <c r="E27" s="20">
        <v>1</v>
      </c>
      <c r="F27" s="29">
        <v>3000</v>
      </c>
      <c r="G27" s="29">
        <f>Table1341721[[#This Row],[Rate /Trips]]*Table1341721[[#This Row],[Trips]]</f>
        <v>3000</v>
      </c>
      <c r="H27" s="29">
        <v>3000</v>
      </c>
      <c r="I27" s="29">
        <f>Table1341721[[#This Row],[Total Value]]-Table1341721[[#This Row],[Received]]</f>
        <v>0</v>
      </c>
      <c r="J27" s="1" t="str">
        <f>IF(I27&gt;10000,"🚨 URGENT: "&amp;C27&amp;" owes ₹"&amp;I27,IF(I27&gt;5000,"⚠️ WARNING: "&amp;C27&amp;" - ₹"&amp;I27&amp;" due",IF(I27&gt;0,"ℹ️ "&amp;C27&amp;" - ₹"&amp;I27&amp;" pending","✅ Paid")))</f>
        <v>✅ Paid</v>
      </c>
    </row>
    <row r="28" spans="1:10" ht="19">
      <c r="A28" s="24">
        <v>46019</v>
      </c>
      <c r="B28" s="31" t="s">
        <v>191</v>
      </c>
      <c r="C28" s="26" t="s">
        <v>134</v>
      </c>
      <c r="D28" s="26" t="s">
        <v>37</v>
      </c>
      <c r="E28" s="20">
        <v>7</v>
      </c>
      <c r="F28" s="29">
        <v>3000</v>
      </c>
      <c r="G28" s="29">
        <f>Table1341721[[#This Row],[Rate /Trips]]*Table1341721[[#This Row],[Trips]]</f>
        <v>21000</v>
      </c>
      <c r="H28" s="29">
        <v>21000</v>
      </c>
      <c r="I28" s="29">
        <f>Table1341721[[#This Row],[Total Value]]-Table1341721[[#This Row],[Received]]</f>
        <v>0</v>
      </c>
      <c r="J28" s="1" t="str">
        <f>IF(I28&gt;10000,"🚨 URGENT: "&amp;C28&amp;" owes ₹"&amp;I28,IF(I28&gt;5000,"⚠️ WARNING: "&amp;C28&amp;" - ₹"&amp;I28&amp;" due",IF(I28&gt;0,"ℹ️ "&amp;C28&amp;" - ₹"&amp;I28&amp;" pending","✅ Paid")))</f>
        <v>✅ Paid</v>
      </c>
    </row>
    <row r="29" spans="1:10" ht="19">
      <c r="A29" s="24">
        <v>46020</v>
      </c>
      <c r="B29" s="31" t="s">
        <v>43</v>
      </c>
      <c r="C29" s="26" t="s">
        <v>193</v>
      </c>
      <c r="D29" s="26" t="s">
        <v>21</v>
      </c>
      <c r="E29" s="20">
        <v>2</v>
      </c>
      <c r="F29" s="29">
        <v>3500</v>
      </c>
      <c r="G29" s="29">
        <f>Table1341721[[#This Row],[Rate /Trips]]*Table1341721[[#This Row],[Trips]]</f>
        <v>7000</v>
      </c>
      <c r="H29" s="29">
        <v>7000</v>
      </c>
      <c r="I29" s="29">
        <f>Table1341721[[#This Row],[Total Value]]-Table1341721[[#This Row],[Received]]</f>
        <v>0</v>
      </c>
      <c r="J29" s="1" t="str">
        <f>IF(I29&gt;10000,"🚨 URGENT: "&amp;C29&amp;" owes ₹"&amp;I29,IF(I29&gt;5000,"⚠️ WARNING: "&amp;C29&amp;" - ₹"&amp;I29&amp;" due",IF(I29&gt;0,"ℹ️ "&amp;C29&amp;" - ₹"&amp;I29&amp;" pending","✅ Paid")))</f>
        <v>✅ Paid</v>
      </c>
    </row>
    <row r="30" spans="1:10" ht="19">
      <c r="A30" s="24">
        <v>46020</v>
      </c>
      <c r="B30" s="31" t="s">
        <v>43</v>
      </c>
      <c r="C30" s="26" t="s">
        <v>134</v>
      </c>
      <c r="D30" s="26" t="s">
        <v>37</v>
      </c>
      <c r="E30" s="20">
        <v>2</v>
      </c>
      <c r="F30" s="29">
        <v>3000</v>
      </c>
      <c r="G30" s="29">
        <f>Table1341721[[#This Row],[Rate /Trips]]*Table1341721[[#This Row],[Trips]]</f>
        <v>6000</v>
      </c>
      <c r="H30" s="29">
        <v>6000</v>
      </c>
      <c r="I30" s="29">
        <f>Table1341721[[#This Row],[Total Value]]-Table1341721[[#This Row],[Received]]</f>
        <v>0</v>
      </c>
      <c r="J30" s="1" t="str">
        <f>IF(I30&gt;10000,"🚨 URGENT: "&amp;C30&amp;" owes ₹"&amp;I30,IF(I30&gt;5000,"⚠️ WARNING: "&amp;C30&amp;" - ₹"&amp;I30&amp;" due",IF(I30&gt;0,"ℹ️ "&amp;C30&amp;" - ₹"&amp;I30&amp;" pending","✅ Paid")))</f>
        <v>✅ Paid</v>
      </c>
    </row>
    <row r="31" spans="1:10" ht="19">
      <c r="A31" s="24">
        <v>46020</v>
      </c>
      <c r="B31" s="31" t="s">
        <v>43</v>
      </c>
      <c r="C31" s="26" t="s">
        <v>194</v>
      </c>
      <c r="D31" s="26" t="s">
        <v>9</v>
      </c>
      <c r="E31" s="20">
        <v>2</v>
      </c>
      <c r="F31" s="29">
        <v>3500</v>
      </c>
      <c r="G31" s="29">
        <f>Table1341721[[#This Row],[Rate /Trips]]*Table1341721[[#This Row],[Trips]]</f>
        <v>7000</v>
      </c>
      <c r="H31" s="29">
        <v>7000</v>
      </c>
      <c r="I31" s="29">
        <f>Table1341721[[#This Row],[Total Value]]-Table1341721[[#This Row],[Received]]</f>
        <v>0</v>
      </c>
      <c r="J31" s="1" t="str">
        <f>IF(I31&gt;10000,"🚨 URGENT: "&amp;C31&amp;" owes ₹"&amp;I31,IF(I31&gt;5000,"⚠️ WARNING: "&amp;C31&amp;" - ₹"&amp;I31&amp;" due",IF(I31&gt;0,"ℹ️ "&amp;C31&amp;" - ₹"&amp;I31&amp;" pending","✅ Paid")))</f>
        <v>✅ Paid</v>
      </c>
    </row>
    <row r="32" spans="1:10" ht="19">
      <c r="A32" s="24">
        <v>46021</v>
      </c>
      <c r="B32" s="31" t="s">
        <v>185</v>
      </c>
      <c r="C32" s="26" t="s">
        <v>134</v>
      </c>
      <c r="D32" s="26" t="s">
        <v>37</v>
      </c>
      <c r="E32" s="20">
        <v>7</v>
      </c>
      <c r="F32" s="29">
        <v>3000</v>
      </c>
      <c r="G32" s="29">
        <f>Table1341721[[#This Row],[Rate /Trips]]*Table1341721[[#This Row],[Trips]]</f>
        <v>21000</v>
      </c>
      <c r="H32" s="29">
        <v>21000</v>
      </c>
      <c r="I32" s="29">
        <f>Table1341721[[#This Row],[Total Value]]-Table1341721[[#This Row],[Received]]</f>
        <v>0</v>
      </c>
      <c r="J32" s="1" t="str">
        <f>IF(I32&gt;10000,"🚨 URGENT: "&amp;C35&amp;" owes ₹"&amp;I32,IF(I32&gt;5000,"⚠️ WARNING: "&amp;C35&amp;" - ₹"&amp;I32&amp;" due",IF(I32&gt;0,"ℹ️ "&amp;C35&amp;" - ₹"&amp;I32&amp;" pending","✅ Paid")))</f>
        <v>✅ Paid</v>
      </c>
    </row>
    <row r="33" spans="1:10" ht="19">
      <c r="A33" s="24">
        <v>46022</v>
      </c>
      <c r="B33" s="31" t="s">
        <v>43</v>
      </c>
      <c r="C33" s="26" t="s">
        <v>192</v>
      </c>
      <c r="D33" s="26" t="s">
        <v>21</v>
      </c>
      <c r="E33" s="20">
        <v>1</v>
      </c>
      <c r="F33" s="29">
        <v>3000</v>
      </c>
      <c r="G33" s="29">
        <f>Table1341721[[#This Row],[Rate /Trips]]*Table1341721[[#This Row],[Trips]]</f>
        <v>3000</v>
      </c>
      <c r="H33" s="29">
        <v>3000</v>
      </c>
      <c r="I33" s="29">
        <f>Table1341721[[#This Row],[Total Value]]-Table1341721[[#This Row],[Received]]</f>
        <v>0</v>
      </c>
      <c r="J33" s="1" t="str">
        <f>IF(I33&gt;10000,"🚨 URGENT: "&amp;C36&amp;" owes ₹"&amp;I33,IF(I33&gt;5000,"⚠️ WARNING: "&amp;C36&amp;" - ₹"&amp;I33&amp;" due",IF(I33&gt;0,"ℹ️ "&amp;C36&amp;" - ₹"&amp;I33&amp;" pending","✅ Paid")))</f>
        <v>✅ Paid</v>
      </c>
    </row>
    <row r="34" spans="1:10" ht="19">
      <c r="A34" s="24">
        <v>46022</v>
      </c>
      <c r="B34" s="31" t="s">
        <v>43</v>
      </c>
      <c r="C34" s="26" t="s">
        <v>194</v>
      </c>
      <c r="D34" s="26" t="s">
        <v>9</v>
      </c>
      <c r="E34" s="20">
        <v>1</v>
      </c>
      <c r="F34" s="29">
        <v>3500</v>
      </c>
      <c r="G34" s="29">
        <f>Table1341721[[#This Row],[Rate /Trips]]*Table1341721[[#This Row],[Trips]]</f>
        <v>3500</v>
      </c>
      <c r="H34" s="29">
        <v>3500</v>
      </c>
      <c r="I34" s="29">
        <f>Table1341721[[#This Row],[Total Value]]-Table1341721[[#This Row],[Received]]</f>
        <v>0</v>
      </c>
      <c r="J34" s="1" t="str">
        <f>IF(I34&gt;10000,"🚨 URGENT: "&amp;C37&amp;" owes ₹"&amp;I34,IF(I34&gt;5000,"⚠️ WARNING: "&amp;C37&amp;" - ₹"&amp;I34&amp;" due",IF(I34&gt;0,"ℹ️ "&amp;C37&amp;" - ₹"&amp;I34&amp;" pending","✅ Paid")))</f>
        <v>✅ Paid</v>
      </c>
    </row>
    <row r="35" spans="1:10" ht="19" customHeight="1">
      <c r="A35" s="1"/>
      <c r="B35" s="35"/>
      <c r="C35" s="22"/>
      <c r="D35" s="22"/>
      <c r="E35" s="1"/>
      <c r="F35" s="22"/>
      <c r="G35" s="36"/>
      <c r="H35" s="22"/>
      <c r="I35" s="36"/>
      <c r="J35" s="1"/>
    </row>
    <row r="36" spans="1:10" ht="19">
      <c r="A36" s="24"/>
      <c r="B36" s="31"/>
      <c r="C36" s="26"/>
      <c r="D36" s="26"/>
      <c r="E36" s="20"/>
      <c r="F36" s="29"/>
      <c r="G36" s="29"/>
      <c r="H36" s="29"/>
      <c r="I36" s="29"/>
      <c r="J36" s="1"/>
    </row>
    <row r="37" spans="1:10" ht="19">
      <c r="A37" s="24"/>
      <c r="B37" s="31"/>
      <c r="C37" s="26"/>
      <c r="D37" s="26"/>
      <c r="E37" s="20"/>
      <c r="F37" s="29"/>
      <c r="G37" s="29"/>
      <c r="H37" s="29"/>
      <c r="I37" s="29"/>
      <c r="J37" s="1"/>
    </row>
    <row r="38" spans="1:10" ht="19">
      <c r="A38" s="24"/>
      <c r="B38" s="31"/>
      <c r="C38" s="26"/>
      <c r="D38" s="26"/>
      <c r="E38" s="20"/>
      <c r="F38" s="29"/>
      <c r="G38" s="29"/>
      <c r="H38" s="29"/>
      <c r="I38" s="29"/>
      <c r="J38" s="1"/>
    </row>
    <row r="39" spans="1:10" ht="19">
      <c r="A39" s="24"/>
      <c r="B39" s="31"/>
      <c r="C39" s="26"/>
      <c r="D39" s="26"/>
      <c r="E39" s="20"/>
      <c r="F39" s="29"/>
      <c r="G39" s="29"/>
      <c r="H39" s="29"/>
      <c r="I39" s="29"/>
      <c r="J39" s="1"/>
    </row>
    <row r="40" spans="1:10" ht="19">
      <c r="A40" s="24"/>
      <c r="B40" s="31"/>
      <c r="C40" s="26"/>
      <c r="D40" s="26"/>
      <c r="E40" s="20"/>
      <c r="F40" s="29"/>
      <c r="G40" s="29"/>
      <c r="H40" s="29"/>
      <c r="I40" s="29"/>
      <c r="J40" s="1"/>
    </row>
    <row r="41" spans="1:10" ht="19">
      <c r="A41" s="24"/>
      <c r="B41" s="31"/>
      <c r="C41" s="26"/>
      <c r="D41" s="26"/>
      <c r="E41" s="20"/>
      <c r="F41" s="29"/>
      <c r="G41" s="29"/>
      <c r="H41" s="29"/>
      <c r="I41" s="29"/>
      <c r="J41" s="1"/>
    </row>
    <row r="42" spans="1:10" ht="19">
      <c r="A42" s="24"/>
      <c r="B42" s="31"/>
      <c r="C42" s="26"/>
      <c r="D42" s="26"/>
      <c r="E42" s="20"/>
      <c r="F42" s="29"/>
      <c r="G42" s="29"/>
      <c r="H42" s="29"/>
      <c r="I42" s="29"/>
      <c r="J42" s="1"/>
    </row>
    <row r="43" spans="1:10" ht="19">
      <c r="A43" s="24"/>
      <c r="B43" s="31"/>
      <c r="C43" s="26"/>
      <c r="D43" s="26"/>
      <c r="E43" s="20"/>
      <c r="F43" s="29"/>
      <c r="G43" s="29"/>
      <c r="H43" s="29"/>
      <c r="I43" s="29"/>
      <c r="J43" s="1"/>
    </row>
    <row r="44" spans="1:10" ht="19">
      <c r="A44" s="24"/>
      <c r="B44" s="31"/>
      <c r="C44" s="26"/>
      <c r="D44" s="26"/>
      <c r="E44" s="20"/>
      <c r="F44" s="29"/>
      <c r="G44" s="29"/>
      <c r="H44" s="29"/>
      <c r="I44" s="29"/>
      <c r="J44" s="1"/>
    </row>
    <row r="45" spans="1:10" ht="19">
      <c r="A45" s="24"/>
      <c r="B45" s="31"/>
      <c r="C45" s="26"/>
      <c r="D45" s="26"/>
      <c r="E45" s="20"/>
      <c r="F45" s="29"/>
      <c r="G45" s="29"/>
      <c r="H45" s="29"/>
      <c r="I45" s="29"/>
      <c r="J45" s="1"/>
    </row>
    <row r="46" spans="1:10" ht="19">
      <c r="A46" s="24"/>
      <c r="B46" s="31"/>
      <c r="C46" s="26"/>
      <c r="D46" s="26"/>
      <c r="E46" s="20"/>
      <c r="F46" s="29"/>
      <c r="G46" s="29"/>
      <c r="H46" s="29"/>
      <c r="I46" s="29"/>
      <c r="J46" s="1"/>
    </row>
    <row r="47" spans="1:10" ht="19">
      <c r="A47" s="24"/>
      <c r="B47" s="31"/>
      <c r="C47" s="26"/>
      <c r="D47" s="26"/>
      <c r="E47" s="20"/>
      <c r="F47" s="29"/>
      <c r="G47" s="29"/>
      <c r="H47" s="29"/>
      <c r="I47" s="29"/>
      <c r="J47" s="1"/>
    </row>
    <row r="48" spans="1:10" ht="19">
      <c r="A48" s="24"/>
      <c r="B48" s="31"/>
      <c r="C48" s="26"/>
      <c r="D48" s="26"/>
      <c r="E48" s="20"/>
      <c r="F48" s="29"/>
      <c r="G48" s="29"/>
      <c r="H48" s="29"/>
      <c r="I48" s="29"/>
      <c r="J48" s="1"/>
    </row>
    <row r="49" spans="1:10" ht="19">
      <c r="A49" s="24"/>
      <c r="B49" s="31"/>
      <c r="C49" s="26"/>
      <c r="D49" s="26"/>
      <c r="E49" s="20"/>
      <c r="F49" s="29"/>
      <c r="G49" s="29"/>
      <c r="H49" s="29"/>
      <c r="I49" s="29"/>
      <c r="J49" s="1"/>
    </row>
    <row r="50" spans="1:10" ht="19">
      <c r="A50" s="24"/>
      <c r="B50" s="31"/>
      <c r="C50" s="26"/>
      <c r="D50" s="26"/>
      <c r="E50" s="20"/>
      <c r="F50" s="29"/>
      <c r="G50" s="29"/>
      <c r="H50" s="29"/>
      <c r="I50" s="29"/>
      <c r="J50" s="1"/>
    </row>
    <row r="51" spans="1:10" ht="19">
      <c r="A51" s="24"/>
      <c r="B51" s="31"/>
      <c r="C51" s="26"/>
      <c r="D51" s="26"/>
      <c r="E51" s="20"/>
      <c r="F51" s="29"/>
      <c r="G51" s="29"/>
      <c r="H51" s="29"/>
      <c r="I51" s="29"/>
      <c r="J51" s="1"/>
    </row>
    <row r="52" spans="1:10" ht="19">
      <c r="A52" s="24"/>
      <c r="B52" s="31"/>
      <c r="C52" s="26"/>
      <c r="D52" s="26"/>
      <c r="E52" s="20"/>
      <c r="F52" s="29"/>
      <c r="G52" s="29"/>
      <c r="H52" s="29"/>
      <c r="I52" s="29"/>
      <c r="J52" s="1"/>
    </row>
    <row r="53" spans="1:10" ht="19">
      <c r="A53" s="18"/>
      <c r="B53" s="19"/>
      <c r="C53" s="20"/>
      <c r="D53" s="20"/>
      <c r="E53" s="20"/>
      <c r="F53" s="21"/>
      <c r="G53" s="21"/>
      <c r="H53" s="21"/>
      <c r="I53" s="21"/>
      <c r="J53" s="22"/>
    </row>
    <row r="54" spans="1:10" ht="21">
      <c r="D54" s="9"/>
      <c r="E54" s="10" t="s">
        <v>100</v>
      </c>
      <c r="F54" s="11"/>
      <c r="G54" s="12" t="s">
        <v>97</v>
      </c>
      <c r="H54" s="12" t="s">
        <v>101</v>
      </c>
      <c r="I54" s="12" t="s">
        <v>45</v>
      </c>
    </row>
    <row r="55" spans="1:10" ht="21">
      <c r="D55" s="13" t="s">
        <v>102</v>
      </c>
      <c r="E55" s="14">
        <f>SUM(E5:E53)</f>
        <v>84</v>
      </c>
      <c r="F55" s="15"/>
      <c r="G55" s="16">
        <f>SUM(G5:G53)</f>
        <v>263500</v>
      </c>
      <c r="H55" s="16">
        <f>SUM(H5:H53)</f>
        <v>260000</v>
      </c>
      <c r="I55" s="16">
        <f>SUM(I5:I53)</f>
        <v>3500</v>
      </c>
    </row>
    <row r="56" spans="1:10" ht="51" customHeight="1">
      <c r="A56" s="40" t="s">
        <v>103</v>
      </c>
      <c r="B56" s="40"/>
      <c r="C56" s="40"/>
      <c r="D56" s="17"/>
      <c r="E56" s="17"/>
      <c r="F56" s="17"/>
      <c r="G56" s="17"/>
      <c r="H56" s="17"/>
      <c r="I56" s="17"/>
    </row>
    <row r="60" spans="1:10" ht="29">
      <c r="A60" s="38" t="s">
        <v>91</v>
      </c>
      <c r="B60" s="38"/>
      <c r="C60" s="38"/>
      <c r="D60" s="38"/>
      <c r="E60" s="38"/>
      <c r="F60" s="38"/>
      <c r="G60" s="38"/>
      <c r="H60" s="38"/>
      <c r="I60" s="38"/>
    </row>
    <row r="61" spans="1:10">
      <c r="A61" s="39" t="s">
        <v>165</v>
      </c>
      <c r="B61" s="39"/>
      <c r="C61" s="39"/>
      <c r="D61" s="39"/>
      <c r="E61" s="39"/>
      <c r="F61" s="39"/>
      <c r="G61" s="39"/>
      <c r="H61" s="39"/>
      <c r="I61" s="39"/>
    </row>
    <row r="62" spans="1:10" ht="16">
      <c r="A62" s="6" t="s">
        <v>0</v>
      </c>
      <c r="B62" s="7" t="s">
        <v>93</v>
      </c>
      <c r="C62" s="7" t="s">
        <v>94</v>
      </c>
      <c r="D62" s="7" t="s">
        <v>95</v>
      </c>
      <c r="E62" s="8" t="s">
        <v>96</v>
      </c>
      <c r="F62" s="8" t="s">
        <v>97</v>
      </c>
      <c r="G62" s="8" t="s">
        <v>98</v>
      </c>
      <c r="H62" s="8" t="s">
        <v>1</v>
      </c>
      <c r="I62" s="8" t="s">
        <v>99</v>
      </c>
    </row>
    <row r="63" spans="1:10">
      <c r="A63" s="1"/>
      <c r="B63" s="1"/>
      <c r="C63" s="1"/>
      <c r="D63" s="1"/>
      <c r="E63" s="1"/>
      <c r="F63" s="23"/>
      <c r="G63" s="1"/>
      <c r="H63" s="23"/>
      <c r="I63" s="1"/>
    </row>
    <row r="64" spans="1:10" ht="19">
      <c r="A64" s="24">
        <v>45992</v>
      </c>
      <c r="B64" s="25" t="s">
        <v>166</v>
      </c>
      <c r="C64" s="25" t="s">
        <v>64</v>
      </c>
      <c r="D64" s="4">
        <v>1</v>
      </c>
      <c r="E64" s="28">
        <v>700</v>
      </c>
      <c r="F64" s="28">
        <f>Table13581014161819[[#This Row],[Rate /Trips]]*Table13581014161819[[#This Row],[Trips]]</f>
        <v>700</v>
      </c>
      <c r="G64" s="28">
        <v>700</v>
      </c>
      <c r="H64" s="28">
        <f>Table13581014161819[[#This Row],[Total Value]]-Table13581014161819[[#This Row],[Received]]</f>
        <v>0</v>
      </c>
      <c r="I64" s="1" t="str">
        <f t="shared" ref="I64:I68" si="0">IF(H64&gt;10000,"🚨 URGENT: "&amp;B64&amp;" owes ₹"&amp;H64,IF(H64&gt;5000,"⚠️ WARNING: "&amp;B64&amp;" - ₹"&amp;H64&amp;" due",IF(H64&gt;0,"ℹ️ "&amp;B64&amp;" - ₹"&amp;H64&amp;" pending","✅ Paid")))</f>
        <v>✅ Paid</v>
      </c>
    </row>
    <row r="65" spans="1:9" ht="19">
      <c r="A65" s="24">
        <v>45993</v>
      </c>
      <c r="B65" s="25" t="s">
        <v>166</v>
      </c>
      <c r="C65" s="25" t="s">
        <v>64</v>
      </c>
      <c r="D65" s="4">
        <v>1</v>
      </c>
      <c r="E65" s="28">
        <v>700</v>
      </c>
      <c r="F65" s="28">
        <f>Table13581014161819[[#This Row],[Rate /Trips]]*Table13581014161819[[#This Row],[Trips]]</f>
        <v>700</v>
      </c>
      <c r="G65" s="28">
        <v>700</v>
      </c>
      <c r="H65" s="28">
        <f>Table13581014161819[[#This Row],[Total Value]]-Table13581014161819[[#This Row],[Received]]</f>
        <v>0</v>
      </c>
      <c r="I65" s="1" t="str">
        <f t="shared" si="0"/>
        <v>✅ Paid</v>
      </c>
    </row>
    <row r="66" spans="1:9" ht="19">
      <c r="A66" s="24">
        <v>46009</v>
      </c>
      <c r="B66" s="25" t="s">
        <v>166</v>
      </c>
      <c r="C66" s="25" t="s">
        <v>64</v>
      </c>
      <c r="D66" s="4">
        <v>2</v>
      </c>
      <c r="E66" s="28">
        <v>700</v>
      </c>
      <c r="F66" s="28">
        <f>Table13581014161819[[#This Row],[Rate /Trips]]*Table13581014161819[[#This Row],[Trips]]</f>
        <v>1400</v>
      </c>
      <c r="G66" s="28">
        <v>1400</v>
      </c>
      <c r="H66" s="28">
        <f>Table13581014161819[[#This Row],[Total Value]]-Table13581014161819[[#This Row],[Received]]</f>
        <v>0</v>
      </c>
      <c r="I66" s="1" t="str">
        <f t="shared" si="0"/>
        <v>✅ Paid</v>
      </c>
    </row>
    <row r="67" spans="1:9" ht="19">
      <c r="A67" s="24">
        <v>46013</v>
      </c>
      <c r="B67" s="25" t="s">
        <v>166</v>
      </c>
      <c r="C67" s="25" t="s">
        <v>64</v>
      </c>
      <c r="D67" s="4">
        <v>1</v>
      </c>
      <c r="E67" s="28">
        <v>700</v>
      </c>
      <c r="F67" s="28">
        <f>Table13581014161819[[#This Row],[Rate /Trips]]*Table13581014161819[[#This Row],[Trips]]</f>
        <v>700</v>
      </c>
      <c r="G67" s="28">
        <v>700</v>
      </c>
      <c r="H67" s="28">
        <f>Table13581014161819[[#This Row],[Total Value]]-Table13581014161819[[#This Row],[Received]]</f>
        <v>0</v>
      </c>
      <c r="I67" s="1" t="str">
        <f t="shared" si="0"/>
        <v>✅ Paid</v>
      </c>
    </row>
    <row r="68" spans="1:9" ht="19">
      <c r="A68" s="24"/>
      <c r="B68" s="25" t="s">
        <v>166</v>
      </c>
      <c r="C68" s="25" t="s">
        <v>64</v>
      </c>
      <c r="D68" s="4">
        <v>4</v>
      </c>
      <c r="E68" s="28">
        <v>700</v>
      </c>
      <c r="F68" s="28">
        <f>Table13581014161819[[#This Row],[Rate /Trips]]*Table13581014161819[[#This Row],[Trips]]</f>
        <v>2800</v>
      </c>
      <c r="G68" s="28">
        <v>2700</v>
      </c>
      <c r="H68" s="28">
        <f>Table13581014161819[[#This Row],[Total Value]]-Table13581014161819[[#This Row],[Received]]</f>
        <v>100</v>
      </c>
      <c r="I68" s="1" t="str">
        <f t="shared" si="0"/>
        <v>ℹ️ Manish Raykunde - ₹100 pending</v>
      </c>
    </row>
    <row r="69" spans="1:9" ht="19">
      <c r="A69" s="24"/>
      <c r="B69" s="25"/>
      <c r="C69" s="25"/>
      <c r="D69" s="4"/>
      <c r="E69" s="28"/>
      <c r="F69" s="28"/>
      <c r="G69" s="28"/>
      <c r="H69" s="28"/>
      <c r="I69" s="1"/>
    </row>
    <row r="70" spans="1:9" ht="19">
      <c r="A70" s="24"/>
      <c r="B70" s="25"/>
      <c r="C70" s="25"/>
      <c r="D70" s="4"/>
      <c r="E70" s="28"/>
      <c r="F70" s="28"/>
      <c r="G70" s="28"/>
      <c r="H70" s="28"/>
      <c r="I70" s="1"/>
    </row>
    <row r="71" spans="1:9" ht="19">
      <c r="A71" s="24"/>
      <c r="B71" s="4"/>
      <c r="C71" s="4"/>
      <c r="D71" s="4"/>
      <c r="E71" s="28"/>
      <c r="F71" s="28"/>
      <c r="G71" s="28"/>
      <c r="H71" s="28"/>
      <c r="I71" s="1"/>
    </row>
    <row r="72" spans="1:9" ht="21">
      <c r="C72" s="9"/>
      <c r="D72" s="10" t="s">
        <v>100</v>
      </c>
      <c r="F72" s="12" t="s">
        <v>97</v>
      </c>
      <c r="G72" s="12" t="s">
        <v>101</v>
      </c>
      <c r="H72" s="12" t="s">
        <v>45</v>
      </c>
    </row>
    <row r="73" spans="1:9" ht="21">
      <c r="C73" s="13" t="s">
        <v>102</v>
      </c>
      <c r="D73" s="14">
        <f>SUM(D64:D71)</f>
        <v>9</v>
      </c>
      <c r="F73" s="16">
        <f>SUM(F64:F71)</f>
        <v>6300</v>
      </c>
      <c r="G73" s="16">
        <f>SUM(G64:G71)</f>
        <v>6200</v>
      </c>
      <c r="H73" s="16">
        <f>SUM(H64:H71)</f>
        <v>100</v>
      </c>
    </row>
    <row r="74" spans="1:9" ht="20">
      <c r="A74" s="40" t="s">
        <v>103</v>
      </c>
      <c r="B74" s="40"/>
      <c r="C74" s="40"/>
      <c r="D74" s="17"/>
      <c r="E74" s="17"/>
      <c r="F74" s="17"/>
      <c r="G74" s="17"/>
      <c r="H74" s="17"/>
      <c r="I74" s="17"/>
    </row>
    <row r="85" spans="1:10" ht="29">
      <c r="A85" s="38" t="s">
        <v>91</v>
      </c>
      <c r="B85" s="38"/>
      <c r="C85" s="38"/>
      <c r="D85" s="38"/>
      <c r="E85" s="38"/>
      <c r="F85" s="38"/>
      <c r="G85" s="38"/>
      <c r="H85" s="38"/>
      <c r="I85" s="38"/>
      <c r="J85" s="38"/>
    </row>
    <row r="86" spans="1:10">
      <c r="A86" s="39" t="s">
        <v>154</v>
      </c>
      <c r="B86" s="39"/>
      <c r="C86" s="39"/>
      <c r="D86" s="39"/>
      <c r="E86" s="39"/>
      <c r="F86" s="39"/>
      <c r="G86" s="39"/>
      <c r="H86" s="39"/>
      <c r="I86" s="39"/>
      <c r="J86" s="39"/>
    </row>
    <row r="87" spans="1:10" ht="16">
      <c r="A87" s="6" t="s">
        <v>0</v>
      </c>
      <c r="B87" s="7" t="s">
        <v>92</v>
      </c>
      <c r="C87" s="7" t="s">
        <v>93</v>
      </c>
      <c r="D87" s="7" t="s">
        <v>94</v>
      </c>
      <c r="E87" s="7" t="s">
        <v>95</v>
      </c>
      <c r="F87" s="8" t="s">
        <v>96</v>
      </c>
      <c r="G87" s="8" t="s">
        <v>97</v>
      </c>
      <c r="H87" s="8" t="s">
        <v>98</v>
      </c>
      <c r="I87" s="8" t="s">
        <v>1</v>
      </c>
      <c r="J87" s="8" t="s">
        <v>99</v>
      </c>
    </row>
    <row r="88" spans="1:10" ht="15" customHeight="1">
      <c r="A88" s="24">
        <v>46017</v>
      </c>
      <c r="B88" s="25" t="s">
        <v>185</v>
      </c>
      <c r="C88" s="26" t="s">
        <v>193</v>
      </c>
      <c r="D88" s="25" t="s">
        <v>21</v>
      </c>
      <c r="E88" s="4">
        <v>2</v>
      </c>
      <c r="F88" s="28">
        <v>3000</v>
      </c>
      <c r="G88" s="28">
        <f>Table134172122[[#This Row],[Rate /Trips]]*Table134172122[[#This Row],[Trips]]</f>
        <v>6000</v>
      </c>
      <c r="H88" s="28"/>
      <c r="I88" s="28">
        <f>Table134172122[[#This Row],[Total Value]]-Table134172122[[#This Row],[Received]]</f>
        <v>6000</v>
      </c>
      <c r="J88" s="1" t="str">
        <f>IF(I88&gt;10000,"🚨 URGENT: "&amp;C88&amp;" owes ₹"&amp;I88,IF(I88&gt;5000,"⚠️ WARNING: "&amp;C88&amp;" - ₹"&amp;I88&amp;" due",IF(I88&gt;0,"ℹ️ "&amp;C88&amp;" - ₹"&amp;I88&amp;" pending","✅ Paid")))</f>
        <v>⚠️ WARNING: Balaji Kaka - ₹6000 due</v>
      </c>
    </row>
    <row r="89" spans="1:10" ht="19">
      <c r="A89" s="24">
        <v>46020</v>
      </c>
      <c r="B89" s="30" t="s">
        <v>43</v>
      </c>
      <c r="C89" s="26" t="s">
        <v>193</v>
      </c>
      <c r="D89" s="26" t="s">
        <v>21</v>
      </c>
      <c r="E89" s="4">
        <v>2</v>
      </c>
      <c r="F89" s="28">
        <v>3000</v>
      </c>
      <c r="G89" s="28">
        <f>Table134172122[[#This Row],[Rate /Trips]]*Table134172122[[#This Row],[Trips]]</f>
        <v>6000</v>
      </c>
      <c r="H89" s="28"/>
      <c r="I89" s="28">
        <f>Table134172122[[#This Row],[Total Value]]-Table134172122[[#This Row],[Received]]</f>
        <v>6000</v>
      </c>
      <c r="J89" s="1" t="str">
        <f>IF(I89&gt;10000,"🚨 URGENT: "&amp;C89&amp;" owes ₹"&amp;I89,IF(I89&gt;5000,"⚠️ WARNING: "&amp;C89&amp;" - ₹"&amp;I89&amp;" due",IF(I89&gt;0,"ℹ️ "&amp;C89&amp;" - ₹"&amp;I89&amp;" pending","✅ Paid")))</f>
        <v>⚠️ WARNING: Balaji Kaka - ₹6000 due</v>
      </c>
    </row>
    <row r="90" spans="1:10" ht="19">
      <c r="A90" s="24">
        <v>45994</v>
      </c>
      <c r="B90" s="31" t="s">
        <v>43</v>
      </c>
      <c r="C90" s="26" t="s">
        <v>183</v>
      </c>
      <c r="D90" s="26" t="s">
        <v>61</v>
      </c>
      <c r="E90" s="20">
        <v>1</v>
      </c>
      <c r="F90" s="29">
        <v>3500</v>
      </c>
      <c r="G90" s="29">
        <f>Table134172122[[#This Row],[Rate /Trips]]*Table134172122[[#This Row],[Trips]]</f>
        <v>3500</v>
      </c>
      <c r="H90" s="29"/>
      <c r="I90" s="29">
        <f>Table134172122[[#This Row],[Total Value]]-Table134172122[[#This Row],[Received]]</f>
        <v>3500</v>
      </c>
      <c r="J90" s="1" t="str">
        <f>IF(I90&gt;10000,"🚨 URGENT: "&amp;C90&amp;" owes ₹"&amp;I90,IF(I90&gt;5000,"⚠️ WARNING: "&amp;C90&amp;" - ₹"&amp;I90&amp;" due",IF(I90&gt;0,"ℹ️ "&amp;C90&amp;" - ₹"&amp;I90&amp;" pending","✅ Paid")))</f>
        <v>ℹ️ Vineet Ramteke - ₹3500 pending</v>
      </c>
    </row>
    <row r="91" spans="1:10" ht="19" customHeight="1">
      <c r="A91" s="1"/>
      <c r="B91" s="35"/>
      <c r="C91" s="22"/>
      <c r="D91" s="22"/>
      <c r="E91" s="1"/>
      <c r="F91" s="22"/>
      <c r="G91" s="36"/>
      <c r="H91" s="22"/>
      <c r="I91" s="36"/>
      <c r="J91" s="1"/>
    </row>
    <row r="92" spans="1:10" ht="19">
      <c r="A92" s="18"/>
      <c r="B92" s="19"/>
      <c r="C92" s="20"/>
      <c r="D92" s="20"/>
      <c r="E92" s="20"/>
      <c r="F92" s="21"/>
      <c r="G92" s="21"/>
      <c r="H92" s="21"/>
      <c r="I92" s="21"/>
      <c r="J92" s="22"/>
    </row>
    <row r="93" spans="1:10" ht="21">
      <c r="D93" s="9"/>
      <c r="E93" s="10" t="s">
        <v>100</v>
      </c>
      <c r="F93" s="11"/>
      <c r="G93" s="12" t="s">
        <v>97</v>
      </c>
      <c r="H93" s="12" t="s">
        <v>101</v>
      </c>
      <c r="I93" s="12" t="s">
        <v>45</v>
      </c>
    </row>
    <row r="94" spans="1:10" ht="21">
      <c r="D94" s="13" t="s">
        <v>102</v>
      </c>
      <c r="E94" s="14">
        <f>SUM(E88:E92)</f>
        <v>5</v>
      </c>
      <c r="F94" s="15"/>
      <c r="G94" s="16">
        <f>SUM(G88:G92)</f>
        <v>15500</v>
      </c>
      <c r="H94" s="16">
        <f t="shared" ref="H94:I94" si="1">SUM(H88:H92)</f>
        <v>0</v>
      </c>
      <c r="I94" s="16">
        <f t="shared" si="1"/>
        <v>15500</v>
      </c>
    </row>
  </sheetData>
  <mergeCells count="8">
    <mergeCell ref="A85:J85"/>
    <mergeCell ref="A86:J86"/>
    <mergeCell ref="A74:C74"/>
    <mergeCell ref="A1:J1"/>
    <mergeCell ref="A2:J2"/>
    <mergeCell ref="A56:C56"/>
    <mergeCell ref="A60:I60"/>
    <mergeCell ref="A61:I61"/>
  </mergeCells>
  <conditionalFormatting sqref="J5:J52 I64:I71 J89:J91">
    <cfRule type="containsText" dxfId="3" priority="5" operator="containsText" text="✅">
      <formula>NOT(ISERROR(SEARCH("✅",I5)))</formula>
    </cfRule>
    <cfRule type="containsText" dxfId="2" priority="6" operator="containsText" text="ℹ️">
      <formula>NOT(ISERROR(SEARCH("ℹ️",I5)))</formula>
    </cfRule>
    <cfRule type="containsText" dxfId="1" priority="7" operator="containsText" text="⚠️">
      <formula>NOT(ISERROR(SEARCH("⚠️",I5)))</formula>
    </cfRule>
    <cfRule type="containsText" dxfId="0" priority="8" operator="containsText" text="🚨">
      <formula>NOT(ISERROR(SEARCH("🚨",I5)))</formula>
    </cfRule>
  </conditionalFormatting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 Pc</dc:creator>
  <cp:lastModifiedBy>Sahil Waghmare</cp:lastModifiedBy>
  <dcterms:created xsi:type="dcterms:W3CDTF">2015-06-05T18:17:20Z</dcterms:created>
  <dcterms:modified xsi:type="dcterms:W3CDTF">2026-08-15T08:37:27Z</dcterms:modified>
</cp:coreProperties>
</file>